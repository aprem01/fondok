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worksheets/sheet32.xml" ContentType="application/vnd.openxmlformats-officedocument.spreadsheetml.worksheet+xml"/>
  <Override PartName="/xl/printerSettings/printerSettings33.bin" ContentType="application/vnd.openxmlformats-officedocument.spreadsheetml.printerSettings"/>
  <Override PartName="/xl/drawings/drawing34.xml" ContentType="application/vnd.openxmlformats-officedocument.drawing+xml"/>
  <Override PartName="/xl/worksheets/sheet36.xml" ContentType="application/vnd.openxmlformats-officedocument.spreadsheetml.worksheet+xml"/>
  <Override PartName="/xl/printerSettings/printerSettings37.bin" ContentType="application/vnd.openxmlformats-officedocument.spreadsheetml.printerSettings"/>
  <Override PartName="/xl/drawings/drawing38.xml" ContentType="application/vnd.openxmlformats-officedocument.drawing+xml"/>
  <Override PartName="/xl/worksheets/sheet40.xml" ContentType="application/vnd.openxmlformats-officedocument.spreadsheetml.worksheet+xml"/>
  <Override PartName="/xl/printerSettings/printerSettings41.bin" ContentType="application/vnd.openxmlformats-officedocument.spreadsheetml.printerSettings"/>
  <Override PartName="/xl/drawings/drawing42.xml" ContentType="application/vnd.openxmlformats-officedocument.drawing+xml"/>
  <Override PartName="/xl/worksheets/sheet44.xml" ContentType="application/vnd.openxmlformats-officedocument.spreadsheetml.worksheet+xml"/>
  <Override PartName="/xl/printerSettings/printerSettings45.bin" ContentType="application/vnd.openxmlformats-officedocument.spreadsheetml.printerSettings"/>
  <Override PartName="/xl/drawings/drawing46.xml" ContentType="application/vnd.openxmlformats-officedocument.drawing+xml"/>
  <Override PartName="/xl/worksheets/sheet48.xml" ContentType="application/vnd.openxmlformats-officedocument.spreadsheetml.worksheet+xml"/>
  <Override PartName="/xl/printerSettings/printerSettings49.bin" ContentType="application/vnd.openxmlformats-officedocument.spreadsheetml.printerSettings"/>
  <Override PartName="/xl/drawings/drawing50.xml" ContentType="application/vnd.openxmlformats-officedocument.drawing+xml"/>
  <Override PartName="/xl/worksheets/sheet52.xml" ContentType="application/vnd.openxmlformats-officedocument.spreadsheetml.worksheet+xml"/>
  <Override PartName="/xl/printerSettings/printerSettings53.bin" ContentType="application/vnd.openxmlformats-officedocument.spreadsheetml.printerSettings"/>
  <Override PartName="/xl/drawings/drawing54.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worksheets/sheet65.xml" ContentType="application/vnd.openxmlformats-officedocument.spreadsheetml.worksheet+xml"/>
  <Override PartName="/xl/printerSettings/printerSettings66.bin" ContentType="application/vnd.openxmlformats-officedocument.spreadsheetml.printerSettings"/>
  <Override PartName="/xl/drawings/drawing67.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drawings/drawing76.xml" ContentType="application/vnd.openxmlformats-officedocument.drawing+xml"/>
  <Override PartName="/xl/worksheets/sheet77.xml" ContentType="application/vnd.openxmlformats-officedocument.spreadsheetml.worksheet+xml"/>
  <Override PartName="/xl/printerSettings/printerSettings78.bin" ContentType="application/vnd.openxmlformats-officedocument.spreadsheetml.printerSettings"/>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drawings/drawing83.xml" ContentType="application/vnd.openxmlformats-officedocument.drawing+xml"/>
  <Override PartName="/xl/worksheets/sheet84.xml" ContentType="application/vnd.openxmlformats-officedocument.spreadsheetml.worksheet+xml"/>
  <Override PartName="/xl/printerSettings/printerSettings85.bin" ContentType="application/vnd.openxmlformats-officedocument.spreadsheetml.printerSettings"/>
  <Override PartName="/xl/drawings/drawing86.xml" ContentType="application/vnd.openxmlformats-officedocument.drawing+xml"/>
  <Override PartName="/xl/drawings/drawing87.xml" ContentType="application/vnd.openxmlformats-officedocument.drawing+xml"/>
  <Override PartName="/xl/worksheets/sheet88.xml" ContentType="application/vnd.openxmlformats-officedocument.spreadsheetml.worksheet+xml"/>
  <Override PartName="/xl/printerSettings/printerSettings89.bin" ContentType="application/vnd.openxmlformats-officedocument.spreadsheetml.printerSettings"/>
  <Override PartName="/xl/drawings/drawing90.xml" ContentType="application/vnd.openxmlformats-officedocument.drawing+xml"/>
  <Override PartName="/xl/drawings/drawing91.xml" ContentType="application/vnd.openxmlformats-officedocument.drawing+xml"/>
  <Override PartName="/xl/worksheets/sheet92.xml" ContentType="application/vnd.openxmlformats-officedocument.spreadsheetml.worksheet+xml"/>
  <Override PartName="/xl/printerSettings/printerSettings93.bin" ContentType="application/vnd.openxmlformats-officedocument.spreadsheetml.printerSettings"/>
  <Override PartName="/xl/drawings/drawing94.xml" ContentType="application/vnd.openxmlformats-officedocument.drawing+xml"/>
  <Override PartName="/xl/worksheets/sheet95.xml" ContentType="application/vnd.openxmlformats-officedocument.spreadsheetml.worksheet+xml"/>
  <Override PartName="/xl/printerSettings/printerSettings96.bin" ContentType="application/vnd.openxmlformats-officedocument.spreadsheetml.printerSettings"/>
  <Override PartName="/xl/drawings/drawing97.xml" ContentType="application/vnd.openxmlformats-officedocument.drawing+xml"/>
  <Override PartName="/xl/worksheets/sheet98.xml" ContentType="application/vnd.openxmlformats-officedocument.spreadsheetml.worksheet+xml"/>
  <Override PartName="/xl/printerSettings/printerSettings99.bin" ContentType="application/vnd.openxmlformats-officedocument.spreadsheetml.printerSettings"/>
  <Override PartName="/xl/drawings/drawing100.xml" ContentType="application/vnd.openxmlformats-officedocument.drawing+xml"/>
  <Override PartName="/xl/worksheets/sheet101.xml" ContentType="application/vnd.openxmlformats-officedocument.spreadsheetml.worksheet+xml"/>
  <Override PartName="/xl/printerSettings/printerSettings102.bin" ContentType="application/vnd.openxmlformats-officedocument.spreadsheetml.printerSettings"/>
  <Override PartName="/xl/drawings/drawing103.xml" ContentType="application/vnd.openxmlformats-officedocument.drawing+xml"/>
  <Override PartName="/xl/worksheets/sheet104.xml" ContentType="application/vnd.openxmlformats-officedocument.spreadsheetml.worksheet+xml"/>
  <Override PartName="/xl/printerSettings/printerSettings105.bin" ContentType="application/vnd.openxmlformats-officedocument.spreadsheetml.printerSettings"/>
  <Override PartName="/xl/drawings/drawing106.xml" ContentType="application/vnd.openxmlformats-officedocument.drawing+xml"/>
  <Override PartName="/xl/worksheets/sheet107.xml" ContentType="application/vnd.openxmlformats-officedocument.spreadsheetml.worksheet+xml"/>
  <Override PartName="/xl/printerSettings/printerSettings108.bin" ContentType="application/vnd.openxmlformats-officedocument.spreadsheetml.printerSettings"/>
  <Override PartName="/xl/drawings/drawing109.xml" ContentType="application/vnd.openxmlformats-officedocument.drawing+xml"/>
  <Override PartName="/xl/worksheets/sheet110.xml" ContentType="application/vnd.openxmlformats-officedocument.spreadsheetml.worksheet+xml"/>
  <Override PartName="/xl/printerSettings/printerSettings111.bin" ContentType="application/vnd.openxmlformats-officedocument.spreadsheetml.printerSettings"/>
  <Override PartName="/xl/drawings/drawing112.xml" ContentType="application/vnd.openxmlformats-officedocument.drawing+xml"/>
  <Override PartName="/xl/worksheets/sheet113.xml" ContentType="application/vnd.openxmlformats-officedocument.spreadsheetml.worksheet+xml"/>
  <Override PartName="/xl/printerSettings/printerSettings114.bin" ContentType="application/vnd.openxmlformats-officedocument.spreadsheetml.printerSettings"/>
  <Override PartName="/xl/drawings/drawing115.xml" ContentType="application/vnd.openxmlformats-officedocument.drawing+xml"/>
  <Override PartName="/xl/worksheets/sheet116.xml" ContentType="application/vnd.openxmlformats-officedocument.spreadsheetml.worksheet+xml"/>
  <Override PartName="/xl/printerSettings/printerSettings117.bin" ContentType="application/vnd.openxmlformats-officedocument.spreadsheetml.printerSettings"/>
  <Override PartName="/xl/drawings/drawing118.xml" ContentType="application/vnd.openxmlformats-officedocument.drawing+xml"/>
  <Override PartName="/xl/worksheets/sheet119.xml" ContentType="application/vnd.openxmlformats-officedocument.spreadsheetml.worksheet+xml"/>
  <Override PartName="/xl/printerSettings/printerSettings120.bin" ContentType="application/vnd.openxmlformats-officedocument.spreadsheetml.printerSettings"/>
  <Override PartName="/xl/drawings/drawing121.xml" ContentType="application/vnd.openxmlformats-officedocument.drawing+xml"/>
  <Override PartName="/xl/worksheets/sheet122.xml" ContentType="application/vnd.openxmlformats-officedocument.spreadsheetml.worksheet+xml"/>
  <Override PartName="/xl/printerSettings/printerSettings123.bin" ContentType="application/vnd.openxmlformats-officedocument.spreadsheetml.printerSettings"/>
  <Override PartName="/xl/drawings/drawing124.xml" ContentType="application/vnd.openxmlformats-officedocument.drawing+xml"/>
  <Override PartName="/xl/drawings/drawing125.xml" ContentType="application/vnd.openxmlformats-officedocument.drawing+xml"/>
  <Override PartName="/xl/worksheets/sheet126.xml" ContentType="application/vnd.openxmlformats-officedocument.spreadsheetml.worksheet+xml"/>
  <Override PartName="/xl/printerSettings/printerSettings127.bin" ContentType="application/vnd.openxmlformats-officedocument.spreadsheetml.printerSettings"/>
  <Override PartName="/xl/drawings/drawing128.xml" ContentType="application/vnd.openxmlformats-officedocument.drawing+xml"/>
  <Override PartName="/xl/drawings/drawing129.xml" ContentType="application/vnd.openxmlformats-officedocument.drawing+xml"/>
  <Override PartName="/xl/worksheets/sheet130.xml" ContentType="application/vnd.openxmlformats-officedocument.spreadsheetml.worksheet+xml"/>
  <Override PartName="/xl/printerSettings/printerSettings131.bin" ContentType="application/vnd.openxmlformats-officedocument.spreadsheetml.printerSettings"/>
  <Override PartName="/xl/drawings/drawing132.xml" ContentType="application/vnd.openxmlformats-officedocument.drawing+xml"/>
  <Override PartName="/xl/worksheets/sheet133.xml" ContentType="application/vnd.openxmlformats-officedocument.spreadsheetml.worksheet+xml"/>
  <Override PartName="/xl/printerSettings/printerSettings134.bin" ContentType="application/vnd.openxmlformats-officedocument.spreadsheetml.printerSettings"/>
  <Override PartName="/xl/drawings/drawing135.xml" ContentType="application/vnd.openxmlformats-officedocument.drawing+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32"/>
    <sheet name="Glance" sheetId="57" r:id="rId33"/>
    <sheet name="Summary" sheetId="55" r:id="rId34"/>
    <sheet name="Comp" sheetId="76" r:id="rId31"/>
    <sheet name="Response" sheetId="13" r:id="rId39"/>
    <sheet name="Day of Week" sheetId="60" r:id="rId35"/>
    <sheet name="Daily by Month" sheetId="47" r:id="rId36"/>
    <sheet name="Segmentation Glance" sheetId="77" r:id="rId30"/>
    <sheet name="Segmentation Occ" sheetId="78" r:id="rId29"/>
    <sheet name="Segmentation ADR" sheetId="79" r:id="rId28"/>
    <sheet name="Segmentation RevPAR" sheetId="80" r:id="rId27"/>
    <sheet name="Segmentation Indexes" sheetId="81" r:id="rId26"/>
    <sheet name="Segmentation Ranking" sheetId="82" r:id="rId25"/>
    <sheet name="Segmentation DOW Month" sheetId="83" r:id="rId24"/>
    <sheet name="Segmentation DOW YTD" sheetId="84" r:id="rId23"/>
    <sheet name="Segmentation DOW Run 3" sheetId="85" r:id="rId22"/>
    <sheet name="Segmentation DOW Run 12" sheetId="86" r:id="rId21"/>
    <sheet name="Add Rev ADR" sheetId="65" r:id="rId37"/>
    <sheet name="Add Rev RevPAR" sheetId="66" r:id="rId38"/>
    <sheet name="Segmentation Response" sheetId="87" r:id="rId20"/>
    <sheet name="Glance_2" sheetId="88" r:id="rId19"/>
    <sheet name="Summary_2" sheetId="89" r:id="rId18"/>
    <sheet name="Comp_2" sheetId="90" r:id="rId17"/>
    <sheet name="Response_2" sheetId="91" r:id="rId16"/>
    <sheet name="Day of Week_2" sheetId="92" r:id="rId15"/>
    <sheet name="Daily by Month_2" sheetId="93" r:id="rId14"/>
    <sheet name="Segmentation Glance_2" sheetId="94" r:id="rId13"/>
    <sheet name="Segmentation Occ_2" sheetId="95" r:id="rId12"/>
    <sheet name="Segmentation ADR_2" sheetId="96" r:id="rId11"/>
    <sheet name="Segmentation RevPAR_2" sheetId="97" r:id="rId10"/>
    <sheet name="Segmentation Indexes_2" sheetId="98" r:id="rId9"/>
    <sheet name="Segmentation Ranking_2" sheetId="99" r:id="rId8"/>
    <sheet name="Segmentation DOW Month_2" sheetId="100" r:id="rId7"/>
    <sheet name="Segmentation DOW YTD_2" sheetId="101" r:id="rId6"/>
    <sheet name="Segmentation DOW Run 3_2" sheetId="102" r:id="rId5"/>
    <sheet name="Segmentation DOW Run 12_2" sheetId="103" r:id="rId4"/>
    <sheet name="Add Rev ADR_2" sheetId="104" r:id="rId3"/>
    <sheet name="Add Rev RevPAR_2" sheetId="105" r:id="rId2"/>
    <sheet name="Segmentation Response_2" sheetId="106" r:id="rId1"/>
    <sheet name="Help" sheetId="74" r:id="rId40"/>
  </sheets>
  <definedNames>
    <definedName name="_xlnm.Print_Area" localSheetId="17">'Add Rev ADR'!$A$1:$AH$46</definedName>
    <definedName name="_xlnm.Print_Area" localSheetId="18">'Add Rev RevPAR'!$A$1:$AH$45</definedName>
    <definedName name="_xlnm.Print_Area" localSheetId="6">'Daily by Month'!$A$1:$AH$57</definedName>
    <definedName name="_xlnm.Print_Area" localSheetId="5">'Day of Week'!$A$1:$V$78</definedName>
    <definedName name="_xlnm.Print_Area" localSheetId="1">Glance!$A$1:$T$34</definedName>
    <definedName name="_xlnm.Print_Area" localSheetId="39">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 name="_xlnm.Print_Area" localSheetId="7">'Segmentation Glance'!$A$1:$T$41</definedName>
    <definedName name="_xlnm.Print_Area" localSheetId="8">'Segmentation Occ'!$A$1:$AB$45</definedName>
    <definedName name="_xlnm.Print_Area" localSheetId="9">'Segmentation ADR'!$A$1:$AB$44</definedName>
    <definedName name="_xlnm.Print_Area" localSheetId="10">'Segmentation RevPAR'!$A$1:$AB$44</definedName>
    <definedName name="_xlnm.Print_Area" localSheetId="11">'Segmentation Indexes'!$A$1:$AB$44</definedName>
    <definedName name="_xlnm.Print_Area" localSheetId="12">'Segmentation Ranking'!$A$1:$AB$44</definedName>
    <definedName name="_xlnm.Print_Area" localSheetId="13">'Segmentation DOW Month'!$A$1:$AB$53</definedName>
    <definedName name="_xlnm.Print_Area" localSheetId="14">'Segmentation DOW YTD'!$A$1:$AB$53</definedName>
    <definedName name="_xlnm.Print_Area" localSheetId="15">'Segmentation DOW Run 3'!$A$1:$AB$53</definedName>
    <definedName name="_xlnm.Print_Area" localSheetId="16">'Segmentation DOW Run 12'!$A$1:$AB$53</definedName>
    <definedName name="_xlnm.Print_Area" localSheetId="19">'Segmentation Response'!$A$1:$AR$106</definedName>
    <definedName name="_xlnm.Print_Area" localSheetId="20">Glance_2!$A$1:$T$34</definedName>
    <definedName name="_xlnm.Print_Area" localSheetId="21">Summary_2!$A$1:$U$45</definedName>
    <definedName name="_xlnm.Print_Area" localSheetId="22">'Comp_2'!$A$1:$AG$57</definedName>
    <definedName name="_xlnm.Print_Area" localSheetId="23">'Response_2'!$A$1:$AR$106</definedName>
    <definedName name="_xlnm.Print_Area" localSheetId="24">'Day of Week_2'!$A$1:$V$78</definedName>
    <definedName name="_xlnm.Print_Area" localSheetId="25">'Daily by Month_2'!$A$1:$AH$57</definedName>
    <definedName name="_xlnm.Print_Area" localSheetId="26">'Segmentation Glance_2'!$A$1:$T$41</definedName>
    <definedName name="_xlnm.Print_Area" localSheetId="27">'Segmentation Occ_2'!$A$1:$AB$45</definedName>
    <definedName name="_xlnm.Print_Area" localSheetId="28">'Segmentation ADR_2'!$A$1:$AB$44</definedName>
    <definedName name="_xlnm.Print_Area" localSheetId="29">'Segmentation RevPAR_2'!$A$1:$AB$44</definedName>
    <definedName name="_xlnm.Print_Area" localSheetId="30">'Segmentation Indexes_2'!$A$1:$AB$44</definedName>
    <definedName name="_xlnm.Print_Area" localSheetId="31">'Segmentation Ranking_2'!$A$1:$AB$44</definedName>
    <definedName name="_xlnm.Print_Area" localSheetId="32">'Segmentation DOW Month_2'!$A$1:$AB$53</definedName>
    <definedName name="_xlnm.Print_Area" localSheetId="33">'Segmentation DOW YTD_2'!$A$1:$AB$53</definedName>
    <definedName name="_xlnm.Print_Area" localSheetId="34">'Segmentation DOW Run 3_2'!$A$1:$AB$53</definedName>
    <definedName name="_xlnm.Print_Area" localSheetId="35">'Segmentation DOW Run 12_2'!$A$1:$AB$53</definedName>
    <definedName name="_xlnm.Print_Area" localSheetId="36">'Add Rev ADR_2'!$A$1:$AH$46</definedName>
    <definedName name="_xlnm.Print_Area" localSheetId="37">'Add Rev RevPAR_2'!$A$1:$AH$45</definedName>
    <definedName name="_xlnm.Print_Area" localSheetId="38">'Segmentation Response_2'!$A$1:$AR$106</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<sst xmlns="http://schemas.openxmlformats.org/spreadsheetml/2006/main" xmlns:r="http://schemas.openxmlformats.org/officeDocument/2006/relationships" xmlns:xdr="http://schemas.openxmlformats.org/drawingml/2006/spreadsheetDrawing" xmlns:s="http://schemas.openxmlformats.org/officeDocument/2006/sharedTypes" xmlns:vt="http://schemas.openxmlformats.org/officeDocument/2006/docPropsVTypes" xmlns:a="http://schemas.openxmlformats.org/drawingml/2006/main" xmlns:cdr="http://schemas.openxmlformats.org/drawingml/2006/chartDrawing" count="1023" uniqueCount="126">
  <si>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</si>
  <si>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</si>
  <si>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</si>
  <si>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</si>
  <si>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</si>
  <si>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</si>
  <si>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</si>
  <si>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</si>
  <si>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</si>
  <si>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</si>
  <si>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</si>
  <si>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</si>
  <si>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</si>
  <si>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</si>
  <si>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</si>
  <si>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</si>
  <si>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</si>
  <si>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</si>
  <si>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</si>
  <si>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</si>
  <si>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</si>
  <si>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</si>
  <si>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</si>
  <si>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</si>
  <si>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</si>
  <si>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</si>
  <si>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</si>
  <si>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</si>
  <si>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</si>
  <si>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</si>
  <si>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</si>
  <si>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</si>
  <si>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</si>
  <si>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</si>
  <si>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</si>
  <si>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</si>
  <si>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</si>
  <si>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</si>
  <si>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</si>
  <si>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</si>
  <si>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</si>
  <si>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</si>
  <si>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</si>
  <si>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</si>
  <si>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</si>
  <si>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</si>
  <si>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</si>
  <si>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</si>
  <si>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</si>
  <si>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</si>
  <si>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</si>
  <si>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</si>
  <si>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</si>
  <si>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</si>
  <si>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</si>
  <si>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</si>
  <si>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</si>
  <si>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</si>
  <si>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</si>
  <si>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</si>
  <si>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</si>
  <si>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</si>
  <si>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</si>
  <si>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</si>
  <si>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</si>
  <si>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</si>
  <si>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</si>
  <si>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</si>
  <si>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</si>
  <si>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</si>
  <si>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</si>
  <si>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</si>
  <si>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</si>
  <si>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</si>
  <si>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</si>
  <si>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</si>
  <si>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</si>
  <si>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</si>
  <si>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</si>
  <si>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</si>
  <si>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</si>
  <si>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</si>
  <si>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</si>
  <si>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</si>
  <si>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</si>
  <si>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</si>
  <si>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</si>
  <si>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</si>
  <si>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</si>
  <si>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</si>
  <si>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</si>
  <si>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</si>
  <si>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</si>
  <si>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</si>
  <si>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</si>
  <si>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</si>
  <si>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</si>
  <si>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</si>
  <si>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</si>
  <si>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</si>
  <si>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</si>
  <si>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</si>
  <si>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</si>
  <si>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</si>
  <si>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</si>
  <si>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</si>
  <si>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</si>
  <si>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</si>
  <si>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</si>
  <si>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</si>
  <si>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</si>
  <si>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</si>
  <si>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</si>
  <si>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</si>
  <si>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</si>
  <si>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</si>
  <si>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</si>
  <si>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</si>
  <si>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</si>
  <si>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</si>
  <si>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</si>
  <si>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</si>
  <si>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</si>
  <si>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</si>
  <si>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</si>
  <si>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</si>
  <si>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</si>
  <si>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</si>
  <si>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</si>
  <si>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</si>
  <si>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</si>
  <si>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</si>
  <si>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</si>
  <si>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</si>
  <si>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</si>
  <si>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</si>
  <si>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</si>
  <si>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</si>
  <si>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</si>
  <si>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Tab 8 - Segmentation at a Glance - My Property vs. Competitive Set</t>
  </si>
  <si>
    <t>Segmentation at a Glance</t>
  </si>
  <si>
    <t>Tab 9 - Segmentation Occupancy Analysis</t>
  </si>
  <si>
    <t>Segmentation Occupancy Analysis</t>
  </si>
  <si>
    <t>Tab 10 - Segmentation ADR Analysis</t>
  </si>
  <si>
    <t>Segmentation ADR Analysis</t>
  </si>
  <si>
    <t>Tab 11 - Segmentation RevPAR Analysis</t>
  </si>
  <si>
    <t>Segmentation RevPAR Analysis</t>
  </si>
  <si>
    <t>Tab 12 - Segmentation Index Analysis</t>
  </si>
  <si>
    <t>Segmentation Index Analysis</t>
  </si>
  <si>
    <t>Tab 13 - Segmentation Ranking Analysis</t>
  </si>
  <si>
    <t>Segmentation Ranking Analysis</t>
  </si>
  <si>
    <t>Tab 14 - Segmentation Day Of Week - Current Month</t>
  </si>
  <si>
    <t>Segmentation Day Of Week - Current Month</t>
  </si>
  <si>
    <t>Tab 15 - Segmentation Day Of Week - Year to Date</t>
  </si>
  <si>
    <t>Segmentation Day Of Week - Year to Date</t>
  </si>
  <si>
    <t>Tab 16 - Segmentation Day Of Week - Running 3 Month</t>
  </si>
  <si>
    <t>Segmentation Day Of Week - Running 3 Month</t>
  </si>
  <si>
    <t>Tab 17 - Segmentation Day Of Week - Running 12 Month</t>
  </si>
  <si>
    <t>Segmentation Day Of Week - Running 12 Month</t>
  </si>
  <si>
    <t>Tab 18 - Additional Revenue ADR Analysis (TrevPOR)</t>
  </si>
  <si>
    <t>Additional Revenue ADR Analysis (TrevPOR)</t>
  </si>
  <si>
    <t>Tab 19 - Additional Revenue RevPAR Analysis (TrevPAR)</t>
  </si>
  <si>
    <t>Additional Revenue RevPAR Analysis (TrevPAR)</t>
  </si>
  <si>
    <t>Tab 20 - Segmentation Response Report</t>
  </si>
  <si>
    <t>Segmentation Response Report</t>
  </si>
  <si>
    <t>Tab 21 - Monthly Performance at a Glance - My Property vs. Competitive Set - Comp Set 2</t>
  </si>
  <si>
    <t>Monthly Performance at a Glance - 2nd Comp</t>
  </si>
  <si>
    <t>Tab 22 - STAR Summary - My Property vs. Comp Set and Industry Segments - Comp Set 2</t>
  </si>
  <si>
    <t>STAR Summary - 2nd Comp</t>
  </si>
  <si>
    <t>Tab 23 - Competitive Set Report - Comp Set 2</t>
  </si>
  <si>
    <t>Competitive Set Report - 2nd Comp</t>
  </si>
  <si>
    <t>Tab 24 - Response Report - Comp Set 2</t>
  </si>
  <si>
    <t>Response Report - 2nd Comp</t>
  </si>
  <si>
    <t>Tab 25 - Day of Week and Weekday/Weekend Report - Comp Set 2</t>
  </si>
  <si>
    <t>Day of Week &amp; Weekday/Weekend - 2nd Comp</t>
  </si>
  <si>
    <t>Tab 26 - Daily Data for the Month - Comp Set 2</t>
  </si>
  <si>
    <t>Daily Data for the Month - 2nd Comp</t>
  </si>
  <si>
    <t>Tab 27 - Segmentation at a Glance - My Property vs. Competitive Set - Comp Set 2</t>
  </si>
  <si>
    <t>Segmentation at a Glance - 2nd Comp</t>
  </si>
  <si>
    <t>Tab 28 - Segmentation Occupancy Analysis - Comp Set 2</t>
  </si>
  <si>
    <t>Segmentation Occupancy Analysis - 2nd Comp</t>
  </si>
  <si>
    <t>Tab 29 - Segmentation ADR Analysis - Comp Set 2</t>
  </si>
  <si>
    <t>Segmentation ADR Analysis - 2nd Comp</t>
  </si>
  <si>
    <t>Tab 30 - Segmentation RevPAR Analysis - Comp Set 2</t>
  </si>
  <si>
    <t>Segmentation RevPAR Analysis - 2nd Comp</t>
  </si>
  <si>
    <t>Tab 31 - Segmentation Index Analysis - Comp Set 2</t>
  </si>
  <si>
    <t>Segmentation Index Analysis - 2nd Comp</t>
  </si>
  <si>
    <t>Tab 32 - Segmentation Ranking Analysis - Comp Set 2</t>
  </si>
  <si>
    <t>Segmentation Ranking Analysis - 2nd Comp</t>
  </si>
  <si>
    <t>Tab 33 - Segmentation Day Of Week - Current Month - Comp Set 2</t>
  </si>
  <si>
    <t>Segmentation Day Of Week - Current Month - 2nd Comp</t>
  </si>
  <si>
    <t>Tab 34 - Segmentation Day Of Week - Year to Date - Comp Set 2</t>
  </si>
  <si>
    <t>Segmentation Day Of Week - Year to Date - 2nd Comp</t>
  </si>
  <si>
    <t>Tab 35 - Segmentation Day Of Week - Running 3 Month - Comp Set 2</t>
  </si>
  <si>
    <t>Segmentation Day Of Week - Running 3 Month - 2nd Comp</t>
  </si>
  <si>
    <t>Tab 36 - Segmentation Day Of Week - Running 12 Month - Comp Set 2</t>
  </si>
  <si>
    <t>Segmentation Day Of Week - Running 12 Month - 2nd Comp</t>
  </si>
  <si>
    <t>Tab 37 - Additional Revenue ADR Analysis (TrevPOR) - Comp Set 2</t>
  </si>
  <si>
    <t>Additional Revenue ADR Analysis (TrevPOR) - 2nd Comp</t>
  </si>
  <si>
    <t>Tab 38 - Additional Revenue RevPAR Analysis (TrevPAR) - Comp Set 2</t>
  </si>
  <si>
    <t>Additional Revenue RevPAR Analysis (TrevPAR) - 2nd Comp</t>
  </si>
  <si>
    <t>Tab 39 - Segmentation Response Report - Comp Set 2</t>
  </si>
  <si>
    <t>Segmentation Response Report - 2nd Comp</t>
  </si>
  <si>
    <t>Help</t>
  </si>
  <si>
    <t>Monthly STAR Report : Kimpton Angler's Hotel</t>
  </si>
  <si>
    <t>STR # 56387 / Created July 17, 2025</t>
  </si>
  <si>
    <t>For the Month of: June 2025</t>
  </si>
  <si>
    <t>Currency: US Dollar  /  Competitive Set Data Excludes Subject Property</t>
  </si>
  <si>
    <t>Kimpton Angler's Hotel        600 Washington Ave        Miami Beach, FL 33139-6207        Phone: (305) 534-9600</t>
  </si>
  <si>
    <t>STR # 56387        ChainID: 18033        MgtCo: Kimpton Hotels/IHG        Owner: KHP Capital Partners</t>
  </si>
  <si>
    <t>For the Month of: June 2025        Date Created: July 17, 2025        Monthly Competitive Set Data Excludes Subject Property</t>
  </si>
  <si>
    <t>June 2025</t>
  </si>
  <si>
    <t>June 2025 vs. 2024 Percent Change (%)</t>
  </si>
  <si>
    <t>Kimpton Angler's Hotel</t>
  </si>
  <si>
    <t>Market: Miami, FL</t>
  </si>
  <si>
    <t>Market Class: Upper Upscale Class</t>
  </si>
  <si>
    <t>Submarket: Miami Beach, FL</t>
  </si>
  <si>
    <t>Submarket Scale: Upscale Chains</t>
  </si>
  <si>
    <t>Jan</t>
  </si>
  <si>
    <t>2 of 6</t>
  </si>
  <si>
    <t>Feb</t>
  </si>
  <si>
    <t>Mar</t>
  </si>
  <si>
    <t>1 of 6</t>
  </si>
  <si>
    <t>Apr</t>
  </si>
  <si>
    <t>May</t>
  </si>
  <si>
    <t>Jun</t>
  </si>
  <si>
    <t>2 of 5</t>
  </si>
  <si>
    <t>3 of 5</t>
  </si>
  <si>
    <t>Jul</t>
  </si>
  <si>
    <t>Aug</t>
  </si>
  <si>
    <t>Sep</t>
  </si>
  <si>
    <t>Oct</t>
  </si>
  <si>
    <t>Nov</t>
  </si>
  <si>
    <t>1 of 5</t>
  </si>
  <si>
    <t>Dec</t>
  </si>
  <si>
    <t>6 of 6</t>
  </si>
  <si>
    <t>3 of 6</t>
  </si>
  <si>
    <t>5 of 6</t>
  </si>
  <si>
    <t>4 of 6</t>
  </si>
  <si>
    <t>5 of 5</t>
  </si>
  <si>
    <t>4 of 5</t>
  </si>
  <si>
    <t>For the Month of: June 2025        Date Created: July 17, 2025</t>
  </si>
  <si>
    <t>City, State</t>
  </si>
  <si>
    <t>June 2025 (This Year)</t>
  </si>
  <si>
    <t>June 2024 (Last Year)</t>
  </si>
  <si>
    <t>Sunday, Jun 15th</t>
  </si>
  <si>
    <t>Jun 15th - Father's Day</t>
  </si>
  <si>
    <t>Thursday, Jun 19th</t>
  </si>
  <si>
    <t>Jun 19th - Juneteenth</t>
  </si>
  <si>
    <t>Sunday, June 16th</t>
  </si>
  <si>
    <t>June 16th - Father's Day</t>
  </si>
  <si>
    <t>Wednesday, June 19th</t>
  </si>
  <si>
    <t>June 19th - Juneteenth</t>
  </si>
  <si>
    <t>Miami Beach, FL</t>
  </si>
  <si>
    <t>33139-6207</t>
  </si>
  <si>
    <t>(305) 534-9600</t>
  </si>
  <si>
    <t>132</t>
  </si>
  <si>
    <t>200706</t>
  </si>
  <si>
    <t>●</t>
  </si>
  <si>
    <t>Dream South Beach</t>
  </si>
  <si>
    <t>33139</t>
  </si>
  <si>
    <t>(305) 673-4747</t>
  </si>
  <si>
    <t>107</t>
  </si>
  <si>
    <t>194906</t>
  </si>
  <si>
    <t>Closed - Blue Moon Hotel</t>
  </si>
  <si>
    <t/>
  </si>
  <si>
    <t>0</t>
  </si>
  <si>
    <t>193406</t>
  </si>
  <si>
    <t>The Tony Hotel of South Beach</t>
  </si>
  <si>
    <t>(305) 531-2222</t>
  </si>
  <si>
    <t>73</t>
  </si>
  <si>
    <t>193906</t>
  </si>
  <si>
    <t>The Betsy South Beach</t>
  </si>
  <si>
    <t>(305) 531-6100</t>
  </si>
  <si>
    <t>129</t>
  </si>
  <si>
    <t>194506</t>
  </si>
  <si>
    <t>Z Ocean Hotel, Classico A Sonesta Collection</t>
  </si>
  <si>
    <t>33139-4103</t>
  </si>
  <si>
    <t>(305) 672-4554</t>
  </si>
  <si>
    <t>35</t>
  </si>
  <si>
    <t>200612</t>
  </si>
  <si>
    <t xml:space="preserve">Data received: </t>
  </si>
  <si>
    <t>○</t>
  </si>
  <si>
    <t>= Monthly Only</t>
  </si>
  <si>
    <t>= Monthly &amp; Daily</t>
  </si>
  <si>
    <t>For the Month of: June 2025        Date Created: July 17, 2025        Daily Competitive Set Data Excludes Subject Property</t>
  </si>
  <si>
    <t>Su</t>
  </si>
  <si>
    <t>June</t>
  </si>
  <si>
    <t>Mo</t>
  </si>
  <si>
    <t>Tu</t>
  </si>
  <si>
    <t>We</t>
  </si>
  <si>
    <t>Th</t>
  </si>
  <si>
    <t>Fr</t>
  </si>
  <si>
    <t>Sa</t>
  </si>
  <si>
    <t>Market Scale: Miami, FL Upper Upscale Chains</t>
  </si>
  <si>
    <t>2 of 4</t>
  </si>
  <si>
    <t>3 of 4</t>
  </si>
  <si>
    <t>1 of 4</t>
  </si>
  <si>
    <t>4 of 4</t>
  </si>
  <si>
    <t>B</t>
  </si>
  <si>
    <t>s</t>
  </si>
  <si>
    <t>= Segmentation (Transient, Group, Contract) Only</t>
  </si>
  <si>
    <t>r</t>
  </si>
  <si>
    <t>= Additional Revenue Only</t>
  </si>
  <si>
    <t>= Both Segmentation &amp; Additional Revenue</t>
  </si>
  <si>
    <t>2 of 9</t>
  </si>
  <si>
    <t>6 of 9</t>
  </si>
  <si>
    <t>3 of 9</t>
  </si>
  <si>
    <t>7 of 9</t>
  </si>
  <si>
    <t>5 of 9</t>
  </si>
  <si>
    <t>1 of 9</t>
  </si>
  <si>
    <t>4 of 9</t>
  </si>
  <si>
    <t>8 of 9</t>
  </si>
  <si>
    <t>9 of 9</t>
  </si>
  <si>
    <t>The Gabriel South Beach, Curio Collection by Hilton</t>
  </si>
  <si>
    <t>33139-6219</t>
  </si>
  <si>
    <t>(305) 685-2000</t>
  </si>
  <si>
    <t>193706</t>
  </si>
  <si>
    <t>Kimpton Surfcomber Hotel</t>
  </si>
  <si>
    <t>33139-2006</t>
  </si>
  <si>
    <t>(305) 532-7715</t>
  </si>
  <si>
    <t>186</t>
  </si>
  <si>
    <t>194106</t>
  </si>
  <si>
    <t>Gale South Beach, Curio Collection by Hilton</t>
  </si>
  <si>
    <t>(305) 673-0199</t>
  </si>
  <si>
    <t>87</t>
  </si>
  <si>
    <t>201212</t>
  </si>
  <si>
    <t>Hyatt Centric South Beach Miami</t>
  </si>
  <si>
    <t>(305) 428-1234</t>
  </si>
  <si>
    <t>105</t>
  </si>
  <si>
    <t>201506</t>
  </si>
  <si>
    <t>Lennox Miami Beach</t>
  </si>
  <si>
    <t>(305) 531-6800</t>
  </si>
  <si>
    <t>118</t>
  </si>
  <si>
    <t>201908</t>
  </si>
  <si>
    <t>Kimpton Hotel Palomar South Beach</t>
  </si>
  <si>
    <t>33139-2412</t>
  </si>
  <si>
    <t>(786) 628-2000</t>
  </si>
  <si>
    <t>96</t>
  </si>
  <si>
    <t>202002</t>
  </si>
  <si>
    <t>MOXY Miami South Beach</t>
  </si>
  <si>
    <t>33139-5015</t>
  </si>
  <si>
    <t>(305) 600-4292</t>
  </si>
  <si>
    <t>202</t>
  </si>
  <si>
    <t>202102</t>
  </si>
  <si>
    <t>6 of 8</t>
  </si>
  <si>
    <t>4 of 8</t>
  </si>
  <si>
    <t>5 of 8</t>
  </si>
  <si>
    <t>4 of 7</t>
  </si>
  <si>
    <t>6 of 7</t>
  </si>
  <si>
    <t>5 of 7</t>
  </si>
  <si>
    <t>3 of 8</t>
  </si>
  <si>
    <t>2 of 7</t>
  </si>
  <si>
    <t>3 of 7</t>
  </si>
  <si>
    <t>7 of 7</t>
  </si>
  <si>
    <t>2 of 8</t>
  </si>
  <si>
    <t>7 of 8</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</si>
</sst>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2">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font>
    <font>
      <b/>
      <sz val="10"/>
      <name val="Arial"/>
    </font>
    <font>
      <color rgb="FFFFFFFF"/>
    </font>
    <font>
      <color rgb="FFA0A0A0"/>
    </font>
    <font/>
    <font>
      <sz val="18"/>
    </font>
    <font>
      <b val="0"/>
      <sz val="10"/>
      <color rgb="FF000000"/>
      <name val="Arial"/>
    </font>
    <font>
      <sz val="10"/>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84">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color auto="1" indexed="64"/>
      </left>
      <right style="thin">
        <color indexed="55"/>
      </right>
      <top>
        <color auto="1" indexed="64"/>
      </top>
      <bottom>
        <color auto="1" indexed="64"/>
      </bottom>
      <diagonal>
        <color/>
      </diagonal>
    </border>
    <border diagonalUp="0" diagonalDown="0">
      <left style="thin">
        <color indexed="33"/>
      </left>
      <right style="thin">
        <color indexed="33"/>
      </right>
      <top>
        <color auto="1" indexed="64"/>
      </top>
      <bottom>
        <color auto="1" indexed="64"/>
      </bottom>
      <diagonal>
        <color/>
      </diagonal>
    </border>
    <border diagonalUp="0" diagonalDown="0">
      <left style="thin">
        <color indexed="33"/>
      </left>
      <right style="thin">
        <color indexed="33"/>
      </right>
      <top>
        <color auto="1" indexed="64"/>
      </top>
      <bottom style="thin">
        <color indexed="33"/>
      </bottom>
      <diagonal>
        <color/>
      </diagonal>
    </border>
    <border diagonalUp="0" diagonalDown="0">
      <left style="thin">
        <color indexed="33"/>
      </left>
      <right>
        <color auto="1" indexed="64"/>
      </right>
      <top style="thin">
        <color indexed="33"/>
      </top>
      <bottom>
        <color auto="1" indexed="64"/>
      </bottom>
      <diagonal>
        <color/>
      </diagonal>
    </border>
    <border diagonalUp="0" diagonalDown="0">
      <left>
        <color auto="1" indexed="64"/>
      </left>
      <right>
        <color auto="1" indexed="64"/>
      </right>
      <top style="thin">
        <color indexed="33"/>
      </top>
      <bottom>
        <color auto="1" indexed="64"/>
      </bottom>
      <diagonal>
        <color/>
      </diagonal>
    </border>
    <border diagonalUp="0" diagonalDown="0">
      <left>
        <color auto="1" indexed="64"/>
      </left>
      <right style="thin">
        <color indexed="33"/>
      </right>
      <top style="thin">
        <color indexed="33"/>
      </top>
      <bottom>
        <color auto="1" indexed="64"/>
      </bottom>
      <diagonal>
        <color/>
      </diagonal>
    </border>
    <border diagonalUp="0" diagonalDown="0">
      <left style="thin">
        <color indexed="33"/>
      </left>
      <right>
        <color auto="1" indexed="64"/>
      </right>
      <top>
        <color auto="1" indexed="64"/>
      </top>
      <bottom>
        <color auto="1" indexed="64"/>
      </bottom>
      <diagonal>
        <color/>
      </diagonal>
    </border>
    <border diagonalUp="0" diagonalDown="0">
      <left>
        <color auto="1" indexed="64"/>
      </left>
      <right style="thin">
        <color indexed="33"/>
      </right>
      <top>
        <color auto="1" indexed="64"/>
      </top>
      <bottom>
        <color auto="1" indexed="64"/>
      </bottom>
      <diagonal>
        <color/>
      </diagonal>
    </border>
    <border diagonalUp="0" diagonalDown="0">
      <left style="thin">
        <color indexed="33"/>
      </left>
      <right>
        <color auto="1" indexed="64"/>
      </right>
      <top>
        <color auto="1" indexed="64"/>
      </top>
      <bottom style="thin">
        <color indexed="33"/>
      </bottom>
      <diagonal>
        <color/>
      </diagonal>
    </border>
    <border diagonalUp="0" diagonalDown="0">
      <left>
        <color auto="1" indexed="64"/>
      </left>
      <right>
        <color auto="1" indexed="64"/>
      </right>
      <top>
        <color auto="1" indexed="64"/>
      </top>
      <bottom style="thin">
        <color indexed="33"/>
      </bottom>
      <diagonal>
        <color/>
      </diagonal>
    </border>
    <border diagonalUp="0" diagonalDown="0">
      <left>
        <color auto="1" indexed="64"/>
      </left>
      <right style="thin">
        <color indexed="33"/>
      </right>
      <top>
        <color auto="1" indexed="64"/>
      </top>
      <bottom style="thin">
        <color indexed="33"/>
      </bottom>
      <diagonal>
        <color/>
      </diagonal>
    </border>
    <border diagonalUp="0" diagonalDown="0">
      <left>
        <color auto="1" indexed="64"/>
      </left>
      <right style="thin">
        <color auto="1" indexed="64"/>
      </right>
      <top>
        <color auto="1" indexed="64"/>
      </top>
      <bottom>
        <color auto="1" indexed="64"/>
      </bottom>
      <diagonal>
        <color/>
      </diagonal>
    </border>
    <border diagonalUp="0" diagonalDown="0">
      <left>
        <color auto="1" indexed="64"/>
      </left>
      <right style="thin">
        <color indexed="33"/>
      </right>
      <top style="thin">
        <color indexed="33"/>
      </top>
      <bottom style="thin">
        <color indexed="33"/>
      </bottom>
      <diagonal>
        <color/>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115">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0" fillId="0" borderId="59" applyFont="1" applyFill="1" applyBorder="1" applyAlignment="1">
      <alignment horizontal="left" vertical="center"/>
    </xf>
    <xf numFmtId="0" fontId="104" fillId="38" borderId="60" applyFont="1" applyFill="1" applyBorder="1" applyAlignment="1">
      <alignment horizontal="right" vertical="center"/>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5" fillId="0" borderId="61" applyFont="1" applyFill="1" applyBorder="1" applyAlignment="1">
      <alignment horizontal="center" vertical="center"/>
    </xf>
    <xf numFmtId="0" fontId="41" fillId="0" borderId="62" applyFont="1" applyFill="1" applyBorder="1" applyAlignment="1">
      <alignment horizontal="center" vertical="center"/>
    </xf>
    <xf numFmtId="0" fontId="41" fillId="0" borderId="62" applyFont="1" applyFill="1" applyBorder="1" applyAlignment="1">
      <alignment horizontal="center" vertical="center" wrapText="1"/>
    </xf>
    <xf numFmtId="0" fontId="41" fillId="0" borderId="63" applyFont="1" applyFill="1" applyBorder="1" applyAlignment="1">
      <alignment horizontal="center"/>
    </xf>
    <xf numFmtId="166" fontId="88" fillId="30" borderId="64" applyNumberFormat="1" applyFont="1" applyFill="1" applyBorder="1" applyAlignment="1">
      <alignment horizontal="center"/>
    </xf>
    <xf numFmtId="166" fontId="88" fillId="33" borderId="65" applyNumberFormat="1" applyFont="1" applyFill="1" applyBorder="1" applyAlignment="1">
      <alignment horizontal="center"/>
    </xf>
    <xf numFmtId="166" fontId="88" fillId="30" borderId="65" applyNumberFormat="1" applyFont="1" applyFill="1" applyBorder="1" applyAlignment="1">
      <alignment horizontal="center"/>
    </xf>
    <xf numFmtId="166" fontId="88" fillId="33" borderId="63" applyNumberFormat="1" applyFont="1" applyFill="1" applyBorder="1" applyAlignment="1">
      <alignment horizontal="center"/>
    </xf>
    <xf numFmtId="2" fontId="88" fillId="30" borderId="64" applyNumberFormat="1" applyFont="1" applyFill="1" applyBorder="1" applyAlignment="1">
      <alignment horizontal="center"/>
    </xf>
    <xf numFmtId="2" fontId="88" fillId="33" borderId="65" applyNumberFormat="1" applyFont="1" applyFill="1" applyBorder="1" applyAlignment="1">
      <alignment horizontal="center"/>
    </xf>
    <xf numFmtId="0" fontId="106" fillId="38" borderId="66" applyFont="1" applyFill="1" applyBorder="1"/>
    <xf numFmtId="0" fontId="87" fillId="0" borderId="59" applyNumberFormat="1" applyFont="1" applyFill="1" applyBorder="1" applyAlignment="1">
      <alignment horizontal="left" wrapText="1"/>
    </xf>
    <xf numFmtId="0" fontId="107" fillId="39" borderId="0" applyFont="1" applyFill="1"/>
    <xf numFmtId="49" fontId="55" fillId="36" borderId="67" applyNumberFormat="1" applyFont="1" applyFill="1" applyBorder="1" applyAlignment="1">
      <alignment textRotation="90" wrapText="1"/>
    </xf>
    <xf numFmtId="0" fontId="108" fillId="38" borderId="60" applyFont="1" applyFill="1" applyBorder="1" applyAlignment="1">
      <alignment horizontal="left" vertical="center"/>
    </xf>
    <xf numFmtId="0" fontId="108" fillId="38" borderId="60" applyFont="1" applyFill="1" applyBorder="1" applyAlignment="1">
      <alignment horizontal="right" vertical="center"/>
    </xf>
    <xf numFmtId="0" fontId="109" fillId="38" borderId="68" applyFont="1" applyFill="1" applyBorder="1" applyAlignment="1">
      <alignment horizontal="center" vertical="center"/>
    </xf>
    <xf numFmtId="0" fontId="109" fillId="38" borderId="69" applyFont="1" applyFill="1" applyBorder="1" applyAlignment="1">
      <alignment horizontal="center" vertical="center"/>
    </xf>
    <xf numFmtId="0" fontId="109" fillId="38" borderId="70" applyFont="1" applyFill="1" applyBorder="1" applyAlignment="1">
      <alignment horizontal="center" vertical="center"/>
    </xf>
    <xf numFmtId="0" fontId="108" fillId="40" borderId="60" applyFont="1" applyFill="1" applyBorder="1" applyAlignment="1">
      <alignment horizontal="left" vertical="center"/>
    </xf>
    <xf numFmtId="171" fontId="108" fillId="40" borderId="60" applyNumberFormat="1" applyFont="1" applyFill="1" applyBorder="1" applyAlignment="1">
      <alignment horizontal="left" vertical="center"/>
    </xf>
    <xf numFmtId="0" fontId="108" fillId="40" borderId="60" applyFont="1" applyFill="1" applyBorder="1" applyAlignment="1">
      <alignment horizontal="right" vertical="center"/>
    </xf>
    <xf numFmtId="0" fontId="109" fillId="40" borderId="68" applyFont="1" applyFill="1" applyBorder="1" applyAlignment="1">
      <alignment horizontal="center" vertical="center"/>
    </xf>
    <xf numFmtId="0" fontId="109" fillId="40" borderId="69" applyFont="1" applyFill="1" applyBorder="1" applyAlignment="1">
      <alignment horizontal="center" vertical="center"/>
    </xf>
    <xf numFmtId="0" fontId="109" fillId="40" borderId="70" applyFont="1" applyFill="1" applyBorder="1" applyAlignment="1">
      <alignment horizontal="center" vertical="center"/>
    </xf>
    <xf numFmtId="171" fontId="108" fillId="38" borderId="60" applyNumberFormat="1" applyFont="1" applyFill="1" applyBorder="1" applyAlignment="1">
      <alignment horizontal="left" vertical="center"/>
    </xf>
    <xf numFmtId="0" fontId="110" fillId="0" borderId="0" applyFont="1" applyFill="1" applyBorder="1" applyAlignment="1">
      <alignment horizontal="left" vertical="center"/>
    </xf>
    <xf numFmtId="0" fontId="49" fillId="0" borderId="0" applyFont="1" applyFill="1" applyBorder="1" applyAlignment="1">
      <alignment horizontal="center" vertical="bottom"/>
    </xf>
    <xf numFmtId="0" fontId="88" fillId="30" borderId="59" applyFont="1" applyFill="1" applyBorder="1"/>
    <xf numFmtId="49" fontId="51" fillId="36" borderId="7" applyNumberFormat="1" applyFont="1" applyFill="1" applyBorder="1" applyAlignment="1">
      <alignment horizontal="center" vertical="center"/>
    </xf>
    <xf numFmtId="0" fontId="39" fillId="30" borderId="59" applyFont="1" applyFill="1" applyBorder="1" applyAlignment="1">
      <alignment horizontal="center"/>
    </xf>
    <xf numFmtId="0" fontId="51" fillId="36" borderId="7" applyFont="1" applyFill="1" applyBorder="1" applyAlignment="1">
      <alignment horizontal="center" vertical="center"/>
    </xf>
    <xf numFmtId="0" fontId="83" fillId="30" borderId="59" applyNumberFormat="1" applyFont="1" applyFill="1" applyBorder="1" applyAlignment="1">
      <alignment horizontal="left" wrapText="1"/>
    </xf>
    <xf numFmtId="164" fontId="88" fillId="30" borderId="59" applyNumberFormat="1" applyFont="1" applyFill="1" applyBorder="1" applyAlignment="1">
      <alignment horizontal="right"/>
    </xf>
    <xf numFmtId="1" fontId="83" fillId="0" borderId="59" applyNumberFormat="1" applyFont="1" applyFill="1" applyBorder="1" applyAlignment="1">
      <alignment horizontal="left" wrapText="1"/>
    </xf>
    <xf numFmtId="0" fontId="51" fillId="36" borderId="62" applyFont="1" applyFill="1" applyBorder="1" applyAlignment="1">
      <alignment horizontal="left"/>
    </xf>
    <xf numFmtId="166" fontId="52" fillId="36" borderId="62" applyNumberFormat="1" applyFont="1" applyFill="1" applyBorder="1" applyAlignment="1">
      <alignment horizontal="center"/>
    </xf>
    <xf numFmtId="0" fontId="51" fillId="36" borderId="62" applyFont="1" applyFill="1" applyBorder="1"/>
    <xf numFmtId="0" fontId="88" fillId="0" borderId="59" applyFont="1" applyFill="1" applyBorder="1" applyAlignment="1">
      <alignment horizontal="right"/>
    </xf>
    <xf numFmtId="0" fontId="43" fillId="0" borderId="71" applyFont="1" applyFill="1" applyBorder="1" applyAlignment="1">
      <alignment horizontal="center" vertical="center" wrapText="1"/>
    </xf>
    <xf numFmtId="0" fontId="5" fillId="0" borderId="62" applyFont="1" applyFill="1" applyBorder="1"/>
    <xf numFmtId="0" fontId="5" fillId="0" borderId="72" applyFont="1" applyFill="1" applyBorder="1"/>
    <xf numFmtId="0" fontId="5" fillId="0" borderId="73" applyFont="1" applyFill="1" applyBorder="1"/>
    <xf numFmtId="0" fontId="5" fillId="33" borderId="62" applyFont="1" applyFill="1" applyBorder="1"/>
    <xf numFmtId="0" fontId="5" fillId="33" borderId="72" applyFont="1" applyFill="1" applyBorder="1"/>
    <xf numFmtId="0" fontId="5" fillId="33" borderId="73" applyFont="1" applyFill="1" applyBorder="1"/>
    <xf numFmtId="0" fontId="83" fillId="0" borderId="59" applyNumberFormat="1" applyFont="1" applyFill="1" applyBorder="1" applyAlignment="1">
      <alignment horizontal="left" wrapText="1"/>
    </xf>
    <xf numFmtId="0" fontId="0" fillId="0" borderId="59" applyFont="1" applyFill="1" applyBorder="1"/>
    <xf numFmtId="0" fontId="39" fillId="0" borderId="59" applyFont="1" applyFill="1" applyBorder="1" applyAlignment="1">
      <alignment horizontal="center"/>
    </xf>
    <xf numFmtId="0" fontId="29" fillId="0" borderId="59" applyFont="1" applyFill="1" applyBorder="1" applyAlignment="1">
      <alignment horizontal="center"/>
    </xf>
    <xf numFmtId="0" fontId="82" fillId="0" borderId="74" applyFont="1" applyFill="1" applyBorder="1" applyAlignment="1">
      <alignment horizontal="center"/>
    </xf>
    <xf numFmtId="0" fontId="82" fillId="0" borderId="75" applyFont="1" applyFill="1" applyBorder="1" applyAlignment="1">
      <alignment horizontal="center"/>
    </xf>
    <xf numFmtId="0" fontId="82" fillId="0" borderId="76" applyFont="1" applyFill="1" applyBorder="1" applyAlignment="1">
      <alignment horizontal="center"/>
    </xf>
    <xf numFmtId="0" fontId="82" fillId="33" borderId="77" applyFont="1" applyFill="1" applyBorder="1" applyAlignment="1">
      <alignment horizontal="center"/>
    </xf>
    <xf numFmtId="0" fontId="82" fillId="33" borderId="59" applyFont="1" applyFill="1" applyBorder="1" applyAlignment="1">
      <alignment horizontal="center"/>
    </xf>
    <xf numFmtId="0" fontId="82" fillId="33" borderId="78" applyFont="1" applyFill="1" applyBorder="1" applyAlignment="1">
      <alignment horizontal="center"/>
    </xf>
    <xf numFmtId="0" fontId="82" fillId="0" borderId="77" applyFont="1" applyFill="1" applyBorder="1" applyAlignment="1">
      <alignment horizontal="center"/>
    </xf>
    <xf numFmtId="0" fontId="82" fillId="0" borderId="59" applyFont="1" applyFill="1" applyBorder="1" applyAlignment="1">
      <alignment horizontal="center"/>
    </xf>
    <xf numFmtId="0" fontId="82" fillId="0" borderId="78" applyFont="1" applyFill="1" applyBorder="1" applyAlignment="1">
      <alignment horizontal="center"/>
    </xf>
    <xf numFmtId="0" fontId="82" fillId="33" borderId="79" applyFont="1" applyFill="1" applyBorder="1" applyAlignment="1">
      <alignment horizontal="center"/>
    </xf>
    <xf numFmtId="0" fontId="82" fillId="33" borderId="80" applyFont="1" applyFill="1" applyBorder="1" applyAlignment="1">
      <alignment horizontal="center"/>
    </xf>
    <xf numFmtId="0" fontId="82" fillId="33" borderId="81" applyFont="1" applyFill="1" applyBorder="1" applyAlignment="1">
      <alignment horizontal="center"/>
    </xf>
    <xf numFmtId="0" fontId="0" fillId="0" borderId="59" applyFont="1" applyFill="1" applyBorder="1" applyAlignment="1">
      <alignment horizontal="center"/>
    </xf>
    <xf numFmtId="0" fontId="43" fillId="0" borderId="59" applyFont="1" applyFill="1" applyBorder="1"/>
    <xf numFmtId="0" fontId="111" fillId="38" borderId="68" applyFont="1" applyFill="1" applyBorder="1" applyAlignment="1">
      <alignment horizontal="center" vertical="center"/>
    </xf>
    <xf numFmtId="0" fontId="111" fillId="38" borderId="69" applyFont="1" applyFill="1" applyBorder="1" applyAlignment="1">
      <alignment horizontal="center" vertical="center"/>
    </xf>
    <xf numFmtId="0" fontId="111" fillId="38" borderId="70" applyFont="1" applyFill="1" applyBorder="1" applyAlignment="1">
      <alignment horizontal="center" vertical="center"/>
    </xf>
    <xf numFmtId="0" fontId="111" fillId="40" borderId="68" applyFont="1" applyFill="1" applyBorder="1" applyAlignment="1">
      <alignment horizontal="center" vertical="center"/>
    </xf>
    <xf numFmtId="0" fontId="111" fillId="40" borderId="69" applyFont="1" applyFill="1" applyBorder="1" applyAlignment="1">
      <alignment horizontal="center" vertical="center"/>
    </xf>
    <xf numFmtId="0" fontId="111" fillId="40" borderId="70" applyFont="1" applyFill="1" applyBorder="1" applyAlignment="1">
      <alignment horizontal="center" vertical="center"/>
    </xf>
    <xf numFmtId="170" fontId="0" fillId="0" borderId="59" applyNumberFormat="1" applyFont="1" applyFill="1" applyBorder="1" applyAlignment="1">
      <alignment horizontal="left" vertical="center"/>
    </xf>
    <xf numFmtId="0" fontId="88" fillId="0" borderId="0" applyFont="1" applyFill="1" applyBorder="1" applyAlignment="1">
      <alignment horizontal="center" vertical="bottom"/>
    </xf>
    <xf numFmtId="0" fontId="88" fillId="0" borderId="0" applyFont="1" applyFill="1" applyBorder="1" applyAlignment="1">
      <alignment horizontal="right" vertical="bottom"/>
    </xf>
    <xf numFmtId="0" fontId="82" fillId="0" borderId="59" applyNumberFormat="1" applyFont="1" applyFill="1" applyBorder="1" applyAlignment="1">
      <alignment horizontal="left" wrapText="1"/>
    </xf>
    <xf numFmtId="0" fontId="88" fillId="30" borderId="59" applyFont="1" applyFill="1" applyBorder="1" applyAlignment="1">
      <alignment horizontal="left"/>
    </xf>
    <xf numFmtId="49" fontId="64" fillId="36" borderId="7" applyNumberFormat="1" applyFont="1" applyFill="1" applyBorder="1" applyAlignment="1">
      <alignment horizontal="center"/>
    </xf>
    <xf numFmtId="164" fontId="88" fillId="30" borderId="59" applyNumberFormat="1" applyFont="1" applyFill="1" applyBorder="1" applyAlignment="1">
      <alignment vertical="center"/>
    </xf>
    <xf numFmtId="0" fontId="88" fillId="30" borderId="59" applyFont="1" applyFill="1" applyBorder="1" applyAlignment="1">
      <alignment vertical="center"/>
    </xf>
    <xf numFmtId="0" fontId="45" fillId="0" borderId="59" applyFont="1" applyFill="1" applyBorder="1" applyAlignment="1">
      <alignment vertical="center"/>
    </xf>
    <xf numFmtId="0" fontId="48" fillId="36" borderId="82" applyFont="1" applyFill="1" applyBorder="1" applyAlignment="1">
      <alignment horizontal="center" vertical="center"/>
    </xf>
    <xf numFmtId="0" fontId="50" fillId="0" borderId="59" applyFont="1" applyFill="1" applyBorder="1" applyAlignment="1">
      <alignment horizontal="center"/>
    </xf>
    <xf numFmtId="0" fontId="43" fillId="0" borderId="83" applyFont="1" applyFill="1" applyBorder="1" applyAlignment="1">
      <alignment horizontal="center" vertical="center" wrapText="1"/>
    </xf>
    <xf numFmtId="0" fontId="43" fillId="30" borderId="83" applyFont="1" applyFill="1" applyBorder="1" applyAlignment="1">
      <alignment horizontal="center" vertical="center" wrapText="1"/>
    </xf>
    <xf numFmtId="0" fontId="43" fillId="0" borderId="59" applyFont="1" applyFill="1" applyBorder="1" applyAlignment="1">
      <alignment horizontal="center"/>
    </xf>
    <xf numFmtId="0" fontId="88" fillId="0" borderId="62" applyFont="1" applyFill="1" applyBorder="1"/>
    <xf numFmtId="0" fontId="88" fillId="33" borderId="72" applyFont="1" applyFill="1" applyBorder="1"/>
    <xf numFmtId="0" fontId="88" fillId="0" borderId="72" applyFont="1" applyFill="1" applyBorder="1"/>
    <xf numFmtId="0" fontId="88" fillId="33" borderId="73" applyFont="1" applyFill="1" applyBorder="1"/>
    <xf numFmtId="0" fontId="48" fillId="36" borderId="62" applyFont="1" applyFill="1" applyBorder="1" applyAlignment="1">
      <alignment horizontal="center" vertical="center"/>
    </xf>
    <xf numFmtId="0" fontId="0" fillId="0" borderId="62" applyFont="1" applyFill="1" applyBorder="1"/>
    <xf numFmtId="0" fontId="0" fillId="33" borderId="72" applyFont="1" applyFill="1" applyBorder="1"/>
    <xf numFmtId="0" fontId="0" fillId="0" borderId="72" applyFont="1" applyFill="1" applyBorder="1"/>
    <xf numFmtId="0" fontId="0" fillId="33" borderId="73" applyFont="1" applyFill="1" applyBorder="1"/>
    <xf numFmtId="0" fontId="48" fillId="37" borderId="59" applyFont="1" applyFill="1" applyBorder="1" applyAlignment="1">
      <alignment horizontal="center" vertical="center"/>
    </xf>
    <xf numFmtId="166" fontId="43" fillId="37" borderId="59" applyNumberFormat="1" applyFont="1" applyFill="1" applyBorder="1" applyAlignment="1">
      <alignment horizontal="center"/>
    </xf>
    <xf numFmtId="0" fontId="0" fillId="33" borderId="62" applyFont="1" applyFill="1" applyBorder="1"/>
    <xf numFmtId="0" fontId="0" fillId="33" borderId="74" applyFont="1" applyFill="1" applyBorder="1" applyAlignment="1">
      <alignment horizontal="right" indent="2"/>
    </xf>
    <xf numFmtId="0" fontId="0" fillId="33" borderId="75" applyFont="1" applyFill="1" applyBorder="1" applyAlignment="1">
      <alignment horizontal="right" indent="2"/>
    </xf>
    <xf numFmtId="166" fontId="0" fillId="33" borderId="76" applyNumberFormat="1" applyFont="1" applyFill="1" applyBorder="1" applyAlignment="1">
      <alignment horizontal="right" indent="2"/>
    </xf>
    <xf numFmtId="0" fontId="43" fillId="37" borderId="59" applyFont="1" applyFill="1" applyBorder="1" applyAlignment="1">
      <alignment horizontal="center"/>
    </xf>
    <xf numFmtId="0" fontId="0" fillId="0" borderId="77" applyFont="1" applyFill="1" applyBorder="1" applyAlignment="1">
      <alignment horizontal="right" indent="2"/>
    </xf>
    <xf numFmtId="0" fontId="0" fillId="0" borderId="59" applyFont="1" applyFill="1" applyBorder="1" applyAlignment="1">
      <alignment horizontal="right" indent="2"/>
    </xf>
    <xf numFmtId="166" fontId="0" fillId="0" borderId="78" applyNumberFormat="1" applyFont="1" applyFill="1" applyBorder="1" applyAlignment="1">
      <alignment horizontal="right" indent="2"/>
    </xf>
    <xf numFmtId="1" fontId="88" fillId="37" borderId="59" applyNumberFormat="1" applyFont="1" applyFill="1" applyBorder="1"/>
    <xf numFmtId="0" fontId="0" fillId="33" borderId="77" applyFont="1" applyFill="1" applyBorder="1" applyAlignment="1">
      <alignment horizontal="right" indent="2"/>
    </xf>
    <xf numFmtId="0" fontId="0" fillId="33" borderId="59" applyFont="1" applyFill="1" applyBorder="1" applyAlignment="1">
      <alignment horizontal="right" indent="2"/>
    </xf>
    <xf numFmtId="166" fontId="0" fillId="33" borderId="78" applyNumberFormat="1" applyFont="1" applyFill="1" applyBorder="1" applyAlignment="1">
      <alignment horizontal="right" indent="2"/>
    </xf>
    <xf numFmtId="0" fontId="0" fillId="37" borderId="59" applyFont="1" applyFill="1" applyBorder="1" applyAlignment="1">
      <alignment horizontal="center" vertical="center" wrapText="1"/>
    </xf>
    <xf numFmtId="0" fontId="0" fillId="33" borderId="79" applyFont="1" applyFill="1" applyBorder="1" applyAlignment="1">
      <alignment horizontal="right" indent="2"/>
    </xf>
    <xf numFmtId="0" fontId="0" fillId="33" borderId="80" applyFont="1" applyFill="1" applyBorder="1" applyAlignment="1">
      <alignment horizontal="right" indent="2"/>
    </xf>
    <xf numFmtId="166" fontId="0" fillId="33" borderId="81" applyNumberFormat="1" applyFont="1" applyFill="1" applyBorder="1" applyAlignment="1">
      <alignment horizontal="right" indent="2"/>
    </xf>
    <xf numFmtId="0" fontId="43" fillId="30" borderId="59" applyFont="1" applyFill="1" applyBorder="1" applyAlignment="1">
      <alignment horizontal="right"/>
    </xf>
    <xf numFmtId="0" fontId="48" fillId="36" borderId="62" applyFont="1" applyFill="1" applyBorder="1"/>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40" Type="http://schemas.openxmlformats.org/officeDocument/2006/relationships/worksheet" Target="worksheets/sheet26.xml" />
<Relationship Id="rId34" Type="http://schemas.openxmlformats.org/officeDocument/2006/relationships/worksheet" Target="worksheets/sheet3.xml" />
<Relationship Id="rId38" Type="http://schemas.openxmlformats.org/officeDocument/2006/relationships/worksheet" Target="worksheets/sheet21.xml" />
<Relationship Id="rId35" Type="http://schemas.openxmlformats.org/officeDocument/2006/relationships/worksheet" Target="worksheets/sheet7.xml" />
<Relationship Id="rId33" Type="http://schemas.openxmlformats.org/officeDocument/2006/relationships/worksheet" Target="worksheets/sheet2.xml" />
<Relationship Id="rId37" Type="http://schemas.openxmlformats.org/officeDocument/2006/relationships/worksheet" Target="worksheets/sheet20.xml" />
<Relationship Id="rId41" Type="http://schemas.openxmlformats.org/officeDocument/2006/relationships/sharedStrings" Target="/xl/sharedStrings.xml" />
<Relationship Id="rId32" Type="http://schemas.openxmlformats.org/officeDocument/2006/relationships/worksheet" Target="worksheets/sheet1.xml" />
<Relationship Id="rId39" Type="http://schemas.openxmlformats.org/officeDocument/2006/relationships/worksheet" Target="worksheets/sheet23.xml" />
<Relationship Id="rId42" Type="http://schemas.openxmlformats.org/officeDocument/2006/relationships/styles" Target="/xl/styles.xml" />
<Relationship Id="rId36" Type="http://schemas.openxmlformats.org/officeDocument/2006/relationships/worksheet" Target="worksheets/sheet9.xml" />
<Relationship Id="rId43" Type="http://schemas.openxmlformats.org/officeDocument/2006/relationships/theme" Target="/xl/theme/theme1.xml" />
<Relationship Id="rId31" Type="http://schemas.openxmlformats.org/officeDocument/2006/relationships/worksheet" Target="worksheets/sheet28.xml" />
<Relationship Id="rId30" Type="http://schemas.openxmlformats.org/officeDocument/2006/relationships/worksheet" Target="worksheets/sheet32.xml" />
<Relationship Id="rId29" Type="http://schemas.openxmlformats.org/officeDocument/2006/relationships/worksheet" Target="worksheets/sheet36.xml" />
<Relationship Id="rId28" Type="http://schemas.openxmlformats.org/officeDocument/2006/relationships/worksheet" Target="worksheets/sheet40.xml" />
<Relationship Id="rId27" Type="http://schemas.openxmlformats.org/officeDocument/2006/relationships/worksheet" Target="worksheets/sheet44.xml" />
<Relationship Id="rId26" Type="http://schemas.openxmlformats.org/officeDocument/2006/relationships/worksheet" Target="worksheets/sheet48.xml" />
<Relationship Id="rId25" Type="http://schemas.openxmlformats.org/officeDocument/2006/relationships/worksheet" Target="worksheets/sheet52.xml" />
<Relationship Id="rId24" Type="http://schemas.openxmlformats.org/officeDocument/2006/relationships/worksheet" Target="worksheets/sheet56.xml" />
<Relationship Id="rId23" Type="http://schemas.openxmlformats.org/officeDocument/2006/relationships/worksheet" Target="worksheets/sheet59.xml" />
<Relationship Id="rId22" Type="http://schemas.openxmlformats.org/officeDocument/2006/relationships/worksheet" Target="worksheets/sheet62.xml" />
<Relationship Id="rId21" Type="http://schemas.openxmlformats.org/officeDocument/2006/relationships/worksheet" Target="worksheets/sheet65.xml" />
<Relationship Id="rId20" Type="http://schemas.openxmlformats.org/officeDocument/2006/relationships/worksheet" Target="worksheets/sheet69.xml" />
<Relationship Id="rId19" Type="http://schemas.openxmlformats.org/officeDocument/2006/relationships/worksheet" Target="worksheets/sheet73.xml" />
<Relationship Id="rId18" Type="http://schemas.openxmlformats.org/officeDocument/2006/relationships/worksheet" Target="worksheets/sheet77.xml" />
<Relationship Id="rId17" Type="http://schemas.openxmlformats.org/officeDocument/2006/relationships/worksheet" Target="worksheets/sheet80.xml" />
<Relationship Id="rId16" Type="http://schemas.openxmlformats.org/officeDocument/2006/relationships/worksheet" Target="worksheets/sheet84.xml" />
<Relationship Id="rId15" Type="http://schemas.openxmlformats.org/officeDocument/2006/relationships/worksheet" Target="worksheets/sheet88.xml" />
<Relationship Id="rId14" Type="http://schemas.openxmlformats.org/officeDocument/2006/relationships/worksheet" Target="worksheets/sheet92.xml" />
<Relationship Id="rId13" Type="http://schemas.openxmlformats.org/officeDocument/2006/relationships/worksheet" Target="worksheets/sheet95.xml" />
<Relationship Id="rId12" Type="http://schemas.openxmlformats.org/officeDocument/2006/relationships/worksheet" Target="worksheets/sheet98.xml" />
<Relationship Id="rId11" Type="http://schemas.openxmlformats.org/officeDocument/2006/relationships/worksheet" Target="worksheets/sheet101.xml" />
<Relationship Id="rId10" Type="http://schemas.openxmlformats.org/officeDocument/2006/relationships/worksheet" Target="worksheets/sheet104.xml" />
<Relationship Id="rId9" Type="http://schemas.openxmlformats.org/officeDocument/2006/relationships/worksheet" Target="worksheets/sheet107.xml" />
<Relationship Id="rId8" Type="http://schemas.openxmlformats.org/officeDocument/2006/relationships/worksheet" Target="worksheets/sheet110.xml" />
<Relationship Id="rId7" Type="http://schemas.openxmlformats.org/officeDocument/2006/relationships/worksheet" Target="worksheets/sheet113.xml" />
<Relationship Id="rId6" Type="http://schemas.openxmlformats.org/officeDocument/2006/relationships/worksheet" Target="worksheets/sheet116.xml" />
<Relationship Id="rId5" Type="http://schemas.openxmlformats.org/officeDocument/2006/relationships/worksheet" Target="worksheets/sheet119.xml" />
<Relationship Id="rId4" Type="http://schemas.openxmlformats.org/officeDocument/2006/relationships/worksheet" Target="worksheets/sheet122.xml" />
<Relationship Id="rId3" Type="http://schemas.openxmlformats.org/officeDocument/2006/relationships/worksheet" Target="worksheets/sheet126.xml" />
<Relationship Id="rId2" Type="http://schemas.openxmlformats.org/officeDocument/2006/relationships/worksheet" Target="worksheets/sheet130.xml" />
<Relationship Id="rId1" Type="http://schemas.openxmlformats.org/officeDocument/2006/relationships/worksheet" Target="worksheets/sheet133.xml" />
</Relationships>
</file>

<file path=xl/charts/chart13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107.624402135926</v>
                </pt>
                <pt idx="0">
                  <v>109.195167340669</v>
                </pt>
                <pt idx="0">
                  <v>108.65356479701</v>
                </pt>
                <pt idx="0">
                  <v>112.361486388336</v>
                </pt>
                <pt idx="0">
                  <v>119.35646684595</v>
                </pt>
                <pt idx="0">
                  <v>114.927495024138</v>
                </pt>
                <pt idx="0">
                  <v>104.980349777941</v>
                </pt>
                <pt idx="0">
                  <v>107.272974274763</v>
                </pt>
                <pt idx="0">
                  <v>96.2694777780437</v>
                </pt>
                <pt idx="0">
                  <v>111.653123184376</v>
                </pt>
                <pt idx="0">
                  <v>123.372951271102</v>
                </pt>
                <pt idx="0">
                  <v>121.103980064371</v>
                </pt>
                <pt idx="0">
                  <v>115.001532276943</v>
                </pt>
                <pt idx="0">
                  <v>105.573650660584</v>
                </pt>
                <pt idx="0">
                  <v>104.370897919285</v>
                </pt>
                <pt idx="0">
                  <v>105.699958964266</v>
                </pt>
                <pt idx="0">
                  <v>108.798611586857</v>
                </pt>
                <pt idx="0">
                  <v>112.925771701565</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87.1047088420985</v>
                </pt>
                <pt idx="0">
                  <v>91.2705673360539</v>
                </pt>
                <pt idx="0">
                  <v>87.2153093513678</v>
                </pt>
                <pt idx="0">
                  <v>83.7918482530169</v>
                </pt>
                <pt idx="0">
                  <v>80.7537444829319</v>
                </pt>
                <pt idx="0">
                  <v>76.6062704747652</v>
                </pt>
                <pt idx="0">
                  <v>76.4980949571783</v>
                </pt>
                <pt idx="0">
                  <v>76.3333109333658</v>
                </pt>
                <pt idx="0">
                  <v>83.2187731505975</v>
                </pt>
                <pt idx="0">
                  <v>72.9688194468745</v>
                </pt>
                <pt idx="0">
                  <v>72.9538163633215</v>
                </pt>
                <pt idx="0">
                  <v>63.4786804360452</v>
                </pt>
                <pt idx="0">
                  <v>75.5755014134108</v>
                </pt>
                <pt idx="0">
                  <v>76.318113458172</v>
                </pt>
                <pt idx="0">
                  <v>78.1289379174968</v>
                </pt>
                <pt idx="0">
                  <v>76.6745014399059</v>
                </pt>
                <pt idx="0">
                  <v>78.2904311448475</v>
                </pt>
                <pt idx="0">
                  <v>79.592486632013</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93.745922123474</v>
                </pt>
                <pt idx="0">
                  <v>99.6630487354239</v>
                </pt>
                <pt idx="0">
                  <v>94.762542658942</v>
                </pt>
                <pt idx="0">
                  <v>94.1497661693258</v>
                </pt>
                <pt idx="0">
                  <v>96.3848162606144</v>
                </pt>
                <pt idx="0">
                  <v>88.0416676880804</v>
                </pt>
                <pt idx="0">
                  <v>80.3079676595695</v>
                </pt>
                <pt idx="0">
                  <v>81.885013000609</v>
                </pt>
                <pt idx="0">
                  <v>80.1142783253729</v>
                </pt>
                <pt idx="0">
                  <v>81.4719658631548</v>
                </pt>
                <pt idx="0">
                  <v>90.0052763123709</v>
                </pt>
                <pt idx="0">
                  <v>76.8752085004379</v>
                </pt>
                <pt idx="0">
                  <v>86.9129846514391</v>
                </pt>
                <pt idx="0">
                  <v>80.5718184930746</v>
                </pt>
                <pt idx="0">
                  <v>81.5438740393105</v>
                </pt>
                <pt idx="0">
                  <v>81.0449165580756</v>
                </pt>
                <pt idx="0">
                  <v>85.1789020909381</v>
                </pt>
                <pt idx="0">
                  <v>89.880429745733</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28"/>
          <min val="5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-1.95203980137623</v>
                </pt>
                <pt idx="0">
                  <v>0.936658310455111</v>
                </pt>
                <pt idx="0">
                  <v>-3.45090302059542</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10.5157321940152</v>
                </pt>
                <pt idx="0">
                  <v>9.96223145674446</v>
                </pt>
                <pt idx="0">
                  <v>10.1682401640433</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6"/>
          <min val="-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8"/>
          <min val="58"/>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3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267"/>
          <min val="145"/>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0.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June</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106.611570247922</v>
                </pt>
                <pt idx="0">
                  <v>123.96396396406</v>
                </pt>
                <pt idx="0">
                  <v>136.818181818113</v>
                </pt>
                <pt idx="0">
                  <v>130.303030303113</v>
                </pt>
                <pt idx="0">
                  <v>131.509539842912</v>
                </pt>
                <pt idx="0">
                  <v>109.378456093781</v>
                </pt>
                <pt idx="0">
                  <v>107.680976430923</v>
                </pt>
                <pt idx="0">
                  <v>123.032904148847</v>
                </pt>
                <pt idx="0">
                  <v>103.494272872244</v>
                </pt>
                <pt idx="0">
                  <v>95.057128663739</v>
                </pt>
                <pt idx="0">
                  <v>117.990932951604</v>
                </pt>
                <pt idx="0">
                  <v>121.365277321886</v>
                </pt>
                <pt idx="0">
                  <v>110.075484082641</v>
                </pt>
                <pt idx="0">
                  <v>112.897932392452</v>
                </pt>
                <pt idx="0">
                  <v>121.187180446476</v>
                </pt>
                <pt idx="0">
                  <v>110.05674272602</v>
                </pt>
                <pt idx="0">
                  <v>126.030799801362</v>
                </pt>
                <pt idx="0">
                  <v>115.716870194461</v>
                </pt>
                <pt idx="0">
                  <v>108.303817394763</v>
                </pt>
                <pt idx="0">
                  <v>103.452708907297</v>
                </pt>
                <pt idx="0">
                  <v>102.662993572127</v>
                </pt>
                <pt idx="0">
                  <v>77.9982927870098</v>
                </pt>
                <pt idx="0">
                  <v>80.6637806637679</v>
                </pt>
                <pt idx="0">
                  <v>93.6740678676715</v>
                </pt>
                <pt idx="0">
                  <v>122.63814616758</v>
                </pt>
                <pt idx="0">
                  <v>132.492997198933</v>
                </pt>
                <pt idx="0">
                  <v>120.744120744151</v>
                </pt>
                <pt idx="0">
                  <v>113.668600902708</v>
                </pt>
                <pt idx="0">
                  <v>126.13809326133</v>
                </pt>
                <pt idx="0">
                  <v>139.079918354507</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Month'!$C$38:$AF$38</f>
              <numCache>
                <formatCode>General</formatCode>
                <ptCount val="30"/>
                <pt idx="0">
                  <v>82.6603801203304</v>
                </pt>
                <pt idx="0">
                  <v>73.6818896051223</v>
                </pt>
                <pt idx="0">
                  <v>76.6938031051203</v>
                </pt>
                <pt idx="0">
                  <v>73.396461155666</v>
                </pt>
                <pt idx="0">
                  <v>70.1585279790695</v>
                </pt>
                <pt idx="0">
                  <v>82.7415439436804</v>
                </pt>
                <pt idx="0">
                  <v>84.1900174055264</v>
                </pt>
                <pt idx="0">
                  <v>64.8825752774208</v>
                </pt>
                <pt idx="0">
                  <v>69.2022670262472</v>
                </pt>
                <pt idx="0">
                  <v>87.9521821404961</v>
                </pt>
                <pt idx="0">
                  <v>81.1240838515329</v>
                </pt>
                <pt idx="0">
                  <v>83.0447675208705</v>
                </pt>
                <pt idx="0">
                  <v>95.9531903852859</v>
                </pt>
                <pt idx="0">
                  <v>88.7087327712489</v>
                </pt>
                <pt idx="0">
                  <v>62.455082412955</v>
                </pt>
                <pt idx="0">
                  <v>64.3910888057019</v>
                </pt>
                <pt idx="0">
                  <v>75.5428465700775</v>
                </pt>
                <pt idx="0">
                  <v>69.1989103730397</v>
                </pt>
                <pt idx="0">
                  <v>70.6298341578921</v>
                </pt>
                <pt idx="0">
                  <v>91.32282178017</v>
                </pt>
                <pt idx="0">
                  <v>88.7489020704367</v>
                </pt>
                <pt idx="0">
                  <v>106.573695022442</v>
                </pt>
                <pt idx="0">
                  <v>114.010009454457</v>
                </pt>
                <pt idx="0">
                  <v>107.370321733398</v>
                </pt>
                <pt idx="0">
                  <v>91.2996889466027</v>
                </pt>
                <pt idx="0">
                  <v>76.5098718130687</v>
                </pt>
                <pt idx="0">
                  <v>78.7903025492421</v>
                </pt>
                <pt idx="0">
                  <v>77.629728199649</v>
                </pt>
                <pt idx="0">
                  <v>70.3933317436874</v>
                </pt>
                <pt idx="0">
                  <v>69.9526382932364</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Month'!$C$48:$AF$48</f>
              <numCache>
                <formatCode>General</formatCode>
                <ptCount val="30"/>
                <pt idx="0">
                  <v>88.1255292192018</v>
                </pt>
                <pt idx="0">
                  <v>91.338991078082</v>
                </pt>
                <pt idx="0">
                  <v>104.931066975695</v>
                </pt>
                <pt idx="0">
                  <v>95.6378130209665</v>
                </pt>
                <pt idx="0">
                  <v>92.2651573058402</v>
                </pt>
                <pt idx="0">
                  <v>90.5014233137813</v>
                </pt>
                <pt idx="0">
                  <v>90.6566327996831</v>
                </pt>
                <pt idx="0">
                  <v>79.826916650343</v>
                </pt>
                <pt idx="0">
                  <v>71.6203830699577</v>
                </pt>
                <pt idx="0">
                  <v>83.604818939824</v>
                </pt>
                <pt idx="0">
                  <v>95.7190633848742</v>
                </pt>
                <pt idx="0">
                  <v>100.787512403093</v>
                </pt>
                <pt idx="0">
                  <v>105.620938809398</v>
                </pt>
                <pt idx="0">
                  <v>100.150325150326</v>
                </pt>
                <pt idx="0">
                  <v>75.687553421756</v>
                </pt>
                <pt idx="0">
                  <v>70.8667349454168</v>
                </pt>
                <pt idx="0">
                  <v>95.207253724896</v>
                </pt>
                <pt idx="0">
                  <v>80.0748132923752</v>
                </pt>
                <pt idx="0">
                  <v>76.4948066125574</v>
                </pt>
                <pt idx="0">
                  <v>94.475932982148</v>
                </pt>
                <pt idx="0">
                  <v>91.1122796278687</v>
                </pt>
                <pt idx="0">
                  <v>83.1256626775454</v>
                </pt>
                <pt idx="0">
                  <v>91.9647839610941</v>
                </pt>
                <pt idx="0">
                  <v>100.578148050218</v>
                </pt>
                <pt idx="0">
                  <v>111.968245980809</v>
                </pt>
                <pt idx="0">
                  <v>101.37022231815</v>
                </pt>
                <pt idx="0">
                  <v>95.1346580447291</v>
                </pt>
                <pt idx="0">
                  <v>88.2406259290721</v>
                </pt>
                <pt idx="0">
                  <v>88.7928064446549</v>
                </pt>
                <pt idx="0">
                  <v>97.290072225091</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Month'!$C$60:$AF$60</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44"/>
          <min val="5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'Comp_2'!$C$23:$T$23</f>
              <numCache>
                <formatCode>General</formatCode>
                <ptCount val="18"/>
                <pt idx="0">
                  <v>108.884769559931</v>
                </pt>
                <pt idx="0">
                  <v>106.038702133083</v>
                </pt>
                <pt idx="0">
                  <v>105.311496788639</v>
                </pt>
                <pt idx="0">
                  <v>109.579007735844</v>
                </pt>
                <pt idx="0">
                  <v>102.937716179511</v>
                </pt>
                <pt idx="0">
                  <v>103.313188917728</v>
                </pt>
                <pt idx="0">
                  <v>102.610576682336</v>
                </pt>
                <pt idx="0">
                  <v>112.480648235517</v>
                </pt>
                <pt idx="0">
                  <v>110.301834387698</v>
                </pt>
                <pt idx="0">
                  <v>107.243365240929</v>
                </pt>
                <pt idx="0">
                  <v>112.248046491153</v>
                </pt>
                <pt idx="0">
                  <v>107.469232078479</v>
                </pt>
                <pt idx="0">
                  <v>104.061000424768</v>
                </pt>
                <pt idx="0">
                  <v>100.747953759773</v>
                </pt>
                <pt idx="0">
                  <v>103.583948077103</v>
                </pt>
                <pt idx="0">
                  <v>105.004701737654</v>
                </pt>
                <pt idx="0">
                  <v>98.4178358057773</v>
                </pt>
                <pt idx="0">
                  <v>100.569843900876</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'Comp_2'!$C$35:$T$35</f>
              <numCache>
                <formatCode>General</formatCode>
                <ptCount val="18"/>
                <pt idx="0">
                  <v>98.8426736539897</v>
                </pt>
                <pt idx="0">
                  <v>99.9967430051389</v>
                </pt>
                <pt idx="0">
                  <v>101.82347744308</v>
                </pt>
                <pt idx="0">
                  <v>99.2747297790851</v>
                </pt>
                <pt idx="0">
                  <v>98.8811386402437</v>
                </pt>
                <pt idx="0">
                  <v>93.7658375620207</v>
                </pt>
                <pt idx="0">
                  <v>101.635720312509</v>
                </pt>
                <pt idx="0">
                  <v>101.827747962597</v>
                </pt>
                <pt idx="0">
                  <v>99.0246480226816</v>
                </pt>
                <pt idx="0">
                  <v>88.8639712658842</v>
                </pt>
                <pt idx="0">
                  <v>100.479752676547</v>
                </pt>
                <pt idx="0">
                  <v>98.2745585667919</v>
                </pt>
                <pt idx="0">
                  <v>100.328621127114</v>
                </pt>
                <pt idx="0">
                  <v>95.6486165337832</v>
                </pt>
                <pt idx="0">
                  <v>98.5868623701138</v>
                </pt>
                <pt idx="0">
                  <v>99.6739373970802</v>
                </pt>
                <pt idx="0">
                  <v>96.1936047844699</v>
                </pt>
                <pt idx="0">
                  <v>91.5546595944495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'Comp_2'!$C$47:$T$47</f>
              <numCache>
                <formatCode>General</formatCode>
                <ptCount val="18"/>
                <pt idx="0">
                  <v>107.624617435012</v>
                </pt>
                <pt idx="0">
                  <v>106.035248458073</v>
                </pt>
                <pt idx="0">
                  <v>107.231828177569</v>
                </pt>
                <pt idx="0">
                  <v>108.784263824339</v>
                </pt>
                <pt idx="0">
                  <v>101.785985848588</v>
                </pt>
                <pt idx="0">
                  <v>96.87247690075</v>
                </pt>
                <pt idx="0">
                  <v>104.288998727982</v>
                </pt>
                <pt idx="0">
                  <v>114.536510991994</v>
                </pt>
                <pt idx="0">
                  <v>109.226003264955</v>
                </pt>
                <pt idx="0">
                  <v>95.3007132722823</v>
                </pt>
                <pt idx="0">
                  <v>112.786559498488</v>
                </pt>
                <pt idx="0">
                  <v>105.614913420315</v>
                </pt>
                <pt idx="0">
                  <v>104.402966857234</v>
                </pt>
                <pt idx="0">
                  <v>96.3640239573196</v>
                </pt>
                <pt idx="0">
                  <v>102.120164328269</v>
                </pt>
                <pt idx="0">
                  <v>104.662320673994</v>
                </pt>
                <pt idx="0">
                  <v>94.6716640124443</v>
                </pt>
                <pt idx="0">
                  <v>92.076378238061</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'Comp_2'!$C$20:$T$20</f>
            </multiLvlStrRef>
          </cat>
          <val>
            <numRef>
              <f>'Comp_2'!$C$60:$T$60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20"/>
          <min val="8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'Comp_2'!$X$50,'Comp_2'!$AB$50,'Comp_2'!$AF$50</f>
              <numCache>
                <formatCode>General</formatCode>
                <ptCount val="3"/>
                <pt idx="0">
                  <v>-1.95203980137623</v>
                </pt>
                <pt idx="0">
                  <v>0.936658310455111</v>
                </pt>
                <pt idx="0">
                  <v>-3.45090302059542</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'Comp_2'!$B$67:$B$69</f>
            </multiLvlStrRef>
          </cat>
          <val>
            <numRef>
              <f>'Comp_2'!$X$51,'Comp_2'!$AB$51,'Comp_2'!$AF$51</f>
              <numCache>
                <formatCode>General</formatCode>
                <ptCount val="3"/>
                <pt idx="0">
                  <v>4.06552943451758</v>
                </pt>
                <pt idx="0">
                  <v>6.43960434157084</v>
                </pt>
                <pt idx="0">
                  <v>2.70325265172664</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1"/>
          <min val="-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99"/>
          <min val="64"/>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Week_2'!$X$13:$AF$13</f>
            </multiLvlStrRef>
          </cat>
          <val>
            <numRef>
              <f>'Day of Week_2'!$X$17:$AF$17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232"/>
          <min val="145"/>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14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June</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Month_2'!$C$28:$AF$28</f>
              <numCache>
                <formatCode>General</formatCode>
                <ptCount val="30"/>
                <pt idx="0">
                  <v>86.9528619528633</v>
                </pt>
                <pt idx="0">
                  <v>97.5448536355462</v>
                </pt>
                <pt idx="0">
                  <v>102.393089776267</v>
                </pt>
                <pt idx="0">
                  <v>94.8576675850119</v>
                </pt>
                <pt idx="0">
                  <v>113.281218560099</v>
                </pt>
                <pt idx="0">
                  <v>103.682272029057</v>
                </pt>
                <pt idx="0">
                  <v>100.460102644591</v>
                </pt>
                <pt idx="0">
                  <v>119.064084831702</v>
                </pt>
                <pt idx="0">
                  <v>93.0570026916733</v>
                </pt>
                <pt idx="0">
                  <v>78.8779642403308</v>
                </pt>
                <pt idx="0">
                  <v>98.3565159794416</v>
                </pt>
                <pt idx="0">
                  <v>103.86036288812</v>
                </pt>
                <pt idx="0">
                  <v>96.5837169159907</v>
                </pt>
                <pt idx="0">
                  <v>98.7477296625629</v>
                </pt>
                <pt idx="0">
                  <v>123.853026058832</v>
                </pt>
                <pt idx="0">
                  <v>115.052746606116</v>
                </pt>
                <pt idx="0">
                  <v>127.72329100128</v>
                </pt>
                <pt idx="0">
                  <v>114.971006359897</v>
                </pt>
                <pt idx="0">
                  <v>101.902031505309</v>
                </pt>
                <pt idx="0">
                  <v>102.210791866816</v>
                </pt>
                <pt idx="0">
                  <v>100.92742905244</v>
                </pt>
                <pt idx="0">
                  <v>70.764829142463</v>
                </pt>
                <pt idx="0">
                  <v>67.8232323232507</v>
                </pt>
                <pt idx="0">
                  <v>70.2427032116435</v>
                </pt>
                <pt idx="0">
                  <v>104.20983199472</v>
                </pt>
                <pt idx="0">
                  <v>125.585764809904</v>
                </pt>
                <pt idx="0">
                  <v>100.437530384109</v>
                </pt>
                <pt idx="0">
                  <v>98.2212430426821</v>
                </pt>
                <pt idx="0">
                  <v>106.898234926556</v>
                </pt>
                <pt idx="0">
                  <v>128.557102121792</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Month_2'!$C$38:$AF$38</f>
              <numCache>
                <formatCode>General</formatCode>
                <ptCount val="30"/>
                <pt idx="0">
                  <v>89.4705940986159</v>
                </pt>
                <pt idx="0">
                  <v>87.4534052678699</v>
                </pt>
                <pt idx="0">
                  <v>94.708155863776</v>
                </pt>
                <pt idx="0">
                  <v>92.3476376111232</v>
                </pt>
                <pt idx="0">
                  <v>84.5385429288091</v>
                </pt>
                <pt idx="0">
                  <v>95.464399595593</v>
                </pt>
                <pt idx="0">
                  <v>97.2978775131622</v>
                </pt>
                <pt idx="0">
                  <v>77.7900024637724</v>
                </pt>
                <pt idx="0">
                  <v>80.5356274391153</v>
                </pt>
                <pt idx="0">
                  <v>92.1054217311057</v>
                </pt>
                <pt idx="0">
                  <v>82.0688040786236</v>
                </pt>
                <pt idx="0">
                  <v>80.781906442065</v>
                </pt>
                <pt idx="0">
                  <v>98.7988202130795</v>
                </pt>
                <pt idx="0">
                  <v>97.5033187088085</v>
                </pt>
                <pt idx="0">
                  <v>89.8598591810477</v>
                </pt>
                <pt idx="0">
                  <v>89.8299375764888</v>
                </pt>
                <pt idx="0">
                  <v>102.004783414983</v>
                </pt>
                <pt idx="0">
                  <v>92.708506855096</v>
                </pt>
                <pt idx="0">
                  <v>89.3458179502555</v>
                </pt>
                <pt idx="0">
                  <v>110.06779088714</v>
                </pt>
                <pt idx="0">
                  <v>96.8238239960839</v>
                </pt>
                <pt idx="0">
                  <v>95.7879820303313</v>
                </pt>
                <pt idx="0">
                  <v>96.6749523980052</v>
                </pt>
                <pt idx="0">
                  <v>93.4513373562619</v>
                </pt>
                <pt idx="0">
                  <v>90.6148978190825</v>
                </pt>
                <pt idx="0">
                  <v>98.1354916663171</v>
                </pt>
                <pt idx="0">
                  <v>97.3428638694658</v>
                </pt>
                <pt idx="0">
                  <v>98.2255152479304</v>
                </pt>
                <pt idx="0">
                  <v>98.7013677794816</v>
                </pt>
                <pt idx="0">
                  <v>94.2270486075462</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Month_2'!$C$48:$AF$48</f>
              <numCache>
                <formatCode>General</formatCode>
                <ptCount val="30"/>
                <pt idx="0">
                  <v>77.7972421749737</v>
                </pt>
                <pt idx="0">
                  <v>85.3062961678097</v>
                </pt>
                <pt idx="0">
                  <v>96.9746070590242</v>
                </pt>
                <pt idx="0">
                  <v>87.5988151076966</v>
                </pt>
                <pt idx="0">
                  <v>95.7662915827525</v>
                </pt>
                <pt idx="0">
                  <v>98.9796584795491</v>
                </pt>
                <pt idx="0">
                  <v>97.7455476207429</v>
                </pt>
                <pt idx="0">
                  <v>92.6199545240836</v>
                </pt>
                <pt idx="0">
                  <v>74.9440409937508</v>
                </pt>
                <pt idx="0">
                  <v>72.6508816164801</v>
                </pt>
                <pt idx="0">
                  <v>80.7200163977654</v>
                </pt>
                <pt idx="0">
                  <v>83.9003811786739</v>
                </pt>
                <pt idx="0">
                  <v>95.4235728309271</v>
                </pt>
                <pt idx="0">
                  <v>96.2823135706281</v>
                </pt>
                <pt idx="0">
                  <v>111.294154807951</v>
                </pt>
                <pt idx="0">
                  <v>103.351810456346</v>
                </pt>
                <pt idx="0">
                  <v>130.283866356403</v>
                </pt>
                <pt idx="0">
                  <v>106.587903312536</v>
                </pt>
                <pt idx="0">
                  <v>91.0452035563089</v>
                </pt>
                <pt idx="0">
                  <v>112.501160656065</v>
                </pt>
                <pt idx="0">
                  <v>97.721796269511</v>
                </pt>
                <pt idx="0">
                  <v>67.7842018228156</v>
                </pt>
                <pt idx="0">
                  <v>65.568077563257</v>
                </pt>
                <pt idx="0">
                  <v>65.6427455464756</v>
                </pt>
                <pt idx="0">
                  <v>94.4296327794191</v>
                </pt>
                <pt idx="0">
                  <v>123.244207759188</v>
                </pt>
                <pt idx="0">
                  <v>97.7687684756283</v>
                </pt>
                <pt idx="0">
                  <v>96.4783220615807</v>
                </pt>
                <pt idx="0">
                  <v>105.510020004681</v>
                </pt>
                <pt idx="0">
                  <v>121.135563104678</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Month_2'!$C$60:$AF$60</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135"/>
          <min val="6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140" Type="http://schemas.openxmlformats.org/officeDocument/2006/relationships/chart" Target="/xl/charts/chart136.xml" />
<Relationship Id="rId141" Type="http://schemas.openxmlformats.org/officeDocument/2006/relationships/chart" Target="/xl/charts/chart137.xml" />
</Relationships>
</file>

<file path=xl/drawings/_rels/drawing82.xml.rels><?xml version="1.0" encoding="utf-8" standalone="yes" ?>
<Relationships xmlns="http://schemas.openxmlformats.org/package/2006/relationships">
<Relationship Id="rId145" Type="http://schemas.openxmlformats.org/officeDocument/2006/relationships/chart" Target="/xl/charts/chart141.xml" />
<Relationship Id="rId146" Type="http://schemas.openxmlformats.org/officeDocument/2006/relationships/chart" Target="/xl/charts/chart142.xml" />
</Relationships>
</file>

<file path=xl/drawings/_rels/drawing87.xml.rels><?xml version="1.0" encoding="utf-8" standalone="yes" ?>
<Relationships xmlns="http://schemas.openxmlformats.org/package/2006/relationships">
<Relationship Id="rId142" Type="http://schemas.openxmlformats.org/officeDocument/2006/relationships/chart" Target="/xl/charts/chart138.xml" />
<Relationship Id="rId143" Type="http://schemas.openxmlformats.org/officeDocument/2006/relationships/chart" Target="/xl/charts/chart139.xml" />
</Relationships>
</file>

<file path=xl/drawings/_rels/drawing90.xml.rels><?xml version="1.0" encoding="utf-8" standalone="yes" ?>
<Relationships xmlns="http://schemas.openxmlformats.org/package/2006/relationships">
<Relationship Id="rId147" Type="http://schemas.openxmlformats.org/officeDocument/2006/relationships/chart" Target="/xl/charts/chart143.xml" />
<Relationship Id="rId148" Type="http://schemas.openxmlformats.org/officeDocument/2006/relationships/chart" Target="/xl/charts/chart144.xml" />
</Relationships>
</file>

<file path=xl/drawings/_rels/drawing91.xml.rels><?xml version="1.0" encoding="utf-8" standalone="yes" ?>
<Relationships xmlns="http://schemas.openxmlformats.org/package/2006/relationships">
<Relationship Id="rId144" Type="http://schemas.openxmlformats.org/officeDocument/2006/relationships/chart" Target="/xl/charts/chart140.xml" />
</Relationships>
</file>

<file path=xl/drawings/_rels/drawing94.xml.rels><?xml version="1.0" encoding="utf-8" standalone="yes" ?>
<Relationships xmlns="http://schemas.openxmlformats.org/package/2006/relationships">
<Relationship Id="rId149" Type="http://schemas.openxmlformats.org/officeDocument/2006/relationships/chart" Target="/xl/charts/chart14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0"/>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1"/>
        </a:graphicData>
      </a:graphic>
    </xdr:graphicFrame>
    <xdr:clientData/>
  </xdr:oneCellAnchor>
</xdr:wsDr>
</file>

<file path=xl/drawings/drawing3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6"/>
        </a:graphicData>
      </a:graphic>
    </xdr:graphicFrame>
    <xdr:clientData/>
  </xdr:oneCellAnchor>
</xdr:wsDr>
</file>

<file path=xl/drawings/drawing8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2"/>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3"/>
        </a:graphicData>
      </a:graphic>
    </xdr:graphicFrame>
    <xdr:clientData/>
  </xdr:twoCellAnchor>
</xdr:wsDr>
</file>

<file path=xl/drawings/drawing9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7"/>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8"/>
        </a:graphicData>
      </a:graphic>
    </xdr:graphicFrame>
    <xdr:clientData/>
  </xdr:twoCellAnchor>
</xdr:wsDr>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32</xdr:col>
      <xdr:colOff>155575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4"/>
        </a:graphicData>
      </a:graphic>
    </xdr:graphicFrame>
    <xdr:clientData/>
  </xdr:twoCellAnchor>
</xdr:wsDr>
</file>

<file path=xl/drawings/drawing9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32</xdr:col>
      <xdr:colOff>155575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49"/>
        </a:graphicData>
      </a:graphic>
    </xdr:graphicFrame>
    <xdr:clientData/>
  </xdr:twoCellAnchor>
</xdr:wsDr>
</file>

<file path=xl/drawings/drawing9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0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1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2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1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 Id="rId76" Type="http://schemas.openxmlformats.org/officeDocument/2006/relationships/drawing" Target="../drawings/drawing72.xml"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 Id="rId80" Type="http://schemas.openxmlformats.org/officeDocument/2006/relationships/drawing" Target="../drawings/drawing76.xml"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91" Type="http://schemas.openxmlformats.org/officeDocument/2006/relationships/drawing" Target="../drawings/drawing87.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95" Type="http://schemas.openxmlformats.org/officeDocument/2006/relationships/drawing" Target="../drawings/drawing91.xml" />
</Relationships>
</file>

<file path=xl/worksheets/_rels/sheet20.xml.rels><?xml version="1.0" encoding="utf-8" standalone="yes" ?>
<Relationships xmlns="http://schemas.openxmlformats.org/package/2006/relationships">
<Relationship Id="rId1" Type="http://schemas.openxmlformats.org/officeDocument/2006/relationships/printerSettings" Target="../printerSettings/printerSettings20.bin" />
<Relationship Id="rId129" Type="http://schemas.openxmlformats.org/officeDocument/2006/relationships/drawing" Target="../drawings/drawing125.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1.bin" />
<Relationship Id="rId133" Type="http://schemas.openxmlformats.org/officeDocument/2006/relationships/drawing" Target="../drawings/drawing129.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87" Type="http://schemas.openxmlformats.org/officeDocument/2006/relationships/drawing" Target="../drawings/drawing83.xml"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150" Type="http://schemas.openxmlformats.org/officeDocument/2006/relationships/hyperlink" Target="http://www.str.com/data-insights/resources/glossary" TargetMode="External" />
<Relationship Id="rId151" Type="http://schemas.openxmlformats.org/officeDocument/2006/relationships/hyperlink" Target="http://www.hotelnewsnow.com/" TargetMode="External" />
<Relationship Id="rId152" Type="http://schemas.openxmlformats.org/officeDocument/2006/relationships/hyperlink" Target="http://www.hoteldataconference.com/" TargetMode="External" />
<Relationship Id="rId153" Type="http://schemas.openxmlformats.org/officeDocument/2006/relationships/hyperlink" Target="http://www.str.com/data-insights/resources/FAQ" TargetMode="External" />
<Relationship Id="rId154"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_rels/sheet32.xml.rels><?xml version="1.0" encoding="utf-8" standalone="yes" ?>
<Relationships xmlns="http://schemas.openxmlformats.org/package/2006/relationships">
<Relationship Id="rId1" Type="http://schemas.openxmlformats.org/officeDocument/2006/relationships/printerSettings" Target="../printerSettings/printerSettings33.bin" />
<Relationship Id="rId35" Type="http://schemas.openxmlformats.org/officeDocument/2006/relationships/drawing" Target="../drawings/drawing34.xml" />
</Relationships>
</file>

<file path=xl/worksheets/_rels/sheet36.xml.rels><?xml version="1.0" encoding="utf-8" standalone="yes" ?>
<Relationships xmlns="http://schemas.openxmlformats.org/package/2006/relationships">
<Relationship Id="rId1" Type="http://schemas.openxmlformats.org/officeDocument/2006/relationships/printerSettings" Target="../printerSettings/printerSettings37.bin" />
<Relationship Id="rId39" Type="http://schemas.openxmlformats.org/officeDocument/2006/relationships/drawing" Target="../drawings/drawing38.xml" />
</Relationships>
</file>

<file path=xl/worksheets/_rels/sheet40.xml.rels><?xml version="1.0" encoding="utf-8" standalone="yes" ?>
<Relationships xmlns="http://schemas.openxmlformats.org/package/2006/relationships">
<Relationship Id="rId1" Type="http://schemas.openxmlformats.org/officeDocument/2006/relationships/printerSettings" Target="../printerSettings/printerSettings41.bin" />
<Relationship Id="rId43" Type="http://schemas.openxmlformats.org/officeDocument/2006/relationships/drawing" Target="../drawings/drawing42.xml" />
</Relationships>
</file>

<file path=xl/worksheets/_rels/sheet44.xml.rels><?xml version="1.0" encoding="utf-8" standalone="yes" ?>
<Relationships xmlns="http://schemas.openxmlformats.org/package/2006/relationships">
<Relationship Id="rId1" Type="http://schemas.openxmlformats.org/officeDocument/2006/relationships/printerSettings" Target="../printerSettings/printerSettings45.bin" />
<Relationship Id="rId47" Type="http://schemas.openxmlformats.org/officeDocument/2006/relationships/drawing" Target="../drawings/drawing46.xml" />
</Relationships>
</file>

<file path=xl/worksheets/_rels/sheet48.xml.rels><?xml version="1.0" encoding="utf-8" standalone="yes" ?>
<Relationships xmlns="http://schemas.openxmlformats.org/package/2006/relationships">
<Relationship Id="rId1" Type="http://schemas.openxmlformats.org/officeDocument/2006/relationships/printerSettings" Target="../printerSettings/printerSettings49.bin" />
<Relationship Id="rId51" Type="http://schemas.openxmlformats.org/officeDocument/2006/relationships/drawing" Target="../drawings/drawing50.xml" />
</Relationships>
</file>

<file path=xl/worksheets/_rels/sheet52.xml.rels><?xml version="1.0" encoding="utf-8" standalone="yes" ?>
<Relationships xmlns="http://schemas.openxmlformats.org/package/2006/relationships">
<Relationship Id="rId1" Type="http://schemas.openxmlformats.org/officeDocument/2006/relationships/printerSettings" Target="../printerSettings/printerSettings53.bin" />
<Relationship Id="rId55" Type="http://schemas.openxmlformats.org/officeDocument/2006/relationships/drawing" Target="../drawings/drawing54.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5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59"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59" Type="http://schemas.openxmlformats.org/officeDocument/2006/relationships/drawing" Target="../drawings/drawing64.xml" />
</Relationships>
</file>

<file path=xl/worksheets/_rels/sheet65.xml.rels><?xml version="1.0" encoding="utf-8" standalone="yes" ?>
<Relationships xmlns="http://schemas.openxmlformats.org/package/2006/relationships">
<Relationship Id="rId1" Type="http://schemas.openxmlformats.org/officeDocument/2006/relationships/printerSettings" Target="../printerSettings/printerSettings66.bin" />
<Relationship Id="rId59" Type="http://schemas.openxmlformats.org/officeDocument/2006/relationships/drawing" Target="../drawings/drawing67.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72"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6" Type="http://schemas.openxmlformats.org/officeDocument/2006/relationships/drawing" Target="../drawings/drawing75.xml" />
</Relationships>
</file>

<file path=xl/worksheets/_rels/sheet77.xml.rels><?xml version="1.0" encoding="utf-8" standalone="yes" ?>
<Relationships xmlns="http://schemas.openxmlformats.org/package/2006/relationships">
<Relationship Id="rId1" Type="http://schemas.openxmlformats.org/officeDocument/2006/relationships/printerSettings" Target="../printerSettings/printerSettings78.bin" />
<Relationship Id="rId80" Type="http://schemas.openxmlformats.org/officeDocument/2006/relationships/drawing" Target="../drawings/drawing79.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31" Type="http://schemas.openxmlformats.org/officeDocument/2006/relationships/drawing" Target="../drawings/drawing82.xml" />
</Relationships>
</file>

<file path=xl/worksheets/_rels/sheet84.xml.rels><?xml version="1.0" encoding="utf-8" standalone="yes" ?>
<Relationships xmlns="http://schemas.openxmlformats.org/package/2006/relationships">
<Relationship Id="rId1" Type="http://schemas.openxmlformats.org/officeDocument/2006/relationships/printerSettings" Target="../printerSettings/printerSettings85.bin" />
<Relationship Id="rId87" Type="http://schemas.openxmlformats.org/officeDocument/2006/relationships/drawing" Target="../drawings/drawing86.xml" />
</Relationships>
</file>

<file path=xl/worksheets/_rels/sheet88.xml.rels><?xml version="1.0" encoding="utf-8" standalone="yes" ?>
<Relationships xmlns="http://schemas.openxmlformats.org/package/2006/relationships">
<Relationship Id="rId1" Type="http://schemas.openxmlformats.org/officeDocument/2006/relationships/printerSettings" Target="../printerSettings/printerSettings89.bin" />
<Relationship Id="rId91" Type="http://schemas.openxmlformats.org/officeDocument/2006/relationships/drawing" Target="../drawings/drawing90.xml" />
</Relationships>
</file>

<file path=xl/worksheets/_rels/sheet92.xml.rels><?xml version="1.0" encoding="utf-8" standalone="yes" ?>
<Relationships xmlns="http://schemas.openxmlformats.org/package/2006/relationships">
<Relationship Id="rId1" Type="http://schemas.openxmlformats.org/officeDocument/2006/relationships/printerSettings" Target="../printerSettings/printerSettings93.bin" />
<Relationship Id="rId95" Type="http://schemas.openxmlformats.org/officeDocument/2006/relationships/drawing" Target="../drawings/drawing94.xml" />
</Relationships>
</file>

<file path=xl/worksheets/_rels/sheet95.xml.rels><?xml version="1.0" encoding="utf-8" standalone="yes" ?>
<Relationships xmlns="http://schemas.openxmlformats.org/package/2006/relationships">
<Relationship Id="rId1" Type="http://schemas.openxmlformats.org/officeDocument/2006/relationships/printerSettings" Target="../printerSettings/printerSettings96.bin" />
<Relationship Id="rId35" Type="http://schemas.openxmlformats.org/officeDocument/2006/relationships/drawing" Target="../drawings/drawing97.xml" />
</Relationships>
</file>

<file path=xl/worksheets/_rels/sheet98.xml.rels><?xml version="1.0" encoding="utf-8" standalone="yes" ?>
<Relationships xmlns="http://schemas.openxmlformats.org/package/2006/relationships">
<Relationship Id="rId1" Type="http://schemas.openxmlformats.org/officeDocument/2006/relationships/printerSettings" Target="../printerSettings/printerSettings99.bin" />
<Relationship Id="rId39" Type="http://schemas.openxmlformats.org/officeDocument/2006/relationships/drawing" Target="../drawings/drawing100.xml" />
</Relationships>
</file>

<file path=xl/worksheets/_rels/sheet101.xml.rels><?xml version="1.0" encoding="utf-8" standalone="yes" ?>
<Relationships xmlns="http://schemas.openxmlformats.org/package/2006/relationships">
<Relationship Id="rId1" Type="http://schemas.openxmlformats.org/officeDocument/2006/relationships/printerSettings" Target="../printerSettings/printerSettings102.bin" />
<Relationship Id="rId43" Type="http://schemas.openxmlformats.org/officeDocument/2006/relationships/drawing" Target="../drawings/drawing103.xml" />
</Relationships>
</file>

<file path=xl/worksheets/_rels/sheet104.xml.rels><?xml version="1.0" encoding="utf-8" standalone="yes" ?>
<Relationships xmlns="http://schemas.openxmlformats.org/package/2006/relationships">
<Relationship Id="rId1" Type="http://schemas.openxmlformats.org/officeDocument/2006/relationships/printerSettings" Target="../printerSettings/printerSettings105.bin" />
<Relationship Id="rId47" Type="http://schemas.openxmlformats.org/officeDocument/2006/relationships/drawing" Target="../drawings/drawing106.xml" />
</Relationships>
</file>

<file path=xl/worksheets/_rels/sheet107.xml.rels><?xml version="1.0" encoding="utf-8" standalone="yes" ?>
<Relationships xmlns="http://schemas.openxmlformats.org/package/2006/relationships">
<Relationship Id="rId1" Type="http://schemas.openxmlformats.org/officeDocument/2006/relationships/printerSettings" Target="../printerSettings/printerSettings108.bin" />
<Relationship Id="rId51" Type="http://schemas.openxmlformats.org/officeDocument/2006/relationships/drawing" Target="../drawings/drawing109.xml" />
</Relationships>
</file>

<file path=xl/worksheets/_rels/sheet110.xml.rels><?xml version="1.0" encoding="utf-8" standalone="yes" ?>
<Relationships xmlns="http://schemas.openxmlformats.org/package/2006/relationships">
<Relationship Id="rId1" Type="http://schemas.openxmlformats.org/officeDocument/2006/relationships/printerSettings" Target="../printerSettings/printerSettings111.bin" />
<Relationship Id="rId55" Type="http://schemas.openxmlformats.org/officeDocument/2006/relationships/drawing" Target="../drawings/drawing112.xml" />
</Relationships>
</file>

<file path=xl/worksheets/_rels/sheet113.xml.rels><?xml version="1.0" encoding="utf-8" standalone="yes" ?>
<Relationships xmlns="http://schemas.openxmlformats.org/package/2006/relationships">
<Relationship Id="rId1" Type="http://schemas.openxmlformats.org/officeDocument/2006/relationships/printerSettings" Target="../printerSettings/printerSettings114.bin" />
<Relationship Id="rId59" Type="http://schemas.openxmlformats.org/officeDocument/2006/relationships/drawing" Target="../drawings/drawing115.xml" />
</Relationships>
</file>

<file path=xl/worksheets/_rels/sheet116.xml.rels><?xml version="1.0" encoding="utf-8" standalone="yes" ?>
<Relationships xmlns="http://schemas.openxmlformats.org/package/2006/relationships">
<Relationship Id="rId1" Type="http://schemas.openxmlformats.org/officeDocument/2006/relationships/printerSettings" Target="../printerSettings/printerSettings117.bin" />
<Relationship Id="rId59" Type="http://schemas.openxmlformats.org/officeDocument/2006/relationships/drawing" Target="../drawings/drawing118.xml" />
</Relationships>
</file>

<file path=xl/worksheets/_rels/sheet119.xml.rels><?xml version="1.0" encoding="utf-8" standalone="yes" ?>
<Relationships xmlns="http://schemas.openxmlformats.org/package/2006/relationships">
<Relationship Id="rId1" Type="http://schemas.openxmlformats.org/officeDocument/2006/relationships/printerSettings" Target="../printerSettings/printerSettings120.bin" />
<Relationship Id="rId59" Type="http://schemas.openxmlformats.org/officeDocument/2006/relationships/drawing" Target="../drawings/drawing121.xml" />
</Relationships>
</file>

<file path=xl/worksheets/_rels/sheet122.xml.rels><?xml version="1.0" encoding="utf-8" standalone="yes" ?>
<Relationships xmlns="http://schemas.openxmlformats.org/package/2006/relationships">
<Relationship Id="rId1" Type="http://schemas.openxmlformats.org/officeDocument/2006/relationships/printerSettings" Target="../printerSettings/printerSettings123.bin" />
<Relationship Id="rId59" Type="http://schemas.openxmlformats.org/officeDocument/2006/relationships/drawing" Target="../drawings/drawing124.xml" />
</Relationships>
</file>

<file path=xl/worksheets/_rels/sheet126.xml.rels><?xml version="1.0" encoding="utf-8" standalone="yes" ?>
<Relationships xmlns="http://schemas.openxmlformats.org/package/2006/relationships">
<Relationship Id="rId1" Type="http://schemas.openxmlformats.org/officeDocument/2006/relationships/printerSettings" Target="../printerSettings/printerSettings127.bin" />
<Relationship Id="rId129" Type="http://schemas.openxmlformats.org/officeDocument/2006/relationships/drawing" Target="../drawings/drawing128.xml" />
</Relationships>
</file>

<file path=xl/worksheets/_rels/sheet130.xml.rels><?xml version="1.0" encoding="utf-8" standalone="yes" ?>
<Relationships xmlns="http://schemas.openxmlformats.org/package/2006/relationships">
<Relationship Id="rId1" Type="http://schemas.openxmlformats.org/officeDocument/2006/relationships/printerSettings" Target="../printerSettings/printerSettings131.bin" />
<Relationship Id="rId133" Type="http://schemas.openxmlformats.org/officeDocument/2006/relationships/drawing" Target="../drawings/drawing132.xml" />
</Relationships>
</file>

<file path=xl/worksheets/_rels/sheet133.xml.rels><?xml version="1.0" encoding="utf-8" standalone="yes" ?>
<Relationships xmlns="http://schemas.openxmlformats.org/package/2006/relationships">
<Relationship Id="rId1" Type="http://schemas.openxmlformats.org/officeDocument/2006/relationships/printerSettings" Target="../printerSettings/printerSettings134.bin" />
<Relationship Id="rId72" Type="http://schemas.openxmlformats.org/officeDocument/2006/relationships/drawing" Target="../drawings/drawing135.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205</v>
      </c>
      <c r="C2" s="605"/>
      <c r="D2" s="604"/>
      <c r="E2" s="604"/>
      <c r="F2" s="605"/>
      <c r="G2" s="598"/>
      <c r="H2" s="599"/>
    </row>
    <row r="3" ht="25.5" customHeight="1">
      <c r="A3" s="595"/>
      <c r="B3" s="638" t="s">
        <v>204</v>
      </c>
      <c r="C3" s="607"/>
      <c r="D3" s="606"/>
      <c r="E3" s="606"/>
      <c r="F3" s="607"/>
      <c r="G3" s="598"/>
      <c r="H3" s="599"/>
    </row>
    <row r="4" ht="15" customHeight="1">
      <c r="A4" s="595"/>
      <c r="B4" s="695" t="s">
        <v>206</v>
      </c>
      <c r="C4" s="695"/>
      <c r="D4" s="695"/>
      <c r="E4" s="695"/>
      <c r="F4" s="608"/>
      <c r="G4" s="598"/>
      <c r="H4" s="599"/>
    </row>
    <row r="5" ht="15" customHeight="1">
      <c r="A5" s="595"/>
      <c r="B5" s="695" t="s">
        <v>207</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t="str">
        <f>HYPERLINK("#'Glance_2'!A1", "Monthly Performance at a Glance - 2nd Comp")</f>
      </c>
      <c r="F7" s="605" t="str">
        <f>HYPERLINK("#'Glance_2'!A1", "21")</f>
      </c>
      <c r="G7" s="598"/>
      <c r="H7" s="599"/>
    </row>
    <row r="8" ht="15.75" customHeight="1">
      <c r="A8" s="595"/>
      <c r="B8" s="639" t="str">
        <f>HYPERLINK("#'Glance'!A1", "Monthly Performance at a Glance")</f>
      </c>
      <c r="C8" s="605" t="str">
        <f>HYPERLINK("#'Glance'!A1", "2")</f>
      </c>
      <c r="D8" s="639"/>
      <c r="E8" s="639" t="str">
        <f>HYPERLINK("#'Summary_2'!A1", "STAR Summary - 2nd Comp")</f>
      </c>
      <c r="F8" s="605" t="str">
        <f>HYPERLINK("#'Summary_2'!A1", "22")</f>
      </c>
      <c r="G8" s="598"/>
      <c r="H8" s="599"/>
    </row>
    <row r="9" ht="15.75" customHeight="1">
      <c r="A9" s="595"/>
      <c r="B9" s="639" t="str">
        <f>HYPERLINK("#'Summary'!A1", "STAR Summary")</f>
      </c>
      <c r="C9" s="605" t="str">
        <f>HYPERLINK("#'Summary'!A1", "3")</f>
      </c>
      <c r="D9" s="639"/>
      <c r="E9" s="639" t="str">
        <f>HYPERLINK("#'Comp_2'!A1", "Competitive Set Report - 2nd Comp")</f>
      </c>
      <c r="F9" s="605" t="str">
        <f>HYPERLINK("#'Comp_2'!A1", "23")</f>
      </c>
      <c r="G9" s="595"/>
      <c r="H9" s="595"/>
    </row>
    <row r="10" ht="15.75" customHeight="1">
      <c r="A10" s="595"/>
      <c r="B10" s="639" t="str">
        <f>HYPERLINK("#'Comp'!A1", "Competitive Set Report")</f>
      </c>
      <c r="C10" s="605" t="str">
        <f>HYPERLINK("#'Comp'!A1", "4")</f>
      </c>
      <c r="D10" s="639"/>
      <c r="E10" s="639" t="str">
        <f>HYPERLINK("#'Response_2'!A1", "Response Report - 2nd Comp")</f>
      </c>
      <c r="F10" s="605" t="str">
        <f>HYPERLINK("#'Response_2'!A1", "24")</f>
      </c>
      <c r="G10" s="595"/>
      <c r="H10" s="595"/>
    </row>
    <row r="11" ht="15.75" customHeight="1">
      <c r="A11" s="600"/>
      <c r="B11" s="639" t="str">
        <f>HYPERLINK("#'Response'!A1", "Response Report")</f>
      </c>
      <c r="C11" s="605" t="str">
        <f>HYPERLINK("#'Response'!A1", "5")</f>
      </c>
      <c r="D11" s="639"/>
      <c r="E11" s="639" t="str">
        <f>HYPERLINK("#'Day of Week_2'!A1", "Day of Week &amp; Weekday/Weekend - 2nd Comp")</f>
      </c>
      <c r="F11" s="605" t="str">
        <f>HYPERLINK("#'Day of Week_2'!A1", "25")</f>
      </c>
      <c r="G11" s="595"/>
      <c r="H11" s="595"/>
    </row>
    <row r="12" ht="15.75" customHeight="1">
      <c r="A12" s="595"/>
      <c r="B12" s="639" t="str">
        <f>HYPERLINK("#'Day of Week'!A1", "Day of Week &amp; Weekday/Weekend")</f>
      </c>
      <c r="C12" s="605" t="str">
        <f>HYPERLINK("#'Day of Week'!A1", "6")</f>
      </c>
      <c r="D12" s="639"/>
      <c r="E12" s="639" t="str">
        <f>HYPERLINK("#'Daily by Month_2'!A1", "Daily Data for the Month - 2nd Comp")</f>
      </c>
      <c r="F12" s="605" t="str">
        <f>HYPERLINK("#'Daily by Month_2'!A1", "26")</f>
      </c>
      <c r="G12" s="595"/>
      <c r="H12" s="595"/>
    </row>
    <row r="13" ht="15.75" customHeight="1">
      <c r="A13" s="595"/>
      <c r="B13" s="639" t="str">
        <f>HYPERLINK("#'Daily by Month'!A1", "Daily Data for the Month")</f>
      </c>
      <c r="C13" s="605" t="str">
        <f>HYPERLINK("#'Daily by Month'!A1", "7")</f>
      </c>
      <c r="D13" s="639"/>
      <c r="E13" s="639" t="str">
        <f>HYPERLINK("#'Segmentation Glance_2'!A1", "Segmentation at a Glance - 2nd Comp")</f>
      </c>
      <c r="F13" s="605" t="str">
        <f>HYPERLINK("#'Segmentation Glance_2'!A1", "27")</f>
      </c>
      <c r="G13" s="595"/>
      <c r="H13" s="595"/>
    </row>
    <row r="14" ht="15.75" customHeight="1">
      <c r="A14" s="595"/>
      <c r="B14" s="639" t="str">
        <f>HYPERLINK("#'Segmentation Glance'!A1", "Segmentation at a Glance")</f>
      </c>
      <c r="C14" s="605" t="str">
        <f>HYPERLINK("#'Segmentation Glance'!A1", "8")</f>
      </c>
      <c r="D14" s="639"/>
      <c r="E14" s="639" t="str">
        <f>HYPERLINK("#'Segmentation Occ_2'!A1", "Segmentation Occupancy Analysis - 2nd Comp")</f>
      </c>
      <c r="F14" s="605" t="str">
        <f>HYPERLINK("#'Segmentation Occ_2'!A1", "28")</f>
      </c>
      <c r="G14" s="595"/>
      <c r="H14" s="595"/>
    </row>
    <row r="15" ht="15.75" customHeight="1">
      <c r="A15" s="595"/>
      <c r="B15" s="639" t="str">
        <f>HYPERLINK("#'Segmentation Occ'!A1", "Segmentation Occupancy Analysis")</f>
      </c>
      <c r="C15" s="605" t="str">
        <f>HYPERLINK("#'Segmentation Occ'!A1", "9")</f>
      </c>
      <c r="D15" s="639"/>
      <c r="E15" s="639" t="str">
        <f>HYPERLINK("#'Segmentation ADR_2'!A1", "Segmentation ADR Analysis - 2nd Comp")</f>
      </c>
      <c r="F15" s="605" t="str">
        <f>HYPERLINK("#'Segmentation ADR_2'!A1", "29")</f>
      </c>
      <c r="G15" s="595"/>
      <c r="H15" s="595"/>
    </row>
    <row r="16" ht="15.75" customHeight="1">
      <c r="A16" s="595"/>
      <c r="B16" s="639" t="str">
        <f>HYPERLINK("#'Segmentation ADR'!A1", "Segmentation ADR Analysis")</f>
      </c>
      <c r="C16" s="605" t="str">
        <f>HYPERLINK("#'Segmentation ADR'!A1", "10")</f>
      </c>
      <c r="D16" s="639"/>
      <c r="E16" s="639" t="str">
        <f>HYPERLINK("#'Segmentation RevPAR_2'!A1", "Segmentation RevPAR Analysis - 2nd Comp")</f>
      </c>
      <c r="F16" s="605" t="str">
        <f>HYPERLINK("#'Segmentation RevPAR_2'!A1", "30")</f>
      </c>
      <c r="G16" s="595"/>
      <c r="H16" s="595"/>
    </row>
    <row r="17" ht="15.75" customHeight="1">
      <c r="A17" s="595"/>
      <c r="B17" s="639" t="str">
        <f>HYPERLINK("#'Segmentation RevPAR'!A1", "Segmentation RevPAR Analysis")</f>
      </c>
      <c r="C17" s="605" t="str">
        <f>HYPERLINK("#'Segmentation RevPAR'!A1", "11")</f>
      </c>
      <c r="D17" s="639"/>
      <c r="E17" s="639" t="str">
        <f>HYPERLINK("#'Segmentation Indexes_2'!A1", "Segmentation Index Analysis - 2nd Comp")</f>
      </c>
      <c r="F17" s="605" t="str">
        <f>HYPERLINK("#'Segmentation Indexes_2'!A1", "31")</f>
      </c>
      <c r="G17" s="595"/>
      <c r="H17" s="595"/>
    </row>
    <row r="18" ht="15.75" customHeight="1">
      <c r="A18" s="595"/>
      <c r="B18" s="639" t="str">
        <f>HYPERLINK("#'Segmentation Indexes'!A1", "Segmentation Index Analysis")</f>
      </c>
      <c r="C18" s="605" t="str">
        <f>HYPERLINK("#'Segmentation Indexes'!A1", "12")</f>
      </c>
      <c r="D18" s="639"/>
      <c r="E18" s="639" t="str">
        <f>HYPERLINK("#'Segmentation Ranking_2'!A1", "Segmentation Ranking Analysis - 2nd Comp")</f>
      </c>
      <c r="F18" s="605" t="str">
        <f>HYPERLINK("#'Segmentation Ranking_2'!A1", "32")</f>
      </c>
      <c r="G18" s="595"/>
      <c r="H18" s="595"/>
    </row>
    <row r="19" ht="15.75" customHeight="1">
      <c r="A19" s="595"/>
      <c r="B19" s="639" t="str">
        <f>HYPERLINK("#'Segmentation Ranking'!A1", "Segmentation Ranking Analysis")</f>
      </c>
      <c r="C19" s="605" t="str">
        <f>HYPERLINK("#'Segmentation Ranking'!A1", "13")</f>
      </c>
      <c r="D19" s="639"/>
      <c r="E19" s="639" t="str">
        <f>HYPERLINK("#'Segmentation DOW Month_2'!A1", "Segmentation Day Of Week - Current Month - 2nd Comp")</f>
      </c>
      <c r="F19" s="605" t="str">
        <f>HYPERLINK("#'Segmentation DOW Month_2'!A1", "33")</f>
      </c>
      <c r="G19" s="595"/>
      <c r="H19" s="595"/>
    </row>
    <row r="20" ht="15.75" customHeight="1">
      <c r="A20" s="595"/>
      <c r="B20" s="639" t="str">
        <f>HYPERLINK("#'Segmentation DOW Month'!A1", "Segmentation Day Of Week - Current Month")</f>
      </c>
      <c r="C20" s="605" t="str">
        <f>HYPERLINK("#'Segmentation DOW Month'!A1", "14")</f>
      </c>
      <c r="D20" s="639"/>
      <c r="E20" s="639" t="str">
        <f>HYPERLINK("#'Segmentation DOW YTD_2'!A1", "Segmentation Day Of Week - Year to Date - 2nd Comp")</f>
      </c>
      <c r="F20" s="605" t="str">
        <f>HYPERLINK("#'Segmentation DOW YTD_2'!A1", "34")</f>
      </c>
      <c r="G20" s="595"/>
      <c r="H20" s="595"/>
    </row>
    <row r="21" ht="15.75" customHeight="1">
      <c r="A21" s="595"/>
      <c r="B21" s="639" t="str">
        <f>HYPERLINK("#'Segmentation DOW YTD'!A1", "Segmentation Day Of Week - Year to Date")</f>
      </c>
      <c r="C21" s="605" t="str">
        <f>HYPERLINK("#'Segmentation DOW YTD'!A1", "15")</f>
      </c>
      <c r="D21" s="639"/>
      <c r="E21" s="639" t="str">
        <f>HYPERLINK("#'Segmentation DOW Run 3_2'!A1", "Segmentation Day Of Week - Running 3 Month - 2nd Comp")</f>
      </c>
      <c r="F21" s="605" t="str">
        <f>HYPERLINK("#'Segmentation DOW Run 3_2'!A1", "35")</f>
      </c>
      <c r="G21" s="595"/>
      <c r="H21" s="595"/>
    </row>
    <row r="22" ht="15.75" customHeight="1">
      <c r="A22" s="595"/>
      <c r="B22" s="639" t="str">
        <f>HYPERLINK("#'Segmentation DOW Run 3'!A1", "Segmentation Day Of Week - Running 3 Month")</f>
      </c>
      <c r="C22" s="605" t="str">
        <f>HYPERLINK("#'Segmentation DOW Run 3'!A1", "16")</f>
      </c>
      <c r="D22" s="639"/>
      <c r="E22" s="639" t="str">
        <f>HYPERLINK("#'Segmentation DOW Run 12_2'!A1", "Segmentation Day Of Week - Running 12 Month - 2nd Comp")</f>
      </c>
      <c r="F22" s="605" t="str">
        <f>HYPERLINK("#'Segmentation DOW Run 12_2'!A1", "36")</f>
      </c>
      <c r="G22" s="595"/>
      <c r="H22" s="595"/>
    </row>
    <row r="23" ht="15.75" customHeight="1">
      <c r="A23" s="595"/>
      <c r="B23" s="639" t="str">
        <f>HYPERLINK("#'Segmentation DOW Run 12'!A1", "Segmentation Day Of Week - Running 12 Month")</f>
      </c>
      <c r="C23" s="605" t="str">
        <f>HYPERLINK("#'Segmentation DOW Run 12'!A1", "17")</f>
      </c>
      <c r="D23" s="639"/>
      <c r="E23" s="639" t="str">
        <f>HYPERLINK("#'Add Rev ADR_2'!A1", "Additional Revenue ADR Analysis (TrevPOR) - 2nd Comp")</f>
      </c>
      <c r="F23" s="605" t="str">
        <f>HYPERLINK("#'Add Rev ADR_2'!A1", "37")</f>
      </c>
      <c r="G23" s="595"/>
      <c r="H23" s="595"/>
    </row>
    <row r="24" ht="15.75" customHeight="1">
      <c r="A24" s="595"/>
      <c r="B24" s="639" t="str">
        <f>HYPERLINK("#'Add Rev ADR'!A1", "Additional Revenue ADR Analysis (TrevPOR)")</f>
      </c>
      <c r="C24" s="605" t="str">
        <f>HYPERLINK("#'Add Rev ADR'!A1", "18")</f>
      </c>
      <c r="D24" s="639"/>
      <c r="E24" s="639" t="str">
        <f>HYPERLINK("#'Add Rev RevPAR_2'!A1", "Additional Revenue RevPAR Analysis (TrevPAR) - 2nd Comp")</f>
      </c>
      <c r="F24" s="605" t="str">
        <f>HYPERLINK("#'Add Rev RevPAR_2'!A1", "38")</f>
      </c>
      <c r="G24" s="595"/>
      <c r="H24" s="595"/>
    </row>
    <row r="25" ht="15.75" customHeight="1">
      <c r="A25" s="595"/>
      <c r="B25" s="639" t="str">
        <f>HYPERLINK("#'Add Rev RevPAR'!A1", "Additional Revenue RevPAR Analysis (TrevPAR)")</f>
      </c>
      <c r="C25" s="605" t="str">
        <f>HYPERLINK("#'Add Rev RevPAR'!A1", "19")</f>
      </c>
      <c r="D25" s="639"/>
      <c r="E25" s="639" t="str">
        <f>HYPERLINK("#'Segmentation Response_2'!A1", "Segmentation Response Report - 2nd Comp")</f>
      </c>
      <c r="F25" s="605" t="str">
        <f>HYPERLINK("#'Segmentation Response_2'!A1", "39")</f>
      </c>
      <c r="G25" s="595"/>
      <c r="H25" s="595"/>
    </row>
    <row r="26" ht="15.75" customHeight="1">
      <c r="A26" s="595"/>
      <c r="B26" s="639" t="str">
        <f>HYPERLINK("#'Segmentation Response'!A1", "Segmentation Response Report")</f>
      </c>
      <c r="C26" s="605" t="str">
        <f>HYPERLINK("#'Segmentation Response'!A1", "20")</f>
      </c>
      <c r="D26" s="639"/>
      <c r="E26" s="639" t="str">
        <f>HYPERLINK("#'Help'!A1", "Help")</f>
      </c>
      <c r="F26" s="605" t="str">
        <f>HYPERLINK("#'Help'!A1", "40")</f>
      </c>
      <c r="G26" s="595"/>
      <c r="H26" s="595"/>
    </row>
    <row r="27" ht="15.75" customHeight="1">
      <c r="A27" s="595"/>
      <c r="B27" s="639"/>
      <c r="C27" s="605"/>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127</v>
      </c>
      <c r="C1" s="12"/>
      <c r="D1" s="12"/>
      <c r="E1" s="12"/>
      <c r="F1" s="12"/>
      <c r="G1" s="12"/>
      <c r="H1" s="12"/>
      <c r="I1" s="104"/>
      <c r="J1" s="12"/>
      <c r="K1" s="12"/>
      <c r="L1" s="12"/>
      <c r="M1" s="13"/>
      <c r="N1" s="51"/>
      <c r="O1" s="2"/>
      <c r="P1" s="2"/>
      <c r="Q1" s="2"/>
      <c r="R1" s="22"/>
      <c r="S1" s="51"/>
      <c r="T1" s="2"/>
      <c r="U1" s="2"/>
      <c r="V1" s="236"/>
    </row>
    <row r="2" ht="21.75" customHeight="1">
      <c r="B2" s="935" t="s">
        <v>208</v>
      </c>
      <c r="C2" s="935"/>
      <c r="D2" s="935"/>
      <c r="E2" s="935"/>
      <c r="F2" s="935"/>
      <c r="G2" s="935"/>
      <c r="H2" s="935"/>
      <c r="I2" s="935"/>
      <c r="J2" s="935"/>
      <c r="K2" s="935"/>
      <c r="L2" s="935"/>
      <c r="M2" s="935"/>
      <c r="N2" s="935"/>
      <c r="O2" s="935"/>
      <c r="P2" s="935"/>
      <c r="Q2" s="935"/>
      <c r="R2" s="935"/>
      <c r="S2" s="935"/>
      <c r="T2" s="2"/>
      <c r="U2" s="2"/>
    </row>
    <row r="3" ht="19.5" customHeight="1">
      <c r="A3"/>
      <c r="B3" s="115" t="s">
        <v>209</v>
      </c>
      <c r="C3" s="115"/>
      <c r="D3" s="115"/>
      <c r="E3" s="115"/>
      <c r="F3" s="115"/>
      <c r="G3" s="115"/>
      <c r="H3" s="115"/>
      <c r="I3" s="115"/>
      <c r="J3" s="115"/>
      <c r="K3" s="115"/>
      <c r="L3" s="115"/>
      <c r="M3" s="115"/>
      <c r="N3" s="115"/>
      <c r="O3" s="115"/>
      <c r="P3" s="115"/>
      <c r="Q3" s="115"/>
      <c r="R3" s="115"/>
      <c r="S3" s="115"/>
      <c r="T3" s="2"/>
      <c r="U3" s="2"/>
    </row>
    <row r="4" ht="18.75" customHeight="1">
      <c r="A4"/>
      <c r="B4" s="936" t="s">
        <v>210</v>
      </c>
      <c r="C4" s="936"/>
      <c r="D4" s="936"/>
      <c r="E4" s="936"/>
      <c r="F4" s="936"/>
      <c r="G4" s="936"/>
      <c r="H4" s="936"/>
      <c r="I4" s="936"/>
      <c r="J4" s="936"/>
      <c r="K4" s="936"/>
      <c r="L4" s="936"/>
      <c r="M4" s="936"/>
      <c r="N4" s="936"/>
      <c r="O4" s="936"/>
      <c r="P4" s="936"/>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699" t="s">
        <v>211</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80.98484848484848484848484848</v>
      </c>
      <c r="H11" s="193">
        <v>71.715116279069767441860465120</v>
      </c>
      <c r="I11" s="193">
        <v>112.92577170156519865270297972</v>
      </c>
      <c r="J11" s="194"/>
      <c r="K11" s="194"/>
      <c r="L11" s="195">
        <v>175.03960087309011537262238853</v>
      </c>
      <c r="M11" s="195">
        <v>219.91975408728550195919470341</v>
      </c>
      <c r="N11" s="193">
        <v>79.59248663201299986124713456</v>
      </c>
      <c r="O11" s="194"/>
      <c r="P11" s="193"/>
      <c r="Q11" s="195">
        <v>141.75555555555555555555555556</v>
      </c>
      <c r="R11" s="195">
        <v>157.71570736434108527131782946</v>
      </c>
      <c r="S11" s="193">
        <v>89.88042974573302961628934566</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58</v>
      </c>
      <c r="E13" s="188"/>
      <c r="F13" s="169"/>
      <c r="G13" s="196">
        <v>88.25966850828729281767955801</v>
      </c>
      <c r="H13" s="196">
        <v>81.32950019272773994603623282</v>
      </c>
      <c r="I13" s="196">
        <v>108.52110033772140793548516211</v>
      </c>
      <c r="J13" s="197"/>
      <c r="K13" s="197"/>
      <c r="L13" s="198">
        <v>265.70242329397258974723763456</v>
      </c>
      <c r="M13" s="198">
        <v>345.54003100377179644147791228</v>
      </c>
      <c r="N13" s="196">
        <v>76.894831120464472657484939740</v>
      </c>
      <c r="O13" s="197"/>
      <c r="P13" s="196"/>
      <c r="Q13" s="198">
        <v>234.5080780177465260338188515</v>
      </c>
      <c r="R13" s="198">
        <v>281.02598018116407554927405885</v>
      </c>
      <c r="S13" s="196">
        <v>83.44711683472835868388078055</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85.03996003996003996003996004</v>
      </c>
      <c r="H15" s="193">
        <v>78.092256580628673651929465880</v>
      </c>
      <c r="I15" s="193">
        <v>108.89678921262728252021040054</v>
      </c>
      <c r="J15" s="194"/>
      <c r="K15" s="194"/>
      <c r="L15" s="195">
        <v>223.53206069505628976994615761</v>
      </c>
      <c r="M15" s="195">
        <v>288.36833224249365949439581118</v>
      </c>
      <c r="N15" s="193">
        <v>77.516161000327733401790944270</v>
      </c>
      <c r="O15" s="194"/>
      <c r="P15" s="193"/>
      <c r="Q15" s="195">
        <v>190.09157509157509157509157509</v>
      </c>
      <c r="R15" s="195">
        <v>225.19333791208791208791208791</v>
      </c>
      <c r="S15" s="193">
        <v>84.41261045021401839197822862</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83.10709838107098381070983811</v>
      </c>
      <c r="H17" s="196">
        <v>75.788467664861420834660719970</v>
      </c>
      <c r="I17" s="196">
        <v>109.65665482053342747912169645</v>
      </c>
      <c r="J17" s="197"/>
      <c r="K17" s="197"/>
      <c r="L17" s="198">
        <v>233.59279238780250243500412078</v>
      </c>
      <c r="M17" s="198">
        <v>310.16486811685582177385456074</v>
      </c>
      <c r="N17" s="196">
        <v>75.31246004939612846070627400</v>
      </c>
      <c r="O17" s="197"/>
      <c r="P17" s="196"/>
      <c r="Q17" s="198">
        <v>194.13219178082191780821917808</v>
      </c>
      <c r="R17" s="198">
        <v>235.06920078050334501433577572</v>
      </c>
      <c r="S17" s="196">
        <v>82.58512435327342851846182677</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699" t="s">
        <v>212</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3.384912959425038067410200200</v>
      </c>
      <c r="H25" s="193">
        <v>5.2175149274675006784949473800</v>
      </c>
      <c r="I25" s="193">
        <v>-1.7417270968231275874956175900</v>
      </c>
      <c r="J25" s="193"/>
      <c r="K25" s="193"/>
      <c r="L25" s="193">
        <v>2.2584314520629771120486298800</v>
      </c>
      <c r="M25" s="193">
        <v>-1.5781842027727837376098714700</v>
      </c>
      <c r="N25" s="193">
        <v>3.8981354120291366815442046700</v>
      </c>
      <c r="O25" s="193"/>
      <c r="P25" s="193"/>
      <c r="Q25" s="193">
        <v>5.7197903503226135601375834500</v>
      </c>
      <c r="R25" s="193">
        <v>3.5569887283516909031625226100</v>
      </c>
      <c r="S25" s="193">
        <v>2.0885134345104672693473879600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58</v>
      </c>
      <c r="E27" s="188"/>
      <c r="F27" s="169"/>
      <c r="G27" s="196">
        <v>-0.307946953635871630961060700</v>
      </c>
      <c r="H27" s="196">
        <v>2.2432478560976006483446698400</v>
      </c>
      <c r="I27" s="196">
        <v>-2.4952208221025736607710311200</v>
      </c>
      <c r="J27" s="196"/>
      <c r="K27" s="196"/>
      <c r="L27" s="196">
        <v>-1.6491714208803589545875536500</v>
      </c>
      <c r="M27" s="196">
        <v>8.090983523513644321934809400</v>
      </c>
      <c r="N27" s="196">
        <v>-9.011070698927987930605746430</v>
      </c>
      <c r="O27" s="196"/>
      <c r="P27" s="196"/>
      <c r="Q27" s="196">
        <v>-1.9520398013762315556109819400</v>
      </c>
      <c r="R27" s="196">
        <v>10.515732194015199166636464780</v>
      </c>
      <c r="S27" s="196">
        <v>-11.281445408605961389600209200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-0.487092060387239336349522300</v>
      </c>
      <c r="H29" s="193">
        <v>4.9586841676584652808620981100</v>
      </c>
      <c r="I29" s="193">
        <v>-5.1884951409299941109365250700</v>
      </c>
      <c r="J29" s="193"/>
      <c r="K29" s="193"/>
      <c r="L29" s="193">
        <v>1.4307192909344184198899066800</v>
      </c>
      <c r="M29" s="193">
        <v>4.7671589338021664459579945500</v>
      </c>
      <c r="N29" s="193">
        <v>-3.1846235755483434215372030400</v>
      </c>
      <c r="O29" s="193"/>
      <c r="P29" s="193"/>
      <c r="Q29" s="193">
        <v>0.9366583104551106031407906300</v>
      </c>
      <c r="R29" s="193">
        <v>9.962231456744457899980896580</v>
      </c>
      <c r="S29" s="193">
        <v>-8.207884677038550293391979350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0.7141458131607088665892572900</v>
      </c>
      <c r="H31" s="196">
        <v>1.3215627894848412988888869900</v>
      </c>
      <c r="I31" s="196">
        <v>-0.5994942830464862528813552600</v>
      </c>
      <c r="J31" s="196"/>
      <c r="K31" s="196"/>
      <c r="L31" s="196">
        <v>-4.135515224912910255468430800</v>
      </c>
      <c r="M31" s="196">
        <v>8.731287922421876426198544900</v>
      </c>
      <c r="N31" s="196">
        <v>-11.833579269754658248319804390</v>
      </c>
      <c r="O31" s="196"/>
      <c r="P31" s="196"/>
      <c r="Q31" s="196">
        <v>-3.4509030205954224526483721600</v>
      </c>
      <c r="R31" s="196">
        <v>10.168240164043285407262361110</v>
      </c>
      <c r="S31" s="196">
        <v>-12.362131921429272964418296030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208</v>
      </c>
      <c r="C2" s="948"/>
      <c r="D2" s="948"/>
      <c r="E2" s="948"/>
      <c r="F2" s="948"/>
      <c r="G2" s="948"/>
      <c r="H2" s="948"/>
      <c r="I2" s="948"/>
      <c r="J2" s="948"/>
      <c r="K2" s="948"/>
      <c r="L2" s="948"/>
      <c r="M2" s="948"/>
      <c r="N2" s="948"/>
      <c r="O2" s="948"/>
      <c r="P2" s="948"/>
      <c r="Q2" s="948"/>
      <c r="R2" s="948"/>
      <c r="S2" s="948"/>
      <c r="T2" s="948"/>
      <c r="U2" s="2"/>
    </row>
    <row r="3" ht="18" customHeight="1">
      <c r="B3" s="947" t="s">
        <v>209</v>
      </c>
      <c r="C3" s="947"/>
      <c r="D3" s="947"/>
      <c r="E3" s="947"/>
      <c r="F3" s="947"/>
      <c r="G3" s="947"/>
      <c r="H3" s="947"/>
      <c r="I3" s="947"/>
      <c r="J3" s="947"/>
      <c r="K3" s="947"/>
      <c r="L3" s="947"/>
      <c r="M3" s="947"/>
      <c r="N3" s="947"/>
      <c r="O3" s="947"/>
      <c r="P3" s="947"/>
      <c r="Q3" s="947"/>
      <c r="R3" s="947"/>
      <c r="S3" s="947"/>
      <c r="T3" s="947"/>
      <c r="U3" s="2"/>
    </row>
    <row r="4" ht="18" customHeight="1">
      <c r="B4" s="947" t="s">
        <v>210</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163"/>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163"/>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163"/>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213</v>
      </c>
      <c r="C8" s="347"/>
      <c r="D8" s="345"/>
      <c r="E8" s="238">
        <v>80.98484848484848484848484848</v>
      </c>
      <c r="F8" s="239">
        <v>3.384912959425038067410200200</v>
      </c>
      <c r="G8" s="238">
        <v>88.25966850828729281767955801</v>
      </c>
      <c r="H8" s="239">
        <v>-0.307946953635871630961060700</v>
      </c>
      <c r="I8" s="238">
        <v>85.03996003996003996003996004</v>
      </c>
      <c r="J8" s="239">
        <v>-0.487092060387239336349522300</v>
      </c>
      <c r="K8" s="238">
        <v>83.10709838107098381070983811</v>
      </c>
      <c r="L8" s="239">
        <v>0.7141458131607088665892572900</v>
      </c>
      <c r="M8" s="540"/>
      <c r="N8" s="156">
        <v>0</v>
      </c>
      <c r="O8" s="156"/>
      <c r="P8" s="156">
        <v>-0.5494505494505494505494505500</v>
      </c>
      <c r="Q8" s="156"/>
      <c r="R8" s="156">
        <v>0</v>
      </c>
      <c r="S8" s="156"/>
      <c r="T8" s="243">
        <v>-0.2732240437158469945355191300</v>
      </c>
    </row>
    <row r="9" ht="20.1" customHeight="1">
      <c r="B9" s="708" t="s">
        <v>214</v>
      </c>
      <c r="C9" s="950"/>
      <c r="D9" s="345"/>
      <c r="E9" s="240">
        <v>70.543722809998198059052179060</v>
      </c>
      <c r="F9" s="241">
        <v>1.394293279469888650298969900</v>
      </c>
      <c r="G9" s="240">
        <v>78.400530485808735036427769050</v>
      </c>
      <c r="H9" s="241">
        <v>0.601590662063018656642868600</v>
      </c>
      <c r="I9" s="240">
        <v>74.213447813012331073425577290</v>
      </c>
      <c r="J9" s="241">
        <v>0.422849931570148242962838500</v>
      </c>
      <c r="K9" s="240">
        <v>74.147805598340880612940975180</v>
      </c>
      <c r="L9" s="241">
        <v>0.9708838625160982626280740500</v>
      </c>
      <c r="M9" s="540"/>
      <c r="N9" s="121">
        <v>-0.277242972660762418174817100</v>
      </c>
      <c r="O9" s="121"/>
      <c r="P9" s="121">
        <v>0.0784063536229803741211975700</v>
      </c>
      <c r="Q9" s="121"/>
      <c r="R9" s="121">
        <v>0.3107431234120193216075561300</v>
      </c>
      <c r="S9" s="121"/>
      <c r="T9" s="241">
        <v>-0.3103473336071384695463707900</v>
      </c>
    </row>
    <row r="10" ht="20.1" customHeight="1">
      <c r="B10" s="706" t="s">
        <v>215</v>
      </c>
      <c r="C10" s="949"/>
      <c r="D10" s="345"/>
      <c r="E10" s="242">
        <v>72.649340986394557823129251700</v>
      </c>
      <c r="F10" s="243">
        <v>4.3443925785962018211238184200</v>
      </c>
      <c r="G10" s="242">
        <v>80.16770745639955290655997117</v>
      </c>
      <c r="H10" s="243">
        <v>1.6795478666083355652922839300</v>
      </c>
      <c r="I10" s="242">
        <v>75.369367377767952544121439890</v>
      </c>
      <c r="J10" s="243">
        <v>0.4826304124637697377334165900</v>
      </c>
      <c r="K10" s="242">
        <v>75.683161142801839106646216920</v>
      </c>
      <c r="L10" s="243">
        <v>2.3499567186892386204959193200</v>
      </c>
      <c r="M10" s="540"/>
      <c r="N10" s="156">
        <v>-1.0647527407524252701317138600</v>
      </c>
      <c r="O10" s="156"/>
      <c r="P10" s="156">
        <v>1.6330076518072827541249050400</v>
      </c>
      <c r="Q10" s="156"/>
      <c r="R10" s="156">
        <v>1.3389566037391795895082069700</v>
      </c>
      <c r="S10" s="156"/>
      <c r="T10" s="243">
        <v>1.8848755756548448813349302200</v>
      </c>
    </row>
    <row r="11" ht="20.1" customHeight="1">
      <c r="B11" s="708" t="s">
        <v>216</v>
      </c>
      <c r="C11" s="950"/>
      <c r="D11" s="345"/>
      <c r="E11" s="240">
        <v>68.903330497526546302423039350</v>
      </c>
      <c r="F11" s="241">
        <v>1.4601721010054165249412342500</v>
      </c>
      <c r="G11" s="240">
        <v>77.335068902313087072922143770</v>
      </c>
      <c r="H11" s="241">
        <v>0.4120201978872078891713201800</v>
      </c>
      <c r="I11" s="240">
        <v>73.709057230684959151828347590</v>
      </c>
      <c r="J11" s="241">
        <v>0.1304854951565606519114291600</v>
      </c>
      <c r="K11" s="240">
        <v>72.182290426686996993043232630</v>
      </c>
      <c r="L11" s="241">
        <v>1.0968257499096623219425352200</v>
      </c>
      <c r="M11" s="540"/>
      <c r="N11" s="121">
        <v>2.0498721844402643129310760600</v>
      </c>
      <c r="O11" s="121"/>
      <c r="P11" s="121">
        <v>0.9784434190122251129013434100</v>
      </c>
      <c r="Q11" s="121"/>
      <c r="R11" s="121">
        <v>2.3926121004845422994041268300</v>
      </c>
      <c r="S11" s="121"/>
      <c r="T11" s="241">
        <v>-0.5641044653346278347147269600</v>
      </c>
    </row>
    <row r="12" ht="20.1" customHeight="1">
      <c r="B12" s="706" t="s">
        <v>217</v>
      </c>
      <c r="C12" s="949"/>
      <c r="D12" s="345"/>
      <c r="E12" s="242">
        <v>67.293900475236636424335257850</v>
      </c>
      <c r="F12" s="243">
        <v>-2.6967717517351467904158559300</v>
      </c>
      <c r="G12" s="242">
        <v>77.737379115321613047226252670</v>
      </c>
      <c r="H12" s="243">
        <v>-0.7385213960115185308062580600</v>
      </c>
      <c r="I12" s="242">
        <v>73.202254380660103936383505680</v>
      </c>
      <c r="J12" s="243">
        <v>-2.9399571632982911605066318600</v>
      </c>
      <c r="K12" s="242">
        <v>72.487535829903455562177858690</v>
      </c>
      <c r="L12" s="243">
        <v>-0.7953662701175314469505247600</v>
      </c>
      <c r="M12" s="540"/>
      <c r="N12" s="156">
        <v>0.6284088214370405501541380100</v>
      </c>
      <c r="O12" s="156"/>
      <c r="P12" s="156">
        <v>3.474470783287510329665760600</v>
      </c>
      <c r="Q12" s="156"/>
      <c r="R12" s="156">
        <v>4.6546836367169701816100013500</v>
      </c>
      <c r="S12" s="156"/>
      <c r="T12" s="243">
        <v>4.0931637717242551509847310700</v>
      </c>
    </row>
    <row r="13" ht="20.1" customHeight="1">
      <c r="B13" s="734" t="s">
        <v>74</v>
      </c>
      <c r="C13" s="946"/>
      <c r="D13" s="345"/>
      <c r="E13" s="244">
        <v>71.715116279069767441860465120</v>
      </c>
      <c r="F13" s="245">
        <v>5.2175149274675006784949473800</v>
      </c>
      <c r="G13" s="244">
        <v>81.32950019272773994603623282</v>
      </c>
      <c r="H13" s="245">
        <v>2.2432478560976006483446698400</v>
      </c>
      <c r="I13" s="244">
        <v>78.092256580628673651929465880</v>
      </c>
      <c r="J13" s="245">
        <v>4.9586841676584652808620981100</v>
      </c>
      <c r="K13" s="244">
        <v>75.788467664861420834660719970</v>
      </c>
      <c r="L13" s="245">
        <v>1.3215627894848412988888869900</v>
      </c>
      <c r="M13" s="540"/>
      <c r="N13" s="250">
        <v>0</v>
      </c>
      <c r="O13" s="250"/>
      <c r="P13" s="250">
        <v>-15.389528326244411528896981890</v>
      </c>
      <c r="Q13" s="250"/>
      <c r="R13" s="250">
        <v>-12.751191504779954848239917500</v>
      </c>
      <c r="S13" s="250"/>
      <c r="T13" s="245">
        <v>-17.179512549058408363840242740</v>
      </c>
    </row>
    <row r="14" ht="9.95" customHeight="1">
      <c r="B14" s="4"/>
      <c r="C14" s="4"/>
      <c r="D14" s="4"/>
      <c r="E14" s="535"/>
      <c r="F14" s="535"/>
      <c r="G14" s="535"/>
      <c r="H14" s="535"/>
      <c r="I14" s="535"/>
      <c r="J14" s="535"/>
      <c r="K14" s="535"/>
      <c r="L14" s="535"/>
      <c r="M14" s="156"/>
      <c r="N14" s="156"/>
      <c r="O14" s="156"/>
      <c r="P14" s="156"/>
      <c r="Q14" s="156"/>
      <c r="R14" s="156"/>
      <c r="S14" s="156"/>
      <c r="T14" s="156"/>
    </row>
    <row r="15" ht="21" customHeight="1">
      <c r="B15" s="4"/>
      <c r="C15" s="4"/>
      <c r="D15" s="4"/>
      <c r="E15" s="719" t="s">
        <v>90</v>
      </c>
      <c r="F15" s="719"/>
      <c r="G15" s="719"/>
      <c r="H15" s="719"/>
      <c r="I15" s="719"/>
      <c r="J15" s="719"/>
      <c r="K15" s="719"/>
      <c r="L15" s="942"/>
      <c r="M15" s="537"/>
      <c r="N15" s="719" t="s">
        <v>29</v>
      </c>
      <c r="O15" s="719"/>
      <c r="P15" s="719"/>
      <c r="Q15" s="719"/>
      <c r="R15" s="719"/>
      <c r="S15" s="719"/>
      <c r="T15" s="942"/>
    </row>
    <row r="16" ht="22.5" customHeight="1">
      <c r="B16" s="4"/>
      <c r="C16" s="4"/>
      <c r="D16" s="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4"/>
      <c r="E17" s="940"/>
      <c r="F17" s="939"/>
      <c r="G17" s="940"/>
      <c r="H17" s="939"/>
      <c r="I17" s="940"/>
      <c r="J17" s="939"/>
      <c r="K17" s="940"/>
      <c r="L17" s="939"/>
      <c r="M17" s="539"/>
      <c r="N17" s="944"/>
      <c r="O17" s="845"/>
      <c r="P17" s="944"/>
      <c r="Q17" s="845"/>
      <c r="R17" s="944"/>
      <c r="S17" s="845"/>
      <c r="T17" s="944"/>
    </row>
    <row r="18" ht="20.1" customHeight="1">
      <c r="B18" s="736" t="s">
        <v>213</v>
      </c>
      <c r="C18" s="348"/>
      <c r="D18" s="345"/>
      <c r="E18" s="253">
        <v>175.03960087309011537262238853</v>
      </c>
      <c r="F18" s="239">
        <v>2.2584314520629771120486298800</v>
      </c>
      <c r="G18" s="253">
        <v>265.70242329397258974723763456</v>
      </c>
      <c r="H18" s="239">
        <v>-1.6491714208803589545875536500</v>
      </c>
      <c r="I18" s="253">
        <v>223.53206069505628976994615761</v>
      </c>
      <c r="J18" s="239">
        <v>1.4307192909344184198899066800</v>
      </c>
      <c r="K18" s="253">
        <v>233.59279238780250243500412078</v>
      </c>
      <c r="L18" s="239">
        <v>-4.135515224912910255468430800</v>
      </c>
      <c r="M18" s="540"/>
      <c r="N18" s="238">
        <v>3.3849129593810444874274661500</v>
      </c>
      <c r="O18" s="246"/>
      <c r="P18" s="246">
        <v>-0.8557054868588085946682965800</v>
      </c>
      <c r="Q18" s="246"/>
      <c r="R18" s="246">
        <v>-0.487092060399415489527520700</v>
      </c>
      <c r="S18" s="246"/>
      <c r="T18" s="239">
        <v>0.4389705513470124918476897600</v>
      </c>
    </row>
    <row r="19" ht="20.1" customHeight="1">
      <c r="B19" s="730" t="s">
        <v>214</v>
      </c>
      <c r="C19" s="941"/>
      <c r="D19" s="345"/>
      <c r="E19" s="254">
        <v>176.93856106308102577276701459</v>
      </c>
      <c r="F19" s="241">
        <v>3.0985710036564580518225085500</v>
      </c>
      <c r="G19" s="254">
        <v>251.00917483543361657718102707</v>
      </c>
      <c r="H19" s="241">
        <v>2.4620341366813485431405263600</v>
      </c>
      <c r="I19" s="254">
        <v>217.87880158930871608973028881</v>
      </c>
      <c r="J19" s="241">
        <v>3.1772520660626405223678548800</v>
      </c>
      <c r="K19" s="254">
        <v>224.88409467496726447919224682</v>
      </c>
      <c r="L19" s="241">
        <v>2.2291973893747805163116079500</v>
      </c>
      <c r="M19" s="540"/>
      <c r="N19" s="240">
        <v>1.1131847266775439241219049800</v>
      </c>
      <c r="O19" s="121"/>
      <c r="P19" s="121">
        <v>0.6804687009593265274516997200</v>
      </c>
      <c r="Q19" s="121"/>
      <c r="R19" s="121">
        <v>0.7349070320650530850041552300</v>
      </c>
      <c r="S19" s="121"/>
      <c r="T19" s="241">
        <v>0.6575234167233806450907560300</v>
      </c>
    </row>
    <row r="20" ht="20.1" customHeight="1">
      <c r="B20" s="532" t="s">
        <v>215</v>
      </c>
      <c r="C20" s="345"/>
      <c r="D20" s="345"/>
      <c r="E20" s="255">
        <v>178.88192132965610071910868563</v>
      </c>
      <c r="F20" s="243">
        <v>1.7958199857071405359635061200</v>
      </c>
      <c r="G20" s="255">
        <v>248.4772025213612942113325759</v>
      </c>
      <c r="H20" s="243">
        <v>1.4534339201618460761024892700</v>
      </c>
      <c r="I20" s="255">
        <v>213.32158984456712535584032887</v>
      </c>
      <c r="J20" s="243">
        <v>1.2991030342663952589574411600</v>
      </c>
      <c r="K20" s="255">
        <v>222.7647394825893111007941688</v>
      </c>
      <c r="L20" s="243">
        <v>1.1862926450368412423883550900</v>
      </c>
      <c r="M20" s="540"/>
      <c r="N20" s="242">
        <v>3.2333827988415253501289501600</v>
      </c>
      <c r="O20" s="156"/>
      <c r="P20" s="156">
        <v>3.3399826635846372688477951600</v>
      </c>
      <c r="Q20" s="156"/>
      <c r="R20" s="156">
        <v>1.8280492280193605821603418300</v>
      </c>
      <c r="S20" s="156"/>
      <c r="T20" s="243">
        <v>4.2791260546248311744710428400</v>
      </c>
    </row>
    <row r="21" ht="20.1" customHeight="1">
      <c r="B21" s="730" t="s">
        <v>216</v>
      </c>
      <c r="C21" s="941"/>
      <c r="D21" s="345"/>
      <c r="E21" s="254">
        <v>219.07384356486805973152367517</v>
      </c>
      <c r="F21" s="241">
        <v>2.7767513053422057062920321100</v>
      </c>
      <c r="G21" s="254">
        <v>321.96339191739054820643918641</v>
      </c>
      <c r="H21" s="241">
        <v>1.8860175981562260344492967200</v>
      </c>
      <c r="I21" s="254">
        <v>280.12451458073744614989188072</v>
      </c>
      <c r="J21" s="241">
        <v>2.983156015813894919695420200</v>
      </c>
      <c r="K21" s="254">
        <v>288.57449839158170219726296276</v>
      </c>
      <c r="L21" s="241">
        <v>1.469440840345124945763550900</v>
      </c>
      <c r="M21" s="540"/>
      <c r="N21" s="240">
        <v>3.53997594719746972093067300</v>
      </c>
      <c r="O21" s="121"/>
      <c r="P21" s="121">
        <v>1.3944950013862387266174144200</v>
      </c>
      <c r="Q21" s="121"/>
      <c r="R21" s="121">
        <v>2.5262196073825935892827220600</v>
      </c>
      <c r="S21" s="121"/>
      <c r="T21" s="241">
        <v>0.5265340415327974960605503300</v>
      </c>
    </row>
    <row r="22" ht="20.1" customHeight="1">
      <c r="B22" s="532" t="s">
        <v>217</v>
      </c>
      <c r="C22" s="345"/>
      <c r="D22" s="345"/>
      <c r="E22" s="255">
        <v>287.52676888237800358358089613</v>
      </c>
      <c r="F22" s="243">
        <v>5.2921240402055670385249807200</v>
      </c>
      <c r="G22" s="255">
        <v>432.6181220076371883258275236</v>
      </c>
      <c r="H22" s="243">
        <v>1.9621052392963887342735201400</v>
      </c>
      <c r="I22" s="255">
        <v>377.16657211269005777790727769</v>
      </c>
      <c r="J22" s="243">
        <v>4.1619577347214785442220476900</v>
      </c>
      <c r="K22" s="255">
        <v>383.59653271954662019621304854</v>
      </c>
      <c r="L22" s="243">
        <v>0.542625007635215101493185200</v>
      </c>
      <c r="M22" s="540"/>
      <c r="N22" s="242">
        <v>-2.0853096819174105356999988600</v>
      </c>
      <c r="O22" s="156"/>
      <c r="P22" s="156">
        <v>2.7102896771410558449746159200</v>
      </c>
      <c r="Q22" s="156"/>
      <c r="R22" s="156">
        <v>1.5778807684138320061005122100</v>
      </c>
      <c r="S22" s="156"/>
      <c r="T22" s="243">
        <v>3.2652418575772077987927135800</v>
      </c>
    </row>
    <row r="23" ht="20.1" customHeight="1">
      <c r="B23" s="726" t="s">
        <v>74</v>
      </c>
      <c r="C23" s="349"/>
      <c r="D23" s="345"/>
      <c r="E23" s="256">
        <v>219.91975408728550195919470341</v>
      </c>
      <c r="F23" s="245">
        <v>-1.5781842027727837376098714700</v>
      </c>
      <c r="G23" s="256">
        <v>345.54003100377179644147791228</v>
      </c>
      <c r="H23" s="245">
        <v>8.090983523513644321934809400</v>
      </c>
      <c r="I23" s="256">
        <v>288.36833224249365949439581118</v>
      </c>
      <c r="J23" s="245">
        <v>4.7671589338021664459579945500</v>
      </c>
      <c r="K23" s="256">
        <v>310.16486811685582177385456074</v>
      </c>
      <c r="L23" s="245">
        <v>8.731287922421876426198544900</v>
      </c>
      <c r="M23" s="540"/>
      <c r="N23" s="244">
        <v>5.2175149274950241683252772300</v>
      </c>
      <c r="O23" s="250"/>
      <c r="P23" s="250">
        <v>-13.491505734417211238058479940</v>
      </c>
      <c r="Q23" s="250"/>
      <c r="R23" s="250">
        <v>-8.424798651432852594118748830</v>
      </c>
      <c r="S23" s="250"/>
      <c r="T23" s="245">
        <v>-16.084987804889196607661337960</v>
      </c>
    </row>
    <row r="24" ht="9.95" customHeight="1">
      <c r="B24" s="4"/>
      <c r="C24" s="4"/>
      <c r="D24" s="4"/>
      <c r="E24" s="535"/>
      <c r="F24" s="535"/>
      <c r="G24" s="535"/>
      <c r="H24" s="535"/>
      <c r="I24" s="535"/>
      <c r="J24" s="535"/>
      <c r="K24" s="535"/>
      <c r="L24" s="535"/>
      <c r="M24" s="156"/>
      <c r="N24" s="156"/>
      <c r="O24" s="156"/>
      <c r="P24" s="156"/>
      <c r="Q24" s="156"/>
      <c r="R24" s="156"/>
      <c r="S24" s="156"/>
      <c r="T24" s="156"/>
    </row>
    <row r="25" s="122" customFormat="1" ht="21" customHeight="1">
      <c r="B25" s="163"/>
      <c r="C25" s="163"/>
      <c r="D25" s="163"/>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163"/>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163"/>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213</v>
      </c>
      <c r="C28" s="348"/>
      <c r="D28" s="345"/>
      <c r="E28" s="253">
        <v>141.75555555555555555555555556</v>
      </c>
      <c r="F28" s="239">
        <v>5.7197903503226135601375834500</v>
      </c>
      <c r="G28" s="253">
        <v>234.5080780177465260338188515</v>
      </c>
      <c r="H28" s="239">
        <v>-1.9520398013762315556109819400</v>
      </c>
      <c r="I28" s="253">
        <v>190.09157509157509157509157509</v>
      </c>
      <c r="J28" s="239">
        <v>0.9366583104551106031407906300</v>
      </c>
      <c r="K28" s="253">
        <v>194.13219178082191780821917808</v>
      </c>
      <c r="L28" s="239">
        <v>-3.4509030205954224526483721600</v>
      </c>
      <c r="M28" s="540"/>
      <c r="N28" s="238">
        <v>5.7197903503138530380559756400</v>
      </c>
      <c r="O28" s="246"/>
      <c r="P28" s="246">
        <v>-2.4907648574152460517655281400</v>
      </c>
      <c r="Q28" s="246"/>
      <c r="R28" s="246">
        <v>0.9366583104609646135096461800</v>
      </c>
      <c r="S28" s="246"/>
      <c r="T28" s="239">
        <v>-3.714698367534336544459931600</v>
      </c>
    </row>
    <row r="29" ht="20.1" customHeight="1">
      <c r="B29" s="730" t="s">
        <v>214</v>
      </c>
      <c r="C29" s="941"/>
      <c r="D29" s="345"/>
      <c r="E29" s="254">
        <v>124.81904806033927973846114243</v>
      </c>
      <c r="F29" s="241">
        <v>4.536067450371641576866527900</v>
      </c>
      <c r="G29" s="254">
        <v>196.79252463903108028807321124</v>
      </c>
      <c r="H29" s="241">
        <v>3.0784361661330714416709455400</v>
      </c>
      <c r="I29" s="254">
        <v>161.69537071309830539771506764</v>
      </c>
      <c r="J29" s="241">
        <v>3.6135370058352100799690910400</v>
      </c>
      <c r="K29" s="254">
        <v>166.74662134118358351650476567</v>
      </c>
      <c r="L29" s="241">
        <v>3.2217241695795533208206235600</v>
      </c>
      <c r="M29" s="540"/>
      <c r="N29" s="240">
        <v>4.2462485494873219474228812100</v>
      </c>
      <c r="O29" s="121"/>
      <c r="P29" s="121">
        <v>3.1592562093293997771950098400</v>
      </c>
      <c r="Q29" s="121"/>
      <c r="R29" s="121">
        <v>3.9355089469863849127058318200</v>
      </c>
      <c r="S29" s="121"/>
      <c r="T29" s="241">
        <v>2.9013783009227290113062097500</v>
      </c>
    </row>
    <row r="30" ht="20.1" customHeight="1">
      <c r="B30" s="532" t="s">
        <v>215</v>
      </c>
      <c r="C30" s="345"/>
      <c r="D30" s="345"/>
      <c r="E30" s="255">
        <v>129.95653698979591836734693878</v>
      </c>
      <c r="F30" s="243">
        <v>6.2182300345090878442807568500</v>
      </c>
      <c r="G30" s="255">
        <v>199.19847681317037613696956687</v>
      </c>
      <c r="H30" s="243">
        <v>3.1573929051924553722234175800</v>
      </c>
      <c r="I30" s="255">
        <v>160.77913274604712856118307238</v>
      </c>
      <c r="J30" s="243">
        <v>1.7880033130876516533486200500</v>
      </c>
      <c r="K30" s="255">
        <v>168.59539675195078015147171141</v>
      </c>
      <c r="L30" s="243">
        <v>3.5641267274823828426400392300</v>
      </c>
      <c r="M30" s="540"/>
      <c r="N30" s="242">
        <v>5.0872685190756131195358331100</v>
      </c>
      <c r="O30" s="156"/>
      <c r="P30" s="156">
        <v>4.8419610247273117430172792800</v>
      </c>
      <c r="Q30" s="156"/>
      <c r="R30" s="156">
        <v>3.1509005052937631297393279500</v>
      </c>
      <c r="S30" s="156"/>
      <c r="T30" s="243">
        <v>5.5161816573339219028898343400</v>
      </c>
    </row>
    <row r="31" ht="20.1" customHeight="1">
      <c r="B31" s="730" t="s">
        <v>216</v>
      </c>
      <c r="C31" s="941"/>
      <c r="D31" s="345"/>
      <c r="E31" s="254">
        <v>150.94917446513533100166997511</v>
      </c>
      <c r="F31" s="241">
        <v>4.2774687542549436071572991100</v>
      </c>
      <c r="G31" s="254">
        <v>248.99061097953830513552027809</v>
      </c>
      <c r="H31" s="241">
        <v>2.3058085694674904467895515600</v>
      </c>
      <c r="I31" s="254">
        <v>206.47713876949419723779973302</v>
      </c>
      <c r="J31" s="241">
        <v>3.1175340968308642786644480800</v>
      </c>
      <c r="K31" s="254">
        <v>208.29968252636670114174253319</v>
      </c>
      <c r="L31" s="241">
        <v>2.5823837957441527666997472500</v>
      </c>
      <c r="M31" s="540"/>
      <c r="N31" s="240">
        <v>6.4150235808840154011744588900</v>
      </c>
      <c r="O31" s="121"/>
      <c r="P31" s="121">
        <v>3.3068130206896681043762730100</v>
      </c>
      <c r="Q31" s="121"/>
      <c r="R31" s="121">
        <v>5.5847366953788906405049321200</v>
      </c>
      <c r="S31" s="121"/>
      <c r="T31" s="241">
        <v>2.0037119881275738802362622300</v>
      </c>
    </row>
    <row r="32" ht="20.1" customHeight="1">
      <c r="B32" s="532" t="s">
        <v>217</v>
      </c>
      <c r="C32" s="345"/>
      <c r="D32" s="345"/>
      <c r="E32" s="255">
        <v>193.48797769137111660971682181</v>
      </c>
      <c r="F32" s="243">
        <v>2.452635782269378719203365200</v>
      </c>
      <c r="G32" s="255">
        <v>336.30598962666152666761681307</v>
      </c>
      <c r="H32" s="243">
        <v>1.2090932762650017821988042300</v>
      </c>
      <c r="I32" s="255">
        <v>276.09443355674720774479126151</v>
      </c>
      <c r="J32" s="243">
        <v>1.0996407968775559179597327200</v>
      </c>
      <c r="K32" s="255">
        <v>278.05967409734868861226463722</v>
      </c>
      <c r="L32" s="243">
        <v>-0.2570571187687922815885001800</v>
      </c>
      <c r="M32" s="540"/>
      <c r="N32" s="242">
        <v>3.0964571833055306473550169700</v>
      </c>
      <c r="O32" s="156"/>
      <c r="P32" s="156">
        <v>4.7255736521889152970171680200</v>
      </c>
      <c r="Q32" s="156"/>
      <c r="R32" s="156">
        <v>5.8055092338241378974769013500</v>
      </c>
      <c r="S32" s="156"/>
      <c r="T32" s="243">
        <v>3.8255848840984261437888015800</v>
      </c>
    </row>
    <row r="33" ht="20.1" customHeight="1">
      <c r="B33" s="726" t="s">
        <v>74</v>
      </c>
      <c r="C33" s="349"/>
      <c r="D33" s="345"/>
      <c r="E33" s="256">
        <v>157.71570736434108527131782946</v>
      </c>
      <c r="F33" s="245">
        <v>3.5569887283516909031625226100</v>
      </c>
      <c r="G33" s="256">
        <v>281.02598018116407554927405885</v>
      </c>
      <c r="H33" s="245">
        <v>10.515732194015199166636464780</v>
      </c>
      <c r="I33" s="256">
        <v>225.19333791208791208791208791</v>
      </c>
      <c r="J33" s="245">
        <v>9.962231456744457899980896580</v>
      </c>
      <c r="K33" s="256">
        <v>235.06920078050334501433577572</v>
      </c>
      <c r="L33" s="245">
        <v>10.168240164043285407262361110</v>
      </c>
      <c r="M33" s="540"/>
      <c r="N33" s="244">
        <v>3.5569887283817356828635000200</v>
      </c>
      <c r="O33" s="250"/>
      <c r="P33" s="250">
        <v>-6.4921177169567424812210192300</v>
      </c>
      <c r="Q33" s="250"/>
      <c r="R33" s="250">
        <v>-4.0592632592125887685447847800</v>
      </c>
      <c r="S33" s="250"/>
      <c r="T33" s="245">
        <v>-8.758126480014125014342056170</v>
      </c>
    </row>
    <row r="34" ht="9.95" customHeight="1">
      <c r="B34" s="4"/>
      <c r="C34" s="4"/>
      <c r="D34" s="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13"/>
      <c r="N35" s="756" t="s">
        <v>56</v>
      </c>
      <c r="O35" s="756"/>
      <c r="P35" s="756"/>
      <c r="Q35" s="756"/>
      <c r="R35" s="756"/>
      <c r="S35" s="756"/>
      <c r="T35" s="756"/>
      <c r="U35" s="123"/>
    </row>
    <row r="36" ht="24.95" customHeight="1">
      <c r="B36" s="9"/>
      <c r="C36" s="155"/>
      <c r="D36" s="252"/>
      <c r="E36" s="745" t="s">
        <v>31</v>
      </c>
      <c r="F36" s="747"/>
      <c r="G36" s="746"/>
      <c r="H36" s="745" t="s">
        <v>32</v>
      </c>
      <c r="I36" s="747"/>
      <c r="J36" s="746"/>
      <c r="K36" s="745" t="s">
        <v>36</v>
      </c>
      <c r="L36" s="746"/>
      <c r="M36" s="113"/>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13"/>
      <c r="N37" s="741"/>
      <c r="O37" s="741"/>
      <c r="P37" s="741"/>
      <c r="Q37" s="741"/>
      <c r="R37" s="741"/>
      <c r="S37" s="741"/>
      <c r="T37" s="741"/>
      <c r="U37" s="123"/>
    </row>
    <row r="38" ht="18.95" customHeight="1">
      <c r="B38" s="743" t="s">
        <v>214</v>
      </c>
      <c r="C38" s="945"/>
      <c r="D38" s="4"/>
      <c r="E38" s="769">
        <v>574</v>
      </c>
      <c r="F38" s="769"/>
      <c r="G38" s="258">
        <v>64745</v>
      </c>
      <c r="H38" s="758">
        <v>355</v>
      </c>
      <c r="I38" s="758"/>
      <c r="J38" s="258">
        <v>54635</v>
      </c>
      <c r="K38" s="761">
        <v>84.38489458645455247509460190</v>
      </c>
      <c r="L38" s="762"/>
      <c r="N38" s="692"/>
      <c r="O38" s="741"/>
      <c r="P38" s="741"/>
      <c r="Q38" s="692"/>
      <c r="R38" s="692"/>
      <c r="S38" s="741"/>
      <c r="T38" s="741"/>
      <c r="U38" s="123"/>
    </row>
    <row r="39" ht="18.95" customHeight="1">
      <c r="B39" s="532" t="s">
        <v>215</v>
      </c>
      <c r="C39" s="345"/>
      <c r="D39" s="4"/>
      <c r="E39" s="772">
        <v>80</v>
      </c>
      <c r="F39" s="772"/>
      <c r="G39" s="4">
        <v>12544</v>
      </c>
      <c r="H39" s="765">
        <v>61</v>
      </c>
      <c r="I39" s="765"/>
      <c r="J39" s="4">
        <v>11451</v>
      </c>
      <c r="K39" s="766">
        <v>91.28667091836734693877551020</v>
      </c>
      <c r="L39" s="767"/>
      <c r="N39" s="693"/>
      <c r="O39" s="740"/>
      <c r="P39" s="740"/>
      <c r="Q39" s="740"/>
      <c r="R39" s="740"/>
      <c r="S39" s="740"/>
      <c r="T39" s="740"/>
      <c r="U39" s="123"/>
    </row>
    <row r="40" ht="18.95" customHeight="1">
      <c r="B40" s="730" t="s">
        <v>216</v>
      </c>
      <c r="C40" s="941"/>
      <c r="D40" s="4"/>
      <c r="E40" s="770">
        <v>228</v>
      </c>
      <c r="F40" s="770"/>
      <c r="G40" s="120">
        <v>21158</v>
      </c>
      <c r="H40" s="771">
        <v>131</v>
      </c>
      <c r="I40" s="771"/>
      <c r="J40" s="120">
        <v>17202</v>
      </c>
      <c r="K40" s="759">
        <v>81.30258058417619812836752056</v>
      </c>
      <c r="L40" s="760"/>
      <c r="N40" s="763"/>
      <c r="O40" s="763"/>
      <c r="P40" s="763"/>
      <c r="Q40" s="763"/>
      <c r="R40" s="763"/>
      <c r="S40" s="763"/>
      <c r="T40" s="763"/>
      <c r="U40" s="123"/>
    </row>
    <row r="41" ht="18.95" customHeight="1">
      <c r="B41" s="532" t="s">
        <v>217</v>
      </c>
      <c r="C41" s="345"/>
      <c r="D41" s="4"/>
      <c r="E41" s="772">
        <v>51</v>
      </c>
      <c r="F41" s="772"/>
      <c r="G41" s="4">
        <v>8487</v>
      </c>
      <c r="H41" s="765">
        <v>49</v>
      </c>
      <c r="I41" s="765"/>
      <c r="J41" s="4">
        <v>8413</v>
      </c>
      <c r="K41" s="766">
        <v>99.12807823730411217155649817</v>
      </c>
      <c r="L41" s="767"/>
      <c r="N41" s="763"/>
      <c r="O41" s="763"/>
      <c r="P41" s="763"/>
      <c r="Q41" s="763"/>
      <c r="R41" s="763"/>
      <c r="S41" s="763"/>
      <c r="T41" s="763"/>
      <c r="U41" s="123"/>
    </row>
    <row r="42" ht="18.95" customHeight="1">
      <c r="B42" s="726" t="s">
        <v>74</v>
      </c>
      <c r="C42" s="349"/>
      <c r="D42" s="4"/>
      <c r="E42" s="768">
        <v>4</v>
      </c>
      <c r="F42" s="768"/>
      <c r="G42" s="260">
        <v>344</v>
      </c>
      <c r="H42" s="764">
        <v>4</v>
      </c>
      <c r="I42" s="764"/>
      <c r="J42" s="260">
        <v>344</v>
      </c>
      <c r="K42" s="774">
        <v>100</v>
      </c>
      <c r="L42" s="775"/>
      <c r="N42" s="763"/>
      <c r="O42" s="763"/>
      <c r="P42" s="763"/>
      <c r="Q42" s="763"/>
      <c r="R42" s="763"/>
      <c r="S42" s="763"/>
      <c r="T42" s="763"/>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208</v>
      </c>
      <c r="C2" s="130"/>
      <c r="W2" s="281"/>
      <c r="X2" s="281"/>
      <c r="Y2" s="281"/>
      <c r="Z2" s="281"/>
      <c r="AA2" s="281"/>
      <c r="AB2" s="281"/>
      <c r="AC2" s="281"/>
      <c r="AD2" s="281"/>
      <c r="AE2" s="281"/>
      <c r="AF2" s="281"/>
      <c r="AG2" s="281"/>
      <c r="AH2" s="281"/>
      <c r="AI2" s="281"/>
      <c r="AJ2" s="281"/>
      <c r="AK2" s="281"/>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209</v>
      </c>
      <c r="C3" s="130"/>
      <c r="O3" s="961"/>
      <c r="P3" s="961"/>
      <c r="Q3" s="961"/>
      <c r="R3" s="961"/>
      <c r="S3" s="961"/>
      <c r="T3" s="961"/>
      <c r="U3" s="961"/>
      <c r="W3" s="281"/>
      <c r="X3" s="281"/>
      <c r="Y3" s="281"/>
      <c r="Z3" s="281"/>
      <c r="AA3" s="281"/>
      <c r="AB3" s="281"/>
      <c r="AC3" s="281"/>
      <c r="AD3" s="281"/>
      <c r="AE3" s="281"/>
      <c r="AF3" s="281"/>
      <c r="AG3" s="281"/>
      <c r="AH3" s="281"/>
      <c r="AI3" s="281"/>
      <c r="AJ3" s="281"/>
      <c r="AK3" s="281"/>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210</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0" t="s">
        <v>43</v>
      </c>
      <c r="C18" s="303" t="s">
        <v>42</v>
      </c>
      <c r="D18" s="307">
        <v>76.363636363636363636363636360</v>
      </c>
      <c r="E18" s="308">
        <v>3.9175257732644404293761744700</v>
      </c>
      <c r="F18" s="308">
        <v>69.709302325581395348837209300</v>
      </c>
      <c r="G18" s="308">
        <v>3.006872852159342119247582600</v>
      </c>
      <c r="H18" s="308">
        <v>109.54583364922392893059024427</v>
      </c>
      <c r="I18" s="309">
        <v>0.8840700584094906064355528700</v>
      </c>
      <c r="J18" s="317">
        <v>156.66743327219019071730412704</v>
      </c>
      <c r="K18" s="308">
        <v>-0.3742373997994905901615990500</v>
      </c>
      <c r="L18" s="318">
        <v>209.51959014199471712609326997</v>
      </c>
      <c r="M18" s="308">
        <v>1.9121979153600752294731688500</v>
      </c>
      <c r="N18" s="308">
        <v>74.774598960417142947593484720</v>
      </c>
      <c r="O18" s="309">
        <v>-2.2435344952792182380944837100</v>
      </c>
      <c r="P18" s="317">
        <v>119.63694904421796382048678792</v>
      </c>
      <c r="Q18" s="308">
        <v>3.5286275267913710312032145800</v>
      </c>
      <c r="R18" s="318">
        <v>146.05464452340213129894525041</v>
      </c>
      <c r="S18" s="308">
        <v>4.9765681275448423334700413700</v>
      </c>
      <c r="T18" s="308">
        <v>81.91245778907801093435445893</v>
      </c>
      <c r="U18" s="309">
        <v>-1.3792988536425281334742244200</v>
      </c>
      <c r="W18" s="281"/>
      <c r="X18" s="1014"/>
      <c r="Y18" s="1014"/>
      <c r="Z18" s="1014"/>
      <c r="AA18" s="1014"/>
      <c r="AB18" s="1014"/>
      <c r="AC18" s="1014"/>
      <c r="AD18" s="1014"/>
      <c r="AE18" s="1014"/>
      <c r="AF18" s="1014"/>
      <c r="AG18" s="281"/>
      <c r="AH18" s="281"/>
      <c r="AI18" s="281"/>
      <c r="AJ18" s="281"/>
      <c r="AK18" s="281"/>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1"/>
      <c r="C19" s="304" t="s">
        <v>58</v>
      </c>
      <c r="D19" s="310">
        <v>86.07226107226107226107226107</v>
      </c>
      <c r="E19" s="134">
        <v>0.6816632583627284931060022400</v>
      </c>
      <c r="F19" s="134">
        <v>79.91949910554561717352415027</v>
      </c>
      <c r="G19" s="134">
        <v>0.4321065507636115389107643600</v>
      </c>
      <c r="H19" s="134">
        <v>107.69869936076419152160355637</v>
      </c>
      <c r="I19" s="311">
        <v>0.248482996353587846943053200</v>
      </c>
      <c r="J19" s="319">
        <v>241.53194349007089139555205635</v>
      </c>
      <c r="K19" s="134">
        <v>-0.3821721525792397748738089900</v>
      </c>
      <c r="L19" s="135">
        <v>319.27549740911639539252691363</v>
      </c>
      <c r="M19" s="134">
        <v>8.648623388065668447831976130</v>
      </c>
      <c r="N19" s="134">
        <v>75.650009302338257213545656490</v>
      </c>
      <c r="O19" s="311">
        <v>-8.311928176365616232772397690</v>
      </c>
      <c r="P19" s="319">
        <v>207.8920049736798989459384541</v>
      </c>
      <c r="Q19" s="134">
        <v>0.2968859786083825372426526500</v>
      </c>
      <c r="R19" s="135">
        <v>255.16337829610509774885760047</v>
      </c>
      <c r="S19" s="134">
        <v>9.11810120698900155865956500</v>
      </c>
      <c r="T19" s="134">
        <v>81.47407608486636340840775044</v>
      </c>
      <c r="U19" s="311">
        <v>-8.084098908235353560118406210</v>
      </c>
      <c r="W19" s="281"/>
      <c r="X19" s="281"/>
      <c r="Y19" s="281"/>
      <c r="Z19" s="281"/>
      <c r="AA19" s="281"/>
      <c r="AB19" s="281"/>
      <c r="AC19" s="281"/>
      <c r="AD19" s="281"/>
      <c r="AE19" s="281"/>
      <c r="AF19" s="281"/>
      <c r="AG19" s="281"/>
      <c r="AH19" s="281"/>
      <c r="AI19" s="281"/>
      <c r="AJ19" s="281"/>
      <c r="AK19" s="281"/>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1"/>
      <c r="C20" s="305" t="s">
        <v>44</v>
      </c>
      <c r="D20" s="312">
        <v>82.86713286713286713286713287</v>
      </c>
      <c r="E20" s="159">
        <v>1.1379800853879257561072493500</v>
      </c>
      <c r="F20" s="159">
        <v>75.424865831842576028622540250</v>
      </c>
      <c r="G20" s="159">
        <v>0.4344761090341915001955437600</v>
      </c>
      <c r="H20" s="159">
        <v>109.86712664750292583080897236</v>
      </c>
      <c r="I20" s="313">
        <v>0.7004606422517317544740607800</v>
      </c>
      <c r="J20" s="320">
        <v>200.22260247983106259259110051</v>
      </c>
      <c r="K20" s="159">
        <v>-2.5487880911452735233308088200</v>
      </c>
      <c r="L20" s="160">
        <v>266.96052449958155693565844868</v>
      </c>
      <c r="M20" s="159">
        <v>7.6965848599709995216628324400</v>
      </c>
      <c r="N20" s="159">
        <v>75.000827502543757514456514910</v>
      </c>
      <c r="O20" s="313">
        <v>-9.513182766649524702456660560</v>
      </c>
      <c r="P20" s="320">
        <v>165.91873002699287354700731056</v>
      </c>
      <c r="Q20" s="159">
        <v>-1.439812706663006868676258600</v>
      </c>
      <c r="R20" s="160">
        <v>201.35461742779261886045973779</v>
      </c>
      <c r="S20" s="159">
        <v>8.164500791392242645782345910</v>
      </c>
      <c r="T20" s="159">
        <v>82.40125413885111377456134807</v>
      </c>
      <c r="U20" s="313">
        <v>-8.879358225535903145591376850</v>
      </c>
      <c r="W20" s="281"/>
      <c r="X20" s="281"/>
      <c r="Y20" s="281"/>
      <c r="Z20" s="281"/>
      <c r="AA20" s="281"/>
      <c r="AB20" s="281"/>
      <c r="AC20" s="281"/>
      <c r="AD20" s="281"/>
      <c r="AE20" s="281"/>
      <c r="AF20" s="281"/>
      <c r="AG20" s="281"/>
      <c r="AH20" s="281"/>
      <c r="AI20" s="281"/>
      <c r="AJ20" s="281"/>
      <c r="AK20" s="281"/>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2"/>
      <c r="C21" s="306" t="s">
        <v>45</v>
      </c>
      <c r="D21" s="314">
        <v>82.53205128205128205128205128</v>
      </c>
      <c r="E21" s="315">
        <v>0.5387830000789066722558602300</v>
      </c>
      <c r="F21" s="315">
        <v>75.503130590339892665474060820</v>
      </c>
      <c r="G21" s="315">
        <v>-0.4124070332213014048650231300</v>
      </c>
      <c r="H21" s="315">
        <v>109.30944271687497153239752355</v>
      </c>
      <c r="I21" s="316">
        <v>0.9551290526943627681771680200</v>
      </c>
      <c r="J21" s="321">
        <v>211.76898740848853608131905793</v>
      </c>
      <c r="K21" s="315">
        <v>-2.3036228117313713422535287500</v>
      </c>
      <c r="L21" s="322">
        <v>288.61496702468765512033584928</v>
      </c>
      <c r="M21" s="315">
        <v>10.073665509684187520621959880</v>
      </c>
      <c r="N21" s="315">
        <v>73.374222269756752836968825660</v>
      </c>
      <c r="O21" s="316">
        <v>-11.244549969409577087792400500</v>
      </c>
      <c r="P21" s="321">
        <v>174.77728928745448090044761993</v>
      </c>
      <c r="Q21" s="315">
        <v>-1.7772513397960154366844097700</v>
      </c>
      <c r="R21" s="322">
        <v>217.9133354559163388894932905</v>
      </c>
      <c r="S21" s="315">
        <v>9.619713971433992971570610940</v>
      </c>
      <c r="T21" s="315">
        <v>80.20495346087934364929924653</v>
      </c>
      <c r="U21" s="316">
        <v>-10.396820880351336555674186240</v>
      </c>
      <c r="W21" s="281"/>
      <c r="X21" s="281"/>
      <c r="Y21" s="281"/>
      <c r="Z21" s="281"/>
      <c r="AA21" s="281"/>
      <c r="AB21" s="281"/>
      <c r="AC21" s="281"/>
      <c r="AD21" s="281"/>
      <c r="AE21" s="281"/>
      <c r="AF21" s="281"/>
      <c r="AG21" s="281"/>
      <c r="AH21" s="281"/>
      <c r="AI21" s="281"/>
      <c r="AJ21" s="281"/>
      <c r="AK21" s="281"/>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3" t="s">
        <v>46</v>
      </c>
      <c r="C24" s="303" t="s">
        <v>42</v>
      </c>
      <c r="D24" s="307">
        <v>69.393939393939393939393939390</v>
      </c>
      <c r="E24" s="308">
        <v>-10.634146341445977394408087030</v>
      </c>
      <c r="F24" s="308">
        <v>63.372093023255813953488372090</v>
      </c>
      <c r="G24" s="308">
        <v>3.440094899204971230523097300</v>
      </c>
      <c r="H24" s="308">
        <v>109.50236308026838144937300163</v>
      </c>
      <c r="I24" s="309">
        <v>-13.606175878375920196465620570</v>
      </c>
      <c r="J24" s="317">
        <v>150.01681041119292249019906836</v>
      </c>
      <c r="K24" s="308">
        <v>-0.9801822274939826611313229700</v>
      </c>
      <c r="L24" s="318">
        <v>198.16900291728881422568837512</v>
      </c>
      <c r="M24" s="308">
        <v>-4.6437150949089021157681262700</v>
      </c>
      <c r="N24" s="308">
        <v>75.701450884222303107338594740</v>
      </c>
      <c r="O24" s="309">
        <v>3.8419416937993682476465307200</v>
      </c>
      <c r="P24" s="317">
        <v>104.10257449746417954622905047</v>
      </c>
      <c r="Q24" s="308">
        <v>-11.510094556482928433683533070</v>
      </c>
      <c r="R24" s="318">
        <v>125.58384487200279506162809819</v>
      </c>
      <c r="S24" s="308">
        <v>-1.3633684017944487668347073200</v>
      </c>
      <c r="T24" s="308">
        <v>82.89487760433646770393097068</v>
      </c>
      <c r="U24" s="309">
        <v>-10.286975528558100241140087940</v>
      </c>
      <c r="W24" s="281"/>
      <c r="X24" s="281"/>
      <c r="Y24" s="281"/>
      <c r="Z24" s="281"/>
      <c r="AA24" s="281"/>
      <c r="AB24" s="281"/>
      <c r="AC24" s="281"/>
      <c r="AD24" s="281"/>
      <c r="AE24" s="281"/>
      <c r="AF24" s="281"/>
      <c r="AG24" s="281"/>
      <c r="AH24" s="281"/>
      <c r="AI24" s="281"/>
      <c r="AJ24" s="281"/>
      <c r="AK24" s="281"/>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4"/>
      <c r="C25" s="304" t="s">
        <v>58</v>
      </c>
      <c r="D25" s="310">
        <v>84.29487179487179487179487179</v>
      </c>
      <c r="E25" s="134">
        <v>-2.9845741113214009745933665800</v>
      </c>
      <c r="F25" s="134">
        <v>76.419946332737030411449016100</v>
      </c>
      <c r="G25" s="134">
        <v>2.9812524878009742047549331100</v>
      </c>
      <c r="H25" s="134">
        <v>110.30480370646651980149365770</v>
      </c>
      <c r="I25" s="311">
        <v>-5.7931190920154517630355461900</v>
      </c>
      <c r="J25" s="319">
        <v>237.46142469423572651316524896</v>
      </c>
      <c r="K25" s="134">
        <v>0.4759180744405613362739416300</v>
      </c>
      <c r="L25" s="135">
        <v>314.6039490686382166466395358</v>
      </c>
      <c r="M25" s="134">
        <v>7.7683702855977484138161352900</v>
      </c>
      <c r="N25" s="134">
        <v>75.479479961154843374141189310</v>
      </c>
      <c r="O25" s="311">
        <v>-6.766783418704956998600724600</v>
      </c>
      <c r="P25" s="319">
        <v>200.16780350828203869539250152</v>
      </c>
      <c r="Q25" s="134">
        <v>-2.5228601645580995221169840700</v>
      </c>
      <c r="R25" s="135">
        <v>240.42016903892466578485926064</v>
      </c>
      <c r="S25" s="134">
        <v>10.981217505790485116929995740</v>
      </c>
      <c r="T25" s="134">
        <v>83.25749220977166613080257979</v>
      </c>
      <c r="U25" s="311">
        <v>-12.167894688665453072591125640</v>
      </c>
      <c r="W25" s="281"/>
      <c r="X25" s="281"/>
      <c r="Y25" s="281"/>
      <c r="Z25" s="281"/>
      <c r="AA25" s="281"/>
      <c r="AB25" s="281"/>
      <c r="AC25" s="281"/>
      <c r="AD25" s="281"/>
      <c r="AE25" s="281"/>
      <c r="AF25" s="281"/>
      <c r="AG25" s="281"/>
      <c r="AH25" s="281"/>
      <c r="AI25" s="281"/>
      <c r="AJ25" s="281"/>
      <c r="AK25" s="281"/>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4"/>
      <c r="C26" s="305" t="s">
        <v>44</v>
      </c>
      <c r="D26" s="312">
        <v>77.797202797202797202797202800</v>
      </c>
      <c r="E26" s="159">
        <v>-8.121128699286703495485267440</v>
      </c>
      <c r="F26" s="159">
        <v>70.594812164579606440071556350</v>
      </c>
      <c r="G26" s="159">
        <v>2.4679915993630742195527200100</v>
      </c>
      <c r="H26" s="159">
        <v>110.20243614475464189710011868</v>
      </c>
      <c r="I26" s="313">
        <v>-10.334076166938543978673628830</v>
      </c>
      <c r="J26" s="320">
        <v>190.10504687919182648594541482</v>
      </c>
      <c r="K26" s="159">
        <v>4.3565545080079234753597570700</v>
      </c>
      <c r="L26" s="160">
        <v>252.98953710092401579445228777</v>
      </c>
      <c r="M26" s="159">
        <v>5.0812408664412460916576268700</v>
      </c>
      <c r="N26" s="159">
        <v>75.143442316893956443819023540</v>
      </c>
      <c r="O26" s="313">
        <v>-0.6896438912126855177804158900</v>
      </c>
      <c r="P26" s="320">
        <v>147.89640884832231256336662516</v>
      </c>
      <c r="Q26" s="159">
        <v>-4.1183755897140960922652636900</v>
      </c>
      <c r="R26" s="160">
        <v>178.59748851243674370820345986</v>
      </c>
      <c r="S26" s="159">
        <v>7.6746370635004260985256532100</v>
      </c>
      <c r="T26" s="159">
        <v>82.80990403627869854556665087</v>
      </c>
      <c r="U26" s="313">
        <v>-10.952451733099753276218205130</v>
      </c>
      <c r="W26" s="281"/>
      <c r="X26" s="281"/>
      <c r="Y26" s="281"/>
      <c r="Z26" s="281"/>
      <c r="AA26" s="281"/>
      <c r="AB26" s="281"/>
      <c r="AC26" s="281"/>
      <c r="AD26" s="281"/>
      <c r="AE26" s="281"/>
      <c r="AF26" s="281"/>
      <c r="AG26" s="281"/>
      <c r="AH26" s="281"/>
      <c r="AI26" s="281"/>
      <c r="AJ26" s="281"/>
      <c r="AK26" s="281"/>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5"/>
      <c r="C27" s="306" t="s">
        <v>45</v>
      </c>
      <c r="D27" s="314">
        <v>78.216123499142367066895368780</v>
      </c>
      <c r="E27" s="315">
        <v>1.1064918452711553500675090700</v>
      </c>
      <c r="F27" s="315">
        <v>71.127687582272926722246599390</v>
      </c>
      <c r="G27" s="315">
        <v>4.1460817362502738846671359200</v>
      </c>
      <c r="H27" s="315">
        <v>109.96578991639580854600624876</v>
      </c>
      <c r="I27" s="316">
        <v>-2.9185830522219922104069172600</v>
      </c>
      <c r="J27" s="321">
        <v>208.75736250767596256360246016</v>
      </c>
      <c r="K27" s="315">
        <v>0.1354599154689230095670922300</v>
      </c>
      <c r="L27" s="322">
        <v>281.7102598233932852659117882</v>
      </c>
      <c r="M27" s="315">
        <v>11.594367458261623449557744610</v>
      </c>
      <c r="N27" s="315">
        <v>74.103571037328519385671159220</v>
      </c>
      <c r="O27" s="316">
        <v>-10.268356552188484784247964030</v>
      </c>
      <c r="P27" s="321">
        <v>163.28191647255615596741461721</v>
      </c>
      <c r="Q27" s="315">
        <v>1.2434506136325816612349501700</v>
      </c>
      <c r="R27" s="322">
        <v>200.37399349439250347347214071</v>
      </c>
      <c r="S27" s="315">
        <v>16.221161146185325837771305070</v>
      </c>
      <c r="T27" s="315">
        <v>81.48857724748572039278830741</v>
      </c>
      <c r="U27" s="316">
        <v>-12.887249090289515843789379810</v>
      </c>
      <c r="W27" s="281"/>
      <c r="X27" s="281"/>
      <c r="Y27" s="281"/>
      <c r="Z27" s="281"/>
      <c r="AA27" s="281"/>
      <c r="AB27" s="281"/>
      <c r="AC27" s="281"/>
      <c r="AD27" s="281"/>
      <c r="AE27" s="281"/>
      <c r="AF27" s="281"/>
      <c r="AG27" s="281"/>
      <c r="AH27" s="281"/>
      <c r="AI27" s="281"/>
      <c r="AJ27" s="281"/>
      <c r="AK27" s="281"/>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3" t="s">
        <v>47</v>
      </c>
      <c r="C30" s="303" t="s">
        <v>42</v>
      </c>
      <c r="D30" s="307">
        <v>69.886363636363636363636363640</v>
      </c>
      <c r="E30" s="308">
        <v>-11.933174224387393555516294560</v>
      </c>
      <c r="F30" s="308">
        <v>62.863372093023255813953488370</v>
      </c>
      <c r="G30" s="308">
        <v>1.4067995310135636035288463300</v>
      </c>
      <c r="H30" s="308">
        <v>111.17183394644154754130230944</v>
      </c>
      <c r="I30" s="308">
        <v>-13.154910535620153527003215590</v>
      </c>
      <c r="J30" s="317">
        <v>166.52469672929909221478774984</v>
      </c>
      <c r="K30" s="308">
        <v>11.629615936085874882681791200</v>
      </c>
      <c r="L30" s="318">
        <v>196.82979091520189870779889903</v>
      </c>
      <c r="M30" s="308">
        <v>-4.1404987720904441360246502400</v>
      </c>
      <c r="N30" s="308">
        <v>84.60340071236613568261840653</v>
      </c>
      <c r="O30" s="309">
        <v>16.451279744055293848675821590</v>
      </c>
      <c r="P30" s="317">
        <v>116.37805510058970649101643881</v>
      </c>
      <c r="Q30" s="308">
        <v>-1.6913406195166072926974415400</v>
      </c>
      <c r="R30" s="318">
        <v>123.73384385294305405686486022</v>
      </c>
      <c r="S30" s="308">
        <v>-2.791947758312071367810059300</v>
      </c>
      <c r="T30" s="308">
        <v>94.05515215299125056525890232</v>
      </c>
      <c r="U30" s="309">
        <v>1.132218075995084186651600</v>
      </c>
      <c r="W30" s="281"/>
      <c r="X30" s="281"/>
      <c r="Y30" s="281"/>
      <c r="Z30" s="281"/>
      <c r="AA30" s="281"/>
      <c r="AB30" s="281"/>
      <c r="AC30" s="281"/>
      <c r="AD30" s="281"/>
      <c r="AE30" s="281"/>
      <c r="AF30" s="281"/>
      <c r="AG30" s="281"/>
      <c r="AH30" s="281"/>
      <c r="AI30" s="281"/>
      <c r="AJ30" s="281"/>
      <c r="AK30" s="281"/>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4"/>
      <c r="C31" s="304" t="s">
        <v>58</v>
      </c>
      <c r="D31" s="310">
        <v>84.24242424242424242424242424</v>
      </c>
      <c r="E31" s="134">
        <v>-3.946843853861444531517294800</v>
      </c>
      <c r="F31" s="134">
        <v>77.255813953488372093023255810</v>
      </c>
      <c r="G31" s="134">
        <v>4.1875822167282788224320406100</v>
      </c>
      <c r="H31" s="134">
        <v>109.04347508801015071845226344</v>
      </c>
      <c r="I31" s="134">
        <v>-7.8074813691562430301206872400</v>
      </c>
      <c r="J31" s="319">
        <v>247.34885871569121846969637458</v>
      </c>
      <c r="K31" s="134">
        <v>4.1153150472077247085856057300</v>
      </c>
      <c r="L31" s="135">
        <v>320.05833889501061998024632661</v>
      </c>
      <c r="M31" s="134">
        <v>12.182504607177112094723900640</v>
      </c>
      <c r="N31" s="134">
        <v>77.282429062670905439367672680</v>
      </c>
      <c r="O31" s="311">
        <v>-7.1911298363567587292135578800</v>
      </c>
      <c r="P31" s="319">
        <v>208.37267491806714768053209737</v>
      </c>
      <c r="Q31" s="134">
        <v>0.0060461343829283765147379400</v>
      </c>
      <c r="R31" s="135">
        <v>247.26367483935471618008797605</v>
      </c>
      <c r="S31" s="134">
        <v>16.880239220460645322920608150</v>
      </c>
      <c r="T31" s="134">
        <v>84.27144628235711954455001583</v>
      </c>
      <c r="U31" s="311">
        <v>-14.437165083362858103513487110</v>
      </c>
      <c r="W31" s="281"/>
      <c r="X31" s="281"/>
      <c r="Y31" s="281"/>
      <c r="Z31" s="281"/>
      <c r="AA31" s="281"/>
      <c r="AB31" s="281"/>
      <c r="AC31" s="281"/>
      <c r="AD31" s="281"/>
      <c r="AE31" s="281"/>
      <c r="AF31" s="281"/>
      <c r="AG31" s="281"/>
      <c r="AH31" s="281"/>
      <c r="AI31" s="281"/>
      <c r="AJ31" s="281"/>
      <c r="AK31" s="281"/>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4"/>
      <c r="C32" s="305" t="s">
        <v>44</v>
      </c>
      <c r="D32" s="312">
        <v>79.137529137529137529137529140</v>
      </c>
      <c r="E32" s="159">
        <v>-7.4301295160077283049167562300</v>
      </c>
      <c r="F32" s="159">
        <v>71.332737030411449016100178890</v>
      </c>
      <c r="G32" s="159">
        <v>6.3585160763191182503367399500</v>
      </c>
      <c r="H32" s="159">
        <v>110.94138880974517398789141688</v>
      </c>
      <c r="I32" s="159">
        <v>-12.964307984902298364980209530</v>
      </c>
      <c r="J32" s="320">
        <v>201.40334424402597711576730784</v>
      </c>
      <c r="K32" s="159">
        <v>11.764359438462753349444074540</v>
      </c>
      <c r="L32" s="160">
        <v>255.2378401310801200085093784</v>
      </c>
      <c r="M32" s="159">
        <v>5.6533804083209823093622033600</v>
      </c>
      <c r="N32" s="159">
        <v>78.908105530346695758545358990</v>
      </c>
      <c r="O32" s="313">
        <v>5.78398817581648577751796700</v>
      </c>
      <c r="P32" s="320">
        <v>159.38563023507417070117249653</v>
      </c>
      <c r="Q32" s="159">
        <v>3.4601227793836215396236929600</v>
      </c>
      <c r="R32" s="160">
        <v>182.06813730280536288621308522</v>
      </c>
      <c r="S32" s="159">
        <v>12.371367586728951146152304630</v>
      </c>
      <c r="T32" s="159">
        <v>87.54174815882130835241180879</v>
      </c>
      <c r="U32" s="313">
        <v>-7.930173850050927253706409850</v>
      </c>
      <c r="W32" s="281"/>
      <c r="X32" s="281"/>
      <c r="Y32" s="281"/>
      <c r="Z32" s="281"/>
      <c r="AA32" s="281"/>
      <c r="AB32" s="281"/>
      <c r="AC32" s="281"/>
      <c r="AD32" s="281"/>
      <c r="AE32" s="281"/>
      <c r="AF32" s="281"/>
      <c r="AG32" s="281"/>
      <c r="AH32" s="281"/>
      <c r="AI32" s="281"/>
      <c r="AJ32" s="281"/>
      <c r="AK32" s="281"/>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5"/>
      <c r="C33" s="306" t="s">
        <v>45</v>
      </c>
      <c r="D33" s="314">
        <v>78.117715617715617715617715620</v>
      </c>
      <c r="E33" s="315">
        <v>0.9032743696092068033410763700</v>
      </c>
      <c r="F33" s="315">
        <v>71.220930232558139534883720930</v>
      </c>
      <c r="G33" s="315">
        <v>5.8349895019502866155929119800</v>
      </c>
      <c r="H33" s="315">
        <v>109.68364968358521652497166491</v>
      </c>
      <c r="I33" s="315">
        <v>-4.6598153934285169753349280900</v>
      </c>
      <c r="J33" s="321">
        <v>214.73962590805599934182570371</v>
      </c>
      <c r="K33" s="315">
        <v>1.4252747426877046771331231800</v>
      </c>
      <c r="L33" s="322">
        <v>289.07122314833036974863421046</v>
      </c>
      <c r="M33" s="315">
        <v>13.851049383865810473924388670</v>
      </c>
      <c r="N33" s="315">
        <v>74.286061258297499400613291800</v>
      </c>
      <c r="O33" s="316">
        <v>-10.914062460002293360242690020</v>
      </c>
      <c r="P33" s="321">
        <v>167.74969028540155426440405351</v>
      </c>
      <c r="Q33" s="315">
        <v>2.3414232537509268047213808700</v>
      </c>
      <c r="R33" s="322">
        <v>205.87921416087482729190517896</v>
      </c>
      <c r="S33" s="315">
        <v>20.494246163342443307107229680</v>
      </c>
      <c r="T33" s="315">
        <v>81.47966319431391271231148568</v>
      </c>
      <c r="U33" s="316">
        <v>-15.065302690921452012967533240</v>
      </c>
      <c r="W33" s="281"/>
      <c r="X33" s="281"/>
      <c r="Y33" s="281"/>
      <c r="Z33" s="281"/>
      <c r="AA33" s="281"/>
      <c r="AB33" s="281"/>
      <c r="AC33" s="281"/>
      <c r="AD33" s="281"/>
      <c r="AE33" s="281"/>
      <c r="AF33" s="281"/>
      <c r="AG33" s="281"/>
      <c r="AH33" s="281"/>
      <c r="AI33" s="281"/>
      <c r="AJ33" s="281"/>
      <c r="AK33" s="281"/>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3" t="s">
        <v>48</v>
      </c>
      <c r="C36" s="303" t="s">
        <v>42</v>
      </c>
      <c r="D36" s="307">
        <v>78.409090909090909090909090910</v>
      </c>
      <c r="E36" s="308">
        <v>4.2821158690092266304589211700</v>
      </c>
      <c r="F36" s="308">
        <v>65.043604651162790697674418600</v>
      </c>
      <c r="G36" s="308">
        <v>-0.4449388209404739662534363100</v>
      </c>
      <c r="H36" s="308">
        <v>120.54850177748309505718529357</v>
      </c>
      <c r="I36" s="308">
        <v>4.7481811913225575465969719500</v>
      </c>
      <c r="J36" s="317">
        <v>154.95478325604681613540207488</v>
      </c>
      <c r="K36" s="308">
        <v>4.3707714422934691370522168200</v>
      </c>
      <c r="L36" s="318">
        <v>199.93735163261420405687169754</v>
      </c>
      <c r="M36" s="308">
        <v>1.3596258562538740300561297900</v>
      </c>
      <c r="N36" s="308">
        <v>77.501668393001396663135363630</v>
      </c>
      <c r="O36" s="309">
        <v>2.9707544404857747132255981400</v>
      </c>
      <c r="P36" s="317">
        <v>121.4986368712185262879857178</v>
      </c>
      <c r="Q36" s="308">
        <v>8.840048808836347669306576320</v>
      </c>
      <c r="R36" s="318">
        <v>130.04646054592275627245651839</v>
      </c>
      <c r="S36" s="308">
        <v>0.9086375321177638558516134700</v>
      </c>
      <c r="T36" s="308">
        <v>93.42710010037950040317439252</v>
      </c>
      <c r="U36" s="309">
        <v>7.8599924354637072545161477800</v>
      </c>
      <c r="W36" s="281"/>
      <c r="X36" s="281"/>
      <c r="Y36" s="281"/>
      <c r="Z36" s="281"/>
      <c r="AA36" s="281"/>
      <c r="AB36" s="281"/>
      <c r="AC36" s="281"/>
      <c r="AD36" s="281"/>
      <c r="AE36" s="281"/>
      <c r="AF36" s="281"/>
      <c r="AG36" s="281"/>
      <c r="AH36" s="281"/>
      <c r="AI36" s="281"/>
      <c r="AJ36" s="281"/>
      <c r="AK36" s="281"/>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4"/>
      <c r="C37" s="304" t="s">
        <v>58</v>
      </c>
      <c r="D37" s="310">
        <v>88.34498834498834498834498834</v>
      </c>
      <c r="E37" s="134">
        <v>1.4725568942868383843271528900</v>
      </c>
      <c r="F37" s="134">
        <v>77.482110912343470483005366730</v>
      </c>
      <c r="G37" s="134">
        <v>1.2784029761890185125860693900</v>
      </c>
      <c r="H37" s="134">
        <v>114.01985220173435306798238368</v>
      </c>
      <c r="I37" s="134">
        <v>0.1917031789336258114308122500</v>
      </c>
      <c r="J37" s="319">
        <v>243.09501349131028251398976887</v>
      </c>
      <c r="K37" s="134">
        <v>1.9773668694861930650442734900</v>
      </c>
      <c r="L37" s="135">
        <v>321.93466796493235151197460388</v>
      </c>
      <c r="M37" s="134">
        <v>16.596211211083786832511222330</v>
      </c>
      <c r="N37" s="134">
        <v>75.51066650511044882475457300</v>
      </c>
      <c r="O37" s="311">
        <v>-12.538009760110878303320631670</v>
      </c>
      <c r="P37" s="319">
        <v>214.76226133614591392261566993</v>
      </c>
      <c r="Q37" s="134">
        <v>3.4790416159279015932993345300</v>
      </c>
      <c r="R37" s="135">
        <v>249.44177649787356842329874831</v>
      </c>
      <c r="S37" s="134">
        <v>18.086780645369865879549978300</v>
      </c>
      <c r="T37" s="134">
        <v>86.09715034560538181537260778</v>
      </c>
      <c r="U37" s="311">
        <v>-12.370342344543544952180767170</v>
      </c>
      <c r="W37" s="281"/>
      <c r="X37" s="281"/>
      <c r="Y37" s="281"/>
      <c r="Z37" s="281"/>
      <c r="AA37" s="281"/>
      <c r="AB37" s="281"/>
      <c r="AC37" s="281"/>
      <c r="AD37" s="281"/>
      <c r="AE37" s="281"/>
      <c r="AF37" s="281"/>
      <c r="AG37" s="281"/>
      <c r="AH37" s="281"/>
      <c r="AI37" s="281"/>
      <c r="AJ37" s="281"/>
      <c r="AK37" s="281"/>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4"/>
      <c r="C38" s="305" t="s">
        <v>44</v>
      </c>
      <c r="D38" s="312">
        <v>85.31468531468531468531468531</v>
      </c>
      <c r="E38" s="159">
        <v>2.377622377663328671328687700</v>
      </c>
      <c r="F38" s="159">
        <v>72.853309481216457960644007160</v>
      </c>
      <c r="G38" s="159">
        <v>4.2178943579083962398681610600</v>
      </c>
      <c r="H38" s="159">
        <v>117.10474914897449857829985204</v>
      </c>
      <c r="I38" s="159">
        <v>-1.7657927092498169941870207200</v>
      </c>
      <c r="J38" s="320">
        <v>192.99665475647937633213826126</v>
      </c>
      <c r="K38" s="159">
        <v>6.0513016899485961731306610800</v>
      </c>
      <c r="L38" s="160">
        <v>253.41055654108875829084195758</v>
      </c>
      <c r="M38" s="159">
        <v>7.4876426541553856729044155500</v>
      </c>
      <c r="N38" s="159">
        <v>76.159674399822309752045113380</v>
      </c>
      <c r="O38" s="313">
        <v>-1.3362847381829092491560910800</v>
      </c>
      <c r="P38" s="320">
        <v>164.65448867336002736028578933</v>
      </c>
      <c r="Q38" s="159">
        <v>8.572801170748293277163858250</v>
      </c>
      <c r="R38" s="160">
        <v>184.61797701495240932727260684</v>
      </c>
      <c r="S38" s="159">
        <v>12.021357869153334227811651680</v>
      </c>
      <c r="T38" s="159">
        <v>89.18659565854848361354512989</v>
      </c>
      <c r="U38" s="313">
        <v>-3.0784814289167369582571724200</v>
      </c>
      <c r="W38" s="281"/>
      <c r="X38" s="281"/>
      <c r="Y38" s="281"/>
      <c r="Z38" s="281"/>
      <c r="AA38" s="281"/>
      <c r="AB38" s="281"/>
      <c r="AC38" s="281"/>
      <c r="AD38" s="281"/>
      <c r="AE38" s="281"/>
      <c r="AF38" s="281"/>
      <c r="AG38" s="281"/>
      <c r="AH38" s="281"/>
      <c r="AI38" s="281"/>
      <c r="AJ38" s="281"/>
      <c r="AK38" s="281"/>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5"/>
      <c r="C39" s="306" t="s">
        <v>45</v>
      </c>
      <c r="D39" s="314">
        <v>81.20629370629370629370629371</v>
      </c>
      <c r="E39" s="315">
        <v>2.4067609773835040406228983300</v>
      </c>
      <c r="F39" s="315">
        <v>71.489266547406082289803220040</v>
      </c>
      <c r="G39" s="315">
        <v>2.2250524102968319535028057400</v>
      </c>
      <c r="H39" s="315">
        <v>113.59228822476582785356636903</v>
      </c>
      <c r="I39" s="315">
        <v>0.1777534594946391439805969600</v>
      </c>
      <c r="J39" s="321">
        <v>212.50938542804234306620141595</v>
      </c>
      <c r="K39" s="315">
        <v>-2.3646875439921787781302662300</v>
      </c>
      <c r="L39" s="322">
        <v>284.60946109322688129640453945</v>
      </c>
      <c r="M39" s="315">
        <v>10.664796314912411538991663060</v>
      </c>
      <c r="N39" s="315">
        <v>74.667013742896159821553576180</v>
      </c>
      <c r="O39" s="316">
        <v>-11.773828979685358733788109500</v>
      </c>
      <c r="P39" s="321">
        <v>172.57099568413578383610237362</v>
      </c>
      <c r="Q39" s="315">
        <v>-0.0148389436386336894530976900</v>
      </c>
      <c r="R39" s="322">
        <v>203.46521626007297395004591069</v>
      </c>
      <c r="S39" s="315">
        <v>13.127146032690680544355267580</v>
      </c>
      <c r="T39" s="315">
        <v>84.81596945962962400000878853</v>
      </c>
      <c r="U39" s="316">
        <v>-11.617003908655942983145810100</v>
      </c>
      <c r="W39" s="281"/>
      <c r="X39" s="281"/>
      <c r="Y39" s="281"/>
      <c r="Z39" s="281"/>
      <c r="AA39" s="281"/>
      <c r="AB39" s="281"/>
      <c r="AC39" s="281"/>
      <c r="AD39" s="281"/>
      <c r="AE39" s="281"/>
      <c r="AF39" s="281"/>
      <c r="AG39" s="281"/>
      <c r="AH39" s="281"/>
      <c r="AI39" s="281"/>
      <c r="AJ39" s="281"/>
      <c r="AK39" s="281"/>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3" t="s">
        <v>49</v>
      </c>
      <c r="C42" s="303" t="s">
        <v>42</v>
      </c>
      <c r="D42" s="307">
        <v>92.23484848484848484848484848</v>
      </c>
      <c r="E42" s="308">
        <v>10.933940774540032482189303700</v>
      </c>
      <c r="F42" s="308">
        <v>75.508720930232558139534883720</v>
      </c>
      <c r="G42" s="308">
        <v>8.342022940501628716913834320</v>
      </c>
      <c r="H42" s="308">
        <v>122.15125266141120203340468116</v>
      </c>
      <c r="I42" s="308">
        <v>2.3923476447251871493481117600</v>
      </c>
      <c r="J42" s="317">
        <v>156.3297878285252603098321126</v>
      </c>
      <c r="K42" s="308">
        <v>-5.3354572705027706705964413900</v>
      </c>
      <c r="L42" s="318">
        <v>211.23065735026252436775801408</v>
      </c>
      <c r="M42" s="308">
        <v>-1.3587588704514578721288339300</v>
      </c>
      <c r="N42" s="308">
        <v>74.009042905770814797454778720</v>
      </c>
      <c r="O42" s="309">
        <v>-4.031476443905768364136765900</v>
      </c>
      <c r="P42" s="317">
        <v>144.19054294032538214183378568</v>
      </c>
      <c r="Q42" s="308">
        <v>5.0151077659921547607312659700</v>
      </c>
      <c r="R42" s="318">
        <v>159.49756757770549623408472139</v>
      </c>
      <c r="S42" s="308">
        <v>6.8699160934625440325875142200</v>
      </c>
      <c r="T42" s="308">
        <v>90.40297299210050468448159471</v>
      </c>
      <c r="U42" s="309">
        <v>-1.735575731006557061227413200</v>
      </c>
      <c r="W42" s="281"/>
      <c r="X42" s="281"/>
      <c r="Y42" s="281"/>
      <c r="Z42" s="281"/>
      <c r="AA42" s="281"/>
      <c r="AB42" s="281"/>
      <c r="AC42" s="281"/>
      <c r="AD42" s="281"/>
      <c r="AE42" s="281"/>
      <c r="AF42" s="281"/>
      <c r="AG42" s="281"/>
      <c r="AH42" s="281"/>
      <c r="AI42" s="281"/>
      <c r="AJ42" s="281"/>
      <c r="AK42" s="281"/>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4"/>
      <c r="C43" s="304" t="s">
        <v>58</v>
      </c>
      <c r="D43" s="310">
        <v>91.11305361305361305361305361</v>
      </c>
      <c r="E43" s="134">
        <v>1.8235102571905551465633832500</v>
      </c>
      <c r="F43" s="134">
        <v>82.20035778175313059033989267</v>
      </c>
      <c r="G43" s="134">
        <v>0.5669106364626543393958687100</v>
      </c>
      <c r="H43" s="134">
        <v>110.84264846500093345608676110</v>
      </c>
      <c r="I43" s="134">
        <v>1.2495159817625494623517596200</v>
      </c>
      <c r="J43" s="319">
        <v>249.63518025814360322987245852</v>
      </c>
      <c r="K43" s="134">
        <v>-5.9521678407502976351629976700</v>
      </c>
      <c r="L43" s="135">
        <v>338.51280486610814825907457163</v>
      </c>
      <c r="M43" s="134">
        <v>8.499437129259280366070289540</v>
      </c>
      <c r="N43" s="134">
        <v>73.744678685607691558344789210</v>
      </c>
      <c r="O43" s="311">
        <v>-13.319520683537511710904474680</v>
      </c>
      <c r="P43" s="319">
        <v>227.45023562564541005239253432</v>
      </c>
      <c r="Q43" s="134">
        <v>-4.2371959745872055406831899700</v>
      </c>
      <c r="R43" s="135">
        <v>278.25873673698871936501746988</v>
      </c>
      <c r="S43" s="134">
        <v>9.114531978869439749479732900</v>
      </c>
      <c r="T43" s="134">
        <v>81.74055495717393038758742416</v>
      </c>
      <c r="U43" s="311">
        <v>-12.236434241452175793949899900</v>
      </c>
      <c r="W43" s="281"/>
      <c r="X43" s="281"/>
      <c r="Y43" s="281"/>
      <c r="Z43" s="281"/>
      <c r="AA43" s="281"/>
      <c r="AB43" s="281"/>
      <c r="AC43" s="281"/>
      <c r="AD43" s="281"/>
      <c r="AE43" s="281"/>
      <c r="AF43" s="281"/>
      <c r="AG43" s="281"/>
      <c r="AH43" s="281"/>
      <c r="AI43" s="281"/>
      <c r="AJ43" s="281"/>
      <c r="AK43" s="281"/>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4"/>
      <c r="C44" s="305" t="s">
        <v>44</v>
      </c>
      <c r="D44" s="312">
        <v>90.26806526806526806526806527</v>
      </c>
      <c r="E44" s="159">
        <v>4.3097643097179498690610007800</v>
      </c>
      <c r="F44" s="159">
        <v>79.71824686940966010733452594</v>
      </c>
      <c r="G44" s="159">
        <v>3.7445806919505086230851667100</v>
      </c>
      <c r="H44" s="159">
        <v>113.23388159294159770679577522</v>
      </c>
      <c r="I44" s="159">
        <v>0.5447837506505747743680708100</v>
      </c>
      <c r="J44" s="320">
        <v>203.11094980502489719230476096</v>
      </c>
      <c r="K44" s="159">
        <v>-6.2298195920455409305978226300</v>
      </c>
      <c r="L44" s="160">
        <v>282.812131714749815999811486</v>
      </c>
      <c r="M44" s="159">
        <v>2.5192132330999093919779957300</v>
      </c>
      <c r="N44" s="159">
        <v>71.818329918718830792736142310</v>
      </c>
      <c r="O44" s="313">
        <v>-8.534042107064812395590698350</v>
      </c>
      <c r="P44" s="320">
        <v>183.34432473658715952848489203</v>
      </c>
      <c r="Q44" s="159">
        <v>-2.1885458236138865737178393800</v>
      </c>
      <c r="R44" s="160">
        <v>225.45287333700426968679068596</v>
      </c>
      <c r="S44" s="159">
        <v>6.3581278973980001253292552900</v>
      </c>
      <c r="T44" s="159">
        <v>81.32268266216759143139422708</v>
      </c>
      <c r="U44" s="313">
        <v>-8.035750431073389504604131120</v>
      </c>
      <c r="W44" s="281"/>
      <c r="X44" s="281"/>
      <c r="Y44" s="281"/>
      <c r="Z44" s="281"/>
      <c r="AA44" s="281"/>
      <c r="AB44" s="281"/>
      <c r="AC44" s="281"/>
      <c r="AD44" s="281"/>
      <c r="AE44" s="281"/>
      <c r="AF44" s="281"/>
      <c r="AG44" s="281"/>
      <c r="AH44" s="281"/>
      <c r="AI44" s="281"/>
      <c r="AJ44" s="281"/>
      <c r="AK44" s="281"/>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5"/>
      <c r="C45" s="306" t="s">
        <v>45</v>
      </c>
      <c r="D45" s="314">
        <v>86.02855477855477855477855478</v>
      </c>
      <c r="E45" s="315">
        <v>2.0566885585555510285085787200</v>
      </c>
      <c r="F45" s="315">
        <v>76.822450805008944543828264760</v>
      </c>
      <c r="G45" s="315">
        <v>-0.6797762077340915728412167700</v>
      </c>
      <c r="H45" s="315">
        <v>111.98361140146754857852722573</v>
      </c>
      <c r="I45" s="315">
        <v>2.7551939191003001660142490100</v>
      </c>
      <c r="J45" s="321">
        <v>219.52215668797494137441483209</v>
      </c>
      <c r="K45" s="315">
        <v>-7.8364384036517964706100581900</v>
      </c>
      <c r="L45" s="322">
        <v>305.16792289310202677712523771</v>
      </c>
      <c r="M45" s="315">
        <v>8.628989743796076862213405660</v>
      </c>
      <c r="N45" s="315">
        <v>71.934872645469137407479533810</v>
      </c>
      <c r="O45" s="316">
        <v>-15.157489898647671675483477180</v>
      </c>
      <c r="P45" s="321">
        <v>188.85173881737937482749411182</v>
      </c>
      <c r="Q45" s="315">
        <v>-5.9409209771262482875927941800</v>
      </c>
      <c r="R45" s="322">
        <v>234.43747743722093313792794145</v>
      </c>
      <c r="S45" s="315">
        <v>7.8905557168482058013466888600</v>
      </c>
      <c r="T45" s="315">
        <v>80.55526824544001642639685975</v>
      </c>
      <c r="U45" s="316">
        <v>-12.819914219578740777192366470</v>
      </c>
      <c r="W45" s="281"/>
      <c r="X45" s="281"/>
      <c r="Y45" s="281"/>
      <c r="Z45" s="281"/>
      <c r="AA45" s="281"/>
      <c r="AB45" s="281"/>
      <c r="AC45" s="281"/>
      <c r="AD45" s="281"/>
      <c r="AE45" s="281"/>
      <c r="AF45" s="281"/>
      <c r="AG45" s="281"/>
      <c r="AH45" s="281"/>
      <c r="AI45" s="281"/>
      <c r="AJ45" s="281"/>
      <c r="AK45" s="281"/>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3" t="s">
        <v>50</v>
      </c>
      <c r="C48" s="303" t="s">
        <v>42</v>
      </c>
      <c r="D48" s="307">
        <v>91.47727272727272727272727273</v>
      </c>
      <c r="E48" s="308">
        <v>15.274463007102679980177858340</v>
      </c>
      <c r="F48" s="308">
        <v>82.84883720930232558139534884</v>
      </c>
      <c r="G48" s="308">
        <v>12.426035502983415613365550580</v>
      </c>
      <c r="H48" s="308">
        <v>110.41467304625509297965807670</v>
      </c>
      <c r="I48" s="308">
        <v>2.5336013063274736992712723600</v>
      </c>
      <c r="J48" s="317">
        <v>214.30198215503617514073534166</v>
      </c>
      <c r="K48" s="308">
        <v>4.5569441635025178380001638600</v>
      </c>
      <c r="L48" s="318">
        <v>248.13958667339998820296480318</v>
      </c>
      <c r="M48" s="308">
        <v>-0.8341411127918695617430262800</v>
      </c>
      <c r="N48" s="308">
        <v>86.36347993804765243620679296</v>
      </c>
      <c r="O48" s="309">
        <v>5.436432797369805396972140100</v>
      </c>
      <c r="P48" s="317">
        <v>196.0376086759137738503317614</v>
      </c>
      <c r="Q48" s="308">
        <v>20.527455921213124261988331150</v>
      </c>
      <c r="R48" s="318">
        <v>205.58076221488080417978188636</v>
      </c>
      <c r="S48" s="308">
        <v>11.488243719376473601425685050</v>
      </c>
      <c r="T48" s="308">
        <v>95.35795400495184986895331968</v>
      </c>
      <c r="U48" s="309">
        <v>8.107771636015861155130098330</v>
      </c>
      <c r="W48" s="281"/>
      <c r="X48" s="281"/>
      <c r="Y48" s="281"/>
      <c r="Z48" s="281"/>
      <c r="AA48" s="281"/>
      <c r="AB48" s="281"/>
      <c r="AC48" s="281"/>
      <c r="AD48" s="281"/>
      <c r="AE48" s="281"/>
      <c r="AF48" s="281"/>
      <c r="AG48" s="281"/>
      <c r="AH48" s="281"/>
      <c r="AI48" s="281"/>
      <c r="AJ48" s="281"/>
      <c r="AK48" s="281"/>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4"/>
      <c r="C49" s="304" t="s">
        <v>58</v>
      </c>
      <c r="D49" s="310">
        <v>90.79254079254079254079254079</v>
      </c>
      <c r="E49" s="134">
        <v>-0.7327174259275245777540382800</v>
      </c>
      <c r="F49" s="134">
        <v>87.52236135957066189624329159</v>
      </c>
      <c r="G49" s="134">
        <v>3.7936803968877340199053947300</v>
      </c>
      <c r="H49" s="134">
        <v>103.73639305674663313610980859</v>
      </c>
      <c r="I49" s="134">
        <v>-4.3609570501205857781490224900</v>
      </c>
      <c r="J49" s="319">
        <v>313.22997899421816905939238963</v>
      </c>
      <c r="K49" s="134">
        <v>-5.4633185731279708441558246500</v>
      </c>
      <c r="L49" s="135">
        <v>392.54633600826294497201176062</v>
      </c>
      <c r="M49" s="134">
        <v>4.0565604594691712972532219900</v>
      </c>
      <c r="N49" s="134">
        <v>79.79439629455495265836447103</v>
      </c>
      <c r="O49" s="311">
        <v>-9.148754283850288401610934470</v>
      </c>
      <c r="P49" s="319">
        <v>284.38945645279248682665113231</v>
      </c>
      <c r="Q49" s="134">
        <v>-6.1560053118418154872786185600</v>
      </c>
      <c r="R49" s="135">
        <v>343.56582270490634316199777081</v>
      </c>
      <c r="S49" s="134">
        <v>8.004133795346773987449907570</v>
      </c>
      <c r="T49" s="134">
        <v>82.77582857741468567395944670</v>
      </c>
      <c r="U49" s="311">
        <v>-13.110738088996328426591589270</v>
      </c>
      <c r="W49" s="281"/>
      <c r="X49" s="281"/>
      <c r="Y49" s="281"/>
      <c r="Z49" s="281"/>
      <c r="AA49" s="281"/>
      <c r="AB49" s="281"/>
      <c r="AC49" s="281"/>
      <c r="AD49" s="281"/>
      <c r="AE49" s="281"/>
      <c r="AF49" s="281"/>
      <c r="AG49" s="281"/>
      <c r="AH49" s="281"/>
      <c r="AI49" s="281"/>
      <c r="AJ49" s="281"/>
      <c r="AK49" s="281"/>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4"/>
      <c r="C50" s="305" t="s">
        <v>44</v>
      </c>
      <c r="D50" s="312">
        <v>88.34498834498834498834498834</v>
      </c>
      <c r="E50" s="159">
        <v>-0.2631578947497029085872559600</v>
      </c>
      <c r="F50" s="159">
        <v>87.38819320214669051878354204</v>
      </c>
      <c r="G50" s="159">
        <v>8.644210244272360097525580230</v>
      </c>
      <c r="H50" s="159">
        <v>101.09487919114610155978247209</v>
      </c>
      <c r="I50" s="159">
        <v>-8.198658832263803231218549680</v>
      </c>
      <c r="J50" s="320">
        <v>278.83401799129671572216986402</v>
      </c>
      <c r="K50" s="159">
        <v>-1.4403584649064075647561685700</v>
      </c>
      <c r="L50" s="160">
        <v>341.9113510011599963627097382</v>
      </c>
      <c r="M50" s="159">
        <v>4.2506114680858401241296393500</v>
      </c>
      <c r="N50" s="159">
        <v>81.55155339967584085307941529</v>
      </c>
      <c r="O50" s="313">
        <v>-5.4589319457070810634676260700</v>
      </c>
      <c r="P50" s="320">
        <v>246.33588069627378848182372603</v>
      </c>
      <c r="Q50" s="159">
        <v>-1.6997259426177196918976423600</v>
      </c>
      <c r="R50" s="160">
        <v>298.79015199296361041714437766</v>
      </c>
      <c r="S50" s="159">
        <v>13.262253504344974008321885680</v>
      </c>
      <c r="T50" s="159">
        <v>82.44444438786084877020109600</v>
      </c>
      <c r="U50" s="313">
        <v>-13.210031571867652739114466880</v>
      </c>
      <c r="W50" s="281"/>
      <c r="X50" s="281"/>
      <c r="Y50" s="281"/>
      <c r="Z50" s="281"/>
      <c r="AA50" s="281"/>
      <c r="AB50" s="281"/>
      <c r="AC50" s="281"/>
      <c r="AD50" s="281"/>
      <c r="AE50" s="281"/>
      <c r="AF50" s="281"/>
      <c r="AG50" s="281"/>
      <c r="AH50" s="281"/>
      <c r="AI50" s="281"/>
      <c r="AJ50" s="281"/>
      <c r="AK50" s="281"/>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5"/>
      <c r="C51" s="306" t="s">
        <v>45</v>
      </c>
      <c r="D51" s="314">
        <v>87.13578088578088578088578089</v>
      </c>
      <c r="E51" s="315">
        <v>-0.92761305280510493390805100</v>
      </c>
      <c r="F51" s="315">
        <v>81.98233452593917710196779964</v>
      </c>
      <c r="G51" s="315">
        <v>0.5805460625460368300935421800</v>
      </c>
      <c r="H51" s="315">
        <v>106.28604490184748294927766763</v>
      </c>
      <c r="I51" s="315">
        <v>-1.4994540936534735519262927400</v>
      </c>
      <c r="J51" s="321">
        <v>279.06943687600196202778192092</v>
      </c>
      <c r="K51" s="315">
        <v>-6.9923970459576217028650671300</v>
      </c>
      <c r="L51" s="322">
        <v>352.64168844043584310735724035</v>
      </c>
      <c r="M51" s="315">
        <v>5.4853606717615402142137955400</v>
      </c>
      <c r="N51" s="315">
        <v>79.136825288643520631229469400</v>
      </c>
      <c r="O51" s="316">
        <v>-11.828899894965150294431410130</v>
      </c>
      <c r="P51" s="321">
        <v>243.16933303545567233219167672</v>
      </c>
      <c r="Q51" s="315">
        <v>-7.855147711109854667646882700</v>
      </c>
      <c r="R51" s="322">
        <v>289.10388869515829825410297013</v>
      </c>
      <c r="S51" s="315">
        <v>6.0977517796558226647768425700</v>
      </c>
      <c r="T51" s="315">
        <v>84.11140166012336990466693729</v>
      </c>
      <c r="U51" s="316">
        <v>-13.150985064921616172441890840</v>
      </c>
      <c r="W51" s="281"/>
      <c r="X51" s="281"/>
      <c r="Y51" s="281"/>
      <c r="Z51" s="281"/>
      <c r="AA51" s="281"/>
      <c r="AB51" s="281"/>
      <c r="AC51" s="281"/>
      <c r="AD51" s="281"/>
      <c r="AE51" s="281"/>
      <c r="AF51" s="281"/>
      <c r="AG51" s="281"/>
      <c r="AH51" s="281"/>
      <c r="AI51" s="281"/>
      <c r="AJ51" s="281"/>
      <c r="AK51" s="281"/>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3" t="s">
        <v>51</v>
      </c>
      <c r="C54" s="303" t="s">
        <v>42</v>
      </c>
      <c r="D54" s="307">
        <v>93.18181818181818181818181818</v>
      </c>
      <c r="E54" s="308">
        <v>14.953271028045977814656302500</v>
      </c>
      <c r="F54" s="308">
        <v>85.53779069767441860465116279</v>
      </c>
      <c r="G54" s="308">
        <v>12.825920245357241992547721260</v>
      </c>
      <c r="H54" s="308">
        <v>108.93643315050422477259915406</v>
      </c>
      <c r="I54" s="308">
        <v>1.8855160037818928704024068500</v>
      </c>
      <c r="J54" s="317">
        <v>220.41576635772513029835568925</v>
      </c>
      <c r="K54" s="308">
        <v>4.5647251602284842031089401100</v>
      </c>
      <c r="L54" s="318">
        <v>262.41156974720936472148442781</v>
      </c>
      <c r="M54" s="308">
        <v>-1.0032662694745147933785019100</v>
      </c>
      <c r="N54" s="308">
        <v>83.99620739667368424233228856</v>
      </c>
      <c r="O54" s="309">
        <v>5.6244193316945254074468920600</v>
      </c>
      <c r="P54" s="317">
        <v>205.38741865151659868710416498</v>
      </c>
      <c r="Q54" s="308">
        <v>20.200571913180097439930941600</v>
      </c>
      <c r="R54" s="318">
        <v>224.46105929684987084097904908</v>
      </c>
      <c r="S54" s="308">
        <v>11.693975844335407644216459230</v>
      </c>
      <c r="T54" s="308">
        <v>91.50247231968074285985246117</v>
      </c>
      <c r="U54" s="309">
        <v>7.6159846621064003803548498700</v>
      </c>
      <c r="W54" s="281"/>
      <c r="X54" s="281"/>
      <c r="Y54" s="281"/>
      <c r="Z54" s="281"/>
      <c r="AA54" s="281"/>
      <c r="AB54" s="281"/>
      <c r="AC54" s="281"/>
      <c r="AD54" s="281"/>
      <c r="AE54" s="281"/>
      <c r="AF54" s="281"/>
      <c r="AG54" s="281"/>
      <c r="AH54" s="281"/>
      <c r="AI54" s="281"/>
      <c r="AJ54" s="281"/>
      <c r="AK54" s="281"/>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4"/>
      <c r="C55" s="304" t="s">
        <v>58</v>
      </c>
      <c r="D55" s="310">
        <v>92.80303030303030303030303030</v>
      </c>
      <c r="E55" s="134">
        <v>1.7246885978962059278634719600</v>
      </c>
      <c r="F55" s="134">
        <v>88.56216457960644007155635063</v>
      </c>
      <c r="G55" s="134">
        <v>2.3896053034666450660501365900</v>
      </c>
      <c r="H55" s="134">
        <v>104.78857505748811873781888854</v>
      </c>
      <c r="I55" s="134">
        <v>-0.6493986412414603969650023100</v>
      </c>
      <c r="J55" s="319">
        <v>320.58964079793827441064408022</v>
      </c>
      <c r="K55" s="134">
        <v>-4.1551813042030419260546464900</v>
      </c>
      <c r="L55" s="135">
        <v>397.20094310967713679915054701</v>
      </c>
      <c r="M55" s="134">
        <v>2.9463300943491333091486240500</v>
      </c>
      <c r="N55" s="134">
        <v>80.71220533567489167753781593</v>
      </c>
      <c r="O55" s="311">
        <v>-6.898265719628784352973047700</v>
      </c>
      <c r="P55" s="319">
        <v>297.51690149808665617654469566</v>
      </c>
      <c r="Q55" s="134">
        <v>-2.5021566445045547839669604800</v>
      </c>
      <c r="R55" s="135">
        <v>351.76975294854121205121550569</v>
      </c>
      <c r="S55" s="134">
        <v>5.4063410580076383831842141600</v>
      </c>
      <c r="T55" s="134">
        <v>84.57716986873624084983334531</v>
      </c>
      <c r="U55" s="311">
        <v>-7.5028671170449042796669990100</v>
      </c>
      <c r="W55" s="281"/>
      <c r="X55" s="281"/>
      <c r="Y55" s="281"/>
      <c r="Z55" s="281"/>
      <c r="AA55" s="281"/>
      <c r="AB55" s="281"/>
      <c r="AC55" s="281"/>
      <c r="AD55" s="281"/>
      <c r="AE55" s="281"/>
      <c r="AF55" s="281"/>
      <c r="AG55" s="281"/>
      <c r="AH55" s="281"/>
      <c r="AI55" s="281"/>
      <c r="AJ55" s="281"/>
      <c r="AK55" s="281"/>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4"/>
      <c r="C56" s="305" t="s">
        <v>44</v>
      </c>
      <c r="D56" s="312">
        <v>91.60839160839160839160839161</v>
      </c>
      <c r="E56" s="159">
        <v>4.3824701195668259233980606300</v>
      </c>
      <c r="F56" s="159">
        <v>89.37835420393559928443649374</v>
      </c>
      <c r="G56" s="159">
        <v>7.7810300813806957256219463500</v>
      </c>
      <c r="H56" s="159">
        <v>102.49505310805365145154384506</v>
      </c>
      <c r="I56" s="159">
        <v>-3.15320790607320490321199700</v>
      </c>
      <c r="J56" s="320">
        <v>287.20683531825487911924066101</v>
      </c>
      <c r="K56" s="159">
        <v>0.0429415926201015674900019700</v>
      </c>
      <c r="L56" s="160">
        <v>341.77416055308110418549726335</v>
      </c>
      <c r="M56" s="159">
        <v>1.3192821853448994460968176900</v>
      </c>
      <c r="N56" s="159">
        <v>84.03409867307179669711734599</v>
      </c>
      <c r="O56" s="313">
        <v>-1.2597213139039384207578921800</v>
      </c>
      <c r="P56" s="320">
        <v>263.10556242441530884350018596</v>
      </c>
      <c r="Q56" s="159">
        <v>4.4272936145936691800073532300</v>
      </c>
      <c r="R56" s="160">
        <v>305.47211979666036972930066225</v>
      </c>
      <c r="S56" s="159">
        <v>9.202966010435298027978179620</v>
      </c>
      <c r="T56" s="159">
        <v>86.13079406379842886323059264</v>
      </c>
      <c r="U56" s="313">
        <v>-4.3732075879248139250704155800</v>
      </c>
      <c r="W56" s="281"/>
      <c r="X56" s="281"/>
      <c r="Y56" s="281"/>
      <c r="Z56" s="281"/>
      <c r="AA56" s="281"/>
      <c r="AB56" s="281"/>
      <c r="AC56" s="281"/>
      <c r="AD56" s="281"/>
      <c r="AE56" s="281"/>
      <c r="AF56" s="281"/>
      <c r="AG56" s="281"/>
      <c r="AH56" s="281"/>
      <c r="AI56" s="281"/>
      <c r="AJ56" s="281"/>
      <c r="AK56" s="281"/>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5"/>
      <c r="C57" s="306" t="s">
        <v>45</v>
      </c>
      <c r="D57" s="314">
        <v>88.59265734265734265734265734</v>
      </c>
      <c r="E57" s="315">
        <v>-0.658081300052049716962179100</v>
      </c>
      <c r="F57" s="315">
        <v>82.63640429338103756708407871</v>
      </c>
      <c r="G57" s="315">
        <v>-0.7321132416311708032902325700</v>
      </c>
      <c r="H57" s="315">
        <v>107.20778342207352838947218110</v>
      </c>
      <c r="I57" s="315">
        <v>0.074577936551057543453069100</v>
      </c>
      <c r="J57" s="321">
        <v>281.19447015230151677772331952</v>
      </c>
      <c r="K57" s="315">
        <v>-5.826840905352683075123742100</v>
      </c>
      <c r="L57" s="322">
        <v>356.95949988018471430521782665</v>
      </c>
      <c r="M57" s="315">
        <v>5.7745853978165600902465430800</v>
      </c>
      <c r="N57" s="315">
        <v>78.774894700007659308221939850</v>
      </c>
      <c r="O57" s="316">
        <v>-10.968065967376055221727884370</v>
      </c>
      <c r="P57" s="321">
        <v>249.11765340852935948795680449</v>
      </c>
      <c r="Q57" s="315">
        <v>-6.4465768549670161853082669100</v>
      </c>
      <c r="R57" s="322">
        <v>294.97849548462044090226575992</v>
      </c>
      <c r="S57" s="315">
        <v>5.0001956518105361282356277300</v>
      </c>
      <c r="T57" s="315">
        <v>84.45281850097953785824623047</v>
      </c>
      <c r="U57" s="316">
        <v>-10.901667788091936054319877140</v>
      </c>
      <c r="W57" s="281"/>
      <c r="X57" s="281"/>
      <c r="Y57" s="281"/>
      <c r="Z57" s="281"/>
      <c r="AA57" s="281"/>
      <c r="AB57" s="281"/>
      <c r="AC57" s="281"/>
      <c r="AD57" s="281"/>
      <c r="AE57" s="281"/>
      <c r="AF57" s="281"/>
      <c r="AG57" s="281"/>
      <c r="AH57" s="281"/>
      <c r="AI57" s="281"/>
      <c r="AJ57" s="281"/>
      <c r="AK57" s="281"/>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4" t="s">
        <v>40</v>
      </c>
      <c r="C60" s="348" t="s">
        <v>42</v>
      </c>
      <c r="D60" s="238">
        <v>76.859504132231404958677685950</v>
      </c>
      <c r="E60" s="246">
        <v>-0.9048625792459705904911620800</v>
      </c>
      <c r="F60" s="246">
        <v>67.230443974630021141649048630</v>
      </c>
      <c r="G60" s="246">
        <v>2.9403830590456531431832888600</v>
      </c>
      <c r="H60" s="246">
        <v>114.32246998289839099431483341</v>
      </c>
      <c r="I60" s="239">
        <v>-3.7354102675537544057861574800</v>
      </c>
      <c r="J60" s="326">
        <v>156.54103296196987603057071275</v>
      </c>
      <c r="K60" s="246">
        <v>1.2746093125732749719860323300</v>
      </c>
      <c r="L60" s="328">
        <v>203.59444842764516335916528168</v>
      </c>
      <c r="M60" s="246">
        <v>-1.2114179513985878420284489500</v>
      </c>
      <c r="N60" s="246">
        <v>76.888654956442617451347239350</v>
      </c>
      <c r="O60" s="239">
        <v>2.5165127512136671546457843600</v>
      </c>
      <c r="P60" s="326">
        <v>120.31666169804296256895104368</v>
      </c>
      <c r="Q60" s="246">
        <v>0.3582132705810395775636564800</v>
      </c>
      <c r="R60" s="328">
        <v>136.87745158560499354802232468</v>
      </c>
      <c r="S60" s="246">
        <v>1.6933447794757821114397674400</v>
      </c>
      <c r="T60" s="246">
        <v>87.90100948277788358128013169</v>
      </c>
      <c r="U60" s="239">
        <v>-1.3128995921592556378956093600</v>
      </c>
    </row>
    <row r="61" ht="15.95" customHeight="1">
      <c r="B61" s="345" t="s">
        <v>67</v>
      </c>
      <c r="C61" s="304" t="s">
        <v>58</v>
      </c>
      <c r="D61" s="240">
        <v>86.83345078693915903218228800</v>
      </c>
      <c r="E61" s="121">
        <v>-0.5630953951654053010106655600</v>
      </c>
      <c r="F61" s="121">
        <v>78.666396250225347034433026860</v>
      </c>
      <c r="G61" s="121">
        <v>1.8592730690684073039189046300</v>
      </c>
      <c r="H61" s="121">
        <v>110.38188467508246287922732074</v>
      </c>
      <c r="I61" s="241">
        <v>-2.3781521222287836911992039300</v>
      </c>
      <c r="J61" s="329">
        <v>243.86340994945101996571296617</v>
      </c>
      <c r="K61" s="121">
        <v>-0.1191691486273934760100058600</v>
      </c>
      <c r="L61" s="136">
        <v>323.0891816252417733585327696</v>
      </c>
      <c r="M61" s="121">
        <v>10.586676590919396842809924010</v>
      </c>
      <c r="N61" s="121">
        <v>75.478667754448388404841585170</v>
      </c>
      <c r="O61" s="241">
        <v>-9.680954405711832757089632920</v>
      </c>
      <c r="P61" s="329">
        <v>211.75501406580824413983039217</v>
      </c>
      <c r="Q61" s="121">
        <v>-0.6815935077715122520191300</v>
      </c>
      <c r="R61" s="136">
        <v>254.16261585892295534011673999</v>
      </c>
      <c r="S61" s="121">
        <v>12.642784886751331438096750200</v>
      </c>
      <c r="T61" s="121">
        <v>83.31477599497378208789698588</v>
      </c>
      <c r="U61" s="241">
        <v>-11.828878705320394252007881590</v>
      </c>
    </row>
    <row r="62" ht="15.95" customHeight="1">
      <c r="B62" s="345"/>
      <c r="C62" s="305" t="s">
        <v>44</v>
      </c>
      <c r="D62" s="242">
        <v>83.07692307692307692307692308</v>
      </c>
      <c r="E62" s="156">
        <v>-1.5605579339410681792316973900</v>
      </c>
      <c r="F62" s="156">
        <v>73.984794275491949910554561720</v>
      </c>
      <c r="G62" s="156">
        <v>3.4014063784292594170553654100</v>
      </c>
      <c r="H62" s="156">
        <v>112.28918575831456685399474302</v>
      </c>
      <c r="I62" s="243">
        <v>-4.7987396750649739688353086300</v>
      </c>
      <c r="J62" s="330">
        <v>197.69619579193287163155782363</v>
      </c>
      <c r="K62" s="156">
        <v>2.2643278159730638437320265500</v>
      </c>
      <c r="L62" s="186">
        <v>262.78131962502578497159510261</v>
      </c>
      <c r="M62" s="156">
        <v>5.5463776036221161546144931300</v>
      </c>
      <c r="N62" s="156">
        <v>75.232210597790459905320533540</v>
      </c>
      <c r="O62" s="243">
        <v>-3.1095807001513239543309739200</v>
      </c>
      <c r="P62" s="330">
        <v>164.2399165040673087400634227</v>
      </c>
      <c r="Q62" s="156">
        <v>0.6684337346292344123244941100</v>
      </c>
      <c r="R62" s="186">
        <v>194.41821871899828089378791514</v>
      </c>
      <c r="S62" s="156">
        <v>9.136438823665851814051726830</v>
      </c>
      <c r="T62" s="156">
        <v>84.47763670823950295019235105</v>
      </c>
      <c r="U62" s="243">
        <v>-7.7590996923816810985636849500</v>
      </c>
    </row>
    <row r="63" ht="15.95" customHeight="1">
      <c r="B63" s="346"/>
      <c r="C63" s="349" t="s">
        <v>45</v>
      </c>
      <c r="D63" s="244">
        <v>81.20863810518982932776036224</v>
      </c>
      <c r="E63" s="250">
        <v>1.3842585881585422353351447900</v>
      </c>
      <c r="F63" s="250">
        <v>73.224627996079479640024948770</v>
      </c>
      <c r="G63" s="250">
        <v>2.0552799783445283496007884200</v>
      </c>
      <c r="H63" s="250">
        <v>110.90344919132271159673484172</v>
      </c>
      <c r="I63" s="245">
        <v>-0.6575077647443467470669439900</v>
      </c>
      <c r="J63" s="332">
        <v>213.53317338796507046917223621</v>
      </c>
      <c r="K63" s="250">
        <v>-2.4364006073098873086435102400</v>
      </c>
      <c r="L63" s="334">
        <v>290.02225544220184220568989045</v>
      </c>
      <c r="M63" s="250">
        <v>10.761462123023247279434150090</v>
      </c>
      <c r="N63" s="250">
        <v>73.626478444693419402155167580</v>
      </c>
      <c r="O63" s="245">
        <v>-11.915572869234065750528780990</v>
      </c>
      <c r="P63" s="332">
        <v>173.40738201116007028870604971</v>
      </c>
      <c r="Q63" s="250">
        <v>-1.0858681037113697366994120300</v>
      </c>
      <c r="R63" s="334">
        <v>212.36771765339167239119304284</v>
      </c>
      <c r="S63" s="250">
        <v>13.037920277695119589152785180</v>
      </c>
      <c r="T63" s="250">
        <v>81.65430411328989669953925468</v>
      </c>
      <c r="U63" s="245">
        <v>-12.494734817049672304180818590</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92.32954545454545454545454545</v>
      </c>
      <c r="E66" s="246">
        <v>14.976415094383009967960144530</v>
      </c>
      <c r="F66" s="246">
        <v>84.19331395348837209302325581</v>
      </c>
      <c r="G66" s="246">
        <v>12.451466781695950139993048240</v>
      </c>
      <c r="H66" s="246">
        <v>109.66375014711868731508149810</v>
      </c>
      <c r="I66" s="239">
        <v>2.2453671658672206990601616200</v>
      </c>
      <c r="J66" s="326">
        <v>217.38709172193152482027299398</v>
      </c>
      <c r="K66" s="246">
        <v>4.3964109803964505047223131400</v>
      </c>
      <c r="L66" s="328">
        <v>255.3895323263450189160841809</v>
      </c>
      <c r="M66" s="246">
        <v>-1.2328643327586337807131300700</v>
      </c>
      <c r="N66" s="246">
        <v>85.11981275888221440025205434</v>
      </c>
      <c r="O66" s="239">
        <v>5.6995429453106408531038387300</v>
      </c>
      <c r="P66" s="326">
        <v>200.71251366371518626871796319</v>
      </c>
      <c r="Q66" s="246">
        <v>20.031250832365517228836193210</v>
      </c>
      <c r="R66" s="328">
        <v>215.02091075586533751038046771</v>
      </c>
      <c r="S66" s="246">
        <v>11.065092756081497494109422060</v>
      </c>
      <c r="T66" s="246">
        <v>93.34557878957723516206104913</v>
      </c>
      <c r="U66" s="239">
        <v>8.072885777043674006710941360</v>
      </c>
    </row>
    <row r="67" ht="15.95" customHeight="1">
      <c r="B67" s="345" t="s">
        <v>55</v>
      </c>
      <c r="C67" s="304" t="s">
        <v>58</v>
      </c>
      <c r="D67" s="240">
        <v>91.79778554778554778554778555</v>
      </c>
      <c r="E67" s="121">
        <v>0.4944178627881393435742722800</v>
      </c>
      <c r="F67" s="121">
        <v>88.04226296958855098389982111</v>
      </c>
      <c r="G67" s="121">
        <v>3.087397670854692878465379300</v>
      </c>
      <c r="H67" s="121">
        <v>104.26559069646163838073099463</v>
      </c>
      <c r="I67" s="241">
        <v>-2.5153218207399893193925277900</v>
      </c>
      <c r="J67" s="329">
        <v>316.95010640968373572241994629</v>
      </c>
      <c r="K67" s="121">
        <v>-4.7934688755745080678008118900</v>
      </c>
      <c r="L67" s="136">
        <v>394.88738260489141747583843705</v>
      </c>
      <c r="M67" s="121">
        <v>3.4881466564224427375322581400</v>
      </c>
      <c r="N67" s="121">
        <v>80.26341695672877350919447594</v>
      </c>
      <c r="O67" s="241">
        <v>-8.002477384685018821931096250</v>
      </c>
      <c r="P67" s="329">
        <v>290.95317897543957150159791399</v>
      </c>
      <c r="Q67" s="121">
        <v>-4.3227507791172500881482230500</v>
      </c>
      <c r="R67" s="136">
        <v>347.66778782672377760660663825</v>
      </c>
      <c r="S67" s="121">
        <v>6.6832372858980396570437788800</v>
      </c>
      <c r="T67" s="121">
        <v>83.68712580311563420376388395</v>
      </c>
      <c r="U67" s="241">
        <v>-10.316511145484359367516331260</v>
      </c>
    </row>
    <row r="68" ht="15.95" customHeight="1">
      <c r="B68" s="345"/>
      <c r="C68" s="305" t="s">
        <v>44</v>
      </c>
      <c r="D68" s="342">
        <v>89.97668997668997668997668998</v>
      </c>
      <c r="E68" s="161">
        <v>2.0489094513783906736462186800</v>
      </c>
      <c r="F68" s="161">
        <v>88.38327370304114490161001789</v>
      </c>
      <c r="G68" s="161">
        <v>8.218149289693062517915384130</v>
      </c>
      <c r="H68" s="161">
        <v>101.80284821655784769090302948</v>
      </c>
      <c r="I68" s="336">
        <v>-5.7007441715739447757532985400</v>
      </c>
      <c r="J68" s="335">
        <v>283.09634598286997765876160395</v>
      </c>
      <c r="K68" s="161">
        <v>-0.6632718299106143362492482200</v>
      </c>
      <c r="L68" s="162">
        <v>341.84198348427557738328933819</v>
      </c>
      <c r="M68" s="161">
        <v>2.7526852343002724324061411900</v>
      </c>
      <c r="N68" s="161">
        <v>82.81497289986088803631101192</v>
      </c>
      <c r="O68" s="336">
        <v>-3.3244455426649912753497759700</v>
      </c>
      <c r="P68" s="335">
        <v>254.720721560344548662661956</v>
      </c>
      <c r="Q68" s="161">
        <v>1.3720477822832116038154149800</v>
      </c>
      <c r="R68" s="162">
        <v>302.13113589481199007322251995</v>
      </c>
      <c r="S68" s="161">
        <v>11.197054305985372283973226810</v>
      </c>
      <c r="T68" s="161">
        <v>84.30800116179901626718621980</v>
      </c>
      <c r="U68" s="336">
        <v>-8.835671578683723929327941540</v>
      </c>
    </row>
    <row r="69" ht="15.95" customHeight="1">
      <c r="B69" s="346"/>
      <c r="C69" s="349" t="s">
        <v>45</v>
      </c>
      <c r="D69" s="343">
        <v>87.86421911421911421911421911</v>
      </c>
      <c r="E69" s="338">
        <v>-0.798462290365773772706644800</v>
      </c>
      <c r="F69" s="338">
        <v>82.30936940966010733452593918</v>
      </c>
      <c r="G69" s="338">
        <v>-0.0911568799172664339409881200</v>
      </c>
      <c r="H69" s="338">
        <v>106.74874530610179346656778681</v>
      </c>
      <c r="I69" s="340">
        <v>-0.7079507563343457802835213800</v>
      </c>
      <c r="J69" s="337">
        <v>280.14076230737135287792233253</v>
      </c>
      <c r="K69" s="338">
        <v>-6.4043458814998961714515017600</v>
      </c>
      <c r="L69" s="339">
        <v>354.80917201099881434540441624</v>
      </c>
      <c r="M69" s="338">
        <v>5.6239601493795287144551740300</v>
      </c>
      <c r="N69" s="338">
        <v>78.955332727048630602465649670</v>
      </c>
      <c r="O69" s="340">
        <v>-11.387857465186160351922413440</v>
      </c>
      <c r="P69" s="337">
        <v>246.1434932219925159100742406</v>
      </c>
      <c r="Q69" s="338">
        <v>-7.1516718851082649560377773900</v>
      </c>
      <c r="R69" s="339">
        <v>292.04119208988936957818436508</v>
      </c>
      <c r="S69" s="338">
        <v>5.5276766428427633125490394300</v>
      </c>
      <c r="T69" s="338">
        <v>84.28382703842044152543188622</v>
      </c>
      <c r="U69" s="340">
        <v>-12.015187798452638122236530570</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80.98484848484848484848484848</v>
      </c>
      <c r="E72" s="246">
        <v>3.384912959425038067410200200</v>
      </c>
      <c r="F72" s="246">
        <v>71.715116279069767441860465120</v>
      </c>
      <c r="G72" s="246">
        <v>5.2175149274675006784949473800</v>
      </c>
      <c r="H72" s="246">
        <v>112.92577170156519865270297972</v>
      </c>
      <c r="I72" s="239">
        <v>-1.7417270968231275874956175900</v>
      </c>
      <c r="J72" s="326">
        <v>175.03960087309011537262238853</v>
      </c>
      <c r="K72" s="246">
        <v>2.2584314520629771120486298800</v>
      </c>
      <c r="L72" s="328">
        <v>219.91975408728550195919470341</v>
      </c>
      <c r="M72" s="246">
        <v>-1.5781842027727837376098714700</v>
      </c>
      <c r="N72" s="246">
        <v>79.59248663201299986124713456</v>
      </c>
      <c r="O72" s="239">
        <v>3.8981354120291366815442046700</v>
      </c>
      <c r="P72" s="326">
        <v>141.75555555555555555555555556</v>
      </c>
      <c r="Q72" s="246">
        <v>5.7197903503226135601375834500</v>
      </c>
      <c r="R72" s="328">
        <v>157.71570736434108527131782946</v>
      </c>
      <c r="S72" s="246">
        <v>3.5569887283516909031625226100</v>
      </c>
      <c r="T72" s="246">
        <v>89.88042974573302961628934566</v>
      </c>
      <c r="U72" s="239">
        <v>2.0885134345104672693473879600</v>
      </c>
    </row>
    <row r="73" ht="15.95" customHeight="1">
      <c r="B73" s="345"/>
      <c r="C73" s="304" t="s">
        <v>58</v>
      </c>
      <c r="D73" s="240">
        <v>88.25966850828729281767955801</v>
      </c>
      <c r="E73" s="121">
        <v>-0.307946953635871630961060700</v>
      </c>
      <c r="F73" s="121">
        <v>81.32950019272773994603623282</v>
      </c>
      <c r="G73" s="121">
        <v>2.2432478560976006483446698400</v>
      </c>
      <c r="H73" s="121">
        <v>108.52110033772140793548516211</v>
      </c>
      <c r="I73" s="241">
        <v>-2.4952208221025736607710311200</v>
      </c>
      <c r="J73" s="329">
        <v>265.70242329397258974723763456</v>
      </c>
      <c r="K73" s="121">
        <v>-1.6491714208803589545875536500</v>
      </c>
      <c r="L73" s="136">
        <v>345.54003100377179644147791228</v>
      </c>
      <c r="M73" s="121">
        <v>8.090983523513644321934809400</v>
      </c>
      <c r="N73" s="121">
        <v>76.894831120464472657484939740</v>
      </c>
      <c r="O73" s="241">
        <v>-9.011070698927987930605746430</v>
      </c>
      <c r="P73" s="329">
        <v>234.5080780177465260338188515</v>
      </c>
      <c r="Q73" s="121">
        <v>-1.9520398013762315556109819400</v>
      </c>
      <c r="R73" s="136">
        <v>281.02598018116407554927405885</v>
      </c>
      <c r="S73" s="121">
        <v>10.515732194015199166636464780</v>
      </c>
      <c r="T73" s="121">
        <v>83.44711683472835868388078055</v>
      </c>
      <c r="U73" s="241">
        <v>-11.281445408605961389600209200</v>
      </c>
    </row>
    <row r="74" ht="15.95" customHeight="1">
      <c r="B74" s="345"/>
      <c r="C74" s="305" t="s">
        <v>44</v>
      </c>
      <c r="D74" s="242">
        <v>85.03996003996003996003996004</v>
      </c>
      <c r="E74" s="156">
        <v>-0.487092060387239336349522300</v>
      </c>
      <c r="F74" s="156">
        <v>78.092256580628673651929465880</v>
      </c>
      <c r="G74" s="156">
        <v>4.9586841676584652808620981100</v>
      </c>
      <c r="H74" s="156">
        <v>108.89678921262728252021040054</v>
      </c>
      <c r="I74" s="243">
        <v>-5.1884951409299941109365250700</v>
      </c>
      <c r="J74" s="330">
        <v>223.53206069505628976994615761</v>
      </c>
      <c r="K74" s="156">
        <v>1.4307192909344184198899066800</v>
      </c>
      <c r="L74" s="186">
        <v>288.36833224249365949439581118</v>
      </c>
      <c r="M74" s="156">
        <v>4.7671589338021664459579945500</v>
      </c>
      <c r="N74" s="156">
        <v>77.516161000327733401790944270</v>
      </c>
      <c r="O74" s="243">
        <v>-3.1846235755483434215372030400</v>
      </c>
      <c r="P74" s="330">
        <v>190.09157509157509157509157509</v>
      </c>
      <c r="Q74" s="156">
        <v>0.9366583104551106031407906300</v>
      </c>
      <c r="R74" s="186">
        <v>225.19333791208791208791208791</v>
      </c>
      <c r="S74" s="156">
        <v>9.962231456744457899980896580</v>
      </c>
      <c r="T74" s="156">
        <v>84.41261045021401839197822862</v>
      </c>
      <c r="U74" s="243">
        <v>-8.207884677038550293391979350</v>
      </c>
    </row>
    <row r="75" ht="15.95" customHeight="1">
      <c r="B75" s="346"/>
      <c r="C75" s="349" t="s">
        <v>45</v>
      </c>
      <c r="D75" s="244">
        <v>83.10709838107098381070983811</v>
      </c>
      <c r="E75" s="250">
        <v>0.7141458131607088665892572900</v>
      </c>
      <c r="F75" s="250">
        <v>75.788467664861420834660719970</v>
      </c>
      <c r="G75" s="250">
        <v>1.3215627894848412988888869900</v>
      </c>
      <c r="H75" s="250">
        <v>109.65665482053342747912169645</v>
      </c>
      <c r="I75" s="245">
        <v>-0.5994942830464862528813552600</v>
      </c>
      <c r="J75" s="332">
        <v>233.59279238780250243500412078</v>
      </c>
      <c r="K75" s="250">
        <v>-4.135515224912910255468430800</v>
      </c>
      <c r="L75" s="334">
        <v>310.16486811685582177385456074</v>
      </c>
      <c r="M75" s="250">
        <v>8.731287922421876426198544900</v>
      </c>
      <c r="N75" s="250">
        <v>75.31246004939612846070627400</v>
      </c>
      <c r="O75" s="245">
        <v>-11.833579269754658248319804390</v>
      </c>
      <c r="P75" s="332">
        <v>194.13219178082191780821917808</v>
      </c>
      <c r="Q75" s="250">
        <v>-3.4509030205954224526483721600</v>
      </c>
      <c r="R75" s="334">
        <v>235.06920078050334501433577572</v>
      </c>
      <c r="S75" s="250">
        <v>10.168240164043285407262361110</v>
      </c>
      <c r="T75" s="250">
        <v>82.58512435327342851846182677</v>
      </c>
      <c r="U75" s="245">
        <v>-12.362131921429272964418296030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2" width="10.28515625" customWidth="1"/>
    <col min="33" max="33" width="0"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208</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209</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285</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286</v>
      </c>
      <c r="D23" s="41" t="s">
        <v>288</v>
      </c>
      <c r="E23" s="41" t="s">
        <v>289</v>
      </c>
      <c r="F23" s="41" t="s">
        <v>290</v>
      </c>
      <c r="G23" s="41" t="s">
        <v>291</v>
      </c>
      <c r="H23" s="41" t="s">
        <v>292</v>
      </c>
      <c r="I23" s="41" t="s">
        <v>293</v>
      </c>
      <c r="J23" s="41" t="s">
        <v>286</v>
      </c>
      <c r="K23" s="41" t="s">
        <v>288</v>
      </c>
      <c r="L23" s="41" t="s">
        <v>289</v>
      </c>
      <c r="M23" s="41" t="s">
        <v>290</v>
      </c>
      <c r="N23" s="41" t="s">
        <v>291</v>
      </c>
      <c r="O23" s="41" t="s">
        <v>292</v>
      </c>
      <c r="P23" s="41" t="s">
        <v>293</v>
      </c>
      <c r="Q23" s="41" t="s">
        <v>286</v>
      </c>
      <c r="R23" s="41" t="s">
        <v>288</v>
      </c>
      <c r="S23" s="41" t="s">
        <v>289</v>
      </c>
      <c r="T23" s="41" t="s">
        <v>290</v>
      </c>
      <c r="U23" s="41" t="s">
        <v>291</v>
      </c>
      <c r="V23" s="41" t="s">
        <v>292</v>
      </c>
      <c r="W23" s="41" t="s">
        <v>293</v>
      </c>
      <c r="X23" s="41" t="s">
        <v>286</v>
      </c>
      <c r="Y23" s="41" t="s">
        <v>288</v>
      </c>
      <c r="Z23" s="41" t="s">
        <v>289</v>
      </c>
      <c r="AA23" s="41" t="s">
        <v>290</v>
      </c>
      <c r="AB23" s="41" t="s">
        <v>291</v>
      </c>
      <c r="AC23" s="41" t="s">
        <v>292</v>
      </c>
      <c r="AD23" s="41" t="s">
        <v>293</v>
      </c>
      <c r="AE23" s="41" t="s">
        <v>286</v>
      </c>
      <c r="AF23" s="41" t="s">
        <v>288</v>
      </c>
      <c r="AG23" s="41"/>
      <c r="AH23" s="93"/>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287</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c r="AH25" s="529"/>
      <c r="AI25" s="236"/>
      <c r="AJ25" s="236"/>
      <c r="AK25" s="236"/>
      <c r="AL25" s="236"/>
      <c r="AM25" s="236"/>
      <c r="AN25" s="236"/>
      <c r="AO25" s="236"/>
      <c r="AP25" s="236"/>
      <c r="AQ25" s="236"/>
      <c r="AR25" s="236"/>
      <c r="AS25" s="236"/>
      <c r="AT25" s="236"/>
      <c r="AU25" s="236"/>
      <c r="AV25" s="236"/>
      <c r="AW25" s="236"/>
    </row>
    <row r="26" ht="24.95" customHeight="1">
      <c r="B26" s="263" t="s">
        <v>19</v>
      </c>
      <c r="C26" s="573">
        <v>68.181818181818181818181818180</v>
      </c>
      <c r="D26" s="574">
        <v>66.666666666666666666666666670</v>
      </c>
      <c r="E26" s="574">
        <v>63.636363636363636363636363640</v>
      </c>
      <c r="F26" s="574">
        <v>57.575757575757575757575757580</v>
      </c>
      <c r="G26" s="574">
        <v>82.57575757575757575757575758</v>
      </c>
      <c r="H26" s="574">
        <v>87.12121212121212121212121212</v>
      </c>
      <c r="I26" s="574">
        <v>90.15151515151515151515151515</v>
      </c>
      <c r="J26" s="574">
        <v>83.33333333333333333333333333</v>
      </c>
      <c r="K26" s="574">
        <v>62.878787878787878787878787880</v>
      </c>
      <c r="L26" s="574">
        <v>67.424242424242424242424242420</v>
      </c>
      <c r="M26" s="574">
        <v>87.12121212121212121212121212</v>
      </c>
      <c r="N26" s="574">
        <v>97.72727272727272727272727273</v>
      </c>
      <c r="O26" s="574">
        <v>88.63636363636363636363636364</v>
      </c>
      <c r="P26" s="574">
        <v>90.90909090909090909090909091</v>
      </c>
      <c r="Q26" s="574">
        <v>85.60606060606060606060606061</v>
      </c>
      <c r="R26" s="574">
        <v>80.30303030303030303030303030</v>
      </c>
      <c r="S26" s="574">
        <v>89.39393939393939393939393939</v>
      </c>
      <c r="T26" s="574">
        <v>90.15151515151515151515151515</v>
      </c>
      <c r="U26" s="574">
        <v>96.96969696969696969696969697</v>
      </c>
      <c r="V26" s="574">
        <v>99.24242424242424242424242424</v>
      </c>
      <c r="W26" s="574">
        <v>98.48484848484848484848484848</v>
      </c>
      <c r="X26" s="574">
        <v>64.393939393939393939393939390</v>
      </c>
      <c r="Y26" s="574">
        <v>59.090909090909090909090909090</v>
      </c>
      <c r="Z26" s="574">
        <v>59.090909090909090909090909090</v>
      </c>
      <c r="AA26" s="574">
        <v>78.787878787878787878787878790</v>
      </c>
      <c r="AB26" s="574">
        <v>91.66666666666666666666666667</v>
      </c>
      <c r="AC26" s="574">
        <v>90.90909090909090909090909091</v>
      </c>
      <c r="AD26" s="574">
        <v>93.18181818181818181818181818</v>
      </c>
      <c r="AE26" s="574">
        <v>80.30303030303030303030303030</v>
      </c>
      <c r="AF26" s="574">
        <v>78.030303030303030303030303030</v>
      </c>
      <c r="AG26" s="575"/>
      <c r="AH26" s="342"/>
    </row>
    <row r="27" ht="24.95" customHeight="1">
      <c r="B27" s="38" t="s">
        <v>35</v>
      </c>
      <c r="C27" s="271">
        <v>63.953488372093023255813953490</v>
      </c>
      <c r="D27" s="92">
        <v>53.779069767441860465116279070</v>
      </c>
      <c r="E27" s="92">
        <v>46.511627906976744186046511630</v>
      </c>
      <c r="F27" s="92">
        <v>44.186046511627906976744186050</v>
      </c>
      <c r="G27" s="92">
        <v>62.790697674418604651162790700</v>
      </c>
      <c r="H27" s="92">
        <v>79.65116279069767441860465116</v>
      </c>
      <c r="I27" s="92">
        <v>83.72093023255813953488372093</v>
      </c>
      <c r="J27" s="92">
        <v>67.732558139534883720930232560</v>
      </c>
      <c r="K27" s="92">
        <v>60.755813953488372093023255810</v>
      </c>
      <c r="L27" s="92">
        <v>70.930232558139534883720930230</v>
      </c>
      <c r="M27" s="92">
        <v>73.837209302325581395348837210</v>
      </c>
      <c r="N27" s="92">
        <v>80.52325581395348837209302326</v>
      </c>
      <c r="O27" s="92">
        <v>80.52325581395348837209302326</v>
      </c>
      <c r="P27" s="92">
        <v>80.52325581395348837209302326</v>
      </c>
      <c r="Q27" s="92">
        <v>70.639534883720930232558139530</v>
      </c>
      <c r="R27" s="92">
        <v>72.965116279069767441860465120</v>
      </c>
      <c r="S27" s="92">
        <v>70.930232558139534883720930230</v>
      </c>
      <c r="T27" s="92">
        <v>77.906976744186046511627906980</v>
      </c>
      <c r="U27" s="92">
        <v>89.53488372093023255813953488</v>
      </c>
      <c r="V27" s="92">
        <v>95.93023255813953488372093023</v>
      </c>
      <c r="W27" s="92">
        <v>95.93023255813953488372093023</v>
      </c>
      <c r="X27" s="92">
        <v>82.55813953488372093023255814</v>
      </c>
      <c r="Y27" s="92">
        <v>73.255813953488372093023255810</v>
      </c>
      <c r="Z27" s="92">
        <v>63.081395348837209302325581400</v>
      </c>
      <c r="AA27" s="92">
        <v>64.244186046511627906976744190</v>
      </c>
      <c r="AB27" s="92">
        <v>69.186046511627906976744186050</v>
      </c>
      <c r="AC27" s="92">
        <v>75.290697674418604651162790700</v>
      </c>
      <c r="AD27" s="92">
        <v>81.97674418604651162790697674</v>
      </c>
      <c r="AE27" s="92">
        <v>63.662790697674418604651162790</v>
      </c>
      <c r="AF27" s="92">
        <v>56.104651162790697674418604650</v>
      </c>
      <c r="AG27" s="272"/>
      <c r="AH27" s="342"/>
    </row>
    <row r="28" ht="24.95" customHeight="1">
      <c r="A28" s="23"/>
      <c r="B28" s="40" t="s">
        <v>97</v>
      </c>
      <c r="C28" s="581">
        <v>106.61157024792225394440270600</v>
      </c>
      <c r="D28" s="582">
        <v>123.96396396406045483321166508</v>
      </c>
      <c r="E28" s="582">
        <v>136.81818181811340909090912512</v>
      </c>
      <c r="F28" s="582">
        <v>130.30303030311259968102078564</v>
      </c>
      <c r="G28" s="582">
        <v>131.50953984291214199609262493</v>
      </c>
      <c r="H28" s="582">
        <v>109.37845609378136740628082744</v>
      </c>
      <c r="I28" s="582">
        <v>107.68097643092259048821551513</v>
      </c>
      <c r="J28" s="582">
        <v>123.03290414884734169598510020</v>
      </c>
      <c r="K28" s="582">
        <v>103.49427287224349536897326933</v>
      </c>
      <c r="L28" s="582">
        <v>95.05712866373902339709921270</v>
      </c>
      <c r="M28" s="582">
        <v>117.99093295160375157113952008</v>
      </c>
      <c r="N28" s="582">
        <v>121.36527732188591962977140820</v>
      </c>
      <c r="O28" s="582">
        <v>110.07548408264071780374616093</v>
      </c>
      <c r="P28" s="582">
        <v>112.89793239245201826025247274</v>
      </c>
      <c r="Q28" s="582">
        <v>121.18718044647561301168983989</v>
      </c>
      <c r="R28" s="582">
        <v>110.05674272601983402860851140</v>
      </c>
      <c r="S28" s="582">
        <v>126.03079980136185124559221460</v>
      </c>
      <c r="T28" s="582">
        <v>115.71687019446140937105517561</v>
      </c>
      <c r="U28" s="582">
        <v>108.30381739476305575573581531</v>
      </c>
      <c r="V28" s="582">
        <v>103.45270890729699685560844342</v>
      </c>
      <c r="W28" s="582">
        <v>102.66299357212679077274120340</v>
      </c>
      <c r="X28" s="582">
        <v>77.998292787009801446321980990</v>
      </c>
      <c r="Y28" s="582">
        <v>80.66378066376786000595524608</v>
      </c>
      <c r="Z28" s="582">
        <v>93.67406786767150946273886949</v>
      </c>
      <c r="AA28" s="582">
        <v>122.63814616758012921334721045</v>
      </c>
      <c r="AB28" s="582">
        <v>132.49299719893299437422029791</v>
      </c>
      <c r="AC28" s="582">
        <v>120.74412074415058050579286838</v>
      </c>
      <c r="AD28" s="582">
        <v>113.66860090270794865815240683</v>
      </c>
      <c r="AE28" s="582">
        <v>126.13809326133024698729335781</v>
      </c>
      <c r="AF28" s="582">
        <v>139.07991835450669361064808305</v>
      </c>
      <c r="AG28" s="583"/>
      <c r="AH28" s="342"/>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-5.2631578947408310249307477600</v>
      </c>
      <c r="D30" s="574">
        <v>8.641975308706355738454542040</v>
      </c>
      <c r="E30" s="574">
        <v>-13.402061855612966308853187930</v>
      </c>
      <c r="F30" s="574">
        <v>-28.301886792425774296902802170</v>
      </c>
      <c r="G30" s="574">
        <v>-12.800000000027903999999991070</v>
      </c>
      <c r="H30" s="574">
        <v>5.5045871559090985607272393600</v>
      </c>
      <c r="I30" s="574">
        <v>0.8474576271630853203102752600</v>
      </c>
      <c r="J30" s="574">
        <v>-1.7857142857318239795918336100</v>
      </c>
      <c r="K30" s="574">
        <v>-33.600000000021247999999993200</v>
      </c>
      <c r="L30" s="574">
        <v>-23.275862068976099881093934340</v>
      </c>
      <c r="M30" s="574">
        <v>10.576923076893306213017759490</v>
      </c>
      <c r="N30" s="574">
        <v>22.857142857072653061224529920</v>
      </c>
      <c r="O30" s="574">
        <v>32.954545454478977272727305970</v>
      </c>
      <c r="P30" s="574">
        <v>51.898734177176734497676664120</v>
      </c>
      <c r="Q30" s="574">
        <v>28.409090909026704545454577560</v>
      </c>
      <c r="R30" s="574">
        <v>-0.9345794392449296881823734600</v>
      </c>
      <c r="S30" s="574">
        <v>-4.0650406503877850485821894900</v>
      </c>
      <c r="T30" s="574">
        <v>-2.459016393397850040311723600</v>
      </c>
      <c r="U30" s="574">
        <v>5.7851239669036814425244317200</v>
      </c>
      <c r="V30" s="574">
        <v>11.965811965766031119877292570</v>
      </c>
      <c r="W30" s="574">
        <v>23.809523809453061224489836340</v>
      </c>
      <c r="X30" s="574">
        <v>-15.841584158469169689246118550</v>
      </c>
      <c r="Y30" s="574">
        <v>-19.587628865926325858220817370</v>
      </c>
      <c r="Z30" s="574">
        <v>-6.0240963855602845115401329600</v>
      </c>
      <c r="AA30" s="574">
        <v>60.000000000078769230769269550</v>
      </c>
      <c r="AB30" s="574">
        <v>37.499999999931250000000034380</v>
      </c>
      <c r="AC30" s="574">
        <v>14.285714285648979591836772010</v>
      </c>
      <c r="AD30" s="574">
        <v>9.821428571408960459183676970</v>
      </c>
      <c r="AE30" s="574">
        <v>19.101123595580558010352275400</v>
      </c>
      <c r="AF30" s="574">
        <v>51.470588235151557093425739710</v>
      </c>
      <c r="AG30" s="575"/>
      <c r="AH30" s="342"/>
    </row>
    <row r="31" ht="24.95" customHeight="1">
      <c r="B31" s="38" t="s">
        <v>35</v>
      </c>
      <c r="C31" s="271">
        <v>-15.057915057894068365110830960</v>
      </c>
      <c r="D31" s="92">
        <v>-20.600858369057820184567755100</v>
      </c>
      <c r="E31" s="92">
        <v>-20.792079207977257131653719180</v>
      </c>
      <c r="F31" s="92">
        <v>-33.33333333329122807017541200</v>
      </c>
      <c r="G31" s="92">
        <v>-13.253012048153752358832904500</v>
      </c>
      <c r="H31" s="92">
        <v>-2.8368794325689854635078405600</v>
      </c>
      <c r="I31" s="92">
        <v>3.2258064516010637067869131400</v>
      </c>
      <c r="J31" s="92">
        <v>-6.8000000000626303999999579100</v>
      </c>
      <c r="K31" s="92">
        <v>-0.0000000000191387559808575900</v>
      </c>
      <c r="L31" s="92">
        <v>8.928571428516964285714312940</v>
      </c>
      <c r="M31" s="92">
        <v>12.888888888864805925925931060</v>
      </c>
      <c r="N31" s="92">
        <v>28.837209302325581395348837220</v>
      </c>
      <c r="O31" s="92">
        <v>29.439252336409887326404064340</v>
      </c>
      <c r="P31" s="92">
        <v>23.660714285652455357142888060</v>
      </c>
      <c r="Q31" s="92">
        <v>8.482142857088616071428598540</v>
      </c>
      <c r="R31" s="92">
        <v>30.729166666601302083333366020</v>
      </c>
      <c r="S31" s="92">
        <v>6.5502183405480749795008098700</v>
      </c>
      <c r="T31" s="92">
        <v>6.7729083664896239742226497200</v>
      </c>
      <c r="U31" s="92">
        <v>17.557251908357461686381925730</v>
      </c>
      <c r="V31" s="92">
        <v>22.222222222258436213991780270</v>
      </c>
      <c r="W31" s="92">
        <v>32.530120481987322785116395900</v>
      </c>
      <c r="X31" s="92">
        <v>21.888412017230157122068959740</v>
      </c>
      <c r="Y31" s="92">
        <v>18.309859154858480460226188320</v>
      </c>
      <c r="Z31" s="92">
        <v>7.4257425741808450151946433700</v>
      </c>
      <c r="AA31" s="92">
        <v>10.500000000039780000000014330</v>
      </c>
      <c r="AB31" s="92">
        <v>-0.4184100417743386845467945300</v>
      </c>
      <c r="AC31" s="92">
        <v>1.568627451040935024990424400</v>
      </c>
      <c r="AD31" s="92">
        <v>11.904761904744142101284961240</v>
      </c>
      <c r="AE31" s="92">
        <v>6.8292682927079405116002438100</v>
      </c>
      <c r="AF31" s="92">
        <v>-5.3921568627525182622068429400</v>
      </c>
      <c r="AG31" s="272"/>
      <c r="AH31" s="342"/>
    </row>
    <row r="32" ht="24.95" customHeight="1">
      <c r="A32" s="23"/>
      <c r="B32" s="40" t="s">
        <v>97</v>
      </c>
      <c r="C32" s="581">
        <v>11.531100478451585953234951280</v>
      </c>
      <c r="D32" s="582">
        <v>36.830163496902373205153445490</v>
      </c>
      <c r="E32" s="582">
        <v>9.329896907271159793814514990</v>
      </c>
      <c r="F32" s="582">
        <v>7.5471698113560706036245944500</v>
      </c>
      <c r="G32" s="582">
        <v>0.5222222221849699507704423300</v>
      </c>
      <c r="H32" s="582">
        <v>8.585013058226189040170642390</v>
      </c>
      <c r="I32" s="582">
        <v>-2.3040254237485876558710556700</v>
      </c>
      <c r="J32" s="582">
        <v>5.380134886730863815749690600</v>
      </c>
      <c r="K32" s="582">
        <v>-33.600000000000323761878266240</v>
      </c>
      <c r="L32" s="582">
        <v>-29.564725833707762744608961150</v>
      </c>
      <c r="M32" s="582">
        <v>-2.0480012113429717112488322500</v>
      </c>
      <c r="N32" s="582">
        <v>-4.6415678184977720554264287900</v>
      </c>
      <c r="O32" s="582">
        <v>2.7157860190408792335891528200</v>
      </c>
      <c r="P32" s="582">
        <v>22.835077457413837368071235290</v>
      </c>
      <c r="Q32" s="582">
        <v>18.368873924525113063193321580</v>
      </c>
      <c r="R32" s="582">
        <v>-24.220873515271255503875195330</v>
      </c>
      <c r="S32" s="582">
        <v>-9.962681593904281822260069720</v>
      </c>
      <c r="T32" s="582">
        <v>-8.646317592343053649328038380</v>
      </c>
      <c r="U32" s="582">
        <v>-10.013952989135113436476028320</v>
      </c>
      <c r="V32" s="582">
        <v>-8.391608391576373613917916520</v>
      </c>
      <c r="W32" s="582">
        <v>-6.5800865801205810602028844600</v>
      </c>
      <c r="X32" s="582">
        <v>-30.954539115946031878899331890</v>
      </c>
      <c r="Y32" s="582">
        <v>-32.032400589070252656292067220</v>
      </c>
      <c r="Z32" s="582">
        <v>-12.520126589167453990610279250</v>
      </c>
      <c r="AA32" s="582">
        <v>44.796380090472139543454498160</v>
      </c>
      <c r="AB32" s="582">
        <v>38.077731092401956150962482440</v>
      </c>
      <c r="AC32" s="582">
        <v>12.520683949192156296788276710</v>
      </c>
      <c r="AD32" s="582">
        <v>-1.8617021275904847340951509400</v>
      </c>
      <c r="AE32" s="582">
        <v>11.487353137314553343517860070</v>
      </c>
      <c r="AF32" s="582">
        <v>60.103626942954433957022114120</v>
      </c>
      <c r="AG32" s="583"/>
      <c r="AH32" s="342"/>
    </row>
    <row r="33" ht="30" customHeight="1">
      <c r="A33" s="8"/>
      <c r="B33" s="25"/>
      <c r="X33" s="792"/>
      <c r="Y33" s="792"/>
      <c r="Z33" s="792"/>
      <c r="AA33" s="792"/>
      <c r="AB33" s="792"/>
      <c r="AC33" s="792"/>
      <c r="AD33" s="792"/>
      <c r="AE33"/>
      <c r="AF33"/>
      <c r="AG33" s="4"/>
      <c r="AH33" s="4"/>
    </row>
    <row r="34" s="35" customFormat="1" ht="20.1" customHeight="1">
      <c r="B34" s="784" t="s">
        <v>9</v>
      </c>
      <c r="C34" s="350" t="s">
        <v>287</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c r="AH35" s="529"/>
      <c r="AI35" s="236"/>
      <c r="AJ35" s="236"/>
      <c r="AK35" s="236"/>
      <c r="AL35" s="236"/>
      <c r="AM35" s="236"/>
      <c r="AN35" s="236"/>
      <c r="AO35" s="236"/>
      <c r="AP35" s="236"/>
      <c r="AQ35" s="236"/>
      <c r="AR35" s="236"/>
      <c r="AS35" s="236"/>
      <c r="AT35" s="236"/>
      <c r="AU35" s="236"/>
      <c r="AV35" s="236"/>
      <c r="AW35" s="236"/>
    </row>
    <row r="36" ht="24.95" customHeight="1">
      <c r="B36" s="263" t="s">
        <v>19</v>
      </c>
      <c r="C36" s="578">
        <v>162.56666666666666666666666667</v>
      </c>
      <c r="D36" s="579">
        <v>141.94318181818181818181818182</v>
      </c>
      <c r="E36" s="579">
        <v>143.66666666666666666666666667</v>
      </c>
      <c r="F36" s="579">
        <v>139.72368421052631578947368421</v>
      </c>
      <c r="G36" s="579">
        <v>140.22935779816513761467889908</v>
      </c>
      <c r="H36" s="579">
        <v>187.02608695652173913043478261</v>
      </c>
      <c r="I36" s="579">
        <v>197.89915966386554621848739496</v>
      </c>
      <c r="J36" s="579">
        <v>131.80909090909090909090909091</v>
      </c>
      <c r="K36" s="579">
        <v>139.36144578313253012048192771</v>
      </c>
      <c r="L36" s="579">
        <v>174.79775280898876404494382022</v>
      </c>
      <c r="M36" s="579">
        <v>161.53913043478260869565217391</v>
      </c>
      <c r="N36" s="579">
        <v>169.10852713178294573643410853</v>
      </c>
      <c r="O36" s="579">
        <v>221.60683760683760683760683761</v>
      </c>
      <c r="P36" s="579">
        <v>221.81666666666666666666666667</v>
      </c>
      <c r="Q36" s="579">
        <v>144.15044247787610619469026549</v>
      </c>
      <c r="R36" s="579">
        <v>134.34905660377358490566037736</v>
      </c>
      <c r="S36" s="579">
        <v>150.88135593220338983050847458</v>
      </c>
      <c r="T36" s="579">
        <v>150.18487394957983193277310924</v>
      </c>
      <c r="U36" s="579">
        <v>164.546875000</v>
      </c>
      <c r="V36" s="579">
        <v>261.6564885496183206106870229</v>
      </c>
      <c r="W36" s="579">
        <v>269.20769230769230769230769231</v>
      </c>
      <c r="X36" s="579">
        <v>224.25882352941176470588235294</v>
      </c>
      <c r="Y36" s="579">
        <v>215.70512820512820512820512821</v>
      </c>
      <c r="Z36" s="579">
        <v>211.000000000</v>
      </c>
      <c r="AA36" s="579">
        <v>168.67307692307692307692307692</v>
      </c>
      <c r="AB36" s="579">
        <v>153.01652892561983471074380165</v>
      </c>
      <c r="AC36" s="579">
        <v>187.79166666666666666666666667</v>
      </c>
      <c r="AD36" s="579">
        <v>195.56910569105691056910569106</v>
      </c>
      <c r="AE36" s="579">
        <v>141.92452830188679245283018868</v>
      </c>
      <c r="AF36" s="579">
        <v>136.65048543689320388349514563</v>
      </c>
      <c r="AG36" s="580"/>
      <c r="AH36" s="342"/>
    </row>
    <row r="37" ht="24.95" customHeight="1">
      <c r="B37" s="38" t="s">
        <v>35</v>
      </c>
      <c r="C37" s="276">
        <v>196.6681818181818181818181818</v>
      </c>
      <c r="D37" s="94">
        <v>192.64324324324324324324324324</v>
      </c>
      <c r="E37" s="94">
        <v>187.32499999999999999999999999</v>
      </c>
      <c r="F37" s="94">
        <v>190.36842105263157894736842104</v>
      </c>
      <c r="G37" s="94">
        <v>199.875</v>
      </c>
      <c r="H37" s="94">
        <v>226.03649635036496350364963505</v>
      </c>
      <c r="I37" s="94">
        <v>235.0625</v>
      </c>
      <c r="J37" s="94">
        <v>203.15021459227467811158798283</v>
      </c>
      <c r="K37" s="94">
        <v>201.38277511961722488038277512</v>
      </c>
      <c r="L37" s="94">
        <v>198.74180327868852459016393443</v>
      </c>
      <c r="M37" s="94">
        <v>199.12598425196850393700787402</v>
      </c>
      <c r="N37" s="94">
        <v>203.63537906137184115523465704</v>
      </c>
      <c r="O37" s="94">
        <v>230.95306859205776173285198555</v>
      </c>
      <c r="P37" s="94">
        <v>250.05054151624548736462093862</v>
      </c>
      <c r="Q37" s="94">
        <v>230.80658436213991769547325105</v>
      </c>
      <c r="R37" s="94">
        <v>208.64541832669322709163346612</v>
      </c>
      <c r="S37" s="94">
        <v>199.72950819672131147540983607</v>
      </c>
      <c r="T37" s="94">
        <v>217.03358208955223880597014924</v>
      </c>
      <c r="U37" s="94">
        <v>232.97077922077922077922077923</v>
      </c>
      <c r="V37" s="94">
        <v>286.51818181818181818181818183</v>
      </c>
      <c r="W37" s="94">
        <v>303.33636363636363636363636365</v>
      </c>
      <c r="X37" s="94">
        <v>210.42605633802816901408450705</v>
      </c>
      <c r="Y37" s="94">
        <v>189.19841269841269841269841271</v>
      </c>
      <c r="Z37" s="94">
        <v>196.51612903225806451612903224</v>
      </c>
      <c r="AA37" s="94">
        <v>184.74660633484162895927601809</v>
      </c>
      <c r="AB37" s="94">
        <v>199.99579831932773109243697479</v>
      </c>
      <c r="AC37" s="94">
        <v>238.34362934362934362934362933</v>
      </c>
      <c r="AD37" s="94">
        <v>251.92553191489361702127659575</v>
      </c>
      <c r="AE37" s="94">
        <v>201.61643835616438356164383562</v>
      </c>
      <c r="AF37" s="94">
        <v>195.34715025906735751295336788</v>
      </c>
      <c r="AG37" s="277"/>
      <c r="AH37" s="342"/>
    </row>
    <row r="38" ht="24.95" customHeight="1">
      <c r="A38" s="23"/>
      <c r="B38" s="40" t="s">
        <v>98</v>
      </c>
      <c r="C38" s="581">
        <v>82.66038012033041406028116914</v>
      </c>
      <c r="D38" s="582">
        <v>73.681889605122284336835414630</v>
      </c>
      <c r="E38" s="582">
        <v>76.693803105120334534454379650</v>
      </c>
      <c r="F38" s="582">
        <v>73.396461155666032036686038050</v>
      </c>
      <c r="G38" s="582">
        <v>70.158527979069487236862488600</v>
      </c>
      <c r="H38" s="582">
        <v>82.74154394368039095411330952</v>
      </c>
      <c r="I38" s="582">
        <v>84.19001740552642221472476255</v>
      </c>
      <c r="J38" s="582">
        <v>64.882575277420783678202666910</v>
      </c>
      <c r="K38" s="582">
        <v>69.202267026247214418954282100</v>
      </c>
      <c r="L38" s="582">
        <v>87.95218214049614535266194758</v>
      </c>
      <c r="M38" s="582">
        <v>81.12408385153286543949450264</v>
      </c>
      <c r="N38" s="582">
        <v>83.04476752087045664035601994</v>
      </c>
      <c r="O38" s="582">
        <v>95.95319038528588265661364862</v>
      </c>
      <c r="P38" s="582">
        <v>88.70873277124890847625872608</v>
      </c>
      <c r="Q38" s="582">
        <v>62.455082412955018985671631340</v>
      </c>
      <c r="R38" s="582">
        <v>64.391088805701881158699747540</v>
      </c>
      <c r="S38" s="582">
        <v>75.542846570077472291758755340</v>
      </c>
      <c r="T38" s="582">
        <v>69.198910373039693110041165990</v>
      </c>
      <c r="U38" s="582">
        <v>70.629834157892104648615281030</v>
      </c>
      <c r="V38" s="582">
        <v>91.32282178017003144569587562</v>
      </c>
      <c r="W38" s="582">
        <v>88.74890207043667063287388344</v>
      </c>
      <c r="X38" s="582">
        <v>106.57369502244183844325293014</v>
      </c>
      <c r="Y38" s="582">
        <v>114.01000945445688999666562131</v>
      </c>
      <c r="Z38" s="582">
        <v>107.37032173339796759385203261</v>
      </c>
      <c r="AA38" s="582">
        <v>91.29968894660265882432361176</v>
      </c>
      <c r="AB38" s="582">
        <v>76.509871813068699579185880640</v>
      </c>
      <c r="AC38" s="582">
        <v>78.790302549242122644474265880</v>
      </c>
      <c r="AD38" s="582">
        <v>77.629728199649017419563097270</v>
      </c>
      <c r="AE38" s="582">
        <v>70.393331743687359848017855020</v>
      </c>
      <c r="AF38" s="582">
        <v>69.952638293236383569312209470</v>
      </c>
      <c r="AG38" s="583"/>
      <c r="AH38" s="342"/>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9.795487937844278227009511470</v>
      </c>
      <c r="D40" s="574">
        <v>4.64546943912155473457907400</v>
      </c>
      <c r="E40" s="574">
        <v>2.5510829837527001178554827300</v>
      </c>
      <c r="F40" s="574">
        <v>-0.997924289334281620770125700</v>
      </c>
      <c r="G40" s="574">
        <v>-9.557454595889571220087392880</v>
      </c>
      <c r="H40" s="574">
        <v>-10.162861456619011699865989600</v>
      </c>
      <c r="I40" s="574">
        <v>4.1063743940709389964496954500</v>
      </c>
      <c r="J40" s="574">
        <v>-13.759678807005479769583302550</v>
      </c>
      <c r="K40" s="574">
        <v>-12.553683435110856558103303230</v>
      </c>
      <c r="L40" s="574">
        <v>8.978497935329956374946993780</v>
      </c>
      <c r="M40" s="574">
        <v>-2.839225231513817149128900200</v>
      </c>
      <c r="N40" s="574">
        <v>-5.686538753739646444596956600</v>
      </c>
      <c r="O40" s="574">
        <v>9.355698477005181060241405450</v>
      </c>
      <c r="P40" s="574">
        <v>9.303372421801203585012281860</v>
      </c>
      <c r="Q40" s="574">
        <v>-28.866489440616808448459773680</v>
      </c>
      <c r="R40" s="574">
        <v>-17.619776179904545027281583280</v>
      </c>
      <c r="S40" s="574">
        <v>-0.3842899642152708286388507600</v>
      </c>
      <c r="T40" s="574">
        <v>-2.5965944296185543248459808400</v>
      </c>
      <c r="U40" s="574">
        <v>-8.332542011968001819760919930</v>
      </c>
      <c r="V40" s="574">
        <v>24.314988874807388455403331280</v>
      </c>
      <c r="W40" s="574">
        <v>28.083772224846110467538472010</v>
      </c>
      <c r="X40" s="574">
        <v>43.984115291298632243191151950</v>
      </c>
      <c r="Y40" s="574">
        <v>47.037227237543465658200800520</v>
      </c>
      <c r="Z40" s="574">
        <v>44.080625257125479355256504620</v>
      </c>
      <c r="AA40" s="574">
        <v>31.665065449733897858445434490</v>
      </c>
      <c r="AB40" s="574">
        <v>2.6330376940195618814558437600</v>
      </c>
      <c r="AC40" s="574">
        <v>-7.7773490482333224803730087500</v>
      </c>
      <c r="AD40" s="574">
        <v>-1.6534669656829444265199146100</v>
      </c>
      <c r="AE40" s="574">
        <v>4.3821421276824000353810585900</v>
      </c>
      <c r="AF40" s="574">
        <v>2.653921892514144131992378800</v>
      </c>
      <c r="AG40" s="575"/>
      <c r="AH40" s="342"/>
    </row>
    <row r="41" ht="24.95" customHeight="1">
      <c r="B41" s="38" t="s">
        <v>35</v>
      </c>
      <c r="C41" s="271">
        <v>-5.9021298106488084234800402400</v>
      </c>
      <c r="D41" s="92">
        <v>-0.8726051198655216806650184700</v>
      </c>
      <c r="E41" s="92">
        <v>2.3135680294131471873660787400</v>
      </c>
      <c r="F41" s="92">
        <v>10.840419826859725733547843400</v>
      </c>
      <c r="G41" s="92">
        <v>2.5295626377709773557416433200</v>
      </c>
      <c r="H41" s="92">
        <v>-3.3929586232502402147716431900</v>
      </c>
      <c r="I41" s="92">
        <v>-2.3765797347551006563215259500</v>
      </c>
      <c r="J41" s="92">
        <v>1.7603110622706716782484035100</v>
      </c>
      <c r="K41" s="92">
        <v>-3.6137128724360516037552428900</v>
      </c>
      <c r="L41" s="92">
        <v>-4.0763543752936231239027767500</v>
      </c>
      <c r="M41" s="92">
        <v>-7.4100591938301207239928906400</v>
      </c>
      <c r="N41" s="92">
        <v>-8.607438684501696493692680590</v>
      </c>
      <c r="O41" s="92">
        <v>-8.406307118798157754393412840</v>
      </c>
      <c r="P41" s="92">
        <v>-11.241072340323287901632057280</v>
      </c>
      <c r="Q41" s="92">
        <v>14.556900793527006282681070580</v>
      </c>
      <c r="R41" s="92">
        <v>8.053947021430381403661934230</v>
      </c>
      <c r="S41" s="92">
        <v>-1.524227324103441878531398100</v>
      </c>
      <c r="T41" s="92">
        <v>6.9508768125548860655764818500</v>
      </c>
      <c r="U41" s="92">
        <v>4.7383086909941308222706827600</v>
      </c>
      <c r="V41" s="92">
        <v>13.452577604122054377525633540</v>
      </c>
      <c r="W41" s="92">
        <v>13.095387505369287708685715700</v>
      </c>
      <c r="X41" s="92">
        <v>-3.694222889903621978831880500</v>
      </c>
      <c r="Y41" s="92">
        <v>-17.527705663133680693764422300</v>
      </c>
      <c r="Z41" s="92">
        <v>-11.790013633794030772725262040</v>
      </c>
      <c r="AA41" s="92">
        <v>-4.1273449222409813392444119900</v>
      </c>
      <c r="AB41" s="92">
        <v>-4.9324851362833907944471868900</v>
      </c>
      <c r="AC41" s="92">
        <v>-6.7241279291880592818816574500</v>
      </c>
      <c r="AD41" s="92">
        <v>2.9468023003007806390330338300</v>
      </c>
      <c r="AE41" s="92">
        <v>6.510423561448496986343701100</v>
      </c>
      <c r="AF41" s="92">
        <v>5.517564680394725791134662800</v>
      </c>
      <c r="AG41" s="272"/>
      <c r="AH41" s="342"/>
    </row>
    <row r="42" ht="24.95" customHeight="1">
      <c r="A42" s="23"/>
      <c r="B42" s="40" t="s">
        <v>98</v>
      </c>
      <c r="C42" s="581">
        <v>16.682224280875411906169809900</v>
      </c>
      <c r="D42" s="582">
        <v>5.5666494268153779208603518100</v>
      </c>
      <c r="E42" s="582">
        <v>0.2321441417514365819423291500</v>
      </c>
      <c r="F42" s="582">
        <v>-10.680529841659514557373719850</v>
      </c>
      <c r="G42" s="582">
        <v>-11.788811853580372255096331960</v>
      </c>
      <c r="H42" s="582">
        <v>-7.0076701832071483662024492600</v>
      </c>
      <c r="I42" s="582">
        <v>6.6407775011216621620298588500</v>
      </c>
      <c r="J42" s="582">
        <v>-15.251515750351452106389822470</v>
      </c>
      <c r="K42" s="582">
        <v>-9.275147771612498158622725620</v>
      </c>
      <c r="L42" s="582">
        <v>13.609629018518415290197221320</v>
      </c>
      <c r="M42" s="582">
        <v>4.9366420612051181225378807800</v>
      </c>
      <c r="N42" s="582">
        <v>3.1959930750026846177311510800</v>
      </c>
      <c r="O42" s="582">
        <v>19.392171051418655216679506580</v>
      </c>
      <c r="P42" s="582">
        <v>23.146341786508478819734877720</v>
      </c>
      <c r="Q42" s="582">
        <v>-37.905521128221068048140448570</v>
      </c>
      <c r="R42" s="582">
        <v>-23.760097533741667682735949740</v>
      </c>
      <c r="S42" s="582">
        <v>1.1575815338897247771143491300</v>
      </c>
      <c r="T42" s="582">
        <v>-8.926968648344485774228753460</v>
      </c>
      <c r="U42" s="582">
        <v>-12.479531955711558624426117510</v>
      </c>
      <c r="V42" s="582">
        <v>9.574406769841454446237965380</v>
      </c>
      <c r="W42" s="582">
        <v>13.252870033107620195549949480</v>
      </c>
      <c r="X42" s="582">
        <v>49.507246202595830193050084590</v>
      </c>
      <c r="Y42" s="582">
        <v>78.286815493487591152524446930</v>
      </c>
      <c r="Z42" s="582">
        <v>63.338224154035609279391356190</v>
      </c>
      <c r="AA42" s="582">
        <v>37.333283763843313974219631730</v>
      </c>
      <c r="AB42" s="582">
        <v>7.958052591480124289217028370</v>
      </c>
      <c r="AC42" s="582">
        <v>-1.1291463650946379912286263500</v>
      </c>
      <c r="AD42" s="582">
        <v>-4.4685887888151956654832402900</v>
      </c>
      <c r="AE42" s="582">
        <v>-1.9981907522295099570284930300</v>
      </c>
      <c r="AF42" s="582">
        <v>-2.7139015163611919728254779400</v>
      </c>
      <c r="AG42" s="583"/>
      <c r="AH42" s="342"/>
    </row>
    <row r="43" ht="30" customHeight="1">
      <c r="A43" s="8"/>
      <c r="B43" s="25"/>
      <c r="X43" s="792"/>
      <c r="Y43" s="792"/>
      <c r="Z43" s="792"/>
      <c r="AA43" s="792"/>
      <c r="AB43" s="792"/>
      <c r="AC43" s="792"/>
      <c r="AD43" s="792"/>
      <c r="AE43"/>
      <c r="AF43"/>
      <c r="AG43" s="4"/>
      <c r="AH43" s="4"/>
    </row>
    <row r="44" s="35" customFormat="1" ht="20.1" customHeight="1">
      <c r="B44" s="784" t="s">
        <v>10</v>
      </c>
      <c r="C44" s="350" t="s">
        <v>287</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c r="AH45" s="529"/>
      <c r="AI45" s="236"/>
      <c r="AJ45" s="236"/>
      <c r="AK45" s="236"/>
      <c r="AL45" s="236"/>
      <c r="AM45" s="236"/>
      <c r="AN45" s="236"/>
      <c r="AO45" s="236"/>
      <c r="AP45" s="236"/>
      <c r="AQ45" s="236"/>
      <c r="AR45" s="236"/>
      <c r="AS45" s="236"/>
      <c r="AT45" s="236"/>
      <c r="AU45" s="236"/>
      <c r="AV45" s="236"/>
      <c r="AW45" s="236"/>
    </row>
    <row r="46" ht="24.95" customHeight="1">
      <c r="B46" s="263" t="s">
        <v>19</v>
      </c>
      <c r="C46" s="578">
        <v>110.84090909090909090909090909</v>
      </c>
      <c r="D46" s="579">
        <v>94.62878787878787878787878788</v>
      </c>
      <c r="E46" s="579">
        <v>91.42424242424242424242424242</v>
      </c>
      <c r="F46" s="579">
        <v>80.4469696969696969696969697</v>
      </c>
      <c r="G46" s="579">
        <v>115.79545454545454545454545455</v>
      </c>
      <c r="H46" s="579">
        <v>162.93939393939393939393939394</v>
      </c>
      <c r="I46" s="579">
        <v>178.40909090909090909090909091</v>
      </c>
      <c r="J46" s="579">
        <v>109.84090909090909090909090909</v>
      </c>
      <c r="K46" s="579">
        <v>87.62878787878787878787878788</v>
      </c>
      <c r="L46" s="579">
        <v>117.85606060606060606060606061</v>
      </c>
      <c r="M46" s="579">
        <v>140.73484848484848484848484848</v>
      </c>
      <c r="N46" s="579">
        <v>165.26515151515151515151515152</v>
      </c>
      <c r="O46" s="579">
        <v>196.42424242424242424242424242</v>
      </c>
      <c r="P46" s="579">
        <v>201.65151515151515151515151515</v>
      </c>
      <c r="Q46" s="579">
        <v>123.40151515151515151515151515</v>
      </c>
      <c r="R46" s="579">
        <v>107.88636363636363636363636364</v>
      </c>
      <c r="S46" s="579">
        <v>134.87878787878787878787878788</v>
      </c>
      <c r="T46" s="579">
        <v>135.39393939393939393939393939</v>
      </c>
      <c r="U46" s="579">
        <v>159.56060606060606060606060606</v>
      </c>
      <c r="V46" s="579">
        <v>259.67424242424242424242424242</v>
      </c>
      <c r="W46" s="579">
        <v>265.12878787878787878787878788</v>
      </c>
      <c r="X46" s="579">
        <v>144.40909090909090909090909091</v>
      </c>
      <c r="Y46" s="579">
        <v>127.46212121212121212121212121</v>
      </c>
      <c r="Z46" s="579">
        <v>124.68181818181818181818181818</v>
      </c>
      <c r="AA46" s="579">
        <v>132.89393939393939393939393939</v>
      </c>
      <c r="AB46" s="579">
        <v>140.26515151515151515151515152</v>
      </c>
      <c r="AC46" s="579">
        <v>170.71969696969696969696969697</v>
      </c>
      <c r="AD46" s="579">
        <v>182.23484848484848484848484848</v>
      </c>
      <c r="AE46" s="579">
        <v>113.96969696969696969696969697</v>
      </c>
      <c r="AF46" s="579">
        <v>106.62878787878787878787878788</v>
      </c>
      <c r="AG46" s="580"/>
      <c r="AH46" s="342"/>
    </row>
    <row r="47" ht="24.95" customHeight="1">
      <c r="B47" s="38" t="s">
        <v>35</v>
      </c>
      <c r="C47" s="276">
        <v>125.77616279069767441860465116</v>
      </c>
      <c r="D47" s="94">
        <v>103.60174418604651162790697674</v>
      </c>
      <c r="E47" s="94">
        <v>87.12790697674418604651162791</v>
      </c>
      <c r="F47" s="94">
        <v>84.11627906976744186046511628</v>
      </c>
      <c r="G47" s="94">
        <v>125.50290697674418604651162791</v>
      </c>
      <c r="H47" s="94">
        <v>180.0406976744186046511627907</v>
      </c>
      <c r="I47" s="94">
        <v>196.79651162790697674418604651</v>
      </c>
      <c r="J47" s="94">
        <v>137.59883720930232558139534884</v>
      </c>
      <c r="K47" s="94">
        <v>122.35174418604651162790697674</v>
      </c>
      <c r="L47" s="94">
        <v>140.96802325581395348837209302</v>
      </c>
      <c r="M47" s="94">
        <v>147.02906976744186046511627907</v>
      </c>
      <c r="N47" s="94">
        <v>163.97383720930232558139534884</v>
      </c>
      <c r="O47" s="94">
        <v>185.97093023255813953488372093</v>
      </c>
      <c r="P47" s="94">
        <v>201.34883720930232558139534884</v>
      </c>
      <c r="Q47" s="94">
        <v>163.0406976744186046511627907</v>
      </c>
      <c r="R47" s="94">
        <v>152.23837209302325581395348837</v>
      </c>
      <c r="S47" s="94">
        <v>141.6686046511627906976744186</v>
      </c>
      <c r="T47" s="94">
        <v>169.0843023255813953488372093</v>
      </c>
      <c r="U47" s="94">
        <v>208.59011627906976744186046512</v>
      </c>
      <c r="V47" s="94">
        <v>274.85755813953488372093023256</v>
      </c>
      <c r="W47" s="94">
        <v>290.99127906976744186046511628</v>
      </c>
      <c r="X47" s="94">
        <v>173.72383720930232558139534884</v>
      </c>
      <c r="Y47" s="94">
        <v>138.59883720930232558139534884</v>
      </c>
      <c r="Z47" s="94">
        <v>123.96511627906976744186046512</v>
      </c>
      <c r="AA47" s="94">
        <v>118.68895348837209302325581395</v>
      </c>
      <c r="AB47" s="94">
        <v>138.36918604651162790697674419</v>
      </c>
      <c r="AC47" s="94">
        <v>179.45058139534883720930232558</v>
      </c>
      <c r="AD47" s="94">
        <v>206.52034883720930232558139535</v>
      </c>
      <c r="AE47" s="94">
        <v>128.35465116279069767441860465</v>
      </c>
      <c r="AF47" s="94">
        <v>109.59883720930232558139534884</v>
      </c>
      <c r="AG47" s="277"/>
      <c r="AH47" s="342"/>
    </row>
    <row r="48" ht="24.95" customHeight="1">
      <c r="A48" s="23"/>
      <c r="B48" s="40" t="s">
        <v>99</v>
      </c>
      <c r="C48" s="581">
        <v>88.12552921920175253309339476</v>
      </c>
      <c r="D48" s="582">
        <v>91.33899107808200157580963594</v>
      </c>
      <c r="E48" s="582">
        <v>104.93106697569512699043855949</v>
      </c>
      <c r="F48" s="582">
        <v>95.63781302096649268218623628</v>
      </c>
      <c r="G48" s="582">
        <v>92.26515730584019628071740225</v>
      </c>
      <c r="H48" s="582">
        <v>90.50142331378129499565219995</v>
      </c>
      <c r="I48" s="582">
        <v>90.65663279968307555091719056</v>
      </c>
      <c r="J48" s="582">
        <v>79.82691665034302169277997945</v>
      </c>
      <c r="K48" s="582">
        <v>71.620383069957683870658595500</v>
      </c>
      <c r="L48" s="582">
        <v>83.60481893982401896388673912</v>
      </c>
      <c r="M48" s="582">
        <v>95.71906338487417915498084100</v>
      </c>
      <c r="N48" s="582">
        <v>100.78751240309345916680631282</v>
      </c>
      <c r="O48" s="582">
        <v>105.62093880939785619815141480</v>
      </c>
      <c r="P48" s="582">
        <v>100.15032515032630706256254883</v>
      </c>
      <c r="Q48" s="582">
        <v>75.687553421755974975272106400</v>
      </c>
      <c r="R48" s="582">
        <v>70.866734945416765796995498250</v>
      </c>
      <c r="S48" s="582">
        <v>95.20725372489605567889669704</v>
      </c>
      <c r="T48" s="582">
        <v>80.07481329237518563930336652</v>
      </c>
      <c r="U48" s="582">
        <v>76.494806612557354036091063370</v>
      </c>
      <c r="V48" s="582">
        <v>94.47593298214797416352211732</v>
      </c>
      <c r="W48" s="582">
        <v>91.11227962786867836256579029</v>
      </c>
      <c r="X48" s="582">
        <v>83.12566267754545227250907387</v>
      </c>
      <c r="Y48" s="582">
        <v>91.96478396109407418089823073</v>
      </c>
      <c r="Z48" s="582">
        <v>100.57814805021807151781568984</v>
      </c>
      <c r="AA48" s="582">
        <v>111.96824598080874516529270252</v>
      </c>
      <c r="AB48" s="582">
        <v>101.37022231814991075655778088</v>
      </c>
      <c r="AC48" s="582">
        <v>95.13465804472913155190923564</v>
      </c>
      <c r="AD48" s="582">
        <v>88.24062592907211475853851637</v>
      </c>
      <c r="AE48" s="582">
        <v>88.79280644465488111145388142</v>
      </c>
      <c r="AF48" s="582">
        <v>97.29007222509099947909422248</v>
      </c>
      <c r="AG48" s="583"/>
      <c r="AH48" s="342"/>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4.016778046358823647265540100</v>
      </c>
      <c r="D50" s="574">
        <v>13.688905069693966414166382220</v>
      </c>
      <c r="E50" s="574">
        <v>-11.192876591386800242375042520</v>
      </c>
      <c r="F50" s="574">
        <v>-29.017379679123507785467121880</v>
      </c>
      <c r="G50" s="574">
        <v>-21.134100407638493836113576410</v>
      </c>
      <c r="H50" s="574">
        <v>-5.217697867094735535103097400</v>
      </c>
      <c r="I50" s="574">
        <v>4.988631804210778508150778200</v>
      </c>
      <c r="J50" s="574">
        <v>-15.299684542574875525347714670</v>
      </c>
      <c r="K50" s="574">
        <v>-41.935645800926433570527379330</v>
      </c>
      <c r="L50" s="574">
        <v>-16.387186928920688117896029460</v>
      </c>
      <c r="M50" s="574">
        <v>7.437395176701393769276817100</v>
      </c>
      <c r="N50" s="574">
        <v>15.870823816848919460450047370</v>
      </c>
      <c r="O50" s="574">
        <v>45.393371838709651391034743490</v>
      </c>
      <c r="P50" s="574">
        <v>66.030439121818624166338005970</v>
      </c>
      <c r="Q50" s="574">
        <v>-8.658105758996393416053496730</v>
      </c>
      <c r="R50" s="574">
        <v>-18.389684813772288897463891740</v>
      </c>
      <c r="S50" s="574">
        <v>-4.4337090714148533653492865600</v>
      </c>
      <c r="T50" s="574">
        <v>-4.9917601403595782450454972800</v>
      </c>
      <c r="U50" s="574">
        <v>-3.0294659300452036466123263700</v>
      </c>
      <c r="V50" s="574">
        <v>39.190286688869948519018561520</v>
      </c>
      <c r="W50" s="574">
        <v>58.579908468887268841960437270</v>
      </c>
      <c r="X50" s="574">
        <v>21.174750492700945814173232810</v>
      </c>
      <c r="Y50" s="574">
        <v>18.236120871431689703688385570</v>
      </c>
      <c r="Z50" s="574">
        <v>35.401069518765591501923699600</v>
      </c>
      <c r="AA50" s="574">
        <v>110.66410471969820128026500205</v>
      </c>
      <c r="AB50" s="574">
        <v>41.120426829324224559414061440</v>
      </c>
      <c r="AC50" s="574">
        <v>5.3973153734446737600980122200</v>
      </c>
      <c r="AD50" s="574">
        <v>8.005567528718174387432498860</v>
      </c>
      <c r="AE50" s="574">
        <v>24.320304107156118808610864740</v>
      </c>
      <c r="AF50" s="574">
        <v>55.490499337066864030458730180</v>
      </c>
      <c r="AG50" s="575"/>
      <c r="AH50" s="342"/>
    </row>
    <row r="51" ht="24.95" customHeight="1">
      <c r="B51" s="38" t="s">
        <v>35</v>
      </c>
      <c r="C51" s="271">
        <v>-20.071307175064203919831883870</v>
      </c>
      <c r="D51" s="92">
        <v>-21.293699344102710302392252590</v>
      </c>
      <c r="E51" s="92">
        <v>-18.959550075725944289406072690</v>
      </c>
      <c r="F51" s="92">
        <v>-26.106386782105593072463406220</v>
      </c>
      <c r="G51" s="92">
        <v>-11.05869265155090962921692200</v>
      </c>
      <c r="H51" s="92">
        <v>-6.1335839105003473233382762400</v>
      </c>
      <c r="I51" s="92">
        <v>0.7725628544502478668464972400</v>
      </c>
      <c r="J51" s="92">
        <v>-5.1593900899758957282939781200</v>
      </c>
      <c r="K51" s="92">
        <v>-3.6137128724420113210530734200</v>
      </c>
      <c r="L51" s="92">
        <v>4.488256841178205200168016200</v>
      </c>
      <c r="M51" s="92">
        <v>4.5237553989681322621784578300</v>
      </c>
      <c r="N51" s="92">
        <v>17.747625508847067600578208690</v>
      </c>
      <c r="O51" s="92">
        <v>18.558191252764017439269460690</v>
      </c>
      <c r="P51" s="92">
        <v>9.759923936272993661904234010</v>
      </c>
      <c r="Q51" s="92">
        <v>24.273780771494313810496281430</v>
      </c>
      <c r="R51" s="92">
        <v>41.258024491496463063282517570</v>
      </c>
      <c r="S51" s="92">
        <v>4.9261507987499652540674116200</v>
      </c>
      <c r="T51" s="92">
        <v>14.194561696292127015716093760</v>
      </c>
      <c r="U51" s="92">
        <v>23.127477392475256546577238750</v>
      </c>
      <c r="V51" s="92">
        <v>38.664261516134535739294549490</v>
      </c>
      <c r="W51" s="92">
        <v>49.885453320329435869733563630</v>
      </c>
      <c r="X51" s="92">
        <v>17.385582400323503090347697780</v>
      </c>
      <c r="Y51" s="92">
        <v>-2.4271447282204859435852105700</v>
      </c>
      <c r="Z51" s="92">
        <v>-5.2397671214899057634582404600</v>
      </c>
      <c r="AA51" s="92">
        <v>5.9392838609523032836573405300</v>
      </c>
      <c r="AB51" s="92">
        <v>-5.3302571649996108648643766900</v>
      </c>
      <c r="AC51" s="92">
        <v>-5.2609769947266482029000790500</v>
      </c>
      <c r="AD51" s="92">
        <v>15.202374002701848146720626220</v>
      </c>
      <c r="AE51" s="92">
        <v>13.784306146155069361257253160</v>
      </c>
      <c r="AF51" s="92">
        <v>-0.1721079249312491182847619600</v>
      </c>
      <c r="AG51" s="272"/>
      <c r="AH51" s="342"/>
    </row>
    <row r="52" ht="24.95" customHeight="1">
      <c r="A52" s="23"/>
      <c r="B52" s="40" t="s">
        <v>99</v>
      </c>
      <c r="C52" s="581">
        <v>30.136968803211904923806104490</v>
      </c>
      <c r="D52" s="582">
        <v>44.447019009026115117498758530</v>
      </c>
      <c r="E52" s="582">
        <v>9.583699858129623979553324060</v>
      </c>
      <c r="F52" s="582">
        <v>-3.9394377542612128740099316700</v>
      </c>
      <c r="G52" s="582">
        <v>-11.328153426601871056899485670</v>
      </c>
      <c r="H52" s="582">
        <v>0.9757334748049927174736859700</v>
      </c>
      <c r="I52" s="582">
        <v>4.1837468754401798634737322400</v>
      </c>
      <c r="J52" s="582">
        <v>-10.691932983349213882121455050</v>
      </c>
      <c r="K52" s="582">
        <v>-39.758698120316810176495441050</v>
      </c>
      <c r="L52" s="582">
        <v>-19.978746321567627865534385940</v>
      </c>
      <c r="M52" s="582">
        <v>2.787538360677550279503547500</v>
      </c>
      <c r="N52" s="582">
        <v>-1.5939189294601335333082481700</v>
      </c>
      <c r="O52" s="582">
        <v>22.634606940559465261208788220</v>
      </c>
      <c r="P52" s="582">
        <v>51.266904319534777260279124350</v>
      </c>
      <c r="Q52" s="582">
        <v>-26.499464590230021921383538930</v>
      </c>
      <c r="R52" s="582">
        <v>-42.226067878238315681737733670</v>
      </c>
      <c r="S52" s="582">
        <v>-8.920426222512974464512287080</v>
      </c>
      <c r="T52" s="582">
        <v>-16.801432179973561987567611680</v>
      </c>
      <c r="U52" s="582">
        <v>-21.243790481541574322843757490</v>
      </c>
      <c r="V52" s="582">
        <v>0.3793516562977393605639239300</v>
      </c>
      <c r="W52" s="582">
        <v>5.8007331304534564271810014600</v>
      </c>
      <c r="X52" s="582">
        <v>3.2279671956753575847155832900</v>
      </c>
      <c r="Y52" s="582">
        <v>21.177268557051805497027532720</v>
      </c>
      <c r="Z52" s="582">
        <v>42.888071721349485242302633120</v>
      </c>
      <c r="AA52" s="582">
        <v>98.85362354918984369334136270</v>
      </c>
      <c r="AB52" s="582">
        <v>49.066029549995390503653427010</v>
      </c>
      <c r="AC52" s="582">
        <v>11.250160736429456616436356870</v>
      </c>
      <c r="AD52" s="582">
        <v>-6.2470991038832758734019994100</v>
      </c>
      <c r="AE52" s="582">
        <v>9.259623156940656926094139310</v>
      </c>
      <c r="AF52" s="582">
        <v>55.758572183724369191907596260</v>
      </c>
      <c r="AG52" s="583"/>
      <c r="AH52" s="342"/>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159</v>
      </c>
      <c r="AD1" s="5"/>
      <c r="AG1" s="685"/>
      <c r="AI1" s="236"/>
    </row>
    <row r="2" ht="21" customHeight="1">
      <c r="B2" s="11" t="s">
        <v>208</v>
      </c>
    </row>
    <row r="3" ht="21" customHeight="1">
      <c r="B3" s="11" t="s">
        <v>209</v>
      </c>
      <c r="U3" s="99" t="s">
        <v>294</v>
      </c>
      <c r="V3" s="99"/>
      <c r="W3" s="99"/>
      <c r="X3" s="99"/>
      <c r="Y3" s="99"/>
      <c r="Z3" s="99"/>
      <c r="AA3" s="99"/>
      <c r="AB3" s="99"/>
      <c r="AC3" s="99"/>
      <c r="AD3" s="99"/>
      <c r="AE3" s="99"/>
      <c r="AF3" s="99"/>
      <c r="AG3" s="99"/>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02" t="s">
        <v>91</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101</v>
      </c>
      <c r="N7" s="839"/>
      <c r="O7" s="283"/>
      <c r="Q7" s="839" t="s">
        <v>20</v>
      </c>
      <c r="R7" s="839"/>
      <c r="S7" s="283"/>
      <c r="T7" s="839" t="s">
        <v>18</v>
      </c>
      <c r="U7" s="839"/>
      <c r="V7" s="283"/>
      <c r="W7" s="839" t="s">
        <v>17</v>
      </c>
      <c r="X7" s="839"/>
      <c r="Y7" s="283"/>
      <c r="Z7" s="839" t="s">
        <v>101</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218</v>
      </c>
      <c r="D9" s="434">
        <v>287.56403940886699507389162562</v>
      </c>
      <c r="E9" s="435">
        <v>330.13604342581423401688781665</v>
      </c>
      <c r="F9" s="436">
        <v>262.26147907794812700090541647</v>
      </c>
      <c r="G9" s="434">
        <v>10.08073344280240831964969896</v>
      </c>
      <c r="H9" s="435">
        <v>94.49744826946274473415607312</v>
      </c>
      <c r="I9" s="436">
        <v>77.49678020355628207408146771</v>
      </c>
      <c r="J9" s="434">
        <v>24.448549534756431308155446086</v>
      </c>
      <c r="K9" s="435">
        <v>27.635798459682657511366799666</v>
      </c>
      <c r="L9" s="436">
        <v>26.894018432451542877387965008</v>
      </c>
      <c r="M9" s="434">
        <v>322.09332238642583470169677066</v>
      </c>
      <c r="N9" s="435">
        <v>452.26929015495963626241068943</v>
      </c>
      <c r="O9" s="436">
        <v>366.65227771395595195237484918</v>
      </c>
      <c r="P9" s="5"/>
      <c r="Q9" s="415">
        <v>2.2539092647899099129884983200</v>
      </c>
      <c r="R9" s="416">
        <v>-3.3178220622261525888217845200</v>
      </c>
      <c r="S9" s="417">
        <v>1.0599541073309790584166684500</v>
      </c>
      <c r="T9" s="415">
        <v>-85.66458310402761563078109825</v>
      </c>
      <c r="U9" s="416">
        <v>-22.497511531198796481658265860</v>
      </c>
      <c r="V9" s="417">
        <v>6.498547818368685711788606200</v>
      </c>
      <c r="W9" s="415">
        <v>-9.311568000731576587861591130</v>
      </c>
      <c r="X9" s="416">
        <v>28.159862274861364979967391090</v>
      </c>
      <c r="Y9" s="417">
        <v>0.0823398092455083448655104500</v>
      </c>
      <c r="Z9" s="415">
        <v>-14.903765625560515109504504900</v>
      </c>
      <c r="AA9" s="416">
        <v>-6.7403441881886956534652869100</v>
      </c>
      <c r="AB9" s="417">
        <v>2.088728161924442439350445400</v>
      </c>
      <c r="AC9" s="5"/>
      <c r="AD9" s="427" t="s">
        <v>219</v>
      </c>
      <c r="AE9" s="428" t="s">
        <v>236</v>
      </c>
      <c r="AF9" s="428" t="s">
        <v>238</v>
      </c>
      <c r="AG9" s="429" t="s">
        <v>219</v>
      </c>
    </row>
    <row r="10" ht="20.1" customHeight="1">
      <c r="A10" s="58"/>
      <c r="B10" s="286"/>
      <c r="C10" s="287" t="s">
        <v>220</v>
      </c>
      <c r="D10" s="276">
        <v>351.08152937868990722518976666</v>
      </c>
      <c r="E10" s="94">
        <v>384.66018085106382978723404255</v>
      </c>
      <c r="F10" s="277">
        <v>311.18307987266351468455483865</v>
      </c>
      <c r="G10" s="276">
        <v>1.5971324149564239527691875176</v>
      </c>
      <c r="H10" s="94">
        <v>90.13114119922630560928433269</v>
      </c>
      <c r="I10" s="277">
        <v>82.003987754123313698075201</v>
      </c>
      <c r="J10" s="276">
        <v>28.768906381782400899634523475</v>
      </c>
      <c r="K10" s="94">
        <v>26.773500967117988394584139265</v>
      </c>
      <c r="L10" s="277">
        <v>33.152290555647179455284032633</v>
      </c>
      <c r="M10" s="276">
        <v>381.44756817542873207759347765</v>
      </c>
      <c r="N10" s="94">
        <v>501.56482301740812379110251451</v>
      </c>
      <c r="O10" s="277">
        <v>426.3393581824340078379140723</v>
      </c>
      <c r="P10" s="5"/>
      <c r="Q10" s="271">
        <v>1.2162344522410634697652324300</v>
      </c>
      <c r="R10" s="92">
        <v>-9.522847999293038540960644920</v>
      </c>
      <c r="S10" s="272">
        <v>1.4481062129723104466315736300</v>
      </c>
      <c r="T10" s="271">
        <v>-97.71976183799763624064906960</v>
      </c>
      <c r="U10" s="92">
        <v>-14.665192290090863412313461590</v>
      </c>
      <c r="V10" s="272">
        <v>-8.311110771033007212509915790</v>
      </c>
      <c r="W10" s="271">
        <v>11.535786227052958321737458750</v>
      </c>
      <c r="X10" s="92">
        <v>-3.8861949935773384952527509800</v>
      </c>
      <c r="Y10" s="272">
        <v>9.329554079875586968135635650</v>
      </c>
      <c r="Z10" s="271">
        <v>-13.835840319820974019285658360</v>
      </c>
      <c r="AA10" s="92">
        <v>-10.214052593198339972703415530</v>
      </c>
      <c r="AB10" s="272">
        <v>-0.0380450928040758960494165700</v>
      </c>
      <c r="AC10" s="5"/>
      <c r="AD10" s="271" t="s">
        <v>219</v>
      </c>
      <c r="AE10" s="92" t="s">
        <v>236</v>
      </c>
      <c r="AF10" s="92" t="s">
        <v>219</v>
      </c>
      <c r="AG10" s="272" t="s">
        <v>219</v>
      </c>
    </row>
    <row r="11" ht="20.1" customHeight="1">
      <c r="A11" s="58"/>
      <c r="B11" s="288"/>
      <c r="C11" s="289" t="s">
        <v>221</v>
      </c>
      <c r="D11" s="439">
        <v>312.21697864487213287635117321</v>
      </c>
      <c r="E11" s="95">
        <v>357.98414403032217308907138345</v>
      </c>
      <c r="F11" s="442">
        <v>288.59078956573267436740505418</v>
      </c>
      <c r="G11" s="439">
        <v>1.9446348536778275771157395202</v>
      </c>
      <c r="H11" s="95">
        <v>78.526486779171554913816442559</v>
      </c>
      <c r="I11" s="442">
        <v>69.481032851916974497698096882</v>
      </c>
      <c r="J11" s="439">
        <v>27.4500395465330872660163459</v>
      </c>
      <c r="K11" s="95">
        <v>27.159552386968685136720512589</v>
      </c>
      <c r="L11" s="442">
        <v>34.590275107075657046139601415</v>
      </c>
      <c r="M11" s="439">
        <v>341.61165304508304771948325863</v>
      </c>
      <c r="N11" s="95">
        <v>463.6701831964624131396083386</v>
      </c>
      <c r="O11" s="442">
        <v>392.66209752472530591124275247</v>
      </c>
      <c r="P11" s="5"/>
      <c r="Q11" s="497">
        <v>-0.7483064832101831910544914300</v>
      </c>
      <c r="R11" s="216">
        <v>-7.3738141736572682901672865500</v>
      </c>
      <c r="S11" s="498">
        <v>-1.7721720742611521912362134800</v>
      </c>
      <c r="T11" s="497">
        <v>-97.22311385655712862348603374</v>
      </c>
      <c r="U11" s="216">
        <v>-9.155904499348662255384338600</v>
      </c>
      <c r="V11" s="498">
        <v>-11.267030511446347616543554150</v>
      </c>
      <c r="W11" s="497">
        <v>11.702981237332160617785598220</v>
      </c>
      <c r="X11" s="216">
        <v>-11.694887270671345307649758020</v>
      </c>
      <c r="Y11" s="498">
        <v>9.297495316356970360022996040</v>
      </c>
      <c r="Z11" s="497">
        <v>-16.511968235284747110404937690</v>
      </c>
      <c r="AA11" s="216">
        <v>-7.943514275204171772317376170</v>
      </c>
      <c r="AB11" s="498">
        <v>-2.7459211222529439720361967800</v>
      </c>
      <c r="AC11" s="5"/>
      <c r="AD11" s="420" t="s">
        <v>219</v>
      </c>
      <c r="AE11" s="91" t="s">
        <v>236</v>
      </c>
      <c r="AF11" s="91" t="s">
        <v>238</v>
      </c>
      <c r="AG11" s="421" t="s">
        <v>219</v>
      </c>
    </row>
    <row r="12" ht="20.1" customHeight="1">
      <c r="A12" s="58"/>
      <c r="B12" s="286"/>
      <c r="C12" s="287" t="s">
        <v>223</v>
      </c>
      <c r="D12" s="276">
        <v>258.44718309859154929577464789</v>
      </c>
      <c r="E12" s="94">
        <v>308.43953020134228187919463087</v>
      </c>
      <c r="F12" s="277">
        <v>246.16857816113941881293149923</v>
      </c>
      <c r="G12" s="276">
        <v>1.6015709642470205850487540628</v>
      </c>
      <c r="H12" s="94">
        <v>75.433269415148609779482262704</v>
      </c>
      <c r="I12" s="277">
        <v>70.4609438390072272725640896</v>
      </c>
      <c r="J12" s="276">
        <v>30.944474539544962080173347779</v>
      </c>
      <c r="K12" s="94">
        <v>27.02991371045062320230105465</v>
      </c>
      <c r="L12" s="277">
        <v>26.978529619425726184953670762</v>
      </c>
      <c r="M12" s="276">
        <v>290.99322860238353196099674973</v>
      </c>
      <c r="N12" s="94">
        <v>410.90271332694151486097794823</v>
      </c>
      <c r="O12" s="277">
        <v>343.60805161957237227044925959</v>
      </c>
      <c r="P12" s="5"/>
      <c r="Q12" s="271">
        <v>-1.9665363402226929105900365600</v>
      </c>
      <c r="R12" s="92">
        <v>-10.688279842937158953578849690</v>
      </c>
      <c r="S12" s="272">
        <v>1.9197628238996176653635393800</v>
      </c>
      <c r="T12" s="271">
        <v>-96.90871768993620394092057659</v>
      </c>
      <c r="U12" s="92">
        <v>-31.482762659515022779833254770</v>
      </c>
      <c r="V12" s="272">
        <v>-4.6381634541964973233896142600</v>
      </c>
      <c r="W12" s="271">
        <v>30.139255871221181903394012900</v>
      </c>
      <c r="X12" s="92">
        <v>-9.025226505003090513051461750</v>
      </c>
      <c r="Y12" s="272">
        <v>-17.727238843927373980497498550</v>
      </c>
      <c r="Z12" s="271">
        <v>-14.216666708400527261518078930</v>
      </c>
      <c r="AA12" s="92">
        <v>-15.305204273455279839768057880</v>
      </c>
      <c r="AB12" s="272">
        <v>-1.3219700156015381997193778600</v>
      </c>
      <c r="AC12" s="5"/>
      <c r="AD12" s="271" t="s">
        <v>219</v>
      </c>
      <c r="AE12" s="92" t="s">
        <v>236</v>
      </c>
      <c r="AF12" s="92" t="s">
        <v>236</v>
      </c>
      <c r="AG12" s="272" t="s">
        <v>219</v>
      </c>
    </row>
    <row r="13" ht="20.1" customHeight="1">
      <c r="A13" s="58"/>
      <c r="B13" s="288"/>
      <c r="C13" s="289" t="s">
        <v>224</v>
      </c>
      <c r="D13" s="439">
        <v>223.86142322097378277153558052</v>
      </c>
      <c r="E13" s="95">
        <v>277.21491387715307117322066948</v>
      </c>
      <c r="F13" s="442">
        <v>221.39125745754933455713630106</v>
      </c>
      <c r="G13" s="439">
        <v>1.6505329876116392970325554595</v>
      </c>
      <c r="H13" s="95">
        <v>80.97616726248510453905319034</v>
      </c>
      <c r="I13" s="442">
        <v>58.629616297789918376653757774</v>
      </c>
      <c r="J13" s="439">
        <v>32.153846153846153846153846154</v>
      </c>
      <c r="K13" s="95">
        <v>29.209619759506012349691257719</v>
      </c>
      <c r="L13" s="442">
        <v>35.649366587680285301384370344</v>
      </c>
      <c r="M13" s="439">
        <v>257.66580236243157591472198214</v>
      </c>
      <c r="N13" s="95">
        <v>387.40070089914418806196511754</v>
      </c>
      <c r="O13" s="442">
        <v>315.67024034301953823517442917</v>
      </c>
      <c r="P13" s="5"/>
      <c r="Q13" s="420">
        <v>-14.640373994918915216975929880</v>
      </c>
      <c r="R13" s="91">
        <v>-7.7344904555041594675486860700</v>
      </c>
      <c r="S13" s="498">
        <v>-3.1478549181622566336311016400</v>
      </c>
      <c r="T13" s="420">
        <v>-97.00837170651709822409818890</v>
      </c>
      <c r="U13" s="91">
        <v>9.866337371287073071632194620</v>
      </c>
      <c r="V13" s="498">
        <v>-20.326684984651921142296478730</v>
      </c>
      <c r="W13" s="420">
        <v>27.366691560945458616414269320</v>
      </c>
      <c r="X13" s="91">
        <v>-2.9321470109735690740282506400</v>
      </c>
      <c r="Y13" s="498">
        <v>-5.0146099485176066112051438500</v>
      </c>
      <c r="Z13" s="420">
        <v>-24.807226439588587370676808170</v>
      </c>
      <c r="AA13" s="91">
        <v>-4.1679622694223098596837369200</v>
      </c>
      <c r="AB13" s="498">
        <v>-7.0753991085286874609103232100</v>
      </c>
      <c r="AC13" s="5"/>
      <c r="AD13" s="420" t="s">
        <v>219</v>
      </c>
      <c r="AE13" s="91" t="s">
        <v>236</v>
      </c>
      <c r="AF13" s="91" t="s">
        <v>236</v>
      </c>
      <c r="AG13" s="421" t="s">
        <v>219</v>
      </c>
    </row>
    <row r="14" ht="20.1" customHeight="1">
      <c r="A14" s="58"/>
      <c r="B14" s="286"/>
      <c r="C14" s="287" t="s">
        <v>225</v>
      </c>
      <c r="D14" s="276">
        <v>171.17375886524822695035460993</v>
      </c>
      <c r="E14" s="94">
        <v>223.44614586295137901620699461</v>
      </c>
      <c r="F14" s="277">
        <v>180.60209950248756218905472637</v>
      </c>
      <c r="G14" s="276">
        <v>1.7485493230174081237911025145</v>
      </c>
      <c r="H14" s="94">
        <v>67.585015638328120557293147574</v>
      </c>
      <c r="I14" s="277">
        <v>60.307279672805082787709242174</v>
      </c>
      <c r="J14" s="276">
        <v>30.392972275950999355254674404</v>
      </c>
      <c r="K14" s="94">
        <v>37.763008245663918112027295994</v>
      </c>
      <c r="L14" s="277">
        <v>34.002614970482845668566797091</v>
      </c>
      <c r="M14" s="276">
        <v>203.31528046421663442940038685</v>
      </c>
      <c r="N14" s="94">
        <v>328.79416974694341768552743818</v>
      </c>
      <c r="O14" s="277">
        <v>274.91199414577549064533076563</v>
      </c>
      <c r="P14" s="5"/>
      <c r="Q14" s="271">
        <v>-7.6972330895483458723735015600</v>
      </c>
      <c r="R14" s="92">
        <v>-0.0140374678165911566609575900</v>
      </c>
      <c r="S14" s="272">
        <v>-1.0435431884297427996602429200</v>
      </c>
      <c r="T14" s="271">
        <v>-96.11179576814149528057776846</v>
      </c>
      <c r="U14" s="92">
        <v>26.411694792752093484278070770</v>
      </c>
      <c r="V14" s="272">
        <v>4.3225736433916597358900009400</v>
      </c>
      <c r="W14" s="271">
        <v>14.124140328095088044540718430</v>
      </c>
      <c r="X14" s="92">
        <v>27.802324583570436746413647210</v>
      </c>
      <c r="Y14" s="272">
        <v>11.081856039754375858955554800</v>
      </c>
      <c r="Z14" s="271">
        <v>-20.904461038826765467130961450</v>
      </c>
      <c r="AA14" s="92">
        <v>7.2773926650737254513154196800</v>
      </c>
      <c r="AB14" s="272">
        <v>1.4714302129332968623500205400</v>
      </c>
      <c r="AC14" s="5"/>
      <c r="AD14" s="271" t="s">
        <v>227</v>
      </c>
      <c r="AE14" s="92" t="s">
        <v>226</v>
      </c>
      <c r="AF14" s="92" t="s">
        <v>227</v>
      </c>
      <c r="AG14" s="272" t="s">
        <v>227</v>
      </c>
    </row>
    <row r="15" ht="20.1" customHeight="1">
      <c r="A15" s="58"/>
      <c r="B15" s="288"/>
      <c r="C15" s="289" t="s">
        <v>228</v>
      </c>
      <c r="D15" s="439">
        <v>179.42672413793103448275862069</v>
      </c>
      <c r="E15" s="95">
        <v>234.55057833578202217176439163</v>
      </c>
      <c r="F15" s="442">
        <v>173.8978017178628621342262338</v>
      </c>
      <c r="G15" s="439">
        <v>1.4353448275862068965517241379</v>
      </c>
      <c r="H15" s="95">
        <v>61.169459256103306502138765285</v>
      </c>
      <c r="I15" s="442">
        <v>43.565441644875285117015308032</v>
      </c>
      <c r="J15" s="439">
        <v>34.589190981432360742705570292</v>
      </c>
      <c r="K15" s="95">
        <v>31.796397970207577797862482657</v>
      </c>
      <c r="L15" s="442">
        <v>30.197348352022241941761508082</v>
      </c>
      <c r="M15" s="439">
        <v>215.45125994694960212201591512</v>
      </c>
      <c r="N15" s="95">
        <v>327.51643556209290647176563957</v>
      </c>
      <c r="O15" s="442">
        <v>247.66059171476038919300304992</v>
      </c>
      <c r="P15" s="5"/>
      <c r="Q15" s="420">
        <v>-3.2597745184463937248828842200</v>
      </c>
      <c r="R15" s="91">
        <v>4.8264792156227410170163342600</v>
      </c>
      <c r="S15" s="498">
        <v>-2.302148495598473646750172400</v>
      </c>
      <c r="T15" s="420">
        <v>-96.47079811389401117997552617</v>
      </c>
      <c r="U15" s="91">
        <v>14.434489665528988433415290970</v>
      </c>
      <c r="V15" s="498">
        <v>-19.964737384341650228373684030</v>
      </c>
      <c r="W15" s="420">
        <v>43.307062453450204784587874310</v>
      </c>
      <c r="X15" s="91">
        <v>0.5862446745658816876245684100</v>
      </c>
      <c r="Y15" s="498">
        <v>-14.944401356949826623943735900</v>
      </c>
      <c r="Z15" s="420">
        <v>-13.915791879173910206471438630</v>
      </c>
      <c r="AA15" s="91">
        <v>6.0555126382038043644027941400</v>
      </c>
      <c r="AB15" s="498">
        <v>-7.5656715551936902781593722500</v>
      </c>
      <c r="AC15" s="5"/>
      <c r="AD15" s="420" t="s">
        <v>227</v>
      </c>
      <c r="AE15" s="91" t="s">
        <v>295</v>
      </c>
      <c r="AF15" s="91" t="s">
        <v>296</v>
      </c>
      <c r="AG15" s="421" t="s">
        <v>295</v>
      </c>
    </row>
    <row r="16" ht="20.1" customHeight="1">
      <c r="A16" s="58"/>
      <c r="B16" s="286"/>
      <c r="C16" s="287" t="s">
        <v>229</v>
      </c>
      <c r="D16" s="276">
        <v>158.6950495049504950495049505</v>
      </c>
      <c r="E16" s="94">
        <v>207.8975057736720554272517321</v>
      </c>
      <c r="F16" s="277">
        <v>158.95021520383365378046281024</v>
      </c>
      <c r="G16" s="276">
        <v>2.0617161716171617161716171617</v>
      </c>
      <c r="H16" s="94">
        <v>48.614318706697459584295612008</v>
      </c>
      <c r="I16" s="277">
        <v>44.118463982054810505522926167</v>
      </c>
      <c r="J16" s="276">
        <v>33.763036303630363036303630363</v>
      </c>
      <c r="K16" s="94">
        <v>28.583752207580491781008015215</v>
      </c>
      <c r="L16" s="277">
        <v>31.09202518818755524667331757</v>
      </c>
      <c r="M16" s="276">
        <v>194.51980198019801980198019802</v>
      </c>
      <c r="N16" s="94">
        <v>285.09557668795000679255535932</v>
      </c>
      <c r="O16" s="277">
        <v>234.16070437407601953265905398</v>
      </c>
      <c r="P16" s="5"/>
      <c r="Q16" s="271">
        <v>-6.1624018703361361635951644900</v>
      </c>
      <c r="R16" s="92">
        <v>2.9993072278396522904370573800</v>
      </c>
      <c r="S16" s="272">
        <v>-3.7095948434937817878632261400</v>
      </c>
      <c r="T16" s="271">
        <v>-94.87603751791198694117344580</v>
      </c>
      <c r="U16" s="92">
        <v>4.6387207824604233909338612500</v>
      </c>
      <c r="V16" s="272">
        <v>-17.928547403954575362350582720</v>
      </c>
      <c r="W16" s="271">
        <v>5.0833142932717773073853384800</v>
      </c>
      <c r="X16" s="92">
        <v>-23.553450243651327653324870870</v>
      </c>
      <c r="Y16" s="272">
        <v>-0.4704699527657811430380945100</v>
      </c>
      <c r="Z16" s="271">
        <v>-19.447905437836203143963646980</v>
      </c>
      <c r="AA16" s="92">
        <v>-0.2092215443527779227539522400</v>
      </c>
      <c r="AB16" s="272">
        <v>-6.3615408269389344117415794700</v>
      </c>
      <c r="AC16" s="5"/>
      <c r="AD16" s="271" t="s">
        <v>227</v>
      </c>
      <c r="AE16" s="92" t="s">
        <v>226</v>
      </c>
      <c r="AF16" s="92" t="s">
        <v>227</v>
      </c>
      <c r="AG16" s="272" t="s">
        <v>226</v>
      </c>
    </row>
    <row r="17" ht="20.1" customHeight="1">
      <c r="A17" s="58"/>
      <c r="B17" s="288"/>
      <c r="C17" s="289" t="s">
        <v>230</v>
      </c>
      <c r="D17" s="439">
        <v>160.40228571428571428571428571</v>
      </c>
      <c r="E17" s="95">
        <v>192.74771742189698846045595271</v>
      </c>
      <c r="F17" s="442">
        <v>162.81919161254648553120900329</v>
      </c>
      <c r="G17" s="439">
        <v>1.9954285714285714285714285714</v>
      </c>
      <c r="H17" s="95">
        <v>64.158378221215464843901440019</v>
      </c>
      <c r="I17" s="442">
        <v>64.575361582057398140492349474</v>
      </c>
      <c r="J17" s="439">
        <v>29.04152380952380952380952381</v>
      </c>
      <c r="K17" s="95">
        <v>24.691164141192967101999386178</v>
      </c>
      <c r="L17" s="442">
        <v>35.406984939269717498212964511</v>
      </c>
      <c r="M17" s="439">
        <v>191.4392380952380952380952381</v>
      </c>
      <c r="N17" s="95">
        <v>281.59725978430542040635677892</v>
      </c>
      <c r="O17" s="442">
        <v>262.80153813387360116991431727</v>
      </c>
      <c r="P17" s="5"/>
      <c r="Q17" s="420">
        <v>-1.1041850725666247487794883100</v>
      </c>
      <c r="R17" s="91">
        <v>3.8881055866302187946017558200</v>
      </c>
      <c r="S17" s="498">
        <v>-1.3728932955123756165335647100</v>
      </c>
      <c r="T17" s="420">
        <v>-95.19030916930368217411600093</v>
      </c>
      <c r="U17" s="91">
        <v>37.308937443844944370466412290</v>
      </c>
      <c r="V17" s="498">
        <v>8.019777368172920943146260130</v>
      </c>
      <c r="W17" s="420">
        <v>6.7808707260250585684231832600</v>
      </c>
      <c r="X17" s="91">
        <v>-6.1458374827566785051169402500</v>
      </c>
      <c r="Y17" s="498">
        <v>29.212911035028747798568330180</v>
      </c>
      <c r="Z17" s="420">
        <v>-17.082142151923682360732453770</v>
      </c>
      <c r="AA17" s="91">
        <v>8.906655859012124247341585820</v>
      </c>
      <c r="AB17" s="498">
        <v>4.1752274613678411050270828200</v>
      </c>
      <c r="AC17" s="5"/>
      <c r="AD17" s="420" t="s">
        <v>226</v>
      </c>
      <c r="AE17" s="91" t="s">
        <v>295</v>
      </c>
      <c r="AF17" s="91" t="s">
        <v>296</v>
      </c>
      <c r="AG17" s="421" t="s">
        <v>295</v>
      </c>
    </row>
    <row r="18" ht="20.1" customHeight="1">
      <c r="A18" s="58"/>
      <c r="B18" s="286"/>
      <c r="C18" s="287" t="s">
        <v>231</v>
      </c>
      <c r="D18" s="276">
        <v>192.31705011030570438071225969</v>
      </c>
      <c r="E18" s="94">
        <v>263.56058871185525249797461516</v>
      </c>
      <c r="F18" s="277">
        <v>210.12431479262039019981531328</v>
      </c>
      <c r="G18" s="276">
        <v>1.395524739993696816892530728</v>
      </c>
      <c r="H18" s="94">
        <v>62.97603777472084775575404877</v>
      </c>
      <c r="I18" s="277">
        <v>75.407166772780787282150145726</v>
      </c>
      <c r="J18" s="276">
        <v>32.615505830444374409076583675</v>
      </c>
      <c r="K18" s="94">
        <v>30.543062741717734258788164566</v>
      </c>
      <c r="L18" s="277">
        <v>31.652990151889218813423452719</v>
      </c>
      <c r="M18" s="276">
        <v>226.32808068074377560668137409</v>
      </c>
      <c r="N18" s="94">
        <v>357.07968922829383451251682849</v>
      </c>
      <c r="O18" s="277">
        <v>317.18447171729039629538891172</v>
      </c>
      <c r="P18" s="5"/>
      <c r="Q18" s="271">
        <v>3.8954704505473957463029178900</v>
      </c>
      <c r="R18" s="92">
        <v>18.800681845644874103809502030</v>
      </c>
      <c r="S18" s="272">
        <v>7.1579045417705663183482047100</v>
      </c>
      <c r="T18" s="271">
        <v>-96.15174544248699990817190358</v>
      </c>
      <c r="U18" s="92">
        <v>10.750719862248243415275568640</v>
      </c>
      <c r="V18" s="272">
        <v>4.4829238291758618889863146200</v>
      </c>
      <c r="W18" s="271">
        <v>38.707717309168464351164667800</v>
      </c>
      <c r="X18" s="92">
        <v>-26.956591657328998186465977810</v>
      </c>
      <c r="Y18" s="272">
        <v>17.831439422863877281963628450</v>
      </c>
      <c r="Z18" s="271">
        <v>-7.5774180603287878354116013700</v>
      </c>
      <c r="AA18" s="92">
        <v>11.403277157933257184395351870</v>
      </c>
      <c r="AB18" s="272">
        <v>7.4752786795865664128971340900</v>
      </c>
      <c r="AC18" s="5"/>
      <c r="AD18" s="271" t="s">
        <v>226</v>
      </c>
      <c r="AE18" s="92" t="s">
        <v>295</v>
      </c>
      <c r="AF18" s="92" t="s">
        <v>296</v>
      </c>
      <c r="AG18" s="272" t="s">
        <v>295</v>
      </c>
    </row>
    <row r="19" ht="20.1" customHeight="1">
      <c r="A19" s="58"/>
      <c r="B19" s="288"/>
      <c r="C19" s="289" t="s">
        <v>232</v>
      </c>
      <c r="D19" s="439">
        <v>197.74146757679180887372013652</v>
      </c>
      <c r="E19" s="95">
        <v>271.05020331223912750774202237</v>
      </c>
      <c r="F19" s="442">
        <v>209.24806261518509248936315442</v>
      </c>
      <c r="G19" s="439">
        <v>1.3060295790671217292377701934</v>
      </c>
      <c r="H19" s="95">
        <v>70.146337577451292067290707689</v>
      </c>
      <c r="I19" s="442">
        <v>83.80505571681050601687112318</v>
      </c>
      <c r="J19" s="439">
        <v>33.148464163822525597269624573</v>
      </c>
      <c r="K19" s="95">
        <v>28.059700590179732020919391067</v>
      </c>
      <c r="L19" s="442">
        <v>29.210486968285718097960521359</v>
      </c>
      <c r="M19" s="439">
        <v>232.19596131968145620022753129</v>
      </c>
      <c r="N19" s="95">
        <v>369.25624147987015159595212112</v>
      </c>
      <c r="O19" s="442">
        <v>322.26360530028131660419479896</v>
      </c>
      <c r="P19" s="5"/>
      <c r="Q19" s="420">
        <v>-13.506194806365047538624903530</v>
      </c>
      <c r="R19" s="91">
        <v>13.459235277855673162197742640</v>
      </c>
      <c r="S19" s="498">
        <v>0.5253238980791246156061058300</v>
      </c>
      <c r="T19" s="420">
        <v>-96.93333725682000677408468703</v>
      </c>
      <c r="U19" s="91">
        <v>-4.4352980186421688521159295600</v>
      </c>
      <c r="V19" s="498">
        <v>4.3378749445849925375107742200</v>
      </c>
      <c r="W19" s="420">
        <v>20.299152508986107631623018920</v>
      </c>
      <c r="X19" s="91">
        <v>0.1225875280550822118782330400</v>
      </c>
      <c r="Y19" s="498">
        <v>-16.940241408541253029329527070</v>
      </c>
      <c r="Z19" s="420">
        <v>-22.280683648900971564514451910</v>
      </c>
      <c r="AA19" s="91">
        <v>8.501435332762161486803590240</v>
      </c>
      <c r="AB19" s="498">
        <v>-0.4263479366372863743937203800</v>
      </c>
      <c r="AC19" s="5"/>
      <c r="AD19" s="420" t="s">
        <v>226</v>
      </c>
      <c r="AE19" s="91" t="s">
        <v>295</v>
      </c>
      <c r="AF19" s="91" t="s">
        <v>296</v>
      </c>
      <c r="AG19" s="421" t="s">
        <v>295</v>
      </c>
    </row>
    <row r="20" ht="20.1" customHeight="1">
      <c r="A20" s="58"/>
      <c r="B20" s="286"/>
      <c r="C20" s="287" t="s">
        <v>234</v>
      </c>
      <c r="D20" s="276">
        <v>278.76683361157484696716750139</v>
      </c>
      <c r="E20" s="94">
        <v>439.15032841996379622446340835</v>
      </c>
      <c r="F20" s="277">
        <v>260.93638756263391426113070032</v>
      </c>
      <c r="G20" s="276">
        <v>1.4961046188091263216471897607</v>
      </c>
      <c r="H20" s="94">
        <v>127.79389440542954168756510756</v>
      </c>
      <c r="I20" s="277">
        <v>73.153912815680429566115740025</v>
      </c>
      <c r="J20" s="276">
        <v>35.466332776850306065664997218</v>
      </c>
      <c r="K20" s="94">
        <v>30.329697284835487637671320859</v>
      </c>
      <c r="L20" s="277">
        <v>27.934373348398940663593016486</v>
      </c>
      <c r="M20" s="276">
        <v>315.72927100723427935447968837</v>
      </c>
      <c r="N20" s="94">
        <v>597.27392011022882554969983676</v>
      </c>
      <c r="O20" s="277">
        <v>362.02467372671328449083945684</v>
      </c>
      <c r="P20" s="5"/>
      <c r="Q20" s="271">
        <v>-16.007339721233494521939845730</v>
      </c>
      <c r="R20" s="92">
        <v>14.88950536900714641254525500</v>
      </c>
      <c r="S20" s="272">
        <v>-0.3799271983661195603791773900</v>
      </c>
      <c r="T20" s="271">
        <v>-97.64883895321865778361590932</v>
      </c>
      <c r="U20" s="92">
        <v>57.592794987206002311491752430</v>
      </c>
      <c r="V20" s="272">
        <v>2.8274377883630604472537034600</v>
      </c>
      <c r="W20" s="271">
        <v>59.646720728248411819777972880</v>
      </c>
      <c r="X20" s="92">
        <v>-14.759658821814104315500862080</v>
      </c>
      <c r="Y20" s="272">
        <v>-3.8366148795650143008834993900</v>
      </c>
      <c r="Z20" s="271">
        <v>-24.420099738231700298847014060</v>
      </c>
      <c r="AA20" s="92">
        <v>19.715835041751221507653383910</v>
      </c>
      <c r="AB20" s="272">
        <v>-0.0270999291442348866078345600</v>
      </c>
      <c r="AC20" s="5"/>
      <c r="AD20" s="271" t="s">
        <v>226</v>
      </c>
      <c r="AE20" s="92" t="s">
        <v>295</v>
      </c>
      <c r="AF20" s="92" t="s">
        <v>295</v>
      </c>
      <c r="AG20" s="272" t="s">
        <v>295</v>
      </c>
    </row>
    <row r="21" ht="20.1" customHeight="1">
      <c r="A21" s="58"/>
      <c r="B21" s="288">
        <v>2025</v>
      </c>
      <c r="C21" s="289" t="s">
        <v>218</v>
      </c>
      <c r="D21" s="439">
        <v>280.59288217848476678349959558</v>
      </c>
      <c r="E21" s="95">
        <v>371.27491969066032123735871505</v>
      </c>
      <c r="F21" s="442">
        <v>265.3634050754380730430855825</v>
      </c>
      <c r="G21" s="439">
        <v>1.8312213534645456996495012133</v>
      </c>
      <c r="H21" s="95">
        <v>123.69983352994802665069812245</v>
      </c>
      <c r="I21" s="442">
        <v>80.54387634332262595945097347</v>
      </c>
      <c r="J21" s="439">
        <v>29.510919385279050957131302238</v>
      </c>
      <c r="K21" s="95">
        <v>33.673060024246239806693685841</v>
      </c>
      <c r="L21" s="442">
        <v>21.910426937750593588038600564</v>
      </c>
      <c r="M21" s="439">
        <v>311.93502291722836344028039903</v>
      </c>
      <c r="N21" s="95">
        <v>528.64781324485458769475052334</v>
      </c>
      <c r="O21" s="442">
        <v>367.81770835651129259057515652</v>
      </c>
      <c r="P21" s="5"/>
      <c r="Q21" s="420">
        <v>-2.4242103584108571590060360400</v>
      </c>
      <c r="R21" s="91">
        <v>12.461188980750150493966081200</v>
      </c>
      <c r="S21" s="498">
        <v>1.1827608112500205838928470600</v>
      </c>
      <c r="T21" s="420">
        <v>-81.83444325896281103430843300</v>
      </c>
      <c r="U21" s="91">
        <v>30.902829436372611162656937960</v>
      </c>
      <c r="V21" s="498">
        <v>3.9319003082673588913224920700</v>
      </c>
      <c r="W21" s="420">
        <v>20.706217533573054121054827420</v>
      </c>
      <c r="X21" s="91">
        <v>21.845801102327829068994698870</v>
      </c>
      <c r="Y21" s="498">
        <v>-18.530482929717187446422337230</v>
      </c>
      <c r="Z21" s="420">
        <v>-3.1538373394109701784613877200</v>
      </c>
      <c r="AA21" s="91">
        <v>16.887841989819479587157096160</v>
      </c>
      <c r="AB21" s="498">
        <v>0.3178571942270502315178634100</v>
      </c>
      <c r="AC21" s="5"/>
      <c r="AD21" s="420" t="s">
        <v>226</v>
      </c>
      <c r="AE21" s="91" t="s">
        <v>295</v>
      </c>
      <c r="AF21" s="91" t="s">
        <v>296</v>
      </c>
      <c r="AG21" s="421" t="s">
        <v>295</v>
      </c>
    </row>
    <row r="22" ht="20.1" customHeight="1">
      <c r="A22" s="58"/>
      <c r="B22" s="286"/>
      <c r="C22" s="287" t="s">
        <v>220</v>
      </c>
      <c r="D22" s="276">
        <v>341.18622300058377116170461179</v>
      </c>
      <c r="E22" s="94">
        <v>447.05798864845689960979070592</v>
      </c>
      <c r="F22" s="277">
        <v>314.89288578879514884789336872</v>
      </c>
      <c r="G22" s="276">
        <v>1.6272621132516053706946876824</v>
      </c>
      <c r="H22" s="94">
        <v>130.21886511206635791830297983</v>
      </c>
      <c r="I22" s="277">
        <v>96.20042089142558544485768454</v>
      </c>
      <c r="J22" s="276">
        <v>27.328079392877991827203736135</v>
      </c>
      <c r="K22" s="94">
        <v>46.121597316270251969165728445</v>
      </c>
      <c r="L22" s="277">
        <v>32.75726376279225357475161237</v>
      </c>
      <c r="M22" s="276">
        <v>370.14156450671336835960303561</v>
      </c>
      <c r="N22" s="94">
        <v>623.3984510767935094972594142</v>
      </c>
      <c r="O22" s="277">
        <v>443.85057044301298786750266561</v>
      </c>
      <c r="P22" s="5"/>
      <c r="Q22" s="271">
        <v>-2.8185209274972965284833102800</v>
      </c>
      <c r="R22" s="92">
        <v>16.221540701014429594312802440</v>
      </c>
      <c r="S22" s="272">
        <v>1.1921618352812662128694209900</v>
      </c>
      <c r="T22" s="271">
        <v>1.8864871796873129454759505600</v>
      </c>
      <c r="U22" s="92">
        <v>44.477106779628986626588959380</v>
      </c>
      <c r="V22" s="272">
        <v>17.311881441540991774213448390</v>
      </c>
      <c r="W22" s="271">
        <v>-5.0082786248472582973069316100</v>
      </c>
      <c r="X22" s="92">
        <v>72.265843652444686000609446400</v>
      </c>
      <c r="Y22" s="272">
        <v>-1.1915520351308561733181953100</v>
      </c>
      <c r="Z22" s="271">
        <v>-2.9639731936861693816517984200</v>
      </c>
      <c r="AA22" s="92">
        <v>24.290704305466599069709525060</v>
      </c>
      <c r="AB22" s="272">
        <v>4.1073412352235135313158155400</v>
      </c>
      <c r="AC22" s="5"/>
      <c r="AD22" s="271" t="s">
        <v>226</v>
      </c>
      <c r="AE22" s="92" t="s">
        <v>295</v>
      </c>
      <c r="AF22" s="92" t="s">
        <v>296</v>
      </c>
      <c r="AG22" s="272" t="s">
        <v>295</v>
      </c>
    </row>
    <row r="23" ht="20.1" customHeight="1">
      <c r="A23" s="58"/>
      <c r="B23" s="288"/>
      <c r="C23" s="289" t="s">
        <v>221</v>
      </c>
      <c r="D23" s="439">
        <v>296.99331014182499331014182499</v>
      </c>
      <c r="E23" s="95">
        <v>380.13227628335655342407030329</v>
      </c>
      <c r="F23" s="442">
        <v>284.89120344919660106491589049</v>
      </c>
      <c r="G23" s="439">
        <v>1.4112924805994112924805994113</v>
      </c>
      <c r="H23" s="95">
        <v>100.13932054442181974064944808</v>
      </c>
      <c r="I23" s="442">
        <v>72.778868720759429141134415584</v>
      </c>
      <c r="J23" s="439">
        <v>30.204977254482204977254482205</v>
      </c>
      <c r="K23" s="95">
        <v>36.824134605079841388918658236</v>
      </c>
      <c r="L23" s="442">
        <v>23.054070839649677957660501306</v>
      </c>
      <c r="M23" s="439">
        <v>328.60957987690660957987690661</v>
      </c>
      <c r="N23" s="95">
        <v>517.0957314328582145536384096</v>
      </c>
      <c r="O23" s="442">
        <v>380.7241430096057081637108074</v>
      </c>
      <c r="P23" s="5"/>
      <c r="Q23" s="420">
        <v>-4.8759899506905570964352785100</v>
      </c>
      <c r="R23" s="91">
        <v>6.1869031414927477268931779100</v>
      </c>
      <c r="S23" s="498">
        <v>-1.2819487836292012307065414200</v>
      </c>
      <c r="T23" s="420">
        <v>-27.426350612086054863832999740</v>
      </c>
      <c r="U23" s="91">
        <v>27.522985748735420029495596190</v>
      </c>
      <c r="V23" s="498">
        <v>4.746382909835008110199027400</v>
      </c>
      <c r="W23" s="420">
        <v>10.036188484593537039968512550</v>
      </c>
      <c r="X23" s="91">
        <v>35.584467963123803999526710740</v>
      </c>
      <c r="Y23" s="498">
        <v>-33.351004673225049634082037610</v>
      </c>
      <c r="Z23" s="420">
        <v>-3.8060976703499164212630887900</v>
      </c>
      <c r="AA23" s="91">
        <v>11.522316977133908499259759260</v>
      </c>
      <c r="AB23" s="498">
        <v>-3.0402614844544162426140332500</v>
      </c>
      <c r="AC23" s="5"/>
      <c r="AD23" s="420" t="s">
        <v>226</v>
      </c>
      <c r="AE23" s="91" t="s">
        <v>226</v>
      </c>
      <c r="AF23" s="91" t="s">
        <v>227</v>
      </c>
      <c r="AG23" s="421" t="s">
        <v>226</v>
      </c>
    </row>
    <row r="24" ht="20.1" customHeight="1">
      <c r="A24" s="59"/>
      <c r="B24" s="286"/>
      <c r="C24" s="287" t="s">
        <v>223</v>
      </c>
      <c r="D24" s="276">
        <v>266.56623235613463626492942454</v>
      </c>
      <c r="E24" s="94">
        <v>347.65955741495100737641748321</v>
      </c>
      <c r="F24" s="277">
        <v>250.6363606309429845404918446</v>
      </c>
      <c r="G24" s="276">
        <v>1.4402823018458197611292073833</v>
      </c>
      <c r="H24" s="94">
        <v>88.19453924914675767918088737</v>
      </c>
      <c r="I24" s="277">
        <v>80.83370919431387095962250627</v>
      </c>
      <c r="J24" s="276">
        <v>40.041802388707926167209554832</v>
      </c>
      <c r="K24" s="94">
        <v>31.646702631289221622811846306</v>
      </c>
      <c r="L24" s="277">
        <v>24.393963975865329576484624984</v>
      </c>
      <c r="M24" s="276">
        <v>308.04831704668838219326818675</v>
      </c>
      <c r="N24" s="94">
        <v>467.50079929538698667841021689</v>
      </c>
      <c r="O24" s="277">
        <v>355.86403380112218507659897585</v>
      </c>
      <c r="P24" s="93"/>
      <c r="Q24" s="271">
        <v>3.1414733022789974030718427700</v>
      </c>
      <c r="R24" s="92">
        <v>12.715629280090799527412943390</v>
      </c>
      <c r="S24" s="272">
        <v>1.8149280071476610312860330500</v>
      </c>
      <c r="T24" s="271">
        <v>-10.070653499562254293695356240</v>
      </c>
      <c r="U24" s="92">
        <v>16.917296483363408228721175820</v>
      </c>
      <c r="V24" s="272">
        <v>14.721297771734594376304698980</v>
      </c>
      <c r="W24" s="271">
        <v>29.398876486318647793206793520</v>
      </c>
      <c r="X24" s="92">
        <v>17.080294706955689165154452360</v>
      </c>
      <c r="Y24" s="272">
        <v>-9.580083421878315561241639340</v>
      </c>
      <c r="Z24" s="271">
        <v>5.8609915172946118502405303300</v>
      </c>
      <c r="AA24" s="92">
        <v>13.774084261998899293209537680</v>
      </c>
      <c r="AB24" s="272">
        <v>3.5668495321205338624560191200</v>
      </c>
      <c r="AC24" s="93"/>
      <c r="AD24" s="271" t="s">
        <v>226</v>
      </c>
      <c r="AE24" s="92" t="s">
        <v>226</v>
      </c>
      <c r="AF24" s="92" t="s">
        <v>227</v>
      </c>
      <c r="AG24" s="272" t="s">
        <v>226</v>
      </c>
    </row>
    <row r="25" ht="20.1" customHeight="1">
      <c r="A25" s="60"/>
      <c r="B25" s="288"/>
      <c r="C25" s="289" t="s">
        <v>224</v>
      </c>
      <c r="D25" s="439">
        <v>222.62274368231046931407942238</v>
      </c>
      <c r="E25" s="95">
        <v>284.35498492840994724943481537</v>
      </c>
      <c r="F25" s="442">
        <v>219.26528119638994555083165511</v>
      </c>
      <c r="G25" s="439">
        <v>1.5604693140794223826714801444</v>
      </c>
      <c r="H25" s="95">
        <v>92.14733353965327688462370911</v>
      </c>
      <c r="I25" s="442">
        <v>79.26377327501018080305170122</v>
      </c>
      <c r="J25" s="439">
        <v>31.240673886883273164861612515</v>
      </c>
      <c r="K25" s="95">
        <v>32.747788782613318991179868881</v>
      </c>
      <c r="L25" s="442">
        <v>29.13728684950423641200875502</v>
      </c>
      <c r="M25" s="439">
        <v>255.42388688327316486161251504</v>
      </c>
      <c r="N25" s="95">
        <v>409.25010725067654312523839336</v>
      </c>
      <c r="O25" s="442">
        <v>327.66634132090436276589211135</v>
      </c>
      <c r="P25" s="93"/>
      <c r="Q25" s="420">
        <v>-0.5533242489335396102514076700</v>
      </c>
      <c r="R25" s="91">
        <v>2.5756446330202994990319110900</v>
      </c>
      <c r="S25" s="498">
        <v>-0.9602801327952950019294891400</v>
      </c>
      <c r="T25" s="420">
        <v>-5.4566418361342187650391105500</v>
      </c>
      <c r="U25" s="91">
        <v>13.79562240941803044332955300</v>
      </c>
      <c r="V25" s="498">
        <v>35.194084969620465812912631100</v>
      </c>
      <c r="W25" s="420">
        <v>-2.8400094425680595486733123600</v>
      </c>
      <c r="X25" s="91">
        <v>12.113026640692854142046980050</v>
      </c>
      <c r="Y25" s="498">
        <v>-18.267027892839498637292768370</v>
      </c>
      <c r="Z25" s="420">
        <v>-0.8700865456618265146839415200</v>
      </c>
      <c r="AA25" s="91">
        <v>5.6400017606750032447048854500</v>
      </c>
      <c r="AB25" s="498">
        <v>3.8002001597837275436018060700</v>
      </c>
      <c r="AC25" s="93"/>
      <c r="AD25" s="420" t="s">
        <v>226</v>
      </c>
      <c r="AE25" s="91" t="s">
        <v>295</v>
      </c>
      <c r="AF25" s="91" t="s">
        <v>296</v>
      </c>
      <c r="AG25" s="421" t="s">
        <v>295</v>
      </c>
    </row>
    <row r="26" ht="20.1" customHeight="1">
      <c r="A26" s="60"/>
      <c r="B26" s="290"/>
      <c r="C26" s="291" t="s">
        <v>225</v>
      </c>
      <c r="D26" s="443">
        <v>175.03960087309011537262238853</v>
      </c>
      <c r="E26" s="444">
        <v>219.91975408728550195919470341</v>
      </c>
      <c r="F26" s="445">
        <v>183.27718319508674056130563508</v>
      </c>
      <c r="G26" s="443">
        <v>2.0271281571562207670720299345</v>
      </c>
      <c r="H26" s="444">
        <v>70.48393255570543983935941312</v>
      </c>
      <c r="I26" s="445">
        <v>68.165657544710571732895621938</v>
      </c>
      <c r="J26" s="443">
        <v>34.54973495478640473963205488</v>
      </c>
      <c r="K26" s="444">
        <v>34.761916289583439281234326055</v>
      </c>
      <c r="L26" s="445">
        <v>22.619227486258871815996702764</v>
      </c>
      <c r="M26" s="443">
        <v>211.61646398503274087932647334</v>
      </c>
      <c r="N26" s="444">
        <v>325.16560293257438107978844257</v>
      </c>
      <c r="O26" s="445">
        <v>274.06206822605618411019795978</v>
      </c>
      <c r="P26" s="184"/>
      <c r="Q26" s="273">
        <v>2.2584314520629771120486298800</v>
      </c>
      <c r="R26" s="274">
        <v>-1.5781842027727837376098714700</v>
      </c>
      <c r="S26" s="275">
        <v>1.4812029870946824107259439800</v>
      </c>
      <c r="T26" s="273">
        <v>15.931997484535400038699962630</v>
      </c>
      <c r="U26" s="274">
        <v>4.2892894083502171980874410500</v>
      </c>
      <c r="V26" s="275">
        <v>13.030562669293943926546523850</v>
      </c>
      <c r="W26" s="273">
        <v>13.676723161652795302382208120</v>
      </c>
      <c r="X26" s="274">
        <v>-7.947173955502576251594799060</v>
      </c>
      <c r="Y26" s="275">
        <v>-33.477976603026359242946676930</v>
      </c>
      <c r="Z26" s="273">
        <v>4.0829117722385963477978187800</v>
      </c>
      <c r="AA26" s="274">
        <v>-1.1035982837283356260021200800</v>
      </c>
      <c r="AB26" s="275">
        <v>-0.3091629095284421703731018500</v>
      </c>
      <c r="AC26" s="184"/>
      <c r="AD26" s="273" t="s">
        <v>226</v>
      </c>
      <c r="AE26" s="274" t="s">
        <v>295</v>
      </c>
      <c r="AF26" s="274" t="s">
        <v>296</v>
      </c>
      <c r="AG26" s="275" t="s">
        <v>295</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47" t="s">
        <v>58</v>
      </c>
      <c r="C28" s="847"/>
      <c r="D28" s="847"/>
      <c r="E28" s="847"/>
      <c r="F28" s="847"/>
      <c r="G28" s="847"/>
      <c r="H28" s="847"/>
      <c r="I28" s="847"/>
      <c r="J28" s="847"/>
      <c r="K28" s="847"/>
      <c r="L28" s="847"/>
      <c r="M28" s="847"/>
      <c r="N28" s="847"/>
      <c r="O28" s="973"/>
      <c r="P28" s="411"/>
      <c r="Q28" s="836"/>
      <c r="R28" s="836"/>
      <c r="S28" s="836"/>
      <c r="T28" s="836"/>
      <c r="U28" s="836"/>
      <c r="V28" s="836"/>
      <c r="W28" s="836"/>
      <c r="X28" s="836"/>
      <c r="Y28" s="836"/>
      <c r="Z28" s="836"/>
      <c r="AA28" s="836"/>
      <c r="AB28" s="971"/>
      <c r="AC28" s="411"/>
      <c r="AD28" s="836"/>
      <c r="AE28" s="836"/>
      <c r="AF28" s="836"/>
      <c r="AG28" s="971"/>
      <c r="AH28" s="9"/>
    </row>
    <row r="29" ht="20.1" customHeight="1">
      <c r="A29" s="58"/>
      <c r="B29" s="284">
        <v>2023</v>
      </c>
      <c r="C29" s="285"/>
      <c r="D29" s="454">
        <v>276.78283330963552775013033793</v>
      </c>
      <c r="E29" s="455">
        <v>341.82574760860026327336551118</v>
      </c>
      <c r="F29" s="436">
        <v>254.17932881116731297482544105</v>
      </c>
      <c r="G29" s="454">
        <v>60.837243471254561827574766577</v>
      </c>
      <c r="H29" s="455">
        <v>93.50460852410922506467931671</v>
      </c>
      <c r="I29" s="436">
        <v>74.616757289603236672181340355</v>
      </c>
      <c r="J29" s="454">
        <v>25.513531446988008910374899284</v>
      </c>
      <c r="K29" s="455">
        <v>28.176340379947785849241061834</v>
      </c>
      <c r="L29" s="436">
        <v>31.560095054368843897056280723</v>
      </c>
      <c r="M29" s="454">
        <v>363.13360822787809848808000379</v>
      </c>
      <c r="N29" s="455">
        <v>463.50669651265727418728588973</v>
      </c>
      <c r="O29" s="436">
        <v>360.35618115513939354406306212</v>
      </c>
      <c r="P29" s="217"/>
      <c r="Q29" s="427">
        <v>-10.870454309913328024215601190</v>
      </c>
      <c r="R29" s="428">
        <v>-10.780293092799915348776776560</v>
      </c>
      <c r="S29" s="417">
        <v>-3.411901241489186722677137600</v>
      </c>
      <c r="T29" s="427">
        <v>-10.689962731776066204537743490</v>
      </c>
      <c r="U29" s="428">
        <v>-1.2704796767981500523385627100</v>
      </c>
      <c r="V29" s="417">
        <v>20.545581615557474830007032540</v>
      </c>
      <c r="W29" s="427">
        <v>13.019537090798581235165663730</v>
      </c>
      <c r="X29" s="428">
        <v>5.9254844759208970347101979100</v>
      </c>
      <c r="Y29" s="417">
        <v>15.227981795709008579350782290</v>
      </c>
      <c r="Z29" s="427">
        <v>-9.495698349148899214607358700</v>
      </c>
      <c r="AA29" s="428">
        <v>-8.113889390708809034024009210</v>
      </c>
      <c r="AB29" s="417">
        <v>2.2442249394719905929553317200</v>
      </c>
      <c r="AC29" s="5"/>
      <c r="AD29" s="427" t="s">
        <v>236</v>
      </c>
      <c r="AE29" s="428" t="s">
        <v>226</v>
      </c>
      <c r="AF29" s="428" t="s">
        <v>227</v>
      </c>
      <c r="AG29" s="429" t="s">
        <v>226</v>
      </c>
    </row>
    <row r="30" ht="20.1" customHeight="1">
      <c r="A30" s="58"/>
      <c r="B30" s="286">
        <v>2024</v>
      </c>
      <c r="C30" s="287"/>
      <c r="D30" s="276">
        <v>270.15778833043396492547839579</v>
      </c>
      <c r="E30" s="94">
        <v>319.67516599442610367754924508</v>
      </c>
      <c r="F30" s="277">
        <v>253.54567961060418337397591472</v>
      </c>
      <c r="G30" s="276">
        <v>3.1481498895105552682307583807</v>
      </c>
      <c r="H30" s="94">
        <v>81.96642822597414941340330756</v>
      </c>
      <c r="I30" s="277">
        <v>69.96883092470235490574826048</v>
      </c>
      <c r="J30" s="276">
        <v>28.958390145281865626028492172</v>
      </c>
      <c r="K30" s="94">
        <v>28.755739571631468165701341225</v>
      </c>
      <c r="L30" s="277">
        <v>31.814328519491144228055035364</v>
      </c>
      <c r="M30" s="276">
        <v>302.26432836522638581973764634</v>
      </c>
      <c r="N30" s="94">
        <v>430.39733379203172125665389386</v>
      </c>
      <c r="O30" s="277">
        <v>355.32883905479768250777921057</v>
      </c>
      <c r="P30" s="217"/>
      <c r="Q30" s="271">
        <v>-2.3935895517607776715943349500</v>
      </c>
      <c r="R30" s="92">
        <v>-6.4800799147339038686808504100</v>
      </c>
      <c r="S30" s="272">
        <v>-0.2492921842068755598165365900</v>
      </c>
      <c r="T30" s="271">
        <v>-94.82529169653175270617554302</v>
      </c>
      <c r="U30" s="92">
        <v>-12.339691572690756646051536690</v>
      </c>
      <c r="V30" s="272">
        <v>-6.2290650702740574087641858600</v>
      </c>
      <c r="W30" s="271">
        <v>13.502084983562431046899879880</v>
      </c>
      <c r="X30" s="92">
        <v>2.0563323125695591061492946900</v>
      </c>
      <c r="Y30" s="272">
        <v>0.8055535468220963802035923300</v>
      </c>
      <c r="Z30" s="271">
        <v>-16.762227038063769289157896800</v>
      </c>
      <c r="AA30" s="92">
        <v>-7.1432328744706902348471956700</v>
      </c>
      <c r="AB30" s="272">
        <v>-1.3951036122614785368710620800</v>
      </c>
      <c r="AC30" s="5"/>
      <c r="AD30" s="271" t="s">
        <v>219</v>
      </c>
      <c r="AE30" s="92" t="s">
        <v>236</v>
      </c>
      <c r="AF30" s="92" t="s">
        <v>236</v>
      </c>
      <c r="AG30" s="272" t="s">
        <v>219</v>
      </c>
    </row>
    <row r="31" ht="20.1" customHeight="1">
      <c r="A31" s="58"/>
      <c r="B31" s="425">
        <v>2025</v>
      </c>
      <c r="C31" s="426"/>
      <c r="D31" s="457">
        <v>265.70242329397258974723763456</v>
      </c>
      <c r="E31" s="458">
        <v>345.54003100377179644147791228</v>
      </c>
      <c r="F31" s="499">
        <v>255.76138918239029607058492829</v>
      </c>
      <c r="G31" s="457">
        <v>1.6424811495234030445298050932</v>
      </c>
      <c r="H31" s="458">
        <v>101.3400283883855072912316398</v>
      </c>
      <c r="I31" s="499">
        <v>79.84248572534270672054543955</v>
      </c>
      <c r="J31" s="457">
        <v>32.158059467918622848200312989</v>
      </c>
      <c r="K31" s="458">
        <v>35.982864091981702766774311463</v>
      </c>
      <c r="L31" s="499">
        <v>25.599104148282166267843407072</v>
      </c>
      <c r="M31" s="457">
        <v>299.50296391141461563996775264</v>
      </c>
      <c r="N31" s="458">
        <v>482.86292348413900649948386354</v>
      </c>
      <c r="O31" s="499">
        <v>361.20297905601516905897377491</v>
      </c>
      <c r="P31" s="496"/>
      <c r="Q31" s="430">
        <v>-1.6491714208803589545875536500</v>
      </c>
      <c r="R31" s="431">
        <v>8.090983523513644321934809400</v>
      </c>
      <c r="S31" s="500">
        <v>0.8738896971911422633772487300</v>
      </c>
      <c r="T31" s="430">
        <v>-47.827098226753505901333129860</v>
      </c>
      <c r="U31" s="431">
        <v>23.636018528180958937899151350</v>
      </c>
      <c r="V31" s="500">
        <v>14.111504608771682480947146960</v>
      </c>
      <c r="W31" s="430">
        <v>11.049196127837703941593884060</v>
      </c>
      <c r="X31" s="431">
        <v>25.132806973670814390379382730</v>
      </c>
      <c r="Y31" s="500">
        <v>-19.535928182197300617638745090</v>
      </c>
      <c r="Z31" s="430">
        <v>-0.9135594890473033609283512600</v>
      </c>
      <c r="AA31" s="431">
        <v>12.190035944203660253952102050</v>
      </c>
      <c r="AB31" s="500">
        <v>1.653155993991593678177746100</v>
      </c>
      <c r="AC31" s="184"/>
      <c r="AD31" s="430" t="s">
        <v>226</v>
      </c>
      <c r="AE31" s="431" t="s">
        <v>295</v>
      </c>
      <c r="AF31" s="431" t="s">
        <v>296</v>
      </c>
      <c r="AG31" s="432" t="s">
        <v>295</v>
      </c>
    </row>
    <row r="32" ht="21" customHeight="1"/>
    <row r="33" ht="24.95" customHeight="1">
      <c r="A33" s="112"/>
      <c r="B33" s="842" t="s">
        <v>44</v>
      </c>
      <c r="C33" s="842"/>
      <c r="D33" s="842"/>
      <c r="E33" s="842"/>
      <c r="F33" s="842"/>
      <c r="G33" s="842"/>
      <c r="H33" s="842"/>
      <c r="I33" s="842"/>
      <c r="J33" s="842"/>
      <c r="K33" s="842"/>
      <c r="L33" s="842"/>
      <c r="M33" s="842"/>
      <c r="N33" s="842"/>
      <c r="O33" s="972"/>
      <c r="P33" s="411"/>
      <c r="Q33" s="836"/>
      <c r="R33" s="836"/>
      <c r="S33" s="836"/>
      <c r="T33" s="836"/>
      <c r="U33" s="836"/>
      <c r="V33" s="836"/>
      <c r="W33" s="836"/>
      <c r="X33" s="836"/>
      <c r="Y33" s="836"/>
      <c r="Z33" s="836"/>
      <c r="AA33" s="836"/>
      <c r="AB33" s="971"/>
      <c r="AC33" s="411"/>
      <c r="AD33" s="836"/>
      <c r="AE33" s="836"/>
      <c r="AF33" s="836"/>
      <c r="AG33" s="971"/>
      <c r="AH33" s="9"/>
    </row>
    <row r="34" ht="20.1" customHeight="1">
      <c r="A34" s="58"/>
      <c r="B34" s="284">
        <v>2023</v>
      </c>
      <c r="C34" s="285"/>
      <c r="D34" s="454">
        <v>236.63155267099350973539690464</v>
      </c>
      <c r="E34" s="455">
        <v>294.10763712286509668196523964</v>
      </c>
      <c r="F34" s="436">
        <v>218.56490158462316234938044683</v>
      </c>
      <c r="G34" s="454">
        <v>50.54717923115327009485771343</v>
      </c>
      <c r="H34" s="455">
        <v>81.09355877838076848988383283</v>
      </c>
      <c r="I34" s="436">
        <v>68.70108221267476637098285686</v>
      </c>
      <c r="J34" s="454">
        <v>25.210783824263604593110334498</v>
      </c>
      <c r="K34" s="455">
        <v>29.790010308805534339242617808</v>
      </c>
      <c r="L34" s="436">
        <v>33.673157079180083187482212878</v>
      </c>
      <c r="M34" s="454">
        <v>312.38951572641038442336495257</v>
      </c>
      <c r="N34" s="455">
        <v>404.99120621005139951109169028</v>
      </c>
      <c r="O34" s="436">
        <v>320.93914087647801190784551657</v>
      </c>
      <c r="P34" s="5"/>
      <c r="Q34" s="427">
        <v>-20.537297093412308947401377760</v>
      </c>
      <c r="R34" s="428">
        <v>-13.190490180460216081300055520</v>
      </c>
      <c r="S34" s="417">
        <v>-10.137325584819149726733417530</v>
      </c>
      <c r="T34" s="427">
        <v>-25.603608774642430642875901500</v>
      </c>
      <c r="U34" s="428">
        <v>-7.330148698923609207849908500</v>
      </c>
      <c r="V34" s="417">
        <v>7.6922757556507352562678470400</v>
      </c>
      <c r="W34" s="427">
        <v>11.210651283243269761642467130</v>
      </c>
      <c r="X34" s="428">
        <v>16.794366268697795609004718760</v>
      </c>
      <c r="Y34" s="417">
        <v>24.944234792738406694681250650</v>
      </c>
      <c r="Z34" s="427">
        <v>-19.570550662372980620778204720</v>
      </c>
      <c r="AA34" s="428">
        <v>-10.362688205648561660643309020</v>
      </c>
      <c r="AB34" s="417">
        <v>-3.9004922358323341433620412800</v>
      </c>
      <c r="AC34" s="5"/>
      <c r="AD34" s="427" t="s">
        <v>236</v>
      </c>
      <c r="AE34" s="428" t="s">
        <v>226</v>
      </c>
      <c r="AF34" s="428" t="s">
        <v>240</v>
      </c>
      <c r="AG34" s="429" t="s">
        <v>226</v>
      </c>
    </row>
    <row r="35" ht="20.1" customHeight="1">
      <c r="A35" s="58"/>
      <c r="B35" s="286">
        <v>2024</v>
      </c>
      <c r="C35" s="287"/>
      <c r="D35" s="276">
        <v>220.37905504140282513395031661</v>
      </c>
      <c r="E35" s="94">
        <v>275.24687619404382843229069114</v>
      </c>
      <c r="F35" s="277">
        <v>217.53936435140666222846857509</v>
      </c>
      <c r="G35" s="276">
        <v>1.6625426205552849488553336581</v>
      </c>
      <c r="H35" s="94">
        <v>75.28200037460198539052256977</v>
      </c>
      <c r="I35" s="277">
        <v>63.342979047729083780265155943</v>
      </c>
      <c r="J35" s="276">
        <v>31.186751095957135898684851437</v>
      </c>
      <c r="K35" s="94">
        <v>30.611762502341262408690766061</v>
      </c>
      <c r="L35" s="277">
        <v>32.065839656757674812312215265</v>
      </c>
      <c r="M35" s="276">
        <v>253.2283487579152459814905017</v>
      </c>
      <c r="N35" s="94">
        <v>381.14063907098707623150402697</v>
      </c>
      <c r="O35" s="277">
        <v>312.94818305589342082104594629</v>
      </c>
      <c r="P35" s="5"/>
      <c r="Q35" s="271">
        <v>-6.8682715581018852089454383700</v>
      </c>
      <c r="R35" s="92">
        <v>-6.412876970268795084450309500</v>
      </c>
      <c r="S35" s="272">
        <v>-0.4692140530149954944530463500</v>
      </c>
      <c r="T35" s="271">
        <v>-96.71090920236932109557844162</v>
      </c>
      <c r="U35" s="92">
        <v>-7.1664858360439541470252065500</v>
      </c>
      <c r="V35" s="272">
        <v>-7.7991539469234498732183958600</v>
      </c>
      <c r="W35" s="271">
        <v>23.704012192976963039885532710</v>
      </c>
      <c r="X35" s="92">
        <v>2.7584824074348035953398221700</v>
      </c>
      <c r="Y35" s="272">
        <v>-4.7732899492075529119987259500</v>
      </c>
      <c r="Z35" s="271">
        <v>-18.938269048792232238678920870</v>
      </c>
      <c r="AA35" s="92">
        <v>-5.8891567948613198634471929700</v>
      </c>
      <c r="AB35" s="272">
        <v>-2.4898670192681686487564450700</v>
      </c>
      <c r="AC35" s="5"/>
      <c r="AD35" s="271" t="s">
        <v>219</v>
      </c>
      <c r="AE35" s="92" t="s">
        <v>236</v>
      </c>
      <c r="AF35" s="92" t="s">
        <v>236</v>
      </c>
      <c r="AG35" s="272" t="s">
        <v>219</v>
      </c>
    </row>
    <row r="36" ht="20.1" customHeight="1">
      <c r="A36" s="58"/>
      <c r="B36" s="425">
        <v>2025</v>
      </c>
      <c r="C36" s="426"/>
      <c r="D36" s="457">
        <v>223.53206069505628976994615761</v>
      </c>
      <c r="E36" s="458">
        <v>288.36833224249365949439581118</v>
      </c>
      <c r="F36" s="499">
        <v>219.62452711986490003692248095</v>
      </c>
      <c r="G36" s="457">
        <v>1.6636319138521781693587860989</v>
      </c>
      <c r="H36" s="458">
        <v>84.12008731438662156616513902</v>
      </c>
      <c r="I36" s="499">
        <v>76.406910875406747094759056329</v>
      </c>
      <c r="J36" s="457">
        <v>35.453646598139990210474791973</v>
      </c>
      <c r="K36" s="458">
        <v>32.948451147278666445561210963</v>
      </c>
      <c r="L36" s="499">
        <v>25.384880362034225067757978024</v>
      </c>
      <c r="M36" s="457">
        <v>260.64933920704845814977973568</v>
      </c>
      <c r="N36" s="458">
        <v>405.43687070415894750612216113</v>
      </c>
      <c r="O36" s="499">
        <v>321.4163183573058721994395153</v>
      </c>
      <c r="P36" s="184"/>
      <c r="Q36" s="430">
        <v>1.4307192909344184198899066800</v>
      </c>
      <c r="R36" s="431">
        <v>4.7671589338021664459579945500</v>
      </c>
      <c r="S36" s="500">
        <v>0.9585220471163341101593378200</v>
      </c>
      <c r="T36" s="430">
        <v>0.0655197189341859425643466100</v>
      </c>
      <c r="U36" s="431">
        <v>11.739973560490795420640550700</v>
      </c>
      <c r="V36" s="500">
        <v>20.624119711624301711977051810</v>
      </c>
      <c r="W36" s="430">
        <v>13.681757003175814907509954020</v>
      </c>
      <c r="X36" s="431">
        <v>7.6333031944929680938425962800</v>
      </c>
      <c r="Y36" s="500">
        <v>-20.835129740159435088771113440</v>
      </c>
      <c r="Z36" s="430">
        <v>2.9305527937724407244399064800</v>
      </c>
      <c r="AA36" s="431">
        <v>6.3746106141761949373383568100</v>
      </c>
      <c r="AB36" s="500">
        <v>2.7059225008803650799427684200</v>
      </c>
      <c r="AC36" s="184"/>
      <c r="AD36" s="430" t="s">
        <v>226</v>
      </c>
      <c r="AE36" s="431" t="s">
        <v>295</v>
      </c>
      <c r="AF36" s="431" t="s">
        <v>296</v>
      </c>
      <c r="AG36" s="432" t="s">
        <v>295</v>
      </c>
    </row>
    <row r="37" ht="21" customHeight="1"/>
    <row r="38" ht="24.95" customHeight="1">
      <c r="A38" s="112"/>
      <c r="B38" s="842" t="s">
        <v>45</v>
      </c>
      <c r="C38" s="842"/>
      <c r="D38" s="842"/>
      <c r="E38" s="842"/>
      <c r="F38" s="842"/>
      <c r="G38" s="842"/>
      <c r="H38" s="842"/>
      <c r="I38" s="842"/>
      <c r="J38" s="842"/>
      <c r="K38" s="842"/>
      <c r="L38" s="842"/>
      <c r="M38" s="842"/>
      <c r="N38" s="842"/>
      <c r="O38" s="972"/>
      <c r="P38" s="411"/>
      <c r="Q38" s="836"/>
      <c r="R38" s="836"/>
      <c r="S38" s="836"/>
      <c r="T38" s="836"/>
      <c r="U38" s="836"/>
      <c r="V38" s="836"/>
      <c r="W38" s="836"/>
      <c r="X38" s="836"/>
      <c r="Y38" s="836"/>
      <c r="Z38" s="836"/>
      <c r="AA38" s="836"/>
      <c r="AB38" s="971"/>
      <c r="AC38" s="411"/>
      <c r="AD38" s="836"/>
      <c r="AE38" s="836"/>
      <c r="AF38" s="836"/>
      <c r="AG38" s="971"/>
      <c r="AH38" s="9"/>
    </row>
    <row r="39" ht="20.1" customHeight="1">
      <c r="A39" s="58"/>
      <c r="B39" s="284">
        <v>2023</v>
      </c>
      <c r="C39" s="285"/>
      <c r="D39" s="454">
        <v>257.61914284303559966424727201</v>
      </c>
      <c r="E39" s="455">
        <v>309.80089736631495671851858666</v>
      </c>
      <c r="F39" s="436">
        <v>229.93839088595301829763856969</v>
      </c>
      <c r="G39" s="454">
        <v>56.174295166148224954327753913</v>
      </c>
      <c r="H39" s="455">
        <v>89.91092779795530070827802292</v>
      </c>
      <c r="I39" s="436">
        <v>134.63022792601559778079620704</v>
      </c>
      <c r="J39" s="454">
        <v>25.511874783982619858786352639</v>
      </c>
      <c r="K39" s="455">
        <v>26.809602361201447557324802087</v>
      </c>
      <c r="L39" s="436">
        <v>30.357912600052141387667908146</v>
      </c>
      <c r="M39" s="454">
        <v>339.30531279316644447736137856</v>
      </c>
      <c r="N39" s="455">
        <v>426.52142752547170498412141167</v>
      </c>
      <c r="O39" s="436">
        <v>394.92653141202075746610268487</v>
      </c>
      <c r="P39" s="5"/>
      <c r="Q39" s="427">
        <v>-7.7582633061749369608052678600</v>
      </c>
      <c r="R39" s="428">
        <v>-9.496761581819233786776567400</v>
      </c>
      <c r="S39" s="417">
        <v>-1.392613952547878632795400800</v>
      </c>
      <c r="T39" s="427">
        <v>-1.3629242641504279480417783700</v>
      </c>
      <c r="U39" s="428">
        <v>-4.6632530166086782502550218700</v>
      </c>
      <c r="V39" s="417">
        <v>150.31750937711387867252799270</v>
      </c>
      <c r="W39" s="427">
        <v>10.878536954821792538066506450</v>
      </c>
      <c r="X39" s="428">
        <v>-13.926032570877271292645279700</v>
      </c>
      <c r="Y39" s="417">
        <v>16.670449289332372345675490940</v>
      </c>
      <c r="Z39" s="427">
        <v>-5.5507833713524473490080088100</v>
      </c>
      <c r="AA39" s="428">
        <v>-8.817183194179072042437537510</v>
      </c>
      <c r="AB39" s="417">
        <v>26.17873204988570670281406300</v>
      </c>
      <c r="AC39" s="5"/>
      <c r="AD39" s="427" t="s">
        <v>236</v>
      </c>
      <c r="AE39" s="428" t="s">
        <v>295</v>
      </c>
      <c r="AF39" s="428" t="s">
        <v>295</v>
      </c>
      <c r="AG39" s="429" t="s">
        <v>295</v>
      </c>
    </row>
    <row r="40" ht="20.1" customHeight="1">
      <c r="A40" s="58"/>
      <c r="B40" s="286">
        <v>2024</v>
      </c>
      <c r="C40" s="287"/>
      <c r="D40" s="276">
        <v>243.6697938092610244318466864</v>
      </c>
      <c r="E40" s="94">
        <v>285.25815709844849172639977522</v>
      </c>
      <c r="F40" s="277">
        <v>228.09152259229951482307427923</v>
      </c>
      <c r="G40" s="276">
        <v>22.447474038027391762404053579</v>
      </c>
      <c r="H40" s="94">
        <v>71.851218328809022686247856407</v>
      </c>
      <c r="I40" s="277">
        <v>68.046416174522406799221572777</v>
      </c>
      <c r="J40" s="276">
        <v>27.549265037876887573370792154</v>
      </c>
      <c r="K40" s="94">
        <v>31.07879742017107306129929495</v>
      </c>
      <c r="L40" s="277">
        <v>31.403361898057692355528461439</v>
      </c>
      <c r="M40" s="276">
        <v>293.66653288516530376762153213</v>
      </c>
      <c r="N40" s="94">
        <v>388.18817284742858747394692657</v>
      </c>
      <c r="O40" s="277">
        <v>327.54130066487961397782431344</v>
      </c>
      <c r="P40" s="5"/>
      <c r="Q40" s="271">
        <v>-5.4147175865110622540094706200</v>
      </c>
      <c r="R40" s="92">
        <v>-7.9221010902472796842884671500</v>
      </c>
      <c r="S40" s="272">
        <v>-0.8032013647586734364643825300</v>
      </c>
      <c r="T40" s="271">
        <v>-60.039598233225420225048704980</v>
      </c>
      <c r="U40" s="92">
        <v>-20.086223011473252502663651350</v>
      </c>
      <c r="V40" s="272">
        <v>-49.456806823557953307641514710</v>
      </c>
      <c r="W40" s="271">
        <v>7.986046776752977235727373950</v>
      </c>
      <c r="X40" s="92">
        <v>15.924126741803654041206939790</v>
      </c>
      <c r="Y40" s="272">
        <v>3.4437456610710731470627870700</v>
      </c>
      <c r="Z40" s="271">
        <v>-13.450652903820178741933993090</v>
      </c>
      <c r="AA40" s="92">
        <v>-8.987415919632694530111675650</v>
      </c>
      <c r="AB40" s="272">
        <v>-17.062725693863792646399049060</v>
      </c>
      <c r="AC40" s="5"/>
      <c r="AD40" s="271" t="s">
        <v>219</v>
      </c>
      <c r="AE40" s="92" t="s">
        <v>219</v>
      </c>
      <c r="AF40" s="92" t="s">
        <v>236</v>
      </c>
      <c r="AG40" s="272" t="s">
        <v>219</v>
      </c>
    </row>
    <row r="41" ht="20.1" customHeight="1">
      <c r="A41" s="58"/>
      <c r="B41" s="425">
        <v>2025</v>
      </c>
      <c r="C41" s="426"/>
      <c r="D41" s="457">
        <v>233.59279238780250243500412078</v>
      </c>
      <c r="E41" s="458">
        <v>310.16486811685582177385456074</v>
      </c>
      <c r="F41" s="499">
        <v>228.47549430063792471234838638</v>
      </c>
      <c r="G41" s="457">
        <v>1.6194900227267051272445743113</v>
      </c>
      <c r="H41" s="458">
        <v>88.05410087146660017609780044</v>
      </c>
      <c r="I41" s="499">
        <v>72.531444763692584339399578498</v>
      </c>
      <c r="J41" s="457">
        <v>32.678479558452586099248270523</v>
      </c>
      <c r="K41" s="458">
        <v>32.736732834105368606933500038</v>
      </c>
      <c r="L41" s="499">
        <v>28.036323358886019465451286379</v>
      </c>
      <c r="M41" s="457">
        <v>267.89076196898179366149696561</v>
      </c>
      <c r="N41" s="458">
        <v>430.95570182242779055688586122</v>
      </c>
      <c r="O41" s="499">
        <v>329.04326242321652851719925124</v>
      </c>
      <c r="P41" s="184"/>
      <c r="Q41" s="430">
        <v>-4.135515224912910255468430800</v>
      </c>
      <c r="R41" s="431">
        <v>8.731287922421876426198544900</v>
      </c>
      <c r="S41" s="500">
        <v>0.1683410693979413045892955300</v>
      </c>
      <c r="T41" s="430">
        <v>-92.78542423087263032367840660</v>
      </c>
      <c r="U41" s="431">
        <v>22.550602369079142940298629940</v>
      </c>
      <c r="V41" s="500">
        <v>6.5911312326736801808694914700</v>
      </c>
      <c r="W41" s="430">
        <v>18.618335238694161328017946680</v>
      </c>
      <c r="X41" s="431">
        <v>5.3346189412971802467217397200</v>
      </c>
      <c r="Y41" s="500">
        <v>-10.721904712430476190782913180</v>
      </c>
      <c r="Z41" s="430">
        <v>-8.777224514818806432231426310</v>
      </c>
      <c r="AA41" s="431">
        <v>11.017215867583905491839624130</v>
      </c>
      <c r="AB41" s="500">
        <v>0.4585564492989393050008056400</v>
      </c>
      <c r="AC41" s="184"/>
      <c r="AD41" s="430" t="s">
        <v>226</v>
      </c>
      <c r="AE41" s="431" t="s">
        <v>295</v>
      </c>
      <c r="AF41" s="431" t="s">
        <v>296</v>
      </c>
      <c r="AG41" s="432" t="s">
        <v>295</v>
      </c>
    </row>
    <row r="42" ht="14.1" customHeight="1"/>
    <row r="43" ht="20.1" customHeight="1">
      <c r="B43" s="7" t="s">
        <v>102</v>
      </c>
    </row>
    <row r="44" ht="14.1" customHeight="1">
      <c r="B44" s="7"/>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161</v>
      </c>
      <c r="AD1" s="5"/>
      <c r="AG1" s="685"/>
      <c r="AI1" s="236"/>
    </row>
    <row r="2" ht="21" customHeight="1">
      <c r="B2" s="11" t="s">
        <v>208</v>
      </c>
    </row>
    <row r="3" ht="21" customHeight="1">
      <c r="B3" s="11" t="s">
        <v>209</v>
      </c>
      <c r="U3" s="99" t="s">
        <v>294</v>
      </c>
      <c r="V3" s="99"/>
      <c r="W3" s="99"/>
      <c r="X3" s="99"/>
      <c r="Y3" s="99"/>
      <c r="Z3" s="99"/>
      <c r="AA3" s="99"/>
      <c r="AB3" s="99"/>
      <c r="AC3" s="99"/>
      <c r="AD3" s="99"/>
      <c r="AE3" s="99"/>
      <c r="AF3" s="99"/>
      <c r="AG3" s="99"/>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802" t="s">
        <v>92</v>
      </c>
      <c r="E6" s="802"/>
      <c r="F6" s="802"/>
      <c r="G6" s="802"/>
      <c r="H6" s="802"/>
      <c r="I6" s="802"/>
      <c r="J6" s="802"/>
      <c r="K6" s="802"/>
      <c r="L6" s="802"/>
      <c r="M6" s="802"/>
      <c r="N6" s="802"/>
      <c r="O6" s="960"/>
      <c r="Q6" s="802" t="s">
        <v>70</v>
      </c>
      <c r="R6" s="802"/>
      <c r="S6" s="802"/>
      <c r="T6" s="802"/>
      <c r="U6" s="802"/>
      <c r="V6" s="802"/>
      <c r="W6" s="802"/>
      <c r="X6" s="802"/>
      <c r="Y6" s="802"/>
      <c r="Z6" s="802"/>
      <c r="AA6" s="802"/>
      <c r="AB6" s="960"/>
      <c r="AD6" s="802" t="s">
        <v>77</v>
      </c>
      <c r="AE6" s="802"/>
      <c r="AF6" s="802"/>
      <c r="AG6" s="960"/>
    </row>
    <row r="7" ht="24.95" customHeight="1">
      <c r="D7" s="839" t="s">
        <v>20</v>
      </c>
      <c r="E7" s="839"/>
      <c r="F7" s="283"/>
      <c r="G7" s="839" t="s">
        <v>18</v>
      </c>
      <c r="H7" s="839"/>
      <c r="I7" s="283"/>
      <c r="J7" s="839" t="s">
        <v>17</v>
      </c>
      <c r="K7" s="839"/>
      <c r="L7" s="283"/>
      <c r="M7" s="839" t="s">
        <v>103</v>
      </c>
      <c r="N7" s="839"/>
      <c r="O7" s="283"/>
      <c r="Q7" s="839" t="s">
        <v>20</v>
      </c>
      <c r="R7" s="839"/>
      <c r="S7" s="283"/>
      <c r="T7" s="839" t="s">
        <v>18</v>
      </c>
      <c r="U7" s="839"/>
      <c r="V7" s="283"/>
      <c r="W7" s="839" t="s">
        <v>17</v>
      </c>
      <c r="X7" s="839"/>
      <c r="Y7" s="283"/>
      <c r="Z7" s="839" t="s">
        <v>103</v>
      </c>
      <c r="AA7" s="839"/>
      <c r="AB7" s="283"/>
      <c r="AD7" s="839" t="s">
        <v>78</v>
      </c>
      <c r="AE7" s="839"/>
      <c r="AF7" s="839"/>
      <c r="AG7" s="283"/>
    </row>
    <row r="8" ht="30" customHeight="1">
      <c r="A8" s="57"/>
      <c r="B8" s="845"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218</v>
      </c>
      <c r="D9" s="434">
        <v>256.78372434017595307917888563</v>
      </c>
      <c r="E9" s="435">
        <v>273.91455385326045115097390099</v>
      </c>
      <c r="F9" s="436">
        <v>211.6919451000961622519451001</v>
      </c>
      <c r="G9" s="434">
        <v>9.0017106549364613880742913</v>
      </c>
      <c r="H9" s="435">
        <v>78.404727076757256139810608977</v>
      </c>
      <c r="I9" s="436">
        <v>62.553769611775530238679770735</v>
      </c>
      <c r="J9" s="434">
        <v>21.831622678396871945259042033</v>
      </c>
      <c r="K9" s="435">
        <v>22.929478789745168989144660867</v>
      </c>
      <c r="L9" s="436">
        <v>21.708285538309596982309978588</v>
      </c>
      <c r="M9" s="434">
        <v>287.61705767350928641251221896</v>
      </c>
      <c r="N9" s="435">
        <v>375.24875971976287627992917084</v>
      </c>
      <c r="O9" s="436">
        <v>295.95400025018128947293484941</v>
      </c>
      <c r="P9" s="5"/>
      <c r="Q9" s="415">
        <v>-3.2783369263201432682346229400</v>
      </c>
      <c r="R9" s="416">
        <v>4.7845227566348363617468649500</v>
      </c>
      <c r="S9" s="417">
        <v>3.0893743056782696523614474800</v>
      </c>
      <c r="T9" s="415">
        <v>-86.44017257627917299664969985</v>
      </c>
      <c r="U9" s="416">
        <v>-16.002499738036999891022670500</v>
      </c>
      <c r="V9" s="417">
        <v>8.637182314634723418794780880</v>
      </c>
      <c r="W9" s="415">
        <v>-14.218086843079073210726156530</v>
      </c>
      <c r="X9" s="416">
        <v>38.900160210576822844679197500</v>
      </c>
      <c r="Y9" s="417">
        <v>2.0921281940034360352305984300</v>
      </c>
      <c r="Z9" s="415">
        <v>-19.507729639091613509582487250</v>
      </c>
      <c r="AA9" s="416">
        <v>1.0751798845167801055540604500</v>
      </c>
      <c r="AB9" s="417">
        <v>4.1388075310050789465484767900</v>
      </c>
      <c r="AC9" s="5"/>
      <c r="AD9" s="427" t="s">
        <v>219</v>
      </c>
      <c r="AE9" s="428" t="s">
        <v>219</v>
      </c>
      <c r="AF9" s="428" t="s">
        <v>219</v>
      </c>
      <c r="AG9" s="429" t="s">
        <v>219</v>
      </c>
    </row>
    <row r="10" ht="20.1" customHeight="1">
      <c r="A10" s="58"/>
      <c r="B10" s="286"/>
      <c r="C10" s="287" t="s">
        <v>220</v>
      </c>
      <c r="D10" s="276">
        <v>326.2270114942528735632183908</v>
      </c>
      <c r="E10" s="94">
        <v>327.32995391325805114845721105</v>
      </c>
      <c r="F10" s="277">
        <v>268.31499032133178474641889276</v>
      </c>
      <c r="G10" s="276">
        <v>1.4840647857889237199582027168</v>
      </c>
      <c r="H10" s="94">
        <v>76.69788494774089928060006819</v>
      </c>
      <c r="I10" s="277">
        <v>70.707247931223701342989603337</v>
      </c>
      <c r="J10" s="276">
        <v>26.732236154649947753396029258</v>
      </c>
      <c r="K10" s="94">
        <v>22.783145420130022313331060348</v>
      </c>
      <c r="L10" s="277">
        <v>28.585283374688628984678644584</v>
      </c>
      <c r="M10" s="276">
        <v>354.44331243469174503657262278</v>
      </c>
      <c r="N10" s="94">
        <v>426.81098428112897274238833958</v>
      </c>
      <c r="O10" s="277">
        <v>367.60752162724411507408714069</v>
      </c>
      <c r="P10" s="5"/>
      <c r="Q10" s="271">
        <v>0.147349829674445464388405100</v>
      </c>
      <c r="R10" s="92">
        <v>-3.2299028574969594914367190600</v>
      </c>
      <c r="S10" s="272">
        <v>4.8868137559302797158944771400</v>
      </c>
      <c r="T10" s="271">
        <v>-97.74384208085957784193357584</v>
      </c>
      <c r="U10" s="92">
        <v>-8.729911926786607562808999230</v>
      </c>
      <c r="V10" s="272">
        <v>-5.2032038147090485058471163300</v>
      </c>
      <c r="W10" s="271">
        <v>10.357922938538882239121706560</v>
      </c>
      <c r="X10" s="92">
        <v>2.7987955141117572773117763200</v>
      </c>
      <c r="Y10" s="272">
        <v>13.035412930550917453917220310</v>
      </c>
      <c r="Z10" s="271">
        <v>-14.745768907809910209038668100</v>
      </c>
      <c r="AA10" s="92">
        <v>-3.9691827112413933915922108100</v>
      </c>
      <c r="AB10" s="272">
        <v>3.3502875353692958599700120200</v>
      </c>
      <c r="AC10" s="5"/>
      <c r="AD10" s="271" t="s">
        <v>219</v>
      </c>
      <c r="AE10" s="92" t="s">
        <v>236</v>
      </c>
      <c r="AF10" s="92" t="s">
        <v>219</v>
      </c>
      <c r="AG10" s="272" t="s">
        <v>219</v>
      </c>
    </row>
    <row r="11" ht="20.1" customHeight="1">
      <c r="A11" s="58"/>
      <c r="B11" s="288"/>
      <c r="C11" s="289" t="s">
        <v>221</v>
      </c>
      <c r="D11" s="439">
        <v>289.40347018572825024437927664</v>
      </c>
      <c r="E11" s="95">
        <v>305.3985911155593194241281084</v>
      </c>
      <c r="F11" s="442">
        <v>240.74114937162512401006498299</v>
      </c>
      <c r="G11" s="439">
        <v>1.8025415444770283479960899316</v>
      </c>
      <c r="H11" s="95">
        <v>66.991454307490953884055739472</v>
      </c>
      <c r="I11" s="442">
        <v>57.960767678929061854888902186</v>
      </c>
      <c r="J11" s="439">
        <v>25.444281524926686217008797654</v>
      </c>
      <c r="K11" s="95">
        <v>23.169989991531295711756101316</v>
      </c>
      <c r="L11" s="442">
        <v>28.85505320141683581860801876</v>
      </c>
      <c r="M11" s="439">
        <v>316.65029325513196480938416422</v>
      </c>
      <c r="N11" s="95">
        <v>395.56003541458156901993994919</v>
      </c>
      <c r="O11" s="442">
        <v>327.55697025197102168356190394</v>
      </c>
      <c r="P11" s="5"/>
      <c r="Q11" s="497">
        <v>0.3897796024556957236371573900</v>
      </c>
      <c r="R11" s="216">
        <v>-1.3714720988019529361906984200</v>
      </c>
      <c r="S11" s="498">
        <v>-2.1421170164987621609912828800</v>
      </c>
      <c r="T11" s="497">
        <v>-97.19127222877891310850808158</v>
      </c>
      <c r="U11" s="216">
        <v>-3.2690450566297628517282554600</v>
      </c>
      <c r="V11" s="498">
        <v>-11.601215985905351167565785770</v>
      </c>
      <c r="W11" s="497">
        <v>12.983842088504146205395801940</v>
      </c>
      <c r="X11" s="216">
        <v>-5.9725584406357727156219631800</v>
      </c>
      <c r="Y11" s="498">
        <v>8.885859872161345473960658280</v>
      </c>
      <c r="Z11" s="497">
        <v>-15.554638804373036809548545340</v>
      </c>
      <c r="AA11" s="216">
        <v>-1.9780897832203976376078229900</v>
      </c>
      <c r="AB11" s="498">
        <v>-3.1121987378083661893385471900</v>
      </c>
      <c r="AC11" s="5"/>
      <c r="AD11" s="420" t="s">
        <v>219</v>
      </c>
      <c r="AE11" s="91" t="s">
        <v>236</v>
      </c>
      <c r="AF11" s="91" t="s">
        <v>236</v>
      </c>
      <c r="AG11" s="421" t="s">
        <v>219</v>
      </c>
    </row>
    <row r="12" ht="20.1" customHeight="1">
      <c r="A12" s="58"/>
      <c r="B12" s="286"/>
      <c r="C12" s="287" t="s">
        <v>223</v>
      </c>
      <c r="D12" s="276">
        <v>240.95631313131313131313131313</v>
      </c>
      <c r="E12" s="94">
        <v>255.9287430389817024661893397</v>
      </c>
      <c r="F12" s="277">
        <v>199.93547669491525423728813559</v>
      </c>
      <c r="G12" s="276">
        <v>1.4931818181818181818181818182</v>
      </c>
      <c r="H12" s="94">
        <v>62.591010342084327764518695306</v>
      </c>
      <c r="I12" s="277">
        <v>57.227622225627578952743684241</v>
      </c>
      <c r="J12" s="276">
        <v>28.850252525252525252525252525</v>
      </c>
      <c r="K12" s="94">
        <v>22.428162291169451073985680191</v>
      </c>
      <c r="L12" s="277">
        <v>21.91167215686211204538687754</v>
      </c>
      <c r="M12" s="276">
        <v>271.29974747474747474747474747</v>
      </c>
      <c r="N12" s="94">
        <v>340.94791567223548130469371519</v>
      </c>
      <c r="O12" s="277">
        <v>279.07477107740494523541869737</v>
      </c>
      <c r="P12" s="5"/>
      <c r="Q12" s="271">
        <v>4.9100138643372400464617334400</v>
      </c>
      <c r="R12" s="92">
        <v>-2.6186183613761351284680192800</v>
      </c>
      <c r="S12" s="272">
        <v>5.3365298945783269507908601200</v>
      </c>
      <c r="T12" s="271">
        <v>-96.69187991630624143676571833</v>
      </c>
      <c r="U12" s="92">
        <v>-25.291963624246249772198515440</v>
      </c>
      <c r="V12" s="272">
        <v>-1.4412448793047199225039634300</v>
      </c>
      <c r="W12" s="271">
        <v>39.267864543677571827516486550</v>
      </c>
      <c r="X12" s="92">
        <v>-0.8053016823745341035443519900</v>
      </c>
      <c r="Y12" s="272">
        <v>-14.969119581112359903549864080</v>
      </c>
      <c r="Z12" s="271">
        <v>-8.199401010858267615247754460</v>
      </c>
      <c r="AA12" s="92">
        <v>-7.6526998813899373890776459700</v>
      </c>
      <c r="AB12" s="272">
        <v>1.9861209189528653022001403300</v>
      </c>
      <c r="AC12" s="5"/>
      <c r="AD12" s="271" t="s">
        <v>219</v>
      </c>
      <c r="AE12" s="92" t="s">
        <v>236</v>
      </c>
      <c r="AF12" s="92" t="s">
        <v>219</v>
      </c>
      <c r="AG12" s="272" t="s">
        <v>219</v>
      </c>
    </row>
    <row r="13" ht="20.1" customHeight="1">
      <c r="A13" s="58"/>
      <c r="B13" s="288"/>
      <c r="C13" s="289" t="s">
        <v>224</v>
      </c>
      <c r="D13" s="439">
        <v>189.88831867057673509286412512</v>
      </c>
      <c r="E13" s="95">
        <v>197.01061436600200169374085765</v>
      </c>
      <c r="F13" s="442">
        <v>164.84812397484964461454346638</v>
      </c>
      <c r="G13" s="439">
        <v>1.4000488758553274682306940371</v>
      </c>
      <c r="H13" s="95">
        <v>57.548002155670182462083301255</v>
      </c>
      <c r="I13" s="442">
        <v>43.65566358422779939267650977</v>
      </c>
      <c r="J13" s="439">
        <v>27.274193548387096774193548387</v>
      </c>
      <c r="K13" s="95">
        <v>20.758641927785048887520209408</v>
      </c>
      <c r="L13" s="442">
        <v>26.544549547073312490335067995</v>
      </c>
      <c r="M13" s="439">
        <v>218.56256109481915933528836755</v>
      </c>
      <c r="N13" s="95">
        <v>275.31725844945723304334436831</v>
      </c>
      <c r="O13" s="442">
        <v>235.04833710615075649755504414</v>
      </c>
      <c r="P13" s="5"/>
      <c r="Q13" s="420">
        <v>-6.2987786642600053603046342500</v>
      </c>
      <c r="R13" s="91">
        <v>-2.986668401619609350155434900</v>
      </c>
      <c r="S13" s="498">
        <v>0.6753369836010753859390410900</v>
      </c>
      <c r="T13" s="420">
        <v>-96.71602093400406323081746163</v>
      </c>
      <c r="U13" s="91">
        <v>15.519867299575489297315837220</v>
      </c>
      <c r="V13" s="498">
        <v>-17.181619147489758899630371650</v>
      </c>
      <c r="W13" s="420">
        <v>39.813341684762048437267417540</v>
      </c>
      <c r="X13" s="91">
        <v>2.0627952532907863716622723600</v>
      </c>
      <c r="Y13" s="498">
        <v>-1.2651073050277434515414395300</v>
      </c>
      <c r="Z13" s="420">
        <v>-17.459166025257985333263527350</v>
      </c>
      <c r="AA13" s="91">
        <v>0.7633870988776178430905201200</v>
      </c>
      <c r="AB13" s="498">
        <v>-3.4072451269688767142143693200</v>
      </c>
      <c r="AC13" s="5"/>
      <c r="AD13" s="420" t="s">
        <v>219</v>
      </c>
      <c r="AE13" s="91" t="s">
        <v>236</v>
      </c>
      <c r="AF13" s="91" t="s">
        <v>219</v>
      </c>
      <c r="AG13" s="421" t="s">
        <v>219</v>
      </c>
    </row>
    <row r="14" ht="20.1" customHeight="1">
      <c r="A14" s="58"/>
      <c r="B14" s="286"/>
      <c r="C14" s="287" t="s">
        <v>225</v>
      </c>
      <c r="D14" s="276">
        <v>134.08611111111111111111111111</v>
      </c>
      <c r="E14" s="94">
        <v>152.29846802325581395348837209</v>
      </c>
      <c r="F14" s="277">
        <v>129.09784131725879298694832675</v>
      </c>
      <c r="G14" s="276">
        <v>1.3696969696969696969696969697</v>
      </c>
      <c r="H14" s="94">
        <v>46.065213178294573643410852713</v>
      </c>
      <c r="I14" s="277">
        <v>43.108799083302470359292854216</v>
      </c>
      <c r="J14" s="276">
        <v>23.807828282828282828282828283</v>
      </c>
      <c r="K14" s="94">
        <v>25.738856589147286821705426357</v>
      </c>
      <c r="L14" s="277">
        <v>24.305720719325196413037185587</v>
      </c>
      <c r="M14" s="276">
        <v>159.26363636363636363636363636</v>
      </c>
      <c r="N14" s="94">
        <v>224.10253779069767441860465116</v>
      </c>
      <c r="O14" s="277">
        <v>196.51236111988645975927836656</v>
      </c>
      <c r="P14" s="5"/>
      <c r="Q14" s="271">
        <v>-15.861538949083926065805710980</v>
      </c>
      <c r="R14" s="92">
        <v>9.673544169334438169969168850</v>
      </c>
      <c r="S14" s="272">
        <v>0.1552729517098109466447989900</v>
      </c>
      <c r="T14" s="271">
        <v>-96.45571274545020188650938414</v>
      </c>
      <c r="U14" s="92">
        <v>38.659650227367946741097359380</v>
      </c>
      <c r="V14" s="272">
        <v>5.5863980473915810362869626100</v>
      </c>
      <c r="W14" s="271">
        <v>4.0297041720734076257641736100</v>
      </c>
      <c r="X14" s="92">
        <v>40.185017328646470501628914570</v>
      </c>
      <c r="Y14" s="272">
        <v>12.427566326768109680091828600</v>
      </c>
      <c r="Z14" s="271">
        <v>-27.900569539346813689338027720</v>
      </c>
      <c r="AA14" s="92">
        <v>17.671436718306714096441513590</v>
      </c>
      <c r="AB14" s="272">
        <v>2.7007142052993431295355043600</v>
      </c>
      <c r="AC14" s="5"/>
      <c r="AD14" s="271" t="s">
        <v>226</v>
      </c>
      <c r="AE14" s="92" t="s">
        <v>226</v>
      </c>
      <c r="AF14" s="92" t="s">
        <v>227</v>
      </c>
      <c r="AG14" s="272" t="s">
        <v>226</v>
      </c>
    </row>
    <row r="15" ht="20.1" customHeight="1">
      <c r="A15" s="58"/>
      <c r="B15" s="288"/>
      <c r="C15" s="289" t="s">
        <v>228</v>
      </c>
      <c r="D15" s="439">
        <v>132.24608993157380254154447703</v>
      </c>
      <c r="E15" s="95">
        <v>164.67368529632408102025506377</v>
      </c>
      <c r="F15" s="442">
        <v>125.82997998525229116190877489</v>
      </c>
      <c r="G15" s="439">
        <v>1.0579178885630498533724340176</v>
      </c>
      <c r="H15" s="95">
        <v>42.945962251542147016270905444</v>
      </c>
      <c r="I15" s="442">
        <v>31.523334947713929576401364255</v>
      </c>
      <c r="J15" s="439">
        <v>25.493890518084066471163245357</v>
      </c>
      <c r="K15" s="95">
        <v>22.323671380621167945667330049</v>
      </c>
      <c r="L15" s="442">
        <v>21.850372467085302843986073846</v>
      </c>
      <c r="M15" s="439">
        <v>158.7978983382209188660801564</v>
      </c>
      <c r="N15" s="95">
        <v>229.94331892848739598219329926</v>
      </c>
      <c r="O15" s="442">
        <v>179.20368740005152358229621299</v>
      </c>
      <c r="P15" s="5"/>
      <c r="Q15" s="420">
        <v>-13.473155381894249131028395710</v>
      </c>
      <c r="R15" s="91">
        <v>13.526090245006229608948352890</v>
      </c>
      <c r="S15" s="498">
        <v>2.0009235048031201805008812400</v>
      </c>
      <c r="T15" s="420">
        <v>-96.84339475430192981016822315</v>
      </c>
      <c r="U15" s="91">
        <v>23.931475120807496437075016790</v>
      </c>
      <c r="V15" s="498">
        <v>-16.439608711476722312759899550</v>
      </c>
      <c r="W15" s="420">
        <v>28.177372585380878150292396130</v>
      </c>
      <c r="X15" s="91">
        <v>8.933956150703171227621560230</v>
      </c>
      <c r="Y15" s="498">
        <v>-11.198153518703746491720091780</v>
      </c>
      <c r="Z15" s="420">
        <v>-23.004160233552504387634586730</v>
      </c>
      <c r="AA15" s="91">
        <v>14.857121872587018072656530870</v>
      </c>
      <c r="AB15" s="498">
        <v>-3.4944298187498411992745434100</v>
      </c>
      <c r="AC15" s="5"/>
      <c r="AD15" s="420" t="s">
        <v>227</v>
      </c>
      <c r="AE15" s="91" t="s">
        <v>295</v>
      </c>
      <c r="AF15" s="91" t="s">
        <v>295</v>
      </c>
      <c r="AG15" s="421" t="s">
        <v>295</v>
      </c>
    </row>
    <row r="16" ht="20.1" customHeight="1">
      <c r="A16" s="58"/>
      <c r="B16" s="286"/>
      <c r="C16" s="287" t="s">
        <v>229</v>
      </c>
      <c r="D16" s="276">
        <v>117.50879765395894428152492669</v>
      </c>
      <c r="E16" s="94">
        <v>143.5046455363840960240060015</v>
      </c>
      <c r="F16" s="277">
        <v>110.3236509463359119914375906</v>
      </c>
      <c r="G16" s="276">
        <v>1.5266373411534701857282502444</v>
      </c>
      <c r="H16" s="94">
        <v>33.556826706676669167291822956</v>
      </c>
      <c r="I16" s="277">
        <v>30.62160069681563682382290267</v>
      </c>
      <c r="J16" s="276">
        <v>25.000488758553274682306940371</v>
      </c>
      <c r="K16" s="94">
        <v>19.730401350337584396099024756</v>
      </c>
      <c r="L16" s="277">
        <v>21.580252217195845457515782143</v>
      </c>
      <c r="M16" s="276">
        <v>144.0359237536656891495601173</v>
      </c>
      <c r="N16" s="94">
        <v>196.79187359339834958739684921</v>
      </c>
      <c r="O16" s="277">
        <v>162.52550386034739427277627542</v>
      </c>
      <c r="P16" s="5"/>
      <c r="Q16" s="271">
        <v>-4.6519375141507881124224555800</v>
      </c>
      <c r="R16" s="92">
        <v>5.5811029806141611890126327100</v>
      </c>
      <c r="S16" s="272">
        <v>3.7530871462379422597005585300</v>
      </c>
      <c r="T16" s="271">
        <v>-94.79355924857757762358402934</v>
      </c>
      <c r="U16" s="92">
        <v>7.2616103162694148022712413400</v>
      </c>
      <c r="V16" s="272">
        <v>-11.567860166750326717674789940</v>
      </c>
      <c r="W16" s="271">
        <v>6.7747962133797594196434235700</v>
      </c>
      <c r="X16" s="92">
        <v>-21.637229807002530739406837330</v>
      </c>
      <c r="Y16" s="272">
        <v>7.2432501229115232126793223400</v>
      </c>
      <c r="Z16" s="271">
        <v>-18.151292245702268662146338020</v>
      </c>
      <c r="AA16" s="92">
        <v>2.2921487553678222376253773100</v>
      </c>
      <c r="AB16" s="272">
        <v>0.8956105130728982343266844600</v>
      </c>
      <c r="AC16" s="5"/>
      <c r="AD16" s="271" t="s">
        <v>227</v>
      </c>
      <c r="AE16" s="92" t="s">
        <v>226</v>
      </c>
      <c r="AF16" s="92" t="s">
        <v>226</v>
      </c>
      <c r="AG16" s="272" t="s">
        <v>226</v>
      </c>
    </row>
    <row r="17" ht="20.1" customHeight="1">
      <c r="A17" s="58"/>
      <c r="B17" s="288"/>
      <c r="C17" s="289" t="s">
        <v>230</v>
      </c>
      <c r="D17" s="439">
        <v>106.32727272727272727272727273</v>
      </c>
      <c r="E17" s="95">
        <v>132.7195038759689922480620155</v>
      </c>
      <c r="F17" s="442">
        <v>107.35079348059189363070984345</v>
      </c>
      <c r="G17" s="439">
        <v>1.3227272727272727272727272727</v>
      </c>
      <c r="H17" s="95">
        <v>44.177270895344679571779421781</v>
      </c>
      <c r="I17" s="442">
        <v>42.576162161683465599342561077</v>
      </c>
      <c r="J17" s="439">
        <v>19.251010101010101010101010101</v>
      </c>
      <c r="K17" s="95">
        <v>17.001493448383451959961980444</v>
      </c>
      <c r="L17" s="442">
        <v>23.34471686256103977419884449</v>
      </c>
      <c r="M17" s="439">
        <v>126.9010101010101010101010101</v>
      </c>
      <c r="N17" s="95">
        <v>193.89826821969712377980341773</v>
      </c>
      <c r="O17" s="442">
        <v>173.27167250483639900425124902</v>
      </c>
      <c r="P17" s="5"/>
      <c r="Q17" s="420">
        <v>-2.9889707830734737770673180900</v>
      </c>
      <c r="R17" s="91">
        <v>17.940377548494954680774310970</v>
      </c>
      <c r="S17" s="498">
        <v>1.5794993895512896340290318200</v>
      </c>
      <c r="T17" s="420">
        <v>-95.28197368065399129325385013</v>
      </c>
      <c r="U17" s="91">
        <v>55.881829122276718533116756720</v>
      </c>
      <c r="V17" s="498">
        <v>11.253338720630800410632914930</v>
      </c>
      <c r="W17" s="420">
        <v>4.7458092881969249952482350600</v>
      </c>
      <c r="X17" s="91">
        <v>6.5492079124256617729915688700</v>
      </c>
      <c r="Y17" s="498">
        <v>33.080886747758564283092415100</v>
      </c>
      <c r="Z17" s="420">
        <v>-18.662415227501874395544194730</v>
      </c>
      <c r="AA17" s="91">
        <v>23.637754649806237082153588860</v>
      </c>
      <c r="AB17" s="498">
        <v>7.2937025926226069076775461200</v>
      </c>
      <c r="AC17" s="5"/>
      <c r="AD17" s="420" t="s">
        <v>227</v>
      </c>
      <c r="AE17" s="91" t="s">
        <v>295</v>
      </c>
      <c r="AF17" s="91" t="s">
        <v>296</v>
      </c>
      <c r="AG17" s="421" t="s">
        <v>295</v>
      </c>
    </row>
    <row r="18" ht="20.1" customHeight="1">
      <c r="A18" s="58"/>
      <c r="B18" s="286"/>
      <c r="C18" s="287" t="s">
        <v>231</v>
      </c>
      <c r="D18" s="276">
        <v>149.12561094819159335288367546</v>
      </c>
      <c r="E18" s="94">
        <v>183.03917104276069017254313578</v>
      </c>
      <c r="F18" s="277">
        <v>147.96921890240949686274238515</v>
      </c>
      <c r="G18" s="276">
        <v>1.0821114369501466275659824047</v>
      </c>
      <c r="H18" s="94">
        <v>43.735984223516747794365574383</v>
      </c>
      <c r="I18" s="277">
        <v>53.101610720417061289625202756</v>
      </c>
      <c r="J18" s="276">
        <v>25.290566959921798631476050831</v>
      </c>
      <c r="K18" s="94">
        <v>21.211733183154683038314436121</v>
      </c>
      <c r="L18" s="277">
        <v>22.289986921900003043130387789</v>
      </c>
      <c r="M18" s="276">
        <v>175.4982893450635386119257087</v>
      </c>
      <c r="N18" s="94">
        <v>247.98688844943212100522314629</v>
      </c>
      <c r="O18" s="277">
        <v>223.36081654472656119549797569</v>
      </c>
      <c r="P18" s="5"/>
      <c r="Q18" s="271">
        <v>3.6667697294080710262708322400</v>
      </c>
      <c r="R18" s="92">
        <v>22.870077405286916842042773490</v>
      </c>
      <c r="S18" s="272">
        <v>8.477888464873991805894284450</v>
      </c>
      <c r="T18" s="271">
        <v>-96.16021644307830658256942318</v>
      </c>
      <c r="U18" s="92">
        <v>14.544372227049823165176443040</v>
      </c>
      <c r="V18" s="272">
        <v>5.769957018943117965725088300</v>
      </c>
      <c r="W18" s="271">
        <v>38.402385855898884238985081030</v>
      </c>
      <c r="X18" s="92">
        <v>-24.454564590342921333802593760</v>
      </c>
      <c r="Y18" s="272">
        <v>19.282901229261469042840972690</v>
      </c>
      <c r="Z18" s="271">
        <v>-7.7808639954105722382333580700</v>
      </c>
      <c r="AA18" s="92">
        <v>15.219282203930005728182948370</v>
      </c>
      <c r="AB18" s="272">
        <v>8.799172055404349116383840870</v>
      </c>
      <c r="AC18" s="5"/>
      <c r="AD18" s="271" t="s">
        <v>226</v>
      </c>
      <c r="AE18" s="92" t="s">
        <v>295</v>
      </c>
      <c r="AF18" s="92" t="s">
        <v>295</v>
      </c>
      <c r="AG18" s="272" t="s">
        <v>295</v>
      </c>
    </row>
    <row r="19" ht="20.1" customHeight="1">
      <c r="A19" s="58"/>
      <c r="B19" s="288"/>
      <c r="C19" s="289" t="s">
        <v>232</v>
      </c>
      <c r="D19" s="439">
        <v>175.57045454545454545454545455</v>
      </c>
      <c r="E19" s="95">
        <v>195.0668468992248062015503876</v>
      </c>
      <c r="F19" s="442">
        <v>159.69753420851566298534416892</v>
      </c>
      <c r="G19" s="439">
        <v>1.1595959595959595959595959596</v>
      </c>
      <c r="H19" s="95">
        <v>50.482252828268483157341868797</v>
      </c>
      <c r="I19" s="442">
        <v>63.959783354336642181487510155</v>
      </c>
      <c r="J19" s="439">
        <v>29.431818181818181818181818182</v>
      </c>
      <c r="K19" s="95">
        <v>20.193739949928766445675224558</v>
      </c>
      <c r="L19" s="442">
        <v>22.293361685474848859544746722</v>
      </c>
      <c r="M19" s="439">
        <v>206.16186868686868686868686869</v>
      </c>
      <c r="N19" s="95">
        <v>265.74283967742205580456748095</v>
      </c>
      <c r="O19" s="442">
        <v>245.9506792483271540263764258</v>
      </c>
      <c r="P19" s="5"/>
      <c r="Q19" s="420">
        <v>3.2989874527243521923216165700</v>
      </c>
      <c r="R19" s="91">
        <v>2.3179575426299980621590009900</v>
      </c>
      <c r="S19" s="498">
        <v>0.5949151185025492688104223500</v>
      </c>
      <c r="T19" s="420">
        <v>-96.33750468579688304520888864</v>
      </c>
      <c r="U19" s="91">
        <v>-13.819398694578977350831054450</v>
      </c>
      <c r="V19" s="498">
        <v>4.410105500840655384068512600</v>
      </c>
      <c r="W19" s="420">
        <v>43.672493281397947057964828010</v>
      </c>
      <c r="X19" s="91">
        <v>-9.709080669873511353998061740</v>
      </c>
      <c r="Y19" s="498">
        <v>-16.882741171261689232739680110</v>
      </c>
      <c r="Z19" s="420">
        <v>-7.1803273469791903202404257600</v>
      </c>
      <c r="AA19" s="91">
        <v>-2.1530047641717103484293420400</v>
      </c>
      <c r="AB19" s="498">
        <v>-0.3574155353626723408011816200</v>
      </c>
      <c r="AC19" s="5"/>
      <c r="AD19" s="420" t="s">
        <v>226</v>
      </c>
      <c r="AE19" s="91" t="s">
        <v>295</v>
      </c>
      <c r="AF19" s="91" t="s">
        <v>295</v>
      </c>
      <c r="AG19" s="421" t="s">
        <v>295</v>
      </c>
    </row>
    <row r="20" ht="20.1" customHeight="1">
      <c r="A20" s="58"/>
      <c r="B20" s="286"/>
      <c r="C20" s="287" t="s">
        <v>234</v>
      </c>
      <c r="D20" s="276">
        <v>244.84066471163245356793743891</v>
      </c>
      <c r="E20" s="94">
        <v>318.49105776444111027756939235</v>
      </c>
      <c r="F20" s="277">
        <v>204.03590239140400579134662001</v>
      </c>
      <c r="G20" s="276">
        <v>1.3140273704789833822091886608</v>
      </c>
      <c r="H20" s="94">
        <v>92.68173099508552845195316408</v>
      </c>
      <c r="I20" s="277">
        <v>57.201775322449727769406495919</v>
      </c>
      <c r="J20" s="276">
        <v>31.150048875855327468230694037</v>
      </c>
      <c r="K20" s="94">
        <v>21.996425243897005006540697253</v>
      </c>
      <c r="L20" s="277">
        <v>21.842929332770254508618076075</v>
      </c>
      <c r="M20" s="276">
        <v>277.3047409579667644183773216</v>
      </c>
      <c r="N20" s="94">
        <v>433.16921400342364373606325369</v>
      </c>
      <c r="O20" s="277">
        <v>283.08060704662398806937119201</v>
      </c>
      <c r="P20" s="5"/>
      <c r="Q20" s="271">
        <v>-12.323665105465448187067301180</v>
      </c>
      <c r="R20" s="92">
        <v>1.4070586343156452400495322900</v>
      </c>
      <c r="S20" s="272">
        <v>0.5420355991136406813385753900</v>
      </c>
      <c r="T20" s="271">
        <v>-97.54572384486321164544920840</v>
      </c>
      <c r="U20" s="92">
        <v>39.099056526353012045028925690</v>
      </c>
      <c r="V20" s="272">
        <v>3.779084073503783843097514300</v>
      </c>
      <c r="W20" s="271">
        <v>66.64836314226018764390636100</v>
      </c>
      <c r="X20" s="92">
        <v>-24.762734001586801829592186740</v>
      </c>
      <c r="Y20" s="272">
        <v>-2.9466429985419388954963969400</v>
      </c>
      <c r="Z20" s="271">
        <v>-21.105384391295162601499688820</v>
      </c>
      <c r="AA20" s="92">
        <v>5.6670116608156485544060384300</v>
      </c>
      <c r="AB20" s="272">
        <v>0.8981282104466932526473620700</v>
      </c>
      <c r="AC20" s="5"/>
      <c r="AD20" s="271" t="s">
        <v>226</v>
      </c>
      <c r="AE20" s="92" t="s">
        <v>295</v>
      </c>
      <c r="AF20" s="92" t="s">
        <v>295</v>
      </c>
      <c r="AG20" s="272" t="s">
        <v>295</v>
      </c>
    </row>
    <row r="21" ht="20.1" customHeight="1">
      <c r="A21" s="58"/>
      <c r="B21" s="288">
        <v>2025</v>
      </c>
      <c r="C21" s="289" t="s">
        <v>218</v>
      </c>
      <c r="D21" s="439">
        <v>254.33015640273704789833822092</v>
      </c>
      <c r="E21" s="95">
        <v>292.62619092273068267066766692</v>
      </c>
      <c r="F21" s="442">
        <v>219.18865605829497845243883756</v>
      </c>
      <c r="G21" s="439">
        <v>1.6598240469208211143695014663</v>
      </c>
      <c r="H21" s="95">
        <v>97.49597719610025918971471485</v>
      </c>
      <c r="I21" s="442">
        <v>66.52878155674698782150197338</v>
      </c>
      <c r="J21" s="439">
        <v>26.748778103616813294232649071</v>
      </c>
      <c r="K21" s="95">
        <v>26.539954004481399622586311843</v>
      </c>
      <c r="L21" s="442">
        <v>18.097887433965306496633510403</v>
      </c>
      <c r="M21" s="439">
        <v>282.73875855327468230694037146</v>
      </c>
      <c r="N21" s="95">
        <v>416.66212212331234148296869361</v>
      </c>
      <c r="O21" s="442">
        <v>303.81532504900727277057432134</v>
      </c>
      <c r="P21" s="5"/>
      <c r="Q21" s="420">
        <v>-0.955499786354193472357622200</v>
      </c>
      <c r="R21" s="91">
        <v>6.8311949132327030743974423200</v>
      </c>
      <c r="S21" s="498">
        <v>3.5413302828551680789275257100</v>
      </c>
      <c r="T21" s="420">
        <v>-81.56101533859777123628393613</v>
      </c>
      <c r="U21" s="91">
        <v>24.349616191635682826289938410</v>
      </c>
      <c r="V21" s="498">
        <v>6.3545522030332615822788855800</v>
      </c>
      <c r="W21" s="420">
        <v>22.523087255817223982572625950</v>
      </c>
      <c r="X21" s="91">
        <v>15.745997752043266640002163100</v>
      </c>
      <c r="Y21" s="498">
        <v>-16.63142903646101476969206500</v>
      </c>
      <c r="Z21" s="420">
        <v>-1.6961091110816918031132048800</v>
      </c>
      <c r="AA21" s="91">
        <v>11.036242314148058063459437500</v>
      </c>
      <c r="AB21" s="498">
        <v>2.6562657683833622178038306900</v>
      </c>
      <c r="AC21" s="5"/>
      <c r="AD21" s="420" t="s">
        <v>226</v>
      </c>
      <c r="AE21" s="91" t="s">
        <v>295</v>
      </c>
      <c r="AF21" s="91" t="s">
        <v>296</v>
      </c>
      <c r="AG21" s="421" t="s">
        <v>295</v>
      </c>
    </row>
    <row r="22" ht="20.1" customHeight="1">
      <c r="A22" s="58"/>
      <c r="B22" s="286"/>
      <c r="C22" s="287" t="s">
        <v>220</v>
      </c>
      <c r="D22" s="276">
        <v>316.26190476190476190476190476</v>
      </c>
      <c r="E22" s="94">
        <v>392.52174107142857142857142857</v>
      </c>
      <c r="F22" s="277">
        <v>277.43088011129034645040031966</v>
      </c>
      <c r="G22" s="276">
        <v>1.5083874458874458874458874459</v>
      </c>
      <c r="H22" s="94">
        <v>114.33356958604082110829405112</v>
      </c>
      <c r="I22" s="277">
        <v>84.75570150824422916783278167</v>
      </c>
      <c r="J22" s="276">
        <v>25.331709956709956709956709957</v>
      </c>
      <c r="K22" s="94">
        <v>40.495260434353978499089967344</v>
      </c>
      <c r="L22" s="277">
        <v>28.860215412565880893808093347</v>
      </c>
      <c r="M22" s="276">
        <v>343.10200216450216450216450216</v>
      </c>
      <c r="N22" s="94">
        <v>547.35057109182337103595544704</v>
      </c>
      <c r="O22" s="277">
        <v>391.04679703210045651204119467</v>
      </c>
      <c r="P22" s="5"/>
      <c r="Q22" s="271">
        <v>-3.0546540848195071602992651500</v>
      </c>
      <c r="R22" s="92">
        <v>19.916230207088210148380403580</v>
      </c>
      <c r="S22" s="272">
        <v>3.3974582557144172507059322500</v>
      </c>
      <c r="T22" s="271">
        <v>1.6389217182546726691483394100</v>
      </c>
      <c r="U22" s="92">
        <v>49.070042366884632172288341130</v>
      </c>
      <c r="V22" s="272">
        <v>19.868477402364382249270225670</v>
      </c>
      <c r="W22" s="271">
        <v>-5.2390910726300953341769190400</v>
      </c>
      <c r="X22" s="92">
        <v>77.742184793447349704431285650</v>
      </c>
      <c r="Y22" s="272">
        <v>0.9617957403536367112510888600</v>
      </c>
      <c r="Z22" s="271">
        <v>-3.1997529286963974416287640800</v>
      </c>
      <c r="AA22" s="92">
        <v>28.241912989599947507955885830</v>
      </c>
      <c r="AB22" s="272">
        <v>6.3761686107910526088392279400</v>
      </c>
      <c r="AC22" s="5"/>
      <c r="AD22" s="271" t="s">
        <v>226</v>
      </c>
      <c r="AE22" s="92" t="s">
        <v>295</v>
      </c>
      <c r="AF22" s="92" t="s">
        <v>296</v>
      </c>
      <c r="AG22" s="272" t="s">
        <v>295</v>
      </c>
    </row>
    <row r="23" ht="20.1" customHeight="1">
      <c r="A23" s="58"/>
      <c r="B23" s="288"/>
      <c r="C23" s="289" t="s">
        <v>221</v>
      </c>
      <c r="D23" s="439">
        <v>271.2277614858260019550342131</v>
      </c>
      <c r="E23" s="95">
        <v>332.61574174793698424606151538</v>
      </c>
      <c r="F23" s="442">
        <v>242.45403568337438135562068286</v>
      </c>
      <c r="G23" s="439">
        <v>1.2888563049853372434017595308</v>
      </c>
      <c r="H23" s="95">
        <v>87.62190547636909227306826707</v>
      </c>
      <c r="I23" s="442">
        <v>61.937786144967007751273778661</v>
      </c>
      <c r="J23" s="439">
        <v>27.584555229716520039100684262</v>
      </c>
      <c r="K23" s="95">
        <v>32.221117779444861215303825956</v>
      </c>
      <c r="L23" s="442">
        <v>19.619954727736001129922786988</v>
      </c>
      <c r="M23" s="439">
        <v>300.10117302052785923753665689</v>
      </c>
      <c r="N23" s="95">
        <v>452.4587650037509377344336084</v>
      </c>
      <c r="O23" s="442">
        <v>324.01177655607739023681724852</v>
      </c>
      <c r="P23" s="5"/>
      <c r="Q23" s="420">
        <v>-6.2804045467081948954270206200</v>
      </c>
      <c r="R23" s="91">
        <v>8.912009231252380458668770860</v>
      </c>
      <c r="S23" s="498">
        <v>0.7115054141119959665808963300</v>
      </c>
      <c r="T23" s="420">
        <v>-28.497830803514263002232871380</v>
      </c>
      <c r="U23" s="91">
        <v>30.795646074755267430373760390</v>
      </c>
      <c r="V23" s="498">
        <v>6.8615696881371689551840102900</v>
      </c>
      <c r="W23" s="420">
        <v>8.411609904260920761074408770</v>
      </c>
      <c r="X23" s="91">
        <v>39.064012506113737115654748280</v>
      </c>
      <c r="Y23" s="498">
        <v>-32.005134106687167683279796080</v>
      </c>
      <c r="Z23" s="420">
        <v>-5.2263081977441367944725224500</v>
      </c>
      <c r="AA23" s="91">
        <v>14.384347379662213220896815920</v>
      </c>
      <c r="AB23" s="498">
        <v>-1.0823136180540378810093938800</v>
      </c>
      <c r="AC23" s="5"/>
      <c r="AD23" s="420" t="s">
        <v>226</v>
      </c>
      <c r="AE23" s="91" t="s">
        <v>226</v>
      </c>
      <c r="AF23" s="91" t="s">
        <v>227</v>
      </c>
      <c r="AG23" s="421" t="s">
        <v>226</v>
      </c>
    </row>
    <row r="24" ht="20.1" customHeight="1">
      <c r="A24" s="59"/>
      <c r="B24" s="286"/>
      <c r="C24" s="287" t="s">
        <v>223</v>
      </c>
      <c r="D24" s="276">
        <v>247.98737373737373737373737374</v>
      </c>
      <c r="E24" s="94">
        <v>305.98757364341085271317829457</v>
      </c>
      <c r="F24" s="277">
        <v>209.69726860975694084292777374</v>
      </c>
      <c r="G24" s="276">
        <v>1.3398989898989898989898989899</v>
      </c>
      <c r="H24" s="94">
        <v>77.623158914728682170542635659</v>
      </c>
      <c r="I24" s="277">
        <v>67.630283120023616816741594662</v>
      </c>
      <c r="J24" s="276">
        <v>37.251010101010101010101010101</v>
      </c>
      <c r="K24" s="94">
        <v>27.853391472868217054263565891</v>
      </c>
      <c r="L24" s="277">
        <v>20.409439410253858549337153636</v>
      </c>
      <c r="M24" s="276">
        <v>286.57828282828282828282828283</v>
      </c>
      <c r="N24" s="94">
        <v>411.46412403100775193798449612</v>
      </c>
      <c r="O24" s="277">
        <v>297.73699114003441620900652204</v>
      </c>
      <c r="P24" s="93"/>
      <c r="Q24" s="271">
        <v>2.9179814858149940578076020500</v>
      </c>
      <c r="R24" s="92">
        <v>19.559675091586949820426924120</v>
      </c>
      <c r="S24" s="272">
        <v>4.8824711232981229439887483500</v>
      </c>
      <c r="T24" s="271">
        <v>-10.265516659303379469056343090</v>
      </c>
      <c r="U24" s="92">
        <v>24.016465767956696622027311130</v>
      </c>
      <c r="V24" s="272">
        <v>18.177691977861221832154196810</v>
      </c>
      <c r="W24" s="271">
        <v>29.118488887898375660534413200</v>
      </c>
      <c r="X24" s="92">
        <v>24.189361175600556616787167060</v>
      </c>
      <c r="Y24" s="272">
        <v>-6.8558562572920176195210968800</v>
      </c>
      <c r="Z24" s="271">
        <v>5.6316069203151856356475321800</v>
      </c>
      <c r="AA24" s="92">
        <v>20.682399016806032014307624940</v>
      </c>
      <c r="AB24" s="272">
        <v>6.6871756234312353073545103500</v>
      </c>
      <c r="AC24" s="93"/>
      <c r="AD24" s="271" t="s">
        <v>226</v>
      </c>
      <c r="AE24" s="92" t="s">
        <v>226</v>
      </c>
      <c r="AF24" s="92" t="s">
        <v>227</v>
      </c>
      <c r="AG24" s="272" t="s">
        <v>226</v>
      </c>
    </row>
    <row r="25" ht="20.1" customHeight="1">
      <c r="A25" s="60"/>
      <c r="B25" s="288"/>
      <c r="C25" s="289" t="s">
        <v>224</v>
      </c>
      <c r="D25" s="439">
        <v>180.84017595307917888563049853</v>
      </c>
      <c r="E25" s="95">
        <v>212.30630063765941485371342836</v>
      </c>
      <c r="F25" s="442">
        <v>156.95243211858100554930808838</v>
      </c>
      <c r="G25" s="439">
        <v>1.2675953079178885630498533724</v>
      </c>
      <c r="H25" s="95">
        <v>68.799425135288765055830267433</v>
      </c>
      <c r="I25" s="442">
        <v>56.737856201073101720933626978</v>
      </c>
      <c r="J25" s="439">
        <v>25.377321603128054740957966764</v>
      </c>
      <c r="K25" s="95">
        <v>24.4502901619624198994536868</v>
      </c>
      <c r="L25" s="442">
        <v>20.856781390166254871788031971</v>
      </c>
      <c r="M25" s="439">
        <v>207.48509286412512218963831867</v>
      </c>
      <c r="N25" s="95">
        <v>305.55601593491059980899738259</v>
      </c>
      <c r="O25" s="442">
        <v>234.54706970982036214202974732</v>
      </c>
      <c r="P25" s="93"/>
      <c r="Q25" s="420">
        <v>-4.7649812167838871871079262500</v>
      </c>
      <c r="R25" s="91">
        <v>7.7638894335122368214428495700</v>
      </c>
      <c r="S25" s="498">
        <v>-4.7896765009142554324259728800</v>
      </c>
      <c r="T25" s="420">
        <v>-9.460638857837422799229764200</v>
      </c>
      <c r="U25" s="91">
        <v>19.551370261555356098355209600</v>
      </c>
      <c r="V25" s="498">
        <v>29.966770729852910760129613240</v>
      </c>
      <c r="W25" s="420">
        <v>-6.9548232174337650783481129800</v>
      </c>
      <c r="X25" s="91">
        <v>17.783669312290414483410649200</v>
      </c>
      <c r="Y25" s="498">
        <v>-21.427254385468129013289448610</v>
      </c>
      <c r="Z25" s="420">
        <v>-5.0683283427805837896480760500</v>
      </c>
      <c r="AA25" s="91">
        <v>10.983240809423190016893217590</v>
      </c>
      <c r="AB25" s="498">
        <v>-0.2132614093556229845755433100</v>
      </c>
      <c r="AC25" s="93"/>
      <c r="AD25" s="420" t="s">
        <v>226</v>
      </c>
      <c r="AE25" s="91" t="s">
        <v>295</v>
      </c>
      <c r="AF25" s="91" t="s">
        <v>296</v>
      </c>
      <c r="AG25" s="421" t="s">
        <v>295</v>
      </c>
    </row>
    <row r="26" ht="20.1" customHeight="1">
      <c r="A26" s="60"/>
      <c r="B26" s="290"/>
      <c r="C26" s="291" t="s">
        <v>225</v>
      </c>
      <c r="D26" s="443">
        <v>141.75555555555555555555555556</v>
      </c>
      <c r="E26" s="444">
        <v>157.71570736434108527131782946</v>
      </c>
      <c r="F26" s="445">
        <v>134.99054209919261822376009227</v>
      </c>
      <c r="G26" s="443">
        <v>1.6416666666666666666666666667</v>
      </c>
      <c r="H26" s="444">
        <v>50.547634190385267466191765168</v>
      </c>
      <c r="I26" s="445">
        <v>50.206571838862030639989027772</v>
      </c>
      <c r="J26" s="443">
        <v>27.980050505050505050505050505</v>
      </c>
      <c r="K26" s="444">
        <v>24.929548687907658345001477437</v>
      </c>
      <c r="L26" s="445">
        <v>16.659912199681261394318938244</v>
      </c>
      <c r="M26" s="443">
        <v>171.37727272727272727272727273</v>
      </c>
      <c r="N26" s="444">
        <v>233.19289024263401108251107205</v>
      </c>
      <c r="O26" s="445">
        <v>201.85702613773591025806805829</v>
      </c>
      <c r="P26" s="453"/>
      <c r="Q26" s="273">
        <v>5.7197903503226135601375834500</v>
      </c>
      <c r="R26" s="274">
        <v>3.5569887283516909031625226100</v>
      </c>
      <c r="S26" s="275">
        <v>4.5645230948590274594695957300</v>
      </c>
      <c r="T26" s="273">
        <v>19.856194690000318153340707260</v>
      </c>
      <c r="U26" s="274">
        <v>9.730598650950794630096464210</v>
      </c>
      <c r="V26" s="275">
        <v>16.464788874881115354693733600</v>
      </c>
      <c r="W26" s="273">
        <v>17.524581296080386439240562620</v>
      </c>
      <c r="X26" s="274">
        <v>-3.1443040151794108548437942100</v>
      </c>
      <c r="Y26" s="275">
        <v>-31.456827007592377185572337130</v>
      </c>
      <c r="Z26" s="273">
        <v>7.6060277413340044586429211700</v>
      </c>
      <c r="AA26" s="274">
        <v>4.0563362385587631452056840700</v>
      </c>
      <c r="AB26" s="275">
        <v>2.7197602162924080682809876900</v>
      </c>
      <c r="AC26" s="453"/>
      <c r="AD26" s="273" t="s">
        <v>226</v>
      </c>
      <c r="AE26" s="274" t="s">
        <v>295</v>
      </c>
      <c r="AF26" s="274" t="s">
        <v>296</v>
      </c>
      <c r="AG26" s="275" t="s">
        <v>295</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847" t="s">
        <v>58</v>
      </c>
      <c r="C28" s="847"/>
      <c r="D28" s="847"/>
      <c r="E28" s="847"/>
      <c r="F28" s="847"/>
      <c r="G28" s="847"/>
      <c r="H28" s="847"/>
      <c r="I28" s="847"/>
      <c r="J28" s="847"/>
      <c r="K28" s="847"/>
      <c r="L28" s="847"/>
      <c r="M28" s="847"/>
      <c r="N28" s="847"/>
      <c r="O28" s="973"/>
      <c r="P28" s="501"/>
      <c r="Q28" s="836"/>
      <c r="R28" s="836"/>
      <c r="S28" s="836"/>
      <c r="T28" s="836"/>
      <c r="U28" s="836"/>
      <c r="V28" s="836"/>
      <c r="W28" s="836"/>
      <c r="X28" s="836"/>
      <c r="Y28" s="836"/>
      <c r="Z28" s="836"/>
      <c r="AA28" s="836"/>
      <c r="AB28" s="971"/>
      <c r="AC28" s="501"/>
      <c r="AD28" s="836"/>
      <c r="AE28" s="836"/>
      <c r="AF28" s="836"/>
      <c r="AG28" s="971"/>
      <c r="AH28" s="9"/>
    </row>
    <row r="29" ht="20.1" customHeight="1">
      <c r="A29" s="58"/>
      <c r="B29" s="284">
        <v>2023</v>
      </c>
      <c r="C29" s="285"/>
      <c r="D29" s="454">
        <v>244.42662816005357441821530219</v>
      </c>
      <c r="E29" s="455">
        <v>251.80391458936698386429458006</v>
      </c>
      <c r="F29" s="436">
        <v>197.73457925627520506365817829</v>
      </c>
      <c r="G29" s="454">
        <v>53.725305541603884145320609409</v>
      </c>
      <c r="H29" s="455">
        <v>68.87961665625159156573365833</v>
      </c>
      <c r="I29" s="436">
        <v>58.046864696414582517054831522</v>
      </c>
      <c r="J29" s="454">
        <v>22.530972710530721580445337351</v>
      </c>
      <c r="K29" s="455">
        <v>20.755934437674869398537824498</v>
      </c>
      <c r="L29" s="436">
        <v>24.551650781562294070633091523</v>
      </c>
      <c r="M29" s="454">
        <v>320.68290641218818014398124895</v>
      </c>
      <c r="N29" s="455">
        <v>341.43946568329344482856606289</v>
      </c>
      <c r="O29" s="436">
        <v>280.33309473425208165134610133</v>
      </c>
      <c r="P29" s="5"/>
      <c r="Q29" s="427">
        <v>-12.776239122684775657125947130</v>
      </c>
      <c r="R29" s="428">
        <v>-0.5371458850430294555282571400</v>
      </c>
      <c r="S29" s="417">
        <v>-2.1718593148999697355030003900</v>
      </c>
      <c r="T29" s="427">
        <v>-12.599606849545548202481945480</v>
      </c>
      <c r="U29" s="428">
        <v>10.064471372339649142652757940</v>
      </c>
      <c r="V29" s="417">
        <v>22.093200599417466665018604900</v>
      </c>
      <c r="W29" s="427">
        <v>10.602931960595454375092465920</v>
      </c>
      <c r="X29" s="428">
        <v>18.086590672891845865249991220</v>
      </c>
      <c r="Y29" s="417">
        <v>16.707331015625674332096978440</v>
      </c>
      <c r="Z29" s="427">
        <v>-11.430878454034193191449744430</v>
      </c>
      <c r="AA29" s="428">
        <v>2.4353826249161116679469383600</v>
      </c>
      <c r="AB29" s="417">
        <v>3.5568827856073935013026960400</v>
      </c>
      <c r="AC29" s="5"/>
      <c r="AD29" s="427" t="s">
        <v>219</v>
      </c>
      <c r="AE29" s="428" t="s">
        <v>226</v>
      </c>
      <c r="AF29" s="428" t="s">
        <v>226</v>
      </c>
      <c r="AG29" s="429" t="s">
        <v>226</v>
      </c>
    </row>
    <row r="30" ht="20.1" customHeight="1">
      <c r="A30" s="58"/>
      <c r="B30" s="286">
        <v>2024</v>
      </c>
      <c r="C30" s="287"/>
      <c r="D30" s="276">
        <v>239.17690642690642690642690643</v>
      </c>
      <c r="E30" s="94">
        <v>254.28595060824774702841049613</v>
      </c>
      <c r="F30" s="277">
        <v>201.54521650561380871694162631</v>
      </c>
      <c r="G30" s="276">
        <v>2.7871295371295371295371295371</v>
      </c>
      <c r="H30" s="94">
        <v>65.200282463505363985921808966</v>
      </c>
      <c r="I30" s="277">
        <v>55.618708230491307371495774743</v>
      </c>
      <c r="J30" s="276">
        <v>25.637529137529137529137529138</v>
      </c>
      <c r="K30" s="94">
        <v>22.873783609900466398238867222</v>
      </c>
      <c r="L30" s="277">
        <v>25.289430051772780964200289479</v>
      </c>
      <c r="M30" s="276">
        <v>267.6015651015651015651015651</v>
      </c>
      <c r="N30" s="94">
        <v>342.36001668165357741257117232</v>
      </c>
      <c r="O30" s="277">
        <v>282.45335478787789705263769054</v>
      </c>
      <c r="P30" s="5"/>
      <c r="Q30" s="271">
        <v>-2.1477699760907364650351534100</v>
      </c>
      <c r="R30" s="92">
        <v>0.9857019192473791000589624300</v>
      </c>
      <c r="S30" s="272">
        <v>1.9271476256940013270455345600</v>
      </c>
      <c r="T30" s="271">
        <v>-94.81225930865774788020748871</v>
      </c>
      <c r="U30" s="92">
        <v>-5.3416879643131836046977483700</v>
      </c>
      <c r="V30" s="272">
        <v>-4.1830966730220040785993001300</v>
      </c>
      <c r="W30" s="271">
        <v>13.787937462555285487382549450</v>
      </c>
      <c r="X30" s="92">
        <v>10.203583840358038954025054810</v>
      </c>
      <c r="Y30" s="272">
        <v>3.0050088148276472966476721900</v>
      </c>
      <c r="Z30" s="271">
        <v>-16.552594556569567718935002030</v>
      </c>
      <c r="AA30" s="92">
        <v>0.2696088445755209280176905800</v>
      </c>
      <c r="AB30" s="272">
        <v>0.7563359779506168353231642100</v>
      </c>
      <c r="AC30" s="5"/>
      <c r="AD30" s="271" t="s">
        <v>219</v>
      </c>
      <c r="AE30" s="92" t="s">
        <v>236</v>
      </c>
      <c r="AF30" s="92" t="s">
        <v>236</v>
      </c>
      <c r="AG30" s="272" t="s">
        <v>219</v>
      </c>
    </row>
    <row r="31" ht="20.1" customHeight="1">
      <c r="A31" s="58"/>
      <c r="B31" s="425">
        <v>2025</v>
      </c>
      <c r="C31" s="426"/>
      <c r="D31" s="457">
        <v>234.5080780177465260338188515</v>
      </c>
      <c r="E31" s="458">
        <v>281.02598018116407554927405885</v>
      </c>
      <c r="F31" s="499">
        <v>206.4869497851555750112318131</v>
      </c>
      <c r="G31" s="457">
        <v>1.4496484178804620793571069814</v>
      </c>
      <c r="H31" s="458">
        <v>82.4193385834423375260291502</v>
      </c>
      <c r="I31" s="499">
        <v>64.460204072999949865340928877</v>
      </c>
      <c r="J31" s="457">
        <v>28.38259668508287292817679558</v>
      </c>
      <c r="K31" s="458">
        <v>29.264683521037219684033861593</v>
      </c>
      <c r="L31" s="499">
        <v>20.667235776709846492114185557</v>
      </c>
      <c r="M31" s="457">
        <v>264.34032312070986104135275406</v>
      </c>
      <c r="N31" s="458">
        <v>392.71000228564363275933707063</v>
      </c>
      <c r="O31" s="499">
        <v>291.61438963486537136868692753</v>
      </c>
      <c r="P31" s="453"/>
      <c r="Q31" s="430">
        <v>-1.9520398013762315556109819400</v>
      </c>
      <c r="R31" s="431">
        <v>10.515732194015199166636464780</v>
      </c>
      <c r="S31" s="500">
        <v>2.451922881244997114521987800</v>
      </c>
      <c r="T31" s="430">
        <v>-47.987763088011440264639611490</v>
      </c>
      <c r="U31" s="431">
        <v>26.409480863187667999893480550</v>
      </c>
      <c r="V31" s="500">
        <v>15.896622060796946263483804300</v>
      </c>
      <c r="W31" s="430">
        <v>10.707223511518760641240034090</v>
      </c>
      <c r="X31" s="431">
        <v>27.939845983203123997801362070</v>
      </c>
      <c r="Y31" s="500">
        <v>-18.277178511427798249965360820</v>
      </c>
      <c r="Z31" s="430">
        <v>-1.2186931640896594546942025300</v>
      </c>
      <c r="AA31" s="431">
        <v>14.706736520215552829343145900</v>
      </c>
      <c r="AB31" s="500">
        <v>3.2433797268382879606124474200</v>
      </c>
      <c r="AC31" s="453"/>
      <c r="AD31" s="430" t="s">
        <v>226</v>
      </c>
      <c r="AE31" s="431" t="s">
        <v>295</v>
      </c>
      <c r="AF31" s="431" t="s">
        <v>296</v>
      </c>
      <c r="AG31" s="432" t="s">
        <v>295</v>
      </c>
    </row>
    <row r="32" ht="21" customHeight="1"/>
    <row r="33" ht="24.95" customHeight="1">
      <c r="A33" s="112"/>
      <c r="B33" s="842" t="s">
        <v>44</v>
      </c>
      <c r="C33" s="842"/>
      <c r="D33" s="842"/>
      <c r="E33" s="842"/>
      <c r="F33" s="842"/>
      <c r="G33" s="842"/>
      <c r="H33" s="842"/>
      <c r="I33" s="842"/>
      <c r="J33" s="842"/>
      <c r="K33" s="842"/>
      <c r="L33" s="842"/>
      <c r="M33" s="842"/>
      <c r="N33" s="842"/>
      <c r="O33" s="972"/>
      <c r="P33" s="501"/>
      <c r="Q33" s="836"/>
      <c r="R33" s="836"/>
      <c r="S33" s="836"/>
      <c r="T33" s="836"/>
      <c r="U33" s="836"/>
      <c r="V33" s="836"/>
      <c r="W33" s="836"/>
      <c r="X33" s="836"/>
      <c r="Y33" s="836"/>
      <c r="Z33" s="836"/>
      <c r="AA33" s="836"/>
      <c r="AB33" s="971"/>
      <c r="AC33" s="501"/>
      <c r="AD33" s="836"/>
      <c r="AE33" s="836"/>
      <c r="AF33" s="836"/>
      <c r="AG33" s="971"/>
      <c r="AH33" s="9"/>
    </row>
    <row r="34" ht="20.1" customHeight="1">
      <c r="A34" s="58"/>
      <c r="B34" s="284">
        <v>2023</v>
      </c>
      <c r="C34" s="285"/>
      <c r="D34" s="454">
        <v>197.29145854145854145854145854</v>
      </c>
      <c r="E34" s="455">
        <v>201.8373834357412092735064801</v>
      </c>
      <c r="F34" s="436">
        <v>160.8476334203912679249002119</v>
      </c>
      <c r="G34" s="454">
        <v>42.143689643689643689643689644</v>
      </c>
      <c r="H34" s="455">
        <v>55.652113890817307481749678427</v>
      </c>
      <c r="I34" s="436">
        <v>50.55892509369816499281592824</v>
      </c>
      <c r="J34" s="454">
        <v>21.019480519480519480519480519</v>
      </c>
      <c r="K34" s="455">
        <v>20.444004079843773269111046279</v>
      </c>
      <c r="L34" s="436">
        <v>24.780957906373490333333538139</v>
      </c>
      <c r="M34" s="454">
        <v>260.4546287046287046287046287</v>
      </c>
      <c r="N34" s="455">
        <v>277.93350140640229002436720481</v>
      </c>
      <c r="O34" s="436">
        <v>236.18751642046292325104967828</v>
      </c>
      <c r="P34" s="5"/>
      <c r="Q34" s="427">
        <v>-23.316730621577094592165362270</v>
      </c>
      <c r="R34" s="428">
        <v>-13.013204468518215559758236200</v>
      </c>
      <c r="S34" s="417">
        <v>-13.145240932564762320567209020</v>
      </c>
      <c r="T34" s="427">
        <v>-28.205833674866644406970378430</v>
      </c>
      <c r="U34" s="428">
        <v>-7.1408947727413299147684964200</v>
      </c>
      <c r="V34" s="417">
        <v>4.0875616606380261866376799900</v>
      </c>
      <c r="W34" s="427">
        <v>7.3207431680885808377296508600</v>
      </c>
      <c r="X34" s="428">
        <v>17.032888205156788083671228650</v>
      </c>
      <c r="Y34" s="417">
        <v>20.762056999109779478564246780</v>
      </c>
      <c r="Z34" s="427">
        <v>-22.383798890292959191448573200</v>
      </c>
      <c r="AA34" s="428">
        <v>-10.179627448031496570290913380</v>
      </c>
      <c r="AB34" s="417">
        <v>-7.1171690841076345956998137800</v>
      </c>
      <c r="AC34" s="5"/>
      <c r="AD34" s="427" t="s">
        <v>219</v>
      </c>
      <c r="AE34" s="428" t="s">
        <v>226</v>
      </c>
      <c r="AF34" s="428" t="s">
        <v>227</v>
      </c>
      <c r="AG34" s="429" t="s">
        <v>226</v>
      </c>
    </row>
    <row r="35" ht="20.1" customHeight="1">
      <c r="A35" s="58"/>
      <c r="B35" s="286">
        <v>2024</v>
      </c>
      <c r="C35" s="287"/>
      <c r="D35" s="276">
        <v>188.32758907758907758907758908</v>
      </c>
      <c r="E35" s="94">
        <v>204.79153153655341564703587056</v>
      </c>
      <c r="F35" s="277">
        <v>164.71290853295683931717676161</v>
      </c>
      <c r="G35" s="276">
        <v>1.4207459207459207459207459207</v>
      </c>
      <c r="H35" s="94">
        <v>56.011956854984810056021628251</v>
      </c>
      <c r="I35" s="277">
        <v>47.961003955310753665588629188</v>
      </c>
      <c r="J35" s="276">
        <v>26.651015651015651015651015651</v>
      </c>
      <c r="K35" s="94">
        <v>22.776024972825329579977145405</v>
      </c>
      <c r="L35" s="277">
        <v>24.279089580698384278038276644</v>
      </c>
      <c r="M35" s="276">
        <v>216.39935064935064935064935065</v>
      </c>
      <c r="N35" s="94">
        <v>283.57951336436355528303464422</v>
      </c>
      <c r="O35" s="277">
        <v>236.95300206896597726080366743</v>
      </c>
      <c r="P35" s="5"/>
      <c r="Q35" s="271">
        <v>-4.5434655560749398611959224200</v>
      </c>
      <c r="R35" s="92">
        <v>1.4636278228381455099078799400</v>
      </c>
      <c r="S35" s="272">
        <v>2.4030662002059731967027766500</v>
      </c>
      <c r="T35" s="271">
        <v>-96.62880508859692111618627609</v>
      </c>
      <c r="U35" s="92">
        <v>0.6465935236366585891649316900</v>
      </c>
      <c r="V35" s="272">
        <v>-5.1384026333126407790462839200</v>
      </c>
      <c r="W35" s="271">
        <v>26.791980545338476891995559340</v>
      </c>
      <c r="X35" s="92">
        <v>11.406869632400030900609884180</v>
      </c>
      <c r="Y35" s="272">
        <v>-2.0252176190977742403551954900</v>
      </c>
      <c r="Z35" s="271">
        <v>-16.914761037023286982055304190</v>
      </c>
      <c r="AA35" s="92">
        <v>2.0314254774590279214455528100</v>
      </c>
      <c r="AB35" s="272">
        <v>0.3241008077256434520092656900</v>
      </c>
      <c r="AC35" s="5"/>
      <c r="AD35" s="271" t="s">
        <v>219</v>
      </c>
      <c r="AE35" s="92" t="s">
        <v>236</v>
      </c>
      <c r="AF35" s="92" t="s">
        <v>236</v>
      </c>
      <c r="AG35" s="272" t="s">
        <v>219</v>
      </c>
    </row>
    <row r="36" ht="20.1" customHeight="1">
      <c r="A36" s="58"/>
      <c r="B36" s="425">
        <v>2025</v>
      </c>
      <c r="C36" s="426"/>
      <c r="D36" s="457">
        <v>190.09157509157509157509157509</v>
      </c>
      <c r="E36" s="458">
        <v>225.19333791208791208791208791</v>
      </c>
      <c r="F36" s="499">
        <v>167.52819713117261328313020072</v>
      </c>
      <c r="G36" s="457">
        <v>1.4147519147519147519147519148</v>
      </c>
      <c r="H36" s="458">
        <v>65.691274421399672591568904562</v>
      </c>
      <c r="I36" s="499">
        <v>58.282707287665677121394722693</v>
      </c>
      <c r="J36" s="457">
        <v>30.1497668997668997668997669</v>
      </c>
      <c r="K36" s="458">
        <v>25.730189009275948119351819678</v>
      </c>
      <c r="L36" s="499">
        <v>19.363425830490721882429849967</v>
      </c>
      <c r="M36" s="457">
        <v>221.65609390609390609390609391</v>
      </c>
      <c r="N36" s="458">
        <v>316.61480134276353279883281213</v>
      </c>
      <c r="O36" s="499">
        <v>245.17433024932901228695477338</v>
      </c>
      <c r="P36" s="453"/>
      <c r="Q36" s="430">
        <v>0.9366583104551106031407906300</v>
      </c>
      <c r="R36" s="431">
        <v>9.962231456744457899980896580</v>
      </c>
      <c r="S36" s="500">
        <v>1.709209450095147924972013900</v>
      </c>
      <c r="T36" s="430">
        <v>-0.4218914769174215011524463600</v>
      </c>
      <c r="U36" s="431">
        <v>17.280805938376409883723039520</v>
      </c>
      <c r="V36" s="500">
        <v>21.521032674765479736443574320</v>
      </c>
      <c r="W36" s="430">
        <v>13.128022190912711219659051860</v>
      </c>
      <c r="X36" s="431">
        <v>12.970498759129056900117220430</v>
      </c>
      <c r="Y36" s="500">
        <v>-20.246491261010260166201331720</v>
      </c>
      <c r="Z36" s="430">
        <v>2.4291862433592201776628802600</v>
      </c>
      <c r="AA36" s="431">
        <v>11.649391589128354927405876030</v>
      </c>
      <c r="AB36" s="500">
        <v>3.4696028784370439420865463700</v>
      </c>
      <c r="AC36" s="453"/>
      <c r="AD36" s="430" t="s">
        <v>226</v>
      </c>
      <c r="AE36" s="431" t="s">
        <v>295</v>
      </c>
      <c r="AF36" s="431" t="s">
        <v>296</v>
      </c>
      <c r="AG36" s="432" t="s">
        <v>295</v>
      </c>
    </row>
    <row r="37" ht="21" customHeight="1"/>
    <row r="38" ht="24.95" customHeight="1">
      <c r="A38" s="112"/>
      <c r="B38" s="842" t="s">
        <v>45</v>
      </c>
      <c r="C38" s="842"/>
      <c r="D38" s="842"/>
      <c r="E38" s="842"/>
      <c r="F38" s="842"/>
      <c r="G38" s="842"/>
      <c r="H38" s="842"/>
      <c r="I38" s="842"/>
      <c r="J38" s="842"/>
      <c r="K38" s="842"/>
      <c r="L38" s="842"/>
      <c r="M38" s="842"/>
      <c r="N38" s="842"/>
      <c r="O38" s="972"/>
      <c r="P38" s="501"/>
      <c r="Q38" s="836"/>
      <c r="R38" s="836"/>
      <c r="S38" s="836"/>
      <c r="T38" s="836"/>
      <c r="U38" s="836"/>
      <c r="V38" s="836"/>
      <c r="W38" s="836"/>
      <c r="X38" s="836"/>
      <c r="Y38" s="836"/>
      <c r="Z38" s="836"/>
      <c r="AA38" s="836"/>
      <c r="AB38" s="971"/>
      <c r="AC38" s="501"/>
      <c r="AD38" s="836"/>
      <c r="AE38" s="836"/>
      <c r="AF38" s="836"/>
      <c r="AG38" s="971"/>
      <c r="AH38" s="9"/>
    </row>
    <row r="39" ht="20.1" customHeight="1">
      <c r="A39" s="58"/>
      <c r="B39" s="284">
        <v>2023</v>
      </c>
      <c r="C39" s="285"/>
      <c r="D39" s="454">
        <v>216.58615608136156081361560814</v>
      </c>
      <c r="E39" s="455">
        <v>215.53754680029952191694026842</v>
      </c>
      <c r="F39" s="436">
        <v>171.70381949427200310729350495</v>
      </c>
      <c r="G39" s="454">
        <v>47.226982150269821502698215027</v>
      </c>
      <c r="H39" s="455">
        <v>62.55366260348755431455419899</v>
      </c>
      <c r="I39" s="436">
        <v>100.53355712029327359120836251</v>
      </c>
      <c r="J39" s="454">
        <v>21.448401826484018264840182648</v>
      </c>
      <c r="K39" s="455">
        <v>18.652224615063941270754419295</v>
      </c>
      <c r="L39" s="436">
        <v>22.669418209017637555189596604</v>
      </c>
      <c r="M39" s="454">
        <v>285.26154005811540058115400581</v>
      </c>
      <c r="N39" s="455">
        <v>296.7434340188510175022488867</v>
      </c>
      <c r="O39" s="436">
        <v>294.90679482358291425369146407</v>
      </c>
      <c r="P39" s="5"/>
      <c r="Q39" s="427">
        <v>-7.1300510409279076674125020700</v>
      </c>
      <c r="R39" s="428">
        <v>1.7461322099274564199837280800</v>
      </c>
      <c r="S39" s="417">
        <v>3.0219323416607280103926329400</v>
      </c>
      <c r="T39" s="427">
        <v>-0.691156548183403891499155500</v>
      </c>
      <c r="U39" s="428">
        <v>7.1800902660598928858747670900</v>
      </c>
      <c r="V39" s="417">
        <v>161.52395422585555594434908663</v>
      </c>
      <c r="W39" s="427">
        <v>11.633675131871226203805742550</v>
      </c>
      <c r="X39" s="428">
        <v>-3.233371281146235071509079900</v>
      </c>
      <c r="Y39" s="417">
        <v>21.893659438371165459765541280</v>
      </c>
      <c r="Z39" s="427">
        <v>-4.9075370660101900987392624900</v>
      </c>
      <c r="AA39" s="428">
        <v>2.5101321913934729462953079300</v>
      </c>
      <c r="AB39" s="417">
        <v>31.827617760260333729521111790</v>
      </c>
      <c r="AC39" s="5"/>
      <c r="AD39" s="427" t="s">
        <v>219</v>
      </c>
      <c r="AE39" s="428" t="s">
        <v>295</v>
      </c>
      <c r="AF39" s="428" t="s">
        <v>295</v>
      </c>
      <c r="AG39" s="429" t="s">
        <v>295</v>
      </c>
    </row>
    <row r="40" ht="20.1" customHeight="1">
      <c r="A40" s="58"/>
      <c r="B40" s="286">
        <v>2024</v>
      </c>
      <c r="C40" s="287"/>
      <c r="D40" s="276">
        <v>201.070955456201357840702103</v>
      </c>
      <c r="E40" s="94">
        <v>213.37292892259716669023910821</v>
      </c>
      <c r="F40" s="277">
        <v>170.88087089876182144048365433</v>
      </c>
      <c r="G40" s="276">
        <v>18.523161947342275211127670144</v>
      </c>
      <c r="H40" s="94">
        <v>53.744667838486725165754847637</v>
      </c>
      <c r="I40" s="277">
        <v>50.97879450007469546893722008</v>
      </c>
      <c r="J40" s="276">
        <v>22.733047690014903129657228018</v>
      </c>
      <c r="K40" s="94">
        <v>23.246921666977376526293033511</v>
      </c>
      <c r="L40" s="277">
        <v>23.526669335628606511128219071</v>
      </c>
      <c r="M40" s="276">
        <v>242.32716509355853618148700116</v>
      </c>
      <c r="N40" s="94">
        <v>290.36451842806126838228698935</v>
      </c>
      <c r="O40" s="277">
        <v>245.38633473446512342054909348</v>
      </c>
      <c r="P40" s="5"/>
      <c r="Q40" s="271">
        <v>-7.1635237015645329917690432400</v>
      </c>
      <c r="R40" s="92">
        <v>-1.0042880740905883065096758500</v>
      </c>
      <c r="S40" s="272">
        <v>-0.4792838027493603520410093200</v>
      </c>
      <c r="T40" s="271">
        <v>-60.778434056209093357670118620</v>
      </c>
      <c r="U40" s="92">
        <v>-14.082300537459487328938705990</v>
      </c>
      <c r="V40" s="272">
        <v>-49.291762909500271387924684130</v>
      </c>
      <c r="W40" s="271">
        <v>5.9894712618060579473041327600</v>
      </c>
      <c r="X40" s="92">
        <v>24.633506976737332300865047130</v>
      </c>
      <c r="Y40" s="272">
        <v>3.7815312185130040146422845100</v>
      </c>
      <c r="Z40" s="271">
        <v>-15.050881011087895673237595030</v>
      </c>
      <c r="AA40" s="92">
        <v>-2.1496400120625582756561303200</v>
      </c>
      <c r="AB40" s="272">
        <v>-16.791902037644060311955521040</v>
      </c>
      <c r="AC40" s="5"/>
      <c r="AD40" s="271" t="s">
        <v>219</v>
      </c>
      <c r="AE40" s="92" t="s">
        <v>219</v>
      </c>
      <c r="AF40" s="92" t="s">
        <v>219</v>
      </c>
      <c r="AG40" s="272" t="s">
        <v>219</v>
      </c>
    </row>
    <row r="41" ht="20.1" customHeight="1">
      <c r="A41" s="58"/>
      <c r="B41" s="425">
        <v>2025</v>
      </c>
      <c r="C41" s="426"/>
      <c r="D41" s="457">
        <v>194.13219178082191780821917808</v>
      </c>
      <c r="E41" s="458">
        <v>235.06920078050334501433577572</v>
      </c>
      <c r="F41" s="499">
        <v>174.64331595568642661568509546</v>
      </c>
      <c r="G41" s="457">
        <v>1.3459111664591116645911166459</v>
      </c>
      <c r="H41" s="458">
        <v>66.734853766555922847702028433</v>
      </c>
      <c r="I41" s="499">
        <v>55.441972292748483307293839161</v>
      </c>
      <c r="J41" s="457">
        <v>27.158136156081361560813615608</v>
      </c>
      <c r="K41" s="458">
        <v>24.810668178508019087574003374</v>
      </c>
      <c r="L41" s="499">
        <v>21.43055426398984161310231216</v>
      </c>
      <c r="M41" s="457">
        <v>222.63623910336239103362391034</v>
      </c>
      <c r="N41" s="458">
        <v>326.61472272556728694961180753</v>
      </c>
      <c r="O41" s="499">
        <v>251.51584251242475153608124677</v>
      </c>
      <c r="P41" s="453"/>
      <c r="Q41" s="430">
        <v>-3.4509030205954224526483721600</v>
      </c>
      <c r="R41" s="431">
        <v>10.168240164043285407262361110</v>
      </c>
      <c r="S41" s="500">
        <v>2.2017941722187513416703451900</v>
      </c>
      <c r="T41" s="430">
        <v>-92.73390164007448890058910571</v>
      </c>
      <c r="U41" s="431">
        <v>24.170185528154667316340694760</v>
      </c>
      <c r="V41" s="500">
        <v>8.754969269898542496966931260</v>
      </c>
      <c r="W41" s="430">
        <v>19.465443113586155331791395230</v>
      </c>
      <c r="X41" s="431">
        <v>6.7266820695998824246135116200</v>
      </c>
      <c r="Y41" s="500">
        <v>-8.909527488612111366532347160</v>
      </c>
      <c r="Z41" s="430">
        <v>-8.125760883073879389386220300</v>
      </c>
      <c r="AA41" s="431">
        <v>12.484378082318468532441847370</v>
      </c>
      <c r="AB41" s="500">
        <v>2.4979010280082135647215456300</v>
      </c>
      <c r="AC41" s="453"/>
      <c r="AD41" s="430" t="s">
        <v>226</v>
      </c>
      <c r="AE41" s="431" t="s">
        <v>295</v>
      </c>
      <c r="AF41" s="431" t="s">
        <v>296</v>
      </c>
      <c r="AG41" s="432" t="s">
        <v>295</v>
      </c>
    </row>
    <row r="42" ht="12.75" customHeight="1"/>
    <row r="43" ht="20.1" customHeight="1">
      <c r="B43" s="7" t="s">
        <v>104</v>
      </c>
    </row>
    <row r="44" ht="14.1" customHeight="1">
      <c r="B44" s="7"/>
      <c r="AW44" s="236"/>
    </row>
    <row r="45" ht="24" customHeight="1">
      <c r="B45" s="816" t="s">
        <v>126</v>
      </c>
      <c r="C45" s="816"/>
      <c r="D45" s="816"/>
      <c r="E45" s="816"/>
      <c r="F45" s="816"/>
      <c r="G45" s="816"/>
      <c r="H45" s="816"/>
      <c r="I45" s="816"/>
      <c r="J45" s="816"/>
      <c r="K45" s="816"/>
      <c r="L45" s="816"/>
      <c r="M45" s="816"/>
      <c r="N45" s="816"/>
      <c r="O45" s="816"/>
      <c r="P45" s="816"/>
      <c r="Q45" s="816"/>
      <c r="R45" s="816"/>
      <c r="S45" s="816"/>
      <c r="T45" s="816"/>
      <c r="U45" s="816"/>
      <c r="V45" s="816"/>
      <c r="W45" s="816"/>
      <c r="X45" s="816"/>
      <c r="Y45" s="816"/>
      <c r="Z45" s="816"/>
      <c r="AA45" s="816"/>
      <c r="AB45" s="816"/>
      <c r="AC45" s="816"/>
      <c r="AD45" s="816"/>
      <c r="AE45" s="816"/>
      <c r="AF45" s="816"/>
      <c r="AG45" s="816"/>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
      <c r="E1" s="6"/>
      <c r="AS1" s="236"/>
    </row>
    <row r="2" ht="15" customHeight="1">
      <c r="B2" s="0"/>
      <c r="C2" s="4" t="s">
        <v>208</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0"/>
    </row>
    <row r="3" ht="15" customHeight="1">
      <c r="B3" s="0"/>
      <c r="C3" s="4" t="s">
        <v>209</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0"/>
    </row>
    <row r="4" ht="15" customHeight="1">
      <c r="B4" s="0"/>
      <c r="C4" s="4" t="s">
        <v>241</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0"/>
    </row>
    <row r="5" ht="12.75" customHeight="1">
      <c r="C5" s="67"/>
      <c r="D5" s="67"/>
      <c r="E5" s="67"/>
    </row>
    <row r="6" ht="18" customHeight="1">
      <c r="B6" s="68"/>
      <c r="C6" s="68" t="s">
        <v>7</v>
      </c>
      <c r="D6" s="69"/>
      <c r="E6" s="69"/>
      <c r="F6" s="69"/>
      <c r="H6" s="987" t="s">
        <v>243</v>
      </c>
      <c r="I6" s="987"/>
      <c r="J6" s="987"/>
      <c r="K6" s="987"/>
      <c r="L6" s="987"/>
      <c r="M6" s="987"/>
      <c r="N6" s="987"/>
      <c r="O6" s="987"/>
      <c r="P6" s="987"/>
      <c r="Q6" s="987"/>
      <c r="R6" s="987"/>
      <c r="S6" s="987"/>
      <c r="T6" s="987"/>
      <c r="U6" s="987"/>
      <c r="Z6" s="987" t="s">
        <v>244</v>
      </c>
      <c r="AA6" s="987"/>
      <c r="AB6" s="987"/>
      <c r="AC6" s="987"/>
      <c r="AD6" s="987"/>
      <c r="AE6" s="987"/>
      <c r="AF6" s="987"/>
      <c r="AG6" s="987"/>
      <c r="AH6" s="987"/>
      <c r="AI6" s="987"/>
      <c r="AJ6" s="987"/>
      <c r="AK6" s="987"/>
      <c r="AL6" s="987"/>
      <c r="AM6" s="987"/>
    </row>
    <row r="7" ht="15" customHeight="1">
      <c r="D7" s="93" t="s">
        <v>246</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t="s">
        <v>248</v>
      </c>
      <c r="E8" s="71"/>
      <c r="F8" s="71"/>
      <c r="G8" s="71"/>
      <c r="H8" s="910">
        <v>1</v>
      </c>
      <c r="I8" s="910"/>
      <c r="J8" s="906">
        <v>2</v>
      </c>
      <c r="K8" s="906"/>
      <c r="L8" s="906">
        <v>3</v>
      </c>
      <c r="M8" s="906"/>
      <c r="N8" s="906">
        <v>4</v>
      </c>
      <c r="O8" s="906"/>
      <c r="P8" s="906">
        <v>5</v>
      </c>
      <c r="Q8" s="906"/>
      <c r="R8" s="906">
        <v>6</v>
      </c>
      <c r="S8" s="906"/>
      <c r="T8" s="906">
        <v>7</v>
      </c>
      <c r="U8" s="907"/>
      <c r="Z8" s="910"/>
      <c r="AA8" s="910"/>
      <c r="AB8" s="906"/>
      <c r="AC8" s="906"/>
      <c r="AD8" s="906"/>
      <c r="AE8" s="906"/>
      <c r="AF8" s="906"/>
      <c r="AG8" s="906"/>
      <c r="AH8" s="906"/>
      <c r="AI8" s="906"/>
      <c r="AJ8" s="906"/>
      <c r="AK8" s="906"/>
      <c r="AL8" s="906">
        <v>1</v>
      </c>
      <c r="AM8" s="907"/>
    </row>
    <row r="9" ht="15" customHeight="1">
      <c r="D9" s="175"/>
      <c r="H9" s="905">
        <v>8</v>
      </c>
      <c r="I9" s="905"/>
      <c r="J9" s="898">
        <v>9</v>
      </c>
      <c r="K9" s="898"/>
      <c r="L9" s="898">
        <v>10</v>
      </c>
      <c r="M9" s="898"/>
      <c r="N9" s="898">
        <v>11</v>
      </c>
      <c r="O9" s="898"/>
      <c r="P9" s="898">
        <v>12</v>
      </c>
      <c r="Q9" s="898"/>
      <c r="R9" s="898">
        <v>13</v>
      </c>
      <c r="S9" s="898"/>
      <c r="T9" s="898">
        <v>14</v>
      </c>
      <c r="U9" s="902"/>
      <c r="Z9" s="905">
        <v>2</v>
      </c>
      <c r="AA9" s="905"/>
      <c r="AB9" s="898">
        <v>3</v>
      </c>
      <c r="AC9" s="898"/>
      <c r="AD9" s="898">
        <v>4</v>
      </c>
      <c r="AE9" s="898"/>
      <c r="AF9" s="898">
        <v>5</v>
      </c>
      <c r="AG9" s="898"/>
      <c r="AH9" s="898">
        <v>6</v>
      </c>
      <c r="AI9" s="898"/>
      <c r="AJ9" s="898">
        <v>7</v>
      </c>
      <c r="AK9" s="898"/>
      <c r="AL9" s="898">
        <v>8</v>
      </c>
      <c r="AM9" s="902"/>
    </row>
    <row r="10" ht="15" customHeight="1">
      <c r="H10" s="899">
        <v>15</v>
      </c>
      <c r="I10" s="899"/>
      <c r="J10" s="900">
        <v>16</v>
      </c>
      <c r="K10" s="900"/>
      <c r="L10" s="900">
        <v>17</v>
      </c>
      <c r="M10" s="900"/>
      <c r="N10" s="900">
        <v>18</v>
      </c>
      <c r="O10" s="900"/>
      <c r="P10" s="900">
        <v>19</v>
      </c>
      <c r="Q10" s="900"/>
      <c r="R10" s="900">
        <v>20</v>
      </c>
      <c r="S10" s="900"/>
      <c r="T10" s="900">
        <v>21</v>
      </c>
      <c r="U10" s="903"/>
      <c r="Z10" s="899">
        <v>9</v>
      </c>
      <c r="AA10" s="899"/>
      <c r="AB10" s="900">
        <v>10</v>
      </c>
      <c r="AC10" s="900"/>
      <c r="AD10" s="900">
        <v>11</v>
      </c>
      <c r="AE10" s="900"/>
      <c r="AF10" s="900">
        <v>12</v>
      </c>
      <c r="AG10" s="900"/>
      <c r="AH10" s="900">
        <v>13</v>
      </c>
      <c r="AI10" s="900"/>
      <c r="AJ10" s="900">
        <v>14</v>
      </c>
      <c r="AK10" s="900"/>
      <c r="AL10" s="900">
        <v>15</v>
      </c>
      <c r="AM10" s="903"/>
    </row>
    <row r="11" ht="15" customHeight="1">
      <c r="H11" s="905">
        <v>22</v>
      </c>
      <c r="I11" s="905"/>
      <c r="J11" s="898">
        <v>23</v>
      </c>
      <c r="K11" s="898"/>
      <c r="L11" s="898">
        <v>24</v>
      </c>
      <c r="M11" s="898"/>
      <c r="N11" s="898">
        <v>25</v>
      </c>
      <c r="O11" s="898"/>
      <c r="P11" s="898">
        <v>26</v>
      </c>
      <c r="Q11" s="898"/>
      <c r="R11" s="898">
        <v>27</v>
      </c>
      <c r="S11" s="898"/>
      <c r="T11" s="898">
        <v>28</v>
      </c>
      <c r="U11" s="902"/>
      <c r="Z11" s="905">
        <v>16</v>
      </c>
      <c r="AA11" s="905"/>
      <c r="AB11" s="898">
        <v>17</v>
      </c>
      <c r="AC11" s="898"/>
      <c r="AD11" s="898">
        <v>18</v>
      </c>
      <c r="AE11" s="898"/>
      <c r="AF11" s="898">
        <v>19</v>
      </c>
      <c r="AG11" s="898"/>
      <c r="AH11" s="898">
        <v>20</v>
      </c>
      <c r="AI11" s="898"/>
      <c r="AJ11" s="898">
        <v>21</v>
      </c>
      <c r="AK11" s="898"/>
      <c r="AL11" s="898">
        <v>22</v>
      </c>
      <c r="AM11" s="902"/>
      <c r="AN11" t="s">
        <v>27</v>
      </c>
    </row>
    <row r="12" ht="15" customHeight="1">
      <c r="A12" s="68"/>
      <c r="H12" s="899">
        <v>29</v>
      </c>
      <c r="I12" s="899"/>
      <c r="J12" s="900">
        <v>30</v>
      </c>
      <c r="K12" s="900"/>
      <c r="L12" s="900"/>
      <c r="M12" s="900"/>
      <c r="N12" s="900"/>
      <c r="O12" s="900"/>
      <c r="P12" s="900"/>
      <c r="Q12" s="900"/>
      <c r="R12" s="900"/>
      <c r="S12" s="900"/>
      <c r="T12" s="900"/>
      <c r="U12" s="903"/>
      <c r="Z12" s="899">
        <v>23</v>
      </c>
      <c r="AA12" s="899"/>
      <c r="AB12" s="900">
        <v>24</v>
      </c>
      <c r="AC12" s="900"/>
      <c r="AD12" s="900">
        <v>25</v>
      </c>
      <c r="AE12" s="900"/>
      <c r="AF12" s="900">
        <v>26</v>
      </c>
      <c r="AG12" s="900"/>
      <c r="AH12" s="900">
        <v>27</v>
      </c>
      <c r="AI12" s="900"/>
      <c r="AJ12" s="900">
        <v>28</v>
      </c>
      <c r="AK12" s="900"/>
      <c r="AL12" s="900">
        <v>29</v>
      </c>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n">
        <v>30</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250</v>
      </c>
      <c r="F15" s="64"/>
      <c r="P15" s="234"/>
      <c r="Q15" s="234"/>
      <c r="R15" s="234"/>
      <c r="S15" s="234"/>
      <c r="T15" s="234"/>
      <c r="U15" s="234"/>
      <c r="V15" s="234"/>
      <c r="W15" s="0"/>
      <c r="X15" s="234"/>
      <c r="Y15" s="234"/>
      <c r="Z15" s="234"/>
      <c r="AA15" s="234"/>
      <c r="AB15" s="234"/>
      <c r="AC15" s="234"/>
      <c r="AD15" s="234"/>
      <c r="AE15" s="0"/>
      <c r="AF15" s="234"/>
      <c r="AG15" s="234"/>
      <c r="AH15" s="234"/>
      <c r="AI15" s="234"/>
      <c r="AJ15" s="234"/>
      <c r="AK15" s="234"/>
      <c r="AL15" s="234"/>
      <c r="AM15" s="0"/>
      <c r="AN15" s="0"/>
    </row>
    <row r="16" ht="15" customHeight="1">
      <c r="C16" s="70"/>
      <c r="D16" s="73" t="s">
        <v>252</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3"/>
      <c r="X21" s="995">
        <v>2024</v>
      </c>
      <c r="Y21" s="995"/>
      <c r="Z21" s="995"/>
      <c r="AA21" s="995"/>
      <c r="AB21" s="995"/>
      <c r="AC21" s="995"/>
      <c r="AD21" s="995"/>
      <c r="AE21" s="995"/>
      <c r="AF21" s="995"/>
      <c r="AG21" s="995"/>
      <c r="AH21" s="995"/>
      <c r="AI21" s="995"/>
      <c r="AJ21" s="995">
        <v>2025</v>
      </c>
      <c r="AK21" s="995"/>
      <c r="AL21" s="995"/>
      <c r="AM21" s="995"/>
      <c r="AN21" s="995"/>
      <c r="AO21" s="995"/>
    </row>
    <row r="22" s="5" customFormat="1" ht="30" customHeight="1">
      <c r="B22" s="76"/>
      <c r="C22" s="77" t="s">
        <v>71</v>
      </c>
      <c r="D22" s="77" t="s">
        <v>21</v>
      </c>
      <c r="E22" s="177" t="s">
        <v>242</v>
      </c>
      <c r="F22" s="10" t="s">
        <v>60</v>
      </c>
      <c r="G22" s="10" t="s">
        <v>61</v>
      </c>
      <c r="H22" s="914" t="s">
        <v>34</v>
      </c>
      <c r="I22" s="914"/>
      <c r="J22" s="914"/>
      <c r="K22" s="914"/>
      <c r="L22" s="914" t="s">
        <v>62</v>
      </c>
      <c r="M22" s="914"/>
      <c r="N22" s="914"/>
      <c r="O22" s="914"/>
      <c r="R22" s="617" t="s">
        <v>228</v>
      </c>
      <c r="S22" s="618" t="s">
        <v>229</v>
      </c>
      <c r="T22" s="618" t="s">
        <v>230</v>
      </c>
      <c r="U22" s="618" t="s">
        <v>231</v>
      </c>
      <c r="V22" s="618" t="s">
        <v>232</v>
      </c>
      <c r="W22" s="1015" t="s">
        <v>234</v>
      </c>
      <c r="X22" s="618" t="s">
        <v>218</v>
      </c>
      <c r="Y22" s="618" t="s">
        <v>220</v>
      </c>
      <c r="Z22" s="618" t="s">
        <v>221</v>
      </c>
      <c r="AA22" s="618" t="s">
        <v>223</v>
      </c>
      <c r="AB22" s="618" t="s">
        <v>224</v>
      </c>
      <c r="AC22" s="618" t="s">
        <v>225</v>
      </c>
      <c r="AD22" s="618" t="s">
        <v>228</v>
      </c>
      <c r="AE22" s="618" t="s">
        <v>229</v>
      </c>
      <c r="AF22" s="618" t="s">
        <v>230</v>
      </c>
      <c r="AG22" s="618" t="s">
        <v>231</v>
      </c>
      <c r="AH22" s="618" t="s">
        <v>232</v>
      </c>
      <c r="AI22" s="1015" t="s">
        <v>234</v>
      </c>
      <c r="AJ22" s="618" t="s">
        <v>218</v>
      </c>
      <c r="AK22" s="618" t="s">
        <v>220</v>
      </c>
      <c r="AL22" s="618" t="s">
        <v>221</v>
      </c>
      <c r="AM22" s="618" t="s">
        <v>223</v>
      </c>
      <c r="AN22" s="618" t="s">
        <v>224</v>
      </c>
      <c r="AO22" s="1015" t="s">
        <v>225</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253</v>
      </c>
      <c r="F23" s="1016" t="s">
        <v>254</v>
      </c>
      <c r="G23" s="1016" t="s">
        <v>255</v>
      </c>
      <c r="H23" s="1017" t="s">
        <v>256</v>
      </c>
      <c r="I23" s="1017"/>
      <c r="J23" s="1017"/>
      <c r="K23" s="1017"/>
      <c r="L23" s="1017" t="s">
        <v>257</v>
      </c>
      <c r="M23" s="1017"/>
      <c r="N23" s="1017"/>
      <c r="O23" s="1017"/>
      <c r="P23" s="80"/>
      <c r="Q23" s="4"/>
      <c r="R23" s="1018" t="s">
        <v>258</v>
      </c>
      <c r="S23" s="1019" t="s">
        <v>258</v>
      </c>
      <c r="T23" s="1019" t="s">
        <v>258</v>
      </c>
      <c r="U23" s="1019" t="s">
        <v>258</v>
      </c>
      <c r="V23" s="1019" t="s">
        <v>258</v>
      </c>
      <c r="W23" s="1019" t="s">
        <v>258</v>
      </c>
      <c r="X23" s="1019" t="s">
        <v>258</v>
      </c>
      <c r="Y23" s="1019" t="s">
        <v>258</v>
      </c>
      <c r="Z23" s="1019" t="s">
        <v>258</v>
      </c>
      <c r="AA23" s="1019" t="s">
        <v>258</v>
      </c>
      <c r="AB23" s="1019" t="s">
        <v>258</v>
      </c>
      <c r="AC23" s="1019" t="s">
        <v>258</v>
      </c>
      <c r="AD23" s="1019" t="s">
        <v>258</v>
      </c>
      <c r="AE23" s="1019" t="s">
        <v>258</v>
      </c>
      <c r="AF23" s="1019" t="s">
        <v>258</v>
      </c>
      <c r="AG23" s="1019" t="s">
        <v>258</v>
      </c>
      <c r="AH23" s="1019" t="s">
        <v>258</v>
      </c>
      <c r="AI23" s="1019" t="s">
        <v>258</v>
      </c>
      <c r="AJ23" s="1019" t="s">
        <v>258</v>
      </c>
      <c r="AK23" s="1019" t="s">
        <v>258</v>
      </c>
      <c r="AL23" s="1019" t="s">
        <v>258</v>
      </c>
      <c r="AM23" s="1019" t="s">
        <v>258</v>
      </c>
      <c r="AN23" s="1019" t="s">
        <v>258</v>
      </c>
      <c r="AO23" s="1020" t="s">
        <v>258</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33931</v>
      </c>
      <c r="D24" s="1021" t="s">
        <v>259</v>
      </c>
      <c r="E24" s="1021" t="s">
        <v>253</v>
      </c>
      <c r="F24" s="1022" t="s">
        <v>260</v>
      </c>
      <c r="G24" s="1021" t="s">
        <v>261</v>
      </c>
      <c r="H24" s="1023" t="s">
        <v>262</v>
      </c>
      <c r="I24" s="1023"/>
      <c r="J24" s="1023"/>
      <c r="K24" s="1023"/>
      <c r="L24" s="1023" t="s">
        <v>263</v>
      </c>
      <c r="M24" s="1023"/>
      <c r="N24" s="1023"/>
      <c r="O24" s="1023"/>
      <c r="P24" s="80"/>
      <c r="Q24" s="4"/>
      <c r="R24" s="1024" t="s">
        <v>258</v>
      </c>
      <c r="S24" s="1025" t="s">
        <v>258</v>
      </c>
      <c r="T24" s="1025" t="s">
        <v>258</v>
      </c>
      <c r="U24" s="1025" t="s">
        <v>258</v>
      </c>
      <c r="V24" s="1025" t="s">
        <v>258</v>
      </c>
      <c r="W24" s="1025" t="s">
        <v>258</v>
      </c>
      <c r="X24" s="1025" t="s">
        <v>258</v>
      </c>
      <c r="Y24" s="1025" t="s">
        <v>258</v>
      </c>
      <c r="Z24" s="1025" t="s">
        <v>258</v>
      </c>
      <c r="AA24" s="1025" t="s">
        <v>258</v>
      </c>
      <c r="AB24" s="1025" t="s">
        <v>258</v>
      </c>
      <c r="AC24" s="1025" t="s">
        <v>258</v>
      </c>
      <c r="AD24" s="1025" t="s">
        <v>258</v>
      </c>
      <c r="AE24" s="1025" t="s">
        <v>258</v>
      </c>
      <c r="AF24" s="1025" t="s">
        <v>258</v>
      </c>
      <c r="AG24" s="1025" t="s">
        <v>258</v>
      </c>
      <c r="AH24" s="1025" t="s">
        <v>258</v>
      </c>
      <c r="AI24" s="1025" t="s">
        <v>258</v>
      </c>
      <c r="AJ24" s="1025" t="s">
        <v>258</v>
      </c>
      <c r="AK24" s="1025" t="s">
        <v>258</v>
      </c>
      <c r="AL24" s="1025" t="s">
        <v>258</v>
      </c>
      <c r="AM24" s="1025" t="s">
        <v>258</v>
      </c>
      <c r="AN24" s="1025" t="s">
        <v>258</v>
      </c>
      <c r="AO24" s="1026" t="s">
        <v>258</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34401</v>
      </c>
      <c r="D25" s="1016" t="s">
        <v>264</v>
      </c>
      <c r="E25" s="1016" t="s">
        <v>253</v>
      </c>
      <c r="F25" s="1027" t="s">
        <v>260</v>
      </c>
      <c r="G25" s="1016" t="s">
        <v>265</v>
      </c>
      <c r="H25" s="1017" t="s">
        <v>266</v>
      </c>
      <c r="I25" s="1017"/>
      <c r="J25" s="1017"/>
      <c r="K25" s="1017"/>
      <c r="L25" s="1017" t="s">
        <v>267</v>
      </c>
      <c r="M25" s="1017"/>
      <c r="N25" s="1017"/>
      <c r="O25" s="1017"/>
      <c r="P25" s="80"/>
      <c r="Q25" s="4"/>
      <c r="R25" s="1018" t="s">
        <v>258</v>
      </c>
      <c r="S25" s="1019" t="s">
        <v>258</v>
      </c>
      <c r="T25" s="1019" t="s">
        <v>258</v>
      </c>
      <c r="U25" s="1019" t="s">
        <v>258</v>
      </c>
      <c r="V25" s="1019" t="s">
        <v>258</v>
      </c>
      <c r="W25" s="1019" t="s">
        <v>258</v>
      </c>
      <c r="X25" s="1019" t="s">
        <v>258</v>
      </c>
      <c r="Y25" s="1019" t="s">
        <v>258</v>
      </c>
      <c r="Z25" s="1019" t="s">
        <v>258</v>
      </c>
      <c r="AA25" s="1019" t="s">
        <v>258</v>
      </c>
      <c r="AB25" s="1019" t="s">
        <v>258</v>
      </c>
      <c r="AC25" s="1019" t="s">
        <v>265</v>
      </c>
      <c r="AD25" s="1019" t="s">
        <v>265</v>
      </c>
      <c r="AE25" s="1019" t="s">
        <v>265</v>
      </c>
      <c r="AF25" s="1019" t="s">
        <v>265</v>
      </c>
      <c r="AG25" s="1019" t="s">
        <v>265</v>
      </c>
      <c r="AH25" s="1019" t="s">
        <v>265</v>
      </c>
      <c r="AI25" s="1019" t="s">
        <v>265</v>
      </c>
      <c r="AJ25" s="1019" t="s">
        <v>265</v>
      </c>
      <c r="AK25" s="1019" t="s">
        <v>265</v>
      </c>
      <c r="AL25" s="1019" t="s">
        <v>265</v>
      </c>
      <c r="AM25" s="1019" t="s">
        <v>265</v>
      </c>
      <c r="AN25" s="1019" t="s">
        <v>265</v>
      </c>
      <c r="AO25" s="1020" t="s">
        <v>265</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39070</v>
      </c>
      <c r="D26" s="1021" t="s">
        <v>268</v>
      </c>
      <c r="E26" s="1021" t="s">
        <v>253</v>
      </c>
      <c r="F26" s="1022" t="s">
        <v>260</v>
      </c>
      <c r="G26" s="1021" t="s">
        <v>269</v>
      </c>
      <c r="H26" s="1023" t="s">
        <v>270</v>
      </c>
      <c r="I26" s="1023"/>
      <c r="J26" s="1023"/>
      <c r="K26" s="1023"/>
      <c r="L26" s="1023" t="s">
        <v>271</v>
      </c>
      <c r="M26" s="1023"/>
      <c r="N26" s="1023"/>
      <c r="O26" s="1023"/>
      <c r="P26" s="80"/>
      <c r="Q26" s="4"/>
      <c r="R26" s="1024" t="s">
        <v>258</v>
      </c>
      <c r="S26" s="1025" t="s">
        <v>258</v>
      </c>
      <c r="T26" s="1025" t="s">
        <v>258</v>
      </c>
      <c r="U26" s="1025" t="s">
        <v>258</v>
      </c>
      <c r="V26" s="1025" t="s">
        <v>258</v>
      </c>
      <c r="W26" s="1025" t="s">
        <v>258</v>
      </c>
      <c r="X26" s="1025" t="s">
        <v>258</v>
      </c>
      <c r="Y26" s="1025" t="s">
        <v>258</v>
      </c>
      <c r="Z26" s="1025" t="s">
        <v>258</v>
      </c>
      <c r="AA26" s="1025" t="s">
        <v>258</v>
      </c>
      <c r="AB26" s="1025" t="s">
        <v>258</v>
      </c>
      <c r="AC26" s="1025" t="s">
        <v>258</v>
      </c>
      <c r="AD26" s="1025" t="s">
        <v>258</v>
      </c>
      <c r="AE26" s="1025" t="s">
        <v>258</v>
      </c>
      <c r="AF26" s="1025" t="s">
        <v>258</v>
      </c>
      <c r="AG26" s="1025" t="s">
        <v>258</v>
      </c>
      <c r="AH26" s="1025" t="s">
        <v>258</v>
      </c>
      <c r="AI26" s="1025" t="s">
        <v>258</v>
      </c>
      <c r="AJ26" s="1025" t="s">
        <v>258</v>
      </c>
      <c r="AK26" s="1025" t="s">
        <v>258</v>
      </c>
      <c r="AL26" s="1025" t="s">
        <v>258</v>
      </c>
      <c r="AM26" s="1025" t="s">
        <v>258</v>
      </c>
      <c r="AN26" s="1025" t="s">
        <v>258</v>
      </c>
      <c r="AO26" s="1026" t="s">
        <v>258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44117</v>
      </c>
      <c r="D27" s="1016" t="s">
        <v>272</v>
      </c>
      <c r="E27" s="1016" t="s">
        <v>253</v>
      </c>
      <c r="F27" s="1027" t="s">
        <v>260</v>
      </c>
      <c r="G27" s="1016" t="s">
        <v>273</v>
      </c>
      <c r="H27" s="1017" t="s">
        <v>274</v>
      </c>
      <c r="I27" s="1017"/>
      <c r="J27" s="1017"/>
      <c r="K27" s="1017"/>
      <c r="L27" s="1017" t="s">
        <v>275</v>
      </c>
      <c r="M27" s="1017"/>
      <c r="N27" s="1017"/>
      <c r="O27" s="1017"/>
      <c r="P27" s="80"/>
      <c r="Q27" s="4"/>
      <c r="R27" s="1018" t="s">
        <v>258</v>
      </c>
      <c r="S27" s="1019" t="s">
        <v>258</v>
      </c>
      <c r="T27" s="1019" t="s">
        <v>258</v>
      </c>
      <c r="U27" s="1019" t="s">
        <v>258</v>
      </c>
      <c r="V27" s="1019" t="s">
        <v>258</v>
      </c>
      <c r="W27" s="1019" t="s">
        <v>258</v>
      </c>
      <c r="X27" s="1019" t="s">
        <v>258</v>
      </c>
      <c r="Y27" s="1019" t="s">
        <v>258</v>
      </c>
      <c r="Z27" s="1019" t="s">
        <v>258</v>
      </c>
      <c r="AA27" s="1019" t="s">
        <v>258</v>
      </c>
      <c r="AB27" s="1019" t="s">
        <v>258</v>
      </c>
      <c r="AC27" s="1019" t="s">
        <v>258</v>
      </c>
      <c r="AD27" s="1019" t="s">
        <v>258</v>
      </c>
      <c r="AE27" s="1019" t="s">
        <v>258</v>
      </c>
      <c r="AF27" s="1019" t="s">
        <v>258</v>
      </c>
      <c r="AG27" s="1019" t="s">
        <v>258</v>
      </c>
      <c r="AH27" s="1019" t="s">
        <v>258</v>
      </c>
      <c r="AI27" s="1019" t="s">
        <v>258</v>
      </c>
      <c r="AJ27" s="1019" t="s">
        <v>258</v>
      </c>
      <c r="AK27" s="1019" t="s">
        <v>258</v>
      </c>
      <c r="AL27" s="1019" t="s">
        <v>258</v>
      </c>
      <c r="AM27" s="1019" t="s">
        <v>258</v>
      </c>
      <c r="AN27" s="1019" t="s">
        <v>258</v>
      </c>
      <c r="AO27" s="1020" t="s">
        <v>258</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53909</v>
      </c>
      <c r="D28" s="1021" t="s">
        <v>276</v>
      </c>
      <c r="E28" s="1021" t="s">
        <v>253</v>
      </c>
      <c r="F28" s="1021" t="s">
        <v>277</v>
      </c>
      <c r="G28" s="1021" t="s">
        <v>278</v>
      </c>
      <c r="H28" s="1023" t="s">
        <v>279</v>
      </c>
      <c r="I28" s="1023"/>
      <c r="J28" s="1023"/>
      <c r="K28" s="1023"/>
      <c r="L28" s="1023" t="s">
        <v>280</v>
      </c>
      <c r="M28" s="1023"/>
      <c r="N28" s="1023"/>
      <c r="O28" s="1023"/>
      <c r="P28" s="80"/>
      <c r="Q28" s="4"/>
      <c r="R28" s="1024" t="s">
        <v>258</v>
      </c>
      <c r="S28" s="1025" t="s">
        <v>258</v>
      </c>
      <c r="T28" s="1025" t="s">
        <v>258</v>
      </c>
      <c r="U28" s="1025" t="s">
        <v>258</v>
      </c>
      <c r="V28" s="1025" t="s">
        <v>258</v>
      </c>
      <c r="W28" s="1025" t="s">
        <v>258</v>
      </c>
      <c r="X28" s="1025" t="s">
        <v>258</v>
      </c>
      <c r="Y28" s="1025" t="s">
        <v>258</v>
      </c>
      <c r="Z28" s="1025" t="s">
        <v>258</v>
      </c>
      <c r="AA28" s="1025" t="s">
        <v>258</v>
      </c>
      <c r="AB28" s="1025" t="s">
        <v>258</v>
      </c>
      <c r="AC28" s="1025" t="s">
        <v>258</v>
      </c>
      <c r="AD28" s="1025" t="s">
        <v>258</v>
      </c>
      <c r="AE28" s="1025" t="s">
        <v>258</v>
      </c>
      <c r="AF28" s="1025" t="s">
        <v>258</v>
      </c>
      <c r="AG28" s="1025" t="s">
        <v>258</v>
      </c>
      <c r="AH28" s="1025" t="s">
        <v>258</v>
      </c>
      <c r="AI28" s="1025" t="s">
        <v>258</v>
      </c>
      <c r="AJ28" s="1025" t="s">
        <v>258</v>
      </c>
      <c r="AK28" s="1025" t="s">
        <v>258</v>
      </c>
      <c r="AL28" s="1025" t="s">
        <v>258</v>
      </c>
      <c r="AM28" s="1025" t="s">
        <v>258</v>
      </c>
      <c r="AN28" s="1025" t="s">
        <v>258</v>
      </c>
      <c r="AO28" s="1026" t="s">
        <v>258</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1017">
        <v>476</v>
      </c>
      <c r="I29" s="1017"/>
      <c r="J29" s="1017"/>
      <c r="K29" s="1017"/>
      <c r="L29" s="895"/>
      <c r="M29" s="895"/>
      <c r="N29" s="895"/>
      <c r="O29" s="895"/>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181"/>
      <c r="I30" s="181"/>
      <c r="J30" s="181"/>
      <c r="K30" s="181"/>
      <c r="L30" s="895"/>
      <c r="M30" s="895"/>
      <c r="N30" s="895"/>
      <c r="O30" s="895"/>
      <c r="P30" s="80"/>
      <c r="Q30" s="4"/>
      <c r="R30" s="182"/>
      <c r="S30" s="182"/>
      <c r="T30" s="182"/>
      <c r="U30" s="182"/>
      <c r="V30" s="182"/>
      <c r="W30" s="182"/>
      <c r="X30" s="1028" t="s">
        <v>281</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181"/>
      <c r="I31" s="181"/>
      <c r="J31" s="181"/>
      <c r="K31" s="181"/>
      <c r="L31" s="895"/>
      <c r="M31" s="895"/>
      <c r="N31" s="895"/>
      <c r="O31" s="895"/>
      <c r="P31" s="80"/>
      <c r="Q31" s="4"/>
      <c r="R31" s="182"/>
      <c r="S31" s="182"/>
      <c r="T31" s="182"/>
      <c r="U31" s="182"/>
      <c r="V31" s="182"/>
      <c r="W31" s="182"/>
      <c r="X31" s="182"/>
      <c r="Y31" s="182"/>
      <c r="Z31" s="182"/>
      <c r="AA31" s="1029" t="s">
        <v>282</v>
      </c>
      <c r="AB31" s="1028" t="s">
        <v>283</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81"/>
      <c r="I32" s="181"/>
      <c r="J32" s="181"/>
      <c r="K32" s="181"/>
      <c r="L32" s="895"/>
      <c r="M32" s="895"/>
      <c r="N32" s="895"/>
      <c r="O32" s="895"/>
      <c r="P32" s="80"/>
      <c r="Q32" s="4"/>
      <c r="R32" s="182"/>
      <c r="S32" s="182"/>
      <c r="T32" s="182"/>
      <c r="U32" s="182"/>
      <c r="V32" s="182"/>
      <c r="W32" s="182"/>
      <c r="X32" s="182"/>
      <c r="Y32" s="182"/>
      <c r="Z32" s="182"/>
      <c r="AA32" s="1029" t="s">
        <v>258</v>
      </c>
      <c r="AB32" s="1028" t="s">
        <v>284</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181"/>
      <c r="I33" s="181"/>
      <c r="J33" s="181"/>
      <c r="K33" s="181"/>
      <c r="L33" s="895"/>
      <c r="M33" s="895"/>
      <c r="N33" s="895"/>
      <c r="O33" s="895"/>
      <c r="P33" s="80"/>
      <c r="Q33" s="4"/>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181"/>
      <c r="I34" s="181"/>
      <c r="J34" s="181"/>
      <c r="K34" s="181"/>
      <c r="L34" s="895"/>
      <c r="M34" s="895"/>
      <c r="N34" s="895"/>
      <c r="O34" s="895"/>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181"/>
      <c r="I35" s="181"/>
      <c r="J35" s="181"/>
      <c r="K35" s="181"/>
      <c r="L35" s="895"/>
      <c r="M35" s="895"/>
      <c r="N35" s="895"/>
      <c r="O35" s="895"/>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181"/>
      <c r="I36" s="181"/>
      <c r="J36" s="181"/>
      <c r="K36" s="181"/>
      <c r="L36" s="895"/>
      <c r="M36" s="895"/>
      <c r="N36" s="895"/>
      <c r="O36" s="895"/>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181"/>
      <c r="I37" s="181"/>
      <c r="J37" s="181"/>
      <c r="K37" s="181"/>
      <c r="L37" s="895"/>
      <c r="M37" s="895"/>
      <c r="N37" s="895"/>
      <c r="O37" s="895"/>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181"/>
      <c r="I38" s="181"/>
      <c r="J38" s="181"/>
      <c r="K38" s="181"/>
      <c r="L38" s="895"/>
      <c r="M38" s="895"/>
      <c r="N38" s="895"/>
      <c r="O38" s="895"/>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181"/>
      <c r="I39" s="181"/>
      <c r="J39" s="181"/>
      <c r="K39" s="181"/>
      <c r="L39" s="895"/>
      <c r="M39" s="895"/>
      <c r="N39" s="895"/>
      <c r="O39" s="895"/>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181"/>
      <c r="I40" s="181"/>
      <c r="J40" s="181"/>
      <c r="K40" s="181"/>
      <c r="L40" s="895"/>
      <c r="M40" s="895"/>
      <c r="N40" s="895"/>
      <c r="O40" s="895"/>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181"/>
      <c r="I41" s="181"/>
      <c r="J41" s="181"/>
      <c r="K41" s="181"/>
      <c r="L41" s="895"/>
      <c r="M41" s="895"/>
      <c r="N41" s="895"/>
      <c r="O41" s="895"/>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181"/>
      <c r="I42" s="181"/>
      <c r="J42" s="181"/>
      <c r="K42" s="181"/>
      <c r="L42" s="895"/>
      <c r="M42" s="895"/>
      <c r="N42" s="895"/>
      <c r="O42" s="895"/>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181"/>
      <c r="I43" s="181"/>
      <c r="J43" s="181"/>
      <c r="K43" s="181"/>
      <c r="L43" s="895"/>
      <c r="M43" s="895"/>
      <c r="N43" s="895"/>
      <c r="O43" s="895"/>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181"/>
      <c r="I44" s="181"/>
      <c r="J44" s="181"/>
      <c r="K44" s="181"/>
      <c r="L44" s="895"/>
      <c r="M44" s="895"/>
      <c r="N44" s="895"/>
      <c r="O44" s="895"/>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181"/>
      <c r="I45" s="181"/>
      <c r="J45" s="181"/>
      <c r="K45" s="181"/>
      <c r="L45" s="895"/>
      <c r="M45" s="895"/>
      <c r="N45" s="895"/>
      <c r="O45" s="895"/>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181"/>
      <c r="I46" s="181"/>
      <c r="J46" s="181"/>
      <c r="K46" s="181"/>
      <c r="L46" s="895"/>
      <c r="M46" s="895"/>
      <c r="N46" s="895"/>
      <c r="O46" s="895"/>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181"/>
      <c r="I47" s="181"/>
      <c r="J47" s="181"/>
      <c r="K47" s="181"/>
      <c r="L47" s="895"/>
      <c r="M47" s="895"/>
      <c r="N47" s="895"/>
      <c r="O47" s="895"/>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181"/>
      <c r="I48" s="181"/>
      <c r="J48" s="181"/>
      <c r="K48" s="181"/>
      <c r="L48" s="895"/>
      <c r="M48" s="895"/>
      <c r="N48" s="895"/>
      <c r="O48" s="895"/>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181"/>
      <c r="I49" s="181"/>
      <c r="J49" s="181"/>
      <c r="K49" s="181"/>
      <c r="L49" s="895"/>
      <c r="M49" s="895"/>
      <c r="N49" s="895"/>
      <c r="O49" s="895"/>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181"/>
      <c r="I50" s="181"/>
      <c r="J50" s="181"/>
      <c r="K50" s="181"/>
      <c r="L50" s="895"/>
      <c r="M50" s="895"/>
      <c r="N50" s="895"/>
      <c r="O50" s="895"/>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181"/>
      <c r="I51" s="181"/>
      <c r="J51" s="181"/>
      <c r="K51" s="181"/>
      <c r="L51" s="895"/>
      <c r="M51" s="895"/>
      <c r="N51" s="895"/>
      <c r="O51" s="895"/>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181"/>
      <c r="I52" s="181"/>
      <c r="J52" s="181"/>
      <c r="K52" s="181"/>
      <c r="L52" s="895"/>
      <c r="M52" s="895"/>
      <c r="N52" s="895"/>
      <c r="O52" s="895"/>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181"/>
      <c r="I53" s="181"/>
      <c r="J53" s="181"/>
      <c r="K53" s="181"/>
      <c r="L53" s="895"/>
      <c r="M53" s="895"/>
      <c r="N53" s="895"/>
      <c r="O53" s="895"/>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181"/>
      <c r="I54" s="181"/>
      <c r="J54" s="181"/>
      <c r="K54" s="181"/>
      <c r="L54" s="895"/>
      <c r="M54" s="895"/>
      <c r="N54" s="895"/>
      <c r="O54" s="895"/>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181"/>
      <c r="I55" s="181"/>
      <c r="J55" s="181"/>
      <c r="K55" s="181"/>
      <c r="L55" s="895"/>
      <c r="M55" s="895"/>
      <c r="N55" s="895"/>
      <c r="O55" s="895"/>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181"/>
      <c r="I56" s="181"/>
      <c r="J56" s="181"/>
      <c r="K56" s="181"/>
      <c r="L56" s="895"/>
      <c r="M56" s="895"/>
      <c r="N56" s="895"/>
      <c r="O56" s="895"/>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181"/>
      <c r="I57" s="181"/>
      <c r="J57" s="181"/>
      <c r="K57" s="181"/>
      <c r="L57" s="895"/>
      <c r="M57" s="895"/>
      <c r="N57" s="895"/>
      <c r="O57" s="895"/>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181"/>
      <c r="I58" s="181"/>
      <c r="J58" s="181"/>
      <c r="K58" s="181"/>
      <c r="L58" s="895"/>
      <c r="M58" s="895"/>
      <c r="N58" s="895"/>
      <c r="O58" s="895"/>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181"/>
      <c r="I59" s="181"/>
      <c r="J59" s="181"/>
      <c r="K59" s="181"/>
      <c r="L59" s="895"/>
      <c r="M59" s="895"/>
      <c r="N59" s="895"/>
      <c r="O59" s="895"/>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181"/>
      <c r="I60" s="181"/>
      <c r="J60" s="181"/>
      <c r="K60" s="181"/>
      <c r="L60" s="895"/>
      <c r="M60" s="895"/>
      <c r="N60" s="895"/>
      <c r="O60" s="895"/>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181"/>
      <c r="I61" s="181"/>
      <c r="J61" s="181"/>
      <c r="K61" s="181"/>
      <c r="L61" s="895"/>
      <c r="M61" s="895"/>
      <c r="N61" s="895"/>
      <c r="O61" s="895"/>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181"/>
      <c r="I62" s="181"/>
      <c r="J62" s="181"/>
      <c r="K62" s="181"/>
      <c r="L62" s="895"/>
      <c r="M62" s="895"/>
      <c r="N62" s="895"/>
      <c r="O62" s="895"/>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181"/>
      <c r="I63" s="181"/>
      <c r="J63" s="181"/>
      <c r="K63" s="181"/>
      <c r="L63" s="895"/>
      <c r="M63" s="895"/>
      <c r="N63" s="895"/>
      <c r="O63" s="895"/>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181"/>
      <c r="I64" s="181"/>
      <c r="J64" s="181"/>
      <c r="K64" s="181"/>
      <c r="L64" s="895"/>
      <c r="M64" s="895"/>
      <c r="N64" s="895"/>
      <c r="O64" s="895"/>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181"/>
      <c r="I65" s="181"/>
      <c r="J65" s="181"/>
      <c r="K65" s="181"/>
      <c r="L65" s="895"/>
      <c r="M65" s="895"/>
      <c r="N65" s="895"/>
      <c r="O65" s="895"/>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181"/>
      <c r="I66" s="181"/>
      <c r="J66" s="181"/>
      <c r="K66" s="181"/>
      <c r="L66" s="895"/>
      <c r="M66" s="895"/>
      <c r="N66" s="895"/>
      <c r="O66" s="895"/>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181"/>
      <c r="I67" s="181"/>
      <c r="J67" s="181"/>
      <c r="K67" s="181"/>
      <c r="L67" s="895"/>
      <c r="M67" s="895"/>
      <c r="N67" s="895"/>
      <c r="O67" s="895"/>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181"/>
      <c r="I68" s="181"/>
      <c r="J68" s="181"/>
      <c r="K68" s="181"/>
      <c r="L68" s="895"/>
      <c r="M68" s="895"/>
      <c r="N68" s="895"/>
      <c r="O68" s="895"/>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181"/>
      <c r="I69" s="181"/>
      <c r="J69" s="181"/>
      <c r="K69" s="181"/>
      <c r="L69" s="895"/>
      <c r="M69" s="895"/>
      <c r="N69" s="895"/>
      <c r="O69" s="895"/>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181"/>
      <c r="I70" s="181"/>
      <c r="J70" s="181"/>
      <c r="K70" s="181"/>
      <c r="L70" s="895"/>
      <c r="M70" s="895"/>
      <c r="N70" s="895"/>
      <c r="O70" s="895"/>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181"/>
      <c r="I71" s="181"/>
      <c r="J71" s="181"/>
      <c r="K71" s="181"/>
      <c r="L71" s="895"/>
      <c r="M71" s="895"/>
      <c r="N71" s="895"/>
      <c r="O71" s="895"/>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181"/>
      <c r="I72" s="181"/>
      <c r="J72" s="181"/>
      <c r="K72" s="181"/>
      <c r="L72" s="895"/>
      <c r="M72" s="895"/>
      <c r="N72" s="895"/>
      <c r="O72" s="895"/>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181"/>
      <c r="I73" s="181"/>
      <c r="J73" s="181"/>
      <c r="K73" s="181"/>
      <c r="L73" s="895"/>
      <c r="M73" s="895"/>
      <c r="N73" s="895"/>
      <c r="O73" s="895"/>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181"/>
      <c r="I74" s="181"/>
      <c r="J74" s="181"/>
      <c r="K74" s="181"/>
      <c r="L74" s="895"/>
      <c r="M74" s="895"/>
      <c r="N74" s="895"/>
      <c r="O74" s="895"/>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181"/>
      <c r="I75" s="181"/>
      <c r="J75" s="181"/>
      <c r="K75" s="181"/>
      <c r="L75" s="895"/>
      <c r="M75" s="895"/>
      <c r="N75" s="895"/>
      <c r="O75" s="895"/>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181"/>
      <c r="I76" s="181"/>
      <c r="J76" s="181"/>
      <c r="K76" s="181"/>
      <c r="L76" s="895"/>
      <c r="M76" s="895"/>
      <c r="N76" s="895"/>
      <c r="O76" s="895"/>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181"/>
      <c r="I77" s="181"/>
      <c r="J77" s="181"/>
      <c r="K77" s="181"/>
      <c r="L77" s="895"/>
      <c r="M77" s="895"/>
      <c r="N77" s="895"/>
      <c r="O77" s="895"/>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181"/>
      <c r="I78" s="181"/>
      <c r="J78" s="181"/>
      <c r="K78" s="181"/>
      <c r="L78" s="895"/>
      <c r="M78" s="895"/>
      <c r="N78" s="895"/>
      <c r="O78" s="895"/>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181"/>
      <c r="I79" s="181"/>
      <c r="J79" s="181"/>
      <c r="K79" s="181"/>
      <c r="L79" s="895"/>
      <c r="M79" s="895"/>
      <c r="N79" s="895"/>
      <c r="O79" s="895"/>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181"/>
      <c r="I80" s="181"/>
      <c r="J80" s="181"/>
      <c r="K80" s="181"/>
      <c r="L80" s="895"/>
      <c r="M80" s="895"/>
      <c r="N80" s="895"/>
      <c r="O80" s="895"/>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181"/>
      <c r="I81" s="181"/>
      <c r="J81" s="181"/>
      <c r="K81" s="181"/>
      <c r="L81" s="895"/>
      <c r="M81" s="895"/>
      <c r="N81" s="895"/>
      <c r="O81" s="895"/>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181"/>
      <c r="I82" s="181"/>
      <c r="J82" s="181"/>
      <c r="K82" s="181"/>
      <c r="L82" s="895"/>
      <c r="M82" s="895"/>
      <c r="N82" s="895"/>
      <c r="O82" s="895"/>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181"/>
      <c r="I83" s="181"/>
      <c r="J83" s="181"/>
      <c r="K83" s="181"/>
      <c r="L83" s="895"/>
      <c r="M83" s="895"/>
      <c r="N83" s="895"/>
      <c r="O83" s="895"/>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181"/>
      <c r="I84" s="181"/>
      <c r="J84" s="181"/>
      <c r="K84" s="181"/>
      <c r="L84" s="895"/>
      <c r="M84" s="895"/>
      <c r="N84" s="895"/>
      <c r="O84" s="895"/>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181"/>
      <c r="I85" s="181"/>
      <c r="J85" s="181"/>
      <c r="K85" s="181"/>
      <c r="L85" s="895"/>
      <c r="M85" s="895"/>
      <c r="N85" s="895"/>
      <c r="O85" s="895"/>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181"/>
      <c r="I86" s="181"/>
      <c r="J86" s="181"/>
      <c r="K86" s="181"/>
      <c r="L86" s="895"/>
      <c r="M86" s="895"/>
      <c r="N86" s="895"/>
      <c r="O86" s="895"/>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181"/>
      <c r="I87" s="181"/>
      <c r="J87" s="181"/>
      <c r="K87" s="181"/>
      <c r="L87" s="895"/>
      <c r="M87" s="895"/>
      <c r="N87" s="895"/>
      <c r="O87" s="895"/>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181"/>
      <c r="I88" s="181"/>
      <c r="J88" s="181"/>
      <c r="K88" s="181"/>
      <c r="L88" s="895"/>
      <c r="M88" s="895"/>
      <c r="N88" s="895"/>
      <c r="O88" s="895"/>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181"/>
      <c r="I89" s="181"/>
      <c r="J89" s="181"/>
      <c r="K89" s="181"/>
      <c r="L89" s="895"/>
      <c r="M89" s="895"/>
      <c r="N89" s="895"/>
      <c r="O89" s="895"/>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181"/>
      <c r="I90" s="181"/>
      <c r="J90" s="181"/>
      <c r="K90" s="181"/>
      <c r="L90" s="895"/>
      <c r="M90" s="895"/>
      <c r="N90" s="895"/>
      <c r="O90" s="895"/>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181"/>
      <c r="I91" s="181"/>
      <c r="J91" s="181"/>
      <c r="K91" s="181"/>
      <c r="L91" s="895"/>
      <c r="M91" s="895"/>
      <c r="N91" s="895"/>
      <c r="O91" s="895"/>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181"/>
      <c r="I92" s="181"/>
      <c r="J92" s="181"/>
      <c r="K92" s="181"/>
      <c r="L92" s="895"/>
      <c r="M92" s="895"/>
      <c r="N92" s="895"/>
      <c r="O92" s="895"/>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181"/>
      <c r="I93" s="181"/>
      <c r="J93" s="181"/>
      <c r="K93" s="181"/>
      <c r="L93" s="895"/>
      <c r="M93" s="895"/>
      <c r="N93" s="895"/>
      <c r="O93" s="895"/>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181"/>
      <c r="I94" s="181"/>
      <c r="J94" s="181"/>
      <c r="K94" s="181"/>
      <c r="L94" s="895"/>
      <c r="M94" s="895"/>
      <c r="N94" s="895"/>
      <c r="O94" s="895"/>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181"/>
      <c r="I95" s="181"/>
      <c r="J95" s="181"/>
      <c r="K95" s="181"/>
      <c r="L95" s="895"/>
      <c r="M95" s="895"/>
      <c r="N95" s="895"/>
      <c r="O95" s="895"/>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181"/>
      <c r="I96" s="181"/>
      <c r="J96" s="181"/>
      <c r="K96" s="181"/>
      <c r="L96" s="895"/>
      <c r="M96" s="895"/>
      <c r="N96" s="895"/>
      <c r="O96" s="895"/>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181"/>
      <c r="I97" s="181"/>
      <c r="J97" s="181"/>
      <c r="K97" s="181"/>
      <c r="L97" s="895"/>
      <c r="M97" s="895"/>
      <c r="N97" s="895"/>
      <c r="O97" s="895"/>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181"/>
      <c r="I98" s="181"/>
      <c r="J98" s="181"/>
      <c r="K98" s="181"/>
      <c r="L98" s="895"/>
      <c r="M98" s="895"/>
      <c r="N98" s="895"/>
      <c r="O98" s="895"/>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181"/>
      <c r="I99" s="181"/>
      <c r="J99" s="181"/>
      <c r="K99" s="181"/>
      <c r="L99" s="895"/>
      <c r="M99" s="895"/>
      <c r="N99" s="895"/>
      <c r="O99" s="895"/>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181"/>
      <c r="I100" s="181"/>
      <c r="J100" s="181"/>
      <c r="K100" s="181"/>
      <c r="L100" s="895"/>
      <c r="M100" s="895"/>
      <c r="N100" s="895"/>
      <c r="O100" s="895"/>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181"/>
      <c r="I101" s="181"/>
      <c r="J101" s="181"/>
      <c r="K101" s="181"/>
      <c r="L101" s="895"/>
      <c r="M101" s="895"/>
      <c r="N101" s="895"/>
      <c r="O101" s="895"/>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181"/>
      <c r="I102" s="181"/>
      <c r="J102" s="181"/>
      <c r="K102" s="181"/>
      <c r="L102" s="895"/>
      <c r="M102" s="895"/>
      <c r="N102" s="895"/>
      <c r="O102" s="895"/>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181"/>
      <c r="I103" s="181"/>
      <c r="J103" s="181"/>
      <c r="K103" s="181"/>
      <c r="L103" s="895"/>
      <c r="M103" s="895"/>
      <c r="N103" s="895"/>
      <c r="O103" s="895"/>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W21"/>
    <mergeCell ref="X21:AI21"/>
    <mergeCell ref="AJ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150" display="For all STR definitions, please click here or visit www.str.com/data-insights/resources/glossary"/>
    <hyperlink ref="A14:I14" r:id="rId151" display="For the latest in industry news, visit HotelNewsNow.com."/>
    <hyperlink ref="A15:I15" r:id="rId152" display="To learn more about the Hotel Data Conference, visit HotelDataConference.com."/>
    <hyperlink ref="A9:F9" r:id="rId153" display="For all STR FAQs, please click here or visit www.str.com/data-insights/resources/FAQ"/>
    <hyperlink ref="A12:E12" r:id="rId154"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8"/>
      <c r="AB1" s="998"/>
      <c r="AC1" s="998"/>
      <c r="AD1" s="998"/>
      <c r="AE1" s="998"/>
      <c r="AF1" s="998"/>
      <c r="AH1" s="236"/>
    </row>
    <row r="2" ht="20.1"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2024</v>
      </c>
      <c r="D19" s="1002"/>
      <c r="E19" s="1002"/>
      <c r="F19" s="1002"/>
      <c r="G19" s="1002"/>
      <c r="H19" s="1002"/>
      <c r="I19" s="1002"/>
      <c r="J19" s="1002"/>
      <c r="K19" s="1002"/>
      <c r="L19" s="1002"/>
      <c r="M19" s="1002"/>
      <c r="N19" s="1002"/>
      <c r="O19" s="1002">
        <v>2025</v>
      </c>
      <c r="P19" s="1002"/>
      <c r="Q19" s="1002"/>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218</v>
      </c>
      <c r="D20" s="269" t="s">
        <v>220</v>
      </c>
      <c r="E20" s="269" t="s">
        <v>221</v>
      </c>
      <c r="F20" s="269" t="s">
        <v>223</v>
      </c>
      <c r="G20" s="269" t="s">
        <v>224</v>
      </c>
      <c r="H20" s="269" t="s">
        <v>225</v>
      </c>
      <c r="I20" s="269" t="s">
        <v>228</v>
      </c>
      <c r="J20" s="269" t="s">
        <v>229</v>
      </c>
      <c r="K20" s="269" t="s">
        <v>230</v>
      </c>
      <c r="L20" s="269" t="s">
        <v>231</v>
      </c>
      <c r="M20" s="269" t="s">
        <v>232</v>
      </c>
      <c r="N20" s="1005" t="s">
        <v>234</v>
      </c>
      <c r="O20" s="269" t="s">
        <v>218</v>
      </c>
      <c r="P20" s="269" t="s">
        <v>220</v>
      </c>
      <c r="Q20" s="269" t="s">
        <v>221</v>
      </c>
      <c r="R20" s="269" t="s">
        <v>223</v>
      </c>
      <c r="S20" s="269" t="s">
        <v>224</v>
      </c>
      <c r="T20" s="1005" t="s">
        <v>225</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89.29618768328445747800586510</v>
      </c>
      <c r="D21" s="574">
        <v>92.92058516196447230929989551</v>
      </c>
      <c r="E21" s="574">
        <v>92.69305962854349951124144673</v>
      </c>
      <c r="F21" s="574">
        <v>93.23232323232323232323232323</v>
      </c>
      <c r="G21" s="574">
        <v>84.82404692082111436950146628</v>
      </c>
      <c r="H21" s="574">
        <v>78.333333333333333333333333330</v>
      </c>
      <c r="I21" s="574">
        <v>73.704789833822091886608015640</v>
      </c>
      <c r="J21" s="574">
        <v>74.046920821114369501466275660</v>
      </c>
      <c r="K21" s="574">
        <v>66.287878787878787878787878790</v>
      </c>
      <c r="L21" s="574">
        <v>77.541544477028347996089931570</v>
      </c>
      <c r="M21" s="574">
        <v>88.78787878787878787878787879</v>
      </c>
      <c r="N21" s="1006">
        <v>87.82991202346041055718475073</v>
      </c>
      <c r="O21" s="574">
        <v>90.64027370478983382209188661</v>
      </c>
      <c r="P21" s="574">
        <v>92.69480519480519480519480519</v>
      </c>
      <c r="Q21" s="574">
        <v>91.32453567937438905180840665</v>
      </c>
      <c r="R21" s="574">
        <v>93.03030303030303030303030303</v>
      </c>
      <c r="S21" s="574">
        <v>81.23167155425219941348973607</v>
      </c>
      <c r="T21" s="1006">
        <v>80.98484848484848484848484848</v>
      </c>
      <c r="U21" s="113"/>
      <c r="V21" s="573">
        <v>88.30989452536413862380713209</v>
      </c>
      <c r="W21" s="574">
        <v>88.53230103230103230103230103</v>
      </c>
      <c r="X21" s="575">
        <v>88.25966850828729281767955801</v>
      </c>
      <c r="Y21" s="113"/>
      <c r="Z21" s="573">
        <v>83.37495837495837495837495837</v>
      </c>
      <c r="AA21" s="574">
        <v>85.45621045621045621045621046</v>
      </c>
      <c r="AB21" s="575">
        <v>85.03996003996003996003996004</v>
      </c>
      <c r="AC21" s="113"/>
      <c r="AD21" s="573">
        <v>84.07222914072229140722291407</v>
      </c>
      <c r="AE21" s="574">
        <v>82.51780096042391124358337473</v>
      </c>
      <c r="AF21" s="575">
        <v>83.10709838107098381070983811</v>
      </c>
      <c r="AG21" s="113"/>
    </row>
    <row r="22" ht="21.95" customHeight="1">
      <c r="B22" s="38" t="s">
        <v>35</v>
      </c>
      <c r="C22" s="271">
        <v>82.97020555854954192008622681</v>
      </c>
      <c r="D22" s="92">
        <v>85.09587688256107569041936584</v>
      </c>
      <c r="E22" s="92">
        <v>85.31064747093694664716298406</v>
      </c>
      <c r="F22" s="92">
        <v>82.97533810660302307080350040</v>
      </c>
      <c r="G22" s="92">
        <v>71.067826622526753406728770500</v>
      </c>
      <c r="H22" s="92">
        <v>68.158914728682170542635658910</v>
      </c>
      <c r="I22" s="92">
        <v>70.208177044261065266316579140</v>
      </c>
      <c r="J22" s="92">
        <v>69.026631657914478619654913730</v>
      </c>
      <c r="K22" s="92">
        <v>68.856589147286821705426356590</v>
      </c>
      <c r="L22" s="92">
        <v>69.448612153038259564891222810</v>
      </c>
      <c r="M22" s="92">
        <v>71.967054263565891472868217050</v>
      </c>
      <c r="N22" s="1007">
        <v>72.524381095273818454613653410</v>
      </c>
      <c r="O22" s="92">
        <v>78.816579144786196549137284320</v>
      </c>
      <c r="P22" s="92">
        <v>87.80107973421926910299003322</v>
      </c>
      <c r="Q22" s="92">
        <v>87.500</v>
      </c>
      <c r="R22" s="92">
        <v>88.01356589147286821705426357</v>
      </c>
      <c r="S22" s="92">
        <v>74.662415603900975243810952740</v>
      </c>
      <c r="T22" s="1007">
        <v>71.715116279069767441860465120</v>
      </c>
      <c r="U22" s="113"/>
      <c r="V22" s="271">
        <v>73.664408357467935457178320230</v>
      </c>
      <c r="W22" s="92">
        <v>79.54510630102605742706110968</v>
      </c>
      <c r="X22" s="272">
        <v>81.32950019272773994603623282</v>
      </c>
      <c r="Y22" s="113"/>
      <c r="Z22" s="271">
        <v>68.627046006092838333247276290</v>
      </c>
      <c r="AA22" s="92">
        <v>74.402854037180523425959474900</v>
      </c>
      <c r="AB22" s="272">
        <v>78.092256580628673651929465880</v>
      </c>
      <c r="AC22" s="113"/>
      <c r="AD22" s="271">
        <v>69.572925266721707018924921120</v>
      </c>
      <c r="AE22" s="92">
        <v>74.799939497946680782296098410</v>
      </c>
      <c r="AF22" s="272">
        <v>75.788467664861420834660719970</v>
      </c>
      <c r="AG22" s="113"/>
    </row>
    <row r="23" ht="21.95" customHeight="1">
      <c r="B23" s="40" t="s">
        <v>97</v>
      </c>
      <c r="C23" s="576">
        <v>107.62440213592598879183101657</v>
      </c>
      <c r="D23" s="113">
        <v>109.19516734066868923302234334</v>
      </c>
      <c r="E23" s="113">
        <v>108.65356479701046328029744651</v>
      </c>
      <c r="F23" s="113">
        <v>112.36148638833611962299691953</v>
      </c>
      <c r="G23" s="113">
        <v>119.35646684594954157379961219</v>
      </c>
      <c r="H23" s="113">
        <v>114.92749502413826178691435678</v>
      </c>
      <c r="I23" s="113">
        <v>104.98034977794081868124881374</v>
      </c>
      <c r="J23" s="113">
        <v>107.27297427476284008095592956</v>
      </c>
      <c r="K23" s="113">
        <v>96.26947777804364824364097520</v>
      </c>
      <c r="L23" s="113">
        <v>111.65312318437562081729614945</v>
      </c>
      <c r="M23" s="113">
        <v>123.37295127110203556222117005</v>
      </c>
      <c r="N23" s="1008">
        <v>121.10398006437079077702074716</v>
      </c>
      <c r="O23" s="113">
        <v>115.00153227694342720086570114</v>
      </c>
      <c r="P23" s="113">
        <v>105.57365066058408195095925359</v>
      </c>
      <c r="Q23" s="113">
        <v>104.37089791928501605920960760</v>
      </c>
      <c r="R23" s="113">
        <v>105.69995896426635614248296614</v>
      </c>
      <c r="S23" s="113">
        <v>108.79861158685716774693036657</v>
      </c>
      <c r="T23" s="1008">
        <v>112.92577170156519865270297972</v>
      </c>
      <c r="U23" s="113"/>
      <c r="V23" s="576">
        <v>119.88135993272120895117871590</v>
      </c>
      <c r="W23" s="113">
        <v>111.29823712510149719893112527</v>
      </c>
      <c r="X23" s="577">
        <v>108.52110033772140793548516211</v>
      </c>
      <c r="Y23" s="113"/>
      <c r="Z23" s="576">
        <v>121.48994197935823800085188841</v>
      </c>
      <c r="AA23" s="113">
        <v>114.85609196319806495614607781</v>
      </c>
      <c r="AB23" s="577">
        <v>108.89678921262728252021040054</v>
      </c>
      <c r="AC23" s="113"/>
      <c r="AD23" s="576">
        <v>120.84044018336276279629529115</v>
      </c>
      <c r="AE23" s="113">
        <v>110.31800495338714725511844140</v>
      </c>
      <c r="AF23" s="577">
        <v>109.65665482053342747912169645</v>
      </c>
      <c r="AG23" s="113"/>
    </row>
    <row r="24" ht="21.95" customHeight="1">
      <c r="A24" s="23"/>
      <c r="B24" s="39" t="s">
        <v>23</v>
      </c>
      <c r="C24" s="273" t="s">
        <v>219</v>
      </c>
      <c r="D24" s="274" t="s">
        <v>219</v>
      </c>
      <c r="E24" s="274" t="s">
        <v>222</v>
      </c>
      <c r="F24" s="274" t="s">
        <v>222</v>
      </c>
      <c r="G24" s="274" t="s">
        <v>219</v>
      </c>
      <c r="H24" s="274" t="s">
        <v>226</v>
      </c>
      <c r="I24" s="274" t="s">
        <v>227</v>
      </c>
      <c r="J24" s="274" t="s">
        <v>226</v>
      </c>
      <c r="K24" s="274" t="s">
        <v>227</v>
      </c>
      <c r="L24" s="274" t="s">
        <v>226</v>
      </c>
      <c r="M24" s="274" t="s">
        <v>233</v>
      </c>
      <c r="N24" s="1009" t="s">
        <v>233</v>
      </c>
      <c r="O24" s="274" t="s">
        <v>233</v>
      </c>
      <c r="P24" s="274" t="s">
        <v>233</v>
      </c>
      <c r="Q24" s="274" t="s">
        <v>233</v>
      </c>
      <c r="R24" s="274" t="s">
        <v>226</v>
      </c>
      <c r="S24" s="274" t="s">
        <v>226</v>
      </c>
      <c r="T24" s="1009" t="s">
        <v>226</v>
      </c>
      <c r="U24" s="113"/>
      <c r="V24" s="273" t="s">
        <v>219</v>
      </c>
      <c r="W24" s="274" t="s">
        <v>219</v>
      </c>
      <c r="X24" s="275" t="s">
        <v>226</v>
      </c>
      <c r="Y24" s="113"/>
      <c r="Z24" s="273" t="s">
        <v>219</v>
      </c>
      <c r="AA24" s="274" t="s">
        <v>219</v>
      </c>
      <c r="AB24" s="275" t="s">
        <v>226</v>
      </c>
      <c r="AC24" s="113"/>
      <c r="AD24" s="273" t="s">
        <v>222</v>
      </c>
      <c r="AE24" s="274" t="s">
        <v>219</v>
      </c>
      <c r="AF24" s="275" t="s">
        <v>226</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-5.4103028734095475176222319200</v>
      </c>
      <c r="D26" s="574">
        <v>-1.0560406918010891251715855100</v>
      </c>
      <c r="E26" s="574">
        <v>1.1466666666699033600000001100</v>
      </c>
      <c r="F26" s="574">
        <v>7.0144927536380773787019554400</v>
      </c>
      <c r="G26" s="574">
        <v>9.772296015219008817948445420</v>
      </c>
      <c r="H26" s="574">
        <v>-8.845136644091452728483055340</v>
      </c>
      <c r="I26" s="574">
        <v>-10.557532621577147368109993510</v>
      </c>
      <c r="J26" s="574">
        <v>1.6096579476235562266962317700</v>
      </c>
      <c r="K26" s="574">
        <v>-1.9058295964741398379214960500</v>
      </c>
      <c r="L26" s="574">
        <v>-0.2201257861962799335469217300</v>
      </c>
      <c r="M26" s="574">
        <v>19.429347826142127687854467830</v>
      </c>
      <c r="N26" s="1006">
        <v>4.3857101365542146448923279400</v>
      </c>
      <c r="O26" s="574">
        <v>1.5051997810441824556484006300</v>
      </c>
      <c r="P26" s="574">
        <v>-0.2429816458873724573168059900</v>
      </c>
      <c r="Q26" s="574">
        <v>-1.4764039018783622459650259600</v>
      </c>
      <c r="R26" s="574">
        <v>-0.2166847237021124999853212200</v>
      </c>
      <c r="S26" s="574">
        <v>-4.2350907519208467641629673300</v>
      </c>
      <c r="T26" s="1006">
        <v>3.384912959425038067410200200</v>
      </c>
      <c r="U26" s="113"/>
      <c r="V26" s="573">
        <v>-2.1382189239336090833364885900</v>
      </c>
      <c r="W26" s="574">
        <v>0.2518477777561640790797630900</v>
      </c>
      <c r="X26" s="575">
        <v>-0.307946953635871630961060700</v>
      </c>
      <c r="Y26" s="113"/>
      <c r="Z26" s="573">
        <v>-3.4977837733260832829694528500</v>
      </c>
      <c r="AA26" s="574">
        <v>2.4962556165239659233067778500</v>
      </c>
      <c r="AB26" s="575">
        <v>-0.487092060387239336349522300</v>
      </c>
      <c r="AC26" s="113"/>
      <c r="AD26" s="573">
        <v>0.6810499105615325573791893500</v>
      </c>
      <c r="AE26" s="574">
        <v>-1.848919906327996190291486900</v>
      </c>
      <c r="AF26" s="575">
        <v>0.7141458131607088665892572900</v>
      </c>
      <c r="AG26" s="113"/>
    </row>
    <row r="27" ht="21.95" customHeight="1">
      <c r="B27" s="38" t="s">
        <v>35</v>
      </c>
      <c r="C27" s="271">
        <v>8.380391290011083992619833670</v>
      </c>
      <c r="D27" s="92">
        <v>6.955286503440645881586408700</v>
      </c>
      <c r="E27" s="92">
        <v>6.4801783871787104545535548400</v>
      </c>
      <c r="F27" s="92">
        <v>9.035389159828962321062693130</v>
      </c>
      <c r="G27" s="92">
        <v>5.1458254307033809605965666300</v>
      </c>
      <c r="H27" s="92">
        <v>9.688941719189958195026143510</v>
      </c>
      <c r="I27" s="92">
        <v>8.299058686749509123586485400</v>
      </c>
      <c r="J27" s="92">
        <v>2.5066146776509641627481787500</v>
      </c>
      <c r="K27" s="92">
        <v>13.526353072334609592413645840</v>
      </c>
      <c r="L27" s="92">
        <v>3.4253974778835803468902603300</v>
      </c>
      <c r="M27" s="92">
        <v>-9.819630555361829633818750310</v>
      </c>
      <c r="N27" s="1007">
        <v>-11.735142118840361758062966710</v>
      </c>
      <c r="O27" s="92">
        <v>-5.0061662325100498935661145200</v>
      </c>
      <c r="P27" s="92">
        <v>3.1790057882021967977830609400</v>
      </c>
      <c r="Q27" s="92">
        <v>2.5663297536767634524400229900</v>
      </c>
      <c r="R27" s="92">
        <v>6.0719581261605235697468872600</v>
      </c>
      <c r="S27" s="92">
        <v>5.0579694810350822105738340400</v>
      </c>
      <c r="T27" s="1007">
        <v>5.2175149274675006784949473800</v>
      </c>
      <c r="U27" s="113"/>
      <c r="V27" s="271">
        <v>11.480812437951631902879620860</v>
      </c>
      <c r="W27" s="92">
        <v>7.983092615074706536933051590</v>
      </c>
      <c r="X27" s="272">
        <v>2.2432478560976006483446698400</v>
      </c>
      <c r="Y27" s="113"/>
      <c r="Z27" s="271">
        <v>0.2042238371005007340592460500</v>
      </c>
      <c r="AA27" s="92">
        <v>8.416227081327576847761293280</v>
      </c>
      <c r="AB27" s="272">
        <v>4.9586841676584652808620981100</v>
      </c>
      <c r="AC27" s="113"/>
      <c r="AD27" s="271">
        <v>12.422642535414910700622437630</v>
      </c>
      <c r="AE27" s="92">
        <v>7.5130005116351057796768948500</v>
      </c>
      <c r="AF27" s="272">
        <v>1.3215627894848412988888869900</v>
      </c>
      <c r="AG27" s="113"/>
    </row>
    <row r="28" ht="21.95" customHeight="1">
      <c r="B28" s="40" t="s">
        <v>97</v>
      </c>
      <c r="C28" s="576">
        <v>-12.724344320236683181250565750</v>
      </c>
      <c r="D28" s="113">
        <v>-7.4903517696348095376063687900</v>
      </c>
      <c r="E28" s="113">
        <v>-5.0089244789563665692749796400</v>
      </c>
      <c r="F28" s="113">
        <v>-1.8534316443451068340037253700</v>
      </c>
      <c r="G28" s="113">
        <v>4.400051609816473279962130200</v>
      </c>
      <c r="H28" s="113">
        <v>-16.896943368113885343212481740</v>
      </c>
      <c r="I28" s="113">
        <v>-17.411592988021210678072107120</v>
      </c>
      <c r="J28" s="113">
        <v>-0.875023268252534590204871600</v>
      </c>
      <c r="K28" s="113">
        <v>-13.593480501315687629678736110</v>
      </c>
      <c r="L28" s="113">
        <v>-3.5247853553048770118826648800</v>
      </c>
      <c r="M28" s="113">
        <v>32.433864001196635578732425630</v>
      </c>
      <c r="N28" s="1008">
        <v>18.264179699971695908353493180</v>
      </c>
      <c r="O28" s="113">
        <v>6.854514398814631400113718700</v>
      </c>
      <c r="P28" s="113">
        <v>-3.3165539907241669428863180700</v>
      </c>
      <c r="Q28" s="113">
        <v>-3.9415797224107564048029421800</v>
      </c>
      <c r="R28" s="113">
        <v>-5.9286572634084491403949800400</v>
      </c>
      <c r="S28" s="113">
        <v>-8.845649957680113669797790340</v>
      </c>
      <c r="T28" s="1008">
        <v>-1.7417270968231275874956175900</v>
      </c>
      <c r="U28" s="113"/>
      <c r="V28" s="576">
        <v>-12.216480185350200927984766530</v>
      </c>
      <c r="W28" s="113">
        <v>-7.1596808815123285507660839400</v>
      </c>
      <c r="X28" s="577">
        <v>-2.4952208221025736607710311200</v>
      </c>
      <c r="Y28" s="113"/>
      <c r="Z28" s="576">
        <v>-3.6944626371432876509511993700</v>
      </c>
      <c r="AA28" s="113">
        <v>-5.4604108851470022812211110100</v>
      </c>
      <c r="AB28" s="577">
        <v>-5.1884951409299941109365250700</v>
      </c>
      <c r="AC28" s="113"/>
      <c r="AD28" s="576">
        <v>-10.444152850395672666204650690</v>
      </c>
      <c r="AE28" s="113">
        <v>-8.707710112643509406530928180</v>
      </c>
      <c r="AF28" s="577">
        <v>-0.5994942830464862528813552600</v>
      </c>
      <c r="AG28" s="113"/>
    </row>
    <row r="29" ht="21.95" customHeight="1">
      <c r="A29" s="23"/>
      <c r="B29" s="39" t="s">
        <v>23</v>
      </c>
      <c r="C29" s="273" t="s">
        <v>235</v>
      </c>
      <c r="D29" s="274" t="s">
        <v>237</v>
      </c>
      <c r="E29" s="274" t="s">
        <v>238</v>
      </c>
      <c r="F29" s="274" t="s">
        <v>236</v>
      </c>
      <c r="G29" s="274" t="s">
        <v>238</v>
      </c>
      <c r="H29" s="274" t="s">
        <v>239</v>
      </c>
      <c r="I29" s="274" t="s">
        <v>239</v>
      </c>
      <c r="J29" s="274" t="s">
        <v>227</v>
      </c>
      <c r="K29" s="274" t="s">
        <v>239</v>
      </c>
      <c r="L29" s="274" t="s">
        <v>227</v>
      </c>
      <c r="M29" s="274" t="s">
        <v>226</v>
      </c>
      <c r="N29" s="1009" t="s">
        <v>233</v>
      </c>
      <c r="O29" s="274" t="s">
        <v>226</v>
      </c>
      <c r="P29" s="274" t="s">
        <v>227</v>
      </c>
      <c r="Q29" s="274" t="s">
        <v>240</v>
      </c>
      <c r="R29" s="274" t="s">
        <v>240</v>
      </c>
      <c r="S29" s="274" t="s">
        <v>227</v>
      </c>
      <c r="T29" s="1009" t="s">
        <v>240</v>
      </c>
      <c r="U29" s="113"/>
      <c r="V29" s="273" t="s">
        <v>237</v>
      </c>
      <c r="W29" s="274" t="s">
        <v>237</v>
      </c>
      <c r="X29" s="275" t="s">
        <v>226</v>
      </c>
      <c r="Y29" s="113"/>
      <c r="Z29" s="273" t="s">
        <v>238</v>
      </c>
      <c r="AA29" s="274" t="s">
        <v>238</v>
      </c>
      <c r="AB29" s="275" t="s">
        <v>239</v>
      </c>
      <c r="AC29" s="113"/>
      <c r="AD29" s="273" t="s">
        <v>238</v>
      </c>
      <c r="AE29" s="274" t="s">
        <v>235</v>
      </c>
      <c r="AF29" s="275" t="s">
        <v>227</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2024</v>
      </c>
      <c r="D31" s="1002"/>
      <c r="E31" s="1002"/>
      <c r="F31" s="1002"/>
      <c r="G31" s="1002"/>
      <c r="H31" s="1002"/>
      <c r="I31" s="1002"/>
      <c r="J31" s="1002"/>
      <c r="K31" s="1002"/>
      <c r="L31" s="1002"/>
      <c r="M31" s="1002"/>
      <c r="N31" s="1002"/>
      <c r="O31" s="1002">
        <v>2025</v>
      </c>
      <c r="P31" s="1002"/>
      <c r="Q31" s="1002"/>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218</v>
      </c>
      <c r="D32" s="269" t="s">
        <v>220</v>
      </c>
      <c r="E32" s="269" t="s">
        <v>221</v>
      </c>
      <c r="F32" s="269" t="s">
        <v>223</v>
      </c>
      <c r="G32" s="269" t="s">
        <v>224</v>
      </c>
      <c r="H32" s="269" t="s">
        <v>225</v>
      </c>
      <c r="I32" s="269" t="s">
        <v>228</v>
      </c>
      <c r="J32" s="269" t="s">
        <v>229</v>
      </c>
      <c r="K32" s="269" t="s">
        <v>230</v>
      </c>
      <c r="L32" s="269" t="s">
        <v>231</v>
      </c>
      <c r="M32" s="269" t="s">
        <v>232</v>
      </c>
      <c r="N32" s="1005" t="s">
        <v>234</v>
      </c>
      <c r="O32" s="269" t="s">
        <v>218</v>
      </c>
      <c r="P32" s="269" t="s">
        <v>220</v>
      </c>
      <c r="Q32" s="269" t="s">
        <v>221</v>
      </c>
      <c r="R32" s="269" t="s">
        <v>223</v>
      </c>
      <c r="S32" s="269" t="s">
        <v>224</v>
      </c>
      <c r="T32" s="1005" t="s">
        <v>225</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287.56403940886699507389162562</v>
      </c>
      <c r="D33" s="579">
        <v>351.08152937868990722518976666</v>
      </c>
      <c r="E33" s="579">
        <v>312.21697864487213287635117321</v>
      </c>
      <c r="F33" s="579">
        <v>258.44718309859154929577464789</v>
      </c>
      <c r="G33" s="579">
        <v>223.86142322097378277153558052</v>
      </c>
      <c r="H33" s="579">
        <v>171.17375886524822695035460993</v>
      </c>
      <c r="I33" s="579">
        <v>179.42672413793103448275862069</v>
      </c>
      <c r="J33" s="579">
        <v>158.6950495049504950495049505</v>
      </c>
      <c r="K33" s="579">
        <v>160.40228571428571428571428571</v>
      </c>
      <c r="L33" s="579">
        <v>192.31705011030570438071225969</v>
      </c>
      <c r="M33" s="579">
        <v>197.74146757679180887372013652</v>
      </c>
      <c r="N33" s="1010">
        <v>278.76683361157484696716750139</v>
      </c>
      <c r="O33" s="579">
        <v>280.59288217848476678349959558</v>
      </c>
      <c r="P33" s="579">
        <v>341.18622300058377116170461179</v>
      </c>
      <c r="Q33" s="579">
        <v>296.99331014182499331014182499</v>
      </c>
      <c r="R33" s="579">
        <v>266.56623235613463626492942454</v>
      </c>
      <c r="S33" s="579">
        <v>222.62274368231046931407942238</v>
      </c>
      <c r="T33" s="1010">
        <v>175.03960087309011537262238853</v>
      </c>
      <c r="U33" s="113"/>
      <c r="V33" s="578">
        <v>276.78283330963552775013033793</v>
      </c>
      <c r="W33" s="579">
        <v>270.15778833043396492547839579</v>
      </c>
      <c r="X33" s="580">
        <v>265.70242329397258974723763456</v>
      </c>
      <c r="Y33" s="113"/>
      <c r="Z33" s="578">
        <v>236.63155267099350973539690464</v>
      </c>
      <c r="AA33" s="579">
        <v>220.37905504140282513395031661</v>
      </c>
      <c r="AB33" s="580">
        <v>223.53206069505628976994615761</v>
      </c>
      <c r="AC33" s="113"/>
      <c r="AD33" s="578">
        <v>257.61914284303559966424727201</v>
      </c>
      <c r="AE33" s="579">
        <v>243.6697938092610244318466864</v>
      </c>
      <c r="AF33" s="580">
        <v>233.59279238780250243500412078</v>
      </c>
      <c r="AG33" s="113"/>
    </row>
    <row r="34" ht="21.95" customHeight="1">
      <c r="B34" s="38" t="s">
        <v>35</v>
      </c>
      <c r="C34" s="276">
        <v>330.13604342581423401688781665</v>
      </c>
      <c r="D34" s="94">
        <v>384.66018085106382978723404255</v>
      </c>
      <c r="E34" s="94">
        <v>357.98414403032217308907138345</v>
      </c>
      <c r="F34" s="94">
        <v>308.43953020134228187919463087</v>
      </c>
      <c r="G34" s="94">
        <v>277.21491387715307117322066948</v>
      </c>
      <c r="H34" s="94">
        <v>223.44614586295137901620699461</v>
      </c>
      <c r="I34" s="94">
        <v>234.55057833578202217176439163</v>
      </c>
      <c r="J34" s="94">
        <v>207.8975057736720554272517321</v>
      </c>
      <c r="K34" s="94">
        <v>192.74771742189698846045595271</v>
      </c>
      <c r="L34" s="94">
        <v>263.56058871185525249797461516</v>
      </c>
      <c r="M34" s="94">
        <v>271.05020331223912750774202237</v>
      </c>
      <c r="N34" s="1011">
        <v>439.15032841996379622446340835</v>
      </c>
      <c r="O34" s="94">
        <v>371.27491969066032123735871505</v>
      </c>
      <c r="P34" s="94">
        <v>447.05798864845689960979070592</v>
      </c>
      <c r="Q34" s="94">
        <v>380.13227628335655342407030329</v>
      </c>
      <c r="R34" s="94">
        <v>347.65955741495100737641748321</v>
      </c>
      <c r="S34" s="94">
        <v>284.35498492840994724943481537</v>
      </c>
      <c r="T34" s="1011">
        <v>219.91975408728550195919470341</v>
      </c>
      <c r="U34" s="113"/>
      <c r="V34" s="276">
        <v>341.82574760860026327336551118</v>
      </c>
      <c r="W34" s="94">
        <v>319.67516599442610367754924508</v>
      </c>
      <c r="X34" s="277">
        <v>345.54003100377179644147791228</v>
      </c>
      <c r="Y34" s="113"/>
      <c r="Z34" s="276">
        <v>294.10763712286509668196523964</v>
      </c>
      <c r="AA34" s="94">
        <v>275.24687619404382843229069114</v>
      </c>
      <c r="AB34" s="277">
        <v>288.36833224249365949439581118</v>
      </c>
      <c r="AC34" s="113"/>
      <c r="AD34" s="276">
        <v>309.80089736631495671851858666</v>
      </c>
      <c r="AE34" s="94">
        <v>285.25815709844849172639977522</v>
      </c>
      <c r="AF34" s="277">
        <v>310.16486811685582177385456074</v>
      </c>
      <c r="AG34" s="113"/>
    </row>
    <row r="35" ht="21.95" customHeight="1">
      <c r="B35" s="40" t="s">
        <v>98</v>
      </c>
      <c r="C35" s="576">
        <v>87.10470884209851174118427373</v>
      </c>
      <c r="D35" s="113">
        <v>91.27056733605389271851198264</v>
      </c>
      <c r="E35" s="113">
        <v>87.21530935136777849660479273</v>
      </c>
      <c r="F35" s="113">
        <v>83.79184825301690699711921300</v>
      </c>
      <c r="G35" s="113">
        <v>80.75374448293188908175984367</v>
      </c>
      <c r="H35" s="113">
        <v>76.606270474765233811991091690</v>
      </c>
      <c r="I35" s="113">
        <v>76.498094957178247335870588280</v>
      </c>
      <c r="J35" s="113">
        <v>76.333310933365779622056509800</v>
      </c>
      <c r="K35" s="113">
        <v>83.21877315059752970425237664</v>
      </c>
      <c r="L35" s="113">
        <v>72.968819446874461646903355380</v>
      </c>
      <c r="M35" s="113">
        <v>72.953816363321444989816364480</v>
      </c>
      <c r="N35" s="1008">
        <v>63.478680436045214370368772910</v>
      </c>
      <c r="O35" s="113">
        <v>75.575501413410793450626608370</v>
      </c>
      <c r="P35" s="113">
        <v>76.318113458171964346034551340</v>
      </c>
      <c r="Q35" s="113">
        <v>78.128937917496798733279858980</v>
      </c>
      <c r="R35" s="113">
        <v>76.674501439905894860620777030</v>
      </c>
      <c r="S35" s="113">
        <v>78.290431144847493358975306030</v>
      </c>
      <c r="T35" s="1008">
        <v>79.59248663201299986124713456</v>
      </c>
      <c r="U35" s="113"/>
      <c r="V35" s="576">
        <v>80.97190900509916520275952721</v>
      </c>
      <c r="W35" s="113">
        <v>84.51009558095186232827723004</v>
      </c>
      <c r="X35" s="577">
        <v>76.894831120464472657484939740</v>
      </c>
      <c r="Y35" s="113"/>
      <c r="Z35" s="576">
        <v>80.45746618001330030071968467</v>
      </c>
      <c r="AA35" s="113">
        <v>80.06596045292621662862159291</v>
      </c>
      <c r="AB35" s="577">
        <v>77.516161000327733401790944270</v>
      </c>
      <c r="AC35" s="113"/>
      <c r="AD35" s="576">
        <v>83.15635785213167438049378816</v>
      </c>
      <c r="AE35" s="113">
        <v>85.42079787930725476804098812</v>
      </c>
      <c r="AF35" s="577">
        <v>75.31246004939612846070627400</v>
      </c>
      <c r="AG35" s="113"/>
    </row>
    <row r="36" ht="21.95" customHeight="1">
      <c r="A36" s="23"/>
      <c r="B36" s="39" t="s">
        <v>23</v>
      </c>
      <c r="C36" s="273" t="s">
        <v>219</v>
      </c>
      <c r="D36" s="274" t="s">
        <v>219</v>
      </c>
      <c r="E36" s="274" t="s">
        <v>219</v>
      </c>
      <c r="F36" s="274" t="s">
        <v>219</v>
      </c>
      <c r="G36" s="274" t="s">
        <v>219</v>
      </c>
      <c r="H36" s="274" t="s">
        <v>227</v>
      </c>
      <c r="I36" s="274" t="s">
        <v>227</v>
      </c>
      <c r="J36" s="274" t="s">
        <v>227</v>
      </c>
      <c r="K36" s="274" t="s">
        <v>226</v>
      </c>
      <c r="L36" s="274" t="s">
        <v>226</v>
      </c>
      <c r="M36" s="274" t="s">
        <v>226</v>
      </c>
      <c r="N36" s="1009" t="s">
        <v>226</v>
      </c>
      <c r="O36" s="274" t="s">
        <v>226</v>
      </c>
      <c r="P36" s="274" t="s">
        <v>226</v>
      </c>
      <c r="Q36" s="274" t="s">
        <v>226</v>
      </c>
      <c r="R36" s="274" t="s">
        <v>226</v>
      </c>
      <c r="S36" s="274" t="s">
        <v>226</v>
      </c>
      <c r="T36" s="1009" t="s">
        <v>226</v>
      </c>
      <c r="U36" s="113"/>
      <c r="V36" s="273" t="s">
        <v>236</v>
      </c>
      <c r="W36" s="274" t="s">
        <v>219</v>
      </c>
      <c r="X36" s="275" t="s">
        <v>226</v>
      </c>
      <c r="Y36" s="113"/>
      <c r="Z36" s="273" t="s">
        <v>236</v>
      </c>
      <c r="AA36" s="274" t="s">
        <v>219</v>
      </c>
      <c r="AB36" s="275" t="s">
        <v>226</v>
      </c>
      <c r="AC36" s="113"/>
      <c r="AD36" s="273" t="s">
        <v>236</v>
      </c>
      <c r="AE36" s="274" t="s">
        <v>219</v>
      </c>
      <c r="AF36" s="275" t="s">
        <v>226</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2.2539092647899099129884983200</v>
      </c>
      <c r="D38" s="574">
        <v>1.2162344522410634697652324300</v>
      </c>
      <c r="E38" s="574">
        <v>-0.7483064832101831910544914300</v>
      </c>
      <c r="F38" s="574">
        <v>-1.9665363402226929105900365600</v>
      </c>
      <c r="G38" s="574">
        <v>-14.640373994918915216975929880</v>
      </c>
      <c r="H38" s="574">
        <v>-7.6972330895483458723735015600</v>
      </c>
      <c r="I38" s="574">
        <v>-3.2597745184463937248828842200</v>
      </c>
      <c r="J38" s="574">
        <v>-6.1624018703361361635951644900</v>
      </c>
      <c r="K38" s="574">
        <v>-1.1041850725666247487794883100</v>
      </c>
      <c r="L38" s="574">
        <v>3.8954704505473957463029178900</v>
      </c>
      <c r="M38" s="574">
        <v>-13.506194806365047538624903530</v>
      </c>
      <c r="N38" s="1006">
        <v>-16.007339721233494521939845730</v>
      </c>
      <c r="O38" s="574">
        <v>-2.4242103584108571590060360400</v>
      </c>
      <c r="P38" s="574">
        <v>-2.8185209274972965284833102800</v>
      </c>
      <c r="Q38" s="574">
        <v>-4.8759899506905570964352785100</v>
      </c>
      <c r="R38" s="574">
        <v>3.1414733022789974030718427700</v>
      </c>
      <c r="S38" s="574">
        <v>-0.5533242489335396102514076700</v>
      </c>
      <c r="T38" s="1006">
        <v>2.2584314520629771120486298800</v>
      </c>
      <c r="U38" s="113"/>
      <c r="V38" s="573">
        <v>-10.870454309913328024215601190</v>
      </c>
      <c r="W38" s="574">
        <v>-2.3935895517607776715943349500</v>
      </c>
      <c r="X38" s="575">
        <v>-1.6491714208803589545875536500</v>
      </c>
      <c r="Y38" s="113"/>
      <c r="Z38" s="573">
        <v>-20.537297093412308947401377760</v>
      </c>
      <c r="AA38" s="574">
        <v>-6.8682715581018852089454383700</v>
      </c>
      <c r="AB38" s="575">
        <v>1.4307192909344184198899066800</v>
      </c>
      <c r="AC38" s="113"/>
      <c r="AD38" s="573">
        <v>-7.7582633061749369608052678600</v>
      </c>
      <c r="AE38" s="574">
        <v>-5.4147175865110622540094706200</v>
      </c>
      <c r="AF38" s="575">
        <v>-4.135515224912910255468430800</v>
      </c>
      <c r="AG38" s="113"/>
    </row>
    <row r="39" ht="21.95" customHeight="1">
      <c r="B39" s="38" t="s">
        <v>35</v>
      </c>
      <c r="C39" s="271">
        <v>-3.3178220622261525888217845200</v>
      </c>
      <c r="D39" s="92">
        <v>-9.522847999293038540960644920</v>
      </c>
      <c r="E39" s="92">
        <v>-7.3738141736572682901672865500</v>
      </c>
      <c r="F39" s="92">
        <v>-10.688279842937158953578849690</v>
      </c>
      <c r="G39" s="92">
        <v>-7.7344904555041594675486860700</v>
      </c>
      <c r="H39" s="92">
        <v>-0.0140374678165911566609575900</v>
      </c>
      <c r="I39" s="92">
        <v>4.8264792156227410170163342600</v>
      </c>
      <c r="J39" s="92">
        <v>2.9993072278396522904370573800</v>
      </c>
      <c r="K39" s="92">
        <v>3.8881055866302187946017558200</v>
      </c>
      <c r="L39" s="92">
        <v>18.800681845644874103809502030</v>
      </c>
      <c r="M39" s="92">
        <v>13.459235277855673162197742640</v>
      </c>
      <c r="N39" s="1007">
        <v>14.88950536900714641254525500</v>
      </c>
      <c r="O39" s="92">
        <v>12.461188980750150493966081200</v>
      </c>
      <c r="P39" s="92">
        <v>16.221540701014429594312802440</v>
      </c>
      <c r="Q39" s="92">
        <v>6.1869031414927477268931779100</v>
      </c>
      <c r="R39" s="92">
        <v>12.715629280090799527412943390</v>
      </c>
      <c r="S39" s="92">
        <v>2.5756446330202994990319110900</v>
      </c>
      <c r="T39" s="1007">
        <v>-1.5781842027727837376098714700</v>
      </c>
      <c r="U39" s="113"/>
      <c r="V39" s="271">
        <v>-10.780293092799915348776776560</v>
      </c>
      <c r="W39" s="92">
        <v>-6.4800799147339038686808504100</v>
      </c>
      <c r="X39" s="272">
        <v>8.090983523513644321934809400</v>
      </c>
      <c r="Y39" s="113"/>
      <c r="Z39" s="271">
        <v>-13.190490180460216081300055520</v>
      </c>
      <c r="AA39" s="92">
        <v>-6.412876970268795084450309500</v>
      </c>
      <c r="AB39" s="272">
        <v>4.7671589338021664459579945500</v>
      </c>
      <c r="AC39" s="113"/>
      <c r="AD39" s="271">
        <v>-9.496761581819233786776567400</v>
      </c>
      <c r="AE39" s="92">
        <v>-7.9221010902472796842884671500</v>
      </c>
      <c r="AF39" s="272">
        <v>8.731287922421876426198544900</v>
      </c>
      <c r="AG39" s="113"/>
    </row>
    <row r="40" ht="21.95" customHeight="1">
      <c r="B40" s="40" t="s">
        <v>98</v>
      </c>
      <c r="C40" s="576">
        <v>5.7629352646680197238432986400</v>
      </c>
      <c r="D40" s="113">
        <v>11.869386042798186131863907460</v>
      </c>
      <c r="E40" s="113">
        <v>7.1529531647831752157817245600</v>
      </c>
      <c r="F40" s="113">
        <v>9.765508364799709929322405360</v>
      </c>
      <c r="G40" s="113">
        <v>-7.4847942351943574675507628800</v>
      </c>
      <c r="H40" s="113">
        <v>-7.6842742992487367940105153400</v>
      </c>
      <c r="I40" s="113">
        <v>-7.7139419301128782284550640500</v>
      </c>
      <c r="J40" s="113">
        <v>-8.894923028868001935083567110</v>
      </c>
      <c r="K40" s="113">
        <v>-4.8054497009186050789669439400</v>
      </c>
      <c r="L40" s="113">
        <v>-12.546402228969786748893556700</v>
      </c>
      <c r="M40" s="113">
        <v>-23.766624213702842583420651850</v>
      </c>
      <c r="N40" s="1008">
        <v>-26.892660901471950777036897620</v>
      </c>
      <c r="O40" s="113">
        <v>-13.236032336195396288191402340</v>
      </c>
      <c r="P40" s="113">
        <v>-16.382558270801864642519840590</v>
      </c>
      <c r="Q40" s="113">
        <v>-10.418321624352920745535600320</v>
      </c>
      <c r="R40" s="113">
        <v>-8.494080225565716331614933060</v>
      </c>
      <c r="S40" s="113">
        <v>-3.0504013824078774172712709400</v>
      </c>
      <c r="T40" s="1008">
        <v>3.8981354120291366815442046700</v>
      </c>
      <c r="U40" s="113"/>
      <c r="V40" s="576">
        <v>-0.1010552716195721950935394700</v>
      </c>
      <c r="W40" s="113">
        <v>4.3696469792122726566041614900</v>
      </c>
      <c r="X40" s="577">
        <v>-9.011070698927987930605746430</v>
      </c>
      <c r="Y40" s="113"/>
      <c r="Z40" s="576">
        <v>-8.463136041463429670977082750</v>
      </c>
      <c r="AA40" s="113">
        <v>-0.4865996229584263193837595100</v>
      </c>
      <c r="AB40" s="577">
        <v>-3.1846235755483434215372030400</v>
      </c>
      <c r="AC40" s="113"/>
      <c r="AD40" s="576">
        <v>1.9209238322177195190226562900</v>
      </c>
      <c r="AE40" s="113">
        <v>2.7231111194585218772088863900</v>
      </c>
      <c r="AF40" s="577">
        <v>-11.833579269754658248319804390</v>
      </c>
      <c r="AG40" s="113"/>
    </row>
    <row r="41" ht="21.95" customHeight="1">
      <c r="A41" s="23"/>
      <c r="B41" s="39" t="s">
        <v>23</v>
      </c>
      <c r="C41" s="273" t="s">
        <v>236</v>
      </c>
      <c r="D41" s="274" t="s">
        <v>222</v>
      </c>
      <c r="E41" s="274" t="s">
        <v>219</v>
      </c>
      <c r="F41" s="274" t="s">
        <v>222</v>
      </c>
      <c r="G41" s="274" t="s">
        <v>238</v>
      </c>
      <c r="H41" s="274" t="s">
        <v>227</v>
      </c>
      <c r="I41" s="274" t="s">
        <v>226</v>
      </c>
      <c r="J41" s="274" t="s">
        <v>227</v>
      </c>
      <c r="K41" s="274" t="s">
        <v>226</v>
      </c>
      <c r="L41" s="274" t="s">
        <v>227</v>
      </c>
      <c r="M41" s="274" t="s">
        <v>240</v>
      </c>
      <c r="N41" s="1009" t="s">
        <v>240</v>
      </c>
      <c r="O41" s="274" t="s">
        <v>239</v>
      </c>
      <c r="P41" s="274" t="s">
        <v>239</v>
      </c>
      <c r="Q41" s="274" t="s">
        <v>240</v>
      </c>
      <c r="R41" s="274" t="s">
        <v>227</v>
      </c>
      <c r="S41" s="274" t="s">
        <v>226</v>
      </c>
      <c r="T41" s="1009" t="s">
        <v>233</v>
      </c>
      <c r="U41" s="113"/>
      <c r="V41" s="273" t="s">
        <v>237</v>
      </c>
      <c r="W41" s="274" t="s">
        <v>219</v>
      </c>
      <c r="X41" s="275" t="s">
        <v>240</v>
      </c>
      <c r="Y41" s="113"/>
      <c r="Z41" s="273" t="s">
        <v>237</v>
      </c>
      <c r="AA41" s="274" t="s">
        <v>236</v>
      </c>
      <c r="AB41" s="275" t="s">
        <v>226</v>
      </c>
      <c r="AC41" s="113"/>
      <c r="AD41" s="273" t="s">
        <v>238</v>
      </c>
      <c r="AE41" s="274" t="s">
        <v>219</v>
      </c>
      <c r="AF41" s="275" t="s">
        <v>240</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2024</v>
      </c>
      <c r="D43" s="1002"/>
      <c r="E43" s="1002"/>
      <c r="F43" s="1002"/>
      <c r="G43" s="1002"/>
      <c r="H43" s="1002"/>
      <c r="I43" s="1002"/>
      <c r="J43" s="1002"/>
      <c r="K43" s="1002"/>
      <c r="L43" s="1002"/>
      <c r="M43" s="1002"/>
      <c r="N43" s="1002"/>
      <c r="O43" s="1002">
        <v>2025</v>
      </c>
      <c r="P43" s="1002"/>
      <c r="Q43" s="1002"/>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218</v>
      </c>
      <c r="D44" s="269" t="s">
        <v>220</v>
      </c>
      <c r="E44" s="269" t="s">
        <v>221</v>
      </c>
      <c r="F44" s="269" t="s">
        <v>223</v>
      </c>
      <c r="G44" s="269" t="s">
        <v>224</v>
      </c>
      <c r="H44" s="269" t="s">
        <v>225</v>
      </c>
      <c r="I44" s="269" t="s">
        <v>228</v>
      </c>
      <c r="J44" s="269" t="s">
        <v>229</v>
      </c>
      <c r="K44" s="269" t="s">
        <v>230</v>
      </c>
      <c r="L44" s="269" t="s">
        <v>231</v>
      </c>
      <c r="M44" s="269" t="s">
        <v>232</v>
      </c>
      <c r="N44" s="1005" t="s">
        <v>234</v>
      </c>
      <c r="O44" s="269" t="s">
        <v>218</v>
      </c>
      <c r="P44" s="269" t="s">
        <v>220</v>
      </c>
      <c r="Q44" s="269" t="s">
        <v>221</v>
      </c>
      <c r="R44" s="269" t="s">
        <v>223</v>
      </c>
      <c r="S44" s="269" t="s">
        <v>224</v>
      </c>
      <c r="T44" s="1005" t="s">
        <v>225</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256.78372434017595307917888563</v>
      </c>
      <c r="D45" s="579">
        <v>326.2270114942528735632183908</v>
      </c>
      <c r="E45" s="579">
        <v>289.40347018572825024437927664</v>
      </c>
      <c r="F45" s="579">
        <v>240.95631313131313131313131313</v>
      </c>
      <c r="G45" s="579">
        <v>189.88831867057673509286412512</v>
      </c>
      <c r="H45" s="579">
        <v>134.08611111111111111111111111</v>
      </c>
      <c r="I45" s="579">
        <v>132.24608993157380254154447703</v>
      </c>
      <c r="J45" s="579">
        <v>117.50879765395894428152492669</v>
      </c>
      <c r="K45" s="579">
        <v>106.32727272727272727272727273</v>
      </c>
      <c r="L45" s="579">
        <v>149.12561094819159335288367546</v>
      </c>
      <c r="M45" s="579">
        <v>175.57045454545454545454545455</v>
      </c>
      <c r="N45" s="1010">
        <v>244.84066471163245356793743891</v>
      </c>
      <c r="O45" s="579">
        <v>254.33015640273704789833822092</v>
      </c>
      <c r="P45" s="579">
        <v>316.26190476190476190476190476</v>
      </c>
      <c r="Q45" s="579">
        <v>271.2277614858260019550342131</v>
      </c>
      <c r="R45" s="579">
        <v>247.98737373737373737373737374</v>
      </c>
      <c r="S45" s="579">
        <v>180.84017595307917888563049853</v>
      </c>
      <c r="T45" s="1010">
        <v>141.75555555555555555555555556</v>
      </c>
      <c r="U45" s="113"/>
      <c r="V45" s="578">
        <v>244.42662816005357441821530219</v>
      </c>
      <c r="W45" s="579">
        <v>239.17690642690642690642690643</v>
      </c>
      <c r="X45" s="580">
        <v>234.5080780177465260338188515</v>
      </c>
      <c r="Y45" s="113"/>
      <c r="Z45" s="578">
        <v>197.29145854145854145854145854</v>
      </c>
      <c r="AA45" s="579">
        <v>188.32758907758907758907758908</v>
      </c>
      <c r="AB45" s="580">
        <v>190.09157509157509157509157509</v>
      </c>
      <c r="AC45" s="113"/>
      <c r="AD45" s="578">
        <v>216.58615608136156081361560814</v>
      </c>
      <c r="AE45" s="579">
        <v>201.070955456201357840702103</v>
      </c>
      <c r="AF45" s="580">
        <v>194.13219178082191780821917808</v>
      </c>
      <c r="AG45" s="113"/>
    </row>
    <row r="46" ht="21.95" customHeight="1">
      <c r="B46" s="38" t="s">
        <v>35</v>
      </c>
      <c r="C46" s="276">
        <v>273.91455385326045115097390099</v>
      </c>
      <c r="D46" s="94">
        <v>327.32995391325805114845721105</v>
      </c>
      <c r="E46" s="94">
        <v>305.3985911155593194241281084</v>
      </c>
      <c r="F46" s="94">
        <v>255.9287430389817024661893397</v>
      </c>
      <c r="G46" s="94">
        <v>197.01061436600200169374085765</v>
      </c>
      <c r="H46" s="94">
        <v>152.29846802325581395348837209</v>
      </c>
      <c r="I46" s="94">
        <v>164.67368529632408102025506377</v>
      </c>
      <c r="J46" s="94">
        <v>143.5046455363840960240060015</v>
      </c>
      <c r="K46" s="94">
        <v>132.7195038759689922480620155</v>
      </c>
      <c r="L46" s="94">
        <v>183.03917104276069017254313578</v>
      </c>
      <c r="M46" s="94">
        <v>195.0668468992248062015503876</v>
      </c>
      <c r="N46" s="1011">
        <v>318.49105776444111027756939235</v>
      </c>
      <c r="O46" s="94">
        <v>292.62619092273068267066766692</v>
      </c>
      <c r="P46" s="94">
        <v>392.52174107142857142857142857</v>
      </c>
      <c r="Q46" s="94">
        <v>332.61574174793698424606151538</v>
      </c>
      <c r="R46" s="94">
        <v>305.98757364341085271317829457</v>
      </c>
      <c r="S46" s="94">
        <v>212.30630063765941485371342836</v>
      </c>
      <c r="T46" s="1011">
        <v>157.71570736434108527131782946</v>
      </c>
      <c r="U46" s="113"/>
      <c r="V46" s="276">
        <v>251.80391458936698386429458006</v>
      </c>
      <c r="W46" s="94">
        <v>254.28595060824774702841049613</v>
      </c>
      <c r="X46" s="277">
        <v>281.02598018116407554927405885</v>
      </c>
      <c r="Y46" s="113"/>
      <c r="Z46" s="276">
        <v>201.8373834357412092735064801</v>
      </c>
      <c r="AA46" s="94">
        <v>204.79153153655341564703587056</v>
      </c>
      <c r="AB46" s="277">
        <v>225.19333791208791208791208791</v>
      </c>
      <c r="AC46" s="113"/>
      <c r="AD46" s="276">
        <v>215.53754680029952191694026842</v>
      </c>
      <c r="AE46" s="94">
        <v>213.37292892259716669023910821</v>
      </c>
      <c r="AF46" s="277">
        <v>235.06920078050334501433577572</v>
      </c>
      <c r="AG46" s="113"/>
    </row>
    <row r="47" ht="21.95" customHeight="1">
      <c r="B47" s="40" t="s">
        <v>99</v>
      </c>
      <c r="C47" s="576">
        <v>93.74592212347403082288036759</v>
      </c>
      <c r="D47" s="113">
        <v>99.66304873542393154059800450</v>
      </c>
      <c r="E47" s="113">
        <v>94.76254265894198278427628520</v>
      </c>
      <c r="F47" s="113">
        <v>94.14976616932578085107629298</v>
      </c>
      <c r="G47" s="113">
        <v>96.38481626061441927134715218</v>
      </c>
      <c r="H47" s="113">
        <v>88.04166768808035714435971076</v>
      </c>
      <c r="I47" s="113">
        <v>80.30796765956946573840267803</v>
      </c>
      <c r="J47" s="113">
        <v>81.88501300060895906627863527</v>
      </c>
      <c r="K47" s="113">
        <v>80.11427832537291007069291128</v>
      </c>
      <c r="L47" s="113">
        <v>81.47196586315482818890903357</v>
      </c>
      <c r="M47" s="113">
        <v>90.00527631237094019232051373</v>
      </c>
      <c r="N47" s="1008">
        <v>76.875208500437850532987024950</v>
      </c>
      <c r="O47" s="113">
        <v>86.91298465143907266793512140</v>
      </c>
      <c r="P47" s="113">
        <v>80.57181849307462526023663548</v>
      </c>
      <c r="Q47" s="113">
        <v>81.54387403931053522058979169</v>
      </c>
      <c r="R47" s="113">
        <v>81.04491655807562624089926505</v>
      </c>
      <c r="S47" s="113">
        <v>85.17890209093810228510327779</v>
      </c>
      <c r="T47" s="1008">
        <v>89.88042974573302961628934566</v>
      </c>
      <c r="U47" s="113"/>
      <c r="V47" s="576">
        <v>97.07022567882787726135336944</v>
      </c>
      <c r="W47" s="113">
        <v>94.05824657431689452029557825</v>
      </c>
      <c r="X47" s="577">
        <v>83.44711683472835868388078055</v>
      </c>
      <c r="Y47" s="113"/>
      <c r="Z47" s="576">
        <v>97.74772898020169350481653834</v>
      </c>
      <c r="AA47" s="113">
        <v>91.96063316901924035331341184</v>
      </c>
      <c r="AB47" s="577">
        <v>84.41261045021401839197822862</v>
      </c>
      <c r="AC47" s="113"/>
      <c r="AD47" s="576">
        <v>100.48650886893183349853771864</v>
      </c>
      <c r="AE47" s="113">
        <v>94.23452003564092066631759814</v>
      </c>
      <c r="AF47" s="577">
        <v>82.58512435327342851846182677</v>
      </c>
      <c r="AG47" s="113"/>
    </row>
    <row r="48" ht="21.95" customHeight="1">
      <c r="A48" s="23"/>
      <c r="B48" s="39" t="s">
        <v>23</v>
      </c>
      <c r="C48" s="273" t="s">
        <v>219</v>
      </c>
      <c r="D48" s="274" t="s">
        <v>219</v>
      </c>
      <c r="E48" s="274" t="s">
        <v>219</v>
      </c>
      <c r="F48" s="274" t="s">
        <v>219</v>
      </c>
      <c r="G48" s="274" t="s">
        <v>219</v>
      </c>
      <c r="H48" s="274" t="s">
        <v>226</v>
      </c>
      <c r="I48" s="274" t="s">
        <v>227</v>
      </c>
      <c r="J48" s="274" t="s">
        <v>227</v>
      </c>
      <c r="K48" s="274" t="s">
        <v>227</v>
      </c>
      <c r="L48" s="274" t="s">
        <v>226</v>
      </c>
      <c r="M48" s="274" t="s">
        <v>226</v>
      </c>
      <c r="N48" s="1009" t="s">
        <v>226</v>
      </c>
      <c r="O48" s="274" t="s">
        <v>226</v>
      </c>
      <c r="P48" s="274" t="s">
        <v>226</v>
      </c>
      <c r="Q48" s="274" t="s">
        <v>226</v>
      </c>
      <c r="R48" s="274" t="s">
        <v>226</v>
      </c>
      <c r="S48" s="274" t="s">
        <v>226</v>
      </c>
      <c r="T48" s="1009" t="s">
        <v>226</v>
      </c>
      <c r="U48" s="113"/>
      <c r="V48" s="273" t="s">
        <v>219</v>
      </c>
      <c r="W48" s="274" t="s">
        <v>219</v>
      </c>
      <c r="X48" s="275" t="s">
        <v>226</v>
      </c>
      <c r="Y48" s="113"/>
      <c r="Z48" s="273" t="s">
        <v>219</v>
      </c>
      <c r="AA48" s="274" t="s">
        <v>219</v>
      </c>
      <c r="AB48" s="275" t="s">
        <v>226</v>
      </c>
      <c r="AC48" s="113"/>
      <c r="AD48" s="273" t="s">
        <v>219</v>
      </c>
      <c r="AE48" s="274" t="s">
        <v>219</v>
      </c>
      <c r="AF48" s="275" t="s">
        <v>226</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-3.2783369263201432682346229400</v>
      </c>
      <c r="D50" s="574">
        <v>0.147349829674445464388405100</v>
      </c>
      <c r="E50" s="574">
        <v>0.3897796024556957236371573900</v>
      </c>
      <c r="F50" s="574">
        <v>4.9100138643372400464617334400</v>
      </c>
      <c r="G50" s="574">
        <v>-6.2987786642600053603046342500</v>
      </c>
      <c r="H50" s="574">
        <v>-15.861538949083926065805710980</v>
      </c>
      <c r="I50" s="574">
        <v>-13.473155381894249131028395710</v>
      </c>
      <c r="J50" s="574">
        <v>-4.6519375141507881124224555800</v>
      </c>
      <c r="K50" s="574">
        <v>-2.9889707830734737770673180900</v>
      </c>
      <c r="L50" s="574">
        <v>3.6667697294080710262708322400</v>
      </c>
      <c r="M50" s="574">
        <v>3.2989874527243521923216165700</v>
      </c>
      <c r="N50" s="1006">
        <v>-12.323665105465448187067301180</v>
      </c>
      <c r="O50" s="574">
        <v>-0.955499786354193472357622200</v>
      </c>
      <c r="P50" s="574">
        <v>-3.0546540848195071602992651500</v>
      </c>
      <c r="Q50" s="574">
        <v>-6.2804045467081948954270206200</v>
      </c>
      <c r="R50" s="574">
        <v>2.9179814858149940578076020500</v>
      </c>
      <c r="S50" s="574">
        <v>-4.7649812167838871871079262500</v>
      </c>
      <c r="T50" s="1006">
        <v>5.7197903503226135601375834500</v>
      </c>
      <c r="U50" s="113"/>
      <c r="V50" s="573">
        <v>-12.776239122684775657125947130</v>
      </c>
      <c r="W50" s="574">
        <v>-2.1477699760907364650351534100</v>
      </c>
      <c r="X50" s="575">
        <v>-1.9520398013762315556109819400</v>
      </c>
      <c r="Y50" s="113"/>
      <c r="Z50" s="573">
        <v>-23.316730621577094592165362270</v>
      </c>
      <c r="AA50" s="574">
        <v>-4.5434655560749398611959224200</v>
      </c>
      <c r="AB50" s="575">
        <v>0.9366583104551106031407906300</v>
      </c>
      <c r="AC50" s="113"/>
      <c r="AD50" s="573">
        <v>-7.1300510409279076674125020700</v>
      </c>
      <c r="AE50" s="574">
        <v>-7.1635237015645329917690432400</v>
      </c>
      <c r="AF50" s="575">
        <v>-3.4509030205954224526483721600</v>
      </c>
      <c r="AG50" s="113"/>
    </row>
    <row r="51" ht="21.95" customHeight="1">
      <c r="B51" s="38" t="s">
        <v>35</v>
      </c>
      <c r="C51" s="271">
        <v>4.7845227566348363617468649500</v>
      </c>
      <c r="D51" s="92">
        <v>-3.2299028574969594914367190600</v>
      </c>
      <c r="E51" s="92">
        <v>-1.3714720988019529361906984200</v>
      </c>
      <c r="F51" s="92">
        <v>-2.6186183613761351284680192800</v>
      </c>
      <c r="G51" s="92">
        <v>-2.986668401619609350155434900</v>
      </c>
      <c r="H51" s="92">
        <v>9.673544169334438169969168850</v>
      </c>
      <c r="I51" s="92">
        <v>13.526090245006229608948352890</v>
      </c>
      <c r="J51" s="92">
        <v>5.5811029806141611890126327100</v>
      </c>
      <c r="K51" s="92">
        <v>17.940377548494954680774310970</v>
      </c>
      <c r="L51" s="92">
        <v>22.870077405286916842042773490</v>
      </c>
      <c r="M51" s="92">
        <v>2.3179575426299980621590009900</v>
      </c>
      <c r="N51" s="1007">
        <v>1.4070586343156452400495322900</v>
      </c>
      <c r="O51" s="92">
        <v>6.8311949132327030743974423200</v>
      </c>
      <c r="P51" s="92">
        <v>19.916230207088210148380403580</v>
      </c>
      <c r="Q51" s="92">
        <v>8.912009231252380458668770860</v>
      </c>
      <c r="R51" s="92">
        <v>19.559675091586949820426924120</v>
      </c>
      <c r="S51" s="92">
        <v>7.7638894335122368214428495700</v>
      </c>
      <c r="T51" s="1007">
        <v>3.5569887283516909031625226100</v>
      </c>
      <c r="U51" s="113"/>
      <c r="V51" s="271">
        <v>-0.5371458850430294555282571400</v>
      </c>
      <c r="W51" s="92">
        <v>0.9857019192473791000589624300</v>
      </c>
      <c r="X51" s="272">
        <v>10.515732194015199166636464780</v>
      </c>
      <c r="Y51" s="113"/>
      <c r="Z51" s="271">
        <v>-13.013204468518215559758236200</v>
      </c>
      <c r="AA51" s="92">
        <v>1.4636278228381455099078799400</v>
      </c>
      <c r="AB51" s="272">
        <v>9.962231456744457899980896580</v>
      </c>
      <c r="AC51" s="113"/>
      <c r="AD51" s="271">
        <v>1.7461322099274564199837280800</v>
      </c>
      <c r="AE51" s="92">
        <v>-1.0042880740905883065096758500</v>
      </c>
      <c r="AF51" s="272">
        <v>10.168240164043285407262361110</v>
      </c>
      <c r="AG51" s="113"/>
    </row>
    <row r="52" ht="21.95" customHeight="1">
      <c r="B52" s="40" t="s">
        <v>99</v>
      </c>
      <c r="C52" s="576">
        <v>-7.6947047816350157188188880800</v>
      </c>
      <c r="D52" s="113">
        <v>3.4899755057452364536011238700</v>
      </c>
      <c r="E52" s="113">
        <v>1.7857426636316076725696389900</v>
      </c>
      <c r="F52" s="113">
        <v>7.7310796982363551672756010200</v>
      </c>
      <c r="G52" s="113">
        <v>-3.414077434604272777744760400</v>
      </c>
      <c r="H52" s="113">
        <v>-23.282810190816574327499512600</v>
      </c>
      <c r="I52" s="113">
        <v>-23.782414745928648501887748510</v>
      </c>
      <c r="J52" s="113">
        <v>-9.692113650944501562890223420</v>
      </c>
      <c r="K52" s="113">
        <v>-17.745702334218437202850716990</v>
      </c>
      <c r="L52" s="113">
        <v>-15.628953835915851659091220810</v>
      </c>
      <c r="M52" s="113">
        <v>0.9588052124012644236182640700</v>
      </c>
      <c r="N52" s="1008">
        <v>-13.540205114610230280802680780</v>
      </c>
      <c r="O52" s="113">
        <v>-7.2887836796349173329542331400</v>
      </c>
      <c r="P52" s="113">
        <v>-19.155775871367890516175962890</v>
      </c>
      <c r="Q52" s="113">
        <v>-13.949254894067557075874003820</v>
      </c>
      <c r="R52" s="113">
        <v>-13.919152584680081343205204820</v>
      </c>
      <c r="S52" s="113">
        <v>-11.626223511558043793720019220</v>
      </c>
      <c r="T52" s="1008">
        <v>2.0885134345104672693473879600</v>
      </c>
      <c r="U52" s="113"/>
      <c r="V52" s="576">
        <v>-12.305190059685096382890861230</v>
      </c>
      <c r="W52" s="113">
        <v>-3.1028866816994713717088943400</v>
      </c>
      <c r="X52" s="577">
        <v>-11.281445408605961389600209200</v>
      </c>
      <c r="Y52" s="113"/>
      <c r="Z52" s="576">
        <v>-11.844931279626617045642241990</v>
      </c>
      <c r="AA52" s="113">
        <v>-5.9204401693598495779066523100</v>
      </c>
      <c r="AB52" s="577">
        <v>-8.207884677038550293391979350</v>
      </c>
      <c r="AC52" s="113"/>
      <c r="AD52" s="576">
        <v>-8.723853239514541161883224480</v>
      </c>
      <c r="AE52" s="113">
        <v>-6.22171961553142795481541100</v>
      </c>
      <c r="AF52" s="577">
        <v>-12.362131921429272964418296030</v>
      </c>
      <c r="AG52" s="113"/>
    </row>
    <row r="53" ht="21.95" customHeight="1">
      <c r="A53" s="23"/>
      <c r="B53" s="39" t="s">
        <v>23</v>
      </c>
      <c r="C53" s="273" t="s">
        <v>235</v>
      </c>
      <c r="D53" s="274" t="s">
        <v>236</v>
      </c>
      <c r="E53" s="274" t="s">
        <v>219</v>
      </c>
      <c r="F53" s="274" t="s">
        <v>219</v>
      </c>
      <c r="G53" s="274" t="s">
        <v>238</v>
      </c>
      <c r="H53" s="274" t="s">
        <v>239</v>
      </c>
      <c r="I53" s="274" t="s">
        <v>239</v>
      </c>
      <c r="J53" s="274" t="s">
        <v>227</v>
      </c>
      <c r="K53" s="274" t="s">
        <v>240</v>
      </c>
      <c r="L53" s="274" t="s">
        <v>240</v>
      </c>
      <c r="M53" s="274" t="s">
        <v>226</v>
      </c>
      <c r="N53" s="1009" t="s">
        <v>227</v>
      </c>
      <c r="O53" s="274" t="s">
        <v>226</v>
      </c>
      <c r="P53" s="274" t="s">
        <v>240</v>
      </c>
      <c r="Q53" s="274" t="s">
        <v>240</v>
      </c>
      <c r="R53" s="274" t="s">
        <v>240</v>
      </c>
      <c r="S53" s="274" t="s">
        <v>227</v>
      </c>
      <c r="T53" s="1009" t="s">
        <v>226</v>
      </c>
      <c r="U53" s="113"/>
      <c r="V53" s="273" t="s">
        <v>238</v>
      </c>
      <c r="W53" s="274" t="s">
        <v>236</v>
      </c>
      <c r="X53" s="275" t="s">
        <v>227</v>
      </c>
      <c r="Y53" s="113"/>
      <c r="Z53" s="273" t="s">
        <v>238</v>
      </c>
      <c r="AA53" s="274" t="s">
        <v>238</v>
      </c>
      <c r="AB53" s="275" t="s">
        <v>226</v>
      </c>
      <c r="AC53" s="113"/>
      <c r="AD53" s="273" t="s">
        <v>237</v>
      </c>
      <c r="AE53" s="274" t="s">
        <v>237</v>
      </c>
      <c r="AF53" s="275" t="s">
        <v>240</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N19"/>
    <mergeCell ref="C31:N31"/>
    <mergeCell ref="C43:N43"/>
    <mergeCell ref="O19:T19"/>
    <mergeCell ref="O31:T31"/>
    <mergeCell ref="O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139</v>
      </c>
      <c r="C1" s="12"/>
      <c r="D1" s="12"/>
      <c r="E1" s="12"/>
      <c r="F1" s="12"/>
      <c r="G1" s="12"/>
      <c r="H1" s="2"/>
      <c r="I1" s="2"/>
      <c r="J1" s="2"/>
      <c r="K1" s="2"/>
      <c r="L1" s="2"/>
      <c r="M1" s="2"/>
      <c r="N1" s="2"/>
      <c r="O1" s="2"/>
      <c r="P1" s="131"/>
      <c r="Q1" s="2"/>
      <c r="R1" s="2"/>
      <c r="S1" s="222"/>
      <c r="T1" s="2"/>
      <c r="U1" s="236"/>
    </row>
    <row r="2" ht="14.25" customHeight="1">
      <c r="B2" s="999" t="s">
        <v>208</v>
      </c>
      <c r="C2" s="999"/>
      <c r="D2" s="999"/>
      <c r="E2" s="999"/>
      <c r="F2" s="999"/>
      <c r="G2" s="999"/>
      <c r="H2" s="999"/>
      <c r="I2" s="999"/>
      <c r="J2" s="999"/>
      <c r="K2" s="999"/>
      <c r="L2" s="999"/>
      <c r="M2" s="999"/>
      <c r="N2" s="999"/>
      <c r="O2" s="999"/>
      <c r="P2" s="999"/>
      <c r="Q2" s="999"/>
      <c r="R2" s="999"/>
      <c r="S2" s="999"/>
      <c r="T2" s="2"/>
    </row>
    <row r="3" ht="14.25" customHeight="1">
      <c r="B3" s="1030" t="s">
        <v>209</v>
      </c>
      <c r="C3" s="1030"/>
      <c r="D3" s="1030"/>
      <c r="E3" s="1030"/>
      <c r="F3" s="1030"/>
      <c r="G3" s="1030"/>
      <c r="H3" s="1030"/>
      <c r="I3" s="1030"/>
      <c r="J3" s="1030"/>
      <c r="K3" s="1030"/>
      <c r="L3" s="1030"/>
      <c r="M3" s="1030"/>
      <c r="N3" s="1030"/>
      <c r="O3" s="1030"/>
      <c r="P3" s="1030"/>
      <c r="Q3" s="1030"/>
      <c r="R3" s="1030"/>
      <c r="S3" s="1030"/>
      <c r="T3" s="2"/>
    </row>
    <row r="4" ht="14.25" customHeight="1">
      <c r="B4" s="1030" t="s">
        <v>210</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211</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79.39393939393939393939393939</v>
      </c>
      <c r="F10" s="113">
        <v>20.229445506607563219987702510</v>
      </c>
      <c r="G10" s="659"/>
      <c r="H10" s="18" t="s">
        <v>19</v>
      </c>
      <c r="I10" s="667">
        <v>1.5909090909090909090909090900</v>
      </c>
      <c r="J10" s="113">
        <v>-87.06365503082207202459002535</v>
      </c>
      <c r="K10" s="9"/>
      <c r="L10" s="18" t="s">
        <v>19</v>
      </c>
      <c r="M10" s="667">
        <v>0</v>
      </c>
      <c r="N10" s="113">
        <v>0</v>
      </c>
      <c r="O10" s="9"/>
      <c r="P10" s="18" t="s">
        <v>19</v>
      </c>
      <c r="Q10" s="667">
        <v>80.98484848484848484848484848</v>
      </c>
      <c r="R10" s="113">
        <v>3.384912959425038067410200200</v>
      </c>
      <c r="S10" s="674"/>
      <c r="T10" s="9"/>
    </row>
    <row r="11" ht="15" customHeight="1">
      <c r="A11" s="2"/>
      <c r="B11" s="44"/>
      <c r="C11" s="45"/>
      <c r="D11" s="133" t="s">
        <v>16</v>
      </c>
      <c r="E11" s="92">
        <v>69.389534883720930232558139540</v>
      </c>
      <c r="F11" s="92">
        <v>2.9767040552697730407859802300</v>
      </c>
      <c r="G11" s="661"/>
      <c r="H11" s="133" t="s">
        <v>16</v>
      </c>
      <c r="I11" s="668">
        <v>2.3255813953488372093023255800</v>
      </c>
      <c r="J11" s="92">
        <v>200.00000001920000000122879982</v>
      </c>
      <c r="K11" s="120"/>
      <c r="L11" s="133" t="s">
        <v>16</v>
      </c>
      <c r="M11" s="668">
        <v>0</v>
      </c>
      <c r="N11" s="92">
        <v>0</v>
      </c>
      <c r="O11" s="120"/>
      <c r="P11" s="133" t="s">
        <v>16</v>
      </c>
      <c r="Q11" s="668">
        <v>71.715116279069767441860465120</v>
      </c>
      <c r="R11" s="92">
        <v>5.2175149274675006784949473800</v>
      </c>
      <c r="S11" s="674"/>
      <c r="T11" s="9"/>
    </row>
    <row r="12" ht="15" customHeight="1">
      <c r="A12" s="2"/>
      <c r="B12" s="44"/>
      <c r="C12" s="45"/>
      <c r="D12" s="19" t="s">
        <v>97</v>
      </c>
      <c r="E12" s="113">
        <v>114.41774257026975112114191275</v>
      </c>
      <c r="F12" s="113">
        <v>16.754023747213614491956091910</v>
      </c>
      <c r="G12" s="113"/>
      <c r="H12" s="19" t="s">
        <v>97</v>
      </c>
      <c r="I12" s="667">
        <v>68.409090910527500000030168370</v>
      </c>
      <c r="J12" s="113">
        <v>-95.68788501045229056072562736</v>
      </c>
      <c r="K12" s="9"/>
      <c r="L12" s="19" t="s">
        <v>97</v>
      </c>
      <c r="M12" s="667">
        <v>0</v>
      </c>
      <c r="N12" s="113">
        <v>0</v>
      </c>
      <c r="O12" s="9"/>
      <c r="P12" s="19" t="s">
        <v>97</v>
      </c>
      <c r="Q12" s="667">
        <v>112.92577170156519865270297972</v>
      </c>
      <c r="R12" s="113">
        <v>-1.7417270968231275874956175900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174.32251908396946564885496183</v>
      </c>
      <c r="F14" s="113">
        <v>1.3352067268687220370950639400</v>
      </c>
      <c r="G14" s="664"/>
      <c r="H14" s="53" t="s">
        <v>19</v>
      </c>
      <c r="I14" s="670">
        <v>210.82539682539682539682539683</v>
      </c>
      <c r="J14" s="113">
        <v>26.546168380650674076757550470</v>
      </c>
      <c r="K14" s="671"/>
      <c r="L14" s="53" t="s">
        <v>19</v>
      </c>
      <c r="M14" s="670">
        <v>0</v>
      </c>
      <c r="N14" s="113">
        <v>0</v>
      </c>
      <c r="O14" s="671"/>
      <c r="P14" s="53" t="s">
        <v>19</v>
      </c>
      <c r="Q14" s="670">
        <v>175.03960087309011537262238853</v>
      </c>
      <c r="R14" s="113">
        <v>2.2584314520629771120486298800</v>
      </c>
      <c r="S14" s="675"/>
      <c r="T14" s="9"/>
    </row>
    <row r="15" ht="15" customHeight="1">
      <c r="A15" s="2"/>
      <c r="B15" s="44"/>
      <c r="C15" s="45"/>
      <c r="D15" s="133" t="s">
        <v>16</v>
      </c>
      <c r="E15" s="665">
        <v>218.51558387647087662701140996</v>
      </c>
      <c r="F15" s="92">
        <v>-2.211300165414371814664851100</v>
      </c>
      <c r="G15" s="666"/>
      <c r="H15" s="143" t="s">
        <v>16</v>
      </c>
      <c r="I15" s="672">
        <v>261.81668275246688530821372149</v>
      </c>
      <c r="J15" s="92">
        <v>17.663794664262945298557425550</v>
      </c>
      <c r="K15" s="673"/>
      <c r="L15" s="143" t="s">
        <v>16</v>
      </c>
      <c r="M15" s="672">
        <v>0</v>
      </c>
      <c r="N15" s="92">
        <v>0</v>
      </c>
      <c r="O15" s="673"/>
      <c r="P15" s="143" t="s">
        <v>16</v>
      </c>
      <c r="Q15" s="672">
        <v>219.91975408728550195919470341</v>
      </c>
      <c r="R15" s="92">
        <v>-1.5781842027727837376098714700</v>
      </c>
      <c r="S15" s="675"/>
      <c r="T15" s="9"/>
    </row>
    <row r="16" ht="15" customHeight="1">
      <c r="A16" s="2"/>
      <c r="B16" s="44"/>
      <c r="C16" s="45"/>
      <c r="D16" s="19" t="s">
        <v>98</v>
      </c>
      <c r="E16" s="113">
        <v>79.77578348942497312150276826</v>
      </c>
      <c r="F16" s="113">
        <v>3.626704208442928843164401800</v>
      </c>
      <c r="G16" s="113"/>
      <c r="H16" s="19" t="s">
        <v>98</v>
      </c>
      <c r="I16" s="667">
        <v>80.52405011360328380143503851</v>
      </c>
      <c r="J16" s="113">
        <v>7.5489437866605917249078961400</v>
      </c>
      <c r="K16" s="9"/>
      <c r="L16" s="19" t="s">
        <v>98</v>
      </c>
      <c r="M16" s="667">
        <v>0</v>
      </c>
      <c r="N16" s="113">
        <v>0</v>
      </c>
      <c r="O16" s="9"/>
      <c r="P16" s="19" t="s">
        <v>98</v>
      </c>
      <c r="Q16" s="667">
        <v>79.59248663201299986124713456</v>
      </c>
      <c r="R16" s="113">
        <v>3.8981354120291366815442046700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138.40151515151515151515151515</v>
      </c>
      <c r="F18" s="113">
        <v>21.834757150793843581867358760</v>
      </c>
      <c r="G18" s="664"/>
      <c r="H18" s="53" t="s">
        <v>19</v>
      </c>
      <c r="I18" s="670">
        <v>3.354040404040404040404040404</v>
      </c>
      <c r="J18" s="113">
        <v>-83.62955111298651254380122838</v>
      </c>
      <c r="K18" s="671"/>
      <c r="L18" s="53" t="s">
        <v>19</v>
      </c>
      <c r="M18" s="670">
        <v>0</v>
      </c>
      <c r="N18" s="113">
        <v>0</v>
      </c>
      <c r="O18" s="671"/>
      <c r="P18" s="53" t="s">
        <v>19</v>
      </c>
      <c r="Q18" s="670">
        <v>141.75555555555555555555555556</v>
      </c>
      <c r="R18" s="113">
        <v>5.7197903503226135601375834500</v>
      </c>
      <c r="S18" s="675"/>
      <c r="T18" s="9"/>
    </row>
    <row r="19" ht="15" customHeight="1">
      <c r="A19" s="2"/>
      <c r="B19" s="44"/>
      <c r="C19" s="45"/>
      <c r="D19" s="133" t="s">
        <v>16</v>
      </c>
      <c r="E19" s="665">
        <v>151.62694730033022747345239408</v>
      </c>
      <c r="F19" s="92">
        <v>0.6995800280952545380756722200</v>
      </c>
      <c r="G19" s="666"/>
      <c r="H19" s="143" t="s">
        <v>16</v>
      </c>
      <c r="I19" s="672">
        <v>6.0887600640108577978654353839</v>
      </c>
      <c r="J19" s="92">
        <v>252.99138399136108596167996139</v>
      </c>
      <c r="K19" s="673"/>
      <c r="L19" s="143" t="s">
        <v>16</v>
      </c>
      <c r="M19" s="672">
        <v>0</v>
      </c>
      <c r="N19" s="92">
        <v>0</v>
      </c>
      <c r="O19" s="673"/>
      <c r="P19" s="143" t="s">
        <v>16</v>
      </c>
      <c r="Q19" s="672">
        <v>157.71570736434108527131782946</v>
      </c>
      <c r="R19" s="92">
        <v>3.5569887283516909031625226100</v>
      </c>
      <c r="S19" s="675"/>
      <c r="T19" s="9"/>
    </row>
    <row r="20" ht="15" customHeight="1">
      <c r="A20" s="2"/>
      <c r="B20" s="44"/>
      <c r="C20" s="45"/>
      <c r="D20" s="19" t="s">
        <v>99</v>
      </c>
      <c r="E20" s="113">
        <v>91.27765058634885447132685800</v>
      </c>
      <c r="F20" s="113">
        <v>20.988346839934652699940748110</v>
      </c>
      <c r="G20" s="113"/>
      <c r="H20" s="19" t="s">
        <v>99</v>
      </c>
      <c r="I20" s="667">
        <v>55.085770646001990995913226450</v>
      </c>
      <c r="J20" s="113">
        <v>-95.36236587365079575232977464</v>
      </c>
      <c r="K20" s="9"/>
      <c r="L20" s="19" t="s">
        <v>99</v>
      </c>
      <c r="M20" s="667">
        <v>0</v>
      </c>
      <c r="N20" s="113">
        <v>0</v>
      </c>
      <c r="O20" s="9"/>
      <c r="P20" s="19" t="s">
        <v>99</v>
      </c>
      <c r="Q20" s="667">
        <v>89.88042974573302961628934566</v>
      </c>
      <c r="R20" s="113">
        <v>2.0885134345104672693473879600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76.226351916959651766281600540</v>
      </c>
      <c r="F27" s="113">
        <v>-1.4443852078575857955408027600</v>
      </c>
      <c r="G27" s="9"/>
      <c r="H27" s="18" t="s">
        <v>19</v>
      </c>
      <c r="I27" s="667">
        <v>12.033316591327641051397957480</v>
      </c>
      <c r="J27" s="113">
        <v>7.5477670350983396639043433200</v>
      </c>
      <c r="K27" s="9"/>
      <c r="L27" s="18" t="s">
        <v>19</v>
      </c>
      <c r="M27" s="667">
        <v>0</v>
      </c>
      <c r="N27" s="113">
        <v>0</v>
      </c>
      <c r="O27" s="9"/>
      <c r="P27" s="18" t="s">
        <v>19</v>
      </c>
      <c r="Q27" s="667">
        <v>88.25966850828729281767955801</v>
      </c>
      <c r="R27" s="113">
        <v>-0.307946953635871630961060700</v>
      </c>
      <c r="S27" s="674"/>
      <c r="T27" s="9"/>
    </row>
    <row r="28" ht="15" customHeight="1">
      <c r="A28" s="2"/>
      <c r="B28" s="44"/>
      <c r="C28" s="45"/>
      <c r="D28" s="133" t="s">
        <v>16</v>
      </c>
      <c r="E28" s="668">
        <v>75.301940125915456764743672110</v>
      </c>
      <c r="F28" s="92">
        <v>-1.1617979488065391817274663300</v>
      </c>
      <c r="G28" s="120"/>
      <c r="H28" s="133" t="s">
        <v>16</v>
      </c>
      <c r="I28" s="668">
        <v>6.0275600668122831812925607100</v>
      </c>
      <c r="J28" s="92">
        <v>79.49711029538686113039378962</v>
      </c>
      <c r="K28" s="120"/>
      <c r="L28" s="133" t="s">
        <v>16</v>
      </c>
      <c r="M28" s="668">
        <v>0</v>
      </c>
      <c r="N28" s="92">
        <v>0</v>
      </c>
      <c r="O28" s="120"/>
      <c r="P28" s="133" t="s">
        <v>16</v>
      </c>
      <c r="Q28" s="668">
        <v>81.32950019272773994603623282</v>
      </c>
      <c r="R28" s="92">
        <v>2.2432478560976006483446698400</v>
      </c>
      <c r="S28" s="674"/>
      <c r="T28" s="9"/>
    </row>
    <row r="29" ht="15" customHeight="1">
      <c r="A29" s="2"/>
      <c r="B29" s="44"/>
      <c r="C29" s="45"/>
      <c r="D29" s="19" t="s">
        <v>97</v>
      </c>
      <c r="E29" s="667">
        <v>101.22760687110331382639348791</v>
      </c>
      <c r="F29" s="113">
        <v>-0.2859089432789931846415944300</v>
      </c>
      <c r="G29" s="676"/>
      <c r="H29" s="19" t="s">
        <v>97</v>
      </c>
      <c r="I29" s="667">
        <v>199.63826918304052115826120928</v>
      </c>
      <c r="J29" s="113">
        <v>-40.083844882949327857604465710</v>
      </c>
      <c r="K29" s="676"/>
      <c r="L29" s="19" t="s">
        <v>97</v>
      </c>
      <c r="M29" s="667">
        <v>0</v>
      </c>
      <c r="N29" s="113">
        <v>0</v>
      </c>
      <c r="O29" s="676"/>
      <c r="P29" s="19" t="s">
        <v>97</v>
      </c>
      <c r="Q29" s="667">
        <v>108.52110033772140793548516211</v>
      </c>
      <c r="R29" s="113">
        <v>-2.4952208221025736607710311200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259.88309905556775752251262904</v>
      </c>
      <c r="F31" s="113">
        <v>-2.5099109778945299420949491200</v>
      </c>
      <c r="G31" s="671"/>
      <c r="H31" s="53" t="s">
        <v>19</v>
      </c>
      <c r="I31" s="670">
        <v>302.56556521739130434782608696</v>
      </c>
      <c r="J31" s="113">
        <v>2.5882737900102606906545510200</v>
      </c>
      <c r="K31" s="671"/>
      <c r="L31" s="53" t="s">
        <v>19</v>
      </c>
      <c r="M31" s="670">
        <v>0</v>
      </c>
      <c r="N31" s="113">
        <v>0</v>
      </c>
      <c r="O31" s="671"/>
      <c r="P31" s="53" t="s">
        <v>19</v>
      </c>
      <c r="Q31" s="670">
        <v>265.70242329397258974723763456</v>
      </c>
      <c r="R31" s="113">
        <v>-1.6491714208803589545875536500</v>
      </c>
      <c r="S31" s="675"/>
      <c r="T31" s="9"/>
    </row>
    <row r="32" ht="15" customHeight="1">
      <c r="A32" s="2"/>
      <c r="B32" s="44"/>
      <c r="C32" s="45"/>
      <c r="D32" s="133" t="s">
        <v>16</v>
      </c>
      <c r="E32" s="672">
        <v>341.38447684685614418481793176</v>
      </c>
      <c r="F32" s="92">
        <v>7.7107715670750710366082535300</v>
      </c>
      <c r="G32" s="673"/>
      <c r="H32" s="143" t="s">
        <v>16</v>
      </c>
      <c r="I32" s="672">
        <v>397.4551155231289165336068348</v>
      </c>
      <c r="J32" s="92">
        <v>4.1534654233531482758940930900</v>
      </c>
      <c r="K32" s="673"/>
      <c r="L32" s="143" t="s">
        <v>16</v>
      </c>
      <c r="M32" s="672">
        <v>0</v>
      </c>
      <c r="N32" s="92">
        <v>0</v>
      </c>
      <c r="O32" s="673"/>
      <c r="P32" s="143" t="s">
        <v>16</v>
      </c>
      <c r="Q32" s="672">
        <v>345.54003100377179644147791228</v>
      </c>
      <c r="R32" s="92">
        <v>8.090983523513644321934809400</v>
      </c>
      <c r="S32" s="675"/>
      <c r="T32" s="9"/>
    </row>
    <row r="33" ht="15" customHeight="1">
      <c r="A33" s="2"/>
      <c r="B33" s="44"/>
      <c r="C33" s="45"/>
      <c r="D33" s="19" t="s">
        <v>98</v>
      </c>
      <c r="E33" s="667">
        <v>76.126220341329989900240497340</v>
      </c>
      <c r="F33" s="113">
        <v>-9.489006899028383594122789960</v>
      </c>
      <c r="G33" s="676"/>
      <c r="H33" s="19" t="s">
        <v>98</v>
      </c>
      <c r="I33" s="667">
        <v>76.125719207105352556717753580</v>
      </c>
      <c r="J33" s="113">
        <v>-1.5027744174657344619768352200</v>
      </c>
      <c r="K33" s="676"/>
      <c r="L33" s="19" t="s">
        <v>98</v>
      </c>
      <c r="M33" s="667">
        <v>0</v>
      </c>
      <c r="N33" s="113">
        <v>0</v>
      </c>
      <c r="O33" s="676"/>
      <c r="P33" s="19" t="s">
        <v>98</v>
      </c>
      <c r="Q33" s="667">
        <v>76.894831120464472657484939740</v>
      </c>
      <c r="R33" s="113">
        <v>-9.011070698927987930605746430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198.09940565879792399129415704</v>
      </c>
      <c r="F35" s="113">
        <v>-3.9180434028188123609225863600</v>
      </c>
      <c r="G35" s="671"/>
      <c r="H35" s="53" t="s">
        <v>19</v>
      </c>
      <c r="I35" s="670">
        <v>36.408672358948602042524694458</v>
      </c>
      <c r="J35" s="113">
        <v>10.331397700833287898700035440</v>
      </c>
      <c r="K35" s="671"/>
      <c r="L35" s="53" t="s">
        <v>19</v>
      </c>
      <c r="M35" s="670">
        <v>0</v>
      </c>
      <c r="N35" s="113">
        <v>0</v>
      </c>
      <c r="O35" s="671"/>
      <c r="P35" s="53" t="s">
        <v>19</v>
      </c>
      <c r="Q35" s="670">
        <v>234.5080780177465260338188515</v>
      </c>
      <c r="R35" s="113">
        <v>-1.9520398013762315556109819400</v>
      </c>
      <c r="S35" s="675"/>
      <c r="T35" s="9"/>
    </row>
    <row r="36" ht="15" customHeight="1">
      <c r="A36" s="2"/>
      <c r="B36" s="44"/>
      <c r="C36" s="45"/>
      <c r="D36" s="133" t="s">
        <v>16</v>
      </c>
      <c r="E36" s="672">
        <v>257.06913435438932892601460794</v>
      </c>
      <c r="F36" s="92">
        <v>6.4593900323743413537589346300</v>
      </c>
      <c r="G36" s="673"/>
      <c r="H36" s="143" t="s">
        <v>16</v>
      </c>
      <c r="I36" s="672">
        <v>23.956845826774746623259450903</v>
      </c>
      <c r="J36" s="92">
        <v>86.95246070584534455541773204</v>
      </c>
      <c r="K36" s="673"/>
      <c r="L36" s="143" t="s">
        <v>16</v>
      </c>
      <c r="M36" s="672">
        <v>0</v>
      </c>
      <c r="N36" s="92">
        <v>0</v>
      </c>
      <c r="O36" s="673"/>
      <c r="P36" s="143" t="s">
        <v>16</v>
      </c>
      <c r="Q36" s="672">
        <v>281.02598018116407554927405885</v>
      </c>
      <c r="R36" s="92">
        <v>10.515732194015199166636464780</v>
      </c>
      <c r="S36" s="675"/>
      <c r="T36" s="9"/>
    </row>
    <row r="37" ht="15" customHeight="1">
      <c r="A37" s="2"/>
      <c r="B37" s="44"/>
      <c r="C37" s="45"/>
      <c r="D37" s="19" t="s">
        <v>99</v>
      </c>
      <c r="E37" s="667">
        <v>77.060751052942288380551625080</v>
      </c>
      <c r="F37" s="113">
        <v>-9.747785922941242846576544490</v>
      </c>
      <c r="G37" s="676"/>
      <c r="H37" s="19" t="s">
        <v>99</v>
      </c>
      <c r="I37" s="667">
        <v>151.97606822772560383343216506</v>
      </c>
      <c r="J37" s="113">
        <v>-40.984249533691112270668095270</v>
      </c>
      <c r="K37" s="676"/>
      <c r="L37" s="19" t="s">
        <v>99</v>
      </c>
      <c r="M37" s="667">
        <v>0</v>
      </c>
      <c r="N37" s="113">
        <v>0</v>
      </c>
      <c r="O37" s="676"/>
      <c r="P37" s="19" t="s">
        <v>99</v>
      </c>
      <c r="Q37" s="667">
        <v>83.44711683472835868388078055</v>
      </c>
      <c r="R37" s="113">
        <v>-11.281445408605961389600209200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141</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218</v>
      </c>
      <c r="D9" s="415">
        <v>75.366568914956011730205278590</v>
      </c>
      <c r="E9" s="416">
        <v>75.340672877049811378859034570</v>
      </c>
      <c r="F9" s="417">
        <v>54.845804201180604609187099110</v>
      </c>
      <c r="G9" s="415">
        <v>13.929618768328445747800586510</v>
      </c>
      <c r="H9" s="416">
        <v>7.6295326814997305412271922400</v>
      </c>
      <c r="I9" s="417">
        <v>18.232690960021002633809122880</v>
      </c>
      <c r="J9" s="415">
        <v>0</v>
      </c>
      <c r="K9" s="416">
        <v>0</v>
      </c>
      <c r="L9" s="417">
        <v>7.6393997596830854748986988800</v>
      </c>
      <c r="M9" s="415">
        <v>89.29618768328445747800586510</v>
      </c>
      <c r="N9" s="416">
        <v>82.97020555854954192008622681</v>
      </c>
      <c r="O9" s="417">
        <v>80.71789492088469271789492088</v>
      </c>
      <c r="P9" s="5"/>
      <c r="Q9" s="415">
        <v>-1.6895122728286723120926637600</v>
      </c>
      <c r="R9" s="416">
        <v>3.9918290398962724643936679800</v>
      </c>
      <c r="S9" s="417">
        <v>1.5221264854712524771455094500</v>
      </c>
      <c r="T9" s="415">
        <v>-21.487603305913598797896108330</v>
      </c>
      <c r="U9" s="416">
        <v>85.81508093124098907640364420</v>
      </c>
      <c r="V9" s="417">
        <v>10.308467688901454810929002770</v>
      </c>
      <c r="W9" s="415">
        <v>0</v>
      </c>
      <c r="X9" s="416">
        <v>0</v>
      </c>
      <c r="Y9" s="417">
        <v>-10.926988496368916198071556740</v>
      </c>
      <c r="Z9" s="415">
        <v>-5.4103028734095475176222319200</v>
      </c>
      <c r="AA9" s="416">
        <v>8.380391290011083992619833670</v>
      </c>
      <c r="AB9" s="417">
        <v>2.0081348900690659056715515100</v>
      </c>
    </row>
    <row r="10" ht="18" customHeight="1">
      <c r="A10" s="58"/>
      <c r="B10" s="286"/>
      <c r="C10" s="287" t="s">
        <v>220</v>
      </c>
      <c r="D10" s="271">
        <v>71.969696969696969696969696970</v>
      </c>
      <c r="E10" s="92">
        <v>80.35552629413214149335151722</v>
      </c>
      <c r="F10" s="272">
        <v>58.702387972864008849945650760</v>
      </c>
      <c r="G10" s="271">
        <v>20.950888192267502612330198540</v>
      </c>
      <c r="H10" s="92">
        <v>4.7403505884289341970678486200</v>
      </c>
      <c r="I10" s="272">
        <v>19.986771032335629040538966410</v>
      </c>
      <c r="J10" s="271">
        <v>0</v>
      </c>
      <c r="K10" s="92">
        <v>0</v>
      </c>
      <c r="L10" s="272">
        <v>7.5349989506656350479590529800</v>
      </c>
      <c r="M10" s="271">
        <v>92.92058516196447230929989551</v>
      </c>
      <c r="N10" s="92">
        <v>85.09587688256107569041936584</v>
      </c>
      <c r="O10" s="272">
        <v>86.22415795586527293844367015</v>
      </c>
      <c r="P10" s="5"/>
      <c r="Q10" s="271">
        <v>-8.465244322044345206940642600</v>
      </c>
      <c r="R10" s="92">
        <v>9.833738338361742132263666490</v>
      </c>
      <c r="S10" s="272">
        <v>5.5421539241912519224092064800</v>
      </c>
      <c r="T10" s="271">
        <v>37.052181873633888452907236580</v>
      </c>
      <c r="U10" s="92">
        <v>-25.944118533244879210804569520</v>
      </c>
      <c r="V10" s="272">
        <v>3.692093475195202389278353400</v>
      </c>
      <c r="W10" s="271">
        <v>0</v>
      </c>
      <c r="X10" s="92">
        <v>0</v>
      </c>
      <c r="Y10" s="272">
        <v>-11.377334138269125491887584950</v>
      </c>
      <c r="Z10" s="271">
        <v>-1.0560406918010891251715855100</v>
      </c>
      <c r="AA10" s="92">
        <v>6.955286503440645881586408700</v>
      </c>
      <c r="AB10" s="272">
        <v>3.3896222130629871542216971900</v>
      </c>
    </row>
    <row r="11" ht="18" customHeight="1">
      <c r="A11" s="58"/>
      <c r="B11" s="288"/>
      <c r="C11" s="289" t="s">
        <v>221</v>
      </c>
      <c r="D11" s="420">
        <v>84.13978494623655913978494624</v>
      </c>
      <c r="E11" s="91">
        <v>83.25506197551774578489491108</v>
      </c>
      <c r="F11" s="421">
        <v>63.569411045656282054192780990</v>
      </c>
      <c r="G11" s="420">
        <v>8.553274682306940371456500490</v>
      </c>
      <c r="H11" s="91">
        <v>2.0555854954192008622680729800</v>
      </c>
      <c r="I11" s="421">
        <v>12.592401634063202887333885220</v>
      </c>
      <c r="J11" s="420">
        <v>0</v>
      </c>
      <c r="K11" s="91">
        <v>0</v>
      </c>
      <c r="L11" s="421">
        <v>7.2577412616550786631927535100</v>
      </c>
      <c r="M11" s="420">
        <v>92.69305962854349951124144673</v>
      </c>
      <c r="N11" s="91">
        <v>85.31064747093694664716298406</v>
      </c>
      <c r="O11" s="421">
        <v>83.41955394137456360471941972</v>
      </c>
      <c r="P11" s="5"/>
      <c r="Q11" s="420">
        <v>3.5488721804714327412516292900</v>
      </c>
      <c r="R11" s="91">
        <v>8.714846905226645697572764140</v>
      </c>
      <c r="S11" s="421">
        <v>8.040314740864946217732116230</v>
      </c>
      <c r="T11" s="420">
        <v>-17.647058823632498269896064720</v>
      </c>
      <c r="U11" s="91">
        <v>-41.894409306830350698461835010</v>
      </c>
      <c r="V11" s="421">
        <v>-27.178333061400331956606832060</v>
      </c>
      <c r="W11" s="420">
        <v>0</v>
      </c>
      <c r="X11" s="91">
        <v>0</v>
      </c>
      <c r="Y11" s="421">
        <v>-4.5562134814058476911426007700</v>
      </c>
      <c r="Z11" s="420">
        <v>1.1466666666699033600000001100</v>
      </c>
      <c r="AA11" s="91">
        <v>6.4801783871787104545535548400</v>
      </c>
      <c r="AB11" s="421">
        <v>-0.3766192840601837976214862500</v>
      </c>
    </row>
    <row r="12" ht="18" customHeight="1">
      <c r="A12" s="58"/>
      <c r="B12" s="286"/>
      <c r="C12" s="287" t="s">
        <v>223</v>
      </c>
      <c r="D12" s="271">
        <v>89.87373737373737373737373737</v>
      </c>
      <c r="E12" s="92">
        <v>79.39538583929992044550517104</v>
      </c>
      <c r="F12" s="272">
        <v>57.425813313551856448310429480</v>
      </c>
      <c r="G12" s="271">
        <v>3.3585858585858585858585858600</v>
      </c>
      <c r="H12" s="92">
        <v>3.5799522673031026252983293600</v>
      </c>
      <c r="I12" s="272">
        <v>17.124579847692754315948025260</v>
      </c>
      <c r="J12" s="271">
        <v>0</v>
      </c>
      <c r="K12" s="92">
        <v>0</v>
      </c>
      <c r="L12" s="272">
        <v>6.6685333924277056199223362100</v>
      </c>
      <c r="M12" s="271">
        <v>93.23232323232323232323232323</v>
      </c>
      <c r="N12" s="92">
        <v>82.97533810660302307080350040</v>
      </c>
      <c r="O12" s="272">
        <v>81.21892655367231638418079096</v>
      </c>
      <c r="P12" s="5"/>
      <c r="Q12" s="271">
        <v>10.631022691913255746471995710</v>
      </c>
      <c r="R12" s="92">
        <v>9.985244590847377510001509730</v>
      </c>
      <c r="S12" s="272">
        <v>1.2088202916541212397395819900</v>
      </c>
      <c r="T12" s="271">
        <v>-42.918454935249940135199913750</v>
      </c>
      <c r="U12" s="92">
        <v>-8.491422407723417854744054890</v>
      </c>
      <c r="V12" s="272">
        <v>16.186775368291881947025497730</v>
      </c>
      <c r="W12" s="271">
        <v>0</v>
      </c>
      <c r="X12" s="92">
        <v>0</v>
      </c>
      <c r="Y12" s="272">
        <v>-6.1521721900022863388955747900</v>
      </c>
      <c r="Z12" s="271">
        <v>7.0144927536380773787019554400</v>
      </c>
      <c r="AA12" s="92">
        <v>9.035389159828962321062693130</v>
      </c>
      <c r="AB12" s="272">
        <v>3.3524087732935703145183485700</v>
      </c>
    </row>
    <row r="13" ht="18" customHeight="1">
      <c r="A13" s="58"/>
      <c r="B13" s="288"/>
      <c r="C13" s="289" t="s">
        <v>224</v>
      </c>
      <c r="D13" s="420">
        <v>76.368523949169110459433040080</v>
      </c>
      <c r="E13" s="91">
        <v>70.090076218338594195088151510</v>
      </c>
      <c r="F13" s="421">
        <v>56.907764012635783364015300110</v>
      </c>
      <c r="G13" s="420">
        <v>8.455522971652003910068426200</v>
      </c>
      <c r="H13" s="91">
        <v>0.9777504041881592116406189900</v>
      </c>
      <c r="I13" s="421">
        <v>11.274233804237897984934253430</v>
      </c>
      <c r="J13" s="420">
        <v>0</v>
      </c>
      <c r="K13" s="91">
        <v>0</v>
      </c>
      <c r="L13" s="421">
        <v>6.2780896626233115433413157900</v>
      </c>
      <c r="M13" s="420">
        <v>84.82404692082111436950146628</v>
      </c>
      <c r="N13" s="91">
        <v>71.067826622526753406728770500</v>
      </c>
      <c r="O13" s="421">
        <v>74.460087479496992892290869330</v>
      </c>
      <c r="P13" s="5"/>
      <c r="Q13" s="420">
        <v>13.430127041721206451889161070</v>
      </c>
      <c r="R13" s="91">
        <v>12.063992697807641300379877780</v>
      </c>
      <c r="S13" s="421">
        <v>6.2603362847648540526146519600</v>
      </c>
      <c r="T13" s="420">
        <v>-14.987714987374938574937214720</v>
      </c>
      <c r="U13" s="91">
        <v>-80.61974503958482858109991020</v>
      </c>
      <c r="V13" s="421">
        <v>-1.0949130196411902526706021900</v>
      </c>
      <c r="W13" s="420">
        <v>0</v>
      </c>
      <c r="X13" s="91">
        <v>0</v>
      </c>
      <c r="Y13" s="421">
        <v>-5.9933978377732320149240206100</v>
      </c>
      <c r="Z13" s="420">
        <v>9.772296015219008817948445420</v>
      </c>
      <c r="AA13" s="91">
        <v>5.1458254307033809605965666300</v>
      </c>
      <c r="AB13" s="421">
        <v>3.9474519625319122228600343300</v>
      </c>
    </row>
    <row r="14" ht="18" customHeight="1">
      <c r="A14" s="58"/>
      <c r="B14" s="286"/>
      <c r="C14" s="287" t="s">
        <v>225</v>
      </c>
      <c r="D14" s="271">
        <v>66.035353535353535353535353540</v>
      </c>
      <c r="E14" s="92">
        <v>67.383720930232558139534883710</v>
      </c>
      <c r="F14" s="272">
        <v>54.300561649538564472084263030</v>
      </c>
      <c r="G14" s="271">
        <v>12.297979797979797979797979800</v>
      </c>
      <c r="H14" s="92">
        <v>0.7751937984496124031007751900</v>
      </c>
      <c r="I14" s="272">
        <v>9.826178451834883466691657290</v>
      </c>
      <c r="J14" s="271">
        <v>0</v>
      </c>
      <c r="K14" s="92">
        <v>0</v>
      </c>
      <c r="L14" s="272">
        <v>7.3551760407368689288225006800</v>
      </c>
      <c r="M14" s="271">
        <v>78.333333333333333333333333330</v>
      </c>
      <c r="N14" s="92">
        <v>68.158914728682170542635658910</v>
      </c>
      <c r="O14" s="272">
        <v>71.48191614211031686759842100</v>
      </c>
      <c r="P14" s="5"/>
      <c r="Q14" s="271">
        <v>-14.149704530540864115085432340</v>
      </c>
      <c r="R14" s="92">
        <v>13.226014561673675741921894960</v>
      </c>
      <c r="S14" s="272">
        <v>2.3420635696987688201731583200</v>
      </c>
      <c r="T14" s="271">
        <v>36.414565825596874043739086860</v>
      </c>
      <c r="U14" s="92">
        <v>-70.477649352210382187857271420</v>
      </c>
      <c r="V14" s="272">
        <v>-5.1327954253673811413687770600</v>
      </c>
      <c r="W14" s="271">
        <v>0</v>
      </c>
      <c r="X14" s="92">
        <v>0</v>
      </c>
      <c r="Y14" s="272">
        <v>2.0054461569778240082634640400</v>
      </c>
      <c r="Z14" s="271">
        <v>-8.845136644091452728483055340</v>
      </c>
      <c r="AA14" s="92">
        <v>9.688941719189958195026143510</v>
      </c>
      <c r="AB14" s="272">
        <v>1.2114582299157134367591894200</v>
      </c>
    </row>
    <row r="15" ht="18" customHeight="1">
      <c r="A15" s="58"/>
      <c r="B15" s="288"/>
      <c r="C15" s="289" t="s">
        <v>228</v>
      </c>
      <c r="D15" s="420">
        <v>69.941348973607038123167155430</v>
      </c>
      <c r="E15" s="91">
        <v>67.695048762190547636909227300</v>
      </c>
      <c r="F15" s="421">
        <v>57.517020635118786405548718110</v>
      </c>
      <c r="G15" s="420">
        <v>3.7634408602150537634408602200</v>
      </c>
      <c r="H15" s="91">
        <v>2.5131282820705176294073518400</v>
      </c>
      <c r="I15" s="421">
        <v>7.5088123268168132338754042200</v>
      </c>
      <c r="J15" s="420">
        <v>0</v>
      </c>
      <c r="K15" s="91">
        <v>0</v>
      </c>
      <c r="L15" s="421">
        <v>7.33274704438484700547211700</v>
      </c>
      <c r="M15" s="420">
        <v>73.704789833822091886608015640</v>
      </c>
      <c r="N15" s="91">
        <v>70.208177044261065266316579140</v>
      </c>
      <c r="O15" s="421">
        <v>72.358580006320446644896239330</v>
      </c>
      <c r="P15" s="5"/>
      <c r="Q15" s="420">
        <v>-14.796070259023412548621221670</v>
      </c>
      <c r="R15" s="91">
        <v>5.2749314872597378943540446800</v>
      </c>
      <c r="S15" s="421">
        <v>6.3032593193142721886726178700</v>
      </c>
      <c r="T15" s="420">
        <v>1084.6153847218177514888525503</v>
      </c>
      <c r="U15" s="91">
        <v>378.73272665581846299637663848</v>
      </c>
      <c r="V15" s="421">
        <v>-4.6315558288052488702395050600</v>
      </c>
      <c r="W15" s="420">
        <v>0</v>
      </c>
      <c r="X15" s="91">
        <v>0</v>
      </c>
      <c r="Y15" s="421">
        <v>0.0921513490834852099367232200</v>
      </c>
      <c r="Z15" s="420">
        <v>-10.557532621577147368109993510</v>
      </c>
      <c r="AA15" s="91">
        <v>8.299058686749509123586485400</v>
      </c>
      <c r="AB15" s="421">
        <v>4.404469427068488479029897900</v>
      </c>
    </row>
    <row r="16" ht="18" customHeight="1">
      <c r="A16" s="58"/>
      <c r="B16" s="286"/>
      <c r="C16" s="287" t="s">
        <v>229</v>
      </c>
      <c r="D16" s="271">
        <v>71.554252199413489736070381230</v>
      </c>
      <c r="E16" s="92">
        <v>67.770067516879219804951237810</v>
      </c>
      <c r="F16" s="272">
        <v>56.910852283495038170764681610</v>
      </c>
      <c r="G16" s="271">
        <v>2.4926686217008797653958944300</v>
      </c>
      <c r="H16" s="92">
        <v>1.2565641410352588147036759200</v>
      </c>
      <c r="I16" s="272">
        <v>5.0997671708750298990999176600</v>
      </c>
      <c r="J16" s="271">
        <v>0</v>
      </c>
      <c r="K16" s="92">
        <v>0</v>
      </c>
      <c r="L16" s="272">
        <v>7.3970569082317121525954676600</v>
      </c>
      <c r="M16" s="271">
        <v>74.046920821114369501466275660</v>
      </c>
      <c r="N16" s="92">
        <v>69.026631657914478619654913730</v>
      </c>
      <c r="O16" s="272">
        <v>69.407676362601780222460066930</v>
      </c>
      <c r="P16" s="5"/>
      <c r="Q16" s="271">
        <v>0.0341646737969489440641785400</v>
      </c>
      <c r="R16" s="92">
        <v>2.4815655132745617918459683900</v>
      </c>
      <c r="S16" s="272">
        <v>12.355549270047313829271963860</v>
      </c>
      <c r="T16" s="271">
        <v>85.45454545528727272727569468</v>
      </c>
      <c r="U16" s="92">
        <v>3.8759689883700258399380617600</v>
      </c>
      <c r="V16" s="272">
        <v>-24.245571373208436164627251020</v>
      </c>
      <c r="W16" s="271">
        <v>0</v>
      </c>
      <c r="X16" s="92">
        <v>0</v>
      </c>
      <c r="Y16" s="272">
        <v>5.2073270823160333152459116400</v>
      </c>
      <c r="Z16" s="271">
        <v>1.6096579476235562266962317700</v>
      </c>
      <c r="AA16" s="92">
        <v>2.5066146776509641627481787500</v>
      </c>
      <c r="AB16" s="272">
        <v>7.7501823547250967589817252400</v>
      </c>
    </row>
    <row r="17" ht="18" customHeight="1">
      <c r="A17" s="58"/>
      <c r="B17" s="288"/>
      <c r="C17" s="289" t="s">
        <v>230</v>
      </c>
      <c r="D17" s="420">
        <v>52.954545454545454545454545450</v>
      </c>
      <c r="E17" s="91">
        <v>61.773255813953488372093023260</v>
      </c>
      <c r="F17" s="421">
        <v>49.810937715218563804919135170</v>
      </c>
      <c r="G17" s="420">
        <v>13.333333333333333333333333330</v>
      </c>
      <c r="H17" s="91">
        <v>7.0833333333333333333333333300</v>
      </c>
      <c r="I17" s="421">
        <v>9.836162998559471399212129780</v>
      </c>
      <c r="J17" s="420">
        <v>0</v>
      </c>
      <c r="K17" s="91">
        <v>0</v>
      </c>
      <c r="L17" s="421">
        <v>6.2854176935420019679324994400</v>
      </c>
      <c r="M17" s="420">
        <v>66.287878787878787878787878790</v>
      </c>
      <c r="N17" s="91">
        <v>68.856589147286821705426356590</v>
      </c>
      <c r="O17" s="421">
        <v>65.932518407320037172063764390</v>
      </c>
      <c r="P17" s="5"/>
      <c r="Q17" s="420">
        <v>-19.470046082978997218033924800</v>
      </c>
      <c r="R17" s="91">
        <v>2.7131782945091959264326289800</v>
      </c>
      <c r="S17" s="421">
        <v>1.9328008869010757742880668800</v>
      </c>
      <c r="T17" s="420">
        <v>633.33333332600000000007333315</v>
      </c>
      <c r="U17" s="91">
        <v>1286.1538461760246153849702393</v>
      </c>
      <c r="V17" s="421">
        <v>10.060568694612608101399463380</v>
      </c>
      <c r="W17" s="420">
        <v>0</v>
      </c>
      <c r="X17" s="91">
        <v>0</v>
      </c>
      <c r="Y17" s="421">
        <v>1.1703416063774668142047646600</v>
      </c>
      <c r="Z17" s="420">
        <v>-1.9058295964741398379214960500</v>
      </c>
      <c r="AA17" s="91">
        <v>13.526353072334609592413645840</v>
      </c>
      <c r="AB17" s="421">
        <v>2.9934901101312709049890308600</v>
      </c>
    </row>
    <row r="18" ht="18" customHeight="1">
      <c r="A18" s="58"/>
      <c r="B18" s="286"/>
      <c r="C18" s="287" t="s">
        <v>231</v>
      </c>
      <c r="D18" s="271">
        <v>66.666666666666666666666666670</v>
      </c>
      <c r="E18" s="92">
        <v>64.852220035360443006304833710</v>
      </c>
      <c r="F18" s="272">
        <v>50.741477743294983433085963500</v>
      </c>
      <c r="G18" s="271">
        <v>10.874877810361681329423264910</v>
      </c>
      <c r="H18" s="92">
        <v>4.596392117677816558586389100</v>
      </c>
      <c r="I18" s="272">
        <v>13.492836290090188312728319910</v>
      </c>
      <c r="J18" s="271">
        <v>0</v>
      </c>
      <c r="K18" s="92">
        <v>0</v>
      </c>
      <c r="L18" s="272">
        <v>6.1855319746534023411987844500</v>
      </c>
      <c r="M18" s="271">
        <v>77.541544477028347996089931570</v>
      </c>
      <c r="N18" s="92">
        <v>69.448612153038259564891222810</v>
      </c>
      <c r="O18" s="272">
        <v>70.419846008038574087013067870</v>
      </c>
      <c r="P18" s="5"/>
      <c r="Q18" s="271">
        <v>-6.0282466413787692990811216300</v>
      </c>
      <c r="R18" s="92">
        <v>0.9973436190469013564750023900</v>
      </c>
      <c r="S18" s="272">
        <v>-1.2723212269697392438258313200</v>
      </c>
      <c r="T18" s="271">
        <v>60.649819493501466199227939610</v>
      </c>
      <c r="U18" s="92">
        <v>56.515487034178652751198579530</v>
      </c>
      <c r="V18" s="272">
        <v>10.454907517096702241850643850</v>
      </c>
      <c r="W18" s="271">
        <v>0</v>
      </c>
      <c r="X18" s="92">
        <v>0</v>
      </c>
      <c r="Y18" s="272">
        <v>3.9258169076680605607119332200</v>
      </c>
      <c r="Z18" s="271">
        <v>-0.2201257861962799335469217300</v>
      </c>
      <c r="AA18" s="92">
        <v>3.4253974778835803468902603300</v>
      </c>
      <c r="AB18" s="272">
        <v>1.2318119963395251662304040900</v>
      </c>
    </row>
    <row r="19" ht="18" customHeight="1">
      <c r="A19" s="58"/>
      <c r="B19" s="288"/>
      <c r="C19" s="289" t="s">
        <v>232</v>
      </c>
      <c r="D19" s="420">
        <v>79.82323232323232323232323232</v>
      </c>
      <c r="E19" s="91">
        <v>64.166666666666666666666666660</v>
      </c>
      <c r="F19" s="421">
        <v>53.414211371886301388352372010</v>
      </c>
      <c r="G19" s="420">
        <v>8.964646464646464646464646460</v>
      </c>
      <c r="H19" s="91">
        <v>7.8003875968992248062015503900</v>
      </c>
      <c r="I19" s="421">
        <v>15.000948585822587098820533990</v>
      </c>
      <c r="J19" s="420">
        <v>0</v>
      </c>
      <c r="K19" s="91">
        <v>0</v>
      </c>
      <c r="L19" s="421">
        <v>7.9045594282743024553845712600</v>
      </c>
      <c r="M19" s="420">
        <v>88.78787878787878787878787879</v>
      </c>
      <c r="N19" s="91">
        <v>71.967054263565891472868217050</v>
      </c>
      <c r="O19" s="421">
        <v>76.319719385983190942557477250</v>
      </c>
      <c r="P19" s="5"/>
      <c r="Q19" s="420">
        <v>28.652828652734401672130678900</v>
      </c>
      <c r="R19" s="91">
        <v>-16.064534733242461895209691670</v>
      </c>
      <c r="S19" s="421">
        <v>-2.0462810914314868782475892700</v>
      </c>
      <c r="T19" s="420">
        <v>-27.104722792727548709991412690</v>
      </c>
      <c r="U19" s="91">
        <v>132.44233291157066664522918986</v>
      </c>
      <c r="V19" s="421">
        <v>1.0063241019129277689133222300</v>
      </c>
      <c r="W19" s="420">
        <v>0</v>
      </c>
      <c r="X19" s="91">
        <v>0</v>
      </c>
      <c r="Y19" s="421">
        <v>14.802116575132262011577369600</v>
      </c>
      <c r="Z19" s="420">
        <v>19.429347826142127687854467830</v>
      </c>
      <c r="AA19" s="91">
        <v>-9.819630555361829633818750310</v>
      </c>
      <c r="AB19" s="421">
        <v>0.0692275515145893175078840900</v>
      </c>
    </row>
    <row r="20" ht="18" customHeight="1">
      <c r="A20" s="58"/>
      <c r="B20" s="286"/>
      <c r="C20" s="287" t="s">
        <v>234</v>
      </c>
      <c r="D20" s="271">
        <v>79.76539589442815249266862170</v>
      </c>
      <c r="E20" s="92">
        <v>68.013878469617404351087771940</v>
      </c>
      <c r="F20" s="272">
        <v>60.416799423492137763907934740</v>
      </c>
      <c r="G20" s="271">
        <v>8.064516129032258064516129030</v>
      </c>
      <c r="H20" s="92">
        <v>4.5105026256564141035258814700</v>
      </c>
      <c r="I20" s="272">
        <v>9.768677154362675703761089930</v>
      </c>
      <c r="J20" s="271">
        <v>0</v>
      </c>
      <c r="K20" s="92">
        <v>0</v>
      </c>
      <c r="L20" s="272">
        <v>8.008256499111391584258510950</v>
      </c>
      <c r="M20" s="271">
        <v>87.82991202346041055718475073</v>
      </c>
      <c r="N20" s="92">
        <v>72.524381095273818454613653410</v>
      </c>
      <c r="O20" s="272">
        <v>78.193733076966205051927535610</v>
      </c>
      <c r="P20" s="5"/>
      <c r="Q20" s="271">
        <v>12.396694214850488354620591830</v>
      </c>
      <c r="R20" s="92">
        <v>-14.509475126252099807525603790</v>
      </c>
      <c r="S20" s="272">
        <v>-0.0888611008874127510844908500</v>
      </c>
      <c r="T20" s="271">
        <v>-38.775510204301541024572304690</v>
      </c>
      <c r="U20" s="92">
        <v>72.845616652605301184625765180</v>
      </c>
      <c r="V20" s="272">
        <v>3.3781402035548275257710356400</v>
      </c>
      <c r="W20" s="271">
        <v>0</v>
      </c>
      <c r="X20" s="92">
        <v>0</v>
      </c>
      <c r="Y20" s="272">
        <v>5.9754770702217705857774407100</v>
      </c>
      <c r="Z20" s="271">
        <v>4.3857101365542146448923279400</v>
      </c>
      <c r="AA20" s="92">
        <v>-11.735142118840361758062966710</v>
      </c>
      <c r="AB20" s="272">
        <v>0.9254789436642737176349896600</v>
      </c>
    </row>
    <row r="21" ht="18" customHeight="1">
      <c r="A21" s="58"/>
      <c r="B21" s="288">
        <v>2025</v>
      </c>
      <c r="C21" s="289" t="s">
        <v>218</v>
      </c>
      <c r="D21" s="420">
        <v>73.484848484848484848484848480</v>
      </c>
      <c r="E21" s="91">
        <v>68.642160540135033758439609900</v>
      </c>
      <c r="F21" s="421">
        <v>54.004250071683738699332037130</v>
      </c>
      <c r="G21" s="420">
        <v>17.155425219941348973607038120</v>
      </c>
      <c r="H21" s="91">
        <v>10.174418604651162790697674420</v>
      </c>
      <c r="I21" s="421">
        <v>20.045242630262313056609823870</v>
      </c>
      <c r="J21" s="420">
        <v>0</v>
      </c>
      <c r="K21" s="91">
        <v>0</v>
      </c>
      <c r="L21" s="421">
        <v>8.549935804777986263680740280</v>
      </c>
      <c r="M21" s="420">
        <v>90.64027370478983382209188661</v>
      </c>
      <c r="N21" s="91">
        <v>78.816579144786196549137284320</v>
      </c>
      <c r="O21" s="421">
        <v>82.59942850672403801962260129</v>
      </c>
      <c r="P21" s="5"/>
      <c r="Q21" s="420">
        <v>-2.4967574579038605176964244700</v>
      </c>
      <c r="R21" s="91">
        <v>-8.890964310606639183600810540</v>
      </c>
      <c r="S21" s="421">
        <v>-1.5344002002943526868085027300</v>
      </c>
      <c r="T21" s="420">
        <v>23.157894737093606648199959550</v>
      </c>
      <c r="U21" s="91">
        <v>33.355724778818653923314666390</v>
      </c>
      <c r="V21" s="421">
        <v>9.941218628883693077249546440</v>
      </c>
      <c r="W21" s="420">
        <v>0</v>
      </c>
      <c r="X21" s="91">
        <v>0</v>
      </c>
      <c r="Y21" s="421">
        <v>11.918947479111148205157858170</v>
      </c>
      <c r="Z21" s="420">
        <v>1.5051997810441824556484006300</v>
      </c>
      <c r="AA21" s="91">
        <v>-5.0061662325100498935661145200</v>
      </c>
      <c r="AB21" s="421">
        <v>2.3309993250788545535782062200</v>
      </c>
    </row>
    <row r="22" ht="18" customHeight="1">
      <c r="A22" s="58"/>
      <c r="B22" s="286"/>
      <c r="C22" s="287" t="s">
        <v>220</v>
      </c>
      <c r="D22" s="271">
        <v>75.568181818181818181818181820</v>
      </c>
      <c r="E22" s="92">
        <v>76.910299003322259136212624580</v>
      </c>
      <c r="F22" s="272">
        <v>58.228838902675082467992749630</v>
      </c>
      <c r="G22" s="271">
        <v>17.126623376623376623376623380</v>
      </c>
      <c r="H22" s="92">
        <v>10.890780730897009966777408640</v>
      </c>
      <c r="I22" s="272">
        <v>21.345421531263776250522634960</v>
      </c>
      <c r="J22" s="271">
        <v>0</v>
      </c>
      <c r="K22" s="92">
        <v>0</v>
      </c>
      <c r="L22" s="272">
        <v>8.528993920739923599342868210</v>
      </c>
      <c r="M22" s="271">
        <v>92.69480519480519480519480519</v>
      </c>
      <c r="N22" s="92">
        <v>87.80107973421926910299003322</v>
      </c>
      <c r="O22" s="272">
        <v>88.10325435467878231785825280</v>
      </c>
      <c r="P22" s="5"/>
      <c r="Q22" s="271">
        <v>4.9999999999955789473684212400</v>
      </c>
      <c r="R22" s="92">
        <v>-4.2874802140779484838219202600</v>
      </c>
      <c r="S22" s="272">
        <v>-0.8066947301079673349344996300</v>
      </c>
      <c r="T22" s="271">
        <v>-18.253473459335918908641984810</v>
      </c>
      <c r="U22" s="92">
        <v>129.74631364919679886302581307</v>
      </c>
      <c r="V22" s="272">
        <v>6.7977488548205378968698906900</v>
      </c>
      <c r="W22" s="271">
        <v>0</v>
      </c>
      <c r="X22" s="92">
        <v>0</v>
      </c>
      <c r="Y22" s="272">
        <v>13.191706814339790341211523030</v>
      </c>
      <c r="Z22" s="271">
        <v>-0.2429816458873724573168059900</v>
      </c>
      <c r="AA22" s="92">
        <v>3.1790057882021967977830609400</v>
      </c>
      <c r="AB22" s="272">
        <v>2.1793154532629479927739194200</v>
      </c>
    </row>
    <row r="23" ht="18" customHeight="1">
      <c r="A23" s="58"/>
      <c r="B23" s="288"/>
      <c r="C23" s="289" t="s">
        <v>221</v>
      </c>
      <c r="D23" s="420">
        <v>75.439882697947214076246334310</v>
      </c>
      <c r="E23" s="91">
        <v>81.70480120030007501875468867</v>
      </c>
      <c r="F23" s="421">
        <v>61.763832049951858055571804450</v>
      </c>
      <c r="G23" s="420">
        <v>15.884652981427174975562072340</v>
      </c>
      <c r="H23" s="91">
        <v>5.7951987996999249812453113300</v>
      </c>
      <c r="I23" s="421">
        <v>14.859857467376298123364180800</v>
      </c>
      <c r="J23" s="420">
        <v>0</v>
      </c>
      <c r="K23" s="91">
        <v>0</v>
      </c>
      <c r="L23" s="421">
        <v>8.480389776088899524956837640</v>
      </c>
      <c r="M23" s="420">
        <v>91.32453567937438905180840665</v>
      </c>
      <c r="N23" s="91">
        <v>87.500</v>
      </c>
      <c r="O23" s="421">
        <v>85.10407929341705570389282289</v>
      </c>
      <c r="P23" s="5"/>
      <c r="Q23" s="420">
        <v>-10.339819924445503447751080590</v>
      </c>
      <c r="R23" s="91">
        <v>-1.8620618835838836354759579900</v>
      </c>
      <c r="S23" s="421">
        <v>-2.8403267641572337569846914600</v>
      </c>
      <c r="T23" s="420">
        <v>85.71428571443640816326542844</v>
      </c>
      <c r="U23" s="91">
        <v>181.92448393260466383641672246</v>
      </c>
      <c r="V23" s="421">
        <v>18.006539968802043241717164220</v>
      </c>
      <c r="W23" s="420">
        <v>0</v>
      </c>
      <c r="X23" s="91">
        <v>0</v>
      </c>
      <c r="Y23" s="421">
        <v>16.846129812328351288555796050</v>
      </c>
      <c r="Z23" s="420">
        <v>-1.4764039018783622459650259600</v>
      </c>
      <c r="AA23" s="91">
        <v>2.5663297536767634524400229900</v>
      </c>
      <c r="AB23" s="421">
        <v>2.0193411165928669412644461200</v>
      </c>
    </row>
    <row r="24" ht="18" customHeight="1">
      <c r="A24" s="59"/>
      <c r="B24" s="286"/>
      <c r="C24" s="287" t="s">
        <v>223</v>
      </c>
      <c r="D24" s="271">
        <v>82.39898989898989898989898990</v>
      </c>
      <c r="E24" s="92">
        <v>84.66085271317829457364341085</v>
      </c>
      <c r="F24" s="272">
        <v>58.770690183082636463238854440</v>
      </c>
      <c r="G24" s="271">
        <v>10.631313131313131313131313130</v>
      </c>
      <c r="H24" s="92">
        <v>3.3527131782945736434108527100</v>
      </c>
      <c r="I24" s="272">
        <v>17.804223140585607261106235140</v>
      </c>
      <c r="J24" s="271">
        <v>0</v>
      </c>
      <c r="K24" s="92">
        <v>0</v>
      </c>
      <c r="L24" s="272">
        <v>7.0910272772376097486694663100</v>
      </c>
      <c r="M24" s="271">
        <v>93.03030303030303030303030303</v>
      </c>
      <c r="N24" s="92">
        <v>88.01356589147286821705426357</v>
      </c>
      <c r="O24" s="272">
        <v>83.66594060090585347301455589</v>
      </c>
      <c r="P24" s="93"/>
      <c r="Q24" s="271">
        <v>-8.316942961467914884962903210</v>
      </c>
      <c r="R24" s="92">
        <v>6.631955772009027702519033500</v>
      </c>
      <c r="S24" s="272">
        <v>2.3419378705849916327424405500</v>
      </c>
      <c r="T24" s="271">
        <v>216.54135338212584091809029717</v>
      </c>
      <c r="U24" s="92">
        <v>-6.3475452195570774332471304300</v>
      </c>
      <c r="V24" s="272">
        <v>3.9688173311702596879955049700</v>
      </c>
      <c r="W24" s="271">
        <v>0</v>
      </c>
      <c r="X24" s="92">
        <v>0</v>
      </c>
      <c r="Y24" s="272">
        <v>6.3356342388435506796978202400</v>
      </c>
      <c r="Z24" s="271">
        <v>-0.2166847237021124999853212200</v>
      </c>
      <c r="AA24" s="92">
        <v>6.0719581261605235697468872600</v>
      </c>
      <c r="AB24" s="272">
        <v>3.0128618427232557222634154900</v>
      </c>
    </row>
    <row r="25" ht="18" customHeight="1">
      <c r="A25" s="60"/>
      <c r="B25" s="288"/>
      <c r="C25" s="289" t="s">
        <v>224</v>
      </c>
      <c r="D25" s="420">
        <v>71.309872922776148582600195500</v>
      </c>
      <c r="E25" s="91">
        <v>70.770817704426106526631657910</v>
      </c>
      <c r="F25" s="421">
        <v>52.600356608435218534738849750</v>
      </c>
      <c r="G25" s="420">
        <v>9.921798631476050830889540570</v>
      </c>
      <c r="H25" s="91">
        <v>3.8915978994748687171792948200</v>
      </c>
      <c r="I25" s="421">
        <v>12.000712913835857655518488150</v>
      </c>
      <c r="J25" s="420">
        <v>0</v>
      </c>
      <c r="K25" s="91">
        <v>0</v>
      </c>
      <c r="L25" s="421">
        <v>6.9799994286327302413340087800</v>
      </c>
      <c r="M25" s="420">
        <v>81.23167155425219941348973607</v>
      </c>
      <c r="N25" s="91">
        <v>74.662415603900975243810952740</v>
      </c>
      <c r="O25" s="421">
        <v>71.581068950903806431591346680</v>
      </c>
      <c r="P25" s="93"/>
      <c r="Q25" s="420">
        <v>-6.6240000000377687244799847300</v>
      </c>
      <c r="R25" s="91">
        <v>0.9712380451775995705996353100</v>
      </c>
      <c r="S25" s="421">
        <v>-7.5691032302922224430471916300</v>
      </c>
      <c r="T25" s="420">
        <v>17.341040461761682648939595570</v>
      </c>
      <c r="U25" s="91">
        <v>298.01547335170804700336168064</v>
      </c>
      <c r="V25" s="421">
        <v>6.4437115838880489510088933400</v>
      </c>
      <c r="W25" s="420">
        <v>0</v>
      </c>
      <c r="X25" s="91">
        <v>0</v>
      </c>
      <c r="Y25" s="421">
        <v>11.180308083431261973483761440</v>
      </c>
      <c r="Z25" s="420">
        <v>-4.2350907519208467641629673300</v>
      </c>
      <c r="AA25" s="91">
        <v>5.0579694810350822105738340400</v>
      </c>
      <c r="AB25" s="421">
        <v>-3.8665258476748786619166992600</v>
      </c>
    </row>
    <row r="26" ht="18" customHeight="1">
      <c r="A26" s="60"/>
      <c r="B26" s="290"/>
      <c r="C26" s="291" t="s">
        <v>225</v>
      </c>
      <c r="D26" s="273">
        <v>79.39393939393939393939393939</v>
      </c>
      <c r="E26" s="274">
        <v>69.389534883720930232558139540</v>
      </c>
      <c r="F26" s="275">
        <v>53.717718045148384175866652260</v>
      </c>
      <c r="G26" s="273">
        <v>1.5909090909090909090909090900</v>
      </c>
      <c r="H26" s="274">
        <v>2.3255813953488372093023255800</v>
      </c>
      <c r="I26" s="275">
        <v>12.723158539299489125469626160</v>
      </c>
      <c r="J26" s="273">
        <v>0</v>
      </c>
      <c r="K26" s="274">
        <v>0</v>
      </c>
      <c r="L26" s="275">
        <v>7.2128863913306734114664897500</v>
      </c>
      <c r="M26" s="273">
        <v>80.98484848484848484848484848</v>
      </c>
      <c r="N26" s="274">
        <v>71.715116279069767441860465120</v>
      </c>
      <c r="O26" s="275">
        <v>73.653762975778546712802768170</v>
      </c>
      <c r="P26" s="184"/>
      <c r="Q26" s="273">
        <v>20.229445506607563219987702510</v>
      </c>
      <c r="R26" s="274">
        <v>2.9767040552697730407859802300</v>
      </c>
      <c r="S26" s="275">
        <v>-1.0733657012864113766303553500</v>
      </c>
      <c r="T26" s="273">
        <v>-87.06365503082207202459002535</v>
      </c>
      <c r="U26" s="274">
        <v>200.00000001920000000122879982</v>
      </c>
      <c r="V26" s="275">
        <v>29.482266190360183556844958950</v>
      </c>
      <c r="W26" s="273">
        <v>0</v>
      </c>
      <c r="X26" s="274">
        <v>0</v>
      </c>
      <c r="Y26" s="275">
        <v>-1.9345512409487445775243339800</v>
      </c>
      <c r="Z26" s="273">
        <v>3.384912959425038067410200200</v>
      </c>
      <c r="AA26" s="274">
        <v>5.2175149274675006784949473800</v>
      </c>
      <c r="AB26" s="275">
        <v>3.0383164734435755807656964200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27">
        <v>76.954629164573915955131424740</v>
      </c>
      <c r="E29" s="428">
        <v>69.415801160300489333739965090</v>
      </c>
      <c r="F29" s="429">
        <v>55.304871450255595990409446440</v>
      </c>
      <c r="G29" s="427">
        <v>11.355265360790222668675707350</v>
      </c>
      <c r="H29" s="428">
        <v>4.2486071971674461234383551400</v>
      </c>
      <c r="I29" s="429">
        <v>14.885433916944989085657071660</v>
      </c>
      <c r="J29" s="427">
        <v>0</v>
      </c>
      <c r="K29" s="428">
        <v>0</v>
      </c>
      <c r="L29" s="429">
        <v>7.6030306137809571810804282400</v>
      </c>
      <c r="M29" s="427">
        <v>88.30989452536413862380713209</v>
      </c>
      <c r="N29" s="428">
        <v>73.664408357467935457178320230</v>
      </c>
      <c r="O29" s="429">
        <v>77.793335980981542257146946330</v>
      </c>
      <c r="P29" s="5"/>
      <c r="Q29" s="427">
        <v>-0.0815173088159985327209211500</v>
      </c>
      <c r="R29" s="428">
        <v>9.546191794815182737284366700</v>
      </c>
      <c r="S29" s="429">
        <v>0.8896034603139336992497165300</v>
      </c>
      <c r="T29" s="427">
        <v>-14.118391896301799498380491690</v>
      </c>
      <c r="U29" s="428">
        <v>56.992605020623603082463644230</v>
      </c>
      <c r="V29" s="429">
        <v>0.3552532553097608603028847400</v>
      </c>
      <c r="W29" s="427">
        <v>0</v>
      </c>
      <c r="X29" s="428">
        <v>-100</v>
      </c>
      <c r="Y29" s="429">
        <v>6.2277274206227575123163887400</v>
      </c>
      <c r="Z29" s="427">
        <v>-2.1382189239336090833364885900</v>
      </c>
      <c r="AA29" s="428">
        <v>11.480812437951631902879620860</v>
      </c>
      <c r="AB29" s="429">
        <v>1.2838454659559404215489108400</v>
      </c>
    </row>
    <row r="30" ht="18" customHeight="1">
      <c r="A30" s="58"/>
      <c r="B30" s="286">
        <v>2024</v>
      </c>
      <c r="C30" s="287"/>
      <c r="D30" s="271">
        <v>77.343489843489843489843489840</v>
      </c>
      <c r="E30" s="92">
        <v>76.187080059285467719360230470</v>
      </c>
      <c r="F30" s="272">
        <v>57.633304865255452389045040260</v>
      </c>
      <c r="G30" s="271">
        <v>11.188811188811188811188811190</v>
      </c>
      <c r="H30" s="92">
        <v>3.3580262417405897077008792100</v>
      </c>
      <c r="I30" s="272">
        <v>14.74462393624089042465846800</v>
      </c>
      <c r="J30" s="271">
        <v>0</v>
      </c>
      <c r="K30" s="92">
        <v>0</v>
      </c>
      <c r="L30" s="272">
        <v>7.1127636903446697751237008100</v>
      </c>
      <c r="M30" s="271">
        <v>88.53230103230103230103230103</v>
      </c>
      <c r="N30" s="92">
        <v>79.54510630102605742706110968</v>
      </c>
      <c r="O30" s="272">
        <v>79.49069249184101258882720907</v>
      </c>
      <c r="P30" s="5"/>
      <c r="Q30" s="271">
        <v>0.5053116142735228737822531600</v>
      </c>
      <c r="R30" s="92">
        <v>9.754665055797223509554087240</v>
      </c>
      <c r="S30" s="272">
        <v>4.2101777906633609138839254600</v>
      </c>
      <c r="T30" s="271">
        <v>-1.4658765488954119555690023500</v>
      </c>
      <c r="U30" s="92">
        <v>-20.961715548717667466722164360</v>
      </c>
      <c r="V30" s="272">
        <v>-0.9459581860038533502666709900</v>
      </c>
      <c r="W30" s="271">
        <v>0</v>
      </c>
      <c r="X30" s="92">
        <v>0</v>
      </c>
      <c r="Y30" s="272">
        <v>-6.4483092119274589481503580300</v>
      </c>
      <c r="Z30" s="271">
        <v>0.2518477777561640790797630900</v>
      </c>
      <c r="AA30" s="92">
        <v>7.983092615074706536933051590</v>
      </c>
      <c r="AB30" s="272">
        <v>2.1818790638513941746359533500</v>
      </c>
    </row>
    <row r="31" ht="18" customHeight="1">
      <c r="A31" s="58"/>
      <c r="B31" s="425">
        <v>2025</v>
      </c>
      <c r="C31" s="426"/>
      <c r="D31" s="430">
        <v>76.226351916959651766281600540</v>
      </c>
      <c r="E31" s="431">
        <v>75.301940125915456764743672110</v>
      </c>
      <c r="F31" s="432">
        <v>56.505331092863228178053619770</v>
      </c>
      <c r="G31" s="430">
        <v>12.033316591327641051397957480</v>
      </c>
      <c r="H31" s="431">
        <v>6.0275600668122831812925607100</v>
      </c>
      <c r="I31" s="432">
        <v>16.421892976867615248433303900</v>
      </c>
      <c r="J31" s="430">
        <v>0</v>
      </c>
      <c r="K31" s="431">
        <v>0</v>
      </c>
      <c r="L31" s="432">
        <v>7.8069909129318450663765550700</v>
      </c>
      <c r="M31" s="430">
        <v>88.25966850828729281767955801</v>
      </c>
      <c r="N31" s="431">
        <v>81.32950019272773994603623282</v>
      </c>
      <c r="O31" s="432">
        <v>80.73421498266268849286347875</v>
      </c>
      <c r="P31" s="184"/>
      <c r="Q31" s="430">
        <v>-1.4443852078575857955408027600</v>
      </c>
      <c r="R31" s="431">
        <v>-1.1617979488065391817274663300</v>
      </c>
      <c r="S31" s="432">
        <v>-1.9571561531532178490262959500</v>
      </c>
      <c r="T31" s="430">
        <v>7.5477670350983396639043433200</v>
      </c>
      <c r="U31" s="431">
        <v>79.49711029538686113039378962</v>
      </c>
      <c r="V31" s="432">
        <v>11.375461645716837393755487810</v>
      </c>
      <c r="W31" s="430">
        <v>0</v>
      </c>
      <c r="X31" s="431">
        <v>0</v>
      </c>
      <c r="Y31" s="432">
        <v>9.760302083121281934887270580</v>
      </c>
      <c r="Z31" s="430">
        <v>-0.307946953635871630961060700</v>
      </c>
      <c r="AA31" s="431">
        <v>2.2432478560976006483446698400</v>
      </c>
      <c r="AB31" s="432">
        <v>1.5643623824147288793860822400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27">
        <v>75.074925074925074925074925070</v>
      </c>
      <c r="E34" s="428">
        <v>64.752879521443270961689938610</v>
      </c>
      <c r="F34" s="429">
        <v>54.441114599132223427644989050</v>
      </c>
      <c r="G34" s="427">
        <v>8.300033300033300033300033300</v>
      </c>
      <c r="H34" s="428">
        <v>3.8741664846495673715573376800</v>
      </c>
      <c r="I34" s="429">
        <v>12.156815363812612906144180300</v>
      </c>
      <c r="J34" s="427">
        <v>0</v>
      </c>
      <c r="K34" s="428">
        <v>0</v>
      </c>
      <c r="L34" s="429">
        <v>6.9946881812428145803191438700</v>
      </c>
      <c r="M34" s="427">
        <v>83.37495837495837495837495837</v>
      </c>
      <c r="N34" s="428">
        <v>68.627046006092838333247276290</v>
      </c>
      <c r="O34" s="429">
        <v>73.592618144187650914108313210</v>
      </c>
      <c r="P34" s="5"/>
      <c r="Q34" s="427">
        <v>3.7744533947386111200128283500</v>
      </c>
      <c r="R34" s="428">
        <v>-0.7436749628917915823776821500</v>
      </c>
      <c r="S34" s="429">
        <v>2.1491764081135582793675229200</v>
      </c>
      <c r="T34" s="427">
        <v>-40.936018957286907582938329560</v>
      </c>
      <c r="U34" s="428">
        <v>19.236660459151377270160165980</v>
      </c>
      <c r="V34" s="429">
        <v>-23.433217047221561063561028780</v>
      </c>
      <c r="W34" s="427">
        <v>0</v>
      </c>
      <c r="X34" s="428">
        <v>0</v>
      </c>
      <c r="Y34" s="429">
        <v>0.3808843738963112613873539600</v>
      </c>
      <c r="Z34" s="427">
        <v>-3.4977837733260832829694528500</v>
      </c>
      <c r="AA34" s="428">
        <v>0.2042238371005007340592460500</v>
      </c>
      <c r="AB34" s="429">
        <v>-3.3472355094690354325570850900</v>
      </c>
    </row>
    <row r="35" ht="18" customHeight="1">
      <c r="A35" s="58"/>
      <c r="B35" s="286">
        <v>2024</v>
      </c>
      <c r="C35" s="287"/>
      <c r="D35" s="271">
        <v>77.414252414252414252414252410</v>
      </c>
      <c r="E35" s="92">
        <v>72.571699322723598762507316250</v>
      </c>
      <c r="F35" s="272">
        <v>56.223531639836843907112148900</v>
      </c>
      <c r="G35" s="271">
        <v>8.041958041958041958041958040</v>
      </c>
      <c r="H35" s="92">
        <v>1.8311547144569246634521586400</v>
      </c>
      <c r="I35" s="272">
        <v>12.732338322124333302902661280</v>
      </c>
      <c r="J35" s="271">
        <v>0</v>
      </c>
      <c r="K35" s="92">
        <v>0</v>
      </c>
      <c r="L35" s="272">
        <v>6.7604993599995476187543110900</v>
      </c>
      <c r="M35" s="271">
        <v>85.45621045621045621045621046</v>
      </c>
      <c r="N35" s="92">
        <v>74.402854037180523425959474900</v>
      </c>
      <c r="O35" s="272">
        <v>75.716369321960724828769121270</v>
      </c>
      <c r="P35" s="5"/>
      <c r="Q35" s="271">
        <v>3.1159902417731853362839011700</v>
      </c>
      <c r="R35" s="92">
        <v>12.074860390941500352653560640</v>
      </c>
      <c r="S35" s="272">
        <v>3.2740274585897441457590153700</v>
      </c>
      <c r="T35" s="271">
        <v>-3.1093279835631266920102833800</v>
      </c>
      <c r="U35" s="92">
        <v>-52.734227562603372394778611320</v>
      </c>
      <c r="V35" s="272">
        <v>4.7341589149910002756922950400</v>
      </c>
      <c r="W35" s="271">
        <v>0</v>
      </c>
      <c r="X35" s="92">
        <v>0</v>
      </c>
      <c r="Y35" s="272">
        <v>-3.3480952278887039466429004200</v>
      </c>
      <c r="Z35" s="271">
        <v>2.4962556165239659233067778500</v>
      </c>
      <c r="AA35" s="92">
        <v>8.416227081327576847761293280</v>
      </c>
      <c r="AB35" s="272">
        <v>2.8858209305712850803667946500</v>
      </c>
    </row>
    <row r="36" ht="18" customHeight="1">
      <c r="A36" s="58"/>
      <c r="B36" s="425">
        <v>2025</v>
      </c>
      <c r="C36" s="426"/>
      <c r="D36" s="430">
        <v>77.630702630702630702630702630</v>
      </c>
      <c r="E36" s="431">
        <v>74.894582162024022489138768210</v>
      </c>
      <c r="F36" s="432">
        <v>55.018148020879624024611330280</v>
      </c>
      <c r="G36" s="430">
        <v>7.4092574092574092574092574100</v>
      </c>
      <c r="H36" s="431">
        <v>3.1976744186046511627906976700</v>
      </c>
      <c r="I36" s="432">
        <v>14.169572016725877466803559590</v>
      </c>
      <c r="J36" s="430">
        <v>0</v>
      </c>
      <c r="K36" s="431">
        <v>0</v>
      </c>
      <c r="L36" s="432">
        <v>7.0916460824364678349635704900</v>
      </c>
      <c r="M36" s="430">
        <v>85.03996003996003996003996004</v>
      </c>
      <c r="N36" s="431">
        <v>78.092256580628673651929465880</v>
      </c>
      <c r="O36" s="432">
        <v>76.279366120041969326378460360</v>
      </c>
      <c r="P36" s="184"/>
      <c r="Q36" s="430">
        <v>0.2795999569229811599791620900</v>
      </c>
      <c r="R36" s="431">
        <v>3.2008108684282089313093496500</v>
      </c>
      <c r="S36" s="432">
        <v>-2.1439130267425225041273390300</v>
      </c>
      <c r="T36" s="430">
        <v>-7.867494824497254478348378700</v>
      </c>
      <c r="U36" s="431">
        <v>74.626119425292895576939939120</v>
      </c>
      <c r="V36" s="432">
        <v>11.288057686396981127259450540</v>
      </c>
      <c r="W36" s="430">
        <v>0</v>
      </c>
      <c r="X36" s="431">
        <v>0</v>
      </c>
      <c r="Y36" s="432">
        <v>4.8982583209129663309896458600</v>
      </c>
      <c r="Z36" s="430">
        <v>-0.487092060387239336349522300</v>
      </c>
      <c r="AA36" s="431">
        <v>4.9586841676584652808620981100</v>
      </c>
      <c r="AB36" s="432">
        <v>0.7435602143675239314698692200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2023</v>
      </c>
      <c r="C39" s="285"/>
      <c r="D39" s="427">
        <v>75.483603154836031548360315480</v>
      </c>
      <c r="E39" s="428">
        <v>66.16422076325972814166995300</v>
      </c>
      <c r="F39" s="429">
        <v>54.118171435514188580365572620</v>
      </c>
      <c r="G39" s="427">
        <v>8.588625985886259858862598590</v>
      </c>
      <c r="H39" s="428">
        <v>3.4087045034619788772549681200</v>
      </c>
      <c r="I39" s="429">
        <v>13.027785712848889053257325440</v>
      </c>
      <c r="J39" s="427">
        <v>0</v>
      </c>
      <c r="K39" s="428">
        <v>0</v>
      </c>
      <c r="L39" s="429">
        <v>7.5278799750058775174259210500</v>
      </c>
      <c r="M39" s="427">
        <v>84.07222914072229140722291407</v>
      </c>
      <c r="N39" s="428">
        <v>69.572925266721707018924921120</v>
      </c>
      <c r="O39" s="429">
        <v>74.673837123368955151048819110</v>
      </c>
      <c r="P39" s="5"/>
      <c r="Q39" s="427">
        <v>0.2729603793623626909528954200</v>
      </c>
      <c r="R39" s="428">
        <v>11.195966535467419644427985690</v>
      </c>
      <c r="S39" s="429">
        <v>0.264755851736719522704499800</v>
      </c>
      <c r="T39" s="427">
        <v>4.4158465802897383690921991600</v>
      </c>
      <c r="U39" s="428">
        <v>43.818997302458213276667211110</v>
      </c>
      <c r="V39" s="429">
        <v>16.384429443492471048999923200</v>
      </c>
      <c r="W39" s="427">
        <v>0</v>
      </c>
      <c r="X39" s="428">
        <v>-100</v>
      </c>
      <c r="Y39" s="429">
        <v>19.395393036866150885340299880</v>
      </c>
      <c r="Z39" s="427">
        <v>0.6810499105615325573791893500</v>
      </c>
      <c r="AA39" s="428">
        <v>12.422642535414910700622437630</v>
      </c>
      <c r="AB39" s="429">
        <v>4.4768921184877751719840347700</v>
      </c>
    </row>
    <row r="40" ht="18" customHeight="1">
      <c r="A40" s="58"/>
      <c r="B40" s="286">
        <v>2024</v>
      </c>
      <c r="C40" s="287"/>
      <c r="D40" s="271">
        <v>73.967130319589335982778605730</v>
      </c>
      <c r="E40" s="92">
        <v>72.214272471702792610689553410</v>
      </c>
      <c r="F40" s="272">
        <v>55.545170150653774667716072210</v>
      </c>
      <c r="G40" s="271">
        <v>8.55067064083457526080476900</v>
      </c>
      <c r="H40" s="92">
        <v>2.5856670262438881716065450100</v>
      </c>
      <c r="I40" s="272">
        <v>12.396635429788244591997500310</v>
      </c>
      <c r="J40" s="271">
        <v>0</v>
      </c>
      <c r="K40" s="92">
        <v>0</v>
      </c>
      <c r="L40" s="272">
        <v>6.9758717434108077360162474200</v>
      </c>
      <c r="M40" s="271">
        <v>82.51780096042391124358337473</v>
      </c>
      <c r="N40" s="92">
        <v>74.799939497946680782296098410</v>
      </c>
      <c r="O40" s="272">
        <v>74.917677323852826995729819940</v>
      </c>
      <c r="P40" s="5"/>
      <c r="Q40" s="271">
        <v>-2.009009601861105058194431500</v>
      </c>
      <c r="R40" s="92">
        <v>9.143992989876846003715585050</v>
      </c>
      <c r="S40" s="272">
        <v>2.6368199022661427219094685500</v>
      </c>
      <c r="T40" s="271">
        <v>-0.4419256948403186047187981300</v>
      </c>
      <c r="U40" s="92">
        <v>-24.145169415859629335378527630</v>
      </c>
      <c r="V40" s="272">
        <v>-4.8446474092035497607582332300</v>
      </c>
      <c r="W40" s="271">
        <v>0</v>
      </c>
      <c r="X40" s="92">
        <v>0</v>
      </c>
      <c r="Y40" s="272">
        <v>-7.3328511270424747172427198500</v>
      </c>
      <c r="Z40" s="271">
        <v>-1.848919906327996190291486900</v>
      </c>
      <c r="AA40" s="92">
        <v>7.5130005116351057796768948500</v>
      </c>
      <c r="AB40" s="272">
        <v>0.3265403384184961837723641400</v>
      </c>
    </row>
    <row r="41" ht="18" customHeight="1">
      <c r="A41" s="58"/>
      <c r="B41" s="425">
        <v>2025</v>
      </c>
      <c r="C41" s="426"/>
      <c r="D41" s="430">
        <v>73.167289331672893316728933170</v>
      </c>
      <c r="E41" s="431">
        <v>70.482510946615831190022576820</v>
      </c>
      <c r="F41" s="432">
        <v>55.694611645036624253109228290</v>
      </c>
      <c r="G41" s="430">
        <v>9.939809049398090493980904940</v>
      </c>
      <c r="H41" s="431">
        <v>5.3059567182455896446381431500</v>
      </c>
      <c r="I41" s="432">
        <v>13.242737153270157476454713200</v>
      </c>
      <c r="J41" s="430">
        <v>0</v>
      </c>
      <c r="K41" s="431">
        <v>0</v>
      </c>
      <c r="L41" s="432">
        <v>7.5011841350690872484100918700</v>
      </c>
      <c r="M41" s="430">
        <v>83.10709838107098381070983811</v>
      </c>
      <c r="N41" s="431">
        <v>75.788467664861420834660719970</v>
      </c>
      <c r="O41" s="432">
        <v>76.438532933375868977974033370</v>
      </c>
      <c r="P41" s="184"/>
      <c r="Q41" s="430">
        <v>-1.0813465176641613819765712900</v>
      </c>
      <c r="R41" s="431">
        <v>-2.3980876159388403522144670200</v>
      </c>
      <c r="S41" s="432">
        <v>0.2690449843454857761720438100</v>
      </c>
      <c r="T41" s="430">
        <v>16.245958556393686864423016120</v>
      </c>
      <c r="U41" s="431">
        <v>105.20649660151471690056327137</v>
      </c>
      <c r="V41" s="432">
        <v>6.8252529346489621040990081300</v>
      </c>
      <c r="W41" s="430">
        <v>0</v>
      </c>
      <c r="X41" s="431">
        <v>0</v>
      </c>
      <c r="Y41" s="432">
        <v>7.5304192937046889056496965800</v>
      </c>
      <c r="Z41" s="430">
        <v>0.7141458131607088665892572900</v>
      </c>
      <c r="AA41" s="431">
        <v>1.3215627894848412988888869900</v>
      </c>
      <c r="AB41" s="432">
        <v>2.0300357189406490598010280900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143</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218</v>
      </c>
      <c r="D9" s="434">
        <v>285.75064850843060959792477302</v>
      </c>
      <c r="E9" s="435">
        <v>328.5662299736149180619538946</v>
      </c>
      <c r="F9" s="436">
        <v>267.71484504574015863883063735</v>
      </c>
      <c r="G9" s="434">
        <v>297.3754385964912280701754386</v>
      </c>
      <c r="H9" s="435">
        <v>345.63775325752211084330896824</v>
      </c>
      <c r="I9" s="436">
        <v>291.41092035898453089422040881</v>
      </c>
      <c r="J9" s="434">
        <v>0</v>
      </c>
      <c r="K9" s="435">
        <v>0</v>
      </c>
      <c r="L9" s="436">
        <v>153.53997964488606655577160413</v>
      </c>
      <c r="M9" s="434">
        <v>287.56403940886699507389162562</v>
      </c>
      <c r="N9" s="435">
        <v>330.13604342581423401688781665</v>
      </c>
      <c r="O9" s="436">
        <v>262.26147907794812700090541647</v>
      </c>
      <c r="P9" s="5"/>
      <c r="Q9" s="415">
        <v>2.2021565037568591095660146900</v>
      </c>
      <c r="R9" s="416">
        <v>-3.3446419712069611264669595500</v>
      </c>
      <c r="S9" s="417">
        <v>-2.8276472805591484421829202900</v>
      </c>
      <c r="T9" s="415">
        <v>3.1561947455799254277663107600</v>
      </c>
      <c r="U9" s="416">
        <v>-6.1915964231534993027709605800</v>
      </c>
      <c r="V9" s="417">
        <v>5.6370798574782375684821111900</v>
      </c>
      <c r="W9" s="415">
        <v>0</v>
      </c>
      <c r="X9" s="416">
        <v>0</v>
      </c>
      <c r="Y9" s="417">
        <v>20.656819660872482427879865430</v>
      </c>
      <c r="Z9" s="415">
        <v>2.2539092647899099129884983200</v>
      </c>
      <c r="AA9" s="416">
        <v>-3.3178220622261525888217845200</v>
      </c>
      <c r="AB9" s="417">
        <v>1.0599541073309790584166684500</v>
      </c>
    </row>
    <row r="10" ht="18" customHeight="1">
      <c r="A10" s="58"/>
      <c r="B10" s="286"/>
      <c r="C10" s="287" t="s">
        <v>220</v>
      </c>
      <c r="D10" s="276">
        <v>358.93212341197822141560798548</v>
      </c>
      <c r="E10" s="94">
        <v>381.40897714096961592683778917</v>
      </c>
      <c r="F10" s="277">
        <v>324.34444269852251566802770501</v>
      </c>
      <c r="G10" s="276">
        <v>324.11346633416458852867830424</v>
      </c>
      <c r="H10" s="94">
        <v>439.77259929786921890686775464</v>
      </c>
      <c r="I10" s="277">
        <v>329.19233177180982192683617109</v>
      </c>
      <c r="J10" s="276">
        <v>0</v>
      </c>
      <c r="K10" s="94">
        <v>0</v>
      </c>
      <c r="L10" s="277">
        <v>160.87778740450076326784335912</v>
      </c>
      <c r="M10" s="276">
        <v>351.08152937868990722518976666</v>
      </c>
      <c r="N10" s="94">
        <v>384.66018085106382978723404255</v>
      </c>
      <c r="O10" s="277">
        <v>311.18307987266351468455483865</v>
      </c>
      <c r="P10" s="5"/>
      <c r="Q10" s="271">
        <v>2.7181658109170109422969713700</v>
      </c>
      <c r="R10" s="92">
        <v>-9.023377703338990032560215900</v>
      </c>
      <c r="S10" s="272">
        <v>-1.0671961577412479308094745200</v>
      </c>
      <c r="T10" s="271">
        <v>-2.8550239892621267524306489800</v>
      </c>
      <c r="U10" s="92">
        <v>-10.736749832941986610782233610</v>
      </c>
      <c r="V10" s="272">
        <v>2.3228844589985705982150957900</v>
      </c>
      <c r="W10" s="271">
        <v>0</v>
      </c>
      <c r="X10" s="92">
        <v>0</v>
      </c>
      <c r="Y10" s="272">
        <v>19.396912757170684199324905920</v>
      </c>
      <c r="Z10" s="271">
        <v>1.2162344522410634697652324300</v>
      </c>
      <c r="AA10" s="92">
        <v>-9.522847999293038540960644920</v>
      </c>
      <c r="AB10" s="272">
        <v>1.4481062129723104466315736300</v>
      </c>
    </row>
    <row r="11" ht="18" customHeight="1">
      <c r="A11" s="58"/>
      <c r="B11" s="288"/>
      <c r="C11" s="289" t="s">
        <v>221</v>
      </c>
      <c r="D11" s="439">
        <v>312.10688353180365959918675574</v>
      </c>
      <c r="E11" s="95">
        <v>356.03498161432590004513353337</v>
      </c>
      <c r="F11" s="440">
        <v>301.30324551980017978871705231</v>
      </c>
      <c r="G11" s="439">
        <v>313.3</v>
      </c>
      <c r="H11" s="95">
        <v>436.92887199505511952032198483</v>
      </c>
      <c r="I11" s="440">
        <v>297.68140819851961572521347367</v>
      </c>
      <c r="J11" s="439">
        <v>0</v>
      </c>
      <c r="K11" s="95">
        <v>0</v>
      </c>
      <c r="L11" s="440">
        <v>161.47189325780921510401502164</v>
      </c>
      <c r="M11" s="439">
        <v>312.21697864487213287635117321</v>
      </c>
      <c r="N11" s="95">
        <v>357.98414403032217308907138345</v>
      </c>
      <c r="O11" s="440">
        <v>288.59078956573267436740505418</v>
      </c>
      <c r="P11" s="5"/>
      <c r="Q11" s="420">
        <v>-2.010080068198589874516326600</v>
      </c>
      <c r="R11" s="91">
        <v>-7.5141992174293669402646189200</v>
      </c>
      <c r="S11" s="421">
        <v>-4.2449179097025842429017328200</v>
      </c>
      <c r="T11" s="420">
        <v>10.410205807724837891175641390</v>
      </c>
      <c r="U11" s="91">
        <v>4.1781088799259514883109921500</v>
      </c>
      <c r="V11" s="421">
        <v>1.5132913823061797560134962400</v>
      </c>
      <c r="W11" s="420">
        <v>0</v>
      </c>
      <c r="X11" s="91">
        <v>0</v>
      </c>
      <c r="Y11" s="421">
        <v>20.838284388200553008429188770</v>
      </c>
      <c r="Z11" s="420">
        <v>-0.7483064832101831910544914300</v>
      </c>
      <c r="AA11" s="91">
        <v>-7.3738141736572682901672865500</v>
      </c>
      <c r="AB11" s="421">
        <v>-1.7721720742611521912362134800</v>
      </c>
    </row>
    <row r="12" ht="18" customHeight="1">
      <c r="A12" s="58"/>
      <c r="B12" s="286"/>
      <c r="C12" s="287" t="s">
        <v>223</v>
      </c>
      <c r="D12" s="276">
        <v>257.79657207080640629390278168</v>
      </c>
      <c r="E12" s="94">
        <v>303.7070423499163807262796791</v>
      </c>
      <c r="F12" s="277">
        <v>248.10800066306657160549445387</v>
      </c>
      <c r="G12" s="276">
        <v>275.85714285714285714285714286</v>
      </c>
      <c r="H12" s="94">
        <v>413.39559410629893411495289507</v>
      </c>
      <c r="I12" s="277">
        <v>274.2161073121643958928901836</v>
      </c>
      <c r="J12" s="276">
        <v>0</v>
      </c>
      <c r="K12" s="94">
        <v>0</v>
      </c>
      <c r="L12" s="277">
        <v>157.44216229271919453722286945</v>
      </c>
      <c r="M12" s="276">
        <v>258.44718309859154929577464789</v>
      </c>
      <c r="N12" s="94">
        <v>308.43953020134228187919463087</v>
      </c>
      <c r="O12" s="277">
        <v>246.16857816113941881293149923</v>
      </c>
      <c r="P12" s="5"/>
      <c r="Q12" s="271">
        <v>-3.1029055926922857151135757200</v>
      </c>
      <c r="R12" s="92">
        <v>-9.937302405567606255603131620</v>
      </c>
      <c r="S12" s="272">
        <v>-1.7380486348748885512976421800</v>
      </c>
      <c r="T12" s="271">
        <v>19.826089272386604369375135290</v>
      </c>
      <c r="U12" s="92">
        <v>-16.561103741476746475997349560</v>
      </c>
      <c r="V12" s="272">
        <v>8.320702666150166325511025660</v>
      </c>
      <c r="W12" s="271">
        <v>0</v>
      </c>
      <c r="X12" s="92">
        <v>0</v>
      </c>
      <c r="Y12" s="272">
        <v>21.227580733410592173687262310</v>
      </c>
      <c r="Z12" s="271">
        <v>-1.9665363402226929105900365600</v>
      </c>
      <c r="AA12" s="92">
        <v>-10.688279842937158953578849690</v>
      </c>
      <c r="AB12" s="272">
        <v>1.9197628238996176653635393800</v>
      </c>
    </row>
    <row r="13" ht="18" customHeight="1">
      <c r="A13" s="58"/>
      <c r="B13" s="288"/>
      <c r="C13" s="289" t="s">
        <v>224</v>
      </c>
      <c r="D13" s="439">
        <v>205.17344</v>
      </c>
      <c r="E13" s="95">
        <v>277.19264848405495706654864709</v>
      </c>
      <c r="F13" s="440">
        <v>222.03780596935152348308713933</v>
      </c>
      <c r="G13" s="439">
        <v>392.64739884393063583815028902</v>
      </c>
      <c r="H13" s="95">
        <v>278.81100945798166036331588093</v>
      </c>
      <c r="I13" s="440">
        <v>255.67060481356754816042323367</v>
      </c>
      <c r="J13" s="439">
        <v>0</v>
      </c>
      <c r="K13" s="95">
        <v>0</v>
      </c>
      <c r="L13" s="440">
        <v>153.97154387799996723643864555</v>
      </c>
      <c r="M13" s="439">
        <v>223.86142322097378277153558052</v>
      </c>
      <c r="N13" s="95">
        <v>277.21491387715307117322066948</v>
      </c>
      <c r="O13" s="440">
        <v>221.39125745754933455713630106</v>
      </c>
      <c r="P13" s="5"/>
      <c r="Q13" s="420">
        <v>-13.046454389792187145753872520</v>
      </c>
      <c r="R13" s="91">
        <v>-7.2468726100633565462186612200</v>
      </c>
      <c r="S13" s="421">
        <v>-3.6453417722987223438160622600</v>
      </c>
      <c r="T13" s="420">
        <v>-10.818228764798428887459509300</v>
      </c>
      <c r="U13" s="91">
        <v>-12.962062962594922959887085380</v>
      </c>
      <c r="V13" s="421">
        <v>-6.1076897908247550661516974400</v>
      </c>
      <c r="W13" s="420">
        <v>0</v>
      </c>
      <c r="X13" s="91">
        <v>0</v>
      </c>
      <c r="Y13" s="421">
        <v>10.670820011055465648179655810</v>
      </c>
      <c r="Z13" s="420">
        <v>-14.640373994918915216975929880</v>
      </c>
      <c r="AA13" s="91">
        <v>-7.7344904555041594675486860700</v>
      </c>
      <c r="AB13" s="421">
        <v>-3.1478549181622566336311016400</v>
      </c>
    </row>
    <row r="14" ht="18" customHeight="1">
      <c r="A14" s="58"/>
      <c r="B14" s="286"/>
      <c r="C14" s="287" t="s">
        <v>225</v>
      </c>
      <c r="D14" s="276">
        <v>172.02562141491395793499043977</v>
      </c>
      <c r="E14" s="94">
        <v>223.45688637447459779119667477</v>
      </c>
      <c r="F14" s="277">
        <v>182.19164577433014214142384571</v>
      </c>
      <c r="G14" s="276">
        <v>166.59958932238193018480492813</v>
      </c>
      <c r="H14" s="94">
        <v>222.51252689879558700022904847</v>
      </c>
      <c r="I14" s="277">
        <v>198.04282374799250310055515472</v>
      </c>
      <c r="J14" s="276">
        <v>0</v>
      </c>
      <c r="K14" s="94">
        <v>0</v>
      </c>
      <c r="L14" s="277">
        <v>145.56705443118824644066414005</v>
      </c>
      <c r="M14" s="276">
        <v>171.17375886524822695035460993</v>
      </c>
      <c r="N14" s="94">
        <v>223.44614586295137901620699461</v>
      </c>
      <c r="O14" s="277">
        <v>180.60209950248756218905472637</v>
      </c>
      <c r="P14" s="5"/>
      <c r="Q14" s="271">
        <v>-8.117702262421714646494802410</v>
      </c>
      <c r="R14" s="92">
        <v>-1.4753146584875893689499225500</v>
      </c>
      <c r="S14" s="272">
        <v>-2.4230248755568821352820678700</v>
      </c>
      <c r="T14" s="271">
        <v>-2.1711076582459457887296809100</v>
      </c>
      <c r="U14" s="92">
        <v>50.236863795915137609325245780</v>
      </c>
      <c r="V14" s="272">
        <v>0.7640367860340592484585687500</v>
      </c>
      <c r="W14" s="271">
        <v>0</v>
      </c>
      <c r="X14" s="92">
        <v>0</v>
      </c>
      <c r="Y14" s="272">
        <v>10.803800687387346115400591420</v>
      </c>
      <c r="Z14" s="271">
        <v>-7.6972330895483458723735015600</v>
      </c>
      <c r="AA14" s="92">
        <v>-0.0140374678165911566609575900</v>
      </c>
      <c r="AB14" s="272">
        <v>-1.0435431884297427996602429200</v>
      </c>
    </row>
    <row r="15" ht="18" customHeight="1">
      <c r="A15" s="58"/>
      <c r="B15" s="288"/>
      <c r="C15" s="289" t="s">
        <v>228</v>
      </c>
      <c r="D15" s="439">
        <v>173.54926624737945492662473795</v>
      </c>
      <c r="E15" s="95">
        <v>235.26751268698308260267808387</v>
      </c>
      <c r="F15" s="440">
        <v>177.31123966375627512188117365</v>
      </c>
      <c r="G15" s="439">
        <v>288.65584415584415584415584416</v>
      </c>
      <c r="H15" s="95">
        <v>215.23882803234748765398101744</v>
      </c>
      <c r="I15" s="440">
        <v>180.51329203555637979295135734</v>
      </c>
      <c r="J15" s="439">
        <v>0</v>
      </c>
      <c r="K15" s="95">
        <v>0</v>
      </c>
      <c r="L15" s="440">
        <v>140.34894826266761922539036006</v>
      </c>
      <c r="M15" s="439">
        <v>179.42672413793103448275862069</v>
      </c>
      <c r="N15" s="95">
        <v>234.55057833578202217176439163</v>
      </c>
      <c r="O15" s="440">
        <v>173.8978017178628621342262338</v>
      </c>
      <c r="P15" s="5"/>
      <c r="Q15" s="420">
        <v>-6.4765906987051062593857972700</v>
      </c>
      <c r="R15" s="91">
        <v>5.5136904135848398765993841600</v>
      </c>
      <c r="S15" s="421">
        <v>-3.9166801729655927866827571700</v>
      </c>
      <c r="T15" s="420">
        <v>79.37504655953326485823840221</v>
      </c>
      <c r="U15" s="91">
        <v>-32.533128225370611255706462650</v>
      </c>
      <c r="V15" s="421">
        <v>2.6671317869448935643025101300</v>
      </c>
      <c r="W15" s="420">
        <v>0</v>
      </c>
      <c r="X15" s="91">
        <v>0</v>
      </c>
      <c r="Y15" s="421">
        <v>6.3233750210711675288530667800</v>
      </c>
      <c r="Z15" s="420">
        <v>-3.2597745184463937248828842200</v>
      </c>
      <c r="AA15" s="91">
        <v>4.8264792156227410170163342600</v>
      </c>
      <c r="AB15" s="421">
        <v>-2.302148495598473646750172400</v>
      </c>
    </row>
    <row r="16" ht="18" customHeight="1">
      <c r="A16" s="58"/>
      <c r="B16" s="286"/>
      <c r="C16" s="287" t="s">
        <v>229</v>
      </c>
      <c r="D16" s="276">
        <v>158.49419398907103825136612022</v>
      </c>
      <c r="E16" s="94">
        <v>207.51190662951688546405616943</v>
      </c>
      <c r="F16" s="277">
        <v>160.57175314712446254962744828</v>
      </c>
      <c r="G16" s="276">
        <v>164.46078431372549019607843137</v>
      </c>
      <c r="H16" s="94">
        <v>228.69396110807066232288107079</v>
      </c>
      <c r="I16" s="277">
        <v>167.62382366565122477357537507</v>
      </c>
      <c r="J16" s="276">
        <v>0</v>
      </c>
      <c r="K16" s="94">
        <v>0</v>
      </c>
      <c r="L16" s="277">
        <v>140.49470083603337312235724497</v>
      </c>
      <c r="M16" s="276">
        <v>158.6950495049504950495049505</v>
      </c>
      <c r="N16" s="94">
        <v>207.8975057736720554272517321</v>
      </c>
      <c r="O16" s="277">
        <v>158.95021520383365378046281024</v>
      </c>
      <c r="P16" s="5"/>
      <c r="Q16" s="271">
        <v>-6.1206120702392382886962618600</v>
      </c>
      <c r="R16" s="92">
        <v>2.992004522158001910261107100</v>
      </c>
      <c r="S16" s="272">
        <v>-5.2808172588976656721518602600</v>
      </c>
      <c r="T16" s="271">
        <v>-10.865755446842172944801459040</v>
      </c>
      <c r="U16" s="92">
        <v>3.2346663626563527058441450400</v>
      </c>
      <c r="V16" s="272">
        <v>0.8605604598416197631901342300</v>
      </c>
      <c r="W16" s="271">
        <v>0</v>
      </c>
      <c r="X16" s="92">
        <v>0</v>
      </c>
      <c r="Y16" s="272">
        <v>6.4828688805229206262048378900</v>
      </c>
      <c r="Z16" s="271">
        <v>-6.1624018703361361635951644900</v>
      </c>
      <c r="AA16" s="92">
        <v>2.9993072278396522904370573800</v>
      </c>
      <c r="AB16" s="272">
        <v>-3.7095948434937817878632261400</v>
      </c>
    </row>
    <row r="17" ht="18" customHeight="1">
      <c r="A17" s="58"/>
      <c r="B17" s="288"/>
      <c r="C17" s="289" t="s">
        <v>230</v>
      </c>
      <c r="D17" s="439">
        <v>146.70195517405817835002384359</v>
      </c>
      <c r="E17" s="95">
        <v>188.19156788367443219799774999</v>
      </c>
      <c r="F17" s="440">
        <v>162.27504716918504460826371678</v>
      </c>
      <c r="G17" s="439">
        <v>214.81439393939393939393939394</v>
      </c>
      <c r="H17" s="95">
        <v>232.48157967383788609817283699</v>
      </c>
      <c r="I17" s="440">
        <v>178.64929872823191422091859147</v>
      </c>
      <c r="J17" s="439">
        <v>0</v>
      </c>
      <c r="K17" s="95">
        <v>0</v>
      </c>
      <c r="L17" s="440">
        <v>142.35863112659608301603506441</v>
      </c>
      <c r="M17" s="439">
        <v>160.40228571428571428571428571</v>
      </c>
      <c r="N17" s="95">
        <v>192.74771742189698846045595271</v>
      </c>
      <c r="O17" s="440">
        <v>162.81919161254648553120900329</v>
      </c>
      <c r="P17" s="5"/>
      <c r="Q17" s="420">
        <v>-9.508234903326450621869025650</v>
      </c>
      <c r="R17" s="91">
        <v>1.6793692115276729558872556700</v>
      </c>
      <c r="S17" s="421">
        <v>-1.9120989634257658930319711800</v>
      </c>
      <c r="T17" s="420">
        <v>30.212463071547794542623178380</v>
      </c>
      <c r="U17" s="91">
        <v>-2.5517001886001152272151694600</v>
      </c>
      <c r="V17" s="421">
        <v>-2.919363506712140855572666600</v>
      </c>
      <c r="W17" s="420">
        <v>0</v>
      </c>
      <c r="X17" s="91">
        <v>0</v>
      </c>
      <c r="Y17" s="421">
        <v>5.3949883698909776569905621700</v>
      </c>
      <c r="Z17" s="420">
        <v>-1.1041850725666247487794883100</v>
      </c>
      <c r="AA17" s="91">
        <v>3.8881055866302187946017558200</v>
      </c>
      <c r="AB17" s="421">
        <v>-1.3728932955123756165335647100</v>
      </c>
    </row>
    <row r="18" ht="18" customHeight="1">
      <c r="A18" s="58"/>
      <c r="B18" s="286"/>
      <c r="C18" s="287" t="s">
        <v>231</v>
      </c>
      <c r="D18" s="276">
        <v>192.05425219941348973607038123</v>
      </c>
      <c r="E18" s="94">
        <v>262.91297261987539927949781013</v>
      </c>
      <c r="F18" s="277">
        <v>212.4840086319755958943237612</v>
      </c>
      <c r="G18" s="276">
        <v>193.92808988764044943820224719</v>
      </c>
      <c r="H18" s="94">
        <v>272.69804700963349400242078591</v>
      </c>
      <c r="I18" s="277">
        <v>228.87511753635868506370899652</v>
      </c>
      <c r="J18" s="276">
        <v>0</v>
      </c>
      <c r="K18" s="94">
        <v>0</v>
      </c>
      <c r="L18" s="277">
        <v>149.86500877221089572613480255</v>
      </c>
      <c r="M18" s="276">
        <v>192.31705011030570438071225969</v>
      </c>
      <c r="N18" s="94">
        <v>263.56058871185525249797461516</v>
      </c>
      <c r="O18" s="277">
        <v>210.12431479262039019981531328</v>
      </c>
      <c r="P18" s="5"/>
      <c r="Q18" s="271">
        <v>3.2995496104086049608435914500</v>
      </c>
      <c r="R18" s="92">
        <v>19.409586884346923312457551840</v>
      </c>
      <c r="S18" s="272">
        <v>8.102936237930017297474335670</v>
      </c>
      <c r="T18" s="271">
        <v>9.823729681032513264534190400</v>
      </c>
      <c r="U18" s="92">
        <v>5.5147040137500200594816617500</v>
      </c>
      <c r="V18" s="272">
        <v>4.0985963167528715129728067500</v>
      </c>
      <c r="W18" s="271">
        <v>0</v>
      </c>
      <c r="X18" s="92">
        <v>0</v>
      </c>
      <c r="Y18" s="272">
        <v>4.6213648007282402312710329900</v>
      </c>
      <c r="Z18" s="271">
        <v>3.8954704505473957463029178900</v>
      </c>
      <c r="AA18" s="92">
        <v>18.800681845644874103809502030</v>
      </c>
      <c r="AB18" s="272">
        <v>7.1579045417705663183482047100</v>
      </c>
    </row>
    <row r="19" ht="18" customHeight="1">
      <c r="A19" s="58"/>
      <c r="B19" s="288"/>
      <c r="C19" s="289" t="s">
        <v>232</v>
      </c>
      <c r="D19" s="439">
        <v>196.78108193609617209743751977</v>
      </c>
      <c r="E19" s="95">
        <v>266.7064145537286307688213263</v>
      </c>
      <c r="F19" s="440">
        <v>211.02371135668948408563624364</v>
      </c>
      <c r="G19" s="439">
        <v>206.29295774647887323943661972</v>
      </c>
      <c r="H19" s="95">
        <v>306.78258736050808329051574837</v>
      </c>
      <c r="I19" s="440">
        <v>234.64252334542315495504815904</v>
      </c>
      <c r="J19" s="439">
        <v>0</v>
      </c>
      <c r="K19" s="95">
        <v>0</v>
      </c>
      <c r="L19" s="440">
        <v>149.05674122691597116329829132</v>
      </c>
      <c r="M19" s="439">
        <v>197.74146757679180887372013652</v>
      </c>
      <c r="N19" s="95">
        <v>271.05020331223912750774202237</v>
      </c>
      <c r="O19" s="440">
        <v>209.24806261518509248936315442</v>
      </c>
      <c r="P19" s="5"/>
      <c r="Q19" s="420">
        <v>-12.748811518278848120269728960</v>
      </c>
      <c r="R19" s="91">
        <v>13.547701982189796137079415960</v>
      </c>
      <c r="S19" s="421">
        <v>1.1189741162759763165136785300</v>
      </c>
      <c r="T19" s="420">
        <v>-15.517692508662997140338881950</v>
      </c>
      <c r="U19" s="91">
        <v>-7.1154668460525644821246852300</v>
      </c>
      <c r="V19" s="421">
        <v>-0.1010207915238304939831479400</v>
      </c>
      <c r="W19" s="420">
        <v>0</v>
      </c>
      <c r="X19" s="91">
        <v>0</v>
      </c>
      <c r="Y19" s="421">
        <v>1.8979077936524803081768347200</v>
      </c>
      <c r="Z19" s="420">
        <v>-13.506194806365047538624903530</v>
      </c>
      <c r="AA19" s="91">
        <v>13.459235277855673162197742640</v>
      </c>
      <c r="AB19" s="421">
        <v>0.5253238980791246156061058300</v>
      </c>
    </row>
    <row r="20" ht="18" customHeight="1">
      <c r="A20" s="58"/>
      <c r="B20" s="286"/>
      <c r="C20" s="287" t="s">
        <v>234</v>
      </c>
      <c r="D20" s="276">
        <v>278.51041666666666666666666667</v>
      </c>
      <c r="E20" s="94">
        <v>440.93404949926345154810736269</v>
      </c>
      <c r="F20" s="277">
        <v>271.49333136209686563835734035</v>
      </c>
      <c r="G20" s="276">
        <v>281.3030303030303030303030303</v>
      </c>
      <c r="H20" s="94">
        <v>412.25359455684446137542057948</v>
      </c>
      <c r="I20" s="277">
        <v>276.96338200153330833431105186</v>
      </c>
      <c r="J20" s="276">
        <v>0</v>
      </c>
      <c r="K20" s="94">
        <v>0</v>
      </c>
      <c r="L20" s="277">
        <v>161.7413517175967524121346719</v>
      </c>
      <c r="M20" s="276">
        <v>278.76683361157484696716750139</v>
      </c>
      <c r="N20" s="94">
        <v>439.15032841996379622446340835</v>
      </c>
      <c r="O20" s="277">
        <v>260.93638756263391426113070032</v>
      </c>
      <c r="P20" s="5"/>
      <c r="Q20" s="271">
        <v>-13.665255141894568756466445350</v>
      </c>
      <c r="R20" s="92">
        <v>15.342701391362081993253877480</v>
      </c>
      <c r="S20" s="272">
        <v>-0.1206343754200235523901048400</v>
      </c>
      <c r="T20" s="271">
        <v>-26.361178565639207807355034750</v>
      </c>
      <c r="U20" s="92">
        <v>8.237834292904817469681391950</v>
      </c>
      <c r="V20" s="272">
        <v>-3.7579011125043132975606114200</v>
      </c>
      <c r="W20" s="271">
        <v>0</v>
      </c>
      <c r="X20" s="92">
        <v>0</v>
      </c>
      <c r="Y20" s="272">
        <v>7.4895015939443871566762887900</v>
      </c>
      <c r="Z20" s="271">
        <v>-16.007339721233494521939845730</v>
      </c>
      <c r="AA20" s="92">
        <v>14.88950536900714641254525500</v>
      </c>
      <c r="AB20" s="272">
        <v>-0.3799271983661195603791773900</v>
      </c>
    </row>
    <row r="21" ht="18" customHeight="1">
      <c r="A21" s="58"/>
      <c r="B21" s="288">
        <v>2025</v>
      </c>
      <c r="C21" s="289" t="s">
        <v>218</v>
      </c>
      <c r="D21" s="441">
        <v>270.1549717326238776188892584</v>
      </c>
      <c r="E21" s="154">
        <v>368.243680445367153147350609</v>
      </c>
      <c r="F21" s="442">
        <v>272.42048144999772386371898503</v>
      </c>
      <c r="G21" s="441">
        <v>325.3034188034188034188034188</v>
      </c>
      <c r="H21" s="154">
        <v>391.72530796305293913492492357</v>
      </c>
      <c r="I21" s="442">
        <v>290.42169249860988247731036058</v>
      </c>
      <c r="J21" s="441">
        <v>0</v>
      </c>
      <c r="K21" s="154">
        <v>0</v>
      </c>
      <c r="L21" s="442">
        <v>162.03963881869721821568139041</v>
      </c>
      <c r="M21" s="441">
        <v>280.59288217848476678349959558</v>
      </c>
      <c r="N21" s="154">
        <v>371.27491969066032123735871505</v>
      </c>
      <c r="O21" s="442">
        <v>265.3634050754380730430855825</v>
      </c>
      <c r="P21" s="5"/>
      <c r="Q21" s="420">
        <v>-5.457792259504764634440485400</v>
      </c>
      <c r="R21" s="91">
        <v>12.075936859048235260860296910</v>
      </c>
      <c r="S21" s="421">
        <v>1.7577046963885969108173273800</v>
      </c>
      <c r="T21" s="420">
        <v>9.391488530030706280849683300</v>
      </c>
      <c r="U21" s="91">
        <v>13.334062691704203881856215680</v>
      </c>
      <c r="V21" s="421">
        <v>-0.3394614927853255339883353600</v>
      </c>
      <c r="W21" s="420">
        <v>0</v>
      </c>
      <c r="X21" s="91">
        <v>0</v>
      </c>
      <c r="Y21" s="421">
        <v>5.5357954283013634504703804300</v>
      </c>
      <c r="Z21" s="420">
        <v>-2.4242103584108571590060360400</v>
      </c>
      <c r="AA21" s="91">
        <v>12.461188980750150493966081200</v>
      </c>
      <c r="AB21" s="421">
        <v>1.1827608112500205838928470600</v>
      </c>
    </row>
    <row r="22" ht="18" customHeight="1">
      <c r="A22" s="58"/>
      <c r="B22" s="286"/>
      <c r="C22" s="287" t="s">
        <v>220</v>
      </c>
      <c r="D22" s="276">
        <v>343.84138918725384890798424633</v>
      </c>
      <c r="E22" s="94">
        <v>451.22156621067943776967580895</v>
      </c>
      <c r="F22" s="277">
        <v>333.99871671539043294630765415</v>
      </c>
      <c r="G22" s="276">
        <v>329.47077409162717219589257504</v>
      </c>
      <c r="H22" s="94">
        <v>417.65495472953929933483470684</v>
      </c>
      <c r="I22" s="277">
        <v>321.01258318345366162039524282</v>
      </c>
      <c r="J22" s="276">
        <v>0</v>
      </c>
      <c r="K22" s="94">
        <v>0</v>
      </c>
      <c r="L22" s="277">
        <v>169.13854674110360409812839706</v>
      </c>
      <c r="M22" s="276">
        <v>341.18622300058377116170461179</v>
      </c>
      <c r="N22" s="94">
        <v>447.05798864845689960979070592</v>
      </c>
      <c r="O22" s="277">
        <v>314.89288578879514884789336872</v>
      </c>
      <c r="P22" s="5"/>
      <c r="Q22" s="271">
        <v>-4.2043420581289855220131226100</v>
      </c>
      <c r="R22" s="92">
        <v>18.303866257419260047126434650</v>
      </c>
      <c r="S22" s="272">
        <v>2.9765498482317857188404143800</v>
      </c>
      <c r="T22" s="271">
        <v>1.6529111912626126415534131500</v>
      </c>
      <c r="U22" s="92">
        <v>-5.0293366625550735477754786300</v>
      </c>
      <c r="V22" s="272">
        <v>-2.4847931737415549527693693600</v>
      </c>
      <c r="W22" s="271">
        <v>0</v>
      </c>
      <c r="X22" s="92">
        <v>0</v>
      </c>
      <c r="Y22" s="272">
        <v>5.1348041702197962417206306200</v>
      </c>
      <c r="Z22" s="271">
        <v>-2.8185209274972965284833102800</v>
      </c>
      <c r="AA22" s="92">
        <v>16.221540701014429594312802440</v>
      </c>
      <c r="AB22" s="272">
        <v>1.1921618352812662128694209900</v>
      </c>
    </row>
    <row r="23" ht="18" customHeight="1">
      <c r="A23" s="58"/>
      <c r="B23" s="288"/>
      <c r="C23" s="289" t="s">
        <v>221</v>
      </c>
      <c r="D23" s="439">
        <v>296.66472303206997084548104956</v>
      </c>
      <c r="E23" s="95">
        <v>379.74833603386078450493949084</v>
      </c>
      <c r="F23" s="440">
        <v>297.71505352255049374965739462</v>
      </c>
      <c r="G23" s="439">
        <v>298.55384615384615384615384615</v>
      </c>
      <c r="H23" s="95">
        <v>385.54533679121518545058611066</v>
      </c>
      <c r="I23" s="440">
        <v>299.43134597754755460434003774</v>
      </c>
      <c r="J23" s="439">
        <v>0</v>
      </c>
      <c r="K23" s="95">
        <v>0</v>
      </c>
      <c r="L23" s="440">
        <v>166.01523261428527067835458606</v>
      </c>
      <c r="M23" s="439">
        <v>296.99331014182499331014182499</v>
      </c>
      <c r="N23" s="95">
        <v>380.13227628335655342407030329</v>
      </c>
      <c r="O23" s="440">
        <v>284.89120344919660106491589049</v>
      </c>
      <c r="P23" s="5"/>
      <c r="Q23" s="420">
        <v>-4.9477154508694633263807720900</v>
      </c>
      <c r="R23" s="91">
        <v>6.6604001415933751844264390100</v>
      </c>
      <c r="S23" s="421">
        <v>-1.1908905896646605864685259700</v>
      </c>
      <c r="T23" s="420">
        <v>-4.7067200274988337548184340400</v>
      </c>
      <c r="U23" s="91">
        <v>-11.760160176474001104248637380</v>
      </c>
      <c r="V23" s="421">
        <v>0.5878559193997969145360401100</v>
      </c>
      <c r="W23" s="420">
        <v>0</v>
      </c>
      <c r="X23" s="91">
        <v>0</v>
      </c>
      <c r="Y23" s="421">
        <v>2.8137029081782948943757919700</v>
      </c>
      <c r="Z23" s="420">
        <v>-4.8759899506905570964352785100</v>
      </c>
      <c r="AA23" s="91">
        <v>6.1869031414927477268931779100</v>
      </c>
      <c r="AB23" s="421">
        <v>-1.2819487836292012307065414200</v>
      </c>
    </row>
    <row r="24" ht="18" customHeight="1">
      <c r="A24" s="59"/>
      <c r="B24" s="286"/>
      <c r="C24" s="287" t="s">
        <v>223</v>
      </c>
      <c r="D24" s="276">
        <v>264.2133006435795280416794361</v>
      </c>
      <c r="E24" s="94">
        <v>344.6051014273338007731385235</v>
      </c>
      <c r="F24" s="277">
        <v>249.95848356562381357564283768</v>
      </c>
      <c r="G24" s="276">
        <v>284.80285035629453681710213777</v>
      </c>
      <c r="H24" s="94">
        <v>424.78898505602480533262635902</v>
      </c>
      <c r="I24" s="277">
        <v>288.09534927725273529461297388</v>
      </c>
      <c r="J24" s="276">
        <v>0</v>
      </c>
      <c r="K24" s="94">
        <v>0</v>
      </c>
      <c r="L24" s="277">
        <v>162.20222196891249096929835252</v>
      </c>
      <c r="M24" s="276">
        <v>266.56623235613463626492942454</v>
      </c>
      <c r="N24" s="94">
        <v>347.65955741495100737641748321</v>
      </c>
      <c r="O24" s="277">
        <v>250.6363606309429845404918446</v>
      </c>
      <c r="P24" s="93"/>
      <c r="Q24" s="271">
        <v>2.4890666781314954155256716700</v>
      </c>
      <c r="R24" s="92">
        <v>13.466286050198093820786477920</v>
      </c>
      <c r="S24" s="272">
        <v>0.7458376584302658771953119800</v>
      </c>
      <c r="T24" s="271">
        <v>3.242876876974183653565297100</v>
      </c>
      <c r="U24" s="92">
        <v>2.756050405993229756351867600</v>
      </c>
      <c r="V24" s="272">
        <v>5.0614247649759564190582130700</v>
      </c>
      <c r="W24" s="271">
        <v>0</v>
      </c>
      <c r="X24" s="92">
        <v>0</v>
      </c>
      <c r="Y24" s="272">
        <v>3.0233703646441833744539329800</v>
      </c>
      <c r="Z24" s="271">
        <v>3.1414733022789974030718427700</v>
      </c>
      <c r="AA24" s="92">
        <v>12.715629280090799527412943390</v>
      </c>
      <c r="AB24" s="272">
        <v>1.8149280071476610312860330500</v>
      </c>
    </row>
    <row r="25" ht="18" customHeight="1">
      <c r="A25" s="60"/>
      <c r="B25" s="288"/>
      <c r="C25" s="289" t="s">
        <v>224</v>
      </c>
      <c r="D25" s="439">
        <v>217.36943111720356408498971899</v>
      </c>
      <c r="E25" s="95">
        <v>276.08418695108572412091306856</v>
      </c>
      <c r="F25" s="440">
        <v>221.69207487223976245334180446</v>
      </c>
      <c r="G25" s="439">
        <v>260.37931034482758620689655172</v>
      </c>
      <c r="H25" s="95">
        <v>434.76393031362901219149173872</v>
      </c>
      <c r="I25" s="440">
        <v>245.46658753613832230789497344</v>
      </c>
      <c r="J25" s="439">
        <v>0</v>
      </c>
      <c r="K25" s="95">
        <v>0</v>
      </c>
      <c r="L25" s="440">
        <v>155.92937800102526486975914305</v>
      </c>
      <c r="M25" s="439">
        <v>222.62274368231046931407942238</v>
      </c>
      <c r="N25" s="95">
        <v>284.35498492840994724943481537</v>
      </c>
      <c r="O25" s="440">
        <v>219.26528119638994555083165511</v>
      </c>
      <c r="P25" s="93"/>
      <c r="Q25" s="420">
        <v>5.9442348469682840454347887300</v>
      </c>
      <c r="R25" s="91">
        <v>-0.3998885032038857087857974900</v>
      </c>
      <c r="S25" s="421">
        <v>-0.1557082117843860605721431400</v>
      </c>
      <c r="T25" s="420">
        <v>-33.686225577584078665885214500</v>
      </c>
      <c r="U25" s="91">
        <v>55.934993800566440539977903470</v>
      </c>
      <c r="V25" s="421">
        <v>-3.9910795708802934198187912500</v>
      </c>
      <c r="W25" s="420">
        <v>0</v>
      </c>
      <c r="X25" s="91">
        <v>0</v>
      </c>
      <c r="Y25" s="421">
        <v>1.2715558172077322071619781500</v>
      </c>
      <c r="Z25" s="420">
        <v>-0.5533242489335396102514076700</v>
      </c>
      <c r="AA25" s="91">
        <v>2.5756446330202994990319110900</v>
      </c>
      <c r="AB25" s="421">
        <v>-0.9602801327952950019294891400</v>
      </c>
    </row>
    <row r="26" ht="18" customHeight="1">
      <c r="A26" s="60"/>
      <c r="B26" s="290"/>
      <c r="C26" s="291" t="s">
        <v>225</v>
      </c>
      <c r="D26" s="443">
        <v>174.32251908396946564885496183</v>
      </c>
      <c r="E26" s="444">
        <v>218.51558387647087662701140996</v>
      </c>
      <c r="F26" s="445">
        <v>183.20283888796255426092472599</v>
      </c>
      <c r="G26" s="443">
        <v>210.82539682539682539682539683</v>
      </c>
      <c r="H26" s="444">
        <v>261.81668275246688530821372149</v>
      </c>
      <c r="I26" s="445">
        <v>202.02706606107452828708996065</v>
      </c>
      <c r="J26" s="443">
        <v>0</v>
      </c>
      <c r="K26" s="444">
        <v>0</v>
      </c>
      <c r="L26" s="445">
        <v>150.75703619113191338186018465</v>
      </c>
      <c r="M26" s="443">
        <v>175.03960087309011537262238853</v>
      </c>
      <c r="N26" s="444">
        <v>219.91975408728550195919470341</v>
      </c>
      <c r="O26" s="445">
        <v>183.27718319508674056130563508</v>
      </c>
      <c r="P26" s="184"/>
      <c r="Q26" s="273">
        <v>1.3352067268687220370950639400</v>
      </c>
      <c r="R26" s="274">
        <v>-2.211300165414371814664851100</v>
      </c>
      <c r="S26" s="275">
        <v>0.5550161805526614433419646800</v>
      </c>
      <c r="T26" s="273">
        <v>26.546168380650674076757550470</v>
      </c>
      <c r="U26" s="274">
        <v>17.663794664262945298557425550</v>
      </c>
      <c r="V26" s="275">
        <v>2.0118084753953446175288982400</v>
      </c>
      <c r="W26" s="273">
        <v>0</v>
      </c>
      <c r="X26" s="274">
        <v>0</v>
      </c>
      <c r="Y26" s="275">
        <v>3.5653546609235521685819290500</v>
      </c>
      <c r="Z26" s="273">
        <v>2.2584314520629771120486298800</v>
      </c>
      <c r="AA26" s="274">
        <v>-1.5781842027727837376098714700</v>
      </c>
      <c r="AB26" s="275">
        <v>1.4812029870946824107259439800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2023</v>
      </c>
      <c r="C29" s="285"/>
      <c r="D29" s="454">
        <v>273.45909931469596432067877733</v>
      </c>
      <c r="E29" s="455">
        <v>338.74478399601495791122478728</v>
      </c>
      <c r="F29" s="456">
        <v>265.2641214245657677363998056</v>
      </c>
      <c r="G29" s="454">
        <v>299.30777736822705492075193513</v>
      </c>
      <c r="H29" s="455">
        <v>392.16402262162770984151193668</v>
      </c>
      <c r="I29" s="456">
        <v>275.15542754705213325061272318</v>
      </c>
      <c r="J29" s="454">
        <v>0</v>
      </c>
      <c r="K29" s="455">
        <v>0</v>
      </c>
      <c r="L29" s="456">
        <v>132.480310471303973425635433</v>
      </c>
      <c r="M29" s="454">
        <v>276.78283330963552775013033793</v>
      </c>
      <c r="N29" s="455">
        <v>341.82574760860026327336551118</v>
      </c>
      <c r="O29" s="456">
        <v>254.17932881116731297482544105</v>
      </c>
      <c r="P29" s="5"/>
      <c r="Q29" s="427">
        <v>-12.311720589075157212070706520</v>
      </c>
      <c r="R29" s="428">
        <v>-12.012148519738106066313752090</v>
      </c>
      <c r="S29" s="429">
        <v>-5.1052701259395538151130736400</v>
      </c>
      <c r="T29" s="427">
        <v>-1.181905442576503263096044300</v>
      </c>
      <c r="U29" s="428">
        <v>15.455593593967529525705433190</v>
      </c>
      <c r="V29" s="429">
        <v>2.7079587027074008400494704800</v>
      </c>
      <c r="W29" s="427">
        <v>0</v>
      </c>
      <c r="X29" s="428">
        <v>-100</v>
      </c>
      <c r="Y29" s="429">
        <v>3.5828841066646748760420116200</v>
      </c>
      <c r="Z29" s="427">
        <v>-10.870454309913328024215601190</v>
      </c>
      <c r="AA29" s="428">
        <v>-10.780293092799915348776776560</v>
      </c>
      <c r="AB29" s="429">
        <v>-3.411901241489186722677137600</v>
      </c>
    </row>
    <row r="30" ht="18" customHeight="1">
      <c r="A30" s="58"/>
      <c r="B30" s="286">
        <v>2024</v>
      </c>
      <c r="C30" s="287"/>
      <c r="D30" s="276">
        <v>266.57386577686884451859426296</v>
      </c>
      <c r="E30" s="94">
        <v>316.94553096233343988115380422</v>
      </c>
      <c r="F30" s="277">
        <v>258.44049541967793287080209506</v>
      </c>
      <c r="G30" s="276">
        <v>294.93191964285714285714285714</v>
      </c>
      <c r="H30" s="94">
        <v>381.60527247711967777816487294</v>
      </c>
      <c r="I30" s="277">
        <v>281.74491156836576371296893678</v>
      </c>
      <c r="J30" s="276">
        <v>0</v>
      </c>
      <c r="K30" s="94">
        <v>0</v>
      </c>
      <c r="L30" s="277">
        <v>155.42749198699405326480825451</v>
      </c>
      <c r="M30" s="276">
        <v>270.15778833043396492547839579</v>
      </c>
      <c r="N30" s="94">
        <v>319.67516599442610367754924508</v>
      </c>
      <c r="O30" s="277">
        <v>253.54567961060418337397591472</v>
      </c>
      <c r="P30" s="5"/>
      <c r="Q30" s="271">
        <v>-2.5178293774410287333678443900</v>
      </c>
      <c r="R30" s="92">
        <v>-6.4353029370701608312672947900</v>
      </c>
      <c r="S30" s="272">
        <v>-2.5723893485013383907510138300</v>
      </c>
      <c r="T30" s="271">
        <v>-1.4619926564620471528088243600</v>
      </c>
      <c r="U30" s="92">
        <v>-2.6924321292645667802556808600</v>
      </c>
      <c r="V30" s="272">
        <v>2.3948224754308371137040400600</v>
      </c>
      <c r="W30" s="271">
        <v>0</v>
      </c>
      <c r="X30" s="92">
        <v>0</v>
      </c>
      <c r="Y30" s="272">
        <v>17.321201493308123016052023680</v>
      </c>
      <c r="Z30" s="271">
        <v>-2.3935895517607776715943349500</v>
      </c>
      <c r="AA30" s="92">
        <v>-6.4800799147339038686808504100</v>
      </c>
      <c r="AB30" s="272">
        <v>-0.2492921842068755598165365900</v>
      </c>
    </row>
    <row r="31" ht="18" customHeight="1">
      <c r="A31" s="58"/>
      <c r="B31" s="425">
        <v>2025</v>
      </c>
      <c r="C31" s="426"/>
      <c r="D31" s="457">
        <v>259.88309905556775752251262904</v>
      </c>
      <c r="E31" s="458">
        <v>341.38447684685614418481793176</v>
      </c>
      <c r="F31" s="459">
        <v>261.46790961973453253784272232</v>
      </c>
      <c r="G31" s="457">
        <v>302.56556521739130434782608696</v>
      </c>
      <c r="H31" s="458">
        <v>397.4551155231289165336068348</v>
      </c>
      <c r="I31" s="459">
        <v>280.98220284516299550027292995</v>
      </c>
      <c r="J31" s="457">
        <v>0</v>
      </c>
      <c r="K31" s="458">
        <v>0</v>
      </c>
      <c r="L31" s="459">
        <v>161.40719591187851268629048508</v>
      </c>
      <c r="M31" s="457">
        <v>265.70242329397258974723763456</v>
      </c>
      <c r="N31" s="458">
        <v>345.54003100377179644147791228</v>
      </c>
      <c r="O31" s="459">
        <v>255.76138918239029607058492829</v>
      </c>
      <c r="P31" s="93"/>
      <c r="Q31" s="430">
        <v>-2.5099109778945299420949491200</v>
      </c>
      <c r="R31" s="431">
        <v>7.7107715670750710366082535300</v>
      </c>
      <c r="S31" s="432">
        <v>1.1714163429063615385292939300</v>
      </c>
      <c r="T31" s="430">
        <v>2.5882737900102606906545510200</v>
      </c>
      <c r="U31" s="431">
        <v>4.1534654233531482758940930900</v>
      </c>
      <c r="V31" s="432">
        <v>-0.2707089611632043868488600</v>
      </c>
      <c r="W31" s="430">
        <v>0</v>
      </c>
      <c r="X31" s="431">
        <v>0</v>
      </c>
      <c r="Y31" s="432">
        <v>3.8472627000753874593178698700</v>
      </c>
      <c r="Z31" s="430">
        <v>-1.6491714208803589545875536500</v>
      </c>
      <c r="AA31" s="431">
        <v>8.090983523513644321934809400</v>
      </c>
      <c r="AB31" s="432">
        <v>0.8738896971911422633772487300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2023</v>
      </c>
      <c r="C34" s="285"/>
      <c r="D34" s="454">
        <v>230.23242404080727434020847194</v>
      </c>
      <c r="E34" s="455">
        <v>291.31673235566028691887577391</v>
      </c>
      <c r="F34" s="456">
        <v>223.96943667919468012907530732</v>
      </c>
      <c r="G34" s="454">
        <v>294.51253761283851554663991976</v>
      </c>
      <c r="H34" s="455">
        <v>340.75486327142887881638250417</v>
      </c>
      <c r="I34" s="456">
        <v>243.36787491407568422053328741</v>
      </c>
      <c r="J34" s="454">
        <v>0</v>
      </c>
      <c r="K34" s="455">
        <v>0</v>
      </c>
      <c r="L34" s="456">
        <v>133.39254418405790151401072168</v>
      </c>
      <c r="M34" s="454">
        <v>236.63155267099350973539690464</v>
      </c>
      <c r="N34" s="455">
        <v>294.10763712286509668196523964</v>
      </c>
      <c r="O34" s="456">
        <v>218.56490158462316234938044683</v>
      </c>
      <c r="P34" s="5"/>
      <c r="Q34" s="427">
        <v>-21.231598351863178819288696460</v>
      </c>
      <c r="R34" s="428">
        <v>-14.630736876164715824945711780</v>
      </c>
      <c r="S34" s="429">
        <v>-12.150692944542546504320371650</v>
      </c>
      <c r="T34" s="427">
        <v>-9.686303085006563059191850030</v>
      </c>
      <c r="U34" s="428">
        <v>17.634164106806665844948251460</v>
      </c>
      <c r="V34" s="429">
        <v>-4.7408186291194267986148471500</v>
      </c>
      <c r="W34" s="427">
        <v>0</v>
      </c>
      <c r="X34" s="428">
        <v>0</v>
      </c>
      <c r="Y34" s="429">
        <v>6.2038529547131264882188620400</v>
      </c>
      <c r="Z34" s="427">
        <v>-20.537297093412308947401377760</v>
      </c>
      <c r="AA34" s="428">
        <v>-13.190490180460216081300055520</v>
      </c>
      <c r="AB34" s="429">
        <v>-10.137325584819149726733417530</v>
      </c>
    </row>
    <row r="35" ht="18" customHeight="1">
      <c r="A35" s="58"/>
      <c r="B35" s="286">
        <v>2024</v>
      </c>
      <c r="C35" s="287"/>
      <c r="D35" s="276">
        <v>215.99225723196042585224217658</v>
      </c>
      <c r="E35" s="94">
        <v>273.00396890310692686927228501</v>
      </c>
      <c r="F35" s="277">
        <v>218.21043732594833503505005754</v>
      </c>
      <c r="G35" s="276">
        <v>262.60766045548654244306418219</v>
      </c>
      <c r="H35" s="94">
        <v>364.13701324338179326923629154</v>
      </c>
      <c r="I35" s="277">
        <v>249.32097633227376755160707351</v>
      </c>
      <c r="J35" s="276">
        <v>0</v>
      </c>
      <c r="K35" s="94">
        <v>0</v>
      </c>
      <c r="L35" s="277">
        <v>152.10272938962288404238663326</v>
      </c>
      <c r="M35" s="276">
        <v>220.37905504140282513395031661</v>
      </c>
      <c r="N35" s="94">
        <v>275.24687619404382843229069114</v>
      </c>
      <c r="O35" s="277">
        <v>217.53936435140666222846857509</v>
      </c>
      <c r="P35" s="5"/>
      <c r="Q35" s="271">
        <v>-6.1851265598958565937351699600</v>
      </c>
      <c r="R35" s="92">
        <v>-6.2862037839395528682694152400</v>
      </c>
      <c r="S35" s="272">
        <v>-2.5713326954965289536816611900</v>
      </c>
      <c r="T35" s="271">
        <v>-10.833113393379290567283227480</v>
      </c>
      <c r="U35" s="92">
        <v>6.861868308350065331385810400</v>
      </c>
      <c r="V35" s="272">
        <v>2.4461328021518845199497026100</v>
      </c>
      <c r="W35" s="271">
        <v>0</v>
      </c>
      <c r="X35" s="92">
        <v>0</v>
      </c>
      <c r="Y35" s="272">
        <v>14.026410036606141318509321700</v>
      </c>
      <c r="Z35" s="271">
        <v>-6.8682715581018852089454383700</v>
      </c>
      <c r="AA35" s="92">
        <v>-6.412876970268795084450309500</v>
      </c>
      <c r="AB35" s="272">
        <v>-0.4692140530149954944530463500</v>
      </c>
    </row>
    <row r="36" ht="18" customHeight="1">
      <c r="A36" s="58"/>
      <c r="B36" s="425">
        <v>2025</v>
      </c>
      <c r="C36" s="426"/>
      <c r="D36" s="457">
        <v>219.24739946380697050938337802</v>
      </c>
      <c r="E36" s="458">
        <v>284.03549696011376945282452185</v>
      </c>
      <c r="F36" s="459">
        <v>219.73795447720721330442029911</v>
      </c>
      <c r="G36" s="457">
        <v>268.42471910112359550561797753</v>
      </c>
      <c r="H36" s="458">
        <v>389.85017359653613903948959535</v>
      </c>
      <c r="I36" s="459">
        <v>250.85767517373621271297943015</v>
      </c>
      <c r="J36" s="457">
        <v>0</v>
      </c>
      <c r="K36" s="458">
        <v>0</v>
      </c>
      <c r="L36" s="459">
        <v>156.33866956617351599075147203</v>
      </c>
      <c r="M36" s="457">
        <v>223.53206069505628976994615761</v>
      </c>
      <c r="N36" s="458">
        <v>288.36833224249365949439581118</v>
      </c>
      <c r="O36" s="459">
        <v>219.62452711986490003692248095</v>
      </c>
      <c r="P36" s="93"/>
      <c r="Q36" s="430">
        <v>1.5070643149539297136425872400</v>
      </c>
      <c r="R36" s="431">
        <v>4.0407940226426887078573158800</v>
      </c>
      <c r="S36" s="432">
        <v>0.7000202052781954950297175700</v>
      </c>
      <c r="T36" s="430">
        <v>2.2151138453210968561162234800</v>
      </c>
      <c r="U36" s="431">
        <v>7.061397061536476818331513800</v>
      </c>
      <c r="V36" s="432">
        <v>0.6163536113335564924621592700</v>
      </c>
      <c r="W36" s="430">
        <v>0</v>
      </c>
      <c r="X36" s="431">
        <v>0</v>
      </c>
      <c r="Y36" s="432">
        <v>2.7849205557143327163370170500</v>
      </c>
      <c r="Z36" s="430">
        <v>1.4307192909344184198899066800</v>
      </c>
      <c r="AA36" s="431">
        <v>4.7671589338021664459579945500</v>
      </c>
      <c r="AB36" s="432">
        <v>0.9585220471163341101593378200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2023</v>
      </c>
      <c r="C39" s="285"/>
      <c r="D39" s="454">
        <v>254.62728222613286405631324241</v>
      </c>
      <c r="E39" s="455">
        <v>307.19807113410275574143639177</v>
      </c>
      <c r="F39" s="456">
        <v>240.14790905516056694114738654</v>
      </c>
      <c r="G39" s="454">
        <v>283.91396810053165780570323828</v>
      </c>
      <c r="H39" s="455">
        <v>360.32272149673931780650771591</v>
      </c>
      <c r="I39" s="456">
        <v>247.74473745971918014914564963</v>
      </c>
      <c r="J39" s="454">
        <v>0</v>
      </c>
      <c r="K39" s="455">
        <v>0</v>
      </c>
      <c r="L39" s="456">
        <v>125.72608613991392730042423918</v>
      </c>
      <c r="M39" s="454">
        <v>257.61914284303559966424727201</v>
      </c>
      <c r="N39" s="455">
        <v>309.80089736631495671851858666</v>
      </c>
      <c r="O39" s="456">
        <v>229.93839088595301829763856969</v>
      </c>
      <c r="P39" s="5"/>
      <c r="Q39" s="427">
        <v>-8.242862983035036050915725730</v>
      </c>
      <c r="R39" s="428">
        <v>-10.548473279383693027958686130</v>
      </c>
      <c r="S39" s="429">
        <v>-2.0681781724483098471272000500</v>
      </c>
      <c r="T39" s="427">
        <v>-3.9626882755065099413279980200</v>
      </c>
      <c r="U39" s="428">
        <v>14.514767433162654233979008740</v>
      </c>
      <c r="V39" s="429">
        <v>3.6756518371406589209899112100</v>
      </c>
      <c r="W39" s="427">
        <v>0</v>
      </c>
      <c r="X39" s="428">
        <v>-100</v>
      </c>
      <c r="Y39" s="429">
        <v>4.8461819740424997180519546800</v>
      </c>
      <c r="Z39" s="427">
        <v>-7.7582633061749369608052678600</v>
      </c>
      <c r="AA39" s="428">
        <v>-9.496761581819233786776567400</v>
      </c>
      <c r="AB39" s="429">
        <v>-1.392613952547878632795400800</v>
      </c>
    </row>
    <row r="40" ht="18" customHeight="1">
      <c r="A40" s="58"/>
      <c r="B40" s="286">
        <v>2024</v>
      </c>
      <c r="C40" s="287"/>
      <c r="D40" s="276">
        <v>238.52005037078494473205540786</v>
      </c>
      <c r="E40" s="94">
        <v>282.80185638258386408461194104</v>
      </c>
      <c r="F40" s="277">
        <v>231.87283977040726386486808546</v>
      </c>
      <c r="G40" s="276">
        <v>288.21738077947228274025659647</v>
      </c>
      <c r="H40" s="94">
        <v>353.85939900915219863449341988</v>
      </c>
      <c r="I40" s="277">
        <v>256.2463716808754815592845395</v>
      </c>
      <c r="J40" s="276">
        <v>0</v>
      </c>
      <c r="K40" s="94">
        <v>0</v>
      </c>
      <c r="L40" s="277">
        <v>147.94966701540518678976954878</v>
      </c>
      <c r="M40" s="276">
        <v>243.6697938092610244318466864</v>
      </c>
      <c r="N40" s="94">
        <v>285.25815709844849172639977522</v>
      </c>
      <c r="O40" s="277">
        <v>228.09152259229951482307427923</v>
      </c>
      <c r="P40" s="5"/>
      <c r="Q40" s="271">
        <v>-6.3258075546721676064667811900</v>
      </c>
      <c r="R40" s="92">
        <v>-7.941526019825348943288861350</v>
      </c>
      <c r="S40" s="272">
        <v>-3.4458219175627477300405217300</v>
      </c>
      <c r="T40" s="271">
        <v>1.5157453181200858337290084300</v>
      </c>
      <c r="U40" s="92">
        <v>-1.7937593445954796452874346300</v>
      </c>
      <c r="V40" s="272">
        <v>3.4316104181863481793689514100</v>
      </c>
      <c r="W40" s="271">
        <v>0</v>
      </c>
      <c r="X40" s="92">
        <v>0</v>
      </c>
      <c r="Y40" s="272">
        <v>17.676189212456831020367914880</v>
      </c>
      <c r="Z40" s="271">
        <v>-5.4147175865110622540094706200</v>
      </c>
      <c r="AA40" s="92">
        <v>-7.9221010902472796842884671500</v>
      </c>
      <c r="AB40" s="272">
        <v>-0.8032013647586734364643825300</v>
      </c>
    </row>
    <row r="41" ht="18" customHeight="1">
      <c r="A41" s="58"/>
      <c r="B41" s="425">
        <v>2025</v>
      </c>
      <c r="C41" s="426"/>
      <c r="D41" s="457">
        <v>228.53741631680472029955747192</v>
      </c>
      <c r="E41" s="458">
        <v>307.19899048136408255259151127</v>
      </c>
      <c r="F41" s="459">
        <v>231.52535568576433660347575225</v>
      </c>
      <c r="G41" s="457">
        <v>270.80559615786176654833994571</v>
      </c>
      <c r="H41" s="458">
        <v>349.56257036177524970784764944</v>
      </c>
      <c r="I41" s="459">
        <v>257.37684800521588660538732365</v>
      </c>
      <c r="J41" s="457">
        <v>0</v>
      </c>
      <c r="K41" s="458">
        <v>0</v>
      </c>
      <c r="L41" s="459">
        <v>154.80794182505319107145900717</v>
      </c>
      <c r="M41" s="457">
        <v>233.59279238780250243500412078</v>
      </c>
      <c r="N41" s="458">
        <v>310.16486811685582177385456074</v>
      </c>
      <c r="O41" s="459">
        <v>228.47549430063792471234838638</v>
      </c>
      <c r="P41" s="93"/>
      <c r="Q41" s="430">
        <v>-4.1852389509713810936399883300</v>
      </c>
      <c r="R41" s="431">
        <v>8.626935625824685835225304630</v>
      </c>
      <c r="S41" s="432">
        <v>-0.1498597614881248743496575400</v>
      </c>
      <c r="T41" s="430">
        <v>-6.0411986864036754796478282900</v>
      </c>
      <c r="U41" s="431">
        <v>-1.2142756867433205946783301500</v>
      </c>
      <c r="V41" s="432">
        <v>0.4411677390396976471780052500</v>
      </c>
      <c r="W41" s="430">
        <v>0</v>
      </c>
      <c r="X41" s="431">
        <v>0</v>
      </c>
      <c r="Y41" s="432">
        <v>4.6355459583016952609163669800</v>
      </c>
      <c r="Z41" s="430">
        <v>-4.135515224912910255468430800</v>
      </c>
      <c r="AA41" s="431">
        <v>8.731287922421876426198544900</v>
      </c>
      <c r="AB41" s="432">
        <v>0.1683410693979413045892955300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4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145</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218</v>
      </c>
      <c r="D9" s="434">
        <v>215.36045943304007820136852395</v>
      </c>
      <c r="E9" s="435">
        <v>247.54400850887640219834327605</v>
      </c>
      <c r="F9" s="436">
        <v>146.8303597312807016479105451</v>
      </c>
      <c r="G9" s="434">
        <v>41.423264907135874877810361681</v>
      </c>
      <c r="H9" s="435">
        <v>26.370545344384048952630624954</v>
      </c>
      <c r="I9" s="436">
        <v>53.132052532806576080631723881</v>
      </c>
      <c r="J9" s="434">
        <v>0</v>
      </c>
      <c r="K9" s="435">
        <v>0</v>
      </c>
      <c r="L9" s="436">
        <v>11.729532836008884523402831116</v>
      </c>
      <c r="M9" s="434">
        <v>256.78372434017595307917888563</v>
      </c>
      <c r="N9" s="435">
        <v>273.91455385326045115097390099</v>
      </c>
      <c r="O9" s="436">
        <v>211.6919451000961622519451001</v>
      </c>
      <c r="P9" s="5"/>
      <c r="Q9" s="415">
        <v>0.4754385264649683696185938600</v>
      </c>
      <c r="R9" s="416">
        <v>0.5136746792701357603057172600</v>
      </c>
      <c r="S9" s="417">
        <v>-1.3485611633829473238900940800</v>
      </c>
      <c r="T9" s="415">
        <v>-19.009599166777730955386945370</v>
      </c>
      <c r="U9" s="416">
        <v>74.310161027739447436412814180</v>
      </c>
      <c r="V9" s="417">
        <v>16.526644102284677295101392240</v>
      </c>
      <c r="W9" s="415">
        <v>0</v>
      </c>
      <c r="X9" s="416">
        <v>0</v>
      </c>
      <c r="Y9" s="417">
        <v>7.4726628571125337279528316400</v>
      </c>
      <c r="Z9" s="415">
        <v>-3.2783369263201432682346229400</v>
      </c>
      <c r="AA9" s="416">
        <v>4.7845227566348363617468649500</v>
      </c>
      <c r="AB9" s="417">
        <v>3.0893743056782696523614474800</v>
      </c>
    </row>
    <row r="10" ht="18" customHeight="1">
      <c r="A10" s="58"/>
      <c r="B10" s="286"/>
      <c r="C10" s="287" t="s">
        <v>220</v>
      </c>
      <c r="D10" s="276">
        <v>258.32236154649947753396029258</v>
      </c>
      <c r="E10" s="94">
        <v>306.48319091469228869081177567</v>
      </c>
      <c r="F10" s="277">
        <v>190.39793312131027814844224557</v>
      </c>
      <c r="G10" s="276">
        <v>67.904649947753396029258098224</v>
      </c>
      <c r="H10" s="94">
        <v>20.846762998565762457645435388</v>
      </c>
      <c r="I10" s="277">
        <v>65.794917607238282895657252455</v>
      </c>
      <c r="J10" s="276">
        <v>0</v>
      </c>
      <c r="K10" s="94">
        <v>0</v>
      </c>
      <c r="L10" s="277">
        <v>12.12213959278322370231939475</v>
      </c>
      <c r="M10" s="276">
        <v>326.2270114942528735632183908</v>
      </c>
      <c r="N10" s="94">
        <v>327.32995391325805114845721105</v>
      </c>
      <c r="O10" s="277">
        <v>268.31499032133178474641889276</v>
      </c>
      <c r="P10" s="5"/>
      <c r="Q10" s="271">
        <v>-5.9771778881461756255101006800</v>
      </c>
      <c r="R10" s="92">
        <v>-0.0769747175496654876912286400</v>
      </c>
      <c r="S10" s="272">
        <v>4.4158121127205652108918894100</v>
      </c>
      <c r="T10" s="271">
        <v>33.139309203380393568614385830</v>
      </c>
      <c r="U10" s="92">
        <v>-33.895313262438712435021740870</v>
      </c>
      <c r="V10" s="272">
        <v>6.1007409995410396581968537700</v>
      </c>
      <c r="W10" s="271">
        <v>0</v>
      </c>
      <c r="X10" s="92">
        <v>0</v>
      </c>
      <c r="Y10" s="272">
        <v>5.8127270428102016526565493400</v>
      </c>
      <c r="Z10" s="271">
        <v>0.147349829674445464388405100</v>
      </c>
      <c r="AA10" s="92">
        <v>-3.2299028574969594914367190600</v>
      </c>
      <c r="AB10" s="272">
        <v>4.8868137559302797158944771400</v>
      </c>
    </row>
    <row r="11" ht="18" customHeight="1">
      <c r="A11" s="58"/>
      <c r="B11" s="288"/>
      <c r="C11" s="289" t="s">
        <v>221</v>
      </c>
      <c r="D11" s="439">
        <v>262.60606060606060606060606061</v>
      </c>
      <c r="E11" s="95">
        <v>296.41714459753023967111202016</v>
      </c>
      <c r="F11" s="440">
        <v>191.53669863838472228158541849</v>
      </c>
      <c r="G11" s="439">
        <v>26.797409579667644183773216031</v>
      </c>
      <c r="H11" s="95">
        <v>8.981446518029079753016088225</v>
      </c>
      <c r="I11" s="440">
        <v>37.485238510292737299429935728</v>
      </c>
      <c r="J11" s="439">
        <v>0</v>
      </c>
      <c r="K11" s="95">
        <v>0</v>
      </c>
      <c r="L11" s="440">
        <v>11.719212222947664429049628782</v>
      </c>
      <c r="M11" s="439">
        <v>289.40347018572825024437927664</v>
      </c>
      <c r="N11" s="95">
        <v>305.3985911155593194241281084</v>
      </c>
      <c r="O11" s="440">
        <v>240.74114937162512401006498299</v>
      </c>
      <c r="P11" s="5"/>
      <c r="Q11" s="420">
        <v>1.4674569399131841813854979500</v>
      </c>
      <c r="R11" s="91">
        <v>0.5457967298299541951133080800</v>
      </c>
      <c r="S11" s="421">
        <v>3.4540920707267702639133625200</v>
      </c>
      <c r="T11" s="420">
        <v>-9.073948158313188001991098550</v>
      </c>
      <c r="U11" s="91">
        <v>-39.466694462958563218208380170</v>
      </c>
      <c r="V11" s="421">
        <v>-26.076329051019353035761801210</v>
      </c>
      <c r="W11" s="420">
        <v>0</v>
      </c>
      <c r="X11" s="91">
        <v>0</v>
      </c>
      <c r="Y11" s="421">
        <v>15.332634184498635509908230170</v>
      </c>
      <c r="Z11" s="420">
        <v>0.3897796024556957236371573900</v>
      </c>
      <c r="AA11" s="91">
        <v>-1.3714720988019529361906984200</v>
      </c>
      <c r="AB11" s="421">
        <v>-2.1421170164987621609912828800</v>
      </c>
    </row>
    <row r="12" ht="18" customHeight="1">
      <c r="A12" s="58"/>
      <c r="B12" s="286"/>
      <c r="C12" s="287" t="s">
        <v>223</v>
      </c>
      <c r="D12" s="276">
        <v>231.69141414141414141414141414</v>
      </c>
      <c r="E12" s="94">
        <v>241.12937809484212248594042939</v>
      </c>
      <c r="F12" s="277">
        <v>142.47803727675861155151392795</v>
      </c>
      <c r="G12" s="276">
        <v>9.26489898989898989898989899</v>
      </c>
      <c r="H12" s="94">
        <v>14.799364944139579980248910325</v>
      </c>
      <c r="I12" s="277">
        <v>46.958356251906441437012855434</v>
      </c>
      <c r="J12" s="276">
        <v>0</v>
      </c>
      <c r="K12" s="94">
        <v>0</v>
      </c>
      <c r="L12" s="277">
        <v>10.499083166250201248761352215</v>
      </c>
      <c r="M12" s="276">
        <v>240.95631313131313131313131313</v>
      </c>
      <c r="N12" s="94">
        <v>255.9287430389817024661893397</v>
      </c>
      <c r="O12" s="277">
        <v>199.93547669491525423728813559</v>
      </c>
      <c r="P12" s="5"/>
      <c r="Q12" s="271">
        <v>7.1982465015837297806092978300</v>
      </c>
      <c r="R12" s="92">
        <v>-0.9443217656672478936297014400</v>
      </c>
      <c r="S12" s="272">
        <v>-0.5502382278831377932881860900</v>
      </c>
      <c r="T12" s="271">
        <v>-31.601416853324230890499657690</v>
      </c>
      <c r="U12" s="92">
        <v>-23.646252874315318095679283910</v>
      </c>
      <c r="V12" s="272">
        <v>25.854331483680572835326383480</v>
      </c>
      <c r="W12" s="271">
        <v>0</v>
      </c>
      <c r="X12" s="92">
        <v>0</v>
      </c>
      <c r="Y12" s="272">
        <v>13.769451225505879421971305320</v>
      </c>
      <c r="Z12" s="271">
        <v>4.9100138643372400464617334400</v>
      </c>
      <c r="AA12" s="92">
        <v>-2.6186183613761351284680192800</v>
      </c>
      <c r="AB12" s="272">
        <v>5.3365298945783269507908601200</v>
      </c>
    </row>
    <row r="13" ht="18" customHeight="1">
      <c r="A13" s="58"/>
      <c r="B13" s="288"/>
      <c r="C13" s="289" t="s">
        <v>224</v>
      </c>
      <c r="D13" s="439">
        <v>156.68792766373411534701857283</v>
      </c>
      <c r="E13" s="95">
        <v>194.28453859410549920192923883</v>
      </c>
      <c r="F13" s="440">
        <v>126.35675063987269346265969992</v>
      </c>
      <c r="G13" s="439">
        <v>33.200391006842619745845552297</v>
      </c>
      <c r="H13" s="95">
        <v>2.7260757718965024918116188219</v>
      </c>
      <c r="I13" s="440">
        <v>28.824901755390718909997111922</v>
      </c>
      <c r="J13" s="439">
        <v>0</v>
      </c>
      <c r="K13" s="95">
        <v>0</v>
      </c>
      <c r="L13" s="440">
        <v>9.666471579586232241886654526</v>
      </c>
      <c r="M13" s="439">
        <v>189.88831867057673509286412512</v>
      </c>
      <c r="N13" s="95">
        <v>197.01061436600200169374085765</v>
      </c>
      <c r="O13" s="440">
        <v>164.84812397484964461454346638</v>
      </c>
      <c r="P13" s="5"/>
      <c r="Q13" s="420">
        <v>-1.3684827470568844136751379100</v>
      </c>
      <c r="R13" s="91">
        <v>3.9428579051481419846085192600</v>
      </c>
      <c r="S13" s="421">
        <v>2.3867838587332481312531395900</v>
      </c>
      <c r="T13" s="420">
        <v>-24.184538458576692041972762200</v>
      </c>
      <c r="U13" s="91">
        <v>-83.13182588970885830594302982</v>
      </c>
      <c r="V13" s="421">
        <v>-7.1357289199890590281285330600</v>
      </c>
      <c r="W13" s="420">
        <v>0</v>
      </c>
      <c r="X13" s="91">
        <v>0</v>
      </c>
      <c r="Y13" s="421">
        <v>4.0378774781583801347115040600</v>
      </c>
      <c r="Z13" s="420">
        <v>-6.2987786642600053603046342500</v>
      </c>
      <c r="AA13" s="91">
        <v>-2.986668401619609350155434900</v>
      </c>
      <c r="AB13" s="421">
        <v>0.6753369836010753859390410900</v>
      </c>
    </row>
    <row r="14" ht="18" customHeight="1">
      <c r="A14" s="58"/>
      <c r="B14" s="286"/>
      <c r="C14" s="287" t="s">
        <v>225</v>
      </c>
      <c r="D14" s="276">
        <v>113.59772727272727272727272727</v>
      </c>
      <c r="E14" s="94">
        <v>150.57356471396282490697496862</v>
      </c>
      <c r="F14" s="277">
        <v>98.93108693399906172553933576</v>
      </c>
      <c r="G14" s="276">
        <v>20.488383838383838383838383838</v>
      </c>
      <c r="H14" s="94">
        <v>1.7249033092929890465134034763</v>
      </c>
      <c r="I14" s="277">
        <v>19.460041272530576677203546014</v>
      </c>
      <c r="J14" s="276">
        <v>0</v>
      </c>
      <c r="K14" s="94">
        <v>0</v>
      </c>
      <c r="L14" s="277">
        <v>10.706713110729154584205444985</v>
      </c>
      <c r="M14" s="276">
        <v>134.08611111111111111111111111</v>
      </c>
      <c r="N14" s="94">
        <v>152.29846802325581395348837209</v>
      </c>
      <c r="O14" s="277">
        <v>129.09784131725879298694832675</v>
      </c>
      <c r="P14" s="5"/>
      <c r="Q14" s="271">
        <v>-21.118775908137926412348861390</v>
      </c>
      <c r="R14" s="92">
        <v>11.555574571718937635389359730</v>
      </c>
      <c r="S14" s="272">
        <v>-0.1377100888228727096570086600</v>
      </c>
      <c r="T14" s="271">
        <v>33.452858740926134710739071870</v>
      </c>
      <c r="U14" s="92">
        <v>-55.646546268502121213794344890</v>
      </c>
      <c r="V14" s="272">
        <v>-4.4079750851924079698754113900</v>
      </c>
      <c r="W14" s="271">
        <v>0</v>
      </c>
      <c r="X14" s="92">
        <v>0</v>
      </c>
      <c r="Y14" s="272">
        <v>13.025911250532560736503776700</v>
      </c>
      <c r="Z14" s="271">
        <v>-15.861538949083926065805710980</v>
      </c>
      <c r="AA14" s="92">
        <v>9.673544169334438169969168850</v>
      </c>
      <c r="AB14" s="272">
        <v>0.1552729517098109466447989900</v>
      </c>
    </row>
    <row r="15" ht="18" customHeight="1">
      <c r="A15" s="58"/>
      <c r="B15" s="288"/>
      <c r="C15" s="289" t="s">
        <v>228</v>
      </c>
      <c r="D15" s="439">
        <v>121.38269794721407624633431085</v>
      </c>
      <c r="E15" s="95">
        <v>159.26445743504603088041383039</v>
      </c>
      <c r="F15" s="440">
        <v>101.9841423057876230261902151</v>
      </c>
      <c r="G15" s="439">
        <v>10.863391984359726295210166178</v>
      </c>
      <c r="H15" s="95">
        <v>5.409227861278050139841233371</v>
      </c>
      <c r="I15" s="440">
        <v>13.55440432390869020682308535</v>
      </c>
      <c r="J15" s="439">
        <v>0</v>
      </c>
      <c r="K15" s="95">
        <v>0</v>
      </c>
      <c r="L15" s="440">
        <v>10.291433355555977928895474435</v>
      </c>
      <c r="M15" s="439">
        <v>132.24608993157380254154447703</v>
      </c>
      <c r="N15" s="95">
        <v>164.67368529632408102025506377</v>
      </c>
      <c r="O15" s="440">
        <v>125.82997998525229116190877489</v>
      </c>
      <c r="P15" s="5"/>
      <c r="Q15" s="420">
        <v>-20.314380047530342966543661320</v>
      </c>
      <c r="R15" s="91">
        <v>11.079465292516697296032678210</v>
      </c>
      <c r="S15" s="421">
        <v>2.1397006382172530054113453800</v>
      </c>
      <c r="T15" s="420">
        <v>2024.9043978107744242892907411</v>
      </c>
      <c r="U15" s="91">
        <v>222.98599483776661602351528821</v>
      </c>
      <c r="V15" s="421">
        <v>-2.0879537397943358335088714900</v>
      </c>
      <c r="W15" s="420">
        <v>0</v>
      </c>
      <c r="X15" s="91">
        <v>0</v>
      </c>
      <c r="Y15" s="421">
        <v>6.421353446169576563679320300</v>
      </c>
      <c r="Z15" s="420">
        <v>-13.473155381894249131028395710</v>
      </c>
      <c r="AA15" s="91">
        <v>13.526090245006229608948352890</v>
      </c>
      <c r="AB15" s="421">
        <v>2.0009235048031201805008812400</v>
      </c>
    </row>
    <row r="16" ht="18" customHeight="1">
      <c r="A16" s="58"/>
      <c r="B16" s="286"/>
      <c r="C16" s="287" t="s">
        <v>229</v>
      </c>
      <c r="D16" s="276">
        <v>113.40933528836754643206256109</v>
      </c>
      <c r="E16" s="94">
        <v>140.63095922838695904432988902</v>
      </c>
      <c r="F16" s="277">
        <v>91.38275324257829801332043768</v>
      </c>
      <c r="G16" s="276">
        <v>4.0994623655913978494623655914</v>
      </c>
      <c r="H16" s="94">
        <v>2.8736863079971369796761124799</v>
      </c>
      <c r="I16" s="277">
        <v>8.548424729866330302794675622</v>
      </c>
      <c r="J16" s="276">
        <v>0</v>
      </c>
      <c r="K16" s="94">
        <v>0</v>
      </c>
      <c r="L16" s="277">
        <v>10.392472973891283675322477307</v>
      </c>
      <c r="M16" s="276">
        <v>117.50879765395894428152492669</v>
      </c>
      <c r="N16" s="94">
        <v>143.5046455363840960240060015</v>
      </c>
      <c r="O16" s="277">
        <v>110.3236509463359119914375906</v>
      </c>
      <c r="P16" s="5"/>
      <c r="Q16" s="271">
        <v>-6.0885384836776993992807770900</v>
      </c>
      <c r="R16" s="92">
        <v>5.5478185879101289369328566600</v>
      </c>
      <c r="S16" s="272">
        <v>6.4222580329190556151309547700</v>
      </c>
      <c r="T16" s="271">
        <v>65.303508081458961955108982770</v>
      </c>
      <c r="U16" s="92">
        <v>7.2360100203172826874905614500</v>
      </c>
      <c r="V16" s="272">
        <v>-23.593658713331496363072630120</v>
      </c>
      <c r="W16" s="271">
        <v>0</v>
      </c>
      <c r="X16" s="92">
        <v>0</v>
      </c>
      <c r="Y16" s="272">
        <v>12.027780149381542205373932820</v>
      </c>
      <c r="Z16" s="271">
        <v>-4.6519375141507881124224555800</v>
      </c>
      <c r="AA16" s="92">
        <v>5.5811029806141611890126327100</v>
      </c>
      <c r="AB16" s="272">
        <v>3.7530871462379422597005585300</v>
      </c>
    </row>
    <row r="17" ht="18" customHeight="1">
      <c r="A17" s="58"/>
      <c r="B17" s="288"/>
      <c r="C17" s="289" t="s">
        <v>230</v>
      </c>
      <c r="D17" s="439">
        <v>77.685353535353535353535353535</v>
      </c>
      <c r="E17" s="95">
        <v>116.25205864907214198277477289</v>
      </c>
      <c r="F17" s="440">
        <v>80.83072267278430776044449788</v>
      </c>
      <c r="G17" s="439">
        <v>28.641919191919191919191919192</v>
      </c>
      <c r="H17" s="95">
        <v>16.46744522689685026528724262</v>
      </c>
      <c r="I17" s="440">
        <v>17.572236218692323857502591124</v>
      </c>
      <c r="J17" s="439">
        <v>0</v>
      </c>
      <c r="K17" s="95">
        <v>0</v>
      </c>
      <c r="L17" s="440">
        <v>8.94783458911526201276275444</v>
      </c>
      <c r="M17" s="439">
        <v>106.32727272727272727272727273</v>
      </c>
      <c r="N17" s="95">
        <v>132.7195038759689922480620155</v>
      </c>
      <c r="O17" s="440">
        <v>107.35079348059189363070984345</v>
      </c>
      <c r="P17" s="5"/>
      <c r="Q17" s="420">
        <v>-27.127023268933386164863025780</v>
      </c>
      <c r="R17" s="91">
        <v>4.4381117870625621758622145800</v>
      </c>
      <c r="S17" s="421">
        <v>-0.0162551422857963029300805900</v>
      </c>
      <c r="T17" s="420">
        <v>854.8913958562807014718702127</v>
      </c>
      <c r="U17" s="91">
        <v>1250.7833557997768482796229851</v>
      </c>
      <c r="V17" s="421">
        <v>6.8475006168363924448704787200</v>
      </c>
      <c r="W17" s="420">
        <v>0</v>
      </c>
      <c r="X17" s="91">
        <v>0</v>
      </c>
      <c r="Y17" s="421">
        <v>6.6284697709599037194885604300</v>
      </c>
      <c r="Z17" s="420">
        <v>-2.9889707830734737770673180900</v>
      </c>
      <c r="AA17" s="91">
        <v>17.940377548494954680774310970</v>
      </c>
      <c r="AB17" s="421">
        <v>1.5794993895512896340290318200</v>
      </c>
    </row>
    <row r="18" ht="18" customHeight="1">
      <c r="A18" s="58"/>
      <c r="B18" s="286"/>
      <c r="C18" s="287" t="s">
        <v>231</v>
      </c>
      <c r="D18" s="276">
        <v>128.03616813294232649071358749</v>
      </c>
      <c r="E18" s="94">
        <v>170.50489950494854950605120769</v>
      </c>
      <c r="F18" s="277">
        <v>107.81752594805488839533118974</v>
      </c>
      <c r="G18" s="276">
        <v>21.089442815249266862170087977</v>
      </c>
      <c r="H18" s="94">
        <v>12.534271537812140666491928095</v>
      </c>
      <c r="I18" s="277">
        <v>30.881744917932377209603938043</v>
      </c>
      <c r="J18" s="276">
        <v>0</v>
      </c>
      <c r="K18" s="94">
        <v>0</v>
      </c>
      <c r="L18" s="277">
        <v>9.269948036422231257807257371</v>
      </c>
      <c r="M18" s="276">
        <v>149.12561094819159335288367546</v>
      </c>
      <c r="N18" s="94">
        <v>183.03917104276069017254313578</v>
      </c>
      <c r="O18" s="277">
        <v>147.96921890240949686274238515</v>
      </c>
      <c r="P18" s="5"/>
      <c r="Q18" s="271">
        <v>-2.927602019555120982701776100</v>
      </c>
      <c r="R18" s="92">
        <v>20.600510779689377146541220100</v>
      </c>
      <c r="S18" s="272">
        <v>6.7275196331193767449732944900</v>
      </c>
      <c r="T18" s="271">
        <v>76.431623494219511322807689320</v>
      </c>
      <c r="U18" s="92">
        <v>65.146852878555431790230958380</v>
      </c>
      <c r="V18" s="272">
        <v>14.982008288393350475466338590</v>
      </c>
      <c r="W18" s="271">
        <v>0</v>
      </c>
      <c r="X18" s="92">
        <v>0</v>
      </c>
      <c r="Y18" s="272">
        <v>8.728608028663196343093630160</v>
      </c>
      <c r="Z18" s="271">
        <v>3.6667697294080710262708322400</v>
      </c>
      <c r="AA18" s="92">
        <v>22.870077405286916842042773490</v>
      </c>
      <c r="AB18" s="272">
        <v>8.477888464873991805894284450</v>
      </c>
    </row>
    <row r="19" ht="18" customHeight="1">
      <c r="A19" s="58"/>
      <c r="B19" s="288"/>
      <c r="C19" s="289" t="s">
        <v>232</v>
      </c>
      <c r="D19" s="439">
        <v>157.0770202020202020202020202</v>
      </c>
      <c r="E19" s="95">
        <v>171.13661600530920474332701769</v>
      </c>
      <c r="F19" s="440">
        <v>112.71665122886135886113819085</v>
      </c>
      <c r="G19" s="439">
        <v>18.493434343434343434343434343</v>
      </c>
      <c r="H19" s="95">
        <v>23.930230893915601458223369904</v>
      </c>
      <c r="I19" s="440">
        <v>35.198604287523688550878064694</v>
      </c>
      <c r="J19" s="439">
        <v>0</v>
      </c>
      <c r="K19" s="95">
        <v>0</v>
      </c>
      <c r="L19" s="440">
        <v>11.782278692130615573327913373</v>
      </c>
      <c r="M19" s="439">
        <v>175.57045454545454545454545455</v>
      </c>
      <c r="N19" s="95">
        <v>195.0668468992248062015503876</v>
      </c>
      <c r="O19" s="440">
        <v>159.69753420851566298534416892</v>
      </c>
      <c r="P19" s="5"/>
      <c r="Q19" s="420">
        <v>12.251122014941637062977500630</v>
      </c>
      <c r="R19" s="91">
        <v>-4.6932080415437978840948442400</v>
      </c>
      <c r="S19" s="421">
        <v>-0.9502043308906587792763971600</v>
      </c>
      <c r="T19" s="420">
        <v>-38.416387763000493355908239260</v>
      </c>
      <c r="U19" s="91">
        <v>115.90297577739470092143436223</v>
      </c>
      <c r="V19" s="421">
        <v>0.9042867139527557336465193500</v>
      </c>
      <c r="W19" s="420">
        <v>0</v>
      </c>
      <c r="X19" s="91">
        <v>0</v>
      </c>
      <c r="Y19" s="421">
        <v>16.980954892784028595607280360</v>
      </c>
      <c r="Z19" s="420">
        <v>3.2989874527243521923216165700</v>
      </c>
      <c r="AA19" s="91">
        <v>2.3179575426299980621590009900</v>
      </c>
      <c r="AB19" s="421">
        <v>0.5949151185025492688104223500</v>
      </c>
    </row>
    <row r="20" ht="18" customHeight="1">
      <c r="A20" s="58"/>
      <c r="B20" s="286"/>
      <c r="C20" s="287" t="s">
        <v>234</v>
      </c>
      <c r="D20" s="276">
        <v>222.15493646138807429130009775</v>
      </c>
      <c r="E20" s="94">
        <v>299.89634855759169299310040335</v>
      </c>
      <c r="F20" s="277">
        <v>164.02758145719493836982074607</v>
      </c>
      <c r="G20" s="276">
        <v>22.685728250244379276637341153</v>
      </c>
      <c r="H20" s="94">
        <v>18.594709206849417284468989001</v>
      </c>
      <c r="I20" s="277">
        <v>27.055658623534011115788798477</v>
      </c>
      <c r="J20" s="276">
        <v>0</v>
      </c>
      <c r="K20" s="94">
        <v>0</v>
      </c>
      <c r="L20" s="277">
        <v>12.952662310675056305737075455</v>
      </c>
      <c r="M20" s="276">
        <v>244.84066471163245356793743891</v>
      </c>
      <c r="N20" s="94">
        <v>318.49105776444111027756939235</v>
      </c>
      <c r="O20" s="277">
        <v>204.03590239140400579134662001</v>
      </c>
      <c r="P20" s="5"/>
      <c r="Q20" s="271">
        <v>-2.962600820663705985934915400</v>
      </c>
      <c r="R20" s="92">
        <v>-1.3929191769573875999320323800</v>
      </c>
      <c r="S20" s="272">
        <v>-0.209388279300142310610241800</v>
      </c>
      <c r="T20" s="271">
        <v>-54.915007285064274273195218590</v>
      </c>
      <c r="U20" s="92">
        <v>87.08435213411494379661277309</v>
      </c>
      <c r="V20" s="272">
        <v>-0.5067080771560403555317949400</v>
      </c>
      <c r="W20" s="271">
        <v>0</v>
      </c>
      <c r="X20" s="92">
        <v>0</v>
      </c>
      <c r="Y20" s="272">
        <v>13.912512115106467616418227610</v>
      </c>
      <c r="Z20" s="271">
        <v>-12.323665105465448187067301180</v>
      </c>
      <c r="AA20" s="92">
        <v>1.4070586343156452400495322900</v>
      </c>
      <c r="AB20" s="272">
        <v>0.5420355991136406813385753900</v>
      </c>
    </row>
    <row r="21" ht="18" customHeight="1">
      <c r="A21" s="58"/>
      <c r="B21" s="288">
        <v>2025</v>
      </c>
      <c r="C21" s="289" t="s">
        <v>218</v>
      </c>
      <c r="D21" s="439">
        <v>198.52297165200391006842619746</v>
      </c>
      <c r="E21" s="95">
        <v>252.77041831021076153775379388</v>
      </c>
      <c r="F21" s="440">
        <v>147.11863804874158187575113185</v>
      </c>
      <c r="G21" s="439">
        <v>55.80718475073313782991202346</v>
      </c>
      <c r="H21" s="95">
        <v>39.855772612519921132913873037</v>
      </c>
      <c r="I21" s="440">
        <v>58.215732912260674338385803634</v>
      </c>
      <c r="J21" s="439">
        <v>0</v>
      </c>
      <c r="K21" s="95">
        <v>0</v>
      </c>
      <c r="L21" s="440">
        <v>13.854285097292722238301902074</v>
      </c>
      <c r="M21" s="439">
        <v>254.33015640273704789833822092</v>
      </c>
      <c r="N21" s="95">
        <v>292.62619092273068267066766692</v>
      </c>
      <c r="O21" s="440">
        <v>219.18865605829497845243883756</v>
      </c>
      <c r="P21" s="5"/>
      <c r="Q21" s="420">
        <v>-7.8182818820714574081607023100</v>
      </c>
      <c r="R21" s="91">
        <v>2.1113053120503441168851045900</v>
      </c>
      <c r="S21" s="421">
        <v>0.1963342717195081888115307700</v>
      </c>
      <c r="T21" s="420">
        <v>34.724254295000575328785787260</v>
      </c>
      <c r="U21" s="91">
        <v>51.137460723707099722309954510</v>
      </c>
      <c r="V21" s="421">
        <v>9.568010526832869642264661980</v>
      </c>
      <c r="W21" s="420">
        <v>0</v>
      </c>
      <c r="X21" s="91">
        <v>0</v>
      </c>
      <c r="Y21" s="421">
        <v>18.114551457424491055850794790</v>
      </c>
      <c r="Z21" s="420">
        <v>-0.955499786354193472357622200</v>
      </c>
      <c r="AA21" s="91">
        <v>6.8311949132327030743974423200</v>
      </c>
      <c r="AB21" s="421">
        <v>3.5413302828551680789275257100</v>
      </c>
    </row>
    <row r="22" ht="18" customHeight="1">
      <c r="A22" s="58"/>
      <c r="B22" s="286"/>
      <c r="C22" s="287" t="s">
        <v>220</v>
      </c>
      <c r="D22" s="276">
        <v>259.83468614718614718614718615</v>
      </c>
      <c r="E22" s="94">
        <v>347.0358557401072752281725906</v>
      </c>
      <c r="F22" s="277">
        <v>194.48357469320680782049218623</v>
      </c>
      <c r="G22" s="276">
        <v>56.427218614718614718614718615</v>
      </c>
      <c r="H22" s="94">
        <v>45.485885331321296200398837986</v>
      </c>
      <c r="I22" s="277">
        <v>68.521489048906958072554898311</v>
      </c>
      <c r="J22" s="276">
        <v>0</v>
      </c>
      <c r="K22" s="94">
        <v>0</v>
      </c>
      <c r="L22" s="277">
        <v>14.425816369176580557353235123</v>
      </c>
      <c r="M22" s="276">
        <v>316.26190476190476190476190476</v>
      </c>
      <c r="N22" s="94">
        <v>392.52174107142857142857142857</v>
      </c>
      <c r="O22" s="277">
        <v>277.43088011129034645040031966</v>
      </c>
      <c r="P22" s="5"/>
      <c r="Q22" s="271">
        <v>0.585440838970464891799899400</v>
      </c>
      <c r="R22" s="92">
        <v>13.231611399104050620384054200</v>
      </c>
      <c r="S22" s="272">
        <v>2.1458434474201459523048231800</v>
      </c>
      <c r="T22" s="271">
        <v>-16.902275973595877954753215980</v>
      </c>
      <c r="U22" s="92">
        <v>118.19159806429409963215370838</v>
      </c>
      <c r="V22" s="272">
        <v>4.1440456814381461942758809500</v>
      </c>
      <c r="W22" s="271">
        <v>0</v>
      </c>
      <c r="X22" s="92">
        <v>0</v>
      </c>
      <c r="Y22" s="272">
        <v>19.003879296562958792404668860</v>
      </c>
      <c r="Z22" s="271">
        <v>-3.0546540848195071602992651500</v>
      </c>
      <c r="AA22" s="92">
        <v>19.916230207088210148380403580</v>
      </c>
      <c r="AB22" s="272">
        <v>3.3974582557144172507059322500</v>
      </c>
    </row>
    <row r="23" ht="18" customHeight="1">
      <c r="A23" s="58"/>
      <c r="B23" s="288"/>
      <c r="C23" s="289" t="s">
        <v>221</v>
      </c>
      <c r="D23" s="439">
        <v>223.80351906158357771260997067</v>
      </c>
      <c r="E23" s="95">
        <v>310.27262301791344855509544108</v>
      </c>
      <c r="F23" s="440">
        <v>183.88022564509237002036294178</v>
      </c>
      <c r="G23" s="439">
        <v>47.424242424242424242424242424</v>
      </c>
      <c r="H23" s="95">
        <v>22.343118730023535690966074305</v>
      </c>
      <c r="I23" s="440">
        <v>44.49507122490995897202654432</v>
      </c>
      <c r="J23" s="439">
        <v>0</v>
      </c>
      <c r="K23" s="95">
        <v>0</v>
      </c>
      <c r="L23" s="440">
        <v>14.078738813372052363231196751</v>
      </c>
      <c r="M23" s="439">
        <v>271.2277614858260019550342131</v>
      </c>
      <c r="N23" s="95">
        <v>332.61574174793698424606151538</v>
      </c>
      <c r="O23" s="440">
        <v>242.45403568337438135562068286</v>
      </c>
      <c r="P23" s="5"/>
      <c r="Q23" s="420">
        <v>-14.775950507371911471581757820</v>
      </c>
      <c r="R23" s="91">
        <v>4.6743174856594669768089142300</v>
      </c>
      <c r="S23" s="421">
        <v>-3.9973921696135110196085785500</v>
      </c>
      <c r="T23" s="420">
        <v>76.973234234431341423440438560</v>
      </c>
      <c r="U23" s="91">
        <v>148.76971304393994155681810079</v>
      </c>
      <c r="V23" s="421">
        <v>18.700248399603575649831802530</v>
      </c>
      <c r="W23" s="420">
        <v>0</v>
      </c>
      <c r="X23" s="91">
        <v>0</v>
      </c>
      <c r="Y23" s="421">
        <v>20.133832766176933461249886650</v>
      </c>
      <c r="Z23" s="420">
        <v>-6.2804045467081948954270206200</v>
      </c>
      <c r="AA23" s="91">
        <v>8.912009231252380458668770860</v>
      </c>
      <c r="AB23" s="421">
        <v>0.7115054141119959665808963300</v>
      </c>
    </row>
    <row r="24" ht="18" customHeight="1">
      <c r="A24" s="59"/>
      <c r="B24" s="286"/>
      <c r="C24" s="287" t="s">
        <v>223</v>
      </c>
      <c r="D24" s="276">
        <v>217.70909090909090909090909091</v>
      </c>
      <c r="E24" s="94">
        <v>291.74561736149374199175496897</v>
      </c>
      <c r="F24" s="277">
        <v>146.90232596268429981819465124</v>
      </c>
      <c r="G24" s="276">
        <v>30.278282828282828282828282828</v>
      </c>
      <c r="H24" s="94">
        <v>14.241956281917110721423325603</v>
      </c>
      <c r="I24" s="277">
        <v>51.293138842971561537883391792</v>
      </c>
      <c r="J24" s="276">
        <v>0</v>
      </c>
      <c r="K24" s="94">
        <v>0</v>
      </c>
      <c r="L24" s="277">
        <v>11.501803804101079486849730718</v>
      </c>
      <c r="M24" s="276">
        <v>247.98737373737373737373737374</v>
      </c>
      <c r="N24" s="94">
        <v>305.98757364341085271317829457</v>
      </c>
      <c r="O24" s="277">
        <v>209.69726860975694084292777374</v>
      </c>
      <c r="P24" s="93"/>
      <c r="Q24" s="271">
        <v>-6.0348905392651950782129212800</v>
      </c>
      <c r="R24" s="92">
        <v>20.991319957203211743168982190</v>
      </c>
      <c r="S24" s="272">
        <v>3.1052425836615002960909816700</v>
      </c>
      <c r="T24" s="271">
        <v>226.80639973830556227755040414</v>
      </c>
      <c r="U24" s="92">
        <v>-3.7664363591838379779162134800</v>
      </c>
      <c r="V24" s="272">
        <v>9.231120799498109013756050540</v>
      </c>
      <c r="W24" s="271">
        <v>0</v>
      </c>
      <c r="X24" s="92">
        <v>0</v>
      </c>
      <c r="Y24" s="272">
        <v>9.550554290489061775837194400</v>
      </c>
      <c r="Z24" s="271">
        <v>2.9179814858149940578076020500</v>
      </c>
      <c r="AA24" s="92">
        <v>19.559675091586949820426924120</v>
      </c>
      <c r="AB24" s="272">
        <v>4.8824711232981229439887483500</v>
      </c>
    </row>
    <row r="25" ht="18" customHeight="1">
      <c r="A25" s="60"/>
      <c r="B25" s="288"/>
      <c r="C25" s="289" t="s">
        <v>224</v>
      </c>
      <c r="D25" s="439">
        <v>155.00586510263929618768328446</v>
      </c>
      <c r="E25" s="95">
        <v>195.3870366578998462059762686</v>
      </c>
      <c r="F25" s="440">
        <v>116.61082195543732044712099438</v>
      </c>
      <c r="G25" s="439">
        <v>25.834310850439882697947214076</v>
      </c>
      <c r="H25" s="95">
        <v>16.91926397975956864773715975</v>
      </c>
      <c r="I25" s="440">
        <v>29.457740469601551450405914918</v>
      </c>
      <c r="J25" s="439">
        <v>0</v>
      </c>
      <c r="K25" s="95">
        <v>0</v>
      </c>
      <c r="L25" s="440">
        <v>10.883869693542133651781179081</v>
      </c>
      <c r="M25" s="439">
        <v>180.84017595307917888563049853</v>
      </c>
      <c r="N25" s="95">
        <v>212.30630063765941485371342836</v>
      </c>
      <c r="O25" s="440">
        <v>156.95243211858100554930808838</v>
      </c>
      <c r="P25" s="93"/>
      <c r="Q25" s="420">
        <v>-1.073511269273356024519650200</v>
      </c>
      <c r="R25" s="91">
        <v>0.5674656726561187513163127300</v>
      </c>
      <c r="S25" s="421">
        <v>-7.7130257268464311774311166700</v>
      </c>
      <c r="T25" s="420">
        <v>-22.186727122736054095588013540</v>
      </c>
      <c r="U25" s="91">
        <v>520.64540370304182621378000260</v>
      </c>
      <c r="V25" s="421">
        <v>2.1954583560132922193956728300</v>
      </c>
      <c r="W25" s="420">
        <v>0</v>
      </c>
      <c r="X25" s="91">
        <v>0</v>
      </c>
      <c r="Y25" s="421">
        <v>12.594027757877189794755366570</v>
      </c>
      <c r="Z25" s="420">
        <v>-4.7649812167838871871079262500</v>
      </c>
      <c r="AA25" s="91">
        <v>7.7638894335122368214428495700</v>
      </c>
      <c r="AB25" s="421">
        <v>-4.7896765009142554324259728800</v>
      </c>
    </row>
    <row r="26" ht="18" customHeight="1">
      <c r="A26" s="60"/>
      <c r="B26" s="290"/>
      <c r="C26" s="291" t="s">
        <v>225</v>
      </c>
      <c r="D26" s="443">
        <v>138.40151515151515151515151515</v>
      </c>
      <c r="E26" s="444">
        <v>151.62694730033022747345239408</v>
      </c>
      <c r="F26" s="445">
        <v>98.41238444454318236571189188</v>
      </c>
      <c r="G26" s="443">
        <v>3.354040404040404040404040404</v>
      </c>
      <c r="H26" s="444">
        <v>6.0887600640108577978654353839</v>
      </c>
      <c r="I26" s="445">
        <v>25.704223907245823894271112781</v>
      </c>
      <c r="J26" s="443">
        <v>0</v>
      </c>
      <c r="K26" s="444">
        <v>0</v>
      </c>
      <c r="L26" s="445">
        <v>10.873933747403611963777087616</v>
      </c>
      <c r="M26" s="443">
        <v>141.75555555555555555555555556</v>
      </c>
      <c r="N26" s="444">
        <v>157.71570736434108527131782946</v>
      </c>
      <c r="O26" s="445">
        <v>134.99054209919261822376009227</v>
      </c>
      <c r="P26" s="184"/>
      <c r="Q26" s="273">
        <v>21.834757150793843581867358760</v>
      </c>
      <c r="R26" s="274">
        <v>0.6995800280952545380756722200</v>
      </c>
      <c r="S26" s="275">
        <v>-0.524306874140440983146985100</v>
      </c>
      <c r="T26" s="273">
        <v>-83.62955111298651254380122838</v>
      </c>
      <c r="U26" s="274">
        <v>252.99138399136108596167996139</v>
      </c>
      <c r="V26" s="275">
        <v>32.087201395455436561798858240</v>
      </c>
      <c r="W26" s="273">
        <v>0</v>
      </c>
      <c r="X26" s="274">
        <v>0</v>
      </c>
      <c r="Y26" s="275">
        <v>1.5618298069133483593331677300</v>
      </c>
      <c r="Z26" s="273">
        <v>5.7197903503226135601375834500</v>
      </c>
      <c r="AA26" s="274">
        <v>3.5569887283516909031625226100</v>
      </c>
      <c r="AB26" s="275">
        <v>4.5645230948590274594695957300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54">
        <v>210.43943579440817009877783358</v>
      </c>
      <c r="E29" s="455">
        <v>235.1424056995631374520219969</v>
      </c>
      <c r="F29" s="456">
        <v>146.70398135750601102567752283</v>
      </c>
      <c r="G29" s="454">
        <v>33.987192365645404319437468609</v>
      </c>
      <c r="H29" s="455">
        <v>16.661508889803846412272583165</v>
      </c>
      <c r="I29" s="456">
        <v>40.958079336403893860000913796</v>
      </c>
      <c r="J29" s="454">
        <v>0</v>
      </c>
      <c r="K29" s="455">
        <v>0</v>
      </c>
      <c r="L29" s="456">
        <v>10.072518562365300177979741666</v>
      </c>
      <c r="M29" s="454">
        <v>244.42662816005357441821530219</v>
      </c>
      <c r="N29" s="455">
        <v>251.80391458936698386429458006</v>
      </c>
      <c r="O29" s="456">
        <v>197.73457925627520506365817829</v>
      </c>
      <c r="P29" s="5"/>
      <c r="Q29" s="427">
        <v>-12.383201714601452728608093310</v>
      </c>
      <c r="R29" s="428">
        <v>-3.6126594613632577087008029700</v>
      </c>
      <c r="S29" s="429">
        <v>-4.2610833253686835426962849900</v>
      </c>
      <c r="T29" s="427">
        <v>-15.133431296624044255951927060</v>
      </c>
      <c r="U29" s="428">
        <v>81.25674402367374543223238304</v>
      </c>
      <c r="V29" s="429">
        <v>3.0728320697755571352018505800</v>
      </c>
      <c r="W29" s="427">
        <v>0</v>
      </c>
      <c r="X29" s="428">
        <v>-100</v>
      </c>
      <c r="Y29" s="429">
        <v>10.033743783708125946929520690</v>
      </c>
      <c r="Z29" s="427">
        <v>-12.776239122684775657125947130</v>
      </c>
      <c r="AA29" s="428">
        <v>-0.5371458850430294555282571400</v>
      </c>
      <c r="AB29" s="429">
        <v>-2.1718593148999697355030003900</v>
      </c>
    </row>
    <row r="30" ht="18" customHeight="1">
      <c r="A30" s="58"/>
      <c r="B30" s="286">
        <v>2024</v>
      </c>
      <c r="C30" s="287"/>
      <c r="D30" s="276">
        <v>206.1775308025308025308025308</v>
      </c>
      <c r="E30" s="94">
        <v>241.47154541860038815563562966</v>
      </c>
      <c r="F30" s="277">
        <v>148.94779862049953667236882314</v>
      </c>
      <c r="G30" s="276">
        <v>32.999375624375624375624375624</v>
      </c>
      <c r="H30" s="94">
        <v>12.814405189647358872774866475</v>
      </c>
      <c r="I30" s="277">
        <v>41.542227670249987914382281603</v>
      </c>
      <c r="J30" s="276">
        <v>0</v>
      </c>
      <c r="K30" s="94">
        <v>0</v>
      </c>
      <c r="L30" s="277">
        <v>11.055190214864284130190521577</v>
      </c>
      <c r="M30" s="276">
        <v>239.17690642690642690642690643</v>
      </c>
      <c r="N30" s="94">
        <v>254.28595060824774702841049613</v>
      </c>
      <c r="O30" s="277">
        <v>201.54521650561380871694162631</v>
      </c>
      <c r="P30" s="5"/>
      <c r="Q30" s="271">
        <v>-2.0252406474008475484859272100</v>
      </c>
      <c r="R30" s="92">
        <v>2.6916198718686302166734633300</v>
      </c>
      <c r="S30" s="272">
        <v>1.529486277220809182611363700</v>
      </c>
      <c r="T30" s="271">
        <v>-2.9064381976552742978823950600</v>
      </c>
      <c r="U30" s="92">
        <v>-23.089767713101887392452949080</v>
      </c>
      <c r="V30" s="272">
        <v>1.4262102699011263844549263300</v>
      </c>
      <c r="W30" s="271">
        <v>0</v>
      </c>
      <c r="X30" s="92">
        <v>0</v>
      </c>
      <c r="Y30" s="272">
        <v>9.755967649764657337063966660</v>
      </c>
      <c r="Z30" s="271">
        <v>-2.1477699760907364650351534100</v>
      </c>
      <c r="AA30" s="92">
        <v>0.9857019192473791000589624300</v>
      </c>
      <c r="AB30" s="272">
        <v>1.9271476256940013270455345600</v>
      </c>
    </row>
    <row r="31" ht="18" customHeight="1">
      <c r="A31" s="58"/>
      <c r="B31" s="425">
        <v>2025</v>
      </c>
      <c r="C31" s="426"/>
      <c r="D31" s="457">
        <v>198.09940565879792399129415704</v>
      </c>
      <c r="E31" s="458">
        <v>257.06913435438932892601460794</v>
      </c>
      <c r="F31" s="459">
        <v>147.74330803221938045437182007</v>
      </c>
      <c r="G31" s="457">
        <v>36.408672358948602042524694458</v>
      </c>
      <c r="H31" s="458">
        <v>23.956845826774746623259450903</v>
      </c>
      <c r="I31" s="459">
        <v>46.142596635277738551078947176</v>
      </c>
      <c r="J31" s="457">
        <v>0</v>
      </c>
      <c r="K31" s="458">
        <v>0</v>
      </c>
      <c r="L31" s="459">
        <v>12.601045117658456005781045852</v>
      </c>
      <c r="M31" s="457">
        <v>234.5080780177465260338188515</v>
      </c>
      <c r="N31" s="458">
        <v>281.02598018116407554927405885</v>
      </c>
      <c r="O31" s="459">
        <v>206.4869497851555750112318131</v>
      </c>
      <c r="P31" s="93"/>
      <c r="Q31" s="430">
        <v>-3.9180434028188123609225863600</v>
      </c>
      <c r="R31" s="431">
        <v>6.4593900323743413537589346300</v>
      </c>
      <c r="S31" s="432">
        <v>-0.808666257196259739083479600</v>
      </c>
      <c r="T31" s="430">
        <v>10.331397700833287898700035440</v>
      </c>
      <c r="U31" s="431">
        <v>86.95246070584534455541773204</v>
      </c>
      <c r="V31" s="432">
        <v>11.073958290344112002451646450</v>
      </c>
      <c r="W31" s="430">
        <v>0</v>
      </c>
      <c r="X31" s="431">
        <v>0</v>
      </c>
      <c r="Y31" s="432">
        <v>13.983069243575553213804394090</v>
      </c>
      <c r="Z31" s="430">
        <v>-1.9520398013762315556109819400</v>
      </c>
      <c r="AA31" s="431">
        <v>10.515732194015199166636464780</v>
      </c>
      <c r="AB31" s="432">
        <v>2.451922881244997114521987800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54">
        <v>172.84681984681984681984681985</v>
      </c>
      <c r="E34" s="455">
        <v>188.6359727280660532936991928</v>
      </c>
      <c r="F34" s="456">
        <v>121.93145768955125586543577372</v>
      </c>
      <c r="G34" s="454">
        <v>24.444638694638694638694638695</v>
      </c>
      <c r="H34" s="455">
        <v>13.201410707675155979807287292</v>
      </c>
      <c r="I34" s="456">
        <v>29.585783208138614589729761431</v>
      </c>
      <c r="J34" s="454">
        <v>0</v>
      </c>
      <c r="K34" s="455">
        <v>0</v>
      </c>
      <c r="L34" s="456">
        <v>9.33039252270139746973467675</v>
      </c>
      <c r="M34" s="454">
        <v>197.29145854145854145854145854</v>
      </c>
      <c r="N34" s="455">
        <v>201.8373834357412092735064801</v>
      </c>
      <c r="O34" s="456">
        <v>160.8476334203912679249002119</v>
      </c>
      <c r="P34" s="5"/>
      <c r="Q34" s="427">
        <v>-18.258521741918451091935035510</v>
      </c>
      <c r="R34" s="428">
        <v>-15.265606712055009771409348920</v>
      </c>
      <c r="S34" s="429">
        <v>-10.262656362565034114746665150</v>
      </c>
      <c r="T34" s="427">
        <v>-46.657135175191088426152985820</v>
      </c>
      <c r="U34" s="428">
        <v>40.263048839999757748327925410</v>
      </c>
      <c r="V34" s="429">
        <v>-27.063109357412834266018713830</v>
      </c>
      <c r="W34" s="427">
        <v>0</v>
      </c>
      <c r="X34" s="428">
        <v>0</v>
      </c>
      <c r="Y34" s="429">
        <v>6.6083668350949412702791187600</v>
      </c>
      <c r="Z34" s="427">
        <v>-23.316730621577094592165362270</v>
      </c>
      <c r="AA34" s="428">
        <v>-13.013204468518215559758236200</v>
      </c>
      <c r="AB34" s="429">
        <v>-13.145240932564762320567209020</v>
      </c>
    </row>
    <row r="35" ht="18" customHeight="1">
      <c r="A35" s="58"/>
      <c r="B35" s="286">
        <v>2024</v>
      </c>
      <c r="C35" s="287"/>
      <c r="D35" s="276">
        <v>167.20879120879120879120879121</v>
      </c>
      <c r="E35" s="94">
        <v>198.1236194514645938243014509</v>
      </c>
      <c r="F35" s="277">
        <v>122.68561427138090845467006383</v>
      </c>
      <c r="G35" s="276">
        <v>21.118797868797868797868797869</v>
      </c>
      <c r="H35" s="94">
        <v>6.6679120850888218227344196756</v>
      </c>
      <c r="I35" s="277">
        <v>31.744390214648631964629546919</v>
      </c>
      <c r="J35" s="276">
        <v>0</v>
      </c>
      <c r="K35" s="94">
        <v>0</v>
      </c>
      <c r="L35" s="277">
        <v>10.282904046927298897877150862</v>
      </c>
      <c r="M35" s="276">
        <v>188.32758907758907758907758908</v>
      </c>
      <c r="N35" s="94">
        <v>204.79153153655341564703587056</v>
      </c>
      <c r="O35" s="277">
        <v>164.71290853295683931717676161</v>
      </c>
      <c r="P35" s="5"/>
      <c r="Q35" s="271">
        <v>-3.2618642581946067925029493700</v>
      </c>
      <c r="R35" s="92">
        <v>5.0296062761263957268050462900</v>
      </c>
      <c r="S35" s="272">
        <v>0.6185086244935734509941772500</v>
      </c>
      <c r="T35" s="271">
        <v>-13.605604350932107812587698230</v>
      </c>
      <c r="U35" s="92">
        <v>-49.490912503770357773016354800</v>
      </c>
      <c r="V35" s="272">
        <v>7.2960955313079162514569014400</v>
      </c>
      <c r="W35" s="271">
        <v>0</v>
      </c>
      <c r="X35" s="92">
        <v>0</v>
      </c>
      <c r="Y35" s="272">
        <v>10.208697243014424352596919520</v>
      </c>
      <c r="Z35" s="271">
        <v>-4.5434655560749398611959224200</v>
      </c>
      <c r="AA35" s="92">
        <v>1.4636278228381455099078799400</v>
      </c>
      <c r="AB35" s="272">
        <v>2.4030662002059731967027766500</v>
      </c>
    </row>
    <row r="36" ht="18" customHeight="1">
      <c r="A36" s="58"/>
      <c r="B36" s="425">
        <v>2025</v>
      </c>
      <c r="C36" s="426"/>
      <c r="D36" s="457">
        <v>170.2032967032967032967032967</v>
      </c>
      <c r="E36" s="458">
        <v>212.72719864010565182792840899</v>
      </c>
      <c r="F36" s="459">
        <v>120.89575305232294961671411627</v>
      </c>
      <c r="G36" s="457">
        <v>19.888278388278388278388278388</v>
      </c>
      <c r="H36" s="458">
        <v>12.466139271982260259983678921</v>
      </c>
      <c r="I36" s="459">
        <v>35.545458943226825116069986164</v>
      </c>
      <c r="J36" s="457">
        <v>0</v>
      </c>
      <c r="K36" s="458">
        <v>0</v>
      </c>
      <c r="L36" s="459">
        <v>11.08698513562283855034609828</v>
      </c>
      <c r="M36" s="457">
        <v>190.09157509157509157509157509</v>
      </c>
      <c r="N36" s="458">
        <v>225.19333791208791208791208791</v>
      </c>
      <c r="O36" s="459">
        <v>167.52819713117261328313020072</v>
      </c>
      <c r="P36" s="93"/>
      <c r="Q36" s="430">
        <v>1.790878023128191857096575800</v>
      </c>
      <c r="R36" s="431">
        <v>7.370943065261615218260381300</v>
      </c>
      <c r="S36" s="432">
        <v>-1.4589006459368528980205168700</v>
      </c>
      <c r="T36" s="430">
        <v>-5.8266549458268553472435118100</v>
      </c>
      <c r="U36" s="431">
        <v>86.95716309515954118774976890</v>
      </c>
      <c r="V36" s="432">
        <v>11.973985648899386359391070470</v>
      </c>
      <c r="W36" s="430">
        <v>0</v>
      </c>
      <c r="X36" s="431">
        <v>0</v>
      </c>
      <c r="Y36" s="432">
        <v>7.8195914797556229868596565600</v>
      </c>
      <c r="Z36" s="430">
        <v>0.9366583104551106031407906300</v>
      </c>
      <c r="AA36" s="431">
        <v>9.962231456744457899980896580</v>
      </c>
      <c r="AB36" s="432">
        <v>1.709209450095147924972013900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2023</v>
      </c>
      <c r="C39" s="285"/>
      <c r="D39" s="454">
        <v>192.20184723951847239518472395</v>
      </c>
      <c r="E39" s="455">
        <v>203.25520996564340492943317713</v>
      </c>
      <c r="F39" s="456">
        <v>129.96365712127449745607641473</v>
      </c>
      <c r="G39" s="454">
        <v>24.384308841843088418430884184</v>
      </c>
      <c r="H39" s="455">
        <v>12.282336834656116987507091283</v>
      </c>
      <c r="I39" s="456">
        <v>32.27565351111228506311059387</v>
      </c>
      <c r="J39" s="454">
        <v>0</v>
      </c>
      <c r="K39" s="455">
        <v>0</v>
      </c>
      <c r="L39" s="456">
        <v>9.464508861885220588106496345</v>
      </c>
      <c r="M39" s="454">
        <v>216.58615608136156081361560814</v>
      </c>
      <c r="N39" s="455">
        <v>215.53754680029952191694026842</v>
      </c>
      <c r="O39" s="456">
        <v>171.70381949427200310729350495</v>
      </c>
      <c r="P39" s="5"/>
      <c r="Q39" s="427">
        <v>-7.992402353741983667813218950</v>
      </c>
      <c r="R39" s="428">
        <v>-0.5335102823201539035012515700</v>
      </c>
      <c r="S39" s="429">
        <v>-1.808897943547566922636466500</v>
      </c>
      <c r="T39" s="427">
        <v>0.2781720704989541922167972600</v>
      </c>
      <c r="U39" s="428">
        <v>64.693990287187662462487061600</v>
      </c>
      <c r="V39" s="429">
        <v>20.662315862216102460812467750</v>
      </c>
      <c r="W39" s="427">
        <v>0</v>
      </c>
      <c r="X39" s="428">
        <v>-100</v>
      </c>
      <c r="Y39" s="429">
        <v>25.181511052122504103606808830</v>
      </c>
      <c r="Z39" s="427">
        <v>-7.1300510409279076674125020700</v>
      </c>
      <c r="AA39" s="428">
        <v>1.7461322099274564199837280800</v>
      </c>
      <c r="AB39" s="429">
        <v>3.0219323416607280103926329400</v>
      </c>
    </row>
    <row r="40" ht="18" customHeight="1">
      <c r="A40" s="58"/>
      <c r="B40" s="286">
        <v>2024</v>
      </c>
      <c r="C40" s="287"/>
      <c r="D40" s="276">
        <v>176.42643649610862725616823977</v>
      </c>
      <c r="E40" s="94">
        <v>204.22330312315272634969165964</v>
      </c>
      <c r="F40" s="277">
        <v>128.79416338362550994943324476</v>
      </c>
      <c r="G40" s="276">
        <v>24.644518960092730584533863222</v>
      </c>
      <c r="H40" s="94">
        <v>9.149625799444440340547448571</v>
      </c>
      <c r="I40" s="277">
        <v>31.76592849933828093131694398</v>
      </c>
      <c r="J40" s="276">
        <v>0</v>
      </c>
      <c r="K40" s="94">
        <v>0</v>
      </c>
      <c r="L40" s="277">
        <v>10.320779015798030559733465589</v>
      </c>
      <c r="M40" s="276">
        <v>201.070955456201357840702103</v>
      </c>
      <c r="N40" s="94">
        <v>213.37292892259716669023910821</v>
      </c>
      <c r="O40" s="277">
        <v>170.88087089876182144048365433</v>
      </c>
      <c r="P40" s="5"/>
      <c r="Q40" s="271">
        <v>-8.207731075411495300677952890</v>
      </c>
      <c r="R40" s="92">
        <v>0.4762943875911331468566092100</v>
      </c>
      <c r="S40" s="272">
        <v>-0.8998621334447039164943853400</v>
      </c>
      <c r="T40" s="271">
        <v>1.0671211555796649913716777400</v>
      </c>
      <c r="U40" s="92">
        <v>-25.505822527233085177265867460</v>
      </c>
      <c r="V40" s="272">
        <v>-1.5792864165753244204434001900</v>
      </c>
      <c r="W40" s="271">
        <v>0</v>
      </c>
      <c r="X40" s="92">
        <v>0</v>
      </c>
      <c r="Y40" s="272">
        <v>9.047169445263051296604392570</v>
      </c>
      <c r="Z40" s="271">
        <v>-7.1635237015645329917690432400</v>
      </c>
      <c r="AA40" s="92">
        <v>-1.0042880740905883065096758500</v>
      </c>
      <c r="AB40" s="272">
        <v>-0.4792838027493603520410093200</v>
      </c>
    </row>
    <row r="41" ht="18" customHeight="1">
      <c r="A41" s="58"/>
      <c r="B41" s="425">
        <v>2025</v>
      </c>
      <c r="C41" s="426"/>
      <c r="D41" s="457">
        <v>167.21463262764632627646326276</v>
      </c>
      <c r="E41" s="458">
        <v>216.52156209392076477406151507</v>
      </c>
      <c r="F41" s="459">
        <v>128.9471477089761682534947992</v>
      </c>
      <c r="G41" s="457">
        <v>26.917559153175591531755915318</v>
      </c>
      <c r="H41" s="458">
        <v>18.547638686582580240274260659</v>
      </c>
      <c r="I41" s="459">
        <v>34.083739474702386390899551703</v>
      </c>
      <c r="J41" s="457">
        <v>0</v>
      </c>
      <c r="K41" s="458">
        <v>0</v>
      </c>
      <c r="L41" s="459">
        <v>11.612428772007871971290744564</v>
      </c>
      <c r="M41" s="457">
        <v>194.13219178082191780821917808</v>
      </c>
      <c r="N41" s="458">
        <v>235.06920078050334501433577572</v>
      </c>
      <c r="O41" s="459">
        <v>174.64331595568642661568509546</v>
      </c>
      <c r="P41" s="93"/>
      <c r="Q41" s="430">
        <v>-5.221328532959007839124007100</v>
      </c>
      <c r="R41" s="431">
        <v>6.0219665349853351470667292900</v>
      </c>
      <c r="S41" s="432">
        <v>0.1187820327855388723862214800</v>
      </c>
      <c r="T41" s="430">
        <v>9.223309234624104111632013830</v>
      </c>
      <c r="U41" s="431">
        <v>102.71472400323594200206172706</v>
      </c>
      <c r="V41" s="432">
        <v>7.2965314879855065823605636100</v>
      </c>
      <c r="W41" s="430">
        <v>0</v>
      </c>
      <c r="X41" s="431">
        <v>0</v>
      </c>
      <c r="Y41" s="432">
        <v>12.515041299019148128699579360</v>
      </c>
      <c r="Z41" s="430">
        <v>-3.4509030205954224526483721600</v>
      </c>
      <c r="AA41" s="431">
        <v>10.168240164043285407262361110</v>
      </c>
      <c r="AB41" s="432">
        <v>2.2017941722187513416703451900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4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147</v>
      </c>
      <c r="Y1" s="21"/>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218</v>
      </c>
      <c r="D9" s="415">
        <v>100.03437192285007753423024766</v>
      </c>
      <c r="E9" s="416">
        <v>86.96896468373831853457115453</v>
      </c>
      <c r="F9" s="417">
        <v>86.99885758911316162028516742</v>
      </c>
      <c r="G9" s="415">
        <v>182.57499311989080897419033502</v>
      </c>
      <c r="H9" s="416">
        <v>86.03673522172985393589833478</v>
      </c>
      <c r="I9" s="417">
        <v>157.08156341155243658568213164</v>
      </c>
      <c r="J9" s="415">
        <v>0</v>
      </c>
      <c r="K9" s="416">
        <v>0</v>
      </c>
      <c r="L9" s="417">
        <v>0</v>
      </c>
      <c r="M9" s="415">
        <v>107.62440213592598879183101657</v>
      </c>
      <c r="N9" s="416">
        <v>87.10470884209851174118427373</v>
      </c>
      <c r="O9" s="417">
        <v>93.74592212347403082288036759</v>
      </c>
      <c r="P9" s="5"/>
      <c r="Q9" s="415">
        <v>-5.4632574165974655715504500600</v>
      </c>
      <c r="R9" s="416">
        <v>5.7387387394512578762461550400</v>
      </c>
      <c r="S9" s="417">
        <v>-0.0380407471107602059904433200</v>
      </c>
      <c r="T9" s="415">
        <v>-57.747026613376165905391985330</v>
      </c>
      <c r="U9" s="416">
        <v>9.964769479345174955396769320</v>
      </c>
      <c r="V9" s="417">
        <v>-53.536615217540628902071979570</v>
      </c>
      <c r="W9" s="415">
        <v>0</v>
      </c>
      <c r="X9" s="416">
        <v>0</v>
      </c>
      <c r="Y9" s="417">
        <v>0</v>
      </c>
      <c r="Z9" s="415">
        <v>-12.724344320236683181250565750</v>
      </c>
      <c r="AA9" s="416">
        <v>5.7629352646680197238432986400</v>
      </c>
      <c r="AB9" s="417">
        <v>-7.6947047816350157188188880800</v>
      </c>
    </row>
    <row r="10" ht="18.95" customHeight="1">
      <c r="A10" s="58"/>
      <c r="B10" s="286"/>
      <c r="C10" s="287" t="s">
        <v>220</v>
      </c>
      <c r="D10" s="271">
        <v>89.56409134362330856420944402</v>
      </c>
      <c r="E10" s="92">
        <v>94.10688917248203827211133301</v>
      </c>
      <c r="F10" s="272">
        <v>84.28598017905504599979652614</v>
      </c>
      <c r="G10" s="271">
        <v>441.96917087811872890144393734</v>
      </c>
      <c r="H10" s="92">
        <v>73.700241181832151859011189520</v>
      </c>
      <c r="I10" s="272">
        <v>325.73234488401699994207415426</v>
      </c>
      <c r="J10" s="271">
        <v>0</v>
      </c>
      <c r="K10" s="92">
        <v>0</v>
      </c>
      <c r="L10" s="272">
        <v>0</v>
      </c>
      <c r="M10" s="271">
        <v>109.19516734066868923302234334</v>
      </c>
      <c r="N10" s="92">
        <v>91.27056733605389271851198264</v>
      </c>
      <c r="O10" s="272">
        <v>99.66304873542393154059800450</v>
      </c>
      <c r="P10" s="5"/>
      <c r="Q10" s="271">
        <v>-16.660620804935875853197743530</v>
      </c>
      <c r="R10" s="92">
        <v>12.906110622592647223066547250</v>
      </c>
      <c r="S10" s="272">
        <v>-5.9047483339794575348437979400</v>
      </c>
      <c r="T10" s="271">
        <v>85.06589775183572123651911210</v>
      </c>
      <c r="U10" s="92">
        <v>8.829754494683458166212682830</v>
      </c>
      <c r="V10" s="272">
        <v>101.40676217362564919264488244</v>
      </c>
      <c r="W10" s="271">
        <v>0</v>
      </c>
      <c r="X10" s="92">
        <v>0</v>
      </c>
      <c r="Y10" s="272">
        <v>0</v>
      </c>
      <c r="Z10" s="271">
        <v>-7.4903517696348095376063687900</v>
      </c>
      <c r="AA10" s="92">
        <v>11.869386042798186131863907460</v>
      </c>
      <c r="AB10" s="272">
        <v>3.4899755057452364536011238700</v>
      </c>
    </row>
    <row r="11" ht="18.95" customHeight="1">
      <c r="A11" s="58"/>
      <c r="B11" s="288"/>
      <c r="C11" s="289" t="s">
        <v>221</v>
      </c>
      <c r="D11" s="420">
        <v>101.06266568031252229619565259</v>
      </c>
      <c r="E11" s="91">
        <v>87.66185898831577446429707793</v>
      </c>
      <c r="F11" s="421">
        <v>88.59341147849227387354313225</v>
      </c>
      <c r="G11" s="420">
        <v>416.09919419296853885829868315</v>
      </c>
      <c r="H11" s="91">
        <v>71.705034865151586207924576730</v>
      </c>
      <c r="I11" s="421">
        <v>298.36407226789260700436780167</v>
      </c>
      <c r="J11" s="420">
        <v>0</v>
      </c>
      <c r="K11" s="91">
        <v>0</v>
      </c>
      <c r="L11" s="421">
        <v>0</v>
      </c>
      <c r="M11" s="420">
        <v>108.65356479701046328029744651</v>
      </c>
      <c r="N11" s="91">
        <v>87.21530935136777849660479273</v>
      </c>
      <c r="O11" s="421">
        <v>94.76254265894198278427628520</v>
      </c>
      <c r="P11" s="5"/>
      <c r="Q11" s="420">
        <v>-4.7518576090158003327297561900</v>
      </c>
      <c r="R11" s="91">
        <v>5.95131263681152748821546300</v>
      </c>
      <c r="S11" s="421">
        <v>0.9166571254331005105278957400</v>
      </c>
      <c r="T11" s="420">
        <v>41.729806365984314595109105750</v>
      </c>
      <c r="U11" s="91">
        <v>5.982155939236719082011934900</v>
      </c>
      <c r="V11" s="421">
        <v>50.208304395833381128096665970</v>
      </c>
      <c r="W11" s="420">
        <v>0</v>
      </c>
      <c r="X11" s="91">
        <v>0</v>
      </c>
      <c r="Y11" s="421">
        <v>0</v>
      </c>
      <c r="Z11" s="420">
        <v>-5.0089244789563665692749796400</v>
      </c>
      <c r="AA11" s="91">
        <v>7.1529531647831752157817245600</v>
      </c>
      <c r="AB11" s="421">
        <v>1.7857426636316076725696389900</v>
      </c>
    </row>
    <row r="12" ht="18.95" customHeight="1">
      <c r="A12" s="58"/>
      <c r="B12" s="286"/>
      <c r="C12" s="287" t="s">
        <v>223</v>
      </c>
      <c r="D12" s="271">
        <v>113.19768324527832223466487234</v>
      </c>
      <c r="E12" s="92">
        <v>84.88330401433356476065827890</v>
      </c>
      <c r="F12" s="272">
        <v>96.08593360628362602726264929</v>
      </c>
      <c r="G12" s="271">
        <v>93.81649831657962413019086736</v>
      </c>
      <c r="H12" s="92">
        <v>66.729579799587635134760407420</v>
      </c>
      <c r="I12" s="272">
        <v>62.603355109454124586931632770</v>
      </c>
      <c r="J12" s="271">
        <v>0</v>
      </c>
      <c r="K12" s="92">
        <v>0</v>
      </c>
      <c r="L12" s="272">
        <v>0</v>
      </c>
      <c r="M12" s="271">
        <v>112.36148638833611962299691953</v>
      </c>
      <c r="N12" s="92">
        <v>83.79184825301690699711921300</v>
      </c>
      <c r="O12" s="272">
        <v>94.14976616932578085107629298</v>
      </c>
      <c r="P12" s="5"/>
      <c r="Q12" s="271">
        <v>0.5871497612835541226953163600</v>
      </c>
      <c r="R12" s="92">
        <v>7.5884877928761074999608761100</v>
      </c>
      <c r="S12" s="272">
        <v>8.220193342176861900304740030</v>
      </c>
      <c r="T12" s="271">
        <v>-37.621645351376549229831230050</v>
      </c>
      <c r="U12" s="92">
        <v>43.609389200479823077791880060</v>
      </c>
      <c r="V12" s="272">
        <v>-10.418825896708388141501647640</v>
      </c>
      <c r="W12" s="271">
        <v>0</v>
      </c>
      <c r="X12" s="92">
        <v>0</v>
      </c>
      <c r="Y12" s="272">
        <v>0</v>
      </c>
      <c r="Z12" s="271">
        <v>-1.8534316443451068340037253700</v>
      </c>
      <c r="AA12" s="92">
        <v>9.765508364799709929322405360</v>
      </c>
      <c r="AB12" s="272">
        <v>7.7310796982363551672756010200</v>
      </c>
    </row>
    <row r="13" ht="18.95" customHeight="1">
      <c r="A13" s="58"/>
      <c r="B13" s="288"/>
      <c r="C13" s="289" t="s">
        <v>224</v>
      </c>
      <c r="D13" s="420">
        <v>108.95768426804742757346347532</v>
      </c>
      <c r="E13" s="91">
        <v>74.018355509081590425347796650</v>
      </c>
      <c r="F13" s="421">
        <v>80.64868609595698822463067328</v>
      </c>
      <c r="G13" s="420">
        <v>864.7936053343135923060993197</v>
      </c>
      <c r="H13" s="91">
        <v>140.82923038341458054911723737</v>
      </c>
      <c r="I13" s="421">
        <v>1217.8821788105639612667419377</v>
      </c>
      <c r="J13" s="420">
        <v>0</v>
      </c>
      <c r="K13" s="91">
        <v>0</v>
      </c>
      <c r="L13" s="421">
        <v>0</v>
      </c>
      <c r="M13" s="420">
        <v>119.35646684594954157379961219</v>
      </c>
      <c r="N13" s="91">
        <v>80.75374448293188908175984367</v>
      </c>
      <c r="O13" s="421">
        <v>96.38481626061441927134715218</v>
      </c>
      <c r="P13" s="5"/>
      <c r="Q13" s="420">
        <v>1.2190662773303911896696102800</v>
      </c>
      <c r="R13" s="91">
        <v>-6.2527075291048311695643372200</v>
      </c>
      <c r="S13" s="421">
        <v>-5.1098659006212542964388069800</v>
      </c>
      <c r="T13" s="420">
        <v>338.65411051044559514187814322</v>
      </c>
      <c r="U13" s="91">
        <v>2.463103183238641071052138100</v>
      </c>
      <c r="V13" s="421">
        <v>349.45861387048108791072346231</v>
      </c>
      <c r="W13" s="420">
        <v>0</v>
      </c>
      <c r="X13" s="91">
        <v>0</v>
      </c>
      <c r="Y13" s="421">
        <v>0</v>
      </c>
      <c r="Z13" s="420">
        <v>4.400051609816473279962130200</v>
      </c>
      <c r="AA13" s="91">
        <v>-7.4847942351943574675507628800</v>
      </c>
      <c r="AB13" s="421">
        <v>-3.414077434604272777744760400</v>
      </c>
    </row>
    <row r="14" ht="18.95" customHeight="1">
      <c r="A14" s="58"/>
      <c r="B14" s="286"/>
      <c r="C14" s="287" t="s">
        <v>225</v>
      </c>
      <c r="D14" s="271">
        <v>97.99897159694819692163511569</v>
      </c>
      <c r="E14" s="92">
        <v>76.983808467916086158403145880</v>
      </c>
      <c r="F14" s="272">
        <v>75.443340594675583876920824160</v>
      </c>
      <c r="G14" s="271">
        <v>1586.4393940409260606125586621</v>
      </c>
      <c r="H14" s="92">
        <v>74.872004576242306940301901630</v>
      </c>
      <c r="I14" s="272">
        <v>1187.7989756248094400846184195</v>
      </c>
      <c r="J14" s="271">
        <v>0</v>
      </c>
      <c r="K14" s="92">
        <v>0</v>
      </c>
      <c r="L14" s="272">
        <v>0</v>
      </c>
      <c r="M14" s="271">
        <v>114.92749502413826178691435678</v>
      </c>
      <c r="N14" s="92">
        <v>76.606270474765233811991091690</v>
      </c>
      <c r="O14" s="272">
        <v>88.04166768808035714435971076</v>
      </c>
      <c r="P14" s="5"/>
      <c r="Q14" s="271">
        <v>-24.177941083716034059138325290</v>
      </c>
      <c r="R14" s="92">
        <v>-6.7418511218401857610094369600</v>
      </c>
      <c r="S14" s="272">
        <v>-29.289751413451759314985936610</v>
      </c>
      <c r="T14" s="271">
        <v>362.07216851573487648511661106</v>
      </c>
      <c r="U14" s="92">
        <v>-34.883563281378853860654765520</v>
      </c>
      <c r="V14" s="272">
        <v>200.88493118941724445755510403</v>
      </c>
      <c r="W14" s="271">
        <v>0</v>
      </c>
      <c r="X14" s="92">
        <v>0</v>
      </c>
      <c r="Y14" s="272">
        <v>0</v>
      </c>
      <c r="Z14" s="271">
        <v>-16.896943368113885343212481740</v>
      </c>
      <c r="AA14" s="92">
        <v>-7.6842742992487367940105153400</v>
      </c>
      <c r="AB14" s="272">
        <v>-23.282810190816574327499512600</v>
      </c>
    </row>
    <row r="15" ht="18.95" customHeight="1">
      <c r="A15" s="58"/>
      <c r="B15" s="288"/>
      <c r="C15" s="289" t="s">
        <v>228</v>
      </c>
      <c r="D15" s="420">
        <v>103.31826367286899982486110175</v>
      </c>
      <c r="E15" s="91">
        <v>73.766779044529396345513181210</v>
      </c>
      <c r="F15" s="421">
        <v>76.214555276247707167115626230</v>
      </c>
      <c r="G15" s="420">
        <v>149.75124377933774411526528179</v>
      </c>
      <c r="H15" s="91">
        <v>134.10955950407180628410625370</v>
      </c>
      <c r="I15" s="421">
        <v>200.83073338583534473613959935</v>
      </c>
      <c r="J15" s="420">
        <v>0</v>
      </c>
      <c r="K15" s="91">
        <v>0</v>
      </c>
      <c r="L15" s="421">
        <v>0</v>
      </c>
      <c r="M15" s="420">
        <v>104.98034977794081868124881374</v>
      </c>
      <c r="N15" s="91">
        <v>76.498094957178247335870588280</v>
      </c>
      <c r="O15" s="421">
        <v>80.30796765956946573840267803</v>
      </c>
      <c r="P15" s="5"/>
      <c r="Q15" s="420">
        <v>-19.065319219640854120096706410</v>
      </c>
      <c r="R15" s="91">
        <v>-11.363720731724503236466846200</v>
      </c>
      <c r="S15" s="421">
        <v>-28.262510318515932991345460520</v>
      </c>
      <c r="T15" s="420">
        <v>147.44817277827666958532488960</v>
      </c>
      <c r="U15" s="91">
        <v>165.87129629913184131344091820</v>
      </c>
      <c r="V15" s="421">
        <v>557.89366463425679643618879121</v>
      </c>
      <c r="W15" s="420">
        <v>0</v>
      </c>
      <c r="X15" s="91">
        <v>0</v>
      </c>
      <c r="Y15" s="421">
        <v>0</v>
      </c>
      <c r="Z15" s="420">
        <v>-17.411592988021210678072107120</v>
      </c>
      <c r="AA15" s="91">
        <v>-7.7139419301128782284550640500</v>
      </c>
      <c r="AB15" s="421">
        <v>-23.782414745928648501887748510</v>
      </c>
    </row>
    <row r="16" ht="18.95" customHeight="1">
      <c r="A16" s="58"/>
      <c r="B16" s="286"/>
      <c r="C16" s="287" t="s">
        <v>229</v>
      </c>
      <c r="D16" s="271">
        <v>105.58385851035166469005058892</v>
      </c>
      <c r="E16" s="92">
        <v>76.378361397860830815091732730</v>
      </c>
      <c r="F16" s="272">
        <v>80.64322103085312075386902061</v>
      </c>
      <c r="G16" s="271">
        <v>198.37177748182134105607064510</v>
      </c>
      <c r="H16" s="92">
        <v>71.913042004632335608140906080</v>
      </c>
      <c r="I16" s="272">
        <v>142.65517966171128270074096032</v>
      </c>
      <c r="J16" s="271">
        <v>0</v>
      </c>
      <c r="K16" s="92">
        <v>0</v>
      </c>
      <c r="L16" s="272">
        <v>0</v>
      </c>
      <c r="M16" s="271">
        <v>107.27297427476284008095592956</v>
      </c>
      <c r="N16" s="92">
        <v>76.333310933365779622056509800</v>
      </c>
      <c r="O16" s="272">
        <v>81.88501300060895906627863527</v>
      </c>
      <c r="P16" s="5"/>
      <c r="Q16" s="271">
        <v>-2.3881376395436538390625828900</v>
      </c>
      <c r="R16" s="92">
        <v>-8.847887401221343935335253190</v>
      </c>
      <c r="S16" s="272">
        <v>-11.024725311430274448321881920</v>
      </c>
      <c r="T16" s="271">
        <v>78.534599740244987140852645110</v>
      </c>
      <c r="U16" s="92">
        <v>-13.658611304017217022138572470</v>
      </c>
      <c r="V16" s="272">
        <v>54.149252707990623679828827560</v>
      </c>
      <c r="W16" s="271">
        <v>0</v>
      </c>
      <c r="X16" s="92">
        <v>0</v>
      </c>
      <c r="Y16" s="272">
        <v>0</v>
      </c>
      <c r="Z16" s="271">
        <v>-0.875023268252534590204871600</v>
      </c>
      <c r="AA16" s="92">
        <v>-8.894923028868001935083567110</v>
      </c>
      <c r="AB16" s="272">
        <v>-9.692113650944501562890223420</v>
      </c>
    </row>
    <row r="17" ht="18.95" customHeight="1">
      <c r="A17" s="58"/>
      <c r="B17" s="288"/>
      <c r="C17" s="289" t="s">
        <v>230</v>
      </c>
      <c r="D17" s="420">
        <v>85.72406417105844947467762015</v>
      </c>
      <c r="E17" s="91">
        <v>77.953521947762359031554201800</v>
      </c>
      <c r="F17" s="421">
        <v>66.824927178143317721056669990</v>
      </c>
      <c r="G17" s="420">
        <v>188.23529411853287197232250759</v>
      </c>
      <c r="H17" s="91">
        <v>92.40060835822120783008140855</v>
      </c>
      <c r="I17" s="421">
        <v>173.93055690953124963505579506</v>
      </c>
      <c r="J17" s="420">
        <v>0</v>
      </c>
      <c r="K17" s="91">
        <v>0</v>
      </c>
      <c r="L17" s="421">
        <v>0</v>
      </c>
      <c r="M17" s="420">
        <v>96.26947777804364824364097520</v>
      </c>
      <c r="N17" s="91">
        <v>83.21877315059752970425237664</v>
      </c>
      <c r="O17" s="421">
        <v>80.11427832537291007069291128</v>
      </c>
      <c r="P17" s="5"/>
      <c r="Q17" s="420">
        <v>-21.597252412855802079551288160</v>
      </c>
      <c r="R17" s="91">
        <v>-11.002826041912570793432215050</v>
      </c>
      <c r="S17" s="421">
        <v>-30.223770341963376464623198720</v>
      </c>
      <c r="T17" s="420">
        <v>-47.095819460458605952474293570</v>
      </c>
      <c r="U17" s="91">
        <v>33.622098408657994072977600590</v>
      </c>
      <c r="V17" s="421">
        <v>-29.308323813906945278466521180</v>
      </c>
      <c r="W17" s="420">
        <v>0</v>
      </c>
      <c r="X17" s="91">
        <v>0</v>
      </c>
      <c r="Y17" s="421">
        <v>0</v>
      </c>
      <c r="Z17" s="420">
        <v>-13.593480501315687629678736110</v>
      </c>
      <c r="AA17" s="91">
        <v>-4.8054497009186050789669439400</v>
      </c>
      <c r="AB17" s="421">
        <v>-17.745702334218437202850716990</v>
      </c>
    </row>
    <row r="18" ht="18.95" customHeight="1">
      <c r="A18" s="58"/>
      <c r="B18" s="286"/>
      <c r="C18" s="287" t="s">
        <v>231</v>
      </c>
      <c r="D18" s="271">
        <v>102.79781729950993095169317429</v>
      </c>
      <c r="E18" s="92">
        <v>73.048602465528099941855166310</v>
      </c>
      <c r="F18" s="272">
        <v>75.092368902433094255156207910</v>
      </c>
      <c r="G18" s="271">
        <v>236.59595465069651817237222198</v>
      </c>
      <c r="H18" s="92">
        <v>71.114586999889093113385184700</v>
      </c>
      <c r="I18" s="272">
        <v>168.25423600924206604808733408</v>
      </c>
      <c r="J18" s="271">
        <v>0</v>
      </c>
      <c r="K18" s="92">
        <v>0</v>
      </c>
      <c r="L18" s="272">
        <v>0</v>
      </c>
      <c r="M18" s="271">
        <v>111.65312318437562081729614945</v>
      </c>
      <c r="N18" s="92">
        <v>72.968819446874461646903355380</v>
      </c>
      <c r="O18" s="272">
        <v>81.47196586315482818890903357</v>
      </c>
      <c r="P18" s="5"/>
      <c r="Q18" s="271">
        <v>-6.9562129148634577584823196400</v>
      </c>
      <c r="R18" s="92">
        <v>-13.491410274721738136497651200</v>
      </c>
      <c r="S18" s="272">
        <v>-19.509131965604663100784946540</v>
      </c>
      <c r="T18" s="271">
        <v>2.6414845827584808543615649100</v>
      </c>
      <c r="U18" s="92">
        <v>4.0838153388987848642586815800</v>
      </c>
      <c r="V18" s="272">
        <v>6.8331732756324568888871907600</v>
      </c>
      <c r="W18" s="271">
        <v>0</v>
      </c>
      <c r="X18" s="92">
        <v>0</v>
      </c>
      <c r="Y18" s="272">
        <v>0</v>
      </c>
      <c r="Z18" s="271">
        <v>-3.5247853553048770118826648800</v>
      </c>
      <c r="AA18" s="92">
        <v>-12.546402228969786748893556700</v>
      </c>
      <c r="AB18" s="272">
        <v>-15.628953835915851659091220810</v>
      </c>
    </row>
    <row r="19" ht="18.95" customHeight="1">
      <c r="A19" s="58"/>
      <c r="B19" s="288"/>
      <c r="C19" s="289" t="s">
        <v>232</v>
      </c>
      <c r="D19" s="420">
        <v>124.39984258159614018409771471</v>
      </c>
      <c r="E19" s="91">
        <v>73.781908194965924749717940580</v>
      </c>
      <c r="F19" s="421">
        <v>91.78457764827815656051261286</v>
      </c>
      <c r="G19" s="420">
        <v>114.92565405607741751452256556</v>
      </c>
      <c r="H19" s="91">
        <v>67.244024350073091161925408130</v>
      </c>
      <c r="I19" s="421">
        <v>77.280634798005489186574330900</v>
      </c>
      <c r="J19" s="420">
        <v>0</v>
      </c>
      <c r="K19" s="91">
        <v>0</v>
      </c>
      <c r="L19" s="421">
        <v>0</v>
      </c>
      <c r="M19" s="420">
        <v>123.37295127110203556222117005</v>
      </c>
      <c r="N19" s="91">
        <v>72.953816363321444989816364480</v>
      </c>
      <c r="O19" s="421">
        <v>90.00527631237094019232051373</v>
      </c>
      <c r="P19" s="5"/>
      <c r="Q19" s="420">
        <v>53.275886711230942932551801750</v>
      </c>
      <c r="R19" s="91">
        <v>-23.159001055385648645227172980</v>
      </c>
      <c r="S19" s="421">
        <v>17.778722490113977086089924690</v>
      </c>
      <c r="T19" s="420">
        <v>-68.639414217582791879832906330</v>
      </c>
      <c r="U19" s="91">
        <v>-9.045882427645009063336587560</v>
      </c>
      <c r="V19" s="421">
        <v>-71.476255936124225154911109440</v>
      </c>
      <c r="W19" s="420">
        <v>0</v>
      </c>
      <c r="X19" s="91">
        <v>0</v>
      </c>
      <c r="Y19" s="421">
        <v>0</v>
      </c>
      <c r="Z19" s="420">
        <v>32.433864001196635578732425630</v>
      </c>
      <c r="AA19" s="91">
        <v>-23.766624213702842583420651850</v>
      </c>
      <c r="AB19" s="421">
        <v>0.9588052124012644236182640700</v>
      </c>
    </row>
    <row r="20" ht="18.95" customHeight="1">
      <c r="A20" s="58"/>
      <c r="B20" s="286"/>
      <c r="C20" s="287" t="s">
        <v>234</v>
      </c>
      <c r="D20" s="271">
        <v>117.27811689209974994716254225</v>
      </c>
      <c r="E20" s="92">
        <v>63.163735479926644407402734090</v>
      </c>
      <c r="F20" s="272">
        <v>74.077239529550185344213749570</v>
      </c>
      <c r="G20" s="271">
        <v>178.79417879245106997291619003</v>
      </c>
      <c r="H20" s="92">
        <v>68.235434212635488954487714620</v>
      </c>
      <c r="I20" s="272">
        <v>122.00098424743481520975748155</v>
      </c>
      <c r="J20" s="271">
        <v>0</v>
      </c>
      <c r="K20" s="92">
        <v>0</v>
      </c>
      <c r="L20" s="272">
        <v>0</v>
      </c>
      <c r="M20" s="271">
        <v>121.10398006437079077702074716</v>
      </c>
      <c r="N20" s="92">
        <v>63.478680436045214370368772910</v>
      </c>
      <c r="O20" s="272">
        <v>76.875208500437850532987024950</v>
      </c>
      <c r="P20" s="5"/>
      <c r="Q20" s="271">
        <v>31.472691717473501208996277420</v>
      </c>
      <c r="R20" s="92">
        <v>-25.149364618108402449787549610</v>
      </c>
      <c r="S20" s="272">
        <v>-1.5918548958167912358588771600</v>
      </c>
      <c r="T20" s="271">
        <v>-64.578511748791334260749676190</v>
      </c>
      <c r="U20" s="92">
        <v>-31.965729067434122942031900650</v>
      </c>
      <c r="V20" s="272">
        <v>-75.901248714424144660100673520</v>
      </c>
      <c r="W20" s="271">
        <v>0</v>
      </c>
      <c r="X20" s="92">
        <v>0</v>
      </c>
      <c r="Y20" s="272">
        <v>0</v>
      </c>
      <c r="Z20" s="271">
        <v>18.264179699971695908353493180</v>
      </c>
      <c r="AA20" s="92">
        <v>-26.892660901471950777036897620</v>
      </c>
      <c r="AB20" s="272">
        <v>-13.540205114610230280802680780</v>
      </c>
    </row>
    <row r="21" ht="18.95" customHeight="1">
      <c r="A21" s="58"/>
      <c r="B21" s="288">
        <v>2025</v>
      </c>
      <c r="C21" s="289" t="s">
        <v>218</v>
      </c>
      <c r="D21" s="420">
        <v>107.05497598945685789816107036</v>
      </c>
      <c r="E21" s="91">
        <v>73.363097882865128777935299480</v>
      </c>
      <c r="F21" s="421">
        <v>78.538846823593260514226749170</v>
      </c>
      <c r="G21" s="420">
        <v>168.61332216089991453707971222</v>
      </c>
      <c r="H21" s="91">
        <v>83.04375851918711116627253065</v>
      </c>
      <c r="I21" s="421">
        <v>140.02284008723565132697381720</v>
      </c>
      <c r="J21" s="420">
        <v>0</v>
      </c>
      <c r="K21" s="91">
        <v>0</v>
      </c>
      <c r="L21" s="421">
        <v>0</v>
      </c>
      <c r="M21" s="420">
        <v>115.00153227694342720086570114</v>
      </c>
      <c r="N21" s="91">
        <v>75.575501413410793450626608370</v>
      </c>
      <c r="O21" s="421">
        <v>86.91298465143907266793512140</v>
      </c>
      <c r="P21" s="5"/>
      <c r="Q21" s="420">
        <v>7.018191779089575091088823700</v>
      </c>
      <c r="R21" s="91">
        <v>-15.644508187855806517017440110</v>
      </c>
      <c r="S21" s="421">
        <v>-9.724277996228177813868353840</v>
      </c>
      <c r="T21" s="420">
        <v>-7.6470883117225295893424872300</v>
      </c>
      <c r="U21" s="91">
        <v>-3.478719519982444310475508300</v>
      </c>
      <c r="V21" s="421">
        <v>-10.859787077408610367858602560</v>
      </c>
      <c r="W21" s="420">
        <v>0</v>
      </c>
      <c r="X21" s="91">
        <v>0</v>
      </c>
      <c r="Y21" s="421">
        <v>0</v>
      </c>
      <c r="Z21" s="420">
        <v>6.854514398814631400113718700</v>
      </c>
      <c r="AA21" s="91">
        <v>-13.236032336195396288191402340</v>
      </c>
      <c r="AB21" s="421">
        <v>-7.2887836796349173329542331400</v>
      </c>
    </row>
    <row r="22" ht="18.95" customHeight="1">
      <c r="A22" s="58"/>
      <c r="B22" s="286"/>
      <c r="C22" s="287" t="s">
        <v>220</v>
      </c>
      <c r="D22" s="271">
        <v>98.25495778522380282893685841</v>
      </c>
      <c r="E22" s="92">
        <v>76.202339368392582516497244500</v>
      </c>
      <c r="F22" s="272">
        <v>74.872576377750422766666662510</v>
      </c>
      <c r="G22" s="271">
        <v>157.25799462687423578065881470</v>
      </c>
      <c r="H22" s="92">
        <v>78.885877052509402078787861540</v>
      </c>
      <c r="I22" s="272">
        <v>124.05434829667831858546766572</v>
      </c>
      <c r="J22" s="271">
        <v>0</v>
      </c>
      <c r="K22" s="92">
        <v>0</v>
      </c>
      <c r="L22" s="272">
        <v>0</v>
      </c>
      <c r="M22" s="271">
        <v>105.57365066058408195095925359</v>
      </c>
      <c r="N22" s="92">
        <v>76.318113458171964346034551340</v>
      </c>
      <c r="O22" s="272">
        <v>80.57181849307462526023663548</v>
      </c>
      <c r="P22" s="5"/>
      <c r="Q22" s="271">
        <v>9.703516567016260908257290220</v>
      </c>
      <c r="R22" s="92">
        <v>-19.025758859468814712299170920</v>
      </c>
      <c r="S22" s="272">
        <v>-11.168409955424324428770208800</v>
      </c>
      <c r="T22" s="271">
        <v>-64.418786424755464419285954320</v>
      </c>
      <c r="U22" s="92">
        <v>7.0361179116330701217638352900</v>
      </c>
      <c r="V22" s="272">
        <v>-61.915250282910458813265371760</v>
      </c>
      <c r="W22" s="271">
        <v>0</v>
      </c>
      <c r="X22" s="92">
        <v>0</v>
      </c>
      <c r="Y22" s="272">
        <v>0</v>
      </c>
      <c r="Z22" s="271">
        <v>-3.3165539907241669428863180700</v>
      </c>
      <c r="AA22" s="92">
        <v>-16.382558270801864642519840590</v>
      </c>
      <c r="AB22" s="272">
        <v>-19.155775871367890516175962890</v>
      </c>
    </row>
    <row r="23" ht="18.95" customHeight="1">
      <c r="A23" s="58"/>
      <c r="B23" s="288"/>
      <c r="C23" s="289" t="s">
        <v>221</v>
      </c>
      <c r="D23" s="420">
        <v>92.33225170330653386515603530</v>
      </c>
      <c r="E23" s="91">
        <v>78.121401697356434412414967970</v>
      </c>
      <c r="F23" s="421">
        <v>72.131249249364834904229905330</v>
      </c>
      <c r="G23" s="420">
        <v>274.10022555653268792490208280</v>
      </c>
      <c r="H23" s="91">
        <v>77.436767524835639352580384370</v>
      </c>
      <c r="I23" s="421">
        <v>212.25435444948031318286890929</v>
      </c>
      <c r="J23" s="420">
        <v>0</v>
      </c>
      <c r="K23" s="91">
        <v>0</v>
      </c>
      <c r="L23" s="421">
        <v>0</v>
      </c>
      <c r="M23" s="420">
        <v>104.37089791928501605920960760</v>
      </c>
      <c r="N23" s="91">
        <v>78.128937917496798733279858980</v>
      </c>
      <c r="O23" s="421">
        <v>81.54387403931053522058979169</v>
      </c>
      <c r="P23" s="5"/>
      <c r="Q23" s="420">
        <v>-8.638614386653045872522057110</v>
      </c>
      <c r="R23" s="91">
        <v>-10.883247744286264307566789060</v>
      </c>
      <c r="S23" s="421">
        <v>-18.581700325571310306486985640</v>
      </c>
      <c r="T23" s="420">
        <v>-34.126230143719934217829425590</v>
      </c>
      <c r="U23" s="91">
        <v>7.993487026972178264662838070</v>
      </c>
      <c r="V23" s="421">
        <v>-28.860618895529113436958520870</v>
      </c>
      <c r="W23" s="420">
        <v>0</v>
      </c>
      <c r="X23" s="91">
        <v>0</v>
      </c>
      <c r="Y23" s="421">
        <v>0</v>
      </c>
      <c r="Z23" s="420">
        <v>-3.9415797224107564048029421800</v>
      </c>
      <c r="AA23" s="91">
        <v>-10.418321624352920745535600320</v>
      </c>
      <c r="AB23" s="421">
        <v>-13.949254894067557075874003820</v>
      </c>
    </row>
    <row r="24" ht="18.95" customHeight="1">
      <c r="A24" s="59"/>
      <c r="B24" s="286"/>
      <c r="C24" s="287" t="s">
        <v>223</v>
      </c>
      <c r="D24" s="271">
        <v>97.32832502659468262878539587</v>
      </c>
      <c r="E24" s="92">
        <v>76.671325975515072874183464190</v>
      </c>
      <c r="F24" s="272">
        <v>74.622917347659438146459016730</v>
      </c>
      <c r="G24" s="271">
        <v>317.09581362709231646209242718</v>
      </c>
      <c r="H24" s="92">
        <v>67.045723965452854526453537690</v>
      </c>
      <c r="I24" s="272">
        <v>212.59918391101425139692264279</v>
      </c>
      <c r="J24" s="271">
        <v>0</v>
      </c>
      <c r="K24" s="92">
        <v>0</v>
      </c>
      <c r="L24" s="272">
        <v>0</v>
      </c>
      <c r="M24" s="271">
        <v>105.69995896426635614248296614</v>
      </c>
      <c r="N24" s="92">
        <v>76.674501439905894860620777030</v>
      </c>
      <c r="O24" s="272">
        <v>81.04491655807562624089926505</v>
      </c>
      <c r="P24" s="93"/>
      <c r="Q24" s="271">
        <v>-14.019154600820169733865248610</v>
      </c>
      <c r="R24" s="92">
        <v>-9.674432603850438318784013320</v>
      </c>
      <c r="S24" s="272">
        <v>-22.337313541212562148060964310</v>
      </c>
      <c r="T24" s="271">
        <v>237.99578892509678705469905663</v>
      </c>
      <c r="U24" s="92">
        <v>0.4737691542525637229781386200</v>
      </c>
      <c r="V24" s="272">
        <v>239.59710871590734610470013757</v>
      </c>
      <c r="W24" s="271">
        <v>0</v>
      </c>
      <c r="X24" s="92">
        <v>0</v>
      </c>
      <c r="Y24" s="272">
        <v>0</v>
      </c>
      <c r="Z24" s="271">
        <v>-5.9286572634084491403949800400</v>
      </c>
      <c r="AA24" s="92">
        <v>-8.494080225565716331614933060</v>
      </c>
      <c r="AB24" s="272">
        <v>-13.919152584680081343205204820</v>
      </c>
    </row>
    <row r="25" ht="18.95" customHeight="1">
      <c r="A25" s="60"/>
      <c r="B25" s="288"/>
      <c r="C25" s="289" t="s">
        <v>224</v>
      </c>
      <c r="D25" s="420">
        <v>100.76169138051747304010227182</v>
      </c>
      <c r="E25" s="91">
        <v>78.733024704418878276954902330</v>
      </c>
      <c r="F25" s="421">
        <v>79.33272736718790433923879259</v>
      </c>
      <c r="G25" s="420">
        <v>254.95436290452368281451069197</v>
      </c>
      <c r="H25" s="91">
        <v>59.889814262423547574412694840</v>
      </c>
      <c r="I25" s="421">
        <v>152.69169439807550119413270765</v>
      </c>
      <c r="J25" s="420">
        <v>0</v>
      </c>
      <c r="K25" s="91">
        <v>0</v>
      </c>
      <c r="L25" s="421">
        <v>0</v>
      </c>
      <c r="M25" s="420">
        <v>108.79861158685716774693036657</v>
      </c>
      <c r="N25" s="91">
        <v>78.290431144847493358975306030</v>
      </c>
      <c r="O25" s="421">
        <v>85.17890209093810228510327779</v>
      </c>
      <c r="P25" s="93"/>
      <c r="Q25" s="420">
        <v>-7.5221797733173964742193911100</v>
      </c>
      <c r="R25" s="91">
        <v>6.3695946267534208672338593500</v>
      </c>
      <c r="S25" s="421">
        <v>-1.6317175052866290415271533700</v>
      </c>
      <c r="T25" s="420">
        <v>-70.518472693150068214517917250</v>
      </c>
      <c r="U25" s="91">
        <v>-57.473449155848717174739451120</v>
      </c>
      <c r="V25" s="421">
        <v>-87.46252330030838869320965576</v>
      </c>
      <c r="W25" s="420">
        <v>0</v>
      </c>
      <c r="X25" s="91">
        <v>0</v>
      </c>
      <c r="Y25" s="421">
        <v>0</v>
      </c>
      <c r="Z25" s="420">
        <v>-8.845649957680113669797790340</v>
      </c>
      <c r="AA25" s="91">
        <v>-3.0504013824078774172712709400</v>
      </c>
      <c r="AB25" s="421">
        <v>-11.626223511558043793720019220</v>
      </c>
    </row>
    <row r="26" ht="18.95" customHeight="1">
      <c r="A26" s="60"/>
      <c r="B26" s="290"/>
      <c r="C26" s="291" t="s">
        <v>225</v>
      </c>
      <c r="D26" s="273">
        <v>114.41774257026975112114191275</v>
      </c>
      <c r="E26" s="274">
        <v>79.77578348942497312150276826</v>
      </c>
      <c r="F26" s="275">
        <v>91.27765058634885447132685800</v>
      </c>
      <c r="G26" s="273">
        <v>68.409090910527500000030168370</v>
      </c>
      <c r="H26" s="274">
        <v>80.52405011360328380143503851</v>
      </c>
      <c r="I26" s="275">
        <v>55.085770646001990995913226450</v>
      </c>
      <c r="J26" s="273">
        <v>0</v>
      </c>
      <c r="K26" s="274">
        <v>0</v>
      </c>
      <c r="L26" s="275">
        <v>0</v>
      </c>
      <c r="M26" s="273">
        <v>112.92577170156519865270297972</v>
      </c>
      <c r="N26" s="274">
        <v>79.59248663201299986124713456</v>
      </c>
      <c r="O26" s="275">
        <v>89.88042974573302961628934566</v>
      </c>
      <c r="P26" s="184"/>
      <c r="Q26" s="273">
        <v>16.754023747213614491956091910</v>
      </c>
      <c r="R26" s="274">
        <v>3.626704208442928843164401800</v>
      </c>
      <c r="S26" s="275">
        <v>20.988346839934652699940748110</v>
      </c>
      <c r="T26" s="273">
        <v>-95.68788501045229056072562736</v>
      </c>
      <c r="U26" s="274">
        <v>7.5489437866605917249078961400</v>
      </c>
      <c r="V26" s="275">
        <v>-95.36236587365079575232977464</v>
      </c>
      <c r="W26" s="273">
        <v>0</v>
      </c>
      <c r="X26" s="274">
        <v>0</v>
      </c>
      <c r="Y26" s="275">
        <v>0</v>
      </c>
      <c r="Z26" s="273">
        <v>-1.7417270968231275874956175900</v>
      </c>
      <c r="AA26" s="274">
        <v>3.8981354120291366815442046700</v>
      </c>
      <c r="AB26" s="275">
        <v>2.0885134345104672693473879600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v>110.86039183912133757128282740</v>
      </c>
      <c r="E29" s="428">
        <v>80.72717639777002481508012779</v>
      </c>
      <c r="F29" s="429">
        <v>89.49446407520791472240970836</v>
      </c>
      <c r="G29" s="427">
        <v>267.27030374268986724569462747</v>
      </c>
      <c r="H29" s="428">
        <v>76.322089764218336414953117750</v>
      </c>
      <c r="I29" s="429">
        <v>203.98628113719043174673629138</v>
      </c>
      <c r="J29" s="427">
        <v>0</v>
      </c>
      <c r="K29" s="428">
        <v>0</v>
      </c>
      <c r="L29" s="429">
        <v>0</v>
      </c>
      <c r="M29" s="427">
        <v>119.88135993272120895117871590</v>
      </c>
      <c r="N29" s="428">
        <v>80.97190900509916520275952721</v>
      </c>
      <c r="O29" s="429">
        <v>97.07022567882787726135336944</v>
      </c>
      <c r="P29" s="5"/>
      <c r="Q29" s="427">
        <v>-8.788720945820514124341578550</v>
      </c>
      <c r="R29" s="428">
        <v>-0.3404698083204860755601413900</v>
      </c>
      <c r="S29" s="429">
        <v>-9.099267812780670222118161050</v>
      </c>
      <c r="T29" s="427">
        <v>-45.295762120842525318549334700</v>
      </c>
      <c r="U29" s="428">
        <v>-14.410301414308788733920536360</v>
      </c>
      <c r="V29" s="429">
        <v>-53.178807684858134655454915430</v>
      </c>
      <c r="W29" s="427">
        <v>0</v>
      </c>
      <c r="X29" s="428">
        <v>0</v>
      </c>
      <c r="Y29" s="429">
        <v>0</v>
      </c>
      <c r="Z29" s="427">
        <v>-12.216480185350200927984766530</v>
      </c>
      <c r="AA29" s="428">
        <v>-0.1010552716195721950935394700</v>
      </c>
      <c r="AB29" s="429">
        <v>-12.305190059685096382890861230</v>
      </c>
    </row>
    <row r="30" ht="18.95" customHeight="1">
      <c r="A30" s="58"/>
      <c r="B30" s="286">
        <v>2024</v>
      </c>
      <c r="C30" s="287"/>
      <c r="D30" s="271">
        <v>101.51785549897667055746239940</v>
      </c>
      <c r="E30" s="92">
        <v>84.10715398557780629226070265</v>
      </c>
      <c r="F30" s="272">
        <v>85.38377904738809015299752417</v>
      </c>
      <c r="G30" s="271">
        <v>333.19606171829246224049277625</v>
      </c>
      <c r="H30" s="92">
        <v>77.287171041525875412440031890</v>
      </c>
      <c r="I30" s="272">
        <v>257.51781012167054486678876278</v>
      </c>
      <c r="J30" s="271">
        <v>0</v>
      </c>
      <c r="K30" s="92">
        <v>0</v>
      </c>
      <c r="L30" s="272">
        <v>0</v>
      </c>
      <c r="M30" s="271">
        <v>111.29823712510149719893112527</v>
      </c>
      <c r="N30" s="92">
        <v>84.51009558095186232827723004</v>
      </c>
      <c r="O30" s="272">
        <v>94.05824657431689452029557825</v>
      </c>
      <c r="P30" s="5"/>
      <c r="Q30" s="271">
        <v>-8.427298681825744420599941030</v>
      </c>
      <c r="R30" s="92">
        <v>4.1869141701702308071863240900</v>
      </c>
      <c r="S30" s="272">
        <v>-4.5932282742738167410540227800</v>
      </c>
      <c r="T30" s="271">
        <v>24.666323587920531879296363870</v>
      </c>
      <c r="U30" s="92">
        <v>1.2644848697245197756644891700</v>
      </c>
      <c r="V30" s="272">
        <v>26.242710385246714811291779990</v>
      </c>
      <c r="W30" s="271">
        <v>0</v>
      </c>
      <c r="X30" s="92">
        <v>0</v>
      </c>
      <c r="Y30" s="272">
        <v>0</v>
      </c>
      <c r="Z30" s="271">
        <v>-7.1596808815123285507660839400</v>
      </c>
      <c r="AA30" s="92">
        <v>4.3696469792122726566041614900</v>
      </c>
      <c r="AB30" s="272">
        <v>-3.1028866816994713717088943400</v>
      </c>
    </row>
    <row r="31" ht="18.95" customHeight="1">
      <c r="A31" s="58"/>
      <c r="B31" s="425">
        <v>2025</v>
      </c>
      <c r="C31" s="426"/>
      <c r="D31" s="430">
        <v>101.22760687110331382639348791</v>
      </c>
      <c r="E31" s="431">
        <v>76.126220341329989900240497340</v>
      </c>
      <c r="F31" s="432">
        <v>77.060751052942288380551625080</v>
      </c>
      <c r="G31" s="430">
        <v>199.63826918304052115826120928</v>
      </c>
      <c r="H31" s="431">
        <v>76.125719207105352556717753580</v>
      </c>
      <c r="I31" s="432">
        <v>151.97606822772560383343216506</v>
      </c>
      <c r="J31" s="430">
        <v>0</v>
      </c>
      <c r="K31" s="431">
        <v>0</v>
      </c>
      <c r="L31" s="432">
        <v>0</v>
      </c>
      <c r="M31" s="430">
        <v>108.52110033772140793548516211</v>
      </c>
      <c r="N31" s="431">
        <v>76.894831120464472657484939740</v>
      </c>
      <c r="O31" s="432">
        <v>83.44711683472835868388078055</v>
      </c>
      <c r="P31" s="184"/>
      <c r="Q31" s="430">
        <v>-0.2859089432789931846415944300</v>
      </c>
      <c r="R31" s="431">
        <v>-9.489006899028383594122789960</v>
      </c>
      <c r="S31" s="432">
        <v>-9.747785922941242846576544490</v>
      </c>
      <c r="T31" s="430">
        <v>-40.083844882949327857604465710</v>
      </c>
      <c r="U31" s="431">
        <v>-1.5027744174657344619768352200</v>
      </c>
      <c r="V31" s="432">
        <v>-40.984249533691112270668095270</v>
      </c>
      <c r="W31" s="430">
        <v>0</v>
      </c>
      <c r="X31" s="431">
        <v>0</v>
      </c>
      <c r="Y31" s="432">
        <v>0</v>
      </c>
      <c r="Z31" s="430">
        <v>-2.4952208221025736607710311200</v>
      </c>
      <c r="AA31" s="431">
        <v>-9.011070698927987930605746430</v>
      </c>
      <c r="AB31" s="432">
        <v>-11.281445408605961389600209200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v>115.94067419057985004094039889</v>
      </c>
      <c r="E34" s="428">
        <v>79.031651281771103601062178750</v>
      </c>
      <c r="F34" s="429">
        <v>91.62982931996822935826796699</v>
      </c>
      <c r="G34" s="427">
        <v>214.24049103275080336231437182</v>
      </c>
      <c r="H34" s="428">
        <v>86.42944513994184770793359010</v>
      </c>
      <c r="I34" s="429">
        <v>185.16686766196014058348861058</v>
      </c>
      <c r="J34" s="427">
        <v>0</v>
      </c>
      <c r="K34" s="428">
        <v>0</v>
      </c>
      <c r="L34" s="429">
        <v>0</v>
      </c>
      <c r="M34" s="427">
        <v>121.48994197935823800085188841</v>
      </c>
      <c r="N34" s="428">
        <v>80.45746618001330030071968467</v>
      </c>
      <c r="O34" s="429">
        <v>97.74772898020169350481653834</v>
      </c>
      <c r="P34" s="5"/>
      <c r="Q34" s="427">
        <v>4.5519802954685784186686762100</v>
      </c>
      <c r="R34" s="428">
        <v>-7.7321289117302380568925912800</v>
      </c>
      <c r="S34" s="429">
        <v>-3.5321136007772984364191102500</v>
      </c>
      <c r="T34" s="427">
        <v>-50.464915055508992248215942670</v>
      </c>
      <c r="U34" s="428">
        <v>-23.224942685004677162619553460</v>
      </c>
      <c r="V34" s="429">
        <v>-61.969410143401471229532828890</v>
      </c>
      <c r="W34" s="427">
        <v>0</v>
      </c>
      <c r="X34" s="428">
        <v>0</v>
      </c>
      <c r="Y34" s="429">
        <v>0</v>
      </c>
      <c r="Z34" s="427">
        <v>-3.6944626371432876509511993700</v>
      </c>
      <c r="AA34" s="428">
        <v>-8.463136041463429670977082750</v>
      </c>
      <c r="AB34" s="429">
        <v>-11.844931279626617045642241990</v>
      </c>
    </row>
    <row r="35" ht="18.95" customHeight="1">
      <c r="A35" s="58"/>
      <c r="B35" s="286">
        <v>2024</v>
      </c>
      <c r="C35" s="287"/>
      <c r="D35" s="271">
        <v>106.67278448313486325480411956</v>
      </c>
      <c r="E35" s="92">
        <v>79.116892732290164949884426920</v>
      </c>
      <c r="F35" s="272">
        <v>84.39619247402420999133348311</v>
      </c>
      <c r="G35" s="271">
        <v>439.17414395833356319286357275</v>
      </c>
      <c r="H35" s="92">
        <v>72.117815795877849636751289600</v>
      </c>
      <c r="I35" s="272">
        <v>316.72280016992974492252724601</v>
      </c>
      <c r="J35" s="271">
        <v>0</v>
      </c>
      <c r="K35" s="92">
        <v>0</v>
      </c>
      <c r="L35" s="272">
        <v>0</v>
      </c>
      <c r="M35" s="271">
        <v>114.85609196319806495614607781</v>
      </c>
      <c r="N35" s="92">
        <v>80.06596045292621662862159291</v>
      </c>
      <c r="O35" s="272">
        <v>91.96063316901924035331341184</v>
      </c>
      <c r="P35" s="5"/>
      <c r="Q35" s="271">
        <v>-7.993648279316750500189565900</v>
      </c>
      <c r="R35" s="92">
        <v>0.1078573572836317402241194200</v>
      </c>
      <c r="S35" s="272">
        <v>-7.8944126597831689693106119300</v>
      </c>
      <c r="T35" s="271">
        <v>104.99119556774001747720268575</v>
      </c>
      <c r="U35" s="92">
        <v>-16.558742591551374045810820730</v>
      </c>
      <c r="V35" s="272">
        <v>71.047231164524198928838089110</v>
      </c>
      <c r="W35" s="271">
        <v>0</v>
      </c>
      <c r="X35" s="92">
        <v>0</v>
      </c>
      <c r="Y35" s="272">
        <v>0</v>
      </c>
      <c r="Z35" s="271">
        <v>-5.4604108851470022812211110100</v>
      </c>
      <c r="AA35" s="92">
        <v>-0.4865996229584263193837595100</v>
      </c>
      <c r="AB35" s="272">
        <v>-5.9204401693598495779066523100</v>
      </c>
    </row>
    <row r="36" ht="18.95" customHeight="1">
      <c r="A36" s="58"/>
      <c r="B36" s="425">
        <v>2025</v>
      </c>
      <c r="C36" s="426"/>
      <c r="D36" s="430">
        <v>103.65329559190849325220740742</v>
      </c>
      <c r="E36" s="431">
        <v>77.190140602252202515970039770</v>
      </c>
      <c r="F36" s="432">
        <v>80.01012460623483401130217688</v>
      </c>
      <c r="G36" s="430">
        <v>231.70768625347782795716729039</v>
      </c>
      <c r="H36" s="431">
        <v>68.853302443042303442268996380</v>
      </c>
      <c r="I36" s="432">
        <v>159.53839399940877123218681130</v>
      </c>
      <c r="J36" s="430">
        <v>0</v>
      </c>
      <c r="K36" s="431">
        <v>0</v>
      </c>
      <c r="L36" s="432">
        <v>0</v>
      </c>
      <c r="M36" s="430">
        <v>108.89678921262728252021040054</v>
      </c>
      <c r="N36" s="431">
        <v>77.516161000327733401790944270</v>
      </c>
      <c r="O36" s="432">
        <v>84.41261045021401839197822862</v>
      </c>
      <c r="P36" s="184"/>
      <c r="Q36" s="430">
        <v>-2.8306084872752895862975401400</v>
      </c>
      <c r="R36" s="431">
        <v>-2.4353233089767036000271089600</v>
      </c>
      <c r="S36" s="432">
        <v>-5.1969973279498187006063999700</v>
      </c>
      <c r="T36" s="430">
        <v>-47.240134820988302139933090320</v>
      </c>
      <c r="U36" s="431">
        <v>-4.5266392455597480349633013800</v>
      </c>
      <c r="V36" s="432">
        <v>-49.628383585322119233711910900</v>
      </c>
      <c r="W36" s="430">
        <v>0</v>
      </c>
      <c r="X36" s="431">
        <v>0</v>
      </c>
      <c r="Y36" s="432">
        <v>0</v>
      </c>
      <c r="Z36" s="430">
        <v>-5.1884951409299941109365250700</v>
      </c>
      <c r="AA36" s="431">
        <v>-3.1846235755483434215372030400</v>
      </c>
      <c r="AB36" s="432">
        <v>-8.207884677038550293391979350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v>114.08522957577898476916878146</v>
      </c>
      <c r="E39" s="428">
        <v>82.88700553558534214659612840</v>
      </c>
      <c r="F39" s="429">
        <v>94.56183055383807485461505351</v>
      </c>
      <c r="G39" s="427">
        <v>251.96158766673979192173172749</v>
      </c>
      <c r="H39" s="428">
        <v>78.794356048715587744391204780</v>
      </c>
      <c r="I39" s="429">
        <v>198.53151049361107144650065606</v>
      </c>
      <c r="J39" s="427">
        <v>0</v>
      </c>
      <c r="K39" s="428">
        <v>0</v>
      </c>
      <c r="L39" s="429">
        <v>0</v>
      </c>
      <c r="M39" s="427">
        <v>120.84044018336276279629529115</v>
      </c>
      <c r="N39" s="428">
        <v>83.15635785213167438049378816</v>
      </c>
      <c r="O39" s="429">
        <v>100.48650886893183349853771864</v>
      </c>
      <c r="P39" s="5"/>
      <c r="Q39" s="427">
        <v>-9.823203571584916787287337530</v>
      </c>
      <c r="R39" s="428">
        <v>2.577496864353538498592975500</v>
      </c>
      <c r="S39" s="429">
        <v>-7.4988994710968901495385867800</v>
      </c>
      <c r="T39" s="427">
        <v>-27.397737059650958165755121130</v>
      </c>
      <c r="U39" s="428">
        <v>-16.135434863878043303093938230</v>
      </c>
      <c r="V39" s="429">
        <v>-39.112427906192778278511489240</v>
      </c>
      <c r="W39" s="427">
        <v>0</v>
      </c>
      <c r="X39" s="428">
        <v>0</v>
      </c>
      <c r="Y39" s="429">
        <v>0</v>
      </c>
      <c r="Z39" s="427">
        <v>-10.444152850395672666204650690</v>
      </c>
      <c r="AA39" s="428">
        <v>1.9209238322177195190226562900</v>
      </c>
      <c r="AB39" s="429">
        <v>-8.723853239514541161883224480</v>
      </c>
    </row>
    <row r="40" ht="18.95" customHeight="1">
      <c r="A40" s="58"/>
      <c r="B40" s="286">
        <v>2024</v>
      </c>
      <c r="C40" s="287"/>
      <c r="D40" s="271">
        <v>102.42730112468592991927561674</v>
      </c>
      <c r="E40" s="92">
        <v>84.34175553928945503056880677</v>
      </c>
      <c r="F40" s="272">
        <v>86.38898392005607659115137973</v>
      </c>
      <c r="G40" s="271">
        <v>330.69496397612278375601342539</v>
      </c>
      <c r="H40" s="92">
        <v>81.44968922302920413080165484</v>
      </c>
      <c r="I40" s="272">
        <v>269.35002043153317490998443096</v>
      </c>
      <c r="J40" s="271">
        <v>0</v>
      </c>
      <c r="K40" s="92">
        <v>0</v>
      </c>
      <c r="L40" s="272">
        <v>0</v>
      </c>
      <c r="M40" s="271">
        <v>110.31800495338714725511844140</v>
      </c>
      <c r="N40" s="92">
        <v>85.42079787930725476804098812</v>
      </c>
      <c r="O40" s="272">
        <v>94.23452003564092066631759814</v>
      </c>
      <c r="P40" s="5"/>
      <c r="Q40" s="271">
        <v>-10.218613307315441035054655310</v>
      </c>
      <c r="R40" s="92">
        <v>1.7551002045364509612472732300</v>
      </c>
      <c r="S40" s="272">
        <v>-8.642860005860466846288142770</v>
      </c>
      <c r="T40" s="271">
        <v>31.248166452091468220479023560</v>
      </c>
      <c r="U40" s="92">
        <v>3.3699535188637581695762633200</v>
      </c>
      <c r="V40" s="272">
        <v>35.671168653207889487039255610</v>
      </c>
      <c r="W40" s="271">
        <v>0</v>
      </c>
      <c r="X40" s="92">
        <v>0</v>
      </c>
      <c r="Y40" s="272">
        <v>0</v>
      </c>
      <c r="Z40" s="271">
        <v>-8.707710112643509406530928180</v>
      </c>
      <c r="AA40" s="92">
        <v>2.7231111194585218772088863900</v>
      </c>
      <c r="AB40" s="272">
        <v>-6.22171961553142795481541100</v>
      </c>
    </row>
    <row r="41" ht="18.95" customHeight="1">
      <c r="A41" s="58"/>
      <c r="B41" s="425">
        <v>2025</v>
      </c>
      <c r="C41" s="426"/>
      <c r="D41" s="430">
        <v>103.80914123094589342036074773</v>
      </c>
      <c r="E41" s="431">
        <v>74.393934680147326900172503890</v>
      </c>
      <c r="F41" s="432">
        <v>77.227704719370864110510167740</v>
      </c>
      <c r="G41" s="430">
        <v>187.33302168303560689947629019</v>
      </c>
      <c r="H41" s="431">
        <v>77.469849211137179848072872620</v>
      </c>
      <c r="I41" s="432">
        <v>145.12660941914162471754904860</v>
      </c>
      <c r="J41" s="430">
        <v>0</v>
      </c>
      <c r="K41" s="431">
        <v>0</v>
      </c>
      <c r="L41" s="432">
        <v>0</v>
      </c>
      <c r="M41" s="430">
        <v>109.65665482053342747912169645</v>
      </c>
      <c r="N41" s="431">
        <v>75.31246004939612846070627400</v>
      </c>
      <c r="O41" s="432">
        <v>82.58512435327342851846182677</v>
      </c>
      <c r="P41" s="184"/>
      <c r="Q41" s="430">
        <v>1.3490935434914698881179001100</v>
      </c>
      <c r="R41" s="431">
        <v>-11.794657101389563629584871050</v>
      </c>
      <c r="S41" s="432">
        <v>-10.604684515333898147524940080</v>
      </c>
      <c r="T41" s="430">
        <v>-43.351716206789727004716786240</v>
      </c>
      <c r="U41" s="431">
        <v>-4.8862556135315263557996195700</v>
      </c>
      <c r="V41" s="432">
        <v>-46.119696153485300049415953890</v>
      </c>
      <c r="W41" s="430">
        <v>0</v>
      </c>
      <c r="X41" s="431">
        <v>0</v>
      </c>
      <c r="Y41" s="432">
        <v>0</v>
      </c>
      <c r="Z41" s="430">
        <v>-0.5994942830464862528813552600</v>
      </c>
      <c r="AA41" s="431">
        <v>-11.833579269754658248319804390</v>
      </c>
      <c r="AB41" s="432">
        <v>-12.362131921429272964418296030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5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149</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218</v>
      </c>
      <c r="D9" s="415" t="s">
        <v>237</v>
      </c>
      <c r="E9" s="416" t="s">
        <v>219</v>
      </c>
      <c r="F9" s="417" t="s">
        <v>219</v>
      </c>
      <c r="G9" s="415" t="s">
        <v>222</v>
      </c>
      <c r="H9" s="416" t="s">
        <v>219</v>
      </c>
      <c r="I9" s="417" t="s">
        <v>219</v>
      </c>
      <c r="J9" s="415" t="s">
        <v>265</v>
      </c>
      <c r="K9" s="416" t="s">
        <v>265</v>
      </c>
      <c r="L9" s="417" t="s">
        <v>265</v>
      </c>
      <c r="M9" s="415" t="s">
        <v>219</v>
      </c>
      <c r="N9" s="416" t="s">
        <v>219</v>
      </c>
      <c r="O9" s="417" t="s">
        <v>219</v>
      </c>
      <c r="P9" s="5"/>
      <c r="Q9" s="415" t="s">
        <v>226</v>
      </c>
      <c r="R9" s="416" t="s">
        <v>226</v>
      </c>
      <c r="S9" s="417" t="s">
        <v>226</v>
      </c>
      <c r="T9" s="415" t="s">
        <v>240</v>
      </c>
      <c r="U9" s="416" t="s">
        <v>226</v>
      </c>
      <c r="V9" s="417" t="s">
        <v>240</v>
      </c>
      <c r="W9" s="415"/>
      <c r="X9" s="416"/>
      <c r="Y9" s="417"/>
      <c r="Z9" s="415" t="s">
        <v>235</v>
      </c>
      <c r="AA9" s="416" t="s">
        <v>236</v>
      </c>
      <c r="AB9" s="417" t="s">
        <v>235</v>
      </c>
    </row>
    <row r="10" ht="18.95" customHeight="1">
      <c r="A10" s="58"/>
      <c r="B10" s="286"/>
      <c r="C10" s="287" t="s">
        <v>220</v>
      </c>
      <c r="D10" s="271" t="s">
        <v>235</v>
      </c>
      <c r="E10" s="92" t="s">
        <v>219</v>
      </c>
      <c r="F10" s="272" t="s">
        <v>219</v>
      </c>
      <c r="G10" s="271" t="s">
        <v>222</v>
      </c>
      <c r="H10" s="92" t="s">
        <v>219</v>
      </c>
      <c r="I10" s="272" t="s">
        <v>222</v>
      </c>
      <c r="J10" s="271" t="s">
        <v>265</v>
      </c>
      <c r="K10" s="92" t="s">
        <v>265</v>
      </c>
      <c r="L10" s="272" t="s">
        <v>265</v>
      </c>
      <c r="M10" s="271" t="s">
        <v>219</v>
      </c>
      <c r="N10" s="92" t="s">
        <v>219</v>
      </c>
      <c r="O10" s="272" t="s">
        <v>219</v>
      </c>
      <c r="P10" s="5"/>
      <c r="Q10" s="271" t="s">
        <v>239</v>
      </c>
      <c r="R10" s="92" t="s">
        <v>233</v>
      </c>
      <c r="S10" s="272" t="s">
        <v>239</v>
      </c>
      <c r="T10" s="271" t="s">
        <v>226</v>
      </c>
      <c r="U10" s="92" t="s">
        <v>226</v>
      </c>
      <c r="V10" s="272" t="s">
        <v>226</v>
      </c>
      <c r="W10" s="271"/>
      <c r="X10" s="92"/>
      <c r="Y10" s="272"/>
      <c r="Z10" s="271" t="s">
        <v>237</v>
      </c>
      <c r="AA10" s="92" t="s">
        <v>222</v>
      </c>
      <c r="AB10" s="272" t="s">
        <v>236</v>
      </c>
    </row>
    <row r="11" ht="18.95" customHeight="1">
      <c r="A11" s="58"/>
      <c r="B11" s="288"/>
      <c r="C11" s="289" t="s">
        <v>221</v>
      </c>
      <c r="D11" s="420" t="s">
        <v>219</v>
      </c>
      <c r="E11" s="91" t="s">
        <v>219</v>
      </c>
      <c r="F11" s="421" t="s">
        <v>219</v>
      </c>
      <c r="G11" s="420" t="s">
        <v>222</v>
      </c>
      <c r="H11" s="91" t="s">
        <v>236</v>
      </c>
      <c r="I11" s="421" t="s">
        <v>222</v>
      </c>
      <c r="J11" s="420" t="s">
        <v>265</v>
      </c>
      <c r="K11" s="91" t="s">
        <v>265</v>
      </c>
      <c r="L11" s="421" t="s">
        <v>265</v>
      </c>
      <c r="M11" s="420" t="s">
        <v>222</v>
      </c>
      <c r="N11" s="91" t="s">
        <v>219</v>
      </c>
      <c r="O11" s="421" t="s">
        <v>219</v>
      </c>
      <c r="P11" s="5"/>
      <c r="Q11" s="420" t="s">
        <v>226</v>
      </c>
      <c r="R11" s="91" t="s">
        <v>226</v>
      </c>
      <c r="S11" s="421" t="s">
        <v>233</v>
      </c>
      <c r="T11" s="420" t="s">
        <v>240</v>
      </c>
      <c r="U11" s="91" t="s">
        <v>226</v>
      </c>
      <c r="V11" s="421" t="s">
        <v>227</v>
      </c>
      <c r="W11" s="420"/>
      <c r="X11" s="91"/>
      <c r="Y11" s="421"/>
      <c r="Z11" s="420" t="s">
        <v>238</v>
      </c>
      <c r="AA11" s="91" t="s">
        <v>219</v>
      </c>
      <c r="AB11" s="421" t="s">
        <v>219</v>
      </c>
    </row>
    <row r="12" ht="18.95" customHeight="1">
      <c r="A12" s="58"/>
      <c r="B12" s="286"/>
      <c r="C12" s="287" t="s">
        <v>223</v>
      </c>
      <c r="D12" s="271" t="s">
        <v>222</v>
      </c>
      <c r="E12" s="92" t="s">
        <v>219</v>
      </c>
      <c r="F12" s="272" t="s">
        <v>219</v>
      </c>
      <c r="G12" s="271" t="s">
        <v>236</v>
      </c>
      <c r="H12" s="92" t="s">
        <v>219</v>
      </c>
      <c r="I12" s="272" t="s">
        <v>236</v>
      </c>
      <c r="J12" s="271" t="s">
        <v>265</v>
      </c>
      <c r="K12" s="92" t="s">
        <v>265</v>
      </c>
      <c r="L12" s="272" t="s">
        <v>265</v>
      </c>
      <c r="M12" s="271" t="s">
        <v>222</v>
      </c>
      <c r="N12" s="92" t="s">
        <v>219</v>
      </c>
      <c r="O12" s="272" t="s">
        <v>219</v>
      </c>
      <c r="P12" s="5"/>
      <c r="Q12" s="271" t="s">
        <v>226</v>
      </c>
      <c r="R12" s="92" t="s">
        <v>233</v>
      </c>
      <c r="S12" s="272" t="s">
        <v>233</v>
      </c>
      <c r="T12" s="271" t="s">
        <v>240</v>
      </c>
      <c r="U12" s="92" t="s">
        <v>233</v>
      </c>
      <c r="V12" s="272" t="s">
        <v>240</v>
      </c>
      <c r="W12" s="271"/>
      <c r="X12" s="92"/>
      <c r="Y12" s="272"/>
      <c r="Z12" s="271" t="s">
        <v>236</v>
      </c>
      <c r="AA12" s="92" t="s">
        <v>222</v>
      </c>
      <c r="AB12" s="272" t="s">
        <v>219</v>
      </c>
    </row>
    <row r="13" ht="18.95" customHeight="1">
      <c r="A13" s="58"/>
      <c r="B13" s="288"/>
      <c r="C13" s="289" t="s">
        <v>224</v>
      </c>
      <c r="D13" s="420" t="s">
        <v>236</v>
      </c>
      <c r="E13" s="91" t="s">
        <v>236</v>
      </c>
      <c r="F13" s="421" t="s">
        <v>236</v>
      </c>
      <c r="G13" s="420" t="s">
        <v>222</v>
      </c>
      <c r="H13" s="91" t="s">
        <v>219</v>
      </c>
      <c r="I13" s="421" t="s">
        <v>222</v>
      </c>
      <c r="J13" s="420" t="s">
        <v>265</v>
      </c>
      <c r="K13" s="91" t="s">
        <v>265</v>
      </c>
      <c r="L13" s="421" t="s">
        <v>265</v>
      </c>
      <c r="M13" s="420" t="s">
        <v>219</v>
      </c>
      <c r="N13" s="91" t="s">
        <v>219</v>
      </c>
      <c r="O13" s="421" t="s">
        <v>219</v>
      </c>
      <c r="P13" s="5"/>
      <c r="Q13" s="420" t="s">
        <v>227</v>
      </c>
      <c r="R13" s="91" t="s">
        <v>240</v>
      </c>
      <c r="S13" s="421" t="s">
        <v>227</v>
      </c>
      <c r="T13" s="420" t="s">
        <v>233</v>
      </c>
      <c r="U13" s="91" t="s">
        <v>226</v>
      </c>
      <c r="V13" s="421" t="s">
        <v>233</v>
      </c>
      <c r="W13" s="420"/>
      <c r="X13" s="91"/>
      <c r="Y13" s="421"/>
      <c r="Z13" s="420" t="s">
        <v>238</v>
      </c>
      <c r="AA13" s="91" t="s">
        <v>238</v>
      </c>
      <c r="AB13" s="421" t="s">
        <v>238</v>
      </c>
    </row>
    <row r="14" ht="18.95" customHeight="1">
      <c r="A14" s="58"/>
      <c r="B14" s="286"/>
      <c r="C14" s="287" t="s">
        <v>225</v>
      </c>
      <c r="D14" s="271" t="s">
        <v>227</v>
      </c>
      <c r="E14" s="92" t="s">
        <v>227</v>
      </c>
      <c r="F14" s="272" t="s">
        <v>227</v>
      </c>
      <c r="G14" s="271" t="s">
        <v>233</v>
      </c>
      <c r="H14" s="92" t="s">
        <v>227</v>
      </c>
      <c r="I14" s="272" t="s">
        <v>233</v>
      </c>
      <c r="J14" s="271" t="s">
        <v>265</v>
      </c>
      <c r="K14" s="92" t="s">
        <v>265</v>
      </c>
      <c r="L14" s="272" t="s">
        <v>265</v>
      </c>
      <c r="M14" s="271" t="s">
        <v>226</v>
      </c>
      <c r="N14" s="92" t="s">
        <v>227</v>
      </c>
      <c r="O14" s="272" t="s">
        <v>226</v>
      </c>
      <c r="P14" s="5"/>
      <c r="Q14" s="271" t="s">
        <v>239</v>
      </c>
      <c r="R14" s="92" t="s">
        <v>227</v>
      </c>
      <c r="S14" s="272" t="s">
        <v>239</v>
      </c>
      <c r="T14" s="271" t="s">
        <v>226</v>
      </c>
      <c r="U14" s="92" t="s">
        <v>240</v>
      </c>
      <c r="V14" s="272" t="s">
        <v>226</v>
      </c>
      <c r="W14" s="271"/>
      <c r="X14" s="92"/>
      <c r="Y14" s="272"/>
      <c r="Z14" s="271" t="s">
        <v>239</v>
      </c>
      <c r="AA14" s="92" t="s">
        <v>227</v>
      </c>
      <c r="AB14" s="272" t="s">
        <v>239</v>
      </c>
    </row>
    <row r="15" ht="18.95" customHeight="1">
      <c r="A15" s="58"/>
      <c r="B15" s="288"/>
      <c r="C15" s="289" t="s">
        <v>228</v>
      </c>
      <c r="D15" s="420" t="s">
        <v>226</v>
      </c>
      <c r="E15" s="91" t="s">
        <v>227</v>
      </c>
      <c r="F15" s="421" t="s">
        <v>227</v>
      </c>
      <c r="G15" s="420" t="s">
        <v>226</v>
      </c>
      <c r="H15" s="91" t="s">
        <v>233</v>
      </c>
      <c r="I15" s="421" t="s">
        <v>226</v>
      </c>
      <c r="J15" s="420" t="s">
        <v>265</v>
      </c>
      <c r="K15" s="91" t="s">
        <v>265</v>
      </c>
      <c r="L15" s="421" t="s">
        <v>265</v>
      </c>
      <c r="M15" s="420" t="s">
        <v>227</v>
      </c>
      <c r="N15" s="91" t="s">
        <v>227</v>
      </c>
      <c r="O15" s="421" t="s">
        <v>227</v>
      </c>
      <c r="P15" s="5"/>
      <c r="Q15" s="420" t="s">
        <v>239</v>
      </c>
      <c r="R15" s="91" t="s">
        <v>226</v>
      </c>
      <c r="S15" s="421" t="s">
        <v>239</v>
      </c>
      <c r="T15" s="420" t="s">
        <v>233</v>
      </c>
      <c r="U15" s="91" t="s">
        <v>233</v>
      </c>
      <c r="V15" s="421" t="s">
        <v>233</v>
      </c>
      <c r="W15" s="420"/>
      <c r="X15" s="91"/>
      <c r="Y15" s="421"/>
      <c r="Z15" s="420" t="s">
        <v>239</v>
      </c>
      <c r="AA15" s="91" t="s">
        <v>226</v>
      </c>
      <c r="AB15" s="421" t="s">
        <v>239</v>
      </c>
    </row>
    <row r="16" ht="18.95" customHeight="1">
      <c r="A16" s="58"/>
      <c r="B16" s="286"/>
      <c r="C16" s="287" t="s">
        <v>229</v>
      </c>
      <c r="D16" s="271" t="s">
        <v>226</v>
      </c>
      <c r="E16" s="92" t="s">
        <v>227</v>
      </c>
      <c r="F16" s="272" t="s">
        <v>227</v>
      </c>
      <c r="G16" s="271" t="s">
        <v>233</v>
      </c>
      <c r="H16" s="92" t="s">
        <v>226</v>
      </c>
      <c r="I16" s="272" t="s">
        <v>226</v>
      </c>
      <c r="J16" s="271" t="s">
        <v>265</v>
      </c>
      <c r="K16" s="92" t="s">
        <v>265</v>
      </c>
      <c r="L16" s="272" t="s">
        <v>265</v>
      </c>
      <c r="M16" s="271" t="s">
        <v>226</v>
      </c>
      <c r="N16" s="92" t="s">
        <v>227</v>
      </c>
      <c r="O16" s="272" t="s">
        <v>227</v>
      </c>
      <c r="P16" s="5"/>
      <c r="Q16" s="271" t="s">
        <v>240</v>
      </c>
      <c r="R16" s="92" t="s">
        <v>227</v>
      </c>
      <c r="S16" s="272" t="s">
        <v>227</v>
      </c>
      <c r="T16" s="271" t="s">
        <v>233</v>
      </c>
      <c r="U16" s="92" t="s">
        <v>239</v>
      </c>
      <c r="V16" s="272" t="s">
        <v>233</v>
      </c>
      <c r="W16" s="271"/>
      <c r="X16" s="92"/>
      <c r="Y16" s="272"/>
      <c r="Z16" s="271" t="s">
        <v>227</v>
      </c>
      <c r="AA16" s="92" t="s">
        <v>227</v>
      </c>
      <c r="AB16" s="272" t="s">
        <v>227</v>
      </c>
    </row>
    <row r="17" ht="18.95" customHeight="1">
      <c r="A17" s="58"/>
      <c r="B17" s="288"/>
      <c r="C17" s="289" t="s">
        <v>230</v>
      </c>
      <c r="D17" s="420" t="s">
        <v>227</v>
      </c>
      <c r="E17" s="91" t="s">
        <v>227</v>
      </c>
      <c r="F17" s="421" t="s">
        <v>227</v>
      </c>
      <c r="G17" s="420" t="s">
        <v>233</v>
      </c>
      <c r="H17" s="91" t="s">
        <v>226</v>
      </c>
      <c r="I17" s="421" t="s">
        <v>226</v>
      </c>
      <c r="J17" s="420" t="s">
        <v>265</v>
      </c>
      <c r="K17" s="91" t="s">
        <v>265</v>
      </c>
      <c r="L17" s="421" t="s">
        <v>265</v>
      </c>
      <c r="M17" s="420" t="s">
        <v>227</v>
      </c>
      <c r="N17" s="91" t="s">
        <v>226</v>
      </c>
      <c r="O17" s="421" t="s">
        <v>227</v>
      </c>
      <c r="P17" s="5"/>
      <c r="Q17" s="420" t="s">
        <v>239</v>
      </c>
      <c r="R17" s="91" t="s">
        <v>227</v>
      </c>
      <c r="S17" s="421" t="s">
        <v>239</v>
      </c>
      <c r="T17" s="420" t="s">
        <v>227</v>
      </c>
      <c r="U17" s="91" t="s">
        <v>233</v>
      </c>
      <c r="V17" s="421" t="s">
        <v>227</v>
      </c>
      <c r="W17" s="420"/>
      <c r="X17" s="91"/>
      <c r="Y17" s="421"/>
      <c r="Z17" s="420" t="s">
        <v>239</v>
      </c>
      <c r="AA17" s="91" t="s">
        <v>226</v>
      </c>
      <c r="AB17" s="421" t="s">
        <v>240</v>
      </c>
    </row>
    <row r="18" ht="18.95" customHeight="1">
      <c r="A18" s="58"/>
      <c r="B18" s="286"/>
      <c r="C18" s="287" t="s">
        <v>231</v>
      </c>
      <c r="D18" s="271" t="s">
        <v>295</v>
      </c>
      <c r="E18" s="92" t="s">
        <v>295</v>
      </c>
      <c r="F18" s="272" t="s">
        <v>296</v>
      </c>
      <c r="G18" s="271" t="s">
        <v>297</v>
      </c>
      <c r="H18" s="92" t="s">
        <v>295</v>
      </c>
      <c r="I18" s="272" t="s">
        <v>295</v>
      </c>
      <c r="J18" s="271" t="s">
        <v>265</v>
      </c>
      <c r="K18" s="92" t="s">
        <v>265</v>
      </c>
      <c r="L18" s="272" t="s">
        <v>265</v>
      </c>
      <c r="M18" s="271" t="s">
        <v>226</v>
      </c>
      <c r="N18" s="92" t="s">
        <v>226</v>
      </c>
      <c r="O18" s="272" t="s">
        <v>226</v>
      </c>
      <c r="P18" s="5"/>
      <c r="Q18" s="271" t="s">
        <v>296</v>
      </c>
      <c r="R18" s="92" t="s">
        <v>296</v>
      </c>
      <c r="S18" s="272" t="s">
        <v>298</v>
      </c>
      <c r="T18" s="271" t="s">
        <v>297</v>
      </c>
      <c r="U18" s="92" t="s">
        <v>295</v>
      </c>
      <c r="V18" s="272" t="s">
        <v>297</v>
      </c>
      <c r="W18" s="271"/>
      <c r="X18" s="92"/>
      <c r="Y18" s="272"/>
      <c r="Z18" s="271" t="s">
        <v>227</v>
      </c>
      <c r="AA18" s="92" t="s">
        <v>227</v>
      </c>
      <c r="AB18" s="272" t="s">
        <v>240</v>
      </c>
    </row>
    <row r="19" ht="18.95" customHeight="1">
      <c r="A19" s="58"/>
      <c r="B19" s="288"/>
      <c r="C19" s="289" t="s">
        <v>232</v>
      </c>
      <c r="D19" s="420" t="s">
        <v>226</v>
      </c>
      <c r="E19" s="91" t="s">
        <v>226</v>
      </c>
      <c r="F19" s="421" t="s">
        <v>226</v>
      </c>
      <c r="G19" s="420" t="s">
        <v>226</v>
      </c>
      <c r="H19" s="91" t="s">
        <v>226</v>
      </c>
      <c r="I19" s="421" t="s">
        <v>226</v>
      </c>
      <c r="J19" s="420" t="s">
        <v>265</v>
      </c>
      <c r="K19" s="91" t="s">
        <v>265</v>
      </c>
      <c r="L19" s="421" t="s">
        <v>265</v>
      </c>
      <c r="M19" s="420" t="s">
        <v>233</v>
      </c>
      <c r="N19" s="91" t="s">
        <v>226</v>
      </c>
      <c r="O19" s="421" t="s">
        <v>226</v>
      </c>
      <c r="P19" s="5"/>
      <c r="Q19" s="420" t="s">
        <v>297</v>
      </c>
      <c r="R19" s="91" t="s">
        <v>298</v>
      </c>
      <c r="S19" s="421" t="s">
        <v>297</v>
      </c>
      <c r="T19" s="420" t="s">
        <v>298</v>
      </c>
      <c r="U19" s="91" t="s">
        <v>298</v>
      </c>
      <c r="V19" s="421" t="s">
        <v>298</v>
      </c>
      <c r="W19" s="420"/>
      <c r="X19" s="91"/>
      <c r="Y19" s="421"/>
      <c r="Z19" s="420" t="s">
        <v>226</v>
      </c>
      <c r="AA19" s="91" t="s">
        <v>240</v>
      </c>
      <c r="AB19" s="421" t="s">
        <v>226</v>
      </c>
    </row>
    <row r="20" ht="18.95" customHeight="1">
      <c r="A20" s="58"/>
      <c r="B20" s="286"/>
      <c r="C20" s="287" t="s">
        <v>234</v>
      </c>
      <c r="D20" s="271" t="s">
        <v>226</v>
      </c>
      <c r="E20" s="92" t="s">
        <v>226</v>
      </c>
      <c r="F20" s="272" t="s">
        <v>226</v>
      </c>
      <c r="G20" s="271" t="s">
        <v>226</v>
      </c>
      <c r="H20" s="92" t="s">
        <v>227</v>
      </c>
      <c r="I20" s="272" t="s">
        <v>226</v>
      </c>
      <c r="J20" s="271" t="s">
        <v>265</v>
      </c>
      <c r="K20" s="92" t="s">
        <v>265</v>
      </c>
      <c r="L20" s="272" t="s">
        <v>265</v>
      </c>
      <c r="M20" s="271" t="s">
        <v>233</v>
      </c>
      <c r="N20" s="92" t="s">
        <v>226</v>
      </c>
      <c r="O20" s="272" t="s">
        <v>226</v>
      </c>
      <c r="P20" s="5"/>
      <c r="Q20" s="271" t="s">
        <v>233</v>
      </c>
      <c r="R20" s="92" t="s">
        <v>240</v>
      </c>
      <c r="S20" s="272" t="s">
        <v>233</v>
      </c>
      <c r="T20" s="271" t="s">
        <v>239</v>
      </c>
      <c r="U20" s="92" t="s">
        <v>239</v>
      </c>
      <c r="V20" s="272" t="s">
        <v>239</v>
      </c>
      <c r="W20" s="271"/>
      <c r="X20" s="92"/>
      <c r="Y20" s="272"/>
      <c r="Z20" s="271" t="s">
        <v>233</v>
      </c>
      <c r="AA20" s="92" t="s">
        <v>240</v>
      </c>
      <c r="AB20" s="272" t="s">
        <v>227</v>
      </c>
    </row>
    <row r="21" ht="18.95" customHeight="1">
      <c r="A21" s="58"/>
      <c r="B21" s="288">
        <v>2025</v>
      </c>
      <c r="C21" s="289" t="s">
        <v>218</v>
      </c>
      <c r="D21" s="420" t="s">
        <v>227</v>
      </c>
      <c r="E21" s="91" t="s">
        <v>226</v>
      </c>
      <c r="F21" s="421" t="s">
        <v>226</v>
      </c>
      <c r="G21" s="420" t="s">
        <v>226</v>
      </c>
      <c r="H21" s="91" t="s">
        <v>226</v>
      </c>
      <c r="I21" s="421" t="s">
        <v>226</v>
      </c>
      <c r="J21" s="420" t="s">
        <v>265</v>
      </c>
      <c r="K21" s="91" t="s">
        <v>265</v>
      </c>
      <c r="L21" s="421" t="s">
        <v>265</v>
      </c>
      <c r="M21" s="420" t="s">
        <v>233</v>
      </c>
      <c r="N21" s="91" t="s">
        <v>226</v>
      </c>
      <c r="O21" s="421" t="s">
        <v>226</v>
      </c>
      <c r="P21" s="5"/>
      <c r="Q21" s="420" t="s">
        <v>227</v>
      </c>
      <c r="R21" s="91" t="s">
        <v>239</v>
      </c>
      <c r="S21" s="421" t="s">
        <v>227</v>
      </c>
      <c r="T21" s="420" t="s">
        <v>227</v>
      </c>
      <c r="U21" s="91" t="s">
        <v>227</v>
      </c>
      <c r="V21" s="421" t="s">
        <v>227</v>
      </c>
      <c r="W21" s="420"/>
      <c r="X21" s="91"/>
      <c r="Y21" s="421"/>
      <c r="Z21" s="420" t="s">
        <v>226</v>
      </c>
      <c r="AA21" s="91" t="s">
        <v>239</v>
      </c>
      <c r="AB21" s="421" t="s">
        <v>226</v>
      </c>
    </row>
    <row r="22" ht="18.95" customHeight="1">
      <c r="A22" s="58"/>
      <c r="B22" s="286"/>
      <c r="C22" s="287" t="s">
        <v>220</v>
      </c>
      <c r="D22" s="271" t="s">
        <v>226</v>
      </c>
      <c r="E22" s="92" t="s">
        <v>226</v>
      </c>
      <c r="F22" s="272" t="s">
        <v>226</v>
      </c>
      <c r="G22" s="271" t="s">
        <v>233</v>
      </c>
      <c r="H22" s="92" t="s">
        <v>226</v>
      </c>
      <c r="I22" s="272" t="s">
        <v>226</v>
      </c>
      <c r="J22" s="271" t="s">
        <v>265</v>
      </c>
      <c r="K22" s="92" t="s">
        <v>265</v>
      </c>
      <c r="L22" s="272" t="s">
        <v>265</v>
      </c>
      <c r="M22" s="271" t="s">
        <v>233</v>
      </c>
      <c r="N22" s="92" t="s">
        <v>226</v>
      </c>
      <c r="O22" s="272" t="s">
        <v>226</v>
      </c>
      <c r="P22" s="5"/>
      <c r="Q22" s="271" t="s">
        <v>233</v>
      </c>
      <c r="R22" s="92" t="s">
        <v>239</v>
      </c>
      <c r="S22" s="272" t="s">
        <v>227</v>
      </c>
      <c r="T22" s="271" t="s">
        <v>239</v>
      </c>
      <c r="U22" s="92" t="s">
        <v>226</v>
      </c>
      <c r="V22" s="272" t="s">
        <v>239</v>
      </c>
      <c r="W22" s="271"/>
      <c r="X22" s="92"/>
      <c r="Y22" s="272"/>
      <c r="Z22" s="271" t="s">
        <v>227</v>
      </c>
      <c r="AA22" s="92" t="s">
        <v>239</v>
      </c>
      <c r="AB22" s="272" t="s">
        <v>240</v>
      </c>
    </row>
    <row r="23" ht="18.95" customHeight="1">
      <c r="A23" s="58"/>
      <c r="B23" s="288"/>
      <c r="C23" s="289" t="s">
        <v>221</v>
      </c>
      <c r="D23" s="420" t="s">
        <v>240</v>
      </c>
      <c r="E23" s="91" t="s">
        <v>226</v>
      </c>
      <c r="F23" s="421" t="s">
        <v>227</v>
      </c>
      <c r="G23" s="420" t="s">
        <v>233</v>
      </c>
      <c r="H23" s="91" t="s">
        <v>226</v>
      </c>
      <c r="I23" s="421" t="s">
        <v>233</v>
      </c>
      <c r="J23" s="420" t="s">
        <v>265</v>
      </c>
      <c r="K23" s="91" t="s">
        <v>265</v>
      </c>
      <c r="L23" s="421" t="s">
        <v>265</v>
      </c>
      <c r="M23" s="420" t="s">
        <v>233</v>
      </c>
      <c r="N23" s="91" t="s">
        <v>226</v>
      </c>
      <c r="O23" s="421" t="s">
        <v>226</v>
      </c>
      <c r="P23" s="5"/>
      <c r="Q23" s="420" t="s">
        <v>240</v>
      </c>
      <c r="R23" s="91" t="s">
        <v>227</v>
      </c>
      <c r="S23" s="421" t="s">
        <v>240</v>
      </c>
      <c r="T23" s="420" t="s">
        <v>227</v>
      </c>
      <c r="U23" s="91" t="s">
        <v>226</v>
      </c>
      <c r="V23" s="421" t="s">
        <v>227</v>
      </c>
      <c r="W23" s="420"/>
      <c r="X23" s="91"/>
      <c r="Y23" s="421"/>
      <c r="Z23" s="420" t="s">
        <v>240</v>
      </c>
      <c r="AA23" s="91" t="s">
        <v>240</v>
      </c>
      <c r="AB23" s="421" t="s">
        <v>240</v>
      </c>
    </row>
    <row r="24" ht="18.95" customHeight="1">
      <c r="A24" s="59"/>
      <c r="B24" s="286"/>
      <c r="C24" s="287" t="s">
        <v>223</v>
      </c>
      <c r="D24" s="271" t="s">
        <v>227</v>
      </c>
      <c r="E24" s="92" t="s">
        <v>226</v>
      </c>
      <c r="F24" s="272" t="s">
        <v>226</v>
      </c>
      <c r="G24" s="271" t="s">
        <v>233</v>
      </c>
      <c r="H24" s="92" t="s">
        <v>227</v>
      </c>
      <c r="I24" s="272" t="s">
        <v>233</v>
      </c>
      <c r="J24" s="271" t="s">
        <v>265</v>
      </c>
      <c r="K24" s="92" t="s">
        <v>265</v>
      </c>
      <c r="L24" s="272" t="s">
        <v>265</v>
      </c>
      <c r="M24" s="271" t="s">
        <v>226</v>
      </c>
      <c r="N24" s="92" t="s">
        <v>226</v>
      </c>
      <c r="O24" s="272" t="s">
        <v>226</v>
      </c>
      <c r="P24" s="93"/>
      <c r="Q24" s="271" t="s">
        <v>240</v>
      </c>
      <c r="R24" s="92" t="s">
        <v>226</v>
      </c>
      <c r="S24" s="272" t="s">
        <v>240</v>
      </c>
      <c r="T24" s="271" t="s">
        <v>226</v>
      </c>
      <c r="U24" s="92" t="s">
        <v>227</v>
      </c>
      <c r="V24" s="272" t="s">
        <v>226</v>
      </c>
      <c r="W24" s="271"/>
      <c r="X24" s="92"/>
      <c r="Y24" s="272"/>
      <c r="Z24" s="271" t="s">
        <v>240</v>
      </c>
      <c r="AA24" s="92" t="s">
        <v>227</v>
      </c>
      <c r="AB24" s="272" t="s">
        <v>240</v>
      </c>
    </row>
    <row r="25" ht="18.95" customHeight="1">
      <c r="A25" s="60"/>
      <c r="B25" s="288"/>
      <c r="C25" s="289" t="s">
        <v>224</v>
      </c>
      <c r="D25" s="420" t="s">
        <v>227</v>
      </c>
      <c r="E25" s="91" t="s">
        <v>226</v>
      </c>
      <c r="F25" s="421" t="s">
        <v>227</v>
      </c>
      <c r="G25" s="420" t="s">
        <v>233</v>
      </c>
      <c r="H25" s="91" t="s">
        <v>227</v>
      </c>
      <c r="I25" s="421" t="s">
        <v>226</v>
      </c>
      <c r="J25" s="420" t="s">
        <v>265</v>
      </c>
      <c r="K25" s="91" t="s">
        <v>265</v>
      </c>
      <c r="L25" s="421" t="s">
        <v>265</v>
      </c>
      <c r="M25" s="420" t="s">
        <v>226</v>
      </c>
      <c r="N25" s="91" t="s">
        <v>226</v>
      </c>
      <c r="O25" s="421" t="s">
        <v>226</v>
      </c>
      <c r="P25" s="93"/>
      <c r="Q25" s="420" t="s">
        <v>227</v>
      </c>
      <c r="R25" s="91" t="s">
        <v>226</v>
      </c>
      <c r="S25" s="421" t="s">
        <v>233</v>
      </c>
      <c r="T25" s="420" t="s">
        <v>226</v>
      </c>
      <c r="U25" s="91" t="s">
        <v>239</v>
      </c>
      <c r="V25" s="421" t="s">
        <v>239</v>
      </c>
      <c r="W25" s="420"/>
      <c r="X25" s="91"/>
      <c r="Y25" s="421"/>
      <c r="Z25" s="420" t="s">
        <v>227</v>
      </c>
      <c r="AA25" s="91" t="s">
        <v>226</v>
      </c>
      <c r="AB25" s="421" t="s">
        <v>227</v>
      </c>
    </row>
    <row r="26" ht="18.95" customHeight="1">
      <c r="A26" s="60"/>
      <c r="B26" s="290"/>
      <c r="C26" s="291" t="s">
        <v>225</v>
      </c>
      <c r="D26" s="273" t="s">
        <v>226</v>
      </c>
      <c r="E26" s="274" t="s">
        <v>226</v>
      </c>
      <c r="F26" s="275" t="s">
        <v>226</v>
      </c>
      <c r="G26" s="273" t="s">
        <v>226</v>
      </c>
      <c r="H26" s="274" t="s">
        <v>227</v>
      </c>
      <c r="I26" s="275" t="s">
        <v>226</v>
      </c>
      <c r="J26" s="273" t="s">
        <v>265</v>
      </c>
      <c r="K26" s="274" t="s">
        <v>265</v>
      </c>
      <c r="L26" s="275" t="s">
        <v>265</v>
      </c>
      <c r="M26" s="273" t="s">
        <v>226</v>
      </c>
      <c r="N26" s="274" t="s">
        <v>226</v>
      </c>
      <c r="O26" s="275" t="s">
        <v>226</v>
      </c>
      <c r="P26" s="184"/>
      <c r="Q26" s="273" t="s">
        <v>226</v>
      </c>
      <c r="R26" s="274" t="s">
        <v>227</v>
      </c>
      <c r="S26" s="275" t="s">
        <v>233</v>
      </c>
      <c r="T26" s="273" t="s">
        <v>240</v>
      </c>
      <c r="U26" s="274" t="s">
        <v>226</v>
      </c>
      <c r="V26" s="275" t="s">
        <v>240</v>
      </c>
      <c r="W26" s="273"/>
      <c r="X26" s="274"/>
      <c r="Y26" s="275"/>
      <c r="Z26" s="273" t="s">
        <v>240</v>
      </c>
      <c r="AA26" s="274" t="s">
        <v>233</v>
      </c>
      <c r="AB26" s="275" t="s">
        <v>226</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t="s">
        <v>226</v>
      </c>
      <c r="E29" s="428" t="s">
        <v>226</v>
      </c>
      <c r="F29" s="429" t="s">
        <v>226</v>
      </c>
      <c r="G29" s="427" t="s">
        <v>233</v>
      </c>
      <c r="H29" s="428" t="s">
        <v>226</v>
      </c>
      <c r="I29" s="429" t="s">
        <v>226</v>
      </c>
      <c r="J29" s="427" t="s">
        <v>265</v>
      </c>
      <c r="K29" s="428" t="s">
        <v>265</v>
      </c>
      <c r="L29" s="429" t="s">
        <v>265</v>
      </c>
      <c r="M29" s="427" t="s">
        <v>219</v>
      </c>
      <c r="N29" s="428" t="s">
        <v>236</v>
      </c>
      <c r="O29" s="429" t="s">
        <v>219</v>
      </c>
      <c r="P29" s="5"/>
      <c r="Q29" s="427" t="s">
        <v>239</v>
      </c>
      <c r="R29" s="428" t="s">
        <v>240</v>
      </c>
      <c r="S29" s="429" t="s">
        <v>240</v>
      </c>
      <c r="T29" s="427" t="s">
        <v>240</v>
      </c>
      <c r="U29" s="428" t="s">
        <v>227</v>
      </c>
      <c r="V29" s="429" t="s">
        <v>240</v>
      </c>
      <c r="W29" s="427"/>
      <c r="X29" s="428"/>
      <c r="Y29" s="429"/>
      <c r="Z29" s="427" t="s">
        <v>237</v>
      </c>
      <c r="AA29" s="428" t="s">
        <v>237</v>
      </c>
      <c r="AB29" s="429" t="s">
        <v>238</v>
      </c>
    </row>
    <row r="30" ht="18.95" customHeight="1">
      <c r="A30" s="58"/>
      <c r="B30" s="286">
        <v>2024</v>
      </c>
      <c r="C30" s="287"/>
      <c r="D30" s="271" t="s">
        <v>219</v>
      </c>
      <c r="E30" s="92" t="s">
        <v>219</v>
      </c>
      <c r="F30" s="272" t="s">
        <v>219</v>
      </c>
      <c r="G30" s="271" t="s">
        <v>222</v>
      </c>
      <c r="H30" s="92" t="s">
        <v>219</v>
      </c>
      <c r="I30" s="272" t="s">
        <v>222</v>
      </c>
      <c r="J30" s="271" t="s">
        <v>265</v>
      </c>
      <c r="K30" s="92" t="s">
        <v>265</v>
      </c>
      <c r="L30" s="272" t="s">
        <v>265</v>
      </c>
      <c r="M30" s="271" t="s">
        <v>219</v>
      </c>
      <c r="N30" s="92" t="s">
        <v>219</v>
      </c>
      <c r="O30" s="272" t="s">
        <v>219</v>
      </c>
      <c r="P30" s="5"/>
      <c r="Q30" s="271" t="s">
        <v>227</v>
      </c>
      <c r="R30" s="92" t="s">
        <v>226</v>
      </c>
      <c r="S30" s="272" t="s">
        <v>240</v>
      </c>
      <c r="T30" s="271" t="s">
        <v>227</v>
      </c>
      <c r="U30" s="92" t="s">
        <v>227</v>
      </c>
      <c r="V30" s="272" t="s">
        <v>227</v>
      </c>
      <c r="W30" s="271"/>
      <c r="X30" s="92"/>
      <c r="Y30" s="272"/>
      <c r="Z30" s="271" t="s">
        <v>237</v>
      </c>
      <c r="AA30" s="92" t="s">
        <v>219</v>
      </c>
      <c r="AB30" s="272" t="s">
        <v>236</v>
      </c>
    </row>
    <row r="31" ht="18.95" customHeight="1">
      <c r="A31" s="58"/>
      <c r="B31" s="425">
        <v>2025</v>
      </c>
      <c r="C31" s="426"/>
      <c r="D31" s="430" t="s">
        <v>227</v>
      </c>
      <c r="E31" s="431" t="s">
        <v>226</v>
      </c>
      <c r="F31" s="432" t="s">
        <v>226</v>
      </c>
      <c r="G31" s="430" t="s">
        <v>233</v>
      </c>
      <c r="H31" s="431" t="s">
        <v>226</v>
      </c>
      <c r="I31" s="432" t="s">
        <v>226</v>
      </c>
      <c r="J31" s="430" t="s">
        <v>265</v>
      </c>
      <c r="K31" s="431" t="s">
        <v>265</v>
      </c>
      <c r="L31" s="432" t="s">
        <v>265</v>
      </c>
      <c r="M31" s="430" t="s">
        <v>226</v>
      </c>
      <c r="N31" s="431" t="s">
        <v>226</v>
      </c>
      <c r="O31" s="432" t="s">
        <v>226</v>
      </c>
      <c r="P31" s="184"/>
      <c r="Q31" s="430" t="s">
        <v>227</v>
      </c>
      <c r="R31" s="431" t="s">
        <v>240</v>
      </c>
      <c r="S31" s="432" t="s">
        <v>240</v>
      </c>
      <c r="T31" s="430" t="s">
        <v>227</v>
      </c>
      <c r="U31" s="431" t="s">
        <v>227</v>
      </c>
      <c r="V31" s="432" t="s">
        <v>227</v>
      </c>
      <c r="W31" s="430"/>
      <c r="X31" s="431"/>
      <c r="Y31" s="432"/>
      <c r="Z31" s="430" t="s">
        <v>226</v>
      </c>
      <c r="AA31" s="431" t="s">
        <v>240</v>
      </c>
      <c r="AB31" s="432" t="s">
        <v>227</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t="s">
        <v>226</v>
      </c>
      <c r="E34" s="428" t="s">
        <v>226</v>
      </c>
      <c r="F34" s="429" t="s">
        <v>226</v>
      </c>
      <c r="G34" s="427" t="s">
        <v>233</v>
      </c>
      <c r="H34" s="428" t="s">
        <v>226</v>
      </c>
      <c r="I34" s="429" t="s">
        <v>226</v>
      </c>
      <c r="J34" s="427" t="s">
        <v>265</v>
      </c>
      <c r="K34" s="428" t="s">
        <v>265</v>
      </c>
      <c r="L34" s="429" t="s">
        <v>265</v>
      </c>
      <c r="M34" s="427" t="s">
        <v>219</v>
      </c>
      <c r="N34" s="428" t="s">
        <v>236</v>
      </c>
      <c r="O34" s="429" t="s">
        <v>219</v>
      </c>
      <c r="P34" s="5"/>
      <c r="Q34" s="427" t="s">
        <v>240</v>
      </c>
      <c r="R34" s="428" t="s">
        <v>240</v>
      </c>
      <c r="S34" s="429" t="s">
        <v>240</v>
      </c>
      <c r="T34" s="427" t="s">
        <v>240</v>
      </c>
      <c r="U34" s="428" t="s">
        <v>227</v>
      </c>
      <c r="V34" s="429" t="s">
        <v>227</v>
      </c>
      <c r="W34" s="427"/>
      <c r="X34" s="428"/>
      <c r="Y34" s="429"/>
      <c r="Z34" s="427" t="s">
        <v>238</v>
      </c>
      <c r="AA34" s="428" t="s">
        <v>237</v>
      </c>
      <c r="AB34" s="429" t="s">
        <v>238</v>
      </c>
    </row>
    <row r="35" ht="18.95" customHeight="1">
      <c r="A35" s="58"/>
      <c r="B35" s="286">
        <v>2024</v>
      </c>
      <c r="C35" s="287"/>
      <c r="D35" s="271" t="s">
        <v>219</v>
      </c>
      <c r="E35" s="92" t="s">
        <v>236</v>
      </c>
      <c r="F35" s="272" t="s">
        <v>219</v>
      </c>
      <c r="G35" s="271" t="s">
        <v>222</v>
      </c>
      <c r="H35" s="92" t="s">
        <v>219</v>
      </c>
      <c r="I35" s="272" t="s">
        <v>222</v>
      </c>
      <c r="J35" s="271" t="s">
        <v>265</v>
      </c>
      <c r="K35" s="92" t="s">
        <v>265</v>
      </c>
      <c r="L35" s="272" t="s">
        <v>265</v>
      </c>
      <c r="M35" s="271" t="s">
        <v>219</v>
      </c>
      <c r="N35" s="92" t="s">
        <v>219</v>
      </c>
      <c r="O35" s="272" t="s">
        <v>219</v>
      </c>
      <c r="P35" s="5"/>
      <c r="Q35" s="271" t="s">
        <v>227</v>
      </c>
      <c r="R35" s="92" t="s">
        <v>227</v>
      </c>
      <c r="S35" s="272" t="s">
        <v>227</v>
      </c>
      <c r="T35" s="271" t="s">
        <v>233</v>
      </c>
      <c r="U35" s="92" t="s">
        <v>240</v>
      </c>
      <c r="V35" s="272" t="s">
        <v>233</v>
      </c>
      <c r="W35" s="271"/>
      <c r="X35" s="92"/>
      <c r="Y35" s="272"/>
      <c r="Z35" s="271" t="s">
        <v>238</v>
      </c>
      <c r="AA35" s="92" t="s">
        <v>236</v>
      </c>
      <c r="AB35" s="272" t="s">
        <v>238</v>
      </c>
    </row>
    <row r="36" ht="18.95" customHeight="1">
      <c r="A36" s="58"/>
      <c r="B36" s="425">
        <v>2025</v>
      </c>
      <c r="C36" s="426"/>
      <c r="D36" s="430" t="s">
        <v>226</v>
      </c>
      <c r="E36" s="431" t="s">
        <v>226</v>
      </c>
      <c r="F36" s="432" t="s">
        <v>226</v>
      </c>
      <c r="G36" s="430" t="s">
        <v>233</v>
      </c>
      <c r="H36" s="431" t="s">
        <v>227</v>
      </c>
      <c r="I36" s="432" t="s">
        <v>226</v>
      </c>
      <c r="J36" s="430" t="s">
        <v>265</v>
      </c>
      <c r="K36" s="431" t="s">
        <v>265</v>
      </c>
      <c r="L36" s="432" t="s">
        <v>265</v>
      </c>
      <c r="M36" s="430" t="s">
        <v>226</v>
      </c>
      <c r="N36" s="431" t="s">
        <v>226</v>
      </c>
      <c r="O36" s="432" t="s">
        <v>226</v>
      </c>
      <c r="P36" s="184"/>
      <c r="Q36" s="430" t="s">
        <v>240</v>
      </c>
      <c r="R36" s="431" t="s">
        <v>226</v>
      </c>
      <c r="S36" s="432" t="s">
        <v>227</v>
      </c>
      <c r="T36" s="430" t="s">
        <v>240</v>
      </c>
      <c r="U36" s="431" t="s">
        <v>226</v>
      </c>
      <c r="V36" s="432" t="s">
        <v>240</v>
      </c>
      <c r="W36" s="430"/>
      <c r="X36" s="431"/>
      <c r="Y36" s="432"/>
      <c r="Z36" s="430" t="s">
        <v>239</v>
      </c>
      <c r="AA36" s="431" t="s">
        <v>226</v>
      </c>
      <c r="AB36" s="432" t="s">
        <v>226</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t="s">
        <v>226</v>
      </c>
      <c r="E39" s="428" t="s">
        <v>226</v>
      </c>
      <c r="F39" s="429" t="s">
        <v>226</v>
      </c>
      <c r="G39" s="427" t="s">
        <v>233</v>
      </c>
      <c r="H39" s="428" t="s">
        <v>226</v>
      </c>
      <c r="I39" s="429" t="s">
        <v>226</v>
      </c>
      <c r="J39" s="427" t="s">
        <v>265</v>
      </c>
      <c r="K39" s="428" t="s">
        <v>265</v>
      </c>
      <c r="L39" s="429" t="s">
        <v>265</v>
      </c>
      <c r="M39" s="427" t="s">
        <v>222</v>
      </c>
      <c r="N39" s="428" t="s">
        <v>236</v>
      </c>
      <c r="O39" s="429" t="s">
        <v>219</v>
      </c>
      <c r="P39" s="5"/>
      <c r="Q39" s="427" t="s">
        <v>240</v>
      </c>
      <c r="R39" s="428" t="s">
        <v>227</v>
      </c>
      <c r="S39" s="429" t="s">
        <v>240</v>
      </c>
      <c r="T39" s="427" t="s">
        <v>239</v>
      </c>
      <c r="U39" s="428" t="s">
        <v>227</v>
      </c>
      <c r="V39" s="429" t="s">
        <v>239</v>
      </c>
      <c r="W39" s="427"/>
      <c r="X39" s="428"/>
      <c r="Y39" s="429"/>
      <c r="Z39" s="427" t="s">
        <v>238</v>
      </c>
      <c r="AA39" s="428" t="s">
        <v>238</v>
      </c>
      <c r="AB39" s="429" t="s">
        <v>237</v>
      </c>
    </row>
    <row r="40" ht="18.95" customHeight="1">
      <c r="A40" s="58"/>
      <c r="B40" s="286">
        <v>2024</v>
      </c>
      <c r="C40" s="287"/>
      <c r="D40" s="271" t="s">
        <v>236</v>
      </c>
      <c r="E40" s="92" t="s">
        <v>236</v>
      </c>
      <c r="F40" s="272" t="s">
        <v>219</v>
      </c>
      <c r="G40" s="271" t="s">
        <v>222</v>
      </c>
      <c r="H40" s="92" t="s">
        <v>219</v>
      </c>
      <c r="I40" s="272" t="s">
        <v>222</v>
      </c>
      <c r="J40" s="271" t="s">
        <v>265</v>
      </c>
      <c r="K40" s="92" t="s">
        <v>265</v>
      </c>
      <c r="L40" s="272" t="s">
        <v>265</v>
      </c>
      <c r="M40" s="271" t="s">
        <v>219</v>
      </c>
      <c r="N40" s="92" t="s">
        <v>219</v>
      </c>
      <c r="O40" s="272" t="s">
        <v>219</v>
      </c>
      <c r="P40" s="5"/>
      <c r="Q40" s="271" t="s">
        <v>239</v>
      </c>
      <c r="R40" s="92" t="s">
        <v>227</v>
      </c>
      <c r="S40" s="272" t="s">
        <v>239</v>
      </c>
      <c r="T40" s="271" t="s">
        <v>233</v>
      </c>
      <c r="U40" s="92" t="s">
        <v>227</v>
      </c>
      <c r="V40" s="272" t="s">
        <v>226</v>
      </c>
      <c r="W40" s="271"/>
      <c r="X40" s="92"/>
      <c r="Y40" s="272"/>
      <c r="Z40" s="271" t="s">
        <v>235</v>
      </c>
      <c r="AA40" s="92" t="s">
        <v>219</v>
      </c>
      <c r="AB40" s="272" t="s">
        <v>237</v>
      </c>
    </row>
    <row r="41" ht="18.95" customHeight="1">
      <c r="A41" s="58"/>
      <c r="B41" s="425">
        <v>2025</v>
      </c>
      <c r="C41" s="426"/>
      <c r="D41" s="430" t="s">
        <v>226</v>
      </c>
      <c r="E41" s="431" t="s">
        <v>226</v>
      </c>
      <c r="F41" s="432" t="s">
        <v>226</v>
      </c>
      <c r="G41" s="430" t="s">
        <v>233</v>
      </c>
      <c r="H41" s="431" t="s">
        <v>226</v>
      </c>
      <c r="I41" s="432" t="s">
        <v>226</v>
      </c>
      <c r="J41" s="430" t="s">
        <v>265</v>
      </c>
      <c r="K41" s="431" t="s">
        <v>265</v>
      </c>
      <c r="L41" s="432" t="s">
        <v>265</v>
      </c>
      <c r="M41" s="430" t="s">
        <v>226</v>
      </c>
      <c r="N41" s="431" t="s">
        <v>226</v>
      </c>
      <c r="O41" s="432" t="s">
        <v>226</v>
      </c>
      <c r="P41" s="184"/>
      <c r="Q41" s="430" t="s">
        <v>240</v>
      </c>
      <c r="R41" s="431" t="s">
        <v>240</v>
      </c>
      <c r="S41" s="432" t="s">
        <v>240</v>
      </c>
      <c r="T41" s="430" t="s">
        <v>227</v>
      </c>
      <c r="U41" s="431" t="s">
        <v>240</v>
      </c>
      <c r="V41" s="432" t="s">
        <v>227</v>
      </c>
      <c r="W41" s="430"/>
      <c r="X41" s="431"/>
      <c r="Y41" s="432"/>
      <c r="Z41" s="430" t="s">
        <v>227</v>
      </c>
      <c r="AA41" s="431" t="s">
        <v>240</v>
      </c>
      <c r="AB41" s="432" t="s">
        <v>240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151</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76.363636363636363636363636440</v>
      </c>
      <c r="E11" s="428">
        <v>68.837209302325581395348837270</v>
      </c>
      <c r="F11" s="429">
        <v>50.049740484429065743944636730</v>
      </c>
      <c r="G11" s="427">
        <v>0</v>
      </c>
      <c r="H11" s="428">
        <v>0.8720930232558139534883720900</v>
      </c>
      <c r="I11" s="429">
        <v>8.581314878892733564013840840</v>
      </c>
      <c r="J11" s="427">
        <v>0</v>
      </c>
      <c r="K11" s="428">
        <v>0</v>
      </c>
      <c r="L11" s="429">
        <v>7.1215397923875432525951557200</v>
      </c>
      <c r="M11" s="427">
        <v>76.363636363636363636363636360</v>
      </c>
      <c r="N11" s="428">
        <v>69.709302325581395348837209300</v>
      </c>
      <c r="O11" s="429">
        <v>65.748269896193771626297577850</v>
      </c>
      <c r="P11" s="5"/>
      <c r="Q11" s="427">
        <v>15.596330275239962966080297360</v>
      </c>
      <c r="R11" s="428">
        <v>2.3336214346919618212093214600</v>
      </c>
      <c r="S11" s="429">
        <v>0.9155912662563583046665303100</v>
      </c>
      <c r="T11" s="427">
        <v>-100</v>
      </c>
      <c r="U11" s="428">
        <v>114.28571427836734693902740450</v>
      </c>
      <c r="V11" s="429">
        <v>51.359925404679534972283878930</v>
      </c>
      <c r="W11" s="427">
        <v>0</v>
      </c>
      <c r="X11" s="428">
        <v>0</v>
      </c>
      <c r="Y11" s="429">
        <v>-2.0108742301838607880189558700</v>
      </c>
      <c r="Z11" s="427">
        <v>3.9175257732644404293761744700</v>
      </c>
      <c r="AA11" s="428">
        <v>3.006872852159342119247582600</v>
      </c>
      <c r="AB11" s="429">
        <v>5.1456293698814229321295573200</v>
      </c>
    </row>
    <row r="12" ht="18" customHeight="1">
      <c r="A12" s="58"/>
      <c r="B12" s="1043" t="s">
        <v>46</v>
      </c>
      <c r="C12" s="1043"/>
      <c r="D12" s="420">
        <v>69.393939393939393939393939460</v>
      </c>
      <c r="E12" s="91">
        <v>60.755813953488372093023255870</v>
      </c>
      <c r="F12" s="421">
        <v>46.429498269896193771626297620</v>
      </c>
      <c r="G12" s="420">
        <v>0</v>
      </c>
      <c r="H12" s="91">
        <v>2.6162790697674418604651162800</v>
      </c>
      <c r="I12" s="421">
        <v>11.561418685121107266435986170</v>
      </c>
      <c r="J12" s="420">
        <v>0</v>
      </c>
      <c r="K12" s="91">
        <v>0</v>
      </c>
      <c r="L12" s="421">
        <v>6.7971453287197231833910034700</v>
      </c>
      <c r="M12" s="420">
        <v>69.393939393939393939393939390</v>
      </c>
      <c r="N12" s="91">
        <v>63.372093023255813953488372090</v>
      </c>
      <c r="O12" s="421">
        <v>64.790224913494809688581314880</v>
      </c>
      <c r="P12" s="5"/>
      <c r="Q12" s="420">
        <v>14.143302180600017468774629380</v>
      </c>
      <c r="R12" s="91">
        <v>-0.3575685339652103005877077600</v>
      </c>
      <c r="S12" s="421">
        <v>-0.7449681187632488469679314600</v>
      </c>
      <c r="T12" s="420">
        <v>-100</v>
      </c>
      <c r="U12" s="91">
        <v>800.0000000576000000036864003</v>
      </c>
      <c r="V12" s="421">
        <v>30.246607374142137471236723780</v>
      </c>
      <c r="W12" s="420">
        <v>0</v>
      </c>
      <c r="X12" s="91">
        <v>0</v>
      </c>
      <c r="Y12" s="421">
        <v>-0.0633048373846017255219767200</v>
      </c>
      <c r="Z12" s="420">
        <v>-10.634146341445977394408087030</v>
      </c>
      <c r="AA12" s="91">
        <v>3.440094899204971230523097300</v>
      </c>
      <c r="AB12" s="421">
        <v>3.7418369615604412658694510800</v>
      </c>
    </row>
    <row r="13" ht="18" customHeight="1">
      <c r="A13" s="58"/>
      <c r="B13" s="1043" t="s">
        <v>47</v>
      </c>
      <c r="C13" s="1043"/>
      <c r="D13" s="420">
        <v>66.666666666666666666666666730</v>
      </c>
      <c r="E13" s="91">
        <v>59.593023255813953488372093080</v>
      </c>
      <c r="F13" s="421">
        <v>49.072772491349480968858131540</v>
      </c>
      <c r="G13" s="420">
        <v>3.2196969696969696969696969700</v>
      </c>
      <c r="H13" s="91">
        <v>3.2703488372093023255813953500</v>
      </c>
      <c r="I13" s="421">
        <v>13.505622837370242214532871990</v>
      </c>
      <c r="J13" s="420">
        <v>0</v>
      </c>
      <c r="K13" s="91">
        <v>0</v>
      </c>
      <c r="L13" s="421">
        <v>7.2069636678200692041522491400</v>
      </c>
      <c r="M13" s="420">
        <v>69.886363636363636363636363640</v>
      </c>
      <c r="N13" s="91">
        <v>62.863372093023255813953488370</v>
      </c>
      <c r="O13" s="421">
        <v>69.793468858131487889273356400</v>
      </c>
      <c r="P13" s="184"/>
      <c r="Q13" s="420">
        <v>13.183279742794387981927407020</v>
      </c>
      <c r="R13" s="91">
        <v>-2.4970273483762182216120572100</v>
      </c>
      <c r="S13" s="421">
        <v>-2.6283997753698486924235162700</v>
      </c>
      <c r="T13" s="420">
        <v>-84.25925925922427983539086877</v>
      </c>
      <c r="U13" s="91">
        <v>309.09090906591735537342759444</v>
      </c>
      <c r="V13" s="421">
        <v>26.146689441093977007643470590</v>
      </c>
      <c r="W13" s="420">
        <v>0</v>
      </c>
      <c r="X13" s="91">
        <v>0</v>
      </c>
      <c r="Y13" s="421">
        <v>0.6344438859403443454039879800</v>
      </c>
      <c r="Z13" s="420">
        <v>-11.933174224387393555516294560</v>
      </c>
      <c r="AA13" s="91">
        <v>1.4067995310135636035288463300</v>
      </c>
      <c r="AB13" s="421">
        <v>2.2386783789034238406417772200</v>
      </c>
    </row>
    <row r="14" ht="18" customHeight="1">
      <c r="A14" s="58"/>
      <c r="B14" s="1043" t="s">
        <v>48</v>
      </c>
      <c r="C14" s="1043"/>
      <c r="D14" s="420">
        <v>73.106060606060606060606060680</v>
      </c>
      <c r="E14" s="91">
        <v>61.046511627906976744186046570</v>
      </c>
      <c r="F14" s="421">
        <v>50.843425605536332179930795900</v>
      </c>
      <c r="G14" s="420">
        <v>5.3030303030303030303030303100</v>
      </c>
      <c r="H14" s="91">
        <v>3.997093023255813953488372100</v>
      </c>
      <c r="I14" s="421">
        <v>13.797577854671280276816609010</v>
      </c>
      <c r="J14" s="420">
        <v>0</v>
      </c>
      <c r="K14" s="91">
        <v>0</v>
      </c>
      <c r="L14" s="421">
        <v>6.9312283737024221453287197300</v>
      </c>
      <c r="M14" s="420">
        <v>78.409090909090909090909090910</v>
      </c>
      <c r="N14" s="91">
        <v>65.043604651162790697674418600</v>
      </c>
      <c r="O14" s="421">
        <v>71.577638408304498269896193770</v>
      </c>
      <c r="P14" s="5"/>
      <c r="Q14" s="420">
        <v>27.392739273846668627258816760</v>
      </c>
      <c r="R14" s="91">
        <v>-5.4054054053610908205502591600</v>
      </c>
      <c r="S14" s="421">
        <v>-5.3702485702123109806906233200</v>
      </c>
      <c r="T14" s="420">
        <v>-70.212765957396106835672163550</v>
      </c>
      <c r="U14" s="91">
        <v>450.00000003520000000225280096</v>
      </c>
      <c r="V14" s="421">
        <v>16.246918860101338670093825960</v>
      </c>
      <c r="W14" s="420">
        <v>0</v>
      </c>
      <c r="X14" s="91">
        <v>0</v>
      </c>
      <c r="Y14" s="421">
        <v>-9.422929876168352665449035380</v>
      </c>
      <c r="Z14" s="420">
        <v>4.2821158690092266304589211700</v>
      </c>
      <c r="AA14" s="91">
        <v>-0.4449388209404739662534363100</v>
      </c>
      <c r="AB14" s="421">
        <v>-2.2870368772136672888334937400</v>
      </c>
    </row>
    <row r="15" ht="18" customHeight="1">
      <c r="A15" s="58"/>
      <c r="B15" s="1043" t="s">
        <v>49</v>
      </c>
      <c r="C15" s="1043"/>
      <c r="D15" s="420">
        <v>89.01515151515151515151515160</v>
      </c>
      <c r="E15" s="91">
        <v>73.764534883720930232558139600</v>
      </c>
      <c r="F15" s="421">
        <v>55.011894463667820069204152300</v>
      </c>
      <c r="G15" s="420">
        <v>3.2196969696969696969696969700</v>
      </c>
      <c r="H15" s="91">
        <v>1.7441860465116279069767441900</v>
      </c>
      <c r="I15" s="421">
        <v>14.995134083044982698961937730</v>
      </c>
      <c r="J15" s="420">
        <v>0</v>
      </c>
      <c r="K15" s="91">
        <v>0</v>
      </c>
      <c r="L15" s="421">
        <v>7.4718858131487889273356401500</v>
      </c>
      <c r="M15" s="420">
        <v>92.23484848484848484848484848</v>
      </c>
      <c r="N15" s="91">
        <v>75.508720930232558139534883720</v>
      </c>
      <c r="O15" s="421">
        <v>77.489727508650519031141868510</v>
      </c>
      <c r="P15" s="184"/>
      <c r="Q15" s="420">
        <v>41.141141141100451803154517720</v>
      </c>
      <c r="R15" s="91">
        <v>7.1805702217601473669421253800</v>
      </c>
      <c r="S15" s="421">
        <v>0.1508180650471753895832844100</v>
      </c>
      <c r="T15" s="420">
        <v>-83.96226415097728729085076498</v>
      </c>
      <c r="U15" s="91">
        <v>118.18181816848925619916138412</v>
      </c>
      <c r="V15" s="421">
        <v>29.359771523594843284152035100</v>
      </c>
      <c r="W15" s="420">
        <v>0</v>
      </c>
      <c r="X15" s="91">
        <v>0</v>
      </c>
      <c r="Y15" s="421">
        <v>-2.831792262332795850687600400</v>
      </c>
      <c r="Z15" s="420">
        <v>10.933940774540032482189303700</v>
      </c>
      <c r="AA15" s="91">
        <v>8.342022940501628716913834320</v>
      </c>
      <c r="AB15" s="421">
        <v>4.4188212541883539254871628900</v>
      </c>
    </row>
    <row r="16" ht="18" customHeight="1">
      <c r="A16" s="58"/>
      <c r="B16" s="1044" t="s">
        <v>75</v>
      </c>
      <c r="C16" s="1044"/>
      <c r="D16" s="430">
        <v>74.724517906336088154269972510</v>
      </c>
      <c r="E16" s="431">
        <v>64.799154334038054968287526480</v>
      </c>
      <c r="F16" s="432">
        <v>50.095843818810946838628499580</v>
      </c>
      <c r="G16" s="430">
        <v>2.134986225895316804407713500</v>
      </c>
      <c r="H16" s="431">
        <v>2.431289640591966173361522200</v>
      </c>
      <c r="I16" s="432">
        <v>12.26850031456432840515885500</v>
      </c>
      <c r="J16" s="430">
        <v>0</v>
      </c>
      <c r="K16" s="431">
        <v>0</v>
      </c>
      <c r="L16" s="432">
        <v>7.0924425920100660585089650900</v>
      </c>
      <c r="M16" s="430">
        <v>76.859504132231404958677685950</v>
      </c>
      <c r="N16" s="431">
        <v>67.230443974630021141649048630</v>
      </c>
      <c r="O16" s="432">
        <v>69.460718779490405787983642650</v>
      </c>
      <c r="P16" s="5"/>
      <c r="Q16" s="430">
        <v>21.558898847555053673513600350</v>
      </c>
      <c r="R16" s="431">
        <v>0.1945828145063909659197896700</v>
      </c>
      <c r="S16" s="432">
        <v>-1.8013899816614996402275980400</v>
      </c>
      <c r="T16" s="430">
        <v>-86.73053403997904734570456922</v>
      </c>
      <c r="U16" s="431">
        <v>308.45665964559154334205358837</v>
      </c>
      <c r="V16" s="432">
        <v>28.483411673678037175292351610</v>
      </c>
      <c r="W16" s="430">
        <v>0</v>
      </c>
      <c r="X16" s="431">
        <v>0</v>
      </c>
      <c r="Y16" s="432">
        <v>-3.0065481342024053819021506900</v>
      </c>
      <c r="Z16" s="629">
        <v>-0.9048625792459705904911620800</v>
      </c>
      <c r="AA16" s="214">
        <v>2.9403830590456531431832888600</v>
      </c>
      <c r="AB16" s="630">
        <v>2.3357733813485372421581024100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91.28787878787878787878787888</v>
      </c>
      <c r="E18" s="480">
        <v>80.45058139534883720930232566</v>
      </c>
      <c r="F18" s="481">
        <v>61.686310553633217993079584840</v>
      </c>
      <c r="G18" s="479">
        <v>0.1893939393939393939393939400</v>
      </c>
      <c r="H18" s="480">
        <v>2.3982558139534883720930232600</v>
      </c>
      <c r="I18" s="481">
        <v>15.189770761245674740484429080</v>
      </c>
      <c r="J18" s="479">
        <v>0</v>
      </c>
      <c r="K18" s="480">
        <v>0</v>
      </c>
      <c r="L18" s="481">
        <v>7.671929065743944636678200700</v>
      </c>
      <c r="M18" s="479">
        <v>91.47727272727272727272727273</v>
      </c>
      <c r="N18" s="480">
        <v>82.84883720930232558139534884</v>
      </c>
      <c r="O18" s="481">
        <v>84.55612024221453287197231834</v>
      </c>
      <c r="P18" s="184"/>
      <c r="Q18" s="479">
        <v>27.513227513243705383387925260</v>
      </c>
      <c r="R18" s="480">
        <v>10.921843687438768519001968780</v>
      </c>
      <c r="S18" s="481">
        <v>2.4607104056533212012633874500</v>
      </c>
      <c r="T18" s="479">
        <v>-97.56097560977132659131459854</v>
      </c>
      <c r="U18" s="480">
        <v>106.24999999546250000009982536</v>
      </c>
      <c r="V18" s="481">
        <v>32.749390531515560909901223240</v>
      </c>
      <c r="W18" s="479">
        <v>0</v>
      </c>
      <c r="X18" s="480">
        <v>0</v>
      </c>
      <c r="Y18" s="481">
        <v>0.748148697715210425677267500</v>
      </c>
      <c r="Z18" s="479">
        <v>15.274463007102679980177858340</v>
      </c>
      <c r="AA18" s="480">
        <v>12.426035502983415613365550580</v>
      </c>
      <c r="AB18" s="481">
        <v>6.6789400046907302007359708200</v>
      </c>
    </row>
    <row r="19" ht="18" customHeight="1">
      <c r="A19" s="58"/>
      <c r="B19" s="1046" t="s">
        <v>51</v>
      </c>
      <c r="C19" s="1046"/>
      <c r="D19" s="271">
        <v>93.18181818181818181818181827</v>
      </c>
      <c r="E19" s="92">
        <v>83.86627906976744186046511636</v>
      </c>
      <c r="F19" s="272">
        <v>65.122188581314878892733564080</v>
      </c>
      <c r="G19" s="271">
        <v>0</v>
      </c>
      <c r="H19" s="92">
        <v>1.6715116279069767441860465100</v>
      </c>
      <c r="I19" s="272">
        <v>13.024437716262975778546712820</v>
      </c>
      <c r="J19" s="271">
        <v>0</v>
      </c>
      <c r="K19" s="92">
        <v>0</v>
      </c>
      <c r="L19" s="272">
        <v>7.6800389273356401384083045100</v>
      </c>
      <c r="M19" s="271">
        <v>93.18181818181818181818181818</v>
      </c>
      <c r="N19" s="92">
        <v>85.53779069767441860465116279</v>
      </c>
      <c r="O19" s="272">
        <v>85.83207179930795847750865052</v>
      </c>
      <c r="P19" s="5"/>
      <c r="Q19" s="271">
        <v>17.142857142790204081632691420</v>
      </c>
      <c r="R19" s="92">
        <v>12.607338017244407392985008330</v>
      </c>
      <c r="S19" s="272">
        <v>2.8493417761080566570920804500</v>
      </c>
      <c r="T19" s="271">
        <v>-100</v>
      </c>
      <c r="U19" s="92">
        <v>25.000000002391304347871833530</v>
      </c>
      <c r="V19" s="272">
        <v>34.358413729216819169830331960</v>
      </c>
      <c r="W19" s="271">
        <v>0</v>
      </c>
      <c r="X19" s="92">
        <v>0</v>
      </c>
      <c r="Y19" s="272">
        <v>3.9644784309334816739622874400</v>
      </c>
      <c r="Z19" s="271">
        <v>14.953271028045977814656302500</v>
      </c>
      <c r="AA19" s="92">
        <v>12.825920245357241992547721260</v>
      </c>
      <c r="AB19" s="272">
        <v>6.7491121722399262817675225900</v>
      </c>
    </row>
    <row r="20" ht="18" customHeight="1">
      <c r="A20" s="58"/>
      <c r="B20" s="1047" t="s">
        <v>76</v>
      </c>
      <c r="C20" s="1047"/>
      <c r="D20" s="273">
        <v>92.23484848484848484848484857</v>
      </c>
      <c r="E20" s="274">
        <v>82.15843023255813953488372100</v>
      </c>
      <c r="F20" s="275">
        <v>63.404249567474048442906574460</v>
      </c>
      <c r="G20" s="273">
        <v>0.0946969696969696969696969700</v>
      </c>
      <c r="H20" s="274">
        <v>2.0348837209302325581395348900</v>
      </c>
      <c r="I20" s="275">
        <v>14.107104238754325259515570950</v>
      </c>
      <c r="J20" s="273">
        <v>0</v>
      </c>
      <c r="K20" s="274">
        <v>0</v>
      </c>
      <c r="L20" s="275">
        <v>7.675983996539792387543252600</v>
      </c>
      <c r="M20" s="273">
        <v>92.32954545454545454545454545</v>
      </c>
      <c r="N20" s="274">
        <v>84.19331395348837209302325581</v>
      </c>
      <c r="O20" s="275">
        <v>85.19409602076124567474048443</v>
      </c>
      <c r="P20" s="184"/>
      <c r="Q20" s="273">
        <v>21.345514950167725521793357820</v>
      </c>
      <c r="R20" s="274">
        <v>11.611452391416583738316212160</v>
      </c>
      <c r="S20" s="275">
        <v>2.3732396885086392807748846600</v>
      </c>
      <c r="T20" s="273">
        <v>-97.79411764704377162629747514</v>
      </c>
      <c r="U20" s="274">
        <v>61.538461535976331360984980020</v>
      </c>
      <c r="V20" s="275">
        <v>34.725800098907569791584269750</v>
      </c>
      <c r="W20" s="273">
        <v>0</v>
      </c>
      <c r="X20" s="274">
        <v>0</v>
      </c>
      <c r="Y20" s="275">
        <v>2.5048253909273547908993305500</v>
      </c>
      <c r="Z20" s="273">
        <v>14.976415094383009967960144530</v>
      </c>
      <c r="AA20" s="274">
        <v>12.451466781695950139993048240</v>
      </c>
      <c r="AB20" s="275">
        <v>6.6294508527192016848767252200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79.39393939393939393939393939</v>
      </c>
      <c r="E22" s="469">
        <v>69.389534883720930232558139540</v>
      </c>
      <c r="F22" s="470">
        <v>53.717718045148384175866652260</v>
      </c>
      <c r="G22" s="468">
        <v>1.5909090909090909090909090900</v>
      </c>
      <c r="H22" s="469">
        <v>2.3255813953488372093023255800</v>
      </c>
      <c r="I22" s="470">
        <v>12.723158539299489125469626160</v>
      </c>
      <c r="J22" s="468">
        <v>0</v>
      </c>
      <c r="K22" s="469">
        <v>0</v>
      </c>
      <c r="L22" s="470">
        <v>7.2128863913306734114664897500</v>
      </c>
      <c r="M22" s="468">
        <v>80.98484848484848484848484848</v>
      </c>
      <c r="N22" s="469">
        <v>71.715116279069767441860465120</v>
      </c>
      <c r="O22" s="470">
        <v>73.653762975778546712802768170</v>
      </c>
      <c r="P22" s="184"/>
      <c r="Q22" s="468">
        <v>20.229445506607563219987702510</v>
      </c>
      <c r="R22" s="469">
        <v>2.9767040552697730407859802300</v>
      </c>
      <c r="S22" s="470">
        <v>-1.0733657012864113766303553500</v>
      </c>
      <c r="T22" s="468">
        <v>-87.06365503082207202459002535</v>
      </c>
      <c r="U22" s="469">
        <v>200.00000001920000000122879982</v>
      </c>
      <c r="V22" s="470">
        <v>29.482266190360183556844958950</v>
      </c>
      <c r="W22" s="468">
        <v>0</v>
      </c>
      <c r="X22" s="469">
        <v>0</v>
      </c>
      <c r="Y22" s="470">
        <v>-1.9345512409487445775243339800</v>
      </c>
      <c r="Z22" s="468">
        <v>3.384912959425038067410200200</v>
      </c>
      <c r="AA22" s="469">
        <v>5.2175149274675006784949473800</v>
      </c>
      <c r="AB22" s="470">
        <v>3.0383164734435755807656964200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156.66743327219019071730412704</v>
      </c>
      <c r="E25" s="455">
        <v>208.47069843700897689384202274</v>
      </c>
      <c r="F25" s="456">
        <v>167.18298471628626545174992826</v>
      </c>
      <c r="G25" s="454">
        <v>0</v>
      </c>
      <c r="H25" s="455">
        <v>292.31210872220247945845838487</v>
      </c>
      <c r="I25" s="456">
        <v>200.9314220182840409842549746</v>
      </c>
      <c r="J25" s="454">
        <v>0</v>
      </c>
      <c r="K25" s="455">
        <v>0</v>
      </c>
      <c r="L25" s="456">
        <v>149.98001461012582783399867227</v>
      </c>
      <c r="M25" s="454">
        <v>156.66743327219019071730412704</v>
      </c>
      <c r="N25" s="455">
        <v>209.51959014199471712609326997</v>
      </c>
      <c r="O25" s="456">
        <v>169.73540839315533409093908153</v>
      </c>
      <c r="P25" s="5"/>
      <c r="Q25" s="427">
        <v>1.0873495136296490650053947800</v>
      </c>
      <c r="R25" s="428">
        <v>1.3108703804459745149269591500</v>
      </c>
      <c r="S25" s="429">
        <v>-1.2040726667601613305052074200</v>
      </c>
      <c r="T25" s="427">
        <v>-100</v>
      </c>
      <c r="U25" s="428">
        <v>67.016530336239459658710080530</v>
      </c>
      <c r="V25" s="429">
        <v>6.0839867471936268987117117400</v>
      </c>
      <c r="W25" s="427">
        <v>0</v>
      </c>
      <c r="X25" s="428">
        <v>0</v>
      </c>
      <c r="Y25" s="429">
        <v>1.5725025878081763197455025600</v>
      </c>
      <c r="Z25" s="427">
        <v>-0.3742373997994905901615990500</v>
      </c>
      <c r="AA25" s="428">
        <v>1.9121979153600752294731688500</v>
      </c>
      <c r="AB25" s="429">
        <v>0.7029914869493516654018046300</v>
      </c>
    </row>
    <row r="26" ht="18" customHeight="1">
      <c r="A26" s="58"/>
      <c r="B26" s="1043" t="s">
        <v>46</v>
      </c>
      <c r="C26" s="1043"/>
      <c r="D26" s="439">
        <v>150.01681041119292249019906836</v>
      </c>
      <c r="E26" s="95">
        <v>195.85799572770671903725961321</v>
      </c>
      <c r="F26" s="440">
        <v>167.10994568975966293752734571</v>
      </c>
      <c r="G26" s="439">
        <v>0</v>
      </c>
      <c r="H26" s="95">
        <v>251.83572543091746915697851264</v>
      </c>
      <c r="I26" s="440">
        <v>202.96610283446310363249114478</v>
      </c>
      <c r="J26" s="439">
        <v>0</v>
      </c>
      <c r="K26" s="95">
        <v>0</v>
      </c>
      <c r="L26" s="440">
        <v>147.6719460281858520782616757</v>
      </c>
      <c r="M26" s="439">
        <v>150.01681041119292249019906836</v>
      </c>
      <c r="N26" s="95">
        <v>198.16900291728881422568837512</v>
      </c>
      <c r="O26" s="440">
        <v>171.46343790290323738132276418</v>
      </c>
      <c r="P26" s="5"/>
      <c r="Q26" s="420">
        <v>0.321542439802997445287852300</v>
      </c>
      <c r="R26" s="91">
        <v>-5.8011078958719458079492939100</v>
      </c>
      <c r="S26" s="421">
        <v>0.8064910196504316607200768800</v>
      </c>
      <c r="T26" s="420">
        <v>-100</v>
      </c>
      <c r="U26" s="91">
        <v>34.796796576000573619152838820</v>
      </c>
      <c r="V26" s="421">
        <v>5.0518417358948918100747676900</v>
      </c>
      <c r="W26" s="420">
        <v>0</v>
      </c>
      <c r="X26" s="91">
        <v>0</v>
      </c>
      <c r="Y26" s="421">
        <v>-0.0521661875397853729024791400</v>
      </c>
      <c r="Z26" s="420">
        <v>-0.9801822274939826611313229700</v>
      </c>
      <c r="AA26" s="91">
        <v>-4.6437150949089021157681262700</v>
      </c>
      <c r="AB26" s="421">
        <v>2.2342597971100556794959006200</v>
      </c>
    </row>
    <row r="27" ht="18" customHeight="1">
      <c r="A27" s="58"/>
      <c r="B27" s="1043" t="s">
        <v>47</v>
      </c>
      <c r="C27" s="1043"/>
      <c r="D27" s="439">
        <v>164.46319508070877979928046596</v>
      </c>
      <c r="E27" s="95">
        <v>193.08990326062446562909676221</v>
      </c>
      <c r="F27" s="440">
        <v>172.5969957723030559428626272</v>
      </c>
      <c r="G27" s="439">
        <v>209.20990733540438458293856897</v>
      </c>
      <c r="H27" s="95">
        <v>264.97885484305734591970450329</v>
      </c>
      <c r="I27" s="440">
        <v>198.83013948735015438519513759</v>
      </c>
      <c r="J27" s="439">
        <v>0</v>
      </c>
      <c r="K27" s="95">
        <v>0</v>
      </c>
      <c r="L27" s="440">
        <v>155.38779504639377924049598137</v>
      </c>
      <c r="M27" s="439">
        <v>166.52469672929909221478774984</v>
      </c>
      <c r="N27" s="95">
        <v>196.82979091520189870779889903</v>
      </c>
      <c r="O27" s="440">
        <v>175.87622986780945701814170212</v>
      </c>
      <c r="P27" s="93"/>
      <c r="Q27" s="420">
        <v>12.283334377906337275173302420</v>
      </c>
      <c r="R27" s="91">
        <v>-5.8927988666121416665079635800</v>
      </c>
      <c r="S27" s="421">
        <v>1.2262822943062132200355103800</v>
      </c>
      <c r="T27" s="420">
        <v>33.285259660056027053155378480</v>
      </c>
      <c r="U27" s="91">
        <v>12.506446523402635161262132990</v>
      </c>
      <c r="V27" s="421">
        <v>-1.2772408737271896735250467700</v>
      </c>
      <c r="W27" s="420">
        <v>0</v>
      </c>
      <c r="X27" s="91">
        <v>0</v>
      </c>
      <c r="Y27" s="421">
        <v>9.108061294154870437533760110</v>
      </c>
      <c r="Z27" s="420">
        <v>11.629615936085874882681791200</v>
      </c>
      <c r="AA27" s="91">
        <v>-4.1404987720904441360246502400</v>
      </c>
      <c r="AB27" s="421">
        <v>2.0134799678469498579085423100</v>
      </c>
    </row>
    <row r="28" ht="18" customHeight="1">
      <c r="A28" s="58"/>
      <c r="B28" s="1043" t="s">
        <v>48</v>
      </c>
      <c r="C28" s="1043"/>
      <c r="D28" s="439">
        <v>151.55360744900744657699751525</v>
      </c>
      <c r="E28" s="95">
        <v>196.45597218122384859776470449</v>
      </c>
      <c r="F28" s="440">
        <v>171.30621522118339020093673892</v>
      </c>
      <c r="G28" s="439">
        <v>201.84242116737526790483636121</v>
      </c>
      <c r="H28" s="95">
        <v>253.10751052657599652323304605</v>
      </c>
      <c r="I28" s="440">
        <v>195.37736947899063507029605523</v>
      </c>
      <c r="J28" s="439">
        <v>0</v>
      </c>
      <c r="K28" s="95">
        <v>0</v>
      </c>
      <c r="L28" s="440">
        <v>153.77938263731889093575712142</v>
      </c>
      <c r="M28" s="439">
        <v>154.95478325604681613540207488</v>
      </c>
      <c r="N28" s="95">
        <v>199.93735163261420405687169754</v>
      </c>
      <c r="O28" s="440">
        <v>174.23611023426508953309504157</v>
      </c>
      <c r="P28" s="5"/>
      <c r="Q28" s="420">
        <v>4.408958995353813095307522500</v>
      </c>
      <c r="R28" s="91">
        <v>-0.2288265976184294797810739800</v>
      </c>
      <c r="S28" s="421">
        <v>-1.3167246333735680817421533200</v>
      </c>
      <c r="T28" s="420">
        <v>26.832342602171134156466916550</v>
      </c>
      <c r="U28" s="91">
        <v>2.075718324799331583998678400</v>
      </c>
      <c r="V28" s="421">
        <v>-4.5372639412579321981855051900</v>
      </c>
      <c r="W28" s="420">
        <v>0</v>
      </c>
      <c r="X28" s="91">
        <v>0</v>
      </c>
      <c r="Y28" s="421">
        <v>6.0273917524352697788600920200</v>
      </c>
      <c r="Z28" s="420">
        <v>4.3707714422934691370522168200</v>
      </c>
      <c r="AA28" s="91">
        <v>1.3596258562538740300561297900</v>
      </c>
      <c r="AB28" s="421">
        <v>-0.7977368400891739985296744600</v>
      </c>
    </row>
    <row r="29" ht="18" customHeight="1">
      <c r="A29" s="58"/>
      <c r="B29" s="1043" t="s">
        <v>49</v>
      </c>
      <c r="C29" s="1043"/>
      <c r="D29" s="439">
        <v>154.20373474505424879729576057</v>
      </c>
      <c r="E29" s="95">
        <v>210.16222768061071788860728348</v>
      </c>
      <c r="F29" s="440">
        <v>179.998560743449060316148609</v>
      </c>
      <c r="G29" s="439">
        <v>215.10890248919440212701360998</v>
      </c>
      <c r="H29" s="95">
        <v>256.41632879595350671517432952</v>
      </c>
      <c r="I29" s="440">
        <v>200.21975504786755471522279746</v>
      </c>
      <c r="J29" s="439">
        <v>0</v>
      </c>
      <c r="K29" s="95">
        <v>0</v>
      </c>
      <c r="L29" s="440">
        <v>143.8571190353338617206615652</v>
      </c>
      <c r="M29" s="439">
        <v>156.3297878285252603098321126</v>
      </c>
      <c r="N29" s="95">
        <v>211.23065735026252436775801408</v>
      </c>
      <c r="O29" s="440">
        <v>180.40156181382775151700239374</v>
      </c>
      <c r="P29" s="93"/>
      <c r="Q29" s="420">
        <v>-6.5588170247399639482681111700</v>
      </c>
      <c r="R29" s="91">
        <v>-1.7490562881150824727606599700</v>
      </c>
      <c r="S29" s="421">
        <v>0.3794209890541530708759214900</v>
      </c>
      <c r="T29" s="420">
        <v>29.977945891511643457740881630</v>
      </c>
      <c r="U29" s="91">
        <v>0.9541616104142440616326357600</v>
      </c>
      <c r="V29" s="421">
        <v>6.8362490302509833436773193700</v>
      </c>
      <c r="W29" s="420">
        <v>0</v>
      </c>
      <c r="X29" s="91">
        <v>0</v>
      </c>
      <c r="Y29" s="421">
        <v>0.6385066633996656249487099200</v>
      </c>
      <c r="Z29" s="420">
        <v>-5.3354572705027706705964413900</v>
      </c>
      <c r="AA29" s="91">
        <v>-1.3587588704514578721288339300</v>
      </c>
      <c r="AB29" s="421">
        <v>2.029685673410106328624314900</v>
      </c>
    </row>
    <row r="30" ht="18" customHeight="1">
      <c r="A30" s="58"/>
      <c r="B30" s="1044" t="s">
        <v>75</v>
      </c>
      <c r="C30" s="1044"/>
      <c r="D30" s="457">
        <v>155.08505899143413660130379064</v>
      </c>
      <c r="E30" s="458">
        <v>201.50332603724146071190117049</v>
      </c>
      <c r="F30" s="459">
        <v>171.45149289724876818597618619</v>
      </c>
      <c r="G30" s="457">
        <v>207.50012193072075605491298639</v>
      </c>
      <c r="H30" s="458">
        <v>259.3274060501438469579870268</v>
      </c>
      <c r="I30" s="459">
        <v>199.65278315258530208554898563</v>
      </c>
      <c r="J30" s="457">
        <v>0</v>
      </c>
      <c r="K30" s="458">
        <v>0</v>
      </c>
      <c r="L30" s="459">
        <v>149.97868261726727163892489164</v>
      </c>
      <c r="M30" s="457">
        <v>156.54103296196987603057071275</v>
      </c>
      <c r="N30" s="458">
        <v>203.59444842764516335916528168</v>
      </c>
      <c r="O30" s="459">
        <v>174.23031106979192662802907716</v>
      </c>
      <c r="P30" s="5"/>
      <c r="Q30" s="430">
        <v>1.6162184654877403973879691200</v>
      </c>
      <c r="R30" s="431">
        <v>-2.1898591610557271551733675900</v>
      </c>
      <c r="S30" s="432">
        <v>-0.2076121829116208233994503700</v>
      </c>
      <c r="T30" s="430">
        <v>28.062440388575945212193690790</v>
      </c>
      <c r="U30" s="431">
        <v>13.361682497291481287175076070</v>
      </c>
      <c r="V30" s="432">
        <v>1.9720930793086095865083011600</v>
      </c>
      <c r="W30" s="430">
        <v>0</v>
      </c>
      <c r="X30" s="431">
        <v>0</v>
      </c>
      <c r="Y30" s="432">
        <v>3.2699049107019298986073063700</v>
      </c>
      <c r="Z30" s="430">
        <v>1.2746093125732749719860323300</v>
      </c>
      <c r="AA30" s="431">
        <v>-1.2114179513985878420284489500</v>
      </c>
      <c r="AB30" s="432">
        <v>1.1085018953602622437038505700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214.21306272969459522295570784</v>
      </c>
      <c r="E32" s="494">
        <v>247.24821725936582139068597678</v>
      </c>
      <c r="F32" s="495">
        <v>209.80176081690107985423042895</v>
      </c>
      <c r="G32" s="493">
        <v>257.16114516967769551051884968</v>
      </c>
      <c r="H32" s="494">
        <v>278.04097883509158399668179736</v>
      </c>
      <c r="I32" s="495">
        <v>205.24797073846302004757963237</v>
      </c>
      <c r="J32" s="493">
        <v>0</v>
      </c>
      <c r="K32" s="494">
        <v>0</v>
      </c>
      <c r="L32" s="495">
        <v>146.08717218093952801785272166</v>
      </c>
      <c r="M32" s="493">
        <v>214.30198215503617514073534166</v>
      </c>
      <c r="N32" s="494">
        <v>248.13958667339998820296480318</v>
      </c>
      <c r="O32" s="495">
        <v>203.18265041432896931985358023</v>
      </c>
      <c r="P32" s="93"/>
      <c r="Q32" s="479">
        <v>4.5519561656329130049600107700</v>
      </c>
      <c r="R32" s="480">
        <v>-1.3391967960144291485578003700</v>
      </c>
      <c r="S32" s="481">
        <v>3.8010936989861878941022825500</v>
      </c>
      <c r="T32" s="479">
        <v>25.044362425878161613648625020</v>
      </c>
      <c r="U32" s="480">
        <v>22.656781049754693801010005930</v>
      </c>
      <c r="V32" s="481">
        <v>6.6363744228587986656841600900</v>
      </c>
      <c r="W32" s="479">
        <v>0</v>
      </c>
      <c r="X32" s="480">
        <v>0</v>
      </c>
      <c r="Y32" s="481">
        <v>4.209171254992563944214384500</v>
      </c>
      <c r="Z32" s="479">
        <v>4.5569441635025178380001638600</v>
      </c>
      <c r="AA32" s="480">
        <v>-0.8341411127918695617430262800</v>
      </c>
      <c r="AB32" s="481">
        <v>4.3156844712884171220834713800</v>
      </c>
    </row>
    <row r="33" ht="18" customHeight="1">
      <c r="A33" s="58"/>
      <c r="B33" s="1046" t="s">
        <v>51</v>
      </c>
      <c r="C33" s="1046"/>
      <c r="D33" s="276">
        <v>220.41576635772513029835568925</v>
      </c>
      <c r="E33" s="94">
        <v>262.43568652005060728899431962</v>
      </c>
      <c r="F33" s="277">
        <v>209.59794898823695075901702364</v>
      </c>
      <c r="G33" s="276">
        <v>0</v>
      </c>
      <c r="H33" s="94">
        <v>261.20153688378354198642289952</v>
      </c>
      <c r="I33" s="277">
        <v>208.55123020919497341503361577</v>
      </c>
      <c r="J33" s="276">
        <v>0</v>
      </c>
      <c r="K33" s="94">
        <v>0</v>
      </c>
      <c r="L33" s="277">
        <v>147.77734544545582119662884973</v>
      </c>
      <c r="M33" s="276">
        <v>220.41576635772513029835568925</v>
      </c>
      <c r="N33" s="94">
        <v>262.41156974720936472148442781</v>
      </c>
      <c r="O33" s="277">
        <v>203.89436101808036010575964922</v>
      </c>
      <c r="P33" s="5"/>
      <c r="Q33" s="271">
        <v>4.6370155713489213716592991900</v>
      </c>
      <c r="R33" s="92">
        <v>-1.3309451533676740516363251400</v>
      </c>
      <c r="S33" s="272">
        <v>1.9336821731403594015846449100</v>
      </c>
      <c r="T33" s="271">
        <v>-100</v>
      </c>
      <c r="U33" s="92">
        <v>21.669689484413547465001975980</v>
      </c>
      <c r="V33" s="272">
        <v>6.7464688790209134885015287100</v>
      </c>
      <c r="W33" s="271">
        <v>0</v>
      </c>
      <c r="X33" s="92">
        <v>0</v>
      </c>
      <c r="Y33" s="272">
        <v>2.0134414869405812609467225500</v>
      </c>
      <c r="Z33" s="271">
        <v>4.5647251602284842031089401100</v>
      </c>
      <c r="AA33" s="92">
        <v>-1.0032662694745147933785019100</v>
      </c>
      <c r="AB33" s="272">
        <v>2.5691521958870084501672604600</v>
      </c>
    </row>
    <row r="34" ht="18" customHeight="1">
      <c r="A34" s="58"/>
      <c r="B34" s="1047" t="s">
        <v>76</v>
      </c>
      <c r="C34" s="1047"/>
      <c r="D34" s="443">
        <v>217.34625593810427002490313171</v>
      </c>
      <c r="E34" s="444">
        <v>254.99980484310321322025157945</v>
      </c>
      <c r="F34" s="445">
        <v>209.69709376041897898011904449</v>
      </c>
      <c r="G34" s="443">
        <v>257.16114516967769551051884968</v>
      </c>
      <c r="H34" s="444">
        <v>271.1247794622329238853254643</v>
      </c>
      <c r="I34" s="445">
        <v>206.77284418197998386135689519</v>
      </c>
      <c r="J34" s="443">
        <v>0</v>
      </c>
      <c r="K34" s="444">
        <v>0</v>
      </c>
      <c r="L34" s="445">
        <v>146.93270524036738308404447723</v>
      </c>
      <c r="M34" s="633">
        <v>217.38709172193152482027299398</v>
      </c>
      <c r="N34" s="634">
        <v>255.3895323263450189160841809</v>
      </c>
      <c r="O34" s="635">
        <v>203.54117053775766055963310739</v>
      </c>
      <c r="P34" s="93"/>
      <c r="Q34" s="273">
        <v>4.3748219192198436460917319800</v>
      </c>
      <c r="R34" s="274">
        <v>-1.6372861637293314179767587800</v>
      </c>
      <c r="S34" s="275">
        <v>2.7380358059564926470201551300</v>
      </c>
      <c r="T34" s="273">
        <v>23.538676359391846878386055610</v>
      </c>
      <c r="U34" s="274">
        <v>23.460512437784769918808801520</v>
      </c>
      <c r="V34" s="275">
        <v>6.6036690197658268016858101200</v>
      </c>
      <c r="W34" s="273">
        <v>0</v>
      </c>
      <c r="X34" s="274">
        <v>0</v>
      </c>
      <c r="Y34" s="275">
        <v>2.9314305400794638583619929400</v>
      </c>
      <c r="Z34" s="273">
        <v>4.3964109803964505047223131400</v>
      </c>
      <c r="AA34" s="274">
        <v>-1.2328643327586337807131300700</v>
      </c>
      <c r="AB34" s="275">
        <v>3.3104620396234056971152710800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174.32251908396946564885496183</v>
      </c>
      <c r="E36" s="483">
        <v>218.51558387647087662701140996</v>
      </c>
      <c r="F36" s="484">
        <v>183.20283888796255426092472599</v>
      </c>
      <c r="G36" s="482">
        <v>210.82539682539682539682539683</v>
      </c>
      <c r="H36" s="483">
        <v>261.81668275246688530821372149</v>
      </c>
      <c r="I36" s="484">
        <v>202.02706606107452828708996065</v>
      </c>
      <c r="J36" s="482">
        <v>0</v>
      </c>
      <c r="K36" s="483">
        <v>0</v>
      </c>
      <c r="L36" s="484">
        <v>150.75703619113191338186018465</v>
      </c>
      <c r="M36" s="482">
        <v>175.03960087309011537262238853</v>
      </c>
      <c r="N36" s="483">
        <v>219.91975408728550195919470341</v>
      </c>
      <c r="O36" s="484">
        <v>183.27718319508674056130563508</v>
      </c>
      <c r="P36" s="93"/>
      <c r="Q36" s="468">
        <v>1.3352067268687220370950639400</v>
      </c>
      <c r="R36" s="469">
        <v>-2.211300165414371814664851100</v>
      </c>
      <c r="S36" s="470">
        <v>0.5550161805526614433419646800</v>
      </c>
      <c r="T36" s="468">
        <v>26.546168380650674076757550470</v>
      </c>
      <c r="U36" s="469">
        <v>17.663794664262945298557425550</v>
      </c>
      <c r="V36" s="470">
        <v>2.0118084753953446175288982400</v>
      </c>
      <c r="W36" s="468">
        <v>0</v>
      </c>
      <c r="X36" s="469">
        <v>0</v>
      </c>
      <c r="Y36" s="470">
        <v>3.5653546609235521685819290500</v>
      </c>
      <c r="Z36" s="468">
        <v>2.2584314520629771120486298800</v>
      </c>
      <c r="AA36" s="469">
        <v>-1.5781842027727837376098714700</v>
      </c>
      <c r="AB36" s="470">
        <v>1.4812029870946824107259439800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119.63694904421796382048678804</v>
      </c>
      <c r="E39" s="455">
        <v>143.50541101710385386180753206</v>
      </c>
      <c r="F39" s="456">
        <v>83.67464998462398445825797131</v>
      </c>
      <c r="G39" s="454">
        <v>0</v>
      </c>
      <c r="H39" s="455">
        <v>2.5492335062982774371377184751</v>
      </c>
      <c r="I39" s="456">
        <v>17.242558014025758534289008217</v>
      </c>
      <c r="J39" s="454">
        <v>0</v>
      </c>
      <c r="K39" s="455">
        <v>0</v>
      </c>
      <c r="L39" s="456">
        <v>10.680886421088761917330398535</v>
      </c>
      <c r="M39" s="454">
        <v>119.63694904421796382048678792</v>
      </c>
      <c r="N39" s="455">
        <v>146.05464452340213129894525041</v>
      </c>
      <c r="O39" s="456">
        <v>111.59809441973850490987737796</v>
      </c>
      <c r="P39" s="5"/>
      <c r="Q39" s="427">
        <v>16.853266410261162842921243540</v>
      </c>
      <c r="R39" s="428">
        <v>3.6750825673470829755376684600</v>
      </c>
      <c r="S39" s="429">
        <v>-0.2995057846128668500806506400</v>
      </c>
      <c r="T39" s="427">
        <v>-100</v>
      </c>
      <c r="U39" s="428">
        <v>257.89256499556488635479646476</v>
      </c>
      <c r="V39" s="429">
        <v>60.568643206455938822136292190</v>
      </c>
      <c r="W39" s="427">
        <v>0</v>
      </c>
      <c r="X39" s="428">
        <v>0</v>
      </c>
      <c r="Y39" s="429">
        <v>-0.4699926923830121921747228100</v>
      </c>
      <c r="Z39" s="427">
        <v>3.5286275267913710312032145800</v>
      </c>
      <c r="AA39" s="428">
        <v>4.9765681275448423334700413700</v>
      </c>
      <c r="AB39" s="429">
        <v>5.8847941932667919621869665300</v>
      </c>
    </row>
    <row r="40" ht="18" customHeight="1">
      <c r="A40" s="58"/>
      <c r="B40" s="1043" t="s">
        <v>46</v>
      </c>
      <c r="C40" s="1043"/>
      <c r="D40" s="439">
        <v>104.10257449746417954622905057</v>
      </c>
      <c r="E40" s="95">
        <v>118.99511949735669848484668372</v>
      </c>
      <c r="F40" s="440">
        <v>77.588309342851431738879208231</v>
      </c>
      <c r="G40" s="439">
        <v>0</v>
      </c>
      <c r="H40" s="95">
        <v>6.5887253746460965767814145811</v>
      </c>
      <c r="I40" s="440">
        <v>23.465760937565738581732215853</v>
      </c>
      <c r="J40" s="439">
        <v>0</v>
      </c>
      <c r="K40" s="95">
        <v>0</v>
      </c>
      <c r="L40" s="440">
        <v>10.037476781284345438624058114</v>
      </c>
      <c r="M40" s="439">
        <v>104.10257449746417954622905047</v>
      </c>
      <c r="N40" s="95">
        <v>125.58384487200279506162809819</v>
      </c>
      <c r="O40" s="440">
        <v>111.09154706170151575923548209</v>
      </c>
      <c r="P40" s="5"/>
      <c r="Q40" s="420">
        <v>14.510321339413174853572437480</v>
      </c>
      <c r="R40" s="91">
        <v>-6.1379334933924971100485949200</v>
      </c>
      <c r="S40" s="421">
        <v>0.0555148000206288910867237500</v>
      </c>
      <c r="T40" s="420">
        <v>-100</v>
      </c>
      <c r="U40" s="91">
        <v>1113.1711691593295518868529644</v>
      </c>
      <c r="V40" s="421">
        <v>36.826459845842737949565109340</v>
      </c>
      <c r="W40" s="420">
        <v>0</v>
      </c>
      <c r="X40" s="91">
        <v>0</v>
      </c>
      <c r="Y40" s="421">
        <v>-0.1154380013621587551985569800</v>
      </c>
      <c r="Z40" s="420">
        <v>-11.510094556482928433683533070</v>
      </c>
      <c r="AA40" s="91">
        <v>-1.3633684017944487668347073200</v>
      </c>
      <c r="AB40" s="421">
        <v>6.0596991176815082639472763700</v>
      </c>
    </row>
    <row r="41" ht="18" customHeight="1">
      <c r="A41" s="58"/>
      <c r="B41" s="1043" t="s">
        <v>47</v>
      </c>
      <c r="C41" s="1043"/>
      <c r="D41" s="439">
        <v>109.64213005380585319952031075</v>
      </c>
      <c r="E41" s="95">
        <v>115.06811095473260306385126828</v>
      </c>
      <c r="F41" s="440">
        <v>84.69813106224636068692650505</v>
      </c>
      <c r="G41" s="439">
        <v>6.7359250467838532914961281742</v>
      </c>
      <c r="H41" s="95">
        <v>8.665732898210450993013592049</v>
      </c>
      <c r="I41" s="440">
        <v>26.853248726178670288398435023</v>
      </c>
      <c r="J41" s="439">
        <v>0</v>
      </c>
      <c r="K41" s="95">
        <v>0</v>
      </c>
      <c r="L41" s="440">
        <v>11.198741933220312917797423409</v>
      </c>
      <c r="M41" s="439">
        <v>116.37805510058970649101643881</v>
      </c>
      <c r="N41" s="95">
        <v>123.73384385294305405686486022</v>
      </c>
      <c r="O41" s="440">
        <v>122.75012172164534389312236336</v>
      </c>
      <c r="P41" s="93"/>
      <c r="Q41" s="420">
        <v>27.085960453510520716495315670</v>
      </c>
      <c r="R41" s="91">
        <v>-8.242681415769033494847627500</v>
      </c>
      <c r="S41" s="421">
        <v>-1.4343490820414476600215206600</v>
      </c>
      <c r="T41" s="420">
        <v>-79.019912831300843398749161500</v>
      </c>
      <c r="U41" s="91">
        <v>360.25364487814737390975350364</v>
      </c>
      <c r="V41" s="421">
        <v>24.535492363190327568358476630</v>
      </c>
      <c r="W41" s="420">
        <v>0</v>
      </c>
      <c r="X41" s="91">
        <v>0</v>
      </c>
      <c r="Y41" s="421">
        <v>9.800290717634551889025577610</v>
      </c>
      <c r="Z41" s="420">
        <v>-1.6913406195166072926974415400</v>
      </c>
      <c r="AA41" s="91">
        <v>-2.791947758312071367810059300</v>
      </c>
      <c r="AB41" s="421">
        <v>4.2972336874010895076564100400</v>
      </c>
    </row>
    <row r="42" ht="18" customHeight="1">
      <c r="A42" s="58"/>
      <c r="B42" s="1043" t="s">
        <v>48</v>
      </c>
      <c r="C42" s="1043"/>
      <c r="D42" s="439">
        <v>110.7948721123425651112140927</v>
      </c>
      <c r="E42" s="95">
        <v>119.92951790132851222537961623</v>
      </c>
      <c r="F42" s="440">
        <v>87.09794809364233355588284464</v>
      </c>
      <c r="G42" s="439">
        <v>10.703764758875961176771625226</v>
      </c>
      <c r="H42" s="95">
        <v>10.116942644594244047076902286</v>
      </c>
      <c r="I42" s="440">
        <v>26.957344664272496793868703149</v>
      </c>
      <c r="J42" s="439">
        <v>0</v>
      </c>
      <c r="K42" s="95">
        <v>0</v>
      </c>
      <c r="L42" s="440">
        <v>10.658800202262263093622438898</v>
      </c>
      <c r="M42" s="439">
        <v>121.4986368712185262879857178</v>
      </c>
      <c r="N42" s="95">
        <v>130.04646054592275627245651839</v>
      </c>
      <c r="O42" s="440">
        <v>124.71409296017709344337398656</v>
      </c>
      <c r="P42" s="5"/>
      <c r="Q42" s="420">
        <v>33.009432911533832154138364620</v>
      </c>
      <c r="R42" s="91">
        <v>-5.621862997760117189276626600</v>
      </c>
      <c r="S42" s="421">
        <v>-6.6162618177239803148201845700</v>
      </c>
      <c r="T42" s="420">
        <v>-62.220153267432324335073557560</v>
      </c>
      <c r="U42" s="91">
        <v>461.41645079653965385027511267</v>
      </c>
      <c r="V42" s="421">
        <v>10.972489327611297526974557260</v>
      </c>
      <c r="W42" s="420">
        <v>0</v>
      </c>
      <c r="X42" s="91">
        <v>0</v>
      </c>
      <c r="Y42" s="421">
        <v>-3.9634950215660429549905575700</v>
      </c>
      <c r="Z42" s="420">
        <v>8.840048808836347669306576320</v>
      </c>
      <c r="AA42" s="91">
        <v>0.9086375321177638558516134700</v>
      </c>
      <c r="AB42" s="421">
        <v>-3.0665291816351423281353827700</v>
      </c>
    </row>
    <row r="43" ht="18" customHeight="1">
      <c r="A43" s="58"/>
      <c r="B43" s="1043" t="s">
        <v>49</v>
      </c>
      <c r="C43" s="1043"/>
      <c r="D43" s="439">
        <v>137.26468812533238055819887791</v>
      </c>
      <c r="E43" s="95">
        <v>155.0251897498690978611456344</v>
      </c>
      <c r="F43" s="440">
        <v>99.02061827230721176020826656</v>
      </c>
      <c r="G43" s="439">
        <v>6.9258548149930015836349079038</v>
      </c>
      <c r="H43" s="95">
        <v>4.472377827836398372939087147</v>
      </c>
      <c r="I43" s="440">
        <v>30.023220730171964911476558677</v>
      </c>
      <c r="J43" s="439">
        <v>0</v>
      </c>
      <c r="K43" s="95">
        <v>0</v>
      </c>
      <c r="L43" s="440">
        <v>10.748839668405676735399777428</v>
      </c>
      <c r="M43" s="439">
        <v>144.19054294032538214183378568</v>
      </c>
      <c r="N43" s="95">
        <v>159.49756757770549623408472139</v>
      </c>
      <c r="O43" s="440">
        <v>139.79267867088485340708460252</v>
      </c>
      <c r="P43" s="93"/>
      <c r="Q43" s="420">
        <v>31.883951947002517378049936590</v>
      </c>
      <c r="R43" s="91">
        <v>5.3059217186617144239920136200</v>
      </c>
      <c r="S43" s="421">
        <v>0.530811289517689669979912600</v>
      </c>
      <c r="T43" s="420">
        <v>-79.154480375902475491978757840</v>
      </c>
      <c r="U43" s="91">
        <v>120.26362533377593091097245673</v>
      </c>
      <c r="V43" s="421">
        <v>38.203127649793182552891087360</v>
      </c>
      <c r="W43" s="420">
        <v>0</v>
      </c>
      <c r="X43" s="91">
        <v>0</v>
      </c>
      <c r="Y43" s="421">
        <v>-2.2113667814305426108113768100</v>
      </c>
      <c r="Z43" s="420">
        <v>5.0151077659921547607312659700</v>
      </c>
      <c r="AA43" s="91">
        <v>6.8699160934625440325875142200</v>
      </c>
      <c r="AB43" s="421">
        <v>6.5381951094992261553927899800</v>
      </c>
    </row>
    <row r="44" ht="18" customHeight="1">
      <c r="A44" s="58"/>
      <c r="B44" s="1044" t="s">
        <v>75</v>
      </c>
      <c r="C44" s="1044"/>
      <c r="D44" s="457">
        <v>115.88656267610608692315055991</v>
      </c>
      <c r="E44" s="458">
        <v>130.57245122709198246976259791</v>
      </c>
      <c r="F44" s="459">
        <v>85.8900721068254865908071074</v>
      </c>
      <c r="G44" s="457">
        <v>4.4300990219368756458004838728</v>
      </c>
      <c r="H44" s="458">
        <v>6.3050003585130110782597268728</v>
      </c>
      <c r="I44" s="459">
        <v>24.494402329111364252503677628</v>
      </c>
      <c r="J44" s="457">
        <v>0</v>
      </c>
      <c r="K44" s="458">
        <v>0</v>
      </c>
      <c r="L44" s="459">
        <v>10.637151964882661262138674645</v>
      </c>
      <c r="M44" s="457">
        <v>120.31666169804296256895104368</v>
      </c>
      <c r="N44" s="458">
        <v>136.87745158560499354802232468</v>
      </c>
      <c r="O44" s="459">
        <v>121.02162640081951210544945955</v>
      </c>
      <c r="P44" s="5"/>
      <c r="Q44" s="430">
        <v>23.523556217172705833278903730</v>
      </c>
      <c r="R44" s="431">
        <v>-1.9995374361803682526208827600</v>
      </c>
      <c r="S44" s="432">
        <v>-2.0052622594645931951599085900</v>
      </c>
      <c r="T44" s="430">
        <v>-83.00679806504968098752228643</v>
      </c>
      <c r="U44" s="431">
        <v>363.03334160571134868350801626</v>
      </c>
      <c r="V44" s="432">
        <v>31.017224143722773296552105430</v>
      </c>
      <c r="W44" s="430">
        <v>0</v>
      </c>
      <c r="X44" s="431">
        <v>0</v>
      </c>
      <c r="Y44" s="432">
        <v>0.1650455123787768305056582200</v>
      </c>
      <c r="Z44" s="430">
        <v>0.3582132705810395775636564800</v>
      </c>
      <c r="AA44" s="431">
        <v>1.6933447794757821114397674400</v>
      </c>
      <c r="AB44" s="432">
        <v>3.4701673689224818860808694600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195.55056105248635397247093046</v>
      </c>
      <c r="E46" s="494">
        <v>198.91262827479503217986146552</v>
      </c>
      <c r="F46" s="495">
        <v>129.41896572450437232898151392</v>
      </c>
      <c r="G46" s="493">
        <v>0.4870476234274198778608311552</v>
      </c>
      <c r="H46" s="494">
        <v>6.6681339400857719999204210187</v>
      </c>
      <c r="I46" s="495">
        <v>31.176696247281134019446095248</v>
      </c>
      <c r="J46" s="493">
        <v>0</v>
      </c>
      <c r="K46" s="494">
        <v>0</v>
      </c>
      <c r="L46" s="495">
        <v>11.207704223872901722390409399</v>
      </c>
      <c r="M46" s="493">
        <v>196.0376086759137738503317614</v>
      </c>
      <c r="N46" s="494">
        <v>205.58076221488080417978188636</v>
      </c>
      <c r="O46" s="495">
        <v>171.80336619565840807081801839</v>
      </c>
      <c r="P46" s="93"/>
      <c r="Q46" s="479">
        <v>33.317573735073301728402824710</v>
      </c>
      <c r="R46" s="480">
        <v>9.436381910620166566967163660</v>
      </c>
      <c r="S46" s="481">
        <v>6.3553380128709522389764893600</v>
      </c>
      <c r="T46" s="479">
        <v>-96.95013750180853695727882399</v>
      </c>
      <c r="U46" s="480">
        <v>152.97961091221742870528977122</v>
      </c>
      <c r="V46" s="481">
        <v>41.559137131055130917034688990</v>
      </c>
      <c r="W46" s="479">
        <v>0</v>
      </c>
      <c r="X46" s="480">
        <v>0</v>
      </c>
      <c r="Y46" s="481">
        <v>4.9888108127154356447057034400</v>
      </c>
      <c r="Z46" s="479">
        <v>20.527455921213124261988331150</v>
      </c>
      <c r="AA46" s="480">
        <v>11.488243719376473601425685050</v>
      </c>
      <c r="AB46" s="481">
        <v>11.282866452649477931131079460</v>
      </c>
    </row>
    <row r="47" ht="18" customHeight="1">
      <c r="A47" s="58"/>
      <c r="B47" s="1046" t="s">
        <v>51</v>
      </c>
      <c r="C47" s="1046"/>
      <c r="D47" s="276">
        <v>205.38741865151659868710416518</v>
      </c>
      <c r="E47" s="94">
        <v>220.09504523556569826417110838</v>
      </c>
      <c r="F47" s="277">
        <v>136.49477160268782828137759798</v>
      </c>
      <c r="G47" s="276">
        <v>0</v>
      </c>
      <c r="H47" s="94">
        <v>4.3660140612841725768079409118</v>
      </c>
      <c r="I47" s="277">
        <v>27.162625085096815038755189278</v>
      </c>
      <c r="J47" s="276">
        <v>0</v>
      </c>
      <c r="K47" s="94">
        <v>0</v>
      </c>
      <c r="L47" s="277">
        <v>11.349357655994268707277859064</v>
      </c>
      <c r="M47" s="276">
        <v>205.38741865151659868710416498</v>
      </c>
      <c r="N47" s="94">
        <v>224.46105929684987084097904908</v>
      </c>
      <c r="O47" s="277">
        <v>175.00675434377891202741064615</v>
      </c>
      <c r="P47" s="5"/>
      <c r="Q47" s="271">
        <v>22.574789669241249016744572210</v>
      </c>
      <c r="R47" s="92">
        <v>11.108596109491921430512369240</v>
      </c>
      <c r="S47" s="272">
        <v>4.8381211631811737248651230100</v>
      </c>
      <c r="T47" s="271">
        <v>-100</v>
      </c>
      <c r="U47" s="92">
        <v>52.087111853089779586753375160</v>
      </c>
      <c r="V47" s="272">
        <v>43.422862298076635595069680620</v>
      </c>
      <c r="W47" s="271">
        <v>0</v>
      </c>
      <c r="X47" s="92">
        <v>0</v>
      </c>
      <c r="Y47" s="272">
        <v>6.0577423718622036267268826600</v>
      </c>
      <c r="Z47" s="271">
        <v>20.200571913180097439930941600</v>
      </c>
      <c r="AA47" s="92">
        <v>11.693975844335407644216459230</v>
      </c>
      <c r="AB47" s="272">
        <v>9.491659331716443262611657460</v>
      </c>
    </row>
    <row r="48" ht="18" customHeight="1">
      <c r="A48" s="58"/>
      <c r="B48" s="1047" t="s">
        <v>76</v>
      </c>
      <c r="C48" s="1047"/>
      <c r="D48" s="443">
        <v>200.46898985200147632978754781</v>
      </c>
      <c r="E48" s="444">
        <v>209.50383675518036522201628694</v>
      </c>
      <c r="F48" s="445">
        <v>132.95686866359610030517955595</v>
      </c>
      <c r="G48" s="443">
        <v>0.2435238117137099389304155776</v>
      </c>
      <c r="H48" s="444">
        <v>5.5170740006849722883641809647</v>
      </c>
      <c r="I48" s="445">
        <v>29.169660666188974529100642263</v>
      </c>
      <c r="J48" s="443">
        <v>0</v>
      </c>
      <c r="K48" s="444">
        <v>0</v>
      </c>
      <c r="L48" s="445">
        <v>11.278530939933585214834134232</v>
      </c>
      <c r="M48" s="443">
        <v>200.71251366371518626871796319</v>
      </c>
      <c r="N48" s="444">
        <v>215.02091075586533751038046771</v>
      </c>
      <c r="O48" s="445">
        <v>173.40506026971866004911433227</v>
      </c>
      <c r="P48" s="93"/>
      <c r="Q48" s="273">
        <v>26.654165136178390453828888870</v>
      </c>
      <c r="R48" s="274">
        <v>9.784053524256400820098818230</v>
      </c>
      <c r="S48" s="275">
        <v>5.1762556468027822001008028200</v>
      </c>
      <c r="T48" s="273">
        <v>-97.27488213914038012881667358</v>
      </c>
      <c r="U48" s="274">
        <v>99.43621239670413273047941051</v>
      </c>
      <c r="V48" s="275">
        <v>43.622646021180387674241007840</v>
      </c>
      <c r="W48" s="273">
        <v>0</v>
      </c>
      <c r="X48" s="274">
        <v>0</v>
      </c>
      <c r="Y48" s="275">
        <v>5.509683148004951012411663900</v>
      </c>
      <c r="Z48" s="273">
        <v>20.031250832365517228836193210</v>
      </c>
      <c r="AA48" s="274">
        <v>11.065092756081497494109422060</v>
      </c>
      <c r="AB48" s="275">
        <v>10.159378346260789273330361210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138.40151515151515151515151515</v>
      </c>
      <c r="E50" s="483">
        <v>151.62694730033022747345239408</v>
      </c>
      <c r="F50" s="484">
        <v>98.41238444454318236571189188</v>
      </c>
      <c r="G50" s="482">
        <v>3.354040404040404040404040404</v>
      </c>
      <c r="H50" s="483">
        <v>6.0887600640108577978654353839</v>
      </c>
      <c r="I50" s="484">
        <v>25.704223907245823894271112781</v>
      </c>
      <c r="J50" s="482">
        <v>0</v>
      </c>
      <c r="K50" s="483">
        <v>0</v>
      </c>
      <c r="L50" s="484">
        <v>10.873933747403611963777087616</v>
      </c>
      <c r="M50" s="482">
        <v>141.75555555555555555555555556</v>
      </c>
      <c r="N50" s="483">
        <v>157.71570736434108527131782946</v>
      </c>
      <c r="O50" s="484">
        <v>134.99054209919261822376009227</v>
      </c>
      <c r="P50" s="93"/>
      <c r="Q50" s="468">
        <v>21.834757150793843581867358760</v>
      </c>
      <c r="R50" s="469">
        <v>0.6995800280952545380756722200</v>
      </c>
      <c r="S50" s="470">
        <v>-0.524306874140440983146985100</v>
      </c>
      <c r="T50" s="468">
        <v>-83.62955111298651254380122838</v>
      </c>
      <c r="U50" s="469">
        <v>252.99138399136108596167996139</v>
      </c>
      <c r="V50" s="470">
        <v>32.087201395455436561798858240</v>
      </c>
      <c r="W50" s="468">
        <v>0</v>
      </c>
      <c r="X50" s="469">
        <v>0</v>
      </c>
      <c r="Y50" s="470">
        <v>1.5618298069133483593331677300</v>
      </c>
      <c r="Z50" s="468">
        <v>5.7197903503226135601375834500</v>
      </c>
      <c r="AA50" s="469">
        <v>3.5569887283516909031625226100</v>
      </c>
      <c r="AB50" s="470">
        <v>4.5645230948590274594695957300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153</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77.534965034965034965034965090</v>
      </c>
      <c r="E11" s="428">
        <v>74.955277280858676207513416870</v>
      </c>
      <c r="F11" s="429">
        <v>54.269690436905091672588149860</v>
      </c>
      <c r="G11" s="427">
        <v>8.537296037296037296037296040</v>
      </c>
      <c r="H11" s="428">
        <v>4.9642218246869409660107334600</v>
      </c>
      <c r="I11" s="429">
        <v>12.002344505867286515478154760</v>
      </c>
      <c r="J11" s="427">
        <v>0</v>
      </c>
      <c r="K11" s="428">
        <v>0</v>
      </c>
      <c r="L11" s="429">
        <v>7.7087674081567928444396269700</v>
      </c>
      <c r="M11" s="427">
        <v>86.07226107226107226107226107</v>
      </c>
      <c r="N11" s="428">
        <v>79.91949910554561717352415027</v>
      </c>
      <c r="O11" s="429">
        <v>73.979196524992673419164729640</v>
      </c>
      <c r="P11" s="5"/>
      <c r="Q11" s="427">
        <v>-2.1691176470844322015570866500</v>
      </c>
      <c r="R11" s="428">
        <v>-2.6176523071011857038742807300</v>
      </c>
      <c r="S11" s="429">
        <v>-1.5197923461365282332646436500</v>
      </c>
      <c r="T11" s="427">
        <v>36.915887851153148746618860680</v>
      </c>
      <c r="U11" s="428">
        <v>88.15852025058841429059037998</v>
      </c>
      <c r="V11" s="429">
        <v>14.570781136958073906405179230</v>
      </c>
      <c r="W11" s="427">
        <v>0</v>
      </c>
      <c r="X11" s="428">
        <v>0</v>
      </c>
      <c r="Y11" s="429">
        <v>7.7132756845870250036479624500</v>
      </c>
      <c r="Z11" s="427">
        <v>0.6816632583627284931060022400</v>
      </c>
      <c r="AA11" s="428">
        <v>0.4321065507636115389107643600</v>
      </c>
      <c r="AB11" s="429">
        <v>1.7016349227719883807547240700</v>
      </c>
    </row>
    <row r="12" ht="18" customHeight="1">
      <c r="A12" s="58"/>
      <c r="B12" s="1043" t="s">
        <v>46</v>
      </c>
      <c r="C12" s="1043"/>
      <c r="D12" s="420">
        <v>69.638694638694638694638694690</v>
      </c>
      <c r="E12" s="91">
        <v>69.923971377459749552772808630</v>
      </c>
      <c r="F12" s="421">
        <v>49.668196215871180643374161500</v>
      </c>
      <c r="G12" s="420">
        <v>14.656177156177156177156177170</v>
      </c>
      <c r="H12" s="91">
        <v>6.5183363148479427549194991100</v>
      </c>
      <c r="I12" s="421">
        <v>16.961536454256040916444861970</v>
      </c>
      <c r="J12" s="420">
        <v>0</v>
      </c>
      <c r="K12" s="91">
        <v>0</v>
      </c>
      <c r="L12" s="421">
        <v>7.5807027897211081804787770100</v>
      </c>
      <c r="M12" s="420">
        <v>84.29487179487179487179487179</v>
      </c>
      <c r="N12" s="91">
        <v>76.419946332737030411449016100</v>
      </c>
      <c r="O12" s="421">
        <v>74.212041285784827353639002300</v>
      </c>
      <c r="P12" s="5"/>
      <c r="Q12" s="420">
        <v>-5.831363278109454960719946300</v>
      </c>
      <c r="R12" s="91">
        <v>-0.1580933104807484011775128700</v>
      </c>
      <c r="S12" s="421">
        <v>-2.4569594028643264357652738600</v>
      </c>
      <c r="T12" s="420">
        <v>13.033707865172603459159197320</v>
      </c>
      <c r="U12" s="91">
        <v>55.381312294064478831524584050</v>
      </c>
      <c r="V12" s="421">
        <v>14.398152449454368686275585830</v>
      </c>
      <c r="W12" s="420">
        <v>0</v>
      </c>
      <c r="X12" s="91">
        <v>0</v>
      </c>
      <c r="Y12" s="421">
        <v>10.459065492898490485965389760</v>
      </c>
      <c r="Z12" s="420">
        <v>-2.9845741113214009745933665800</v>
      </c>
      <c r="AA12" s="91">
        <v>2.9812524878009742047549331100</v>
      </c>
      <c r="AB12" s="421">
        <v>2.2109621812765646049547991400</v>
      </c>
    </row>
    <row r="13" ht="18" customHeight="1">
      <c r="A13" s="58"/>
      <c r="B13" s="1043" t="s">
        <v>47</v>
      </c>
      <c r="C13" s="1043"/>
      <c r="D13" s="420">
        <v>66.666666666666666666666666710</v>
      </c>
      <c r="E13" s="91">
        <v>69.069767441860465116279069820</v>
      </c>
      <c r="F13" s="421">
        <v>51.173524911083962590635984250</v>
      </c>
      <c r="G13" s="420">
        <v>17.575757575757575757575757590</v>
      </c>
      <c r="H13" s="91">
        <v>8.209302325581395348837209310</v>
      </c>
      <c r="I13" s="421">
        <v>20.083975099339957387015131380</v>
      </c>
      <c r="J13" s="420">
        <v>0</v>
      </c>
      <c r="K13" s="91">
        <v>0</v>
      </c>
      <c r="L13" s="421">
        <v>7.8358691255998965947138217100</v>
      </c>
      <c r="M13" s="420">
        <v>84.24242424242424242424242424</v>
      </c>
      <c r="N13" s="91">
        <v>77.255813953488372093023255810</v>
      </c>
      <c r="O13" s="421">
        <v>79.093786092822922616987653910</v>
      </c>
      <c r="P13" s="184"/>
      <c r="Q13" s="420">
        <v>-6.7264573991566771903717844500</v>
      </c>
      <c r="R13" s="91">
        <v>-1.3242901607615856966815455200</v>
      </c>
      <c r="S13" s="421">
        <v>-2.8220335546856193324066598600</v>
      </c>
      <c r="T13" s="420">
        <v>8.684684684877379693207061960</v>
      </c>
      <c r="U13" s="91">
        <v>96.13357772984250025536401122</v>
      </c>
      <c r="V13" s="421">
        <v>13.639488933346384195341235300</v>
      </c>
      <c r="W13" s="420">
        <v>0</v>
      </c>
      <c r="X13" s="91">
        <v>0</v>
      </c>
      <c r="Y13" s="421">
        <v>11.188677292057040855116688550</v>
      </c>
      <c r="Z13" s="420">
        <v>-3.946843853861444531517294800</v>
      </c>
      <c r="AA13" s="91">
        <v>4.1875822167282788224320406100</v>
      </c>
      <c r="AB13" s="421">
        <v>2.2122660163873042336646224100</v>
      </c>
    </row>
    <row r="14" ht="18" customHeight="1">
      <c r="A14" s="58"/>
      <c r="B14" s="1043" t="s">
        <v>48</v>
      </c>
      <c r="C14" s="1043"/>
      <c r="D14" s="420">
        <v>70.279720279720279720279720330</v>
      </c>
      <c r="E14" s="91">
        <v>69.666815742397137745974955320</v>
      </c>
      <c r="F14" s="421">
        <v>53.062091463976691153779872520</v>
      </c>
      <c r="G14" s="420">
        <v>18.065268065268065268065268080</v>
      </c>
      <c r="H14" s="91">
        <v>7.7929338103756708407871198600</v>
      </c>
      <c r="I14" s="421">
        <v>19.897081985740564846765176220</v>
      </c>
      <c r="J14" s="420">
        <v>0</v>
      </c>
      <c r="K14" s="91">
        <v>0</v>
      </c>
      <c r="L14" s="421">
        <v>7.5541341541125124739999759600</v>
      </c>
      <c r="M14" s="420">
        <v>88.34498834498834498834498834</v>
      </c>
      <c r="N14" s="91">
        <v>77.482110912343470483005366730</v>
      </c>
      <c r="O14" s="421">
        <v>80.51491068816402758908139260</v>
      </c>
      <c r="P14" s="5"/>
      <c r="Q14" s="420">
        <v>-1.7915309446644346359112407700</v>
      </c>
      <c r="R14" s="91">
        <v>-2.8426228344249504354235332300</v>
      </c>
      <c r="S14" s="421">
        <v>-2.8043489899141716386819325200</v>
      </c>
      <c r="T14" s="420">
        <v>16.760828625446497919925477760</v>
      </c>
      <c r="U14" s="91">
        <v>61.629848339815329752321082270</v>
      </c>
      <c r="V14" s="421">
        <v>10.264878441975378674168963100</v>
      </c>
      <c r="W14" s="420">
        <v>0</v>
      </c>
      <c r="X14" s="91">
        <v>0</v>
      </c>
      <c r="Y14" s="421">
        <v>5.2150710643787878384073210500</v>
      </c>
      <c r="Z14" s="420">
        <v>1.4725568942868383843271528900</v>
      </c>
      <c r="AA14" s="91">
        <v>1.2784029761890185125860693900</v>
      </c>
      <c r="AB14" s="421">
        <v>0.8738234030560432076190228700</v>
      </c>
    </row>
    <row r="15" ht="18" customHeight="1">
      <c r="A15" s="58"/>
      <c r="B15" s="1043" t="s">
        <v>49</v>
      </c>
      <c r="C15" s="1043"/>
      <c r="D15" s="420">
        <v>78.817016317016317016317016370</v>
      </c>
      <c r="E15" s="91">
        <v>75.760286225402504472271914180</v>
      </c>
      <c r="F15" s="421">
        <v>56.875513434450700274499589300</v>
      </c>
      <c r="G15" s="420">
        <v>12.296037296037296037296037300</v>
      </c>
      <c r="H15" s="91">
        <v>6.4512522361359570661896243300</v>
      </c>
      <c r="I15" s="421">
        <v>17.040613917329539762367508880</v>
      </c>
      <c r="J15" s="420">
        <v>0</v>
      </c>
      <c r="K15" s="91">
        <v>0</v>
      </c>
      <c r="L15" s="421">
        <v>7.8963713959406119136829028900</v>
      </c>
      <c r="M15" s="420">
        <v>91.11305361305361305361305361</v>
      </c>
      <c r="N15" s="91">
        <v>82.20035778175313059033989267</v>
      </c>
      <c r="O15" s="421">
        <v>81.81450239435773107054839808</v>
      </c>
      <c r="P15" s="184"/>
      <c r="Q15" s="420">
        <v>4.3998456195044914699682879300</v>
      </c>
      <c r="R15" s="91">
        <v>-3.4832976512896933472739969500</v>
      </c>
      <c r="S15" s="421">
        <v>-1.9820208239513939841594009100</v>
      </c>
      <c r="T15" s="420">
        <v>-11.899791231881388243600500680</v>
      </c>
      <c r="U15" s="91">
        <v>97.89655635382887867980864117</v>
      </c>
      <c r="V15" s="421">
        <v>7.1888674247145328410563139100</v>
      </c>
      <c r="W15" s="420">
        <v>0</v>
      </c>
      <c r="X15" s="91">
        <v>0</v>
      </c>
      <c r="Y15" s="421">
        <v>13.134697906235419655884503550</v>
      </c>
      <c r="Z15" s="420">
        <v>1.8235102571905551465633832500</v>
      </c>
      <c r="AA15" s="91">
        <v>0.5669106364626543393958687100</v>
      </c>
      <c r="AB15" s="421">
        <v>1.1274472416837507978903879200</v>
      </c>
    </row>
    <row r="16" ht="18" customHeight="1">
      <c r="A16" s="58"/>
      <c r="B16" s="1044" t="s">
        <v>75</v>
      </c>
      <c r="C16" s="1044"/>
      <c r="D16" s="430">
        <v>72.633309842612168193563542420</v>
      </c>
      <c r="E16" s="431">
        <v>71.896971335857220118983234190</v>
      </c>
      <c r="F16" s="432">
        <v>53.024978922190346161090242150</v>
      </c>
      <c r="G16" s="430">
        <v>14.200140944326990838618745600</v>
      </c>
      <c r="H16" s="431">
        <v>6.7761853254011177212907878100</v>
      </c>
      <c r="I16" s="432">
        <v>17.176373776052213149804823130</v>
      </c>
      <c r="J16" s="430">
        <v>0</v>
      </c>
      <c r="K16" s="431">
        <v>0</v>
      </c>
      <c r="L16" s="432">
        <v>7.7142762450053876740687569100</v>
      </c>
      <c r="M16" s="430">
        <v>86.83345078693915903218228800</v>
      </c>
      <c r="N16" s="431">
        <v>78.666396250225347034433026860</v>
      </c>
      <c r="O16" s="432">
        <v>77.916437296446560174216281370</v>
      </c>
      <c r="P16" s="5"/>
      <c r="Q16" s="430">
        <v>-2.305408614238191546876382100</v>
      </c>
      <c r="R16" s="431">
        <v>-2.0928077156216275265937004900</v>
      </c>
      <c r="S16" s="432">
        <v>-2.2761681772481723797584885800</v>
      </c>
      <c r="T16" s="430">
        <v>9.5658357033016085040622100</v>
      </c>
      <c r="U16" s="431">
        <v>77.298673976183309415171509060</v>
      </c>
      <c r="V16" s="432">
        <v>11.656944243104364926104597020</v>
      </c>
      <c r="W16" s="430">
        <v>0</v>
      </c>
      <c r="X16" s="431">
        <v>0</v>
      </c>
      <c r="Y16" s="432">
        <v>9.495421337266262377794615990</v>
      </c>
      <c r="Z16" s="629">
        <v>-0.5630953951654053010106655600</v>
      </c>
      <c r="AA16" s="214">
        <v>1.8592730690684073039189046300</v>
      </c>
      <c r="AB16" s="630">
        <v>1.6011769638695900406283571500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83.65384615384615384615384621</v>
      </c>
      <c r="E18" s="480">
        <v>83.83273703041144901610017895</v>
      </c>
      <c r="F18" s="481">
        <v>63.915526257789176300867579050</v>
      </c>
      <c r="G18" s="479">
        <v>7.1386946386946386946386946400</v>
      </c>
      <c r="H18" s="480">
        <v>3.689624329159212880143112700</v>
      </c>
      <c r="I18" s="481">
        <v>15.009717686188863731992225860</v>
      </c>
      <c r="J18" s="479">
        <v>0</v>
      </c>
      <c r="K18" s="480">
        <v>0</v>
      </c>
      <c r="L18" s="481">
        <v>7.979723096034783305616221530</v>
      </c>
      <c r="M18" s="479">
        <v>90.79254079254079254079254079</v>
      </c>
      <c r="N18" s="480">
        <v>87.52236135957066189624329159</v>
      </c>
      <c r="O18" s="481">
        <v>86.90456631068544751447634695</v>
      </c>
      <c r="P18" s="184"/>
      <c r="Q18" s="479">
        <v>0.7015082427164831184661898600</v>
      </c>
      <c r="R18" s="480">
        <v>2.2905688542957418709997689800</v>
      </c>
      <c r="S18" s="481">
        <v>-1.4202238438224919839360829800</v>
      </c>
      <c r="T18" s="479">
        <v>-14.634146341760856632955537070</v>
      </c>
      <c r="U18" s="480">
        <v>53.049784657805784646231048720</v>
      </c>
      <c r="V18" s="481">
        <v>8.044866097873846290598264230</v>
      </c>
      <c r="W18" s="479">
        <v>0</v>
      </c>
      <c r="X18" s="480">
        <v>0</v>
      </c>
      <c r="Y18" s="481">
        <v>9.861189016933931541309451480</v>
      </c>
      <c r="Z18" s="479">
        <v>-0.7327174259275245777540382800</v>
      </c>
      <c r="AA18" s="480">
        <v>3.7936803968877340199053947300</v>
      </c>
      <c r="AB18" s="481">
        <v>1.0629431258399492711062253400</v>
      </c>
    </row>
    <row r="19" ht="18" customHeight="1">
      <c r="A19" s="58"/>
      <c r="B19" s="1046" t="s">
        <v>51</v>
      </c>
      <c r="C19" s="1046"/>
      <c r="D19" s="271">
        <v>86.65501165501165501165501172</v>
      </c>
      <c r="E19" s="92">
        <v>84.19051878354203935599284442</v>
      </c>
      <c r="F19" s="272">
        <v>66.459729391772740389239796140</v>
      </c>
      <c r="G19" s="271">
        <v>6.1480186480186480186480186500</v>
      </c>
      <c r="H19" s="92">
        <v>4.3828264758497316636851520600</v>
      </c>
      <c r="I19" s="272">
        <v>14.010548590849337907595626680</v>
      </c>
      <c r="J19" s="271">
        <v>0</v>
      </c>
      <c r="K19" s="92">
        <v>0</v>
      </c>
      <c r="L19" s="272">
        <v>8.063339638975279746064317560</v>
      </c>
      <c r="M19" s="271">
        <v>92.80303030303030303030303030</v>
      </c>
      <c r="N19" s="92">
        <v>88.56216457960644007155635063</v>
      </c>
      <c r="O19" s="272">
        <v>88.53522075090576805925165924</v>
      </c>
      <c r="P19" s="5"/>
      <c r="Q19" s="271">
        <v>1.2942779291382009666713718200</v>
      </c>
      <c r="R19" s="92">
        <v>-0.2678704877514050445465351700</v>
      </c>
      <c r="S19" s="272">
        <v>-1.409589423468507877138456900</v>
      </c>
      <c r="T19" s="271">
        <v>8.762886597565883728346475570</v>
      </c>
      <c r="U19" s="92">
        <v>109.35915322181954809912187244</v>
      </c>
      <c r="V19" s="272">
        <v>13.633458023381994521225118550</v>
      </c>
      <c r="W19" s="271">
        <v>0</v>
      </c>
      <c r="X19" s="92">
        <v>0</v>
      </c>
      <c r="Y19" s="272">
        <v>11.203101221531470487444166880</v>
      </c>
      <c r="Z19" s="271">
        <v>1.7246885978962059278634719600</v>
      </c>
      <c r="AA19" s="92">
        <v>2.3896053034666450660501365900</v>
      </c>
      <c r="AB19" s="272">
        <v>1.7749029567576196663118372600</v>
      </c>
    </row>
    <row r="20" ht="18" customHeight="1">
      <c r="A20" s="58"/>
      <c r="B20" s="1047" t="s">
        <v>76</v>
      </c>
      <c r="C20" s="1047"/>
      <c r="D20" s="273">
        <v>85.15442890442890442890442896</v>
      </c>
      <c r="E20" s="274">
        <v>84.01162790697674418604651166</v>
      </c>
      <c r="F20" s="275">
        <v>65.187543707432217161566714880</v>
      </c>
      <c r="G20" s="273">
        <v>6.6433566433566433566433566500</v>
      </c>
      <c r="H20" s="274">
        <v>4.0362254025044722719141323800</v>
      </c>
      <c r="I20" s="275">
        <v>14.510166173403038129913015960</v>
      </c>
      <c r="J20" s="273">
        <v>0</v>
      </c>
      <c r="K20" s="274">
        <v>0</v>
      </c>
      <c r="L20" s="275">
        <v>8.021528602945154561502994650</v>
      </c>
      <c r="M20" s="273">
        <v>91.79778554778554778554778555</v>
      </c>
      <c r="N20" s="274">
        <v>88.04226296958855098389982111</v>
      </c>
      <c r="O20" s="275">
        <v>87.71983961751864015533295796</v>
      </c>
      <c r="P20" s="184"/>
      <c r="Q20" s="273">
        <v>1.0022464144256420000030691800</v>
      </c>
      <c r="R20" s="274">
        <v>0.9977622005393376405125602200</v>
      </c>
      <c r="S20" s="275">
        <v>-1.4146647144007814315255984100</v>
      </c>
      <c r="T20" s="273">
        <v>-5.197505197833162892621217400</v>
      </c>
      <c r="U20" s="274">
        <v>79.176099233035717617088914420</v>
      </c>
      <c r="V20" s="275">
        <v>10.671992414175317963762883130</v>
      </c>
      <c r="W20" s="273">
        <v>0</v>
      </c>
      <c r="X20" s="274">
        <v>0</v>
      </c>
      <c r="Y20" s="275">
        <v>10.531518037703740622135018700</v>
      </c>
      <c r="Z20" s="273">
        <v>0.4944178627881393435742722800</v>
      </c>
      <c r="AA20" s="274">
        <v>3.087397670854692878465379300</v>
      </c>
      <c r="AB20" s="275">
        <v>1.4210012422368573218942917900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76.226351916959651766281600540</v>
      </c>
      <c r="E22" s="469">
        <v>75.301940125915456764743672110</v>
      </c>
      <c r="F22" s="470">
        <v>56.505331092863228178053619770</v>
      </c>
      <c r="G22" s="468">
        <v>12.033316591327641051397957480</v>
      </c>
      <c r="H22" s="469">
        <v>6.0275600668122831812925607100</v>
      </c>
      <c r="I22" s="470">
        <v>16.421892976867615248433303900</v>
      </c>
      <c r="J22" s="468">
        <v>0</v>
      </c>
      <c r="K22" s="469">
        <v>0</v>
      </c>
      <c r="L22" s="470">
        <v>7.8069909129318450663765550700</v>
      </c>
      <c r="M22" s="468">
        <v>88.25966850828729281767955801</v>
      </c>
      <c r="N22" s="469">
        <v>81.32950019272773994603623282</v>
      </c>
      <c r="O22" s="470">
        <v>80.73421498266268849286347875</v>
      </c>
      <c r="P22" s="184"/>
      <c r="Q22" s="468">
        <v>-1.4443852078575857955408027600</v>
      </c>
      <c r="R22" s="469">
        <v>-1.1617979488065391817274663300</v>
      </c>
      <c r="S22" s="470">
        <v>-1.9571561531532178490262959500</v>
      </c>
      <c r="T22" s="468">
        <v>7.5477670350983396639043433200</v>
      </c>
      <c r="U22" s="469">
        <v>79.49711029538686113039378962</v>
      </c>
      <c r="V22" s="470">
        <v>11.375461645716837393755487810</v>
      </c>
      <c r="W22" s="468">
        <v>0</v>
      </c>
      <c r="X22" s="469">
        <v>0</v>
      </c>
      <c r="Y22" s="470">
        <v>9.760302083121281934887270580</v>
      </c>
      <c r="Z22" s="468">
        <v>-0.307946953635871630961060700</v>
      </c>
      <c r="AA22" s="469">
        <v>2.2432478560976006483446698400</v>
      </c>
      <c r="AB22" s="470">
        <v>1.5643623824147288793860822400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234.07395689368080807645051299</v>
      </c>
      <c r="E25" s="455">
        <v>314.72272350699693732612198839</v>
      </c>
      <c r="F25" s="456">
        <v>239.23704122146024772637065476</v>
      </c>
      <c r="G25" s="454">
        <v>309.2647159576272453618633427</v>
      </c>
      <c r="H25" s="455">
        <v>388.01828173301019466545173041</v>
      </c>
      <c r="I25" s="456">
        <v>279.37525016075375492320474409</v>
      </c>
      <c r="J25" s="454">
        <v>0</v>
      </c>
      <c r="K25" s="455">
        <v>0</v>
      </c>
      <c r="L25" s="456">
        <v>164.75119755011286550308618061</v>
      </c>
      <c r="M25" s="454">
        <v>241.53194349007089139555205635</v>
      </c>
      <c r="N25" s="455">
        <v>319.27549740911639539252691363</v>
      </c>
      <c r="O25" s="456">
        <v>237.99267437505907662093235145</v>
      </c>
      <c r="P25" s="5"/>
      <c r="Q25" s="427">
        <v>-0.9155104497131004798868805900</v>
      </c>
      <c r="R25" s="428">
        <v>8.188777060460240257074709960</v>
      </c>
      <c r="S25" s="429">
        <v>0.1451632528064447404967322900</v>
      </c>
      <c r="T25" s="427">
        <v>-3.817557056807665578342153600</v>
      </c>
      <c r="U25" s="428">
        <v>2.6337436070359417855817845400</v>
      </c>
      <c r="V25" s="429">
        <v>-4.1262889852627377577615353500</v>
      </c>
      <c r="W25" s="427">
        <v>0</v>
      </c>
      <c r="X25" s="428">
        <v>0</v>
      </c>
      <c r="Y25" s="429">
        <v>7.4490718404209908272143394600</v>
      </c>
      <c r="Z25" s="427">
        <v>-0.3821721525792397748738089900</v>
      </c>
      <c r="AA25" s="428">
        <v>8.648623388065668447831976130</v>
      </c>
      <c r="AB25" s="429">
        <v>-0.015248490429739243584102200</v>
      </c>
    </row>
    <row r="26" ht="18" customHeight="1">
      <c r="A26" s="58"/>
      <c r="B26" s="1043" t="s">
        <v>46</v>
      </c>
      <c r="C26" s="1043"/>
      <c r="D26" s="439">
        <v>227.12940000715855749500051822</v>
      </c>
      <c r="E26" s="95">
        <v>307.11400566198797632016038403</v>
      </c>
      <c r="F26" s="440">
        <v>236.5366505789086736220872709</v>
      </c>
      <c r="G26" s="439">
        <v>286.55394756126243417402748843</v>
      </c>
      <c r="H26" s="95">
        <v>393.87135587318937714150632151</v>
      </c>
      <c r="I26" s="440">
        <v>280.80742599805242947376726821</v>
      </c>
      <c r="J26" s="439">
        <v>0</v>
      </c>
      <c r="K26" s="95">
        <v>0</v>
      </c>
      <c r="L26" s="440">
        <v>163.26094513346181226243598942</v>
      </c>
      <c r="M26" s="439">
        <v>237.46142469423572651316524896</v>
      </c>
      <c r="N26" s="95">
        <v>314.6039490686382166466395358</v>
      </c>
      <c r="O26" s="440">
        <v>239.16478459022625946944331578</v>
      </c>
      <c r="P26" s="5"/>
      <c r="Q26" s="420">
        <v>-1.2640445003020831482402597900</v>
      </c>
      <c r="R26" s="91">
        <v>6.6464862834859992851492073500</v>
      </c>
      <c r="S26" s="421">
        <v>-0.5099233880186051451245645500</v>
      </c>
      <c r="T26" s="420">
        <v>5.453900731920961620685597900</v>
      </c>
      <c r="U26" s="91">
        <v>10.252231809496553019795876480</v>
      </c>
      <c r="V26" s="421">
        <v>-0.8783139776121491528684689400</v>
      </c>
      <c r="W26" s="420">
        <v>0</v>
      </c>
      <c r="X26" s="91">
        <v>0</v>
      </c>
      <c r="Y26" s="421">
        <v>2.845453018546050742080444300</v>
      </c>
      <c r="Z26" s="420">
        <v>0.4759180744405613362739416300</v>
      </c>
      <c r="AA26" s="91">
        <v>7.7683702855977484138161352900</v>
      </c>
      <c r="AB26" s="421">
        <v>-0.1770558433351702523337338400</v>
      </c>
    </row>
    <row r="27" ht="18" customHeight="1">
      <c r="A27" s="58"/>
      <c r="B27" s="1043" t="s">
        <v>47</v>
      </c>
      <c r="C27" s="1043"/>
      <c r="D27" s="439">
        <v>237.39465631128448646189811722</v>
      </c>
      <c r="E27" s="95">
        <v>310.42710927976542527053898412</v>
      </c>
      <c r="F27" s="440">
        <v>252.6234367366603552692183449</v>
      </c>
      <c r="G27" s="439">
        <v>285.106178180682270913069075</v>
      </c>
      <c r="H27" s="95">
        <v>400.18494971196024510163601737</v>
      </c>
      <c r="I27" s="440">
        <v>282.23078289643568303668766355</v>
      </c>
      <c r="J27" s="439">
        <v>0</v>
      </c>
      <c r="K27" s="95">
        <v>0</v>
      </c>
      <c r="L27" s="440">
        <v>157.22167402078406228601477281</v>
      </c>
      <c r="M27" s="439">
        <v>247.34885871569121846969637458</v>
      </c>
      <c r="N27" s="95">
        <v>320.05833889501061998024632661</v>
      </c>
      <c r="O27" s="440">
        <v>250.68867214159284172636145608</v>
      </c>
      <c r="P27" s="93"/>
      <c r="Q27" s="420">
        <v>2.5304791383153182018729321200</v>
      </c>
      <c r="R27" s="91">
        <v>11.379736333887037706105059720</v>
      </c>
      <c r="S27" s="421">
        <v>3.6186904156874103445337269500</v>
      </c>
      <c r="T27" s="420">
        <v>7.5435631231256723297418113300</v>
      </c>
      <c r="U27" s="91">
        <v>1.5106685566590690193064411900</v>
      </c>
      <c r="V27" s="421">
        <v>0.1357674633612264727881594100</v>
      </c>
      <c r="W27" s="420">
        <v>0</v>
      </c>
      <c r="X27" s="91">
        <v>0</v>
      </c>
      <c r="Y27" s="421">
        <v>4.8074348610080664021880819300</v>
      </c>
      <c r="Z27" s="420">
        <v>4.1153150472077247085856057300</v>
      </c>
      <c r="AA27" s="91">
        <v>12.182504607177112094723900640</v>
      </c>
      <c r="AB27" s="421">
        <v>2.7649731660016706365526873900</v>
      </c>
    </row>
    <row r="28" ht="18" customHeight="1">
      <c r="A28" s="58"/>
      <c r="B28" s="1043" t="s">
        <v>48</v>
      </c>
      <c r="C28" s="1043"/>
      <c r="D28" s="439">
        <v>231.95122046590997646709169181</v>
      </c>
      <c r="E28" s="95">
        <v>315.0057448353697367656119421</v>
      </c>
      <c r="F28" s="440">
        <v>250.93890481839360258521876172</v>
      </c>
      <c r="G28" s="439">
        <v>286.44796313206115055450293318</v>
      </c>
      <c r="H28" s="95">
        <v>384.80122371275805766349496921</v>
      </c>
      <c r="I28" s="440">
        <v>280.33884246368655903239750128</v>
      </c>
      <c r="J28" s="439">
        <v>0</v>
      </c>
      <c r="K28" s="95">
        <v>0</v>
      </c>
      <c r="L28" s="440">
        <v>159.30229155142548930907015822</v>
      </c>
      <c r="M28" s="439">
        <v>243.09501349131028251398976887</v>
      </c>
      <c r="N28" s="95">
        <v>321.93466796493235151197460388</v>
      </c>
      <c r="O28" s="440">
        <v>249.60170434645484632429599906</v>
      </c>
      <c r="P28" s="5"/>
      <c r="Q28" s="420">
        <v>0.0054141844891718025866899300</v>
      </c>
      <c r="R28" s="91">
        <v>16.895633040321418349876502230</v>
      </c>
      <c r="S28" s="421">
        <v>2.9393348427563528213642563100</v>
      </c>
      <c r="T28" s="420">
        <v>6.63323226599104113334170800</v>
      </c>
      <c r="U28" s="91">
        <v>2.8224320019407627086984187500</v>
      </c>
      <c r="V28" s="421">
        <v>1.2152083048642790522885098800</v>
      </c>
      <c r="W28" s="420">
        <v>0</v>
      </c>
      <c r="X28" s="91">
        <v>0</v>
      </c>
      <c r="Y28" s="421">
        <v>2.8775320029787309198676003700</v>
      </c>
      <c r="Z28" s="420">
        <v>1.9773668694861930650442734900</v>
      </c>
      <c r="AA28" s="91">
        <v>16.596211211083786832511222330</v>
      </c>
      <c r="AB28" s="421">
        <v>2.5985081354049991471900632500</v>
      </c>
    </row>
    <row r="29" ht="18" customHeight="1">
      <c r="A29" s="58"/>
      <c r="B29" s="1043" t="s">
        <v>49</v>
      </c>
      <c r="C29" s="1043"/>
      <c r="D29" s="439">
        <v>243.34405184073698691349799475</v>
      </c>
      <c r="E29" s="95">
        <v>333.9924574307752348005138488</v>
      </c>
      <c r="F29" s="440">
        <v>254.31939077126001028569107263</v>
      </c>
      <c r="G29" s="439">
        <v>289.96101525597511303032962559</v>
      </c>
      <c r="H29" s="95">
        <v>391.010831585258431529349066</v>
      </c>
      <c r="I29" s="440">
        <v>279.70709099677553761054541696</v>
      </c>
      <c r="J29" s="439">
        <v>0</v>
      </c>
      <c r="K29" s="95">
        <v>0</v>
      </c>
      <c r="L29" s="440">
        <v>159.57273342358216599122735505</v>
      </c>
      <c r="M29" s="439">
        <v>249.63518025814360322987245852</v>
      </c>
      <c r="N29" s="95">
        <v>338.51280486610814825907457163</v>
      </c>
      <c r="O29" s="440">
        <v>250.45647705679504125142582573</v>
      </c>
      <c r="P29" s="93"/>
      <c r="Q29" s="420">
        <v>-7.0343180862259018093367136600</v>
      </c>
      <c r="R29" s="91">
        <v>8.240845345046818303467520610</v>
      </c>
      <c r="S29" s="421">
        <v>0.3787441598337606731733162200</v>
      </c>
      <c r="T29" s="420">
        <v>1.4274497088415811482405887700</v>
      </c>
      <c r="U29" s="91">
        <v>-0.9107900003128002331612508800</v>
      </c>
      <c r="V29" s="421">
        <v>1.561867206126542751231248200</v>
      </c>
      <c r="W29" s="420">
        <v>0</v>
      </c>
      <c r="X29" s="91">
        <v>0</v>
      </c>
      <c r="Y29" s="421">
        <v>3.1687633945145579956671807600</v>
      </c>
      <c r="Z29" s="420">
        <v>-5.9521678407502976351629976700</v>
      </c>
      <c r="AA29" s="91">
        <v>8.499437129259280366070289540</v>
      </c>
      <c r="AB29" s="421">
        <v>0.5125992990786754215250567900</v>
      </c>
    </row>
    <row r="30" ht="18" customHeight="1">
      <c r="A30" s="58"/>
      <c r="B30" s="1044" t="s">
        <v>75</v>
      </c>
      <c r="C30" s="1044"/>
      <c r="D30" s="457">
        <v>234.93615080764778992240452359</v>
      </c>
      <c r="E30" s="458">
        <v>316.57930877739880014550748369</v>
      </c>
      <c r="F30" s="459">
        <v>246.85758992545208893390085984</v>
      </c>
      <c r="G30" s="457">
        <v>289.5260820196835878629994914</v>
      </c>
      <c r="H30" s="458">
        <v>391.83817586054417942487668321</v>
      </c>
      <c r="I30" s="459">
        <v>280.59888558479529801657126939</v>
      </c>
      <c r="J30" s="457">
        <v>0</v>
      </c>
      <c r="K30" s="458">
        <v>0</v>
      </c>
      <c r="L30" s="459">
        <v>160.82808122798984780499951481</v>
      </c>
      <c r="M30" s="457">
        <v>243.86340994945101996571296617</v>
      </c>
      <c r="N30" s="458">
        <v>323.0891816252417733585327696</v>
      </c>
      <c r="O30" s="459">
        <v>245.77563802379072889302243318</v>
      </c>
      <c r="P30" s="5"/>
      <c r="Q30" s="430">
        <v>-1.475680370832395889677599500</v>
      </c>
      <c r="R30" s="431">
        <v>10.076262815705644929428268850</v>
      </c>
      <c r="S30" s="432">
        <v>1.2942646511764353531909116300</v>
      </c>
      <c r="T30" s="430">
        <v>4.4548229610050963867522230900</v>
      </c>
      <c r="U30" s="431">
        <v>3.4178824653072161322268525400</v>
      </c>
      <c r="V30" s="432">
        <v>-0.1267006739615726164460961700</v>
      </c>
      <c r="W30" s="430">
        <v>0</v>
      </c>
      <c r="X30" s="431">
        <v>0</v>
      </c>
      <c r="Y30" s="432">
        <v>4.2340079084931764164371392300</v>
      </c>
      <c r="Z30" s="430">
        <v>-0.1191691486273934760100058600</v>
      </c>
      <c r="AA30" s="431">
        <v>10.586676590919396842809924010</v>
      </c>
      <c r="AB30" s="432">
        <v>1.1582951080839066111336050500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309.13701854155673677631572713</v>
      </c>
      <c r="E32" s="494">
        <v>391.46272397812242110665835879</v>
      </c>
      <c r="F32" s="495">
        <v>289.44038064289083351091341528</v>
      </c>
      <c r="G32" s="493">
        <v>361.19279311499764695618054445</v>
      </c>
      <c r="H32" s="494">
        <v>417.16731480218309025207178118</v>
      </c>
      <c r="I32" s="495">
        <v>278.55301923207377205800278303</v>
      </c>
      <c r="J32" s="493">
        <v>0</v>
      </c>
      <c r="K32" s="494">
        <v>0</v>
      </c>
      <c r="L32" s="495">
        <v>161.35463922070800680101401994</v>
      </c>
      <c r="M32" s="493">
        <v>313.22997899421816905939238963</v>
      </c>
      <c r="N32" s="494">
        <v>392.54633600826294497201176062</v>
      </c>
      <c r="O32" s="495">
        <v>275.80025753662776050167759044</v>
      </c>
      <c r="P32" s="93"/>
      <c r="Q32" s="479">
        <v>-6.1899525351037299660238376400</v>
      </c>
      <c r="R32" s="480">
        <v>3.8425505345952455140796906200</v>
      </c>
      <c r="S32" s="481">
        <v>0.9078816358970804006459198800</v>
      </c>
      <c r="T32" s="479">
        <v>3.0997846333750315294408402100</v>
      </c>
      <c r="U32" s="480">
        <v>9.254068971231195220967534880</v>
      </c>
      <c r="V32" s="481">
        <v>0.0438783083980174187141837200</v>
      </c>
      <c r="W32" s="479">
        <v>0</v>
      </c>
      <c r="X32" s="480">
        <v>0</v>
      </c>
      <c r="Y32" s="481">
        <v>1.8067656527175078302659614400</v>
      </c>
      <c r="Z32" s="479">
        <v>-5.4633185731279708441558246500</v>
      </c>
      <c r="AA32" s="480">
        <v>4.0565604594691712972532219900</v>
      </c>
      <c r="AB32" s="481">
        <v>0.4219524157184715279561515200</v>
      </c>
    </row>
    <row r="33" ht="18" customHeight="1">
      <c r="A33" s="58"/>
      <c r="B33" s="1046" t="s">
        <v>51</v>
      </c>
      <c r="C33" s="1046"/>
      <c r="D33" s="276">
        <v>317.9404604834912720972973732</v>
      </c>
      <c r="E33" s="94">
        <v>395.37328017054562586071788622</v>
      </c>
      <c r="F33" s="277">
        <v>293.42927842139590643196211097</v>
      </c>
      <c r="G33" s="276">
        <v>357.92927233900644919686733441</v>
      </c>
      <c r="H33" s="94">
        <v>431.29558848863274962975969347</v>
      </c>
      <c r="I33" s="277">
        <v>281.9092224930975735085993437</v>
      </c>
      <c r="J33" s="276">
        <v>0</v>
      </c>
      <c r="K33" s="94">
        <v>0</v>
      </c>
      <c r="L33" s="277">
        <v>162.27129303297049897237281342</v>
      </c>
      <c r="M33" s="276">
        <v>320.58964079793827441064408022</v>
      </c>
      <c r="N33" s="94">
        <v>397.20094310967713679915054701</v>
      </c>
      <c r="O33" s="277">
        <v>279.6557306667633048790838707</v>
      </c>
      <c r="P33" s="5"/>
      <c r="Q33" s="271">
        <v>-3.9530923247627411896635901500</v>
      </c>
      <c r="R33" s="92">
        <v>2.6398001430377509375365538600</v>
      </c>
      <c r="S33" s="272">
        <v>0.3196328984021257175893362500</v>
      </c>
      <c r="T33" s="271">
        <v>-7.8941344000824685176568644500</v>
      </c>
      <c r="U33" s="92">
        <v>4.8942031404294406225447485800</v>
      </c>
      <c r="V33" s="272">
        <v>0.6578399802377120089661880600</v>
      </c>
      <c r="W33" s="271">
        <v>0</v>
      </c>
      <c r="X33" s="92">
        <v>0</v>
      </c>
      <c r="Y33" s="272">
        <v>4.368292623250098386815424100</v>
      </c>
      <c r="Z33" s="271">
        <v>-4.1551813042030419260546464900</v>
      </c>
      <c r="AA33" s="92">
        <v>2.9463300943491333091486240500</v>
      </c>
      <c r="AB33" s="272">
        <v>0.1239340288435622727319601400</v>
      </c>
    </row>
    <row r="34" ht="18" customHeight="1">
      <c r="A34" s="58"/>
      <c r="B34" s="1047" t="s">
        <v>76</v>
      </c>
      <c r="C34" s="1047"/>
      <c r="D34" s="443">
        <v>313.61630619516038229292811642</v>
      </c>
      <c r="E34" s="444">
        <v>393.42216556242816583636745125</v>
      </c>
      <c r="F34" s="445">
        <v>291.47361829937563082660551194</v>
      </c>
      <c r="G34" s="443">
        <v>359.68269907172101816842816004</v>
      </c>
      <c r="H34" s="444">
        <v>424.83806727460451196405746209</v>
      </c>
      <c r="I34" s="445">
        <v>280.17323291449526584525323968</v>
      </c>
      <c r="J34" s="443">
        <v>0</v>
      </c>
      <c r="K34" s="444">
        <v>0</v>
      </c>
      <c r="L34" s="445">
        <v>161.81532462360841347556356944</v>
      </c>
      <c r="M34" s="633">
        <v>316.95010640968373572241994629</v>
      </c>
      <c r="N34" s="634">
        <v>394.88738260489141747583843705</v>
      </c>
      <c r="O34" s="635">
        <v>277.74578431149166812079281877</v>
      </c>
      <c r="P34" s="93"/>
      <c r="Q34" s="273">
        <v>-5.048660895689943526809423500</v>
      </c>
      <c r="R34" s="274">
        <v>3.2232722822256395671492264500</v>
      </c>
      <c r="S34" s="275">
        <v>0.605290059055804192945189700</v>
      </c>
      <c r="T34" s="273">
        <v>-1.6641878805832580906119571800</v>
      </c>
      <c r="U34" s="274">
        <v>7.4406153187550113672151899400</v>
      </c>
      <c r="V34" s="275">
        <v>0.3485849435660447645950493300</v>
      </c>
      <c r="W34" s="273">
        <v>0</v>
      </c>
      <c r="X34" s="274">
        <v>0</v>
      </c>
      <c r="Y34" s="275">
        <v>3.0757610575648092330866013400</v>
      </c>
      <c r="Z34" s="273">
        <v>-4.7934688755745080678008118900</v>
      </c>
      <c r="AA34" s="274">
        <v>3.4881466564224427375322581400</v>
      </c>
      <c r="AB34" s="275">
        <v>0.2733392922962393031271071300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259.88309905556775752251262904</v>
      </c>
      <c r="E36" s="483">
        <v>341.38447684685614418481793176</v>
      </c>
      <c r="F36" s="484">
        <v>261.46790961973453253784272232</v>
      </c>
      <c r="G36" s="482">
        <v>302.56556521739130434782608696</v>
      </c>
      <c r="H36" s="483">
        <v>397.4551155231289165336068348</v>
      </c>
      <c r="I36" s="484">
        <v>280.98220284516299550027292995</v>
      </c>
      <c r="J36" s="482">
        <v>0</v>
      </c>
      <c r="K36" s="483">
        <v>0</v>
      </c>
      <c r="L36" s="484">
        <v>161.40719591187851268629048508</v>
      </c>
      <c r="M36" s="482">
        <v>265.70242329397258974723763456</v>
      </c>
      <c r="N36" s="483">
        <v>345.54003100377179644147791228</v>
      </c>
      <c r="O36" s="484">
        <v>255.76138918239029607058492829</v>
      </c>
      <c r="P36" s="93"/>
      <c r="Q36" s="468">
        <v>-2.5099109778945299420949491200</v>
      </c>
      <c r="R36" s="469">
        <v>7.7107715670750710366082535300</v>
      </c>
      <c r="S36" s="470">
        <v>1.1714163429063615385292939300</v>
      </c>
      <c r="T36" s="468">
        <v>2.5882737900102606906545510200</v>
      </c>
      <c r="U36" s="469">
        <v>4.1534654233531482758940930900</v>
      </c>
      <c r="V36" s="470">
        <v>-0.2707089611632043868488600</v>
      </c>
      <c r="W36" s="468">
        <v>0</v>
      </c>
      <c r="X36" s="469">
        <v>0</v>
      </c>
      <c r="Y36" s="470">
        <v>3.8472627000753874593178698700</v>
      </c>
      <c r="Z36" s="468">
        <v>-1.6491714208803589545875536500</v>
      </c>
      <c r="AA36" s="469">
        <v>8.090983523513644321934809400</v>
      </c>
      <c r="AB36" s="470">
        <v>0.8738896971911422633772487300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181.48916063347454262570944507</v>
      </c>
      <c r="E39" s="455">
        <v>235.9012900705397437202953725</v>
      </c>
      <c r="F39" s="456">
        <v>129.83320168129750417774179877</v>
      </c>
      <c r="G39" s="454">
        <v>26.402844340205356320229009171</v>
      </c>
      <c r="H39" s="455">
        <v>19.262088225565354028562228132</v>
      </c>
      <c r="I39" s="456">
        <v>33.531579988422215842834010758</v>
      </c>
      <c r="J39" s="454">
        <v>0</v>
      </c>
      <c r="K39" s="455">
        <v>0</v>
      </c>
      <c r="L39" s="456">
        <v>12.700286621291113132003953716</v>
      </c>
      <c r="M39" s="454">
        <v>207.8920049736798989459384541</v>
      </c>
      <c r="N39" s="455">
        <v>255.16337829610509774885760047</v>
      </c>
      <c r="O39" s="456">
        <v>176.06506829101083315257976309</v>
      </c>
      <c r="P39" s="5"/>
      <c r="Q39" s="427">
        <v>-3.0647695980382022467283204200</v>
      </c>
      <c r="R39" s="428">
        <v>5.3567710417393019591494182500</v>
      </c>
      <c r="S39" s="429">
        <v>-1.3768352733245176597591955500</v>
      </c>
      <c r="T39" s="427">
        <v>31.689045712024349068367882360</v>
      </c>
      <c r="U39" s="428">
        <v>93.11413324700650614108985717</v>
      </c>
      <c r="V39" s="429">
        <v>9.843259614677238924934799530</v>
      </c>
      <c r="W39" s="427">
        <v>0</v>
      </c>
      <c r="X39" s="428">
        <v>0</v>
      </c>
      <c r="Y39" s="429">
        <v>15.736914972482106262924561170</v>
      </c>
      <c r="Z39" s="427">
        <v>0.2968859786083825372426526500</v>
      </c>
      <c r="AA39" s="428">
        <v>9.11810120698900155865956500</v>
      </c>
      <c r="AB39" s="429">
        <v>1.6861269586655569479401995500</v>
      </c>
    </row>
    <row r="40" ht="18" customHeight="1">
      <c r="A40" s="58"/>
      <c r="B40" s="1043" t="s">
        <v>46</v>
      </c>
      <c r="C40" s="1043"/>
      <c r="D40" s="439">
        <v>158.16994930568442669377949852</v>
      </c>
      <c r="E40" s="95">
        <v>214.74630941525858719882413271</v>
      </c>
      <c r="F40" s="440">
        <v>117.48348773198195493460128218</v>
      </c>
      <c r="G40" s="439">
        <v>41.997854202597612001613003141</v>
      </c>
      <c r="H40" s="95">
        <v>25.673859623666078586035128085</v>
      </c>
      <c r="I40" s="440">
        <v>47.629253926917718062196316608</v>
      </c>
      <c r="J40" s="439">
        <v>0</v>
      </c>
      <c r="K40" s="95">
        <v>0</v>
      </c>
      <c r="L40" s="440">
        <v>12.376327022257387405312789966</v>
      </c>
      <c r="M40" s="439">
        <v>200.16780350828203869539250152</v>
      </c>
      <c r="N40" s="95">
        <v>240.42016903892466578485926064</v>
      </c>
      <c r="O40" s="440">
        <v>177.48906868115706040211038859</v>
      </c>
      <c r="P40" s="5"/>
      <c r="Q40" s="420">
        <v>-7.0216967516354136845682769400</v>
      </c>
      <c r="R40" s="91">
        <v>6.477885322744257027665793900</v>
      </c>
      <c r="S40" s="421">
        <v>-2.9543541803523516832803778300</v>
      </c>
      <c r="T40" s="420">
        <v>19.198454085870051002390865790</v>
      </c>
      <c r="U40" s="91">
        <v>71.311364620590680034851667310</v>
      </c>
      <c r="V40" s="421">
        <v>13.393377486409465315110869800</v>
      </c>
      <c r="W40" s="420">
        <v>0</v>
      </c>
      <c r="X40" s="91">
        <v>0</v>
      </c>
      <c r="Y40" s="421">
        <v>13.602126306100364565701206550</v>
      </c>
      <c r="Z40" s="420">
        <v>-2.5228601645580995221169840700</v>
      </c>
      <c r="AA40" s="91">
        <v>10.981217505790485116929995740</v>
      </c>
      <c r="AB40" s="421">
        <v>2.0299917001760838769744701700</v>
      </c>
    </row>
    <row r="41" ht="18" customHeight="1">
      <c r="A41" s="58"/>
      <c r="B41" s="1043" t="s">
        <v>47</v>
      </c>
      <c r="C41" s="1043"/>
      <c r="D41" s="439">
        <v>158.26310420752299097459874492</v>
      </c>
      <c r="E41" s="95">
        <v>214.41128245602402629151181011</v>
      </c>
      <c r="F41" s="440">
        <v>129.27631732967132155519230763</v>
      </c>
      <c r="G41" s="439">
        <v>50.109570710544156705933352611</v>
      </c>
      <c r="H41" s="95">
        <v>32.8523923833306898885761661</v>
      </c>
      <c r="I41" s="440">
        <v>56.683160159592357934525988461</v>
      </c>
      <c r="J41" s="439">
        <v>0</v>
      </c>
      <c r="K41" s="95">
        <v>0</v>
      </c>
      <c r="L41" s="440">
        <v>12.319684613345931888193349656</v>
      </c>
      <c r="M41" s="439">
        <v>208.37267491806714768053209737</v>
      </c>
      <c r="N41" s="95">
        <v>247.26367483935471618008797605</v>
      </c>
      <c r="O41" s="440">
        <v>198.27916210260961137791164555</v>
      </c>
      <c r="P41" s="93"/>
      <c r="Q41" s="420">
        <v>-4.3661898620240529554324527600</v>
      </c>
      <c r="R41" s="91">
        <v>9.904745444486393487187265920</v>
      </c>
      <c r="S41" s="421">
        <v>0.6945362031968747543755868900</v>
      </c>
      <c r="T41" s="420">
        <v>16.883382479002983078870148590</v>
      </c>
      <c r="U41" s="91">
        <v>99.09650601764500922159021956</v>
      </c>
      <c r="V41" s="421">
        <v>13.793774384809729030313594950</v>
      </c>
      <c r="W41" s="420">
        <v>0</v>
      </c>
      <c r="X41" s="91">
        <v>0</v>
      </c>
      <c r="Y41" s="421">
        <v>16.534000525970094940363598210</v>
      </c>
      <c r="Z41" s="420">
        <v>0.0060461343829283765147379400</v>
      </c>
      <c r="AA41" s="91">
        <v>16.880239220460645322920608150</v>
      </c>
      <c r="AB41" s="421">
        <v>5.0384077441464079855190873500</v>
      </c>
    </row>
    <row r="42" ht="18" customHeight="1">
      <c r="A42" s="58"/>
      <c r="B42" s="1043" t="s">
        <v>48</v>
      </c>
      <c r="C42" s="1043"/>
      <c r="D42" s="439">
        <v>163.01466892883882961498402129</v>
      </c>
      <c r="E42" s="95">
        <v>219.45447183242272247166010873</v>
      </c>
      <c r="F42" s="440">
        <v>133.15343119343742553586285647</v>
      </c>
      <c r="G42" s="439">
        <v>51.747592407307084307631648805</v>
      </c>
      <c r="H42" s="95">
        <v>29.987304665450845951638639727</v>
      </c>
      <c r="I42" s="440">
        <v>55.779249322875799423216022663</v>
      </c>
      <c r="J42" s="439">
        <v>0</v>
      </c>
      <c r="K42" s="95">
        <v>0</v>
      </c>
      <c r="L42" s="440">
        <v>12.033908814370124311121250947</v>
      </c>
      <c r="M42" s="439">
        <v>214.76226133614591392261566993</v>
      </c>
      <c r="N42" s="95">
        <v>249.44177649787356842329874831</v>
      </c>
      <c r="O42" s="440">
        <v>200.96658933068334927020012989</v>
      </c>
      <c r="P42" s="5"/>
      <c r="Q42" s="420">
        <v>-1.7862137568946201331222094700</v>
      </c>
      <c r="R42" s="91">
        <v>13.572731083087964801717725590</v>
      </c>
      <c r="S42" s="421">
        <v>0.0525566457765896913826570100</v>
      </c>
      <c r="T42" s="420">
        <v>24.505845583589342968911082520</v>
      </c>
      <c r="U42" s="91">
        <v>66.191740905504659422980226370</v>
      </c>
      <c r="V42" s="421">
        <v>11.604826402259224151983050630</v>
      </c>
      <c r="W42" s="420">
        <v>0</v>
      </c>
      <c r="X42" s="91">
        <v>0</v>
      </c>
      <c r="Y42" s="421">
        <v>8.242668405840496007825793490</v>
      </c>
      <c r="Z42" s="420">
        <v>3.4790416159279015932993345300</v>
      </c>
      <c r="AA42" s="91">
        <v>18.086780645369865879549978300</v>
      </c>
      <c r="AB42" s="421">
        <v>3.4950379106706824659374284600</v>
      </c>
    </row>
    <row r="43" ht="18" customHeight="1">
      <c r="A43" s="58"/>
      <c r="B43" s="1043" t="s">
        <v>49</v>
      </c>
      <c r="C43" s="1043"/>
      <c r="D43" s="439">
        <v>191.79652104580231631731121103</v>
      </c>
      <c r="E43" s="95">
        <v>253.03364172081093369949483911</v>
      </c>
      <c r="F43" s="440">
        <v>144.64545926452116155341975985</v>
      </c>
      <c r="G43" s="439">
        <v>35.653714579843093735081323453</v>
      </c>
      <c r="H43" s="95">
        <v>25.225095016177785665522630952</v>
      </c>
      <c r="I43" s="440">
        <v>47.66380547615413236631001752</v>
      </c>
      <c r="J43" s="439">
        <v>0</v>
      </c>
      <c r="K43" s="95">
        <v>0</v>
      </c>
      <c r="L43" s="440">
        <v>12.600455677780306481224368487</v>
      </c>
      <c r="M43" s="439">
        <v>227.45023562564541005239253432</v>
      </c>
      <c r="N43" s="95">
        <v>278.25873673698871936501746988</v>
      </c>
      <c r="O43" s="440">
        <v>204.90972041845560040095414568</v>
      </c>
      <c r="P43" s="93"/>
      <c r="Q43" s="420">
        <v>-2.9439716029546747062823324400</v>
      </c>
      <c r="R43" s="91">
        <v>4.4704945214185027348066045200</v>
      </c>
      <c r="S43" s="421">
        <v>-1.6107834522056443275505262200</v>
      </c>
      <c r="T43" s="420">
        <v>-10.642205058128856089768934430</v>
      </c>
      <c r="U43" s="91">
        <v>96.09413430868431002115480803</v>
      </c>
      <c r="V43" s="421">
        <v>8.863015193840616395973035380</v>
      </c>
      <c r="W43" s="420">
        <v>0</v>
      </c>
      <c r="X43" s="91">
        <v>0</v>
      </c>
      <c r="Y43" s="421">
        <v>16.719668799085083474546857150</v>
      </c>
      <c r="Z43" s="420">
        <v>-4.2371959745872055406831899700</v>
      </c>
      <c r="AA43" s="91">
        <v>9.114531978869439749479732900</v>
      </c>
      <c r="AB43" s="421">
        <v>1.6458258273917033546445034900</v>
      </c>
    </row>
    <row r="44" ht="18" customHeight="1">
      <c r="A44" s="58"/>
      <c r="B44" s="1044" t="s">
        <v>75</v>
      </c>
      <c r="C44" s="1044"/>
      <c r="D44" s="457">
        <v>170.64190234842540907683222624</v>
      </c>
      <c r="E44" s="458">
        <v>227.6109348869413358266273722</v>
      </c>
      <c r="F44" s="459">
        <v>130.89618502579804961619261585</v>
      </c>
      <c r="G44" s="457">
        <v>41.113111717382835062998165983</v>
      </c>
      <c r="H44" s="458">
        <v>26.551680971981619513489367825</v>
      </c>
      <c r="I44" s="459">
        <v>48.19671339948153332828044907</v>
      </c>
      <c r="J44" s="457">
        <v>0</v>
      </c>
      <c r="K44" s="458">
        <v>0</v>
      </c>
      <c r="L44" s="459">
        <v>12.406722465468790013060331202</v>
      </c>
      <c r="M44" s="457">
        <v>211.75501406580824413983039217</v>
      </c>
      <c r="N44" s="458">
        <v>254.16261585892295534011673999</v>
      </c>
      <c r="O44" s="459">
        <v>191.49962089074837295753339601</v>
      </c>
      <c r="P44" s="5"/>
      <c r="Q44" s="430">
        <v>-3.7470685226776466689103059400</v>
      </c>
      <c r="R44" s="431">
        <v>7.772578294453159557588963100</v>
      </c>
      <c r="S44" s="432">
        <v>-1.0113631661073785657127608700</v>
      </c>
      <c r="T44" s="430">
        <v>14.446799709965466089588269600</v>
      </c>
      <c r="U44" s="431">
        <v>83.35853426597221370598333741</v>
      </c>
      <c r="V44" s="432">
        <v>11.515474142463525335494901910</v>
      </c>
      <c r="W44" s="430">
        <v>0</v>
      </c>
      <c r="X44" s="431">
        <v>0</v>
      </c>
      <c r="Y44" s="432">
        <v>14.131466136167343338321444830</v>
      </c>
      <c r="Z44" s="430">
        <v>-0.6815935077715122520191300</v>
      </c>
      <c r="AA44" s="431">
        <v>12.642784886751331438096750200</v>
      </c>
      <c r="AB44" s="432">
        <v>2.778018426455100969419386300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258.60500589534073172634104116</v>
      </c>
      <c r="E46" s="494">
        <v>328.17391596466479354402106174</v>
      </c>
      <c r="F46" s="495">
        <v>184.99734249045183098568862511</v>
      </c>
      <c r="G46" s="493">
        <v>25.784450557451755100310091333</v>
      </c>
      <c r="H46" s="494">
        <v>15.391906740241549617976709289</v>
      </c>
      <c r="I46" s="495">
        <v>41.810021793089643976856087081</v>
      </c>
      <c r="J46" s="493">
        <v>0</v>
      </c>
      <c r="K46" s="494">
        <v>0</v>
      </c>
      <c r="L46" s="495">
        <v>12.875653412418435710707857028</v>
      </c>
      <c r="M46" s="493">
        <v>284.38945645279248682665113231</v>
      </c>
      <c r="N46" s="494">
        <v>343.56582270490634316199777081</v>
      </c>
      <c r="O46" s="495">
        <v>239.68301769595991067325256899</v>
      </c>
      <c r="P46" s="93"/>
      <c r="Q46" s="479">
        <v>-5.5318673196608861622420344800</v>
      </c>
      <c r="R46" s="480">
        <v>6.2211356545945573623557569100</v>
      </c>
      <c r="S46" s="481">
        <v>-0.5252361593851637499423539900</v>
      </c>
      <c r="T46" s="479">
        <v>-11.987988727682747790317498810</v>
      </c>
      <c r="U46" s="480">
        <v>67.213117287288737631762645840</v>
      </c>
      <c r="V46" s="481">
        <v>8.092274357675726502292813830</v>
      </c>
      <c r="W46" s="479">
        <v>0</v>
      </c>
      <c r="X46" s="480">
        <v>0</v>
      </c>
      <c r="Y46" s="481">
        <v>11.846123245959086605038674650</v>
      </c>
      <c r="Z46" s="479">
        <v>-6.1560053118418154872786185600</v>
      </c>
      <c r="AA46" s="480">
        <v>8.004133795346773987449907570</v>
      </c>
      <c r="AB46" s="481">
        <v>1.4893806557560716473471522100</v>
      </c>
    </row>
    <row r="47" ht="18" customHeight="1">
      <c r="A47" s="58"/>
      <c r="B47" s="1046" t="s">
        <v>51</v>
      </c>
      <c r="C47" s="1046"/>
      <c r="D47" s="276">
        <v>275.51134308796708718454615051</v>
      </c>
      <c r="E47" s="94">
        <v>332.86681570708950835545680738</v>
      </c>
      <c r="F47" s="277">
        <v>195.01230439509112260765060236</v>
      </c>
      <c r="G47" s="276">
        <v>22.005558410119568991998545342</v>
      </c>
      <c r="H47" s="94">
        <v>18.902937241451703695758698564</v>
      </c>
      <c r="I47" s="277">
        <v>39.497028599481006824175253559</v>
      </c>
      <c r="J47" s="276">
        <v>0</v>
      </c>
      <c r="K47" s="94">
        <v>0</v>
      </c>
      <c r="L47" s="277">
        <v>13.08448549380524170711295904</v>
      </c>
      <c r="M47" s="276">
        <v>297.51690149808665617654469566</v>
      </c>
      <c r="N47" s="94">
        <v>351.76975294854121205121550569</v>
      </c>
      <c r="O47" s="277">
        <v>247.59381848837737113893881473</v>
      </c>
      <c r="P47" s="5"/>
      <c r="Q47" s="271">
        <v>-2.7099783970741924920102571600</v>
      </c>
      <c r="R47" s="92">
        <v>2.3648584097564135124695471800</v>
      </c>
      <c r="S47" s="272">
        <v>-1.0944620366258265454364371900</v>
      </c>
      <c r="T47" s="271">
        <v>0.1769981522928238317101360900</v>
      </c>
      <c r="U47" s="92">
        <v>119.60561547429302004961315267</v>
      </c>
      <c r="V47" s="272">
        <v>14.380984341682360911349947060</v>
      </c>
      <c r="W47" s="271">
        <v>0</v>
      </c>
      <c r="X47" s="92">
        <v>0</v>
      </c>
      <c r="Y47" s="272">
        <v>16.060778089401168403914482620</v>
      </c>
      <c r="Z47" s="271">
        <v>-2.5021566445045547839669604800</v>
      </c>
      <c r="AA47" s="92">
        <v>5.4063410580076383831842141600</v>
      </c>
      <c r="AB47" s="272">
        <v>1.9010366944114371839602938700</v>
      </c>
    </row>
    <row r="48" ht="18" customHeight="1">
      <c r="A48" s="58"/>
      <c r="B48" s="1047" t="s">
        <v>76</v>
      </c>
      <c r="C48" s="1047"/>
      <c r="D48" s="443">
        <v>267.05817449165390945544359582</v>
      </c>
      <c r="E48" s="444">
        <v>330.52036583587715094973893445</v>
      </c>
      <c r="F48" s="445">
        <v>190.00449232453963845292979568</v>
      </c>
      <c r="G48" s="443">
        <v>23.89500448378566204615431834</v>
      </c>
      <c r="H48" s="444">
        <v>17.147421990846626656867703921</v>
      </c>
      <c r="I48" s="445">
        <v>40.653601669288799036819778333</v>
      </c>
      <c r="J48" s="443">
        <v>0</v>
      </c>
      <c r="K48" s="444">
        <v>0</v>
      </c>
      <c r="L48" s="445">
        <v>12.98006254863130265331166744</v>
      </c>
      <c r="M48" s="443">
        <v>290.95317897543957150159791399</v>
      </c>
      <c r="N48" s="444">
        <v>347.66778782672377760660663825</v>
      </c>
      <c r="O48" s="445">
        <v>243.63815654245974014306124122</v>
      </c>
      <c r="P48" s="93"/>
      <c r="Q48" s="273">
        <v>-4.0970145040899317311910233500</v>
      </c>
      <c r="R48" s="274">
        <v>4.2531950752661244945462520500</v>
      </c>
      <c r="S48" s="275">
        <v>-0.8179374803021928866854020700</v>
      </c>
      <c r="T48" s="273">
        <v>-6.7751968266180594619922093600</v>
      </c>
      <c r="U48" s="274">
        <v>92.50790352244129073269084898</v>
      </c>
      <c r="V48" s="275">
        <v>11.057778316171403409532363930</v>
      </c>
      <c r="W48" s="273">
        <v>0</v>
      </c>
      <c r="X48" s="274">
        <v>0</v>
      </c>
      <c r="Y48" s="275">
        <v>13.931203425749258100491798580</v>
      </c>
      <c r="Z48" s="273">
        <v>-4.3227507791172500881482230500</v>
      </c>
      <c r="AA48" s="274">
        <v>6.6832372858980396570437788800</v>
      </c>
      <c r="AB48" s="275">
        <v>1.6982246892587736322350479300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198.09940565879792399129415704</v>
      </c>
      <c r="E50" s="483">
        <v>257.06913435438932892601460794</v>
      </c>
      <c r="F50" s="484">
        <v>147.74330803221938045437182007</v>
      </c>
      <c r="G50" s="482">
        <v>36.408672358948602042524694458</v>
      </c>
      <c r="H50" s="483">
        <v>23.956845826774746623259450903</v>
      </c>
      <c r="I50" s="484">
        <v>46.142596635277738551078947176</v>
      </c>
      <c r="J50" s="482">
        <v>0</v>
      </c>
      <c r="K50" s="483">
        <v>0</v>
      </c>
      <c r="L50" s="484">
        <v>12.601045117658456005781045852</v>
      </c>
      <c r="M50" s="482">
        <v>234.5080780177465260338188515</v>
      </c>
      <c r="N50" s="483">
        <v>281.02598018116407554927405885</v>
      </c>
      <c r="O50" s="484">
        <v>206.4869497851555750112318131</v>
      </c>
      <c r="P50" s="93"/>
      <c r="Q50" s="468">
        <v>-3.9180434028188123609225863600</v>
      </c>
      <c r="R50" s="469">
        <v>6.4593900323743413537589346300</v>
      </c>
      <c r="S50" s="470">
        <v>-0.808666257196259739083479600</v>
      </c>
      <c r="T50" s="468">
        <v>10.331397700833287898700035440</v>
      </c>
      <c r="U50" s="469">
        <v>86.95246070584534455541773204</v>
      </c>
      <c r="V50" s="470">
        <v>11.073958290344112002451646450</v>
      </c>
      <c r="W50" s="468">
        <v>0</v>
      </c>
      <c r="X50" s="469">
        <v>0</v>
      </c>
      <c r="Y50" s="470">
        <v>13.983069243575553213804394090</v>
      </c>
      <c r="Z50" s="468">
        <v>-1.9520398013762315556109819400</v>
      </c>
      <c r="AA50" s="469">
        <v>10.515732194015199166636464780</v>
      </c>
      <c r="AB50" s="470">
        <v>2.451922881244997114521987800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155</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78.554778554778554778554778620</v>
      </c>
      <c r="E11" s="428">
        <v>73.322898032200357781753130660</v>
      </c>
      <c r="F11" s="429">
        <v>51.955909032007256705973824080</v>
      </c>
      <c r="G11" s="427">
        <v>4.3123543123543123543123543200</v>
      </c>
      <c r="H11" s="428">
        <v>2.1019677996422182468694096600</v>
      </c>
      <c r="I11" s="429">
        <v>10.395879227679149928728780620</v>
      </c>
      <c r="J11" s="427">
        <v>0</v>
      </c>
      <c r="K11" s="428">
        <v>0</v>
      </c>
      <c r="L11" s="429">
        <v>7.1303615394583387326681352900</v>
      </c>
      <c r="M11" s="427">
        <v>82.86713286713286713286713287</v>
      </c>
      <c r="N11" s="428">
        <v>75.424865831842576028622540250</v>
      </c>
      <c r="O11" s="429">
        <v>69.482149799144745367370739920</v>
      </c>
      <c r="P11" s="5"/>
      <c r="Q11" s="427">
        <v>3.295019157021633857400844400</v>
      </c>
      <c r="R11" s="428">
        <v>-0.5897517189313871953143300200</v>
      </c>
      <c r="S11" s="429">
        <v>-0.9220616583967300691754540200</v>
      </c>
      <c r="T11" s="427">
        <v>-26.732673267564670130378601730</v>
      </c>
      <c r="U11" s="428">
        <v>56.782068821442321000805809300</v>
      </c>
      <c r="V11" s="429">
        <v>12.503287583205001186671869980</v>
      </c>
      <c r="W11" s="427">
        <v>0</v>
      </c>
      <c r="X11" s="428">
        <v>0</v>
      </c>
      <c r="Y11" s="429">
        <v>4.6091221539646390125529071100</v>
      </c>
      <c r="Z11" s="427">
        <v>1.1379800853879257561072493500</v>
      </c>
      <c r="AA11" s="428">
        <v>0.4344761090341915001955437600</v>
      </c>
      <c r="AB11" s="429">
        <v>1.4407227079526093152766078700</v>
      </c>
    </row>
    <row r="12" ht="18" customHeight="1">
      <c r="A12" s="58"/>
      <c r="B12" s="1043" t="s">
        <v>46</v>
      </c>
      <c r="C12" s="1043"/>
      <c r="D12" s="420">
        <v>71.911421911421911421911421970</v>
      </c>
      <c r="E12" s="91">
        <v>67.956171735241502683363148540</v>
      </c>
      <c r="F12" s="421">
        <v>47.446384605416612673318647190</v>
      </c>
      <c r="G12" s="420">
        <v>5.8857808857808857808857808900</v>
      </c>
      <c r="H12" s="91">
        <v>2.6610017889087656529516994700</v>
      </c>
      <c r="I12" s="421">
        <v>13.595794998056239471297136210</v>
      </c>
      <c r="J12" s="420">
        <v>0</v>
      </c>
      <c r="K12" s="91">
        <v>0</v>
      </c>
      <c r="L12" s="421">
        <v>6.7602371387845017493844758400</v>
      </c>
      <c r="M12" s="420">
        <v>77.797202797202797202797202800</v>
      </c>
      <c r="N12" s="91">
        <v>70.594812164579606440071556350</v>
      </c>
      <c r="O12" s="421">
        <v>67.804846442918232473759232860</v>
      </c>
      <c r="P12" s="5"/>
      <c r="Q12" s="420">
        <v>-7.4962518740299611813283644400</v>
      </c>
      <c r="R12" s="91">
        <v>0.2494743254611999916133943200</v>
      </c>
      <c r="S12" s="421">
        <v>-2.5380009443364090168934326900</v>
      </c>
      <c r="T12" s="420">
        <v>-15.126050419777219122941495030</v>
      </c>
      <c r="U12" s="91">
        <v>140.28379311421566888477039243</v>
      </c>
      <c r="V12" s="421">
        <v>5.2226197128711727262509964100</v>
      </c>
      <c r="W12" s="420">
        <v>0</v>
      </c>
      <c r="X12" s="91">
        <v>0</v>
      </c>
      <c r="Y12" s="421">
        <v>5.8979861990308723448687563200</v>
      </c>
      <c r="Z12" s="420">
        <v>-8.121128699286703495485267440</v>
      </c>
      <c r="AA12" s="91">
        <v>2.4679915993630742195527200100</v>
      </c>
      <c r="AB12" s="421">
        <v>-0.2661975180297679610113496700</v>
      </c>
    </row>
    <row r="13" ht="18" customHeight="1">
      <c r="A13" s="58"/>
      <c r="B13" s="1043" t="s">
        <v>47</v>
      </c>
      <c r="C13" s="1043"/>
      <c r="D13" s="420">
        <v>69.580419580419580419580419640</v>
      </c>
      <c r="E13" s="91">
        <v>67.687835420393559928443649430</v>
      </c>
      <c r="F13" s="421">
        <v>49.871230775441004319218504070</v>
      </c>
      <c r="G13" s="420">
        <v>9.557109557109557109557109570</v>
      </c>
      <c r="H13" s="91">
        <v>3.6672629695885509838998211100</v>
      </c>
      <c r="I13" s="421">
        <v>15.239979009405401041456424350</v>
      </c>
      <c r="J13" s="420">
        <v>0</v>
      </c>
      <c r="K13" s="91">
        <v>0</v>
      </c>
      <c r="L13" s="421">
        <v>7.028619868405118475759899900</v>
      </c>
      <c r="M13" s="420">
        <v>79.137529137529137529137529140</v>
      </c>
      <c r="N13" s="91">
        <v>71.332737030411449016100178890</v>
      </c>
      <c r="O13" s="421">
        <v>72.143866306059015864045533440</v>
      </c>
      <c r="P13" s="184"/>
      <c r="Q13" s="420">
        <v>-9.270516717352805314067673840</v>
      </c>
      <c r="R13" s="91">
        <v>3.3489436097761923907863508200</v>
      </c>
      <c r="S13" s="421">
        <v>-2.4140374419700487229404104100</v>
      </c>
      <c r="T13" s="420">
        <v>8.609271523595982632342289350</v>
      </c>
      <c r="U13" s="91">
        <v>133.02966055288394494606212597</v>
      </c>
      <c r="V13" s="421">
        <v>0.4881756319930668837331623600</v>
      </c>
      <c r="W13" s="420">
        <v>0</v>
      </c>
      <c r="X13" s="91">
        <v>0</v>
      </c>
      <c r="Y13" s="421">
        <v>5.5516997939277514148597499600</v>
      </c>
      <c r="Z13" s="420">
        <v>-7.4301295160077283049167562300</v>
      </c>
      <c r="AA13" s="91">
        <v>6.3585160763191182503367399500</v>
      </c>
      <c r="AB13" s="421">
        <v>-1.0798746231632206560344564300</v>
      </c>
    </row>
    <row r="14" ht="18" customHeight="1">
      <c r="A14" s="58"/>
      <c r="B14" s="1043" t="s">
        <v>48</v>
      </c>
      <c r="C14" s="1043"/>
      <c r="D14" s="420">
        <v>73.368298368298368298368298430</v>
      </c>
      <c r="E14" s="91">
        <v>68.448121645796064400715563570</v>
      </c>
      <c r="F14" s="421">
        <v>51.216243490897347919105477790</v>
      </c>
      <c r="G14" s="420">
        <v>11.946386946386946386946386960</v>
      </c>
      <c r="H14" s="91">
        <v>4.3828264758497316636851520600</v>
      </c>
      <c r="I14" s="421">
        <v>16.612440963952690429096193450</v>
      </c>
      <c r="J14" s="420">
        <v>0</v>
      </c>
      <c r="K14" s="91">
        <v>0</v>
      </c>
      <c r="L14" s="421">
        <v>6.7081096354902514834699067600</v>
      </c>
      <c r="M14" s="420">
        <v>85.31468531468531468531468531</v>
      </c>
      <c r="N14" s="91">
        <v>72.853309481216457960644007160</v>
      </c>
      <c r="O14" s="421">
        <v>74.538408751463286642715860010</v>
      </c>
      <c r="P14" s="5"/>
      <c r="Q14" s="420">
        <v>-2.327385570274327197790415100</v>
      </c>
      <c r="R14" s="91">
        <v>1.5280928273238207966152296700</v>
      </c>
      <c r="S14" s="421">
        <v>-4.8744642273817561414094677600</v>
      </c>
      <c r="T14" s="420">
        <v>45.390070921688848649464919400</v>
      </c>
      <c r="U14" s="91">
        <v>76.237561494195935495340239870</v>
      </c>
      <c r="V14" s="421">
        <v>14.986525403949643164841701790</v>
      </c>
      <c r="W14" s="420">
        <v>0</v>
      </c>
      <c r="X14" s="91">
        <v>0</v>
      </c>
      <c r="Y14" s="421">
        <v>-1.8025772754928593406972900300</v>
      </c>
      <c r="Z14" s="420">
        <v>2.377622377663328671328687700</v>
      </c>
      <c r="AA14" s="91">
        <v>4.2178943579083962398681610600</v>
      </c>
      <c r="AB14" s="421">
        <v>-0.7731996691172833578526262500</v>
      </c>
    </row>
    <row r="15" ht="18" customHeight="1">
      <c r="A15" s="58"/>
      <c r="B15" s="1043" t="s">
        <v>49</v>
      </c>
      <c r="C15" s="1043"/>
      <c r="D15" s="420">
        <v>80.53613053613053613053613061</v>
      </c>
      <c r="E15" s="91">
        <v>75.827370304114490161001788980</v>
      </c>
      <c r="F15" s="421">
        <v>55.228386242745639311975849790</v>
      </c>
      <c r="G15" s="420">
        <v>9.731934731934731934731934740</v>
      </c>
      <c r="H15" s="91">
        <v>3.9132379248658318425760286300</v>
      </c>
      <c r="I15" s="421">
        <v>15.639554124189812012171989910</v>
      </c>
      <c r="J15" s="420">
        <v>0</v>
      </c>
      <c r="K15" s="91">
        <v>0</v>
      </c>
      <c r="L15" s="421">
        <v>7.2022987949084275693956784700</v>
      </c>
      <c r="M15" s="420">
        <v>90.26806526806526806526806527</v>
      </c>
      <c r="N15" s="91">
        <v>79.71824686940966010733452594</v>
      </c>
      <c r="O15" s="421">
        <v>78.074274967511764373521886170</v>
      </c>
      <c r="P15" s="184"/>
      <c r="Q15" s="420">
        <v>6.6358024691012445701874827200</v>
      </c>
      <c r="R15" s="91">
        <v>2.114985597925498711283602900</v>
      </c>
      <c r="S15" s="421">
        <v>-2.2458681132218191973420555100</v>
      </c>
      <c r="T15" s="420">
        <v>-11.640211640323843117493768590</v>
      </c>
      <c r="U15" s="91">
        <v>52.586633327564453917478958020</v>
      </c>
      <c r="V15" s="421">
        <v>8.664019610502398976350168460</v>
      </c>
      <c r="W15" s="420">
        <v>0</v>
      </c>
      <c r="X15" s="91">
        <v>0</v>
      </c>
      <c r="Y15" s="421">
        <v>8.652937296487418016527284560</v>
      </c>
      <c r="Z15" s="420">
        <v>4.3097643097179498690610007800</v>
      </c>
      <c r="AA15" s="91">
        <v>3.7445806919505086230851667100</v>
      </c>
      <c r="AB15" s="421">
        <v>0.7169086345514077829113345900</v>
      </c>
    </row>
    <row r="16" ht="18" customHeight="1">
      <c r="A16" s="58"/>
      <c r="B16" s="1044" t="s">
        <v>75</v>
      </c>
      <c r="C16" s="1044"/>
      <c r="D16" s="430">
        <v>74.790209790209790209790209840</v>
      </c>
      <c r="E16" s="431">
        <v>70.648479427549194991055456190</v>
      </c>
      <c r="F16" s="432">
        <v>51.145635462724208450203293160</v>
      </c>
      <c r="G16" s="430">
        <v>8.286713286713286713286713290</v>
      </c>
      <c r="H16" s="431">
        <v>3.3452593917710196779964221800</v>
      </c>
      <c r="I16" s="432">
        <v>14.299709812226685958630055060</v>
      </c>
      <c r="J16" s="430">
        <v>0</v>
      </c>
      <c r="K16" s="431">
        <v>0</v>
      </c>
      <c r="L16" s="432">
        <v>6.9659615400160047852691309800</v>
      </c>
      <c r="M16" s="430">
        <v>83.07692307692307692307692308</v>
      </c>
      <c r="N16" s="431">
        <v>73.984794275491949910554561720</v>
      </c>
      <c r="O16" s="432">
        <v>72.413731782431919038419567870</v>
      </c>
      <c r="P16" s="5"/>
      <c r="Q16" s="430">
        <v>-1.8807339449847344499621147900</v>
      </c>
      <c r="R16" s="431">
        <v>1.3155972789474742527082073700</v>
      </c>
      <c r="S16" s="432">
        <v>-2.6035833930236039057841197500</v>
      </c>
      <c r="T16" s="430">
        <v>1.426533523080587951593531200</v>
      </c>
      <c r="U16" s="431">
        <v>84.20462659128006885963541770</v>
      </c>
      <c r="V16" s="432">
        <v>8.053646137153694864399778420</v>
      </c>
      <c r="W16" s="430">
        <v>0</v>
      </c>
      <c r="X16" s="431">
        <v>0</v>
      </c>
      <c r="Y16" s="432">
        <v>4.53518551387528666181465700</v>
      </c>
      <c r="Z16" s="629">
        <v>-1.5605579339410681792316973900</v>
      </c>
      <c r="AA16" s="214">
        <v>3.4014063784292594170553654100</v>
      </c>
      <c r="AB16" s="630">
        <v>0.0044659075981984617555106700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82.28438228438228438228438236</v>
      </c>
      <c r="E18" s="480">
        <v>84.45885509838998211091234355</v>
      </c>
      <c r="F18" s="481">
        <v>63.159551541274184565464803800</v>
      </c>
      <c r="G18" s="479">
        <v>6.0606060606060606060606060700</v>
      </c>
      <c r="H18" s="480">
        <v>2.9293381037567084078711985700</v>
      </c>
      <c r="I18" s="481">
        <v>14.587823167138855929809267840</v>
      </c>
      <c r="J18" s="479">
        <v>0</v>
      </c>
      <c r="K18" s="480">
        <v>0</v>
      </c>
      <c r="L18" s="481">
        <v>7.3241801260785690647423945300</v>
      </c>
      <c r="M18" s="479">
        <v>88.34498834498834498834498834</v>
      </c>
      <c r="N18" s="480">
        <v>87.38819320214669051878354204</v>
      </c>
      <c r="O18" s="481">
        <v>85.07074767335803246402079247</v>
      </c>
      <c r="P18" s="184"/>
      <c r="Q18" s="479">
        <v>4.2066420664258937650631122400</v>
      </c>
      <c r="R18" s="480">
        <v>8.056109170064065236100285030</v>
      </c>
      <c r="S18" s="481">
        <v>-2.2087902521220323091346030900</v>
      </c>
      <c r="T18" s="479">
        <v>-36.969696969797818181818020360</v>
      </c>
      <c r="U18" s="480">
        <v>28.865839488350997650862418150</v>
      </c>
      <c r="V18" s="481">
        <v>18.889059730840174755560551630</v>
      </c>
      <c r="W18" s="479">
        <v>0</v>
      </c>
      <c r="X18" s="480">
        <v>0</v>
      </c>
      <c r="Y18" s="481">
        <v>5.9117270662114301065275513600</v>
      </c>
      <c r="Z18" s="479">
        <v>-0.2631578947497029085872559600</v>
      </c>
      <c r="AA18" s="480">
        <v>8.644210244272360097525580230</v>
      </c>
      <c r="AB18" s="481">
        <v>1.5528007379322143085909015500</v>
      </c>
    </row>
    <row r="19" ht="18" customHeight="1">
      <c r="A19" s="58"/>
      <c r="B19" s="1046" t="s">
        <v>51</v>
      </c>
      <c r="C19" s="1046"/>
      <c r="D19" s="271">
        <v>87.23776223776223776223776231</v>
      </c>
      <c r="E19" s="92">
        <v>86.31484794275491949910554569</v>
      </c>
      <c r="F19" s="272">
        <v>66.295372545221202508656803220</v>
      </c>
      <c r="G19" s="271">
        <v>4.3706293706293706293706293700</v>
      </c>
      <c r="H19" s="92">
        <v>3.0858676207513416815742397200</v>
      </c>
      <c r="I19" s="272">
        <v>13.066324430346029977964501070</v>
      </c>
      <c r="J19" s="271">
        <v>0</v>
      </c>
      <c r="K19" s="92">
        <v>0</v>
      </c>
      <c r="L19" s="272">
        <v>7.4307253957107457361713118900</v>
      </c>
      <c r="M19" s="271">
        <v>91.60839160839160839160839161</v>
      </c>
      <c r="N19" s="92">
        <v>89.37835420393559928443649374</v>
      </c>
      <c r="O19" s="272">
        <v>86.79484385467870951077963694</v>
      </c>
      <c r="P19" s="5"/>
      <c r="Q19" s="271">
        <v>7.1581961345167112879680612900</v>
      </c>
      <c r="R19" s="92">
        <v>5.8227964142898441864426867800</v>
      </c>
      <c r="S19" s="272">
        <v>-0.3480862090364730944813798700</v>
      </c>
      <c r="T19" s="271">
        <v>-31.192660550660718794713656620</v>
      </c>
      <c r="U19" s="92">
        <v>126.83363149100096964057324189</v>
      </c>
      <c r="V19" s="272">
        <v>21.136437801258831622866465230</v>
      </c>
      <c r="W19" s="271">
        <v>0</v>
      </c>
      <c r="X19" s="92">
        <v>0</v>
      </c>
      <c r="Y19" s="272">
        <v>8.005858378766949440642028900</v>
      </c>
      <c r="Z19" s="271">
        <v>4.3824701195668259233980606300</v>
      </c>
      <c r="AA19" s="92">
        <v>7.7810300813806957256219463500</v>
      </c>
      <c r="AB19" s="272">
        <v>3.0879346786246479832003555700</v>
      </c>
    </row>
    <row r="20" ht="18" customHeight="1">
      <c r="A20" s="58"/>
      <c r="B20" s="1047" t="s">
        <v>76</v>
      </c>
      <c r="C20" s="1047"/>
      <c r="D20" s="273">
        <v>84.76107226107226107226107233</v>
      </c>
      <c r="E20" s="274">
        <v>85.38685152057245080500894461</v>
      </c>
      <c r="F20" s="275">
        <v>64.727462043247693537060803520</v>
      </c>
      <c r="G20" s="273">
        <v>5.2156177156177156177156177200</v>
      </c>
      <c r="H20" s="274">
        <v>3.0076028622540250447227191400</v>
      </c>
      <c r="I20" s="275">
        <v>13.827073798742442953886884450</v>
      </c>
      <c r="J20" s="273">
        <v>0</v>
      </c>
      <c r="K20" s="274">
        <v>0</v>
      </c>
      <c r="L20" s="275">
        <v>7.3774527608946574004568532100</v>
      </c>
      <c r="M20" s="273">
        <v>89.97668997668997668997668998</v>
      </c>
      <c r="N20" s="274">
        <v>88.38327370304114490161001789</v>
      </c>
      <c r="O20" s="275">
        <v>85.93279576401837098740021470</v>
      </c>
      <c r="P20" s="184"/>
      <c r="Q20" s="273">
        <v>5.7049418604389973254123916100</v>
      </c>
      <c r="R20" s="274">
        <v>6.9323818245874029293158061200</v>
      </c>
      <c r="S20" s="275">
        <v>-1.2642666050624652585842753500</v>
      </c>
      <c r="T20" s="273">
        <v>-34.671532846854568703713273420</v>
      </c>
      <c r="U20" s="274">
        <v>65.240288441587683769679048060</v>
      </c>
      <c r="V20" s="275">
        <v>19.938328763437280066171889810</v>
      </c>
      <c r="W20" s="273">
        <v>0</v>
      </c>
      <c r="X20" s="274">
        <v>0</v>
      </c>
      <c r="Y20" s="275">
        <v>6.956028045448474831293600300</v>
      </c>
      <c r="Z20" s="273">
        <v>2.0489094513783906736462186800</v>
      </c>
      <c r="AA20" s="274">
        <v>8.218149289693062517915384130</v>
      </c>
      <c r="AB20" s="275">
        <v>2.3223806851432425989399209200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77.630702630702630702630702630</v>
      </c>
      <c r="E22" s="469">
        <v>74.894582162024022489138768210</v>
      </c>
      <c r="F22" s="470">
        <v>55.018148020879624024611330280</v>
      </c>
      <c r="G22" s="468">
        <v>7.4092574092574092574092574100</v>
      </c>
      <c r="H22" s="469">
        <v>3.1976744186046511627906976700</v>
      </c>
      <c r="I22" s="470">
        <v>14.169572016725877466803559590</v>
      </c>
      <c r="J22" s="468">
        <v>0</v>
      </c>
      <c r="K22" s="469">
        <v>0</v>
      </c>
      <c r="L22" s="470">
        <v>7.0916460824364678349635704900</v>
      </c>
      <c r="M22" s="468">
        <v>85.03996003996003996003996004</v>
      </c>
      <c r="N22" s="469">
        <v>78.092256580628673651929465880</v>
      </c>
      <c r="O22" s="470">
        <v>76.279366120041969326378460360</v>
      </c>
      <c r="P22" s="184"/>
      <c r="Q22" s="468">
        <v>0.2795999569229811599791620900</v>
      </c>
      <c r="R22" s="469">
        <v>3.2008108684282089313093496500</v>
      </c>
      <c r="S22" s="470">
        <v>-2.1439130267425225041273390300</v>
      </c>
      <c r="T22" s="468">
        <v>-7.867494824497254478348378700</v>
      </c>
      <c r="U22" s="469">
        <v>74.626119425292895576939939120</v>
      </c>
      <c r="V22" s="470">
        <v>11.288057686396981127259450540</v>
      </c>
      <c r="W22" s="468">
        <v>0</v>
      </c>
      <c r="X22" s="469">
        <v>0</v>
      </c>
      <c r="Y22" s="470">
        <v>4.8982583209129663309896458600</v>
      </c>
      <c r="Z22" s="468">
        <v>-0.487092060387239336349522300</v>
      </c>
      <c r="AA22" s="469">
        <v>4.9586841676584652808620981100</v>
      </c>
      <c r="AB22" s="470">
        <v>0.7435602143675239314698692200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194.19920308161031482017364042</v>
      </c>
      <c r="E25" s="455">
        <v>263.73785889233872755610760335</v>
      </c>
      <c r="F25" s="456">
        <v>201.96287314743317741901336805</v>
      </c>
      <c r="G25" s="454">
        <v>309.94614827444684633879023824</v>
      </c>
      <c r="H25" s="455">
        <v>379.37670030967982859041612702</v>
      </c>
      <c r="I25" s="456">
        <v>252.99273740719528254067876377</v>
      </c>
      <c r="J25" s="454">
        <v>0</v>
      </c>
      <c r="K25" s="455">
        <v>0</v>
      </c>
      <c r="L25" s="456">
        <v>158.98290121909829240743380007</v>
      </c>
      <c r="M25" s="454">
        <v>200.22260247983106259259110051</v>
      </c>
      <c r="N25" s="455">
        <v>266.96052449958155693565844868</v>
      </c>
      <c r="O25" s="456">
        <v>205.18726340726516508321766107</v>
      </c>
      <c r="P25" s="5"/>
      <c r="Q25" s="427">
        <v>-1.5649270016433778984783009400</v>
      </c>
      <c r="R25" s="428">
        <v>6.9568794438271490181063466900</v>
      </c>
      <c r="S25" s="429">
        <v>0.516460370742006445173545100</v>
      </c>
      <c r="T25" s="427">
        <v>-0.3572765251095111343874970100</v>
      </c>
      <c r="U25" s="428">
        <v>18.803714358543446968895626390</v>
      </c>
      <c r="V25" s="429">
        <v>-5.3937117973890154787069881400</v>
      </c>
      <c r="W25" s="427">
        <v>0</v>
      </c>
      <c r="X25" s="428">
        <v>0</v>
      </c>
      <c r="Y25" s="429">
        <v>3.5671954815051552495952460900</v>
      </c>
      <c r="Z25" s="427">
        <v>-2.5487880911452735233308088200</v>
      </c>
      <c r="AA25" s="428">
        <v>7.6965848599709995216628324400</v>
      </c>
      <c r="AB25" s="429">
        <v>0.0040377518272340298163015900</v>
      </c>
    </row>
    <row r="26" ht="18" customHeight="1">
      <c r="A26" s="58"/>
      <c r="B26" s="1043" t="s">
        <v>46</v>
      </c>
      <c r="C26" s="1043"/>
      <c r="D26" s="439">
        <v>187.01758561020073638351660635</v>
      </c>
      <c r="E26" s="95">
        <v>249.45257907883580090668903177</v>
      </c>
      <c r="F26" s="440">
        <v>197.06365873499862780457976719</v>
      </c>
      <c r="G26" s="439">
        <v>227.82709842310276892552115388</v>
      </c>
      <c r="H26" s="95">
        <v>341.18975468096738577863785704</v>
      </c>
      <c r="I26" s="440">
        <v>242.30469580577070821910800228</v>
      </c>
      <c r="J26" s="439">
        <v>0</v>
      </c>
      <c r="K26" s="95">
        <v>0</v>
      </c>
      <c r="L26" s="440">
        <v>156.29439151973557988804074352</v>
      </c>
      <c r="M26" s="439">
        <v>190.10504687919182648594541482</v>
      </c>
      <c r="N26" s="95">
        <v>252.98953710092401579445228777</v>
      </c>
      <c r="O26" s="440">
        <v>202.06328875034795003434470404</v>
      </c>
      <c r="P26" s="5"/>
      <c r="Q26" s="420">
        <v>2.6644393455687575492784394300</v>
      </c>
      <c r="R26" s="91">
        <v>4.4320704056602403541913580900</v>
      </c>
      <c r="S26" s="421">
        <v>-0.3886050461358412887800822900</v>
      </c>
      <c r="T26" s="420">
        <v>25.026614687614093206657653490</v>
      </c>
      <c r="U26" s="91">
        <v>-4.2838868087191641532425615800</v>
      </c>
      <c r="V26" s="421">
        <v>-3.1699666326059688310788050400</v>
      </c>
      <c r="W26" s="420">
        <v>0</v>
      </c>
      <c r="X26" s="91">
        <v>0</v>
      </c>
      <c r="Y26" s="421">
        <v>2.4600155854930889100454716800</v>
      </c>
      <c r="Z26" s="420">
        <v>4.3565545080079234753597570700</v>
      </c>
      <c r="AA26" s="91">
        <v>5.0812408664412460916576268700</v>
      </c>
      <c r="AB26" s="421">
        <v>-0.7264171933621744343461390400</v>
      </c>
    </row>
    <row r="27" ht="18" customHeight="1">
      <c r="A27" s="58"/>
      <c r="B27" s="1043" t="s">
        <v>47</v>
      </c>
      <c r="C27" s="1043"/>
      <c r="D27" s="439">
        <v>198.58981794264406497289192139</v>
      </c>
      <c r="E27" s="95">
        <v>249.42971041313494158141713373</v>
      </c>
      <c r="F27" s="440">
        <v>209.40698155532095403291661828</v>
      </c>
      <c r="G27" s="439">
        <v>221.88718816994063015596981665</v>
      </c>
      <c r="H27" s="95">
        <v>360.8840036438177723182637398</v>
      </c>
      <c r="I27" s="440">
        <v>239.28874481624901061076012697</v>
      </c>
      <c r="J27" s="439">
        <v>0</v>
      </c>
      <c r="K27" s="95">
        <v>0</v>
      </c>
      <c r="L27" s="440">
        <v>151.20275027954884196705273614</v>
      </c>
      <c r="M27" s="439">
        <v>201.40334424402597711576730784</v>
      </c>
      <c r="N27" s="95">
        <v>255.2378401310801200085093784</v>
      </c>
      <c r="O27" s="440">
        <v>210.03706596218625669967702127</v>
      </c>
      <c r="P27" s="93"/>
      <c r="Q27" s="420">
        <v>10.252255674283829953319561960</v>
      </c>
      <c r="R27" s="91">
        <v>4.808610152814390322873314400</v>
      </c>
      <c r="S27" s="421">
        <v>3.5877416742348298883003033300</v>
      </c>
      <c r="T27" s="420">
        <v>22.654387109038189570903706830</v>
      </c>
      <c r="U27" s="91">
        <v>-7.7431473465153878411314070900</v>
      </c>
      <c r="V27" s="421">
        <v>-3.6240608690759831122159709600</v>
      </c>
      <c r="W27" s="420">
        <v>0</v>
      </c>
      <c r="X27" s="91">
        <v>0</v>
      </c>
      <c r="Y27" s="421">
        <v>3.3748311480619577828249008700</v>
      </c>
      <c r="Z27" s="420">
        <v>11.764359438462753349444074540</v>
      </c>
      <c r="AA27" s="91">
        <v>5.6533804083209823093622033600</v>
      </c>
      <c r="AB27" s="421">
        <v>1.6439100842242650492570126500</v>
      </c>
    </row>
    <row r="28" ht="18" customHeight="1">
      <c r="A28" s="58"/>
      <c r="B28" s="1043" t="s">
        <v>48</v>
      </c>
      <c r="C28" s="1043"/>
      <c r="D28" s="439">
        <v>187.45235093295501952666274026</v>
      </c>
      <c r="E28" s="95">
        <v>246.04054180290959949077662171</v>
      </c>
      <c r="F28" s="440">
        <v>204.47853966024916318657781447</v>
      </c>
      <c r="G28" s="439">
        <v>227.04679384827042617649768039</v>
      </c>
      <c r="H28" s="95">
        <v>369.80354465388209423620336098</v>
      </c>
      <c r="I28" s="440">
        <v>241.59649451150730140656678148</v>
      </c>
      <c r="J28" s="439">
        <v>0</v>
      </c>
      <c r="K28" s="95">
        <v>0</v>
      </c>
      <c r="L28" s="440">
        <v>155.53392569449452858714168531</v>
      </c>
      <c r="M28" s="439">
        <v>192.99665475647937633213826126</v>
      </c>
      <c r="N28" s="95">
        <v>253.41055654108875829084195758</v>
      </c>
      <c r="O28" s="440">
        <v>208.34183428103791352981029273</v>
      </c>
      <c r="P28" s="5"/>
      <c r="Q28" s="420">
        <v>3.6147359504901315956567861100</v>
      </c>
      <c r="R28" s="91">
        <v>7.2042855171205245545316898100</v>
      </c>
      <c r="S28" s="421">
        <v>0.4141455878973279191489922800</v>
      </c>
      <c r="T28" s="420">
        <v>18.389872723149669544308229660</v>
      </c>
      <c r="U28" s="91">
        <v>-8.743364692253782786398695150</v>
      </c>
      <c r="V28" s="421">
        <v>0.8244956701204548918934562400</v>
      </c>
      <c r="W28" s="420">
        <v>0</v>
      </c>
      <c r="X28" s="91">
        <v>0</v>
      </c>
      <c r="Y28" s="421">
        <v>2.9594218321780340183941674900</v>
      </c>
      <c r="Z28" s="420">
        <v>6.0513016899485961731306610800</v>
      </c>
      <c r="AA28" s="91">
        <v>7.4876426541553856729044155500</v>
      </c>
      <c r="AB28" s="421">
        <v>1.247248034237196359216826500</v>
      </c>
    </row>
    <row r="29" ht="18" customHeight="1">
      <c r="A29" s="58"/>
      <c r="B29" s="1043" t="s">
        <v>49</v>
      </c>
      <c r="C29" s="1043"/>
      <c r="D29" s="439">
        <v>197.19669735953269387756311572</v>
      </c>
      <c r="E29" s="95">
        <v>275.63283280849450154552251221</v>
      </c>
      <c r="F29" s="440">
        <v>212.14507002582321454090174954</v>
      </c>
      <c r="G29" s="439">
        <v>252.05404489287055576100508264</v>
      </c>
      <c r="H29" s="95">
        <v>420.31036291130422456263490677</v>
      </c>
      <c r="I29" s="440">
        <v>248.7439951039545482590540245</v>
      </c>
      <c r="J29" s="439">
        <v>0</v>
      </c>
      <c r="K29" s="95">
        <v>0</v>
      </c>
      <c r="L29" s="440">
        <v>154.96291287631641809123784867</v>
      </c>
      <c r="M29" s="439">
        <v>203.11094980502489719230476096</v>
      </c>
      <c r="N29" s="95">
        <v>282.812131714749815999811486</v>
      </c>
      <c r="O29" s="440">
        <v>214.1904519638414975573280109</v>
      </c>
      <c r="P29" s="93"/>
      <c r="Q29" s="420">
        <v>-6.5802624170563889082652194700</v>
      </c>
      <c r="R29" s="91">
        <v>2.415102733400095875766473700</v>
      </c>
      <c r="S29" s="421">
        <v>-1.473226747301293308864039700</v>
      </c>
      <c r="T29" s="420">
        <v>-0.9395900365393522418489446300</v>
      </c>
      <c r="U29" s="91">
        <v>-11.102640291587013493681096880</v>
      </c>
      <c r="V29" s="421">
        <v>4.8209690895742650634552419900</v>
      </c>
      <c r="W29" s="420">
        <v>0</v>
      </c>
      <c r="X29" s="91">
        <v>0</v>
      </c>
      <c r="Y29" s="421">
        <v>3.3374963720977810074652287400</v>
      </c>
      <c r="Z29" s="420">
        <v>-6.2298195920455409305978226300</v>
      </c>
      <c r="AA29" s="91">
        <v>2.5192132330999093919779957300</v>
      </c>
      <c r="AB29" s="421">
        <v>0.1777622602540942313226030500</v>
      </c>
    </row>
    <row r="30" ht="18" customHeight="1">
      <c r="A30" s="58"/>
      <c r="B30" s="1044" t="s">
        <v>75</v>
      </c>
      <c r="C30" s="1044"/>
      <c r="D30" s="457">
        <v>192.95696035467975365051381166</v>
      </c>
      <c r="E30" s="458">
        <v>257.37213363685708005070510481</v>
      </c>
      <c r="F30" s="459">
        <v>205.21579001246550750131527335</v>
      </c>
      <c r="G30" s="457">
        <v>240.46929537119202505541074174</v>
      </c>
      <c r="H30" s="458">
        <v>376.31520788151105243864871882</v>
      </c>
      <c r="I30" s="459">
        <v>244.45787094212828470460010403</v>
      </c>
      <c r="J30" s="457">
        <v>0</v>
      </c>
      <c r="K30" s="458">
        <v>0</v>
      </c>
      <c r="L30" s="459">
        <v>155.39259097386462685382255262</v>
      </c>
      <c r="M30" s="457">
        <v>197.69619579193287163155782363</v>
      </c>
      <c r="N30" s="458">
        <v>262.78131962502578497159510261</v>
      </c>
      <c r="O30" s="459">
        <v>208.16531677413373239366316019</v>
      </c>
      <c r="P30" s="5"/>
      <c r="Q30" s="430">
        <v>1.4197609147286692997353568700</v>
      </c>
      <c r="R30" s="431">
        <v>5.0654329846121878414063373100</v>
      </c>
      <c r="S30" s="432">
        <v>0.475877136299521452615504100</v>
      </c>
      <c r="T30" s="430">
        <v>8.370489059843943457984627500</v>
      </c>
      <c r="U30" s="431">
        <v>-6.7208345509062008063948527500</v>
      </c>
      <c r="V30" s="432">
        <v>-1.0518048578083094460924086100</v>
      </c>
      <c r="W30" s="430">
        <v>0</v>
      </c>
      <c r="X30" s="431">
        <v>0</v>
      </c>
      <c r="Y30" s="432">
        <v>3.1360085626456175993659249300</v>
      </c>
      <c r="Z30" s="430">
        <v>2.2643278159730638437320265500</v>
      </c>
      <c r="AA30" s="431">
        <v>5.5463776036221161546144931300</v>
      </c>
      <c r="AB30" s="432">
        <v>0.4960145074487672523938808700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272.73644338446652118575886378</v>
      </c>
      <c r="E32" s="494">
        <v>338.83976711106231510922781824</v>
      </c>
      <c r="F32" s="495">
        <v>248.54348764731309976963302695</v>
      </c>
      <c r="G32" s="493">
        <v>361.62031938402974154344229037</v>
      </c>
      <c r="H32" s="494">
        <v>430.47144529809848563294799544</v>
      </c>
      <c r="I32" s="495">
        <v>255.84635846815945055937293997</v>
      </c>
      <c r="J32" s="493">
        <v>0</v>
      </c>
      <c r="K32" s="494">
        <v>0</v>
      </c>
      <c r="L32" s="495">
        <v>155.28602185564566805211920623</v>
      </c>
      <c r="M32" s="493">
        <v>278.83401799129671572216986402</v>
      </c>
      <c r="N32" s="494">
        <v>341.9113510011599963627097382</v>
      </c>
      <c r="O32" s="495">
        <v>241.76911583877581750309304568</v>
      </c>
      <c r="P32" s="93"/>
      <c r="Q32" s="479">
        <v>-1.4923398580873192545682386700</v>
      </c>
      <c r="R32" s="480">
        <v>3.0659824608118950083879929900</v>
      </c>
      <c r="S32" s="481">
        <v>0.6052290791972328830047694700</v>
      </c>
      <c r="T32" s="479">
        <v>8.752899004059004319898061880</v>
      </c>
      <c r="U32" s="480">
        <v>43.096595597963588581142528580</v>
      </c>
      <c r="V32" s="481">
        <v>4.8148477189743995811593256100</v>
      </c>
      <c r="W32" s="479">
        <v>0</v>
      </c>
      <c r="X32" s="480">
        <v>0</v>
      </c>
      <c r="Y32" s="481">
        <v>2.2820103516595779296126506600</v>
      </c>
      <c r="Z32" s="479">
        <v>-1.4403584649064075647561685700</v>
      </c>
      <c r="AA32" s="480">
        <v>4.2506114680858401241296393500</v>
      </c>
      <c r="AB32" s="481">
        <v>1.2606627649148730075581297800</v>
      </c>
    </row>
    <row r="33" ht="18" customHeight="1">
      <c r="A33" s="58"/>
      <c r="B33" s="1046" t="s">
        <v>51</v>
      </c>
      <c r="C33" s="1046"/>
      <c r="D33" s="276">
        <v>282.00680871036567774790627025</v>
      </c>
      <c r="E33" s="94">
        <v>339.17955519514199910987652982</v>
      </c>
      <c r="F33" s="277">
        <v>252.33957654929793077310063982</v>
      </c>
      <c r="G33" s="276">
        <v>390.99936641172333849107510056</v>
      </c>
      <c r="H33" s="94">
        <v>411.87128027113809322687794557</v>
      </c>
      <c r="I33" s="277">
        <v>262.44359739515111554639796134</v>
      </c>
      <c r="J33" s="276">
        <v>0</v>
      </c>
      <c r="K33" s="94">
        <v>0</v>
      </c>
      <c r="L33" s="277">
        <v>156.36993481086834602591849044</v>
      </c>
      <c r="M33" s="276">
        <v>287.20683531825487911924066101</v>
      </c>
      <c r="N33" s="94">
        <v>341.77416055308110418549726335</v>
      </c>
      <c r="O33" s="277">
        <v>245.63741948648851492218563738</v>
      </c>
      <c r="P33" s="5"/>
      <c r="Q33" s="271">
        <v>1.0862754062342749979859018700</v>
      </c>
      <c r="R33" s="92">
        <v>0.1659923823233298127548037200</v>
      </c>
      <c r="S33" s="272">
        <v>1.2106507663951531155647075600</v>
      </c>
      <c r="T33" s="271">
        <v>0.0024988103558802459809942400</v>
      </c>
      <c r="U33" s="92">
        <v>58.554748013834778052665885020</v>
      </c>
      <c r="V33" s="272">
        <v>5.9342711522087403084692836500</v>
      </c>
      <c r="W33" s="271">
        <v>0</v>
      </c>
      <c r="X33" s="92">
        <v>0</v>
      </c>
      <c r="Y33" s="272">
        <v>2.8638285237764673377435412200</v>
      </c>
      <c r="Z33" s="271">
        <v>0.0429415926201015674900019700</v>
      </c>
      <c r="AA33" s="92">
        <v>1.3192821853448994460968176900</v>
      </c>
      <c r="AB33" s="272">
        <v>1.855425024194354567356132800</v>
      </c>
    </row>
    <row r="34" ht="18" customHeight="1">
      <c r="A34" s="58"/>
      <c r="B34" s="1047" t="s">
        <v>76</v>
      </c>
      <c r="C34" s="1047"/>
      <c r="D34" s="443">
        <v>277.50706452330152887690175394</v>
      </c>
      <c r="E34" s="444">
        <v>339.01150758566590031840734249</v>
      </c>
      <c r="F34" s="445">
        <v>250.48750893308292643230181926</v>
      </c>
      <c r="G34" s="443">
        <v>373.92997595987901400753424994</v>
      </c>
      <c r="H34" s="444">
        <v>420.92935320248311703801243086</v>
      </c>
      <c r="I34" s="445">
        <v>258.96349176112057465995263834</v>
      </c>
      <c r="J34" s="443">
        <v>0</v>
      </c>
      <c r="K34" s="444">
        <v>0</v>
      </c>
      <c r="L34" s="445">
        <v>155.83189180453953968378201862</v>
      </c>
      <c r="M34" s="633">
        <v>283.09634598286997765876160395</v>
      </c>
      <c r="N34" s="634">
        <v>341.84198348427557738328933819</v>
      </c>
      <c r="O34" s="635">
        <v>243.72267040487950641930076797</v>
      </c>
      <c r="P34" s="93"/>
      <c r="Q34" s="273">
        <v>-0.1551890457696413526231160300</v>
      </c>
      <c r="R34" s="274">
        <v>1.5741638012236517639428594800</v>
      </c>
      <c r="S34" s="275">
        <v>0.921137119123361534811414500</v>
      </c>
      <c r="T34" s="273">
        <v>5.1023071687218563786280420100</v>
      </c>
      <c r="U34" s="274">
        <v>47.387368451207029646371261220</v>
      </c>
      <c r="V34" s="275">
        <v>5.3554130048404572401263191700</v>
      </c>
      <c r="W34" s="273">
        <v>0</v>
      </c>
      <c r="X34" s="274">
        <v>0</v>
      </c>
      <c r="Y34" s="275">
        <v>2.5758692847249654765027471500</v>
      </c>
      <c r="Z34" s="273">
        <v>-0.6632718299106143362492482200</v>
      </c>
      <c r="AA34" s="274">
        <v>2.7526852343002724324061411900</v>
      </c>
      <c r="AB34" s="275">
        <v>1.5664711957954412396822543100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219.24739946380697050938337802</v>
      </c>
      <c r="E36" s="483">
        <v>284.03549696011376945282452185</v>
      </c>
      <c r="F36" s="484">
        <v>219.73795447720721330442029911</v>
      </c>
      <c r="G36" s="482">
        <v>268.42471910112359550561797753</v>
      </c>
      <c r="H36" s="483">
        <v>389.85017359653613903948959535</v>
      </c>
      <c r="I36" s="484">
        <v>250.85767517373621271297943015</v>
      </c>
      <c r="J36" s="482">
        <v>0</v>
      </c>
      <c r="K36" s="483">
        <v>0</v>
      </c>
      <c r="L36" s="484">
        <v>156.33866956617351599075147203</v>
      </c>
      <c r="M36" s="482">
        <v>223.53206069505628976994615761</v>
      </c>
      <c r="N36" s="483">
        <v>288.36833224249365949439581118</v>
      </c>
      <c r="O36" s="484">
        <v>219.62452711986490003692248095</v>
      </c>
      <c r="P36" s="93"/>
      <c r="Q36" s="468">
        <v>1.5070643149539297136425872400</v>
      </c>
      <c r="R36" s="469">
        <v>4.0407940226426887078573158800</v>
      </c>
      <c r="S36" s="470">
        <v>0.7000202052781954950297175700</v>
      </c>
      <c r="T36" s="468">
        <v>2.2151138453210968561162234800</v>
      </c>
      <c r="U36" s="469">
        <v>7.061397061536476818331513800</v>
      </c>
      <c r="V36" s="470">
        <v>0.6163536113335564924621592700</v>
      </c>
      <c r="W36" s="468">
        <v>0</v>
      </c>
      <c r="X36" s="469">
        <v>0</v>
      </c>
      <c r="Y36" s="470">
        <v>2.7849205557143327163370170500</v>
      </c>
      <c r="Z36" s="468">
        <v>1.4307192909344184198899066800</v>
      </c>
      <c r="AA36" s="469">
        <v>4.7671589338021664459579945500</v>
      </c>
      <c r="AB36" s="470">
        <v>0.9585220471163341101593378200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152.55275393590367387971682256</v>
      </c>
      <c r="E39" s="455">
        <v>193.38024134793798918973095532</v>
      </c>
      <c r="F39" s="456">
        <v>104.9316466509085927546903475</v>
      </c>
      <c r="G39" s="454">
        <v>13.365976091089199667290488141</v>
      </c>
      <c r="H39" s="455">
        <v>7.974376079854629670728782641</v>
      </c>
      <c r="I39" s="456">
        <v>26.300819435651472776760339307</v>
      </c>
      <c r="J39" s="454">
        <v>0</v>
      </c>
      <c r="K39" s="455">
        <v>0</v>
      </c>
      <c r="L39" s="456">
        <v>11.336055642841626979032065385</v>
      </c>
      <c r="M39" s="454">
        <v>165.91873002699287354700731056</v>
      </c>
      <c r="N39" s="455">
        <v>201.35461742779261886045973779</v>
      </c>
      <c r="O39" s="456">
        <v>142.56852172940169251048275205</v>
      </c>
      <c r="P39" s="5"/>
      <c r="Q39" s="427">
        <v>1.6785275109576431362679646700</v>
      </c>
      <c r="R39" s="428">
        <v>6.3260994087482389981123490300</v>
      </c>
      <c r="S39" s="429">
        <v>-0.410363370789201286796358300</v>
      </c>
      <c r="T39" s="427">
        <v>-26.994440226490980813559792410</v>
      </c>
      <c r="U39" s="428">
        <v>86.26292120794724569838905126</v>
      </c>
      <c r="V39" s="429">
        <v>6.43518448867692750035467800</v>
      </c>
      <c r="W39" s="427">
        <v>0</v>
      </c>
      <c r="X39" s="428">
        <v>0</v>
      </c>
      <c r="Y39" s="429">
        <v>8.340734032701162755937043330</v>
      </c>
      <c r="Z39" s="427">
        <v>-1.439812706663006868676258600</v>
      </c>
      <c r="AA39" s="428">
        <v>8.164500791392242645782345910</v>
      </c>
      <c r="AB39" s="429">
        <v>1.4448186326247541238770714200</v>
      </c>
    </row>
    <row r="40" ht="18" customHeight="1">
      <c r="A40" s="58"/>
      <c r="B40" s="1043" t="s">
        <v>46</v>
      </c>
      <c r="C40" s="1043"/>
      <c r="D40" s="439">
        <v>134.48700503670612394945191867</v>
      </c>
      <c r="E40" s="95">
        <v>169.51842303680277257500625408</v>
      </c>
      <c r="F40" s="440">
        <v>93.49958144091311886642879772</v>
      </c>
      <c r="G40" s="439">
        <v>13.409403811616188613914706621</v>
      </c>
      <c r="H40" s="95">
        <v>9.079065475633971133197205954</v>
      </c>
      <c r="I40" s="440">
        <v>32.943249712416360623251960268</v>
      </c>
      <c r="J40" s="439">
        <v>0</v>
      </c>
      <c r="K40" s="95">
        <v>0</v>
      </c>
      <c r="L40" s="440">
        <v>10.565871501354419506653136642</v>
      </c>
      <c r="M40" s="439">
        <v>147.89640884832231256336662516</v>
      </c>
      <c r="N40" s="95">
        <v>178.59748851243674370820345986</v>
      </c>
      <c r="O40" s="440">
        <v>137.0087026546838989963338945</v>
      </c>
      <c r="P40" s="5"/>
      <c r="Q40" s="420">
        <v>-5.0315456128518592981549458900</v>
      </c>
      <c r="R40" s="91">
        <v>4.6926016088129432147270334100</v>
      </c>
      <c r="S40" s="421">
        <v>-2.9167431907771071375230539400</v>
      </c>
      <c r="T40" s="420">
        <v>6.1150259115682870737974015900</v>
      </c>
      <c r="U40" s="91">
        <v>129.99030739764987770898633182</v>
      </c>
      <c r="V40" s="421">
        <v>1.8870977781725398673915729300</v>
      </c>
      <c r="W40" s="420">
        <v>0</v>
      </c>
      <c r="X40" s="91">
        <v>0</v>
      </c>
      <c r="Y40" s="421">
        <v>8.503093164652907417699293660</v>
      </c>
      <c r="Z40" s="420">
        <v>-4.1183755897140960922652636900</v>
      </c>
      <c r="AA40" s="91">
        <v>7.6746370635004260985256532100</v>
      </c>
      <c r="AB40" s="421">
        <v>-0.9906810068145741665831675400</v>
      </c>
    </row>
    <row r="41" ht="18" customHeight="1">
      <c r="A41" s="58"/>
      <c r="B41" s="1043" t="s">
        <v>47</v>
      </c>
      <c r="C41" s="1043"/>
      <c r="D41" s="439">
        <v>138.17962856848310814547374962</v>
      </c>
      <c r="E41" s="95">
        <v>168.83357187400703670996191066</v>
      </c>
      <c r="F41" s="440">
        <v>104.43383903133929111109157772</v>
      </c>
      <c r="G41" s="439">
        <v>21.206001666591062555698747064</v>
      </c>
      <c r="H41" s="95">
        <v>13.234565428798326176251174727</v>
      </c>
      <c r="I41" s="440">
        <v>36.467554481866003901823105168</v>
      </c>
      <c r="J41" s="439">
        <v>0</v>
      </c>
      <c r="K41" s="95">
        <v>0</v>
      </c>
      <c r="L41" s="440">
        <v>10.627466547723345724499746677</v>
      </c>
      <c r="M41" s="439">
        <v>159.38563023507417070117249653</v>
      </c>
      <c r="N41" s="95">
        <v>182.06813730280536288621308522</v>
      </c>
      <c r="O41" s="440">
        <v>151.5288600609286407374144294</v>
      </c>
      <c r="P41" s="93"/>
      <c r="Q41" s="420">
        <v>0.0313018807776096333398269100</v>
      </c>
      <c r="R41" s="91">
        <v>8.318591405081356414095948330</v>
      </c>
      <c r="S41" s="421">
        <v>1.0870948048948526414111927200</v>
      </c>
      <c r="T41" s="420">
        <v>33.214036330269549363571940810</v>
      </c>
      <c r="U41" s="91">
        <v>114.98583057111771244159697094</v>
      </c>
      <c r="V41" s="421">
        <v>-3.1535770192130890165313765200</v>
      </c>
      <c r="W41" s="420">
        <v>0</v>
      </c>
      <c r="X41" s="91">
        <v>0</v>
      </c>
      <c r="Y41" s="421">
        <v>9.113891436703206718200746010</v>
      </c>
      <c r="Z41" s="420">
        <v>3.4601227793836215396236929600</v>
      </c>
      <c r="AA41" s="91">
        <v>12.371367586728951146152304630</v>
      </c>
      <c r="AB41" s="421">
        <v>0.546283293338250988934217100</v>
      </c>
    </row>
    <row r="42" ht="18" customHeight="1">
      <c r="A42" s="58"/>
      <c r="B42" s="1043" t="s">
        <v>48</v>
      </c>
      <c r="C42" s="1043"/>
      <c r="D42" s="439">
        <v>137.53060013088016875528460967</v>
      </c>
      <c r="E42" s="95">
        <v>168.41012935123127997344974055</v>
      </c>
      <c r="F42" s="440">
        <v>104.72622675902431407898365144</v>
      </c>
      <c r="G42" s="439">
        <v>27.123888542479858605001179791</v>
      </c>
      <c r="H42" s="95">
        <v>16.207847663721129353822866462</v>
      </c>
      <c r="I42" s="440">
        <v>40.135075021703352367843415555</v>
      </c>
      <c r="J42" s="439">
        <v>0</v>
      </c>
      <c r="K42" s="95">
        <v>0</v>
      </c>
      <c r="L42" s="440">
        <v>10.43338625596863551471812267</v>
      </c>
      <c r="M42" s="439">
        <v>164.65448867336002736028578933</v>
      </c>
      <c r="N42" s="95">
        <v>184.61797701495240932727260684</v>
      </c>
      <c r="O42" s="440">
        <v>155.2946880366963019615451895</v>
      </c>
      <c r="P42" s="5"/>
      <c r="Q42" s="420">
        <v>1.2032215373309405311253008700</v>
      </c>
      <c r="R42" s="91">
        <v>8.842466514705644915837630530</v>
      </c>
      <c r="S42" s="421">
        <v>-4.4805060181357506900218345100</v>
      </c>
      <c r="T42" s="420">
        <v>72.127119916368695313882428050</v>
      </c>
      <c r="U42" s="91">
        <v>60.828468767085929611521727940</v>
      </c>
      <c r="V42" s="421">
        <v>15.934584326916165259394024550</v>
      </c>
      <c r="W42" s="420">
        <v>0</v>
      </c>
      <c r="X42" s="91">
        <v>0</v>
      </c>
      <c r="Y42" s="421">
        <v>1.1034986907249836639374769800</v>
      </c>
      <c r="Z42" s="420">
        <v>8.572801170748293277163858250</v>
      </c>
      <c r="AA42" s="91">
        <v>12.021357869153334227811651680</v>
      </c>
      <c r="AB42" s="421">
        <v>0.46440464740759018271424400</v>
      </c>
    </row>
    <row r="43" ht="18" customHeight="1">
      <c r="A43" s="58"/>
      <c r="B43" s="1043" t="s">
        <v>49</v>
      </c>
      <c r="C43" s="1043"/>
      <c r="D43" s="439">
        <v>158.81458959841152851910968891</v>
      </c>
      <c r="E43" s="95">
        <v>209.00512881341790132845859565</v>
      </c>
      <c r="F43" s="440">
        <v>117.16429866880485110728075827</v>
      </c>
      <c r="G43" s="439">
        <v>24.529735138175631009375203285</v>
      </c>
      <c r="H43" s="95">
        <v>16.447744523586368358332090508</v>
      </c>
      <c r="I43" s="440">
        <v>38.902451744955027621598266084</v>
      </c>
      <c r="J43" s="439">
        <v>0</v>
      </c>
      <c r="K43" s="95">
        <v>0</v>
      </c>
      <c r="L43" s="440">
        <v>11.160892006645933914716285485</v>
      </c>
      <c r="M43" s="439">
        <v>183.34432473658715952848489203</v>
      </c>
      <c r="N43" s="95">
        <v>225.45287333700426968679068596</v>
      </c>
      <c r="O43" s="440">
        <v>167.22764242040581264359530967</v>
      </c>
      <c r="P43" s="93"/>
      <c r="Q43" s="420">
        <v>-0.3811131638248429217014047900</v>
      </c>
      <c r="R43" s="91">
        <v>4.5811674063158001640030678100</v>
      </c>
      <c r="S43" s="421">
        <v>-3.6860081307232523526622438800</v>
      </c>
      <c r="T43" s="420">
        <v>-12.470431408022822836231008460</v>
      </c>
      <c r="U43" s="91">
        <v>35.645488296450157702528417670</v>
      </c>
      <c r="V43" s="421">
        <v>13.902678407507994313833401230</v>
      </c>
      <c r="W43" s="420">
        <v>0</v>
      </c>
      <c r="X43" s="91">
        <v>0</v>
      </c>
      <c r="Y43" s="421">
        <v>12.279225136267195996168335720</v>
      </c>
      <c r="Z43" s="420">
        <v>-2.1885458236138865737178393800</v>
      </c>
      <c r="AA43" s="91">
        <v>6.3581278973980001253292552900</v>
      </c>
      <c r="AB43" s="421">
        <v>0.8959452878080828475114135400</v>
      </c>
    </row>
    <row r="44" ht="18" customHeight="1">
      <c r="A44" s="58"/>
      <c r="B44" s="1044" t="s">
        <v>75</v>
      </c>
      <c r="C44" s="1044"/>
      <c r="D44" s="457">
        <v>144.31291545407692064980735784</v>
      </c>
      <c r="E44" s="458">
        <v>181.82949888467939595532149114</v>
      </c>
      <c r="F44" s="459">
        <v>104.95891987172520291753269549</v>
      </c>
      <c r="G44" s="457">
        <v>19.927001049990388090256064977</v>
      </c>
      <c r="H44" s="458">
        <v>12.58871983431888493846642405</v>
      </c>
      <c r="I44" s="459">
        <v>34.956766157871966837722782609</v>
      </c>
      <c r="J44" s="457">
        <v>0</v>
      </c>
      <c r="K44" s="458">
        <v>0</v>
      </c>
      <c r="L44" s="459">
        <v>10.824588123273791608811297078</v>
      </c>
      <c r="M44" s="457">
        <v>164.2399165040673087400634227</v>
      </c>
      <c r="N44" s="458">
        <v>194.41821871899828089378791514</v>
      </c>
      <c r="O44" s="459">
        <v>150.74027415287096136406677502</v>
      </c>
      <c r="P44" s="5"/>
      <c r="Q44" s="430">
        <v>-0.487674955678274738404359100</v>
      </c>
      <c r="R44" s="431">
        <v>6.4476709619861797721774696900</v>
      </c>
      <c r="S44" s="432">
        <v>-2.1400961147021552058309904800</v>
      </c>
      <c r="T44" s="430">
        <v>9.91643041604489338540729500</v>
      </c>
      <c r="U44" s="431">
        <v>71.824538404882661873351914520</v>
      </c>
      <c r="V44" s="432">
        <v>6.9171326378173392399449201900</v>
      </c>
      <c r="W44" s="430">
        <v>0</v>
      </c>
      <c r="X44" s="431">
        <v>0</v>
      </c>
      <c r="Y44" s="432">
        <v>7.8134178827986007178337356600</v>
      </c>
      <c r="Z44" s="430">
        <v>0.6684337346292344123244941100</v>
      </c>
      <c r="AA44" s="431">
        <v>9.136438823665851814051726830</v>
      </c>
      <c r="AB44" s="432">
        <v>0.5005025665407483868417768900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224.41949770330228899434237529</v>
      </c>
      <c r="E46" s="494">
        <v>286.18018792005419592297707304</v>
      </c>
      <c r="F46" s="495">
        <v>156.97895218308515343224297766</v>
      </c>
      <c r="G46" s="493">
        <v>21.91638299297149948748135095</v>
      </c>
      <c r="H46" s="494">
        <v>12.609964072909414494167304887</v>
      </c>
      <c r="I46" s="495">
        <v>37.322414352899288487134232096</v>
      </c>
      <c r="J46" s="493">
        <v>0</v>
      </c>
      <c r="K46" s="494">
        <v>0</v>
      </c>
      <c r="L46" s="495">
        <v>11.373427951329223203500897391</v>
      </c>
      <c r="M46" s="493">
        <v>246.33588069627378848182372603</v>
      </c>
      <c r="N46" s="494">
        <v>298.79015199296361041714437766</v>
      </c>
      <c r="O46" s="495">
        <v>205.67479448731366512287810696</v>
      </c>
      <c r="P46" s="93"/>
      <c r="Q46" s="479">
        <v>2.651524812054495363393720800</v>
      </c>
      <c r="R46" s="480">
        <v>11.369090525121779900500286040</v>
      </c>
      <c r="S46" s="481">
        <v>-1.6169294138214477307325656200</v>
      </c>
      <c r="T46" s="479">
        <v>-31.452718203432113158283646300</v>
      </c>
      <c r="U46" s="480">
        <v>84.40262919470684319209778600</v>
      </c>
      <c r="V46" s="481">
        <v>24.613386911778898893506176430</v>
      </c>
      <c r="W46" s="479">
        <v>0</v>
      </c>
      <c r="X46" s="480">
        <v>0</v>
      </c>
      <c r="Y46" s="481">
        <v>8.328643642211646674476651630</v>
      </c>
      <c r="Z46" s="479">
        <v>-1.6997259426177196918976423600</v>
      </c>
      <c r="AA46" s="480">
        <v>13.262253504344974008321885680</v>
      </c>
      <c r="AB46" s="481">
        <v>2.8330390836200763166708418400</v>
      </c>
    </row>
    <row r="47" ht="18" customHeight="1">
      <c r="A47" s="58"/>
      <c r="B47" s="1046" t="s">
        <v>51</v>
      </c>
      <c r="C47" s="1046"/>
      <c r="D47" s="276">
        <v>246.01642927704977831504410661</v>
      </c>
      <c r="E47" s="94">
        <v>292.76231731959931050181650409</v>
      </c>
      <c r="F47" s="277">
        <v>167.28946235239070026166426916</v>
      </c>
      <c r="G47" s="276">
        <v>17.089133147365530528456079585</v>
      </c>
      <c r="H47" s="94">
        <v>12.709802477061059227484158439</v>
      </c>
      <c r="I47" s="277">
        <v>34.291731882321607368292210106</v>
      </c>
      <c r="J47" s="276">
        <v>0</v>
      </c>
      <c r="K47" s="94">
        <v>0</v>
      </c>
      <c r="L47" s="277">
        <v>11.61942045724753205248650527</v>
      </c>
      <c r="M47" s="276">
        <v>263.10556242441530884350018596</v>
      </c>
      <c r="N47" s="94">
        <v>305.47211979666036972930066225</v>
      </c>
      <c r="O47" s="277">
        <v>213.20061469195983968244298434</v>
      </c>
      <c r="P47" s="5"/>
      <c r="Q47" s="271">
        <v>8.322229264936635200288598140</v>
      </c>
      <c r="R47" s="92">
        <v>5.99845419500564361036800100</v>
      </c>
      <c r="S47" s="272">
        <v>0.8583504489916248003783877100</v>
      </c>
      <c r="T47" s="271">
        <v>-31.190941185432904656513349560</v>
      </c>
      <c r="U47" s="92">
        <v>259.65549280654843099838544688</v>
      </c>
      <c r="V47" s="272">
        <v>28.325002484059122014756428560</v>
      </c>
      <c r="W47" s="271">
        <v>0</v>
      </c>
      <c r="X47" s="92">
        <v>0</v>
      </c>
      <c r="Y47" s="272">
        <v>11.098960958624604675592602040</v>
      </c>
      <c r="Z47" s="271">
        <v>4.4272936145936691800073532300</v>
      </c>
      <c r="AA47" s="92">
        <v>9.202966010435298027978179620</v>
      </c>
      <c r="AB47" s="272">
        <v>5.0006540155992997885440705500</v>
      </c>
    </row>
    <row r="48" ht="18" customHeight="1">
      <c r="A48" s="58"/>
      <c r="B48" s="1047" t="s">
        <v>76</v>
      </c>
      <c r="C48" s="1047"/>
      <c r="D48" s="443">
        <v>235.21796349017603365469324093</v>
      </c>
      <c r="E48" s="444">
        <v>289.47125261982675321239678853</v>
      </c>
      <c r="F48" s="445">
        <v>162.13420726773792684695362343</v>
      </c>
      <c r="G48" s="443">
        <v>19.502758070168515007968715266</v>
      </c>
      <c r="H48" s="444">
        <v>12.659883274985236860825731662</v>
      </c>
      <c r="I48" s="445">
        <v>35.807073117610447927713221103</v>
      </c>
      <c r="J48" s="443">
        <v>0</v>
      </c>
      <c r="K48" s="444">
        <v>0</v>
      </c>
      <c r="L48" s="445">
        <v>11.496424204288377627993701331</v>
      </c>
      <c r="M48" s="443">
        <v>254.720721560344548662661956</v>
      </c>
      <c r="N48" s="444">
        <v>302.13113589481199007322251995</v>
      </c>
      <c r="O48" s="445">
        <v>209.43770458963675240266054564</v>
      </c>
      <c r="P48" s="93"/>
      <c r="Q48" s="273">
        <v>5.5408993698601751303806654800</v>
      </c>
      <c r="R48" s="274">
        <v>8.615672671065490713401899190</v>
      </c>
      <c r="S48" s="275">
        <v>-0.3547751149229774824623334800</v>
      </c>
      <c r="T48" s="273">
        <v>-31.338273783975216107045395900</v>
      </c>
      <c r="U48" s="274">
        <v>143.54331275022386549150207833</v>
      </c>
      <c r="V48" s="275">
        <v>26.361521619181869007718395200</v>
      </c>
      <c r="W48" s="273">
        <v>0</v>
      </c>
      <c r="X48" s="274">
        <v>0</v>
      </c>
      <c r="Y48" s="275">
        <v>9.711075518843188738381690960</v>
      </c>
      <c r="Z48" s="273">
        <v>1.3720477822832116038154149800</v>
      </c>
      <c r="AA48" s="274">
        <v>11.197054305985372283973226810</v>
      </c>
      <c r="AB48" s="275">
        <v>3.9252313053727501874048959900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170.2032967032967032967032967</v>
      </c>
      <c r="E50" s="483">
        <v>212.72719864010565182792840899</v>
      </c>
      <c r="F50" s="484">
        <v>120.89575305232294961671411627</v>
      </c>
      <c r="G50" s="482">
        <v>19.888278388278388278388278388</v>
      </c>
      <c r="H50" s="483">
        <v>12.466139271982260259983678921</v>
      </c>
      <c r="I50" s="484">
        <v>35.545458943226825116069986164</v>
      </c>
      <c r="J50" s="482">
        <v>0</v>
      </c>
      <c r="K50" s="483">
        <v>0</v>
      </c>
      <c r="L50" s="484">
        <v>11.08698513562283855034609828</v>
      </c>
      <c r="M50" s="482">
        <v>190.09157509157509157509157509</v>
      </c>
      <c r="N50" s="483">
        <v>225.19333791208791208791208791</v>
      </c>
      <c r="O50" s="484">
        <v>167.52819713117261328313020072</v>
      </c>
      <c r="P50" s="93"/>
      <c r="Q50" s="468">
        <v>1.790878023128191857096575800</v>
      </c>
      <c r="R50" s="469">
        <v>7.370943065261615218260381300</v>
      </c>
      <c r="S50" s="470">
        <v>-1.4589006459368528980205168700</v>
      </c>
      <c r="T50" s="468">
        <v>-5.8266549458268553472435118100</v>
      </c>
      <c r="U50" s="469">
        <v>86.95716309515954118774976890</v>
      </c>
      <c r="V50" s="470">
        <v>11.973985648899386359391070470</v>
      </c>
      <c r="W50" s="468">
        <v>0</v>
      </c>
      <c r="X50" s="469">
        <v>0</v>
      </c>
      <c r="Y50" s="470">
        <v>7.8195914797556229868596565600</v>
      </c>
      <c r="Z50" s="468">
        <v>0.9366583104551106031407906300</v>
      </c>
      <c r="AA50" s="469">
        <v>9.962231456744457899980896580</v>
      </c>
      <c r="AB50" s="470">
        <v>1.709209450095147924972013900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157</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73.789061150150522509264096420</v>
      </c>
      <c r="E11" s="428">
        <v>71.153846153846153846153846180</v>
      </c>
      <c r="F11" s="429">
        <v>54.037545387013364849066124180</v>
      </c>
      <c r="G11" s="427">
        <v>8.223346539201915630151660830</v>
      </c>
      <c r="H11" s="428">
        <v>4.3436940966010733452593917700</v>
      </c>
      <c r="I11" s="429">
        <v>9.787830882177138751991614570</v>
      </c>
      <c r="J11" s="427">
        <v>0</v>
      </c>
      <c r="K11" s="428">
        <v>0</v>
      </c>
      <c r="L11" s="429">
        <v>7.4433123828815074838139829400</v>
      </c>
      <c r="M11" s="427">
        <v>82.53205128205128205128205128</v>
      </c>
      <c r="N11" s="428">
        <v>75.503130590339892665474060820</v>
      </c>
      <c r="O11" s="429">
        <v>71.267380347063018489345157270</v>
      </c>
      <c r="P11" s="5"/>
      <c r="Q11" s="427">
        <v>-3.4530941016331814392576405400</v>
      </c>
      <c r="R11" s="428">
        <v>-3.6034914128981652942158427200</v>
      </c>
      <c r="S11" s="429">
        <v>0.2855481822890547145111931100</v>
      </c>
      <c r="T11" s="427">
        <v>74.247069322137543196480535950</v>
      </c>
      <c r="U11" s="428">
        <v>113.85818574652869448981779338</v>
      </c>
      <c r="V11" s="429">
        <v>14.218303454784424802544599200</v>
      </c>
      <c r="W11" s="427">
        <v>0</v>
      </c>
      <c r="X11" s="428">
        <v>0</v>
      </c>
      <c r="Y11" s="429">
        <v>6.2312036760454460905751547300</v>
      </c>
      <c r="Z11" s="427">
        <v>0.5387830000789066722558602300</v>
      </c>
      <c r="AA11" s="428">
        <v>-0.4124070332213014048650231300</v>
      </c>
      <c r="AB11" s="429">
        <v>2.6007909751260543003127877100</v>
      </c>
    </row>
    <row r="12" ht="18" customHeight="1">
      <c r="A12" s="58"/>
      <c r="B12" s="1043" t="s">
        <v>46</v>
      </c>
      <c r="C12" s="1043"/>
      <c r="D12" s="420">
        <v>65.482646155890497155732210910</v>
      </c>
      <c r="E12" s="91">
        <v>65.017551557700745941202281730</v>
      </c>
      <c r="F12" s="421">
        <v>48.639522237919661424036854450</v>
      </c>
      <c r="G12" s="420">
        <v>12.042459807985054647852094170</v>
      </c>
      <c r="H12" s="91">
        <v>6.1211057481351469942957437500</v>
      </c>
      <c r="I12" s="421">
        <v>13.142910487502245179067554170</v>
      </c>
      <c r="J12" s="420">
        <v>0</v>
      </c>
      <c r="K12" s="91">
        <v>0</v>
      </c>
      <c r="L12" s="421">
        <v>7.2971143762204515218577602300</v>
      </c>
      <c r="M12" s="420">
        <v>78.216123499142367066895368780</v>
      </c>
      <c r="N12" s="91">
        <v>71.127687582272926722246599390</v>
      </c>
      <c r="O12" s="421">
        <v>69.081237509562412159237141890</v>
      </c>
      <c r="P12" s="5"/>
      <c r="Q12" s="420">
        <v>-2.0654825605443769694133922900</v>
      </c>
      <c r="R12" s="91">
        <v>-0.306389055464748951220940700</v>
      </c>
      <c r="S12" s="421">
        <v>0.7992421608415193725646040600</v>
      </c>
      <c r="T12" s="420">
        <v>21.912821360139748602477971620</v>
      </c>
      <c r="U12" s="91">
        <v>97.85952978363569995798918533</v>
      </c>
      <c r="V12" s="421">
        <v>8.250161601365546652098922380</v>
      </c>
      <c r="W12" s="420">
        <v>0</v>
      </c>
      <c r="X12" s="91">
        <v>0</v>
      </c>
      <c r="Y12" s="421">
        <v>8.608385071383483349044670410</v>
      </c>
      <c r="Z12" s="420">
        <v>1.1064918452711553500675090700</v>
      </c>
      <c r="AA12" s="91">
        <v>4.1460817362502738846671359200</v>
      </c>
      <c r="AB12" s="421">
        <v>2.9333544437096206727733118200</v>
      </c>
    </row>
    <row r="13" ht="18" customHeight="1">
      <c r="A13" s="58"/>
      <c r="B13" s="1043" t="s">
        <v>47</v>
      </c>
      <c r="C13" s="1043"/>
      <c r="D13" s="420">
        <v>64.081351153148431421542636980</v>
      </c>
      <c r="E13" s="91">
        <v>63.970259391771019677996422210</v>
      </c>
      <c r="F13" s="421">
        <v>50.099380515711014900630279540</v>
      </c>
      <c r="G13" s="420">
        <v>13.593906484568145760074432070</v>
      </c>
      <c r="H13" s="91">
        <v>7.2674418604651162790697674400</v>
      </c>
      <c r="I13" s="421">
        <v>15.417470912865627347799324030</v>
      </c>
      <c r="J13" s="420">
        <v>0</v>
      </c>
      <c r="K13" s="91">
        <v>0</v>
      </c>
      <c r="L13" s="421">
        <v>7.4416324595031147869528598200</v>
      </c>
      <c r="M13" s="420">
        <v>78.117715617715617715617715620</v>
      </c>
      <c r="N13" s="91">
        <v>71.220930232558139534883720930</v>
      </c>
      <c r="O13" s="421">
        <v>72.959182646130798365775521670</v>
      </c>
      <c r="P13" s="184"/>
      <c r="Q13" s="420">
        <v>-0.6845336416674423550277542100</v>
      </c>
      <c r="R13" s="91">
        <v>-0.3243457603958782972865023100</v>
      </c>
      <c r="S13" s="421">
        <v>0.6792318267276841779035325500</v>
      </c>
      <c r="T13" s="420">
        <v>11.930134623322743828486293320</v>
      </c>
      <c r="U13" s="91">
        <v>132.81953955409996626448373461</v>
      </c>
      <c r="V13" s="421">
        <v>8.287748801879639816884908430</v>
      </c>
      <c r="W13" s="420">
        <v>0</v>
      </c>
      <c r="X13" s="91">
        <v>0</v>
      </c>
      <c r="Y13" s="421">
        <v>9.572470668049088238972075480</v>
      </c>
      <c r="Z13" s="420">
        <v>0.9032743696092068033410763700</v>
      </c>
      <c r="AA13" s="91">
        <v>5.8349895019502866155929119800</v>
      </c>
      <c r="AB13" s="421">
        <v>3.0630216875360233541336676500</v>
      </c>
    </row>
    <row r="14" ht="18" customHeight="1">
      <c r="A14" s="58"/>
      <c r="B14" s="1043" t="s">
        <v>48</v>
      </c>
      <c r="C14" s="1043"/>
      <c r="D14" s="420">
        <v>67.078562182614756546848551270</v>
      </c>
      <c r="E14" s="91">
        <v>64.909436493738819320214669080</v>
      </c>
      <c r="F14" s="421">
        <v>51.817483544297870718028345730</v>
      </c>
      <c r="G14" s="420">
        <v>13.398386936174449865578014550</v>
      </c>
      <c r="H14" s="91">
        <v>6.5798300536672629695885509900</v>
      </c>
      <c r="I14" s="421">
        <v>15.648219847816486359888554920</v>
      </c>
      <c r="J14" s="420">
        <v>0</v>
      </c>
      <c r="K14" s="91">
        <v>0</v>
      </c>
      <c r="L14" s="421">
        <v>7.3383380086345763532556729300</v>
      </c>
      <c r="M14" s="420">
        <v>81.20629370629370629370629371</v>
      </c>
      <c r="N14" s="91">
        <v>71.489266547406082289803220040</v>
      </c>
      <c r="O14" s="421">
        <v>74.804795672374937315092109050</v>
      </c>
      <c r="P14" s="5"/>
      <c r="Q14" s="420">
        <v>1.1004022669107989295854354800</v>
      </c>
      <c r="R14" s="91">
        <v>-2.3132151092673146561303021800</v>
      </c>
      <c r="S14" s="421">
        <v>-0.2136070504479814941007092100</v>
      </c>
      <c r="T14" s="420">
        <v>9.655676881987275050843968760</v>
      </c>
      <c r="U14" s="91">
        <v>88.39641075623816506990184311</v>
      </c>
      <c r="V14" s="421">
        <v>4.7904865920382682191286967300</v>
      </c>
      <c r="W14" s="420">
        <v>0</v>
      </c>
      <c r="X14" s="91">
        <v>0</v>
      </c>
      <c r="Y14" s="421">
        <v>4.7517324209626432733590763600</v>
      </c>
      <c r="Z14" s="420">
        <v>2.4067609773835040406228983300</v>
      </c>
      <c r="AA14" s="91">
        <v>2.2250524102968319535028057400</v>
      </c>
      <c r="AB14" s="421">
        <v>1.269922358476327826792368800</v>
      </c>
    </row>
    <row r="15" ht="18" customHeight="1">
      <c r="A15" s="58"/>
      <c r="B15" s="1043" t="s">
        <v>49</v>
      </c>
      <c r="C15" s="1043"/>
      <c r="D15" s="420">
        <v>75.295620727297120937692481310</v>
      </c>
      <c r="E15" s="91">
        <v>71.338327370304114490161001820</v>
      </c>
      <c r="F15" s="421">
        <v>56.350814300895497766429165520</v>
      </c>
      <c r="G15" s="420">
        <v>10.154371243121494681164634880</v>
      </c>
      <c r="H15" s="91">
        <v>5.4897137745974955277280858700</v>
      </c>
      <c r="I15" s="421">
        <v>13.828584999005809674833943430</v>
      </c>
      <c r="J15" s="420">
        <v>0</v>
      </c>
      <c r="K15" s="91">
        <v>0</v>
      </c>
      <c r="L15" s="421">
        <v>7.4724017934515090737584007700</v>
      </c>
      <c r="M15" s="420">
        <v>86.02855477855477855477855478</v>
      </c>
      <c r="N15" s="91">
        <v>76.822450805008944543828264760</v>
      </c>
      <c r="O15" s="421">
        <v>77.654156656712089877141861780</v>
      </c>
      <c r="P15" s="184"/>
      <c r="Q15" s="420">
        <v>2.479935810389917669609978900</v>
      </c>
      <c r="R15" s="91">
        <v>-4.5436354537272500736814638800</v>
      </c>
      <c r="S15" s="421">
        <v>0.7154959402423243743260946300</v>
      </c>
      <c r="T15" s="420">
        <v>0.9924784022277905778638694600</v>
      </c>
      <c r="U15" s="91">
        <v>109.34521749391534287489032945</v>
      </c>
      <c r="V15" s="421">
        <v>2.2695812328007713973393427300</v>
      </c>
      <c r="W15" s="420">
        <v>0</v>
      </c>
      <c r="X15" s="91">
        <v>0</v>
      </c>
      <c r="Y15" s="421">
        <v>8.540302677409011207509455230</v>
      </c>
      <c r="Z15" s="420">
        <v>2.0566885585555510285085787200</v>
      </c>
      <c r="AA15" s="91">
        <v>-0.6797762077340915728412167700</v>
      </c>
      <c r="AB15" s="421">
        <v>1.6998445387235128040985665500</v>
      </c>
    </row>
    <row r="16" ht="18" customHeight="1">
      <c r="A16" s="58"/>
      <c r="B16" s="1044" t="s">
        <v>75</v>
      </c>
      <c r="C16" s="1044"/>
      <c r="D16" s="430">
        <v>69.107210125516761672368079700</v>
      </c>
      <c r="E16" s="431">
        <v>67.269223915174195847812527850</v>
      </c>
      <c r="F16" s="432">
        <v>52.175538655056911806789216270</v>
      </c>
      <c r="G16" s="430">
        <v>11.495060694145362337582017220</v>
      </c>
      <c r="H16" s="431">
        <v>5.9609730018711574445335471800</v>
      </c>
      <c r="I16" s="432">
        <v>13.563704270030230760094278360</v>
      </c>
      <c r="J16" s="430">
        <v>0</v>
      </c>
      <c r="K16" s="431">
        <v>0</v>
      </c>
      <c r="L16" s="432">
        <v>7.3981798587019717282152052800</v>
      </c>
      <c r="M16" s="430">
        <v>81.20863810518982932776036224</v>
      </c>
      <c r="N16" s="431">
        <v>73.224627996079479640024948770</v>
      </c>
      <c r="O16" s="432">
        <v>73.138263293991881311124915130</v>
      </c>
      <c r="P16" s="5"/>
      <c r="Q16" s="430">
        <v>-0.6861562752529601653747199100</v>
      </c>
      <c r="R16" s="431">
        <v>-2.3571510409638028669853663800</v>
      </c>
      <c r="S16" s="432">
        <v>0.4098479825482509116720091800</v>
      </c>
      <c r="T16" s="430">
        <v>17.766511958704065735824501970</v>
      </c>
      <c r="U16" s="431">
        <v>107.73229452510228702470929059</v>
      </c>
      <c r="V16" s="432">
        <v>7.1020198556346657438928853900</v>
      </c>
      <c r="W16" s="430">
        <v>0</v>
      </c>
      <c r="X16" s="431">
        <v>0</v>
      </c>
      <c r="Y16" s="432">
        <v>7.5025449060770701587593962700</v>
      </c>
      <c r="Z16" s="629">
        <v>1.3842585881585422353351447900</v>
      </c>
      <c r="AA16" s="214">
        <v>2.0552799783445283496007884200</v>
      </c>
      <c r="AB16" s="630">
        <v>2.2788420925361784257233173300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80.20346472267861985356282607</v>
      </c>
      <c r="E18" s="480">
        <v>78.572227191413237924865831870</v>
      </c>
      <c r="F18" s="481">
        <v>63.482355196555065391911399970</v>
      </c>
      <c r="G18" s="479">
        <v>6.2595710571232592639857072300</v>
      </c>
      <c r="H18" s="480">
        <v>3.410107334525939177101967800</v>
      </c>
      <c r="I18" s="481">
        <v>13.180189446248475252902820540</v>
      </c>
      <c r="J18" s="479">
        <v>0</v>
      </c>
      <c r="K18" s="480">
        <v>0</v>
      </c>
      <c r="L18" s="481">
        <v>7.6756132501348069192351896900</v>
      </c>
      <c r="M18" s="479">
        <v>87.13578088578088578088578089</v>
      </c>
      <c r="N18" s="480">
        <v>81.98233452593917710196779964</v>
      </c>
      <c r="O18" s="481">
        <v>84.33706811361728934249216582</v>
      </c>
      <c r="P18" s="184"/>
      <c r="Q18" s="479">
        <v>-0.4702800152328452308647844600</v>
      </c>
      <c r="R18" s="480">
        <v>-1.1360680145784376748459780900</v>
      </c>
      <c r="S18" s="481">
        <v>0.8268190192762462923903626500</v>
      </c>
      <c r="T18" s="479">
        <v>3.8125784552863826571883547700</v>
      </c>
      <c r="U18" s="480">
        <v>65.591485744174999817310888250</v>
      </c>
      <c r="V18" s="481">
        <v>5.6439949001068478699229072400</v>
      </c>
      <c r="W18" s="479">
        <v>0</v>
      </c>
      <c r="X18" s="480">
        <v>0</v>
      </c>
      <c r="Y18" s="481">
        <v>8.667210379003487584541806920</v>
      </c>
      <c r="Z18" s="479">
        <v>-0.92761305280510493390805100</v>
      </c>
      <c r="AA18" s="480">
        <v>0.5805460625460368300935421800</v>
      </c>
      <c r="AB18" s="481">
        <v>2.2259534704559109584216091600</v>
      </c>
    </row>
    <row r="19" ht="18" customHeight="1">
      <c r="A19" s="58"/>
      <c r="B19" s="1046" t="s">
        <v>51</v>
      </c>
      <c r="C19" s="1046"/>
      <c r="D19" s="271">
        <v>82.93570243583403786948268442</v>
      </c>
      <c r="E19" s="92">
        <v>79.008273703041144901610017920</v>
      </c>
      <c r="F19" s="272">
        <v>65.686535748002231401069033340</v>
      </c>
      <c r="G19" s="271">
        <v>4.972961763626792579240377100</v>
      </c>
      <c r="H19" s="92">
        <v>3.6337209302325581395348837200</v>
      </c>
      <c r="I19" s="272">
        <v>11.698051684515123998917508760</v>
      </c>
      <c r="J19" s="271">
        <v>0</v>
      </c>
      <c r="K19" s="92">
        <v>0</v>
      </c>
      <c r="L19" s="272">
        <v>7.7075223791726912591501602400</v>
      </c>
      <c r="M19" s="271">
        <v>88.59265734265734265734265734</v>
      </c>
      <c r="N19" s="92">
        <v>82.63640429338103756708407871</v>
      </c>
      <c r="O19" s="272">
        <v>85.09323146038468041253713559</v>
      </c>
      <c r="P19" s="5"/>
      <c r="Q19" s="271">
        <v>-1.3839273122197713353043853300</v>
      </c>
      <c r="R19" s="92">
        <v>-3.1061508480404928923388253400</v>
      </c>
      <c r="S19" s="272">
        <v>-0.5589390929219739594719678400</v>
      </c>
      <c r="T19" s="271">
        <v>30.725138462812565398109374170</v>
      </c>
      <c r="U19" s="92">
        <v>112.29851644503881574026799840</v>
      </c>
      <c r="V19" s="272">
        <v>6.0345256683535619589669881900</v>
      </c>
      <c r="W19" s="271">
        <v>0</v>
      </c>
      <c r="X19" s="92">
        <v>0</v>
      </c>
      <c r="Y19" s="272">
        <v>7.5649622983581843567136762100</v>
      </c>
      <c r="Z19" s="271">
        <v>-0.658081300052049716962179100</v>
      </c>
      <c r="AA19" s="92">
        <v>-0.7321132416311708032902325700</v>
      </c>
      <c r="AB19" s="272">
        <v>0.9973513674111975924724546100</v>
      </c>
    </row>
    <row r="20" ht="18" customHeight="1">
      <c r="A20" s="58"/>
      <c r="B20" s="1047" t="s">
        <v>76</v>
      </c>
      <c r="C20" s="1047"/>
      <c r="D20" s="273">
        <v>81.56958357925632886152275522</v>
      </c>
      <c r="E20" s="274">
        <v>78.790250447227191413237924880</v>
      </c>
      <c r="F20" s="275">
        <v>64.584408872193626967864689180</v>
      </c>
      <c r="G20" s="273">
        <v>5.6162664103750259216130421600</v>
      </c>
      <c r="H20" s="274">
        <v>3.5219141323792486583184257600</v>
      </c>
      <c r="I20" s="275">
        <v>12.439145176055393172885261560</v>
      </c>
      <c r="J20" s="273">
        <v>0</v>
      </c>
      <c r="K20" s="274">
        <v>0</v>
      </c>
      <c r="L20" s="275">
        <v>7.6915672848074826481208075700</v>
      </c>
      <c r="M20" s="273">
        <v>87.86421911421911421911421911</v>
      </c>
      <c r="N20" s="274">
        <v>82.30936940966010733452593918</v>
      </c>
      <c r="O20" s="275">
        <v>84.71513723106525281048698335</v>
      </c>
      <c r="P20" s="184"/>
      <c r="Q20" s="273">
        <v>-0.9567148628015429582776428900</v>
      </c>
      <c r="R20" s="274">
        <v>-2.1438285842446567290578725400</v>
      </c>
      <c r="S20" s="275">
        <v>0.0951013610628013727304716300</v>
      </c>
      <c r="T20" s="273">
        <v>14.466647172849818475081842640</v>
      </c>
      <c r="U20" s="274">
        <v>86.92984464324484025580111873</v>
      </c>
      <c r="V20" s="275">
        <v>5.8875281200017584139226448800</v>
      </c>
      <c r="W20" s="273">
        <v>0</v>
      </c>
      <c r="X20" s="274">
        <v>0</v>
      </c>
      <c r="Y20" s="275">
        <v>8.104966994423058576022925110</v>
      </c>
      <c r="Z20" s="273">
        <v>-0.798462290365773772706644800</v>
      </c>
      <c r="AA20" s="274">
        <v>-0.0911568799172664339409881200</v>
      </c>
      <c r="AB20" s="275">
        <v>1.5953236293394171093671302400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73.167289331672893316728933170</v>
      </c>
      <c r="E22" s="469">
        <v>70.482510946615831190022576820</v>
      </c>
      <c r="F22" s="470">
        <v>55.694611645036624253109228290</v>
      </c>
      <c r="G22" s="468">
        <v>9.939809049398090493980904940</v>
      </c>
      <c r="H22" s="469">
        <v>5.3059567182455896446381431500</v>
      </c>
      <c r="I22" s="470">
        <v>13.242737153270157476454713200</v>
      </c>
      <c r="J22" s="468">
        <v>0</v>
      </c>
      <c r="K22" s="469">
        <v>0</v>
      </c>
      <c r="L22" s="470">
        <v>7.5011841350690872484100918700</v>
      </c>
      <c r="M22" s="468">
        <v>83.10709838107098381070983811</v>
      </c>
      <c r="N22" s="469">
        <v>75.788467664861420834660719970</v>
      </c>
      <c r="O22" s="470">
        <v>76.438532933375868977974033370</v>
      </c>
      <c r="P22" s="184"/>
      <c r="Q22" s="468">
        <v>-1.0813465176641613819765712900</v>
      </c>
      <c r="R22" s="469">
        <v>-2.3980876159388403522144670200</v>
      </c>
      <c r="S22" s="470">
        <v>0.2690449843454857761720438100</v>
      </c>
      <c r="T22" s="468">
        <v>16.245958556393686864423016120</v>
      </c>
      <c r="U22" s="469">
        <v>105.20649660151471690056327137</v>
      </c>
      <c r="V22" s="470">
        <v>6.8252529346489621040990081300</v>
      </c>
      <c r="W22" s="468">
        <v>0</v>
      </c>
      <c r="X22" s="469">
        <v>0</v>
      </c>
      <c r="Y22" s="470">
        <v>7.5304192937046889056496965800</v>
      </c>
      <c r="Z22" s="468">
        <v>0.7141458131607088665892572900</v>
      </c>
      <c r="AA22" s="469">
        <v>1.3215627894848412988888869900</v>
      </c>
      <c r="AB22" s="470">
        <v>2.0300357189406490598010280900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206.70322810924137840578462596</v>
      </c>
      <c r="E25" s="455">
        <v>285.56050549117785004620666508</v>
      </c>
      <c r="F25" s="456">
        <v>213.49343510756778531083531457</v>
      </c>
      <c r="G25" s="454">
        <v>259.59476552651968718402657283</v>
      </c>
      <c r="H25" s="455">
        <v>339.0214037885711643077703306</v>
      </c>
      <c r="I25" s="456">
        <v>256.94973808472735914354016748</v>
      </c>
      <c r="J25" s="454">
        <v>0</v>
      </c>
      <c r="K25" s="455">
        <v>0</v>
      </c>
      <c r="L25" s="456">
        <v>155.80666251252923934085464048</v>
      </c>
      <c r="M25" s="454">
        <v>211.76898740848853608131905793</v>
      </c>
      <c r="N25" s="455">
        <v>288.61496702468765512033584928</v>
      </c>
      <c r="O25" s="456">
        <v>213.43979678003109787719539399</v>
      </c>
      <c r="P25" s="5"/>
      <c r="Q25" s="427">
        <v>-2.3441419751198682070499568900</v>
      </c>
      <c r="R25" s="428">
        <v>9.745197378216392090231306130</v>
      </c>
      <c r="S25" s="429">
        <v>-1.38623398514286958612144400</v>
      </c>
      <c r="T25" s="427">
        <v>-13.269829415520881830686770340</v>
      </c>
      <c r="U25" s="428">
        <v>2.1509706344553614187569227200</v>
      </c>
      <c r="V25" s="429">
        <v>-2.0667090790884751807238237500</v>
      </c>
      <c r="W25" s="427">
        <v>0</v>
      </c>
      <c r="X25" s="428">
        <v>0</v>
      </c>
      <c r="Y25" s="429">
        <v>7.206761840313406297162448300</v>
      </c>
      <c r="Z25" s="427">
        <v>-2.3036228117313713422535287500</v>
      </c>
      <c r="AA25" s="428">
        <v>10.073665509684187520621959880</v>
      </c>
      <c r="AB25" s="429">
        <v>-0.7132057203995605988082110600</v>
      </c>
    </row>
    <row r="26" ht="18" customHeight="1">
      <c r="A26" s="58"/>
      <c r="B26" s="1043" t="s">
        <v>46</v>
      </c>
      <c r="C26" s="1043"/>
      <c r="D26" s="439">
        <v>200.65361336957641736359110186</v>
      </c>
      <c r="E26" s="95">
        <v>275.1276312301565401125676433</v>
      </c>
      <c r="F26" s="440">
        <v>211.67216456145656402888203223</v>
      </c>
      <c r="G26" s="439">
        <v>252.82269017390666599237010482</v>
      </c>
      <c r="H26" s="95">
        <v>351.12518708556316920606382231</v>
      </c>
      <c r="I26" s="440">
        <v>258.10443505733539740343209197</v>
      </c>
      <c r="J26" s="439">
        <v>0</v>
      </c>
      <c r="K26" s="95">
        <v>0</v>
      </c>
      <c r="L26" s="440">
        <v>155.40991769655669144553755702</v>
      </c>
      <c r="M26" s="439">
        <v>208.75736250767596256360246016</v>
      </c>
      <c r="N26" s="95">
        <v>281.7102598233932852659117882</v>
      </c>
      <c r="O26" s="440">
        <v>214.55694031256351223762100277</v>
      </c>
      <c r="P26" s="5"/>
      <c r="Q26" s="420">
        <v>-1.2410543396209677189932879500</v>
      </c>
      <c r="R26" s="91">
        <v>10.678910943834217028227070380</v>
      </c>
      <c r="S26" s="421">
        <v>0.0879150406971383145507247900</v>
      </c>
      <c r="T26" s="420">
        <v>-0.6021361181365081253916942500</v>
      </c>
      <c r="U26" s="91">
        <v>5.428423873431533198532823900</v>
      </c>
      <c r="V26" s="421">
        <v>0.0318349905593184124805671100</v>
      </c>
      <c r="W26" s="420">
        <v>0</v>
      </c>
      <c r="X26" s="91">
        <v>0</v>
      </c>
      <c r="Y26" s="421">
        <v>3.3945012260604813966661647100</v>
      </c>
      <c r="Z26" s="420">
        <v>0.1354599154689230095670922300</v>
      </c>
      <c r="AA26" s="91">
        <v>11.594367458261623449557744610</v>
      </c>
      <c r="AB26" s="421">
        <v>0.3614016172475165803414567400</v>
      </c>
    </row>
    <row r="27" ht="18" customHeight="1">
      <c r="A27" s="58"/>
      <c r="B27" s="1043" t="s">
        <v>47</v>
      </c>
      <c r="C27" s="1043"/>
      <c r="D27" s="439">
        <v>206.79629131534330476295042027</v>
      </c>
      <c r="E27" s="95">
        <v>281.73943307724137011063221154</v>
      </c>
      <c r="F27" s="440">
        <v>223.56655519618800568682740784</v>
      </c>
      <c r="G27" s="439">
        <v>258.00581537588837218743418386</v>
      </c>
      <c r="H27" s="95">
        <v>352.94080785142762493971957277</v>
      </c>
      <c r="I27" s="440">
        <v>258.97857810432185519438817365</v>
      </c>
      <c r="J27" s="439">
        <v>0</v>
      </c>
      <c r="K27" s="95">
        <v>0</v>
      </c>
      <c r="L27" s="440">
        <v>151.71146407449401192859613578</v>
      </c>
      <c r="M27" s="439">
        <v>214.73962590805599934182570371</v>
      </c>
      <c r="N27" s="95">
        <v>289.07122314833036974863421046</v>
      </c>
      <c r="O27" s="440">
        <v>223.7175920064510456578321904</v>
      </c>
      <c r="P27" s="93"/>
      <c r="Q27" s="420">
        <v>0.1032079150333256001809933400</v>
      </c>
      <c r="R27" s="91">
        <v>13.527765937105537171873228720</v>
      </c>
      <c r="S27" s="421">
        <v>2.6812637639491305189634098500</v>
      </c>
      <c r="T27" s="420">
        <v>4.1765012371206017330605026800</v>
      </c>
      <c r="U27" s="91">
        <v>-5.0770660813195577447154646700</v>
      </c>
      <c r="V27" s="421">
        <v>-0.0646608498818702528146969100</v>
      </c>
      <c r="W27" s="420">
        <v>0</v>
      </c>
      <c r="X27" s="91">
        <v>0</v>
      </c>
      <c r="Y27" s="421">
        <v>5.165016696265875747872364700</v>
      </c>
      <c r="Z27" s="420">
        <v>1.4252747426877046771331231800</v>
      </c>
      <c r="AA27" s="91">
        <v>13.851049383865810473924388670</v>
      </c>
      <c r="AB27" s="421">
        <v>2.1499983933411661931541159200</v>
      </c>
    </row>
    <row r="28" ht="18" customHeight="1">
      <c r="A28" s="58"/>
      <c r="B28" s="1043" t="s">
        <v>48</v>
      </c>
      <c r="C28" s="1043"/>
      <c r="D28" s="439">
        <v>203.36778004793965491169311761</v>
      </c>
      <c r="E28" s="95">
        <v>278.23405647372577507156335907</v>
      </c>
      <c r="F28" s="440">
        <v>220.27257103911200030559917064</v>
      </c>
      <c r="G28" s="439">
        <v>258.27651753575472363284533192</v>
      </c>
      <c r="H28" s="95">
        <v>347.50225891568002010407739023</v>
      </c>
      <c r="I28" s="440">
        <v>256.99413915954440756893680759</v>
      </c>
      <c r="J28" s="439">
        <v>0</v>
      </c>
      <c r="K28" s="95">
        <v>0</v>
      </c>
      <c r="L28" s="440">
        <v>151.75032934154649094637924138</v>
      </c>
      <c r="M28" s="439">
        <v>212.50938542804234306620141595</v>
      </c>
      <c r="N28" s="95">
        <v>284.60946109322688129640453945</v>
      </c>
      <c r="O28" s="440">
        <v>221.22927101739039847866423333</v>
      </c>
      <c r="P28" s="5"/>
      <c r="Q28" s="420">
        <v>-2.5148119539574378776739452300</v>
      </c>
      <c r="R28" s="91">
        <v>10.609494592465130847658592560</v>
      </c>
      <c r="S28" s="421">
        <v>0.1747346855903594288681728600</v>
      </c>
      <c r="T28" s="420">
        <v>-6.4192456693273730231294519800</v>
      </c>
      <c r="U28" s="91">
        <v>-4.6357003537793620050954956700</v>
      </c>
      <c r="V28" s="421">
        <v>1.0071857392948336738226101300</v>
      </c>
      <c r="W28" s="420">
        <v>0</v>
      </c>
      <c r="X28" s="91">
        <v>0</v>
      </c>
      <c r="Y28" s="421">
        <v>3.584288554742052292113496700</v>
      </c>
      <c r="Z28" s="420">
        <v>-2.3646875439921787781302662300</v>
      </c>
      <c r="AA28" s="91">
        <v>10.664796314912411538991663060</v>
      </c>
      <c r="AB28" s="421">
        <v>0.5992567624967871326979921400</v>
      </c>
    </row>
    <row r="29" ht="18" customHeight="1">
      <c r="A29" s="58"/>
      <c r="B29" s="1043" t="s">
        <v>49</v>
      </c>
      <c r="C29" s="1043"/>
      <c r="D29" s="439">
        <v>213.72038211706755641103018217</v>
      </c>
      <c r="E29" s="95">
        <v>301.72065615653631661000155174</v>
      </c>
      <c r="F29" s="440">
        <v>224.88474126054092182158091485</v>
      </c>
      <c r="G29" s="439">
        <v>268.26728467837139933930554547</v>
      </c>
      <c r="H29" s="95">
        <v>349.65407656155612597864074835</v>
      </c>
      <c r="I29" s="440">
        <v>255.42454177588679936264541278</v>
      </c>
      <c r="J29" s="439">
        <v>0</v>
      </c>
      <c r="K29" s="95">
        <v>0</v>
      </c>
      <c r="L29" s="440">
        <v>154.76911785823099014475438133</v>
      </c>
      <c r="M29" s="439">
        <v>219.52215668797494137441483209</v>
      </c>
      <c r="N29" s="95">
        <v>305.16792289310202677712523771</v>
      </c>
      <c r="O29" s="440">
        <v>223.56867190237000597628878272</v>
      </c>
      <c r="P29" s="93"/>
      <c r="Q29" s="420">
        <v>-6.8151157807323231432809339900</v>
      </c>
      <c r="R29" s="91">
        <v>8.388057186593930308792383050</v>
      </c>
      <c r="S29" s="421">
        <v>-1.0909973516012065794951992800</v>
      </c>
      <c r="T29" s="420">
        <v>-15.377762656315479286909182500</v>
      </c>
      <c r="U29" s="91">
        <v>-1.1637665617513516129584063200</v>
      </c>
      <c r="V29" s="421">
        <v>1.4971220805320480921952493200</v>
      </c>
      <c r="W29" s="420">
        <v>0</v>
      </c>
      <c r="X29" s="91">
        <v>0</v>
      </c>
      <c r="Y29" s="421">
        <v>5.4717958735709138249449956300</v>
      </c>
      <c r="Z29" s="420">
        <v>-7.8364384036517964706100581900</v>
      </c>
      <c r="AA29" s="91">
        <v>8.628989743796076862213405660</v>
      </c>
      <c r="AB29" s="421">
        <v>-0.3699818143698147044503831400</v>
      </c>
    </row>
    <row r="30" ht="18" customHeight="1">
      <c r="A30" s="58"/>
      <c r="B30" s="1044" t="s">
        <v>75</v>
      </c>
      <c r="C30" s="1044"/>
      <c r="D30" s="457">
        <v>206.39978369450340358877431633</v>
      </c>
      <c r="E30" s="458">
        <v>284.79484593815670001282533298</v>
      </c>
      <c r="F30" s="459">
        <v>218.86939231415435865278094393</v>
      </c>
      <c r="G30" s="457">
        <v>258.96892118038041964216442687</v>
      </c>
      <c r="H30" s="458">
        <v>348.7423115966494213931734903</v>
      </c>
      <c r="I30" s="459">
        <v>257.33679410402205449217369303</v>
      </c>
      <c r="J30" s="457">
        <v>0</v>
      </c>
      <c r="K30" s="458">
        <v>0</v>
      </c>
      <c r="L30" s="459">
        <v>153.89580754738290903125157195</v>
      </c>
      <c r="M30" s="457">
        <v>213.53317338796507046917223621</v>
      </c>
      <c r="N30" s="458">
        <v>290.02225544220184220568989045</v>
      </c>
      <c r="O30" s="459">
        <v>219.42762431241803535365497083</v>
      </c>
      <c r="P30" s="5"/>
      <c r="Q30" s="430">
        <v>-2.7513380821723446207995740400</v>
      </c>
      <c r="R30" s="431">
        <v>10.370053268898495832775027540</v>
      </c>
      <c r="S30" s="432">
        <v>0.0273128091104008182813246400</v>
      </c>
      <c r="T30" s="430">
        <v>-5.9559106503741344662223851100</v>
      </c>
      <c r="U30" s="431">
        <v>-1.1135152090894812791604843100</v>
      </c>
      <c r="V30" s="432">
        <v>0.2577317602777567919867376700</v>
      </c>
      <c r="W30" s="430">
        <v>0</v>
      </c>
      <c r="X30" s="431">
        <v>0</v>
      </c>
      <c r="Y30" s="432">
        <v>4.9719856743261209264524401300</v>
      </c>
      <c r="Z30" s="430">
        <v>-2.4364006073098873086435102400</v>
      </c>
      <c r="AA30" s="431">
        <v>10.761462123023247279434150090</v>
      </c>
      <c r="AB30" s="432">
        <v>0.3937025732719823903017030700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275.10910521244949021172511157</v>
      </c>
      <c r="E32" s="494">
        <v>352.65767106222523978231464509</v>
      </c>
      <c r="F32" s="495">
        <v>256.66942584149449864581793759</v>
      </c>
      <c r="G32" s="493">
        <v>329.81290123948721291804330266</v>
      </c>
      <c r="H32" s="494">
        <v>352.27343311379654758846162715</v>
      </c>
      <c r="I32" s="495">
        <v>252.61624582234413129390252734</v>
      </c>
      <c r="J32" s="493">
        <v>0</v>
      </c>
      <c r="K32" s="494">
        <v>0</v>
      </c>
      <c r="L32" s="495">
        <v>154.71583330803960400141159729</v>
      </c>
      <c r="M32" s="493">
        <v>279.06943687600196202778192092</v>
      </c>
      <c r="N32" s="494">
        <v>352.64168844043584310735724035</v>
      </c>
      <c r="O32" s="495">
        <v>246.75956544539890959223800973</v>
      </c>
      <c r="P32" s="93"/>
      <c r="Q32" s="479">
        <v>-6.8107087698460683964188764400</v>
      </c>
      <c r="R32" s="480">
        <v>5.69119693909487932868052900</v>
      </c>
      <c r="S32" s="481">
        <v>-0.2879623562134967308053505400</v>
      </c>
      <c r="T32" s="479">
        <v>-10.260120112682107759506599880</v>
      </c>
      <c r="U32" s="480">
        <v>-1.0008225878619771507518128400</v>
      </c>
      <c r="V32" s="481">
        <v>0.2408850012879417846496619400</v>
      </c>
      <c r="W32" s="479">
        <v>0</v>
      </c>
      <c r="X32" s="480">
        <v>0</v>
      </c>
      <c r="Y32" s="481">
        <v>2.15256795160016493070888600</v>
      </c>
      <c r="Z32" s="479">
        <v>-6.9923970459576217028650671300</v>
      </c>
      <c r="AA32" s="480">
        <v>5.4853606717615402142137955400</v>
      </c>
      <c r="AB32" s="481">
        <v>-0.3089585654818912360090790100</v>
      </c>
    </row>
    <row r="33" ht="18" customHeight="1">
      <c r="A33" s="58"/>
      <c r="B33" s="1046" t="s">
        <v>51</v>
      </c>
      <c r="C33" s="1046"/>
      <c r="D33" s="276">
        <v>279.07650891570912810384413066</v>
      </c>
      <c r="E33" s="94">
        <v>356.55081930536388549825714147</v>
      </c>
      <c r="F33" s="277">
        <v>259.09445887326962514824194106</v>
      </c>
      <c r="G33" s="276">
        <v>316.51639926372748719064455951</v>
      </c>
      <c r="H33" s="94">
        <v>365.29630459412715863517189738</v>
      </c>
      <c r="I33" s="277">
        <v>257.01554271481234940974093014</v>
      </c>
      <c r="J33" s="276">
        <v>0</v>
      </c>
      <c r="K33" s="94">
        <v>0</v>
      </c>
      <c r="L33" s="277">
        <v>154.76280869688253870351839691</v>
      </c>
      <c r="M33" s="276">
        <v>281.19447015230151677772331952</v>
      </c>
      <c r="N33" s="94">
        <v>356.95949988018471430521782665</v>
      </c>
      <c r="O33" s="277">
        <v>249.35431815833709257770124932</v>
      </c>
      <c r="P33" s="5"/>
      <c r="Q33" s="271">
        <v>-5.2340222231478262818957347500</v>
      </c>
      <c r="R33" s="92">
        <v>5.8529711341190201051560687300</v>
      </c>
      <c r="S33" s="272">
        <v>-0.339486075823094773047747300</v>
      </c>
      <c r="T33" s="271">
        <v>-18.695120052851938996218967810</v>
      </c>
      <c r="U33" s="92">
        <v>-0.6726971567927502146450952300</v>
      </c>
      <c r="V33" s="272">
        <v>2.3508972046327836457274780400</v>
      </c>
      <c r="W33" s="271">
        <v>0</v>
      </c>
      <c r="X33" s="92">
        <v>0</v>
      </c>
      <c r="Y33" s="272">
        <v>5.3645005886685121133480534500</v>
      </c>
      <c r="Z33" s="271">
        <v>-5.826840905352683075123742100</v>
      </c>
      <c r="AA33" s="92">
        <v>5.7745853978165600902465430800</v>
      </c>
      <c r="AB33" s="272">
        <v>0.0619759917281531944426062400</v>
      </c>
    </row>
    <row r="34" ht="18" customHeight="1">
      <c r="A34" s="58"/>
      <c r="B34" s="1047" t="s">
        <v>76</v>
      </c>
      <c r="C34" s="1047"/>
      <c r="D34" s="443">
        <v>277.1260298952674381591851747</v>
      </c>
      <c r="E34" s="444">
        <v>354.60963161708115293342204186</v>
      </c>
      <c r="F34" s="445">
        <v>257.90259288345955909435068726</v>
      </c>
      <c r="G34" s="443">
        <v>323.92616162602344760243819631</v>
      </c>
      <c r="H34" s="444">
        <v>358.99158109968138662049470307</v>
      </c>
      <c r="I34" s="445">
        <v>254.68477595917697410634215108</v>
      </c>
      <c r="J34" s="443">
        <v>0</v>
      </c>
      <c r="K34" s="444">
        <v>0</v>
      </c>
      <c r="L34" s="445">
        <v>154.73936894280294952735397171</v>
      </c>
      <c r="M34" s="633">
        <v>280.14076230737135287792233253</v>
      </c>
      <c r="N34" s="634">
        <v>354.80917201099881434540441624</v>
      </c>
      <c r="O34" s="635">
        <v>248.06268887682392703239973054</v>
      </c>
      <c r="P34" s="93"/>
      <c r="Q34" s="273">
        <v>-6.0085146156551142440966755900</v>
      </c>
      <c r="R34" s="274">
        <v>5.7636505045330918213138345300</v>
      </c>
      <c r="S34" s="275">
        <v>-0.3222883015316845332951251500</v>
      </c>
      <c r="T34" s="273">
        <v>-13.858939986399537037576877050</v>
      </c>
      <c r="U34" s="274">
        <v>-0.6388419648497996537087630300</v>
      </c>
      <c r="V34" s="275">
        <v>1.2324647973162284293205015400</v>
      </c>
      <c r="W34" s="273">
        <v>0</v>
      </c>
      <c r="X34" s="274">
        <v>0</v>
      </c>
      <c r="Y34" s="275">
        <v>3.7600410146162978848306453300</v>
      </c>
      <c r="Z34" s="273">
        <v>-6.4043458814998961714515017600</v>
      </c>
      <c r="AA34" s="274">
        <v>5.6239601493795287144551740300</v>
      </c>
      <c r="AB34" s="275">
        <v>-0.1272021756294906779771788800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228.53741631680472029955747192</v>
      </c>
      <c r="E36" s="483">
        <v>307.19899048136408255259151127</v>
      </c>
      <c r="F36" s="484">
        <v>231.52535568576433660347575225</v>
      </c>
      <c r="G36" s="482">
        <v>270.80559615786176654833994571</v>
      </c>
      <c r="H36" s="483">
        <v>349.56257036177524970784764944</v>
      </c>
      <c r="I36" s="484">
        <v>257.37684800521588660538732365</v>
      </c>
      <c r="J36" s="482">
        <v>0</v>
      </c>
      <c r="K36" s="483">
        <v>0</v>
      </c>
      <c r="L36" s="484">
        <v>154.80794182505319107145900717</v>
      </c>
      <c r="M36" s="482">
        <v>233.59279238780250243500412078</v>
      </c>
      <c r="N36" s="483">
        <v>310.16486811685582177385456074</v>
      </c>
      <c r="O36" s="484">
        <v>228.47549430063792471234838638</v>
      </c>
      <c r="P36" s="93"/>
      <c r="Q36" s="468">
        <v>-4.1852389509713810936399883300</v>
      </c>
      <c r="R36" s="469">
        <v>8.626935625824685835225304630</v>
      </c>
      <c r="S36" s="470">
        <v>-0.1498597614881248743496575400</v>
      </c>
      <c r="T36" s="468">
        <v>-6.0411986864036754796478282900</v>
      </c>
      <c r="U36" s="469">
        <v>-1.2142756867433205946783301500</v>
      </c>
      <c r="V36" s="470">
        <v>0.4411677390396976471780052500</v>
      </c>
      <c r="W36" s="468">
        <v>0</v>
      </c>
      <c r="X36" s="469">
        <v>0</v>
      </c>
      <c r="Y36" s="470">
        <v>4.6355459583016952609163669800</v>
      </c>
      <c r="Z36" s="468">
        <v>-4.135515224912910255468430800</v>
      </c>
      <c r="AA36" s="469">
        <v>8.731287922421876426198544900</v>
      </c>
      <c r="AB36" s="470">
        <v>0.1683410693979413045892955300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152.52437138886324439862723199</v>
      </c>
      <c r="E39" s="455">
        <v>203.18728275333808560980089639</v>
      </c>
      <c r="F39" s="456">
        <v>115.36661189454586733450156235</v>
      </c>
      <c r="G39" s="454">
        <v>21.34737716687438422985487437</v>
      </c>
      <c r="H39" s="455">
        <v>14.726052702578253279692394174</v>
      </c>
      <c r="I39" s="456">
        <v>25.149805815930217343043483632</v>
      </c>
      <c r="J39" s="454">
        <v>0</v>
      </c>
      <c r="K39" s="455">
        <v>0</v>
      </c>
      <c r="L39" s="456">
        <v>11.597176604149488563556989352</v>
      </c>
      <c r="M39" s="454">
        <v>174.77728928745448090044761993</v>
      </c>
      <c r="N39" s="455">
        <v>217.9133354559163388894932905</v>
      </c>
      <c r="O39" s="456">
        <v>152.11295178322312800461283364</v>
      </c>
      <c r="P39" s="5"/>
      <c r="Q39" s="427">
        <v>-5.7162906484613637904848782300</v>
      </c>
      <c r="R39" s="428">
        <v>5.7905386145930491036920854800</v>
      </c>
      <c r="S39" s="429">
        <v>-1.1046441687669459704054814400</v>
      </c>
      <c r="T39" s="427">
        <v>51.124780460935461103410420540</v>
      </c>
      <c r="U39" s="428">
        <v>118.45821252172658826550624483</v>
      </c>
      <c r="V39" s="429">
        <v>11.857743407335193013786456830</v>
      </c>
      <c r="W39" s="427">
        <v>0</v>
      </c>
      <c r="X39" s="428">
        <v>0</v>
      </c>
      <c r="Y39" s="429">
        <v>13.887033524845106560040684550</v>
      </c>
      <c r="Z39" s="427">
        <v>-1.7772513397960154366844097700</v>
      </c>
      <c r="AA39" s="428">
        <v>9.619713971433992971570610940</v>
      </c>
      <c r="AB39" s="429">
        <v>1.8690362647548188002214921300</v>
      </c>
    </row>
    <row r="40" ht="18" customHeight="1">
      <c r="A40" s="58"/>
      <c r="B40" s="1043" t="s">
        <v>46</v>
      </c>
      <c r="C40" s="1043"/>
      <c r="D40" s="439">
        <v>131.39329564180831252445632632</v>
      </c>
      <c r="E40" s="95">
        <v>178.88124948454780750846735657</v>
      </c>
      <c r="F40" s="440">
        <v>102.95632955335556623481974458</v>
      </c>
      <c r="G40" s="439">
        <v>30.44607084965929031420767497</v>
      </c>
      <c r="H40" s="95">
        <v>21.492744009844695965004784217</v>
      </c>
      <c r="I40" s="440">
        <v>33.922434863858955490133815339</v>
      </c>
      <c r="J40" s="439">
        <v>0</v>
      </c>
      <c r="K40" s="95">
        <v>0</v>
      </c>
      <c r="L40" s="440">
        <v>11.340439446307809917142235141</v>
      </c>
      <c r="M40" s="439">
        <v>163.28191647255615596741461721</v>
      </c>
      <c r="N40" s="95">
        <v>200.37399349439250347347214071</v>
      </c>
      <c r="O40" s="440">
        <v>148.21858953057206117614827956</v>
      </c>
      <c r="P40" s="5"/>
      <c r="Q40" s="420">
        <v>-3.2809031391134898158142572400</v>
      </c>
      <c r="R40" s="91">
        <v>10.339802874011603815646989370</v>
      </c>
      <c r="S40" s="421">
        <v>0.8878598555695294454986325700</v>
      </c>
      <c r="T40" s="420">
        <v>21.178740229775999051846612110</v>
      </c>
      <c r="U40" s="91">
        <v>108.60018373317420203586681884</v>
      </c>
      <c r="V40" s="421">
        <v>8.284623030433596659034280660</v>
      </c>
      <c r="W40" s="420">
        <v>0</v>
      </c>
      <c r="X40" s="91">
        <v>0</v>
      </c>
      <c r="Y40" s="421">
        <v>12.295098034376549185008322060</v>
      </c>
      <c r="Z40" s="420">
        <v>1.2434506136325816612349501700</v>
      </c>
      <c r="AA40" s="91">
        <v>16.221161146185325837771305070</v>
      </c>
      <c r="AB40" s="421">
        <v>3.3053572513266610360752576500</v>
      </c>
    </row>
    <row r="41" ht="18" customHeight="1">
      <c r="A41" s="58"/>
      <c r="B41" s="1043" t="s">
        <v>47</v>
      </c>
      <c r="C41" s="1043"/>
      <c r="D41" s="439">
        <v>132.51785760947293636751804986</v>
      </c>
      <c r="E41" s="95">
        <v>180.22944614841642431663486124</v>
      </c>
      <c r="F41" s="440">
        <v>112.0054591936053252641042175</v>
      </c>
      <c r="G41" s="439">
        <v>35.073069266945807500193245066</v>
      </c>
      <c r="H41" s="95">
        <v>25.649768012458402975270317798</v>
      </c>
      <c r="I41" s="440">
        <v>39.927946949786812436466399895</v>
      </c>
      <c r="J41" s="439">
        <v>0</v>
      </c>
      <c r="K41" s="95">
        <v>0</v>
      </c>
      <c r="L41" s="440">
        <v>11.28980955535495314095119696</v>
      </c>
      <c r="M41" s="439">
        <v>167.74969028540155426440405351</v>
      </c>
      <c r="N41" s="95">
        <v>205.87921416087482729190517896</v>
      </c>
      <c r="O41" s="440">
        <v>163.22252656351233345837142707</v>
      </c>
      <c r="P41" s="93"/>
      <c r="Q41" s="420">
        <v>-0.582032219529134312810452700</v>
      </c>
      <c r="R41" s="91">
        <v>13.159543441308257981146892650</v>
      </c>
      <c r="S41" s="421">
        <v>3.3787075875872998847199984800</v>
      </c>
      <c r="T41" s="420">
        <v>16.604898080943960026507089820</v>
      </c>
      <c r="U41" s="91">
        <v>120.99913768039919477287912938</v>
      </c>
      <c r="V41" s="421">
        <v>8.217729023355558039551323240</v>
      </c>
      <c r="W41" s="420">
        <v>0</v>
      </c>
      <c r="X41" s="91">
        <v>0</v>
      </c>
      <c r="Y41" s="421">
        <v>15.231907072137644458262359530</v>
      </c>
      <c r="Z41" s="420">
        <v>2.3414232537509268047213808700</v>
      </c>
      <c r="AA41" s="91">
        <v>20.494246163342443307107229680</v>
      </c>
      <c r="AB41" s="421">
        <v>5.2788749978754994212847380400</v>
      </c>
    </row>
    <row r="42" ht="18" customHeight="1">
      <c r="A42" s="58"/>
      <c r="B42" s="1043" t="s">
        <v>48</v>
      </c>
      <c r="C42" s="1043"/>
      <c r="D42" s="439">
        <v>136.41618279886040757180155594</v>
      </c>
      <c r="E42" s="95">
        <v>180.60015819076643416569332309</v>
      </c>
      <c r="F42" s="440">
        <v>114.1397032507936980510567808</v>
      </c>
      <c r="G42" s="439">
        <v>34.60488718471687305788675484</v>
      </c>
      <c r="H42" s="95">
        <v>22.865058069306539784352587682</v>
      </c>
      <c r="I42" s="440">
        <v>40.215007891688949071931631131</v>
      </c>
      <c r="J42" s="439">
        <v>0</v>
      </c>
      <c r="K42" s="95">
        <v>0</v>
      </c>
      <c r="L42" s="440">
        <v>11.135952096298853986097485925</v>
      </c>
      <c r="M42" s="439">
        <v>172.57099568413578383610237362</v>
      </c>
      <c r="N42" s="95">
        <v>203.46521626007297395004591069</v>
      </c>
      <c r="O42" s="440">
        <v>165.49010415204347425746182518</v>
      </c>
      <c r="P42" s="5"/>
      <c r="Q42" s="420">
        <v>-1.4420827347784612045621493800</v>
      </c>
      <c r="R42" s="91">
        <v>8.050859051194512222088875820</v>
      </c>
      <c r="S42" s="421">
        <v>-0.0392456105338357111768012600</v>
      </c>
      <c r="T42" s="420">
        <v>2.6166095928274024595346487300</v>
      </c>
      <c r="U42" s="91">
        <v>79.66291767845462529605146398</v>
      </c>
      <c r="V42" s="421">
        <v>5.8459214293496825862479596700</v>
      </c>
      <c r="W42" s="420">
        <v>0</v>
      </c>
      <c r="X42" s="91">
        <v>0</v>
      </c>
      <c r="Y42" s="421">
        <v>8.506336776736702334073359840</v>
      </c>
      <c r="Z42" s="420">
        <v>-0.0148389436386336894530976900</v>
      </c>
      <c r="AA42" s="91">
        <v>13.127146032690680544355267580</v>
      </c>
      <c r="AB42" s="421">
        <v>1.8767892166379506478836217700</v>
      </c>
    </row>
    <row r="43" ht="18" customHeight="1">
      <c r="A43" s="58"/>
      <c r="B43" s="1043" t="s">
        <v>49</v>
      </c>
      <c r="C43" s="1043"/>
      <c r="D43" s="439">
        <v>160.92208833579732841300224443</v>
      </c>
      <c r="E43" s="95">
        <v>215.2424694327795134313634729</v>
      </c>
      <c r="F43" s="440">
        <v>126.7243829387767318662153906</v>
      </c>
      <c r="G43" s="439">
        <v>27.240856010083420897436145047</v>
      </c>
      <c r="H43" s="95">
        <v>19.195008004441419706564468639</v>
      </c>
      <c r="I43" s="440">
        <v>35.32159986779960947120728019</v>
      </c>
      <c r="J43" s="439">
        <v>0</v>
      </c>
      <c r="K43" s="95">
        <v>0</v>
      </c>
      <c r="L43" s="440">
        <v>11.564970338547532316164026059</v>
      </c>
      <c r="M43" s="439">
        <v>188.85173881737937482749411182</v>
      </c>
      <c r="N43" s="95">
        <v>234.43747743722093313792794145</v>
      </c>
      <c r="O43" s="440">
        <v>173.61036671439706969866113218</v>
      </c>
      <c r="P43" s="93"/>
      <c r="Q43" s="420">
        <v>-4.504190467072727555770321400</v>
      </c>
      <c r="R43" s="91">
        <v>3.4632989926897079701927515500</v>
      </c>
      <c r="S43" s="421">
        <v>-0.3833074531120358976309318700</v>
      </c>
      <c r="T43" s="420">
        <v>-14.537905226817623244028420440</v>
      </c>
      <c r="U43" s="91">
        <v>106.90892785382656629589081188</v>
      </c>
      <c r="V43" s="421">
        <v>3.8006817152726426643076929200</v>
      </c>
      <c r="W43" s="420">
        <v>0</v>
      </c>
      <c r="X43" s="91">
        <v>0</v>
      </c>
      <c r="Y43" s="421">
        <v>14.479406481124437850341957660</v>
      </c>
      <c r="Z43" s="420">
        <v>-5.9409209771262482875927941800</v>
      </c>
      <c r="AA43" s="91">
        <v>7.8905557168482058013466888600</v>
      </c>
      <c r="AB43" s="421">
        <v>1.3235736086639357209388820700</v>
      </c>
    </row>
    <row r="44" ht="18" customHeight="1">
      <c r="A44" s="58"/>
      <c r="B44" s="1044" t="s">
        <v>75</v>
      </c>
      <c r="C44" s="1044"/>
      <c r="D44" s="457">
        <v>142.63713221637255016735487256</v>
      </c>
      <c r="E44" s="458">
        <v>191.57928261301401375161066156</v>
      </c>
      <c r="F44" s="459">
        <v>114.19628439095976896092362192</v>
      </c>
      <c r="G44" s="457">
        <v>29.768634668658193735397431155</v>
      </c>
      <c r="H44" s="458">
        <v>20.788435040377658639582381274</v>
      </c>
      <c r="I44" s="459">
        <v>34.904401730246142515756583992</v>
      </c>
      <c r="J44" s="457">
        <v>0</v>
      </c>
      <c r="K44" s="458">
        <v>0</v>
      </c>
      <c r="L44" s="459">
        <v>11.385488637357231241975626848</v>
      </c>
      <c r="M44" s="457">
        <v>173.40738201116007028870604971</v>
      </c>
      <c r="N44" s="458">
        <v>212.36771765339167239119304284</v>
      </c>
      <c r="O44" s="459">
        <v>160.48555360936764518877426131</v>
      </c>
      <c r="P44" s="5"/>
      <c r="Q44" s="430">
        <v>-3.4186158784442568038960273800</v>
      </c>
      <c r="R44" s="431">
        <v>7.7684644093568589291029333200</v>
      </c>
      <c r="S44" s="432">
        <v>0.4372727327466446753771103300</v>
      </c>
      <c r="T44" s="430">
        <v>10.752443730520264185482558960</v>
      </c>
      <c r="U44" s="431">
        <v>105.41916383440992647734413387</v>
      </c>
      <c r="V44" s="432">
        <v>7.3780557770380818018762214500</v>
      </c>
      <c r="W44" s="430">
        <v>0</v>
      </c>
      <c r="X44" s="431">
        <v>0</v>
      </c>
      <c r="Y44" s="432">
        <v>12.847556037615983309089422860</v>
      </c>
      <c r="Z44" s="430">
        <v>-1.0858681037113697366994120300</v>
      </c>
      <c r="AA44" s="431">
        <v>13.037920277695119589152785180</v>
      </c>
      <c r="AB44" s="432">
        <v>2.6815165257183248884750348200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220.6470341479437350409605188</v>
      </c>
      <c r="E46" s="494">
        <v>277.09098651495839362368248763</v>
      </c>
      <c r="F46" s="495">
        <v>162.93979659365603273960138468</v>
      </c>
      <c r="G46" s="493">
        <v>20.644872908645460789631503106</v>
      </c>
      <c r="H46" s="494">
        <v>12.012902180199904630420482594</v>
      </c>
      <c r="I46" s="495">
        <v>33.295299771385705958280004562</v>
      </c>
      <c r="J46" s="493">
        <v>0</v>
      </c>
      <c r="K46" s="494">
        <v>0</v>
      </c>
      <c r="L46" s="495">
        <v>11.875389001448368808431498402</v>
      </c>
      <c r="M46" s="493">
        <v>243.16933303545567233219167672</v>
      </c>
      <c r="N46" s="494">
        <v>289.10388869515829825410297013</v>
      </c>
      <c r="O46" s="495">
        <v>208.10978278655211070643948935</v>
      </c>
      <c r="P46" s="93"/>
      <c r="Q46" s="479">
        <v>-7.2489593828675768753042660100</v>
      </c>
      <c r="R46" s="480">
        <v>4.4904730564189300078380780600</v>
      </c>
      <c r="S46" s="481">
        <v>0.5364757354618177582119680900</v>
      </c>
      <c r="T46" s="479">
        <v>-6.8387167864219241817145209700</v>
      </c>
      <c r="U46" s="480">
        <v>63.934208753821350202483837620</v>
      </c>
      <c r="V46" s="481">
        <v>5.8984754383344218206028696400</v>
      </c>
      <c r="W46" s="479">
        <v>0</v>
      </c>
      <c r="X46" s="480">
        <v>0</v>
      </c>
      <c r="Y46" s="481">
        <v>11.006345922840911235756756470</v>
      </c>
      <c r="Z46" s="479">
        <v>-7.855147711109854667646882700</v>
      </c>
      <c r="AA46" s="480">
        <v>6.0977517796558226647768425700</v>
      </c>
      <c r="AB46" s="481">
        <v>1.9101176310331885701841841700</v>
      </c>
    </row>
    <row r="47" ht="18" customHeight="1">
      <c r="A47" s="58"/>
      <c r="B47" s="1046" t="s">
        <v>51</v>
      </c>
      <c r="C47" s="1046"/>
      <c r="D47" s="276">
        <v>231.45406300264637122352436024</v>
      </c>
      <c r="E47" s="94">
        <v>281.70464720721756449837143238</v>
      </c>
      <c r="F47" s="277">
        <v>170.19017434888319177595064488</v>
      </c>
      <c r="G47" s="276">
        <v>15.740239510993482769175364337</v>
      </c>
      <c r="H47" s="94">
        <v>13.273848277402876403894327672</v>
      </c>
      <c r="I47" s="277">
        <v>30.065811024015794099038242167</v>
      </c>
      <c r="J47" s="276">
        <v>0</v>
      </c>
      <c r="K47" s="94">
        <v>0</v>
      </c>
      <c r="L47" s="277">
        <v>11.928378114948441788951817055</v>
      </c>
      <c r="M47" s="276">
        <v>249.11765340852935948795680449</v>
      </c>
      <c r="N47" s="94">
        <v>294.97849548462044090226575992</v>
      </c>
      <c r="O47" s="277">
        <v>212.18364710693780869394845715</v>
      </c>
      <c r="P47" s="5"/>
      <c r="Q47" s="271">
        <v>-6.5455144723554126268477337100</v>
      </c>
      <c r="R47" s="92">
        <v>2.5650181735160430909845552200</v>
      </c>
      <c r="S47" s="272">
        <v>-0.8965276484279156557522600200</v>
      </c>
      <c r="T47" s="271">
        <v>6.2859168886414360588764873100</v>
      </c>
      <c r="U47" s="92">
        <v>110.87039035678246104010794852</v>
      </c>
      <c r="V47" s="272">
        <v>8.527288368054036136833533300</v>
      </c>
      <c r="W47" s="271">
        <v>0</v>
      </c>
      <c r="X47" s="92">
        <v>0</v>
      </c>
      <c r="Y47" s="272">
        <v>13.335285334242019975851945290</v>
      </c>
      <c r="Z47" s="271">
        <v>-6.4465768549670161853082669100</v>
      </c>
      <c r="AA47" s="92">
        <v>5.0001956518105361282356277300</v>
      </c>
      <c r="AB47" s="272">
        <v>1.059945477551666706685131600</v>
      </c>
    </row>
    <row r="48" ht="18" customHeight="1">
      <c r="A48" s="58"/>
      <c r="B48" s="1047" t="s">
        <v>76</v>
      </c>
      <c r="C48" s="1047"/>
      <c r="D48" s="443">
        <v>226.05054857529505313224243945</v>
      </c>
      <c r="E48" s="444">
        <v>279.39781686108797906102695992</v>
      </c>
      <c r="F48" s="445">
        <v>166.56486507984246507490856452</v>
      </c>
      <c r="G48" s="443">
        <v>18.192556209819471779403433717</v>
      </c>
      <c r="H48" s="444">
        <v>12.643375228801390517157405131</v>
      </c>
      <c r="I48" s="445">
        <v>31.68060902287344828211133677</v>
      </c>
      <c r="J48" s="443">
        <v>0</v>
      </c>
      <c r="K48" s="444">
        <v>0</v>
      </c>
      <c r="L48" s="445">
        <v>11.90188267832218189245776246</v>
      </c>
      <c r="M48" s="443">
        <v>246.1434932219925159100742406</v>
      </c>
      <c r="N48" s="444">
        <v>292.04119208988936957818436508</v>
      </c>
      <c r="O48" s="445">
        <v>210.14664730107183021600244661</v>
      </c>
      <c r="P48" s="93"/>
      <c r="Q48" s="273">
        <v>-6.9077451261308337561781692700</v>
      </c>
      <c r="R48" s="274">
        <v>3.4962591333192566945307536200</v>
      </c>
      <c r="S48" s="275">
        <v>-0.2274934409945726698675150200</v>
      </c>
      <c r="T48" s="273">
        <v>-1.3972167627756711945249122900</v>
      </c>
      <c r="U48" s="274">
        <v>85.73565835174214492760337192</v>
      </c>
      <c r="V48" s="275">
        <v>7.1925546285562473107178727300</v>
      </c>
      <c r="W48" s="273">
        <v>0</v>
      </c>
      <c r="X48" s="274">
        <v>0</v>
      </c>
      <c r="Y48" s="275">
        <v>12.169758093147248190433596650</v>
      </c>
      <c r="Z48" s="273">
        <v>-7.1516718851082649560377773900</v>
      </c>
      <c r="AA48" s="274">
        <v>5.5276766428427633125490394300</v>
      </c>
      <c r="AB48" s="275">
        <v>1.4660921672893911785523788900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167.21463262764632627646326276</v>
      </c>
      <c r="E50" s="483">
        <v>216.52156209392076477406151507</v>
      </c>
      <c r="F50" s="484">
        <v>128.9471477089761682534947992</v>
      </c>
      <c r="G50" s="482">
        <v>26.917559153175591531755915318</v>
      </c>
      <c r="H50" s="483">
        <v>18.547638686582580240274260659</v>
      </c>
      <c r="I50" s="484">
        <v>34.083739474702386390899551703</v>
      </c>
      <c r="J50" s="482">
        <v>0</v>
      </c>
      <c r="K50" s="483">
        <v>0</v>
      </c>
      <c r="L50" s="484">
        <v>11.612428772007871971290744564</v>
      </c>
      <c r="M50" s="482">
        <v>194.13219178082191780821917808</v>
      </c>
      <c r="N50" s="483">
        <v>235.06920078050334501433577572</v>
      </c>
      <c r="O50" s="484">
        <v>174.64331595568642661568509546</v>
      </c>
      <c r="P50" s="93"/>
      <c r="Q50" s="468">
        <v>-5.221328532959007839124007100</v>
      </c>
      <c r="R50" s="469">
        <v>6.0219665349853351470667292900</v>
      </c>
      <c r="S50" s="470">
        <v>0.1187820327855388723862214800</v>
      </c>
      <c r="T50" s="468">
        <v>9.223309234624104111632013830</v>
      </c>
      <c r="U50" s="469">
        <v>102.71472400323594200206172706</v>
      </c>
      <c r="V50" s="470">
        <v>7.2965314879855065823605636100</v>
      </c>
      <c r="W50" s="468">
        <v>0</v>
      </c>
      <c r="X50" s="469">
        <v>0</v>
      </c>
      <c r="Y50" s="470">
        <v>12.515041299019148128699579360</v>
      </c>
      <c r="Z50" s="468">
        <v>-3.4509030205954224526483721600</v>
      </c>
      <c r="AA50" s="469">
        <v>10.168240164043285407262361110</v>
      </c>
      <c r="AB50" s="470">
        <v>2.2017941722187513416703451900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163</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241</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243</v>
      </c>
      <c r="I6" s="1050"/>
      <c r="J6" s="1050"/>
      <c r="K6" s="1050"/>
      <c r="L6" s="1050"/>
      <c r="M6" s="1050"/>
      <c r="N6" s="1050"/>
      <c r="O6" s="1050"/>
      <c r="P6" s="1050"/>
      <c r="Q6" s="1050"/>
      <c r="R6" s="1050"/>
      <c r="S6" s="1050"/>
      <c r="T6" s="1050"/>
      <c r="U6" s="1050"/>
      <c r="Z6" s="1050" t="s">
        <v>244</v>
      </c>
      <c r="AA6" s="1050"/>
      <c r="AB6" s="1050"/>
      <c r="AC6" s="1050"/>
      <c r="AD6" s="1050"/>
      <c r="AE6" s="1050"/>
      <c r="AF6" s="1050"/>
      <c r="AG6" s="1050"/>
      <c r="AH6" s="1050"/>
      <c r="AI6" s="1050"/>
      <c r="AJ6" s="1050"/>
      <c r="AK6" s="1050"/>
      <c r="AL6" s="1050"/>
      <c r="AM6" s="1050"/>
    </row>
    <row r="7" ht="15" customHeight="1">
      <c r="D7" s="93" t="s">
        <v>246</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248</v>
      </c>
      <c r="E8" s="71"/>
      <c r="F8" s="71"/>
      <c r="G8" s="71"/>
      <c r="H8" s="1052">
        <v>1</v>
      </c>
      <c r="I8" s="1052"/>
      <c r="J8" s="1053">
        <v>2</v>
      </c>
      <c r="K8" s="1053"/>
      <c r="L8" s="1053">
        <v>3</v>
      </c>
      <c r="M8" s="1053"/>
      <c r="N8" s="1053">
        <v>4</v>
      </c>
      <c r="O8" s="1053"/>
      <c r="P8" s="1053">
        <v>5</v>
      </c>
      <c r="Q8" s="1053"/>
      <c r="R8" s="1053">
        <v>6</v>
      </c>
      <c r="S8" s="1053"/>
      <c r="T8" s="1054">
        <v>7</v>
      </c>
      <c r="U8" s="1054"/>
      <c r="Z8" s="1052"/>
      <c r="AA8" s="1052"/>
      <c r="AB8" s="1053"/>
      <c r="AC8" s="1053"/>
      <c r="AD8" s="1053"/>
      <c r="AE8" s="1053"/>
      <c r="AF8" s="1053"/>
      <c r="AG8" s="1053"/>
      <c r="AH8" s="1053"/>
      <c r="AI8" s="1053"/>
      <c r="AJ8" s="1053"/>
      <c r="AK8" s="1053"/>
      <c r="AL8" s="1054">
        <v>1</v>
      </c>
      <c r="AM8" s="1054"/>
    </row>
    <row r="9" ht="15" customHeight="1">
      <c r="D9" s="175"/>
      <c r="H9" s="1055">
        <v>8</v>
      </c>
      <c r="I9" s="1055"/>
      <c r="J9" s="1056">
        <v>9</v>
      </c>
      <c r="K9" s="1056"/>
      <c r="L9" s="1056">
        <v>10</v>
      </c>
      <c r="M9" s="1056"/>
      <c r="N9" s="1056">
        <v>11</v>
      </c>
      <c r="O9" s="1056"/>
      <c r="P9" s="1056">
        <v>12</v>
      </c>
      <c r="Q9" s="1056"/>
      <c r="R9" s="1056">
        <v>13</v>
      </c>
      <c r="S9" s="1056"/>
      <c r="T9" s="1057">
        <v>14</v>
      </c>
      <c r="U9" s="1057"/>
      <c r="Z9" s="1055">
        <v>2</v>
      </c>
      <c r="AA9" s="1055"/>
      <c r="AB9" s="1056">
        <v>3</v>
      </c>
      <c r="AC9" s="1056"/>
      <c r="AD9" s="1056">
        <v>4</v>
      </c>
      <c r="AE9" s="1056"/>
      <c r="AF9" s="1056">
        <v>5</v>
      </c>
      <c r="AG9" s="1056"/>
      <c r="AH9" s="1056">
        <v>6</v>
      </c>
      <c r="AI9" s="1056"/>
      <c r="AJ9" s="1056">
        <v>7</v>
      </c>
      <c r="AK9" s="1056"/>
      <c r="AL9" s="1057">
        <v>8</v>
      </c>
      <c r="AM9" s="1057"/>
    </row>
    <row r="10" ht="15" customHeight="1">
      <c r="H10" s="1058">
        <v>15</v>
      </c>
      <c r="I10" s="1058"/>
      <c r="J10" s="1059">
        <v>16</v>
      </c>
      <c r="K10" s="1059"/>
      <c r="L10" s="1059">
        <v>17</v>
      </c>
      <c r="M10" s="1059"/>
      <c r="N10" s="1059">
        <v>18</v>
      </c>
      <c r="O10" s="1059"/>
      <c r="P10" s="1059">
        <v>19</v>
      </c>
      <c r="Q10" s="1059"/>
      <c r="R10" s="1059">
        <v>20</v>
      </c>
      <c r="S10" s="1059"/>
      <c r="T10" s="1060">
        <v>21</v>
      </c>
      <c r="U10" s="1060"/>
      <c r="Z10" s="1058">
        <v>9</v>
      </c>
      <c r="AA10" s="1058"/>
      <c r="AB10" s="1059">
        <v>10</v>
      </c>
      <c r="AC10" s="1059"/>
      <c r="AD10" s="1059">
        <v>11</v>
      </c>
      <c r="AE10" s="1059"/>
      <c r="AF10" s="1059">
        <v>12</v>
      </c>
      <c r="AG10" s="1059"/>
      <c r="AH10" s="1059">
        <v>13</v>
      </c>
      <c r="AI10" s="1059"/>
      <c r="AJ10" s="1059">
        <v>14</v>
      </c>
      <c r="AK10" s="1059"/>
      <c r="AL10" s="1060">
        <v>15</v>
      </c>
      <c r="AM10" s="1060"/>
    </row>
    <row r="11" ht="15" customHeight="1">
      <c r="H11" s="1055">
        <v>22</v>
      </c>
      <c r="I11" s="1055"/>
      <c r="J11" s="1056">
        <v>23</v>
      </c>
      <c r="K11" s="1056"/>
      <c r="L11" s="1056">
        <v>24</v>
      </c>
      <c r="M11" s="1056"/>
      <c r="N11" s="1056">
        <v>25</v>
      </c>
      <c r="O11" s="1056"/>
      <c r="P11" s="1056">
        <v>26</v>
      </c>
      <c r="Q11" s="1056"/>
      <c r="R11" s="1056">
        <v>27</v>
      </c>
      <c r="S11" s="1056"/>
      <c r="T11" s="1057">
        <v>28</v>
      </c>
      <c r="U11" s="1057"/>
      <c r="Z11" s="1055">
        <v>16</v>
      </c>
      <c r="AA11" s="1055"/>
      <c r="AB11" s="1056">
        <v>17</v>
      </c>
      <c r="AC11" s="1056"/>
      <c r="AD11" s="1056">
        <v>18</v>
      </c>
      <c r="AE11" s="1056"/>
      <c r="AF11" s="1056">
        <v>19</v>
      </c>
      <c r="AG11" s="1056"/>
      <c r="AH11" s="1056">
        <v>20</v>
      </c>
      <c r="AI11" s="1056"/>
      <c r="AJ11" s="1056">
        <v>21</v>
      </c>
      <c r="AK11" s="1056"/>
      <c r="AL11" s="1057">
        <v>22</v>
      </c>
      <c r="AM11" s="1057"/>
      <c r="AN11" t="s">
        <v>27</v>
      </c>
    </row>
    <row r="12" ht="15" customHeight="1">
      <c r="A12" s="68"/>
      <c r="H12" s="1058">
        <v>29</v>
      </c>
      <c r="I12" s="1058"/>
      <c r="J12" s="1059">
        <v>30</v>
      </c>
      <c r="K12" s="1059"/>
      <c r="L12" s="1059"/>
      <c r="M12" s="1059"/>
      <c r="N12" s="1059"/>
      <c r="O12" s="1059"/>
      <c r="P12" s="1059"/>
      <c r="Q12" s="1059"/>
      <c r="R12" s="1059"/>
      <c r="S12" s="1059"/>
      <c r="T12" s="1060"/>
      <c r="U12" s="1060"/>
      <c r="Z12" s="1058">
        <v>23</v>
      </c>
      <c r="AA12" s="1058"/>
      <c r="AB12" s="1059">
        <v>24</v>
      </c>
      <c r="AC12" s="1059"/>
      <c r="AD12" s="1059">
        <v>25</v>
      </c>
      <c r="AE12" s="1059"/>
      <c r="AF12" s="1059">
        <v>26</v>
      </c>
      <c r="AG12" s="1059"/>
      <c r="AH12" s="1059">
        <v>27</v>
      </c>
      <c r="AI12" s="1059"/>
      <c r="AJ12" s="1059">
        <v>28</v>
      </c>
      <c r="AK12" s="1059"/>
      <c r="AL12" s="1060">
        <v>29</v>
      </c>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n">
        <v>30</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250</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252</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3"/>
      <c r="X21" s="995">
        <v>2024</v>
      </c>
      <c r="Y21" s="995"/>
      <c r="Z21" s="995"/>
      <c r="AA21" s="995"/>
      <c r="AB21" s="995"/>
      <c r="AC21" s="995"/>
      <c r="AD21" s="995"/>
      <c r="AE21" s="995"/>
      <c r="AF21" s="995"/>
      <c r="AG21" s="995"/>
      <c r="AH21" s="995"/>
      <c r="AI21" s="995"/>
      <c r="AJ21" s="995">
        <v>2025</v>
      </c>
      <c r="AK21" s="995"/>
      <c r="AL21" s="995"/>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228</v>
      </c>
      <c r="S22" s="618" t="s">
        <v>229</v>
      </c>
      <c r="T22" s="618" t="s">
        <v>230</v>
      </c>
      <c r="U22" s="618" t="s">
        <v>231</v>
      </c>
      <c r="V22" s="618" t="s">
        <v>232</v>
      </c>
      <c r="W22" s="1015" t="s">
        <v>234</v>
      </c>
      <c r="X22" s="618" t="s">
        <v>218</v>
      </c>
      <c r="Y22" s="618" t="s">
        <v>220</v>
      </c>
      <c r="Z22" s="618" t="s">
        <v>221</v>
      </c>
      <c r="AA22" s="618" t="s">
        <v>223</v>
      </c>
      <c r="AB22" s="618" t="s">
        <v>224</v>
      </c>
      <c r="AC22" s="618" t="s">
        <v>225</v>
      </c>
      <c r="AD22" s="618" t="s">
        <v>228</v>
      </c>
      <c r="AE22" s="618" t="s">
        <v>229</v>
      </c>
      <c r="AF22" s="618" t="s">
        <v>230</v>
      </c>
      <c r="AG22" s="618" t="s">
        <v>231</v>
      </c>
      <c r="AH22" s="618" t="s">
        <v>232</v>
      </c>
      <c r="AI22" s="1015" t="s">
        <v>234</v>
      </c>
      <c r="AJ22" s="618" t="s">
        <v>218</v>
      </c>
      <c r="AK22" s="618" t="s">
        <v>220</v>
      </c>
      <c r="AL22" s="618" t="s">
        <v>221</v>
      </c>
      <c r="AM22" s="618" t="s">
        <v>223</v>
      </c>
      <c r="AN22" s="618" t="s">
        <v>224</v>
      </c>
      <c r="AO22" s="1015" t="s">
        <v>225</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253</v>
      </c>
      <c r="F23" s="1016" t="s">
        <v>254</v>
      </c>
      <c r="G23" s="1016" t="s">
        <v>255</v>
      </c>
      <c r="H23" s="1017" t="s">
        <v>256</v>
      </c>
      <c r="I23" s="1017"/>
      <c r="J23" s="1017"/>
      <c r="K23" s="1017"/>
      <c r="L23" s="1017" t="s">
        <v>257</v>
      </c>
      <c r="M23" s="1017"/>
      <c r="N23" s="1017"/>
      <c r="O23" s="1017"/>
      <c r="P23" s="80"/>
      <c r="Q23" s="4"/>
      <c r="R23" s="1066" t="s">
        <v>299</v>
      </c>
      <c r="S23" s="1067" t="s">
        <v>299</v>
      </c>
      <c r="T23" s="1067" t="s">
        <v>299</v>
      </c>
      <c r="U23" s="1067" t="s">
        <v>299</v>
      </c>
      <c r="V23" s="1067" t="s">
        <v>299</v>
      </c>
      <c r="W23" s="1067" t="s">
        <v>299</v>
      </c>
      <c r="X23" s="1067" t="s">
        <v>299</v>
      </c>
      <c r="Y23" s="1067" t="s">
        <v>299</v>
      </c>
      <c r="Z23" s="1067" t="s">
        <v>299</v>
      </c>
      <c r="AA23" s="1067" t="s">
        <v>299</v>
      </c>
      <c r="AB23" s="1067" t="s">
        <v>299</v>
      </c>
      <c r="AC23" s="1067" t="s">
        <v>299</v>
      </c>
      <c r="AD23" s="1067" t="s">
        <v>299</v>
      </c>
      <c r="AE23" s="1067" t="s">
        <v>299</v>
      </c>
      <c r="AF23" s="1067" t="s">
        <v>299</v>
      </c>
      <c r="AG23" s="1067" t="s">
        <v>299</v>
      </c>
      <c r="AH23" s="1067" t="s">
        <v>299</v>
      </c>
      <c r="AI23" s="1067" t="s">
        <v>299</v>
      </c>
      <c r="AJ23" s="1067" t="s">
        <v>299</v>
      </c>
      <c r="AK23" s="1067" t="s">
        <v>299</v>
      </c>
      <c r="AL23" s="1067" t="s">
        <v>299</v>
      </c>
      <c r="AM23" s="1067" t="s">
        <v>299</v>
      </c>
      <c r="AN23" s="1067" t="s">
        <v>299</v>
      </c>
      <c r="AO23" s="1068" t="s">
        <v>299</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33931</v>
      </c>
      <c r="D24" s="1021" t="s">
        <v>259</v>
      </c>
      <c r="E24" s="1021" t="s">
        <v>253</v>
      </c>
      <c r="F24" s="1022" t="s">
        <v>260</v>
      </c>
      <c r="G24" s="1021" t="s">
        <v>261</v>
      </c>
      <c r="H24" s="1023" t="s">
        <v>262</v>
      </c>
      <c r="I24" s="1023"/>
      <c r="J24" s="1023"/>
      <c r="K24" s="1023"/>
      <c r="L24" s="1023" t="s">
        <v>263</v>
      </c>
      <c r="M24" s="1023"/>
      <c r="N24" s="1023"/>
      <c r="O24" s="1023"/>
      <c r="P24" s="80"/>
      <c r="Q24" s="4"/>
      <c r="R24" s="1069" t="s">
        <v>299</v>
      </c>
      <c r="S24" s="1070" t="s">
        <v>299</v>
      </c>
      <c r="T24" s="1070" t="s">
        <v>299</v>
      </c>
      <c r="U24" s="1070" t="s">
        <v>299</v>
      </c>
      <c r="V24" s="1070" t="s">
        <v>299</v>
      </c>
      <c r="W24" s="1070" t="s">
        <v>299</v>
      </c>
      <c r="X24" s="1070" t="s">
        <v>299</v>
      </c>
      <c r="Y24" s="1070" t="s">
        <v>299</v>
      </c>
      <c r="Z24" s="1070" t="s">
        <v>299</v>
      </c>
      <c r="AA24" s="1070" t="s">
        <v>299</v>
      </c>
      <c r="AB24" s="1070" t="s">
        <v>299</v>
      </c>
      <c r="AC24" s="1070" t="s">
        <v>299</v>
      </c>
      <c r="AD24" s="1070" t="s">
        <v>299</v>
      </c>
      <c r="AE24" s="1070" t="s">
        <v>299</v>
      </c>
      <c r="AF24" s="1070" t="s">
        <v>299</v>
      </c>
      <c r="AG24" s="1070" t="s">
        <v>299</v>
      </c>
      <c r="AH24" s="1070" t="s">
        <v>299</v>
      </c>
      <c r="AI24" s="1070" t="s">
        <v>299</v>
      </c>
      <c r="AJ24" s="1070" t="s">
        <v>299</v>
      </c>
      <c r="AK24" s="1070" t="s">
        <v>299</v>
      </c>
      <c r="AL24" s="1070" t="s">
        <v>299</v>
      </c>
      <c r="AM24" s="1070" t="s">
        <v>299</v>
      </c>
      <c r="AN24" s="1070" t="s">
        <v>299</v>
      </c>
      <c r="AO24" s="1071" t="s">
        <v>299</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34401</v>
      </c>
      <c r="D25" s="1016" t="s">
        <v>264</v>
      </c>
      <c r="E25" s="1016" t="s">
        <v>253</v>
      </c>
      <c r="F25" s="1027" t="s">
        <v>260</v>
      </c>
      <c r="G25" s="1016" t="s">
        <v>265</v>
      </c>
      <c r="H25" s="1017" t="s">
        <v>266</v>
      </c>
      <c r="I25" s="1017"/>
      <c r="J25" s="1017"/>
      <c r="K25" s="1017"/>
      <c r="L25" s="1017" t="s">
        <v>267</v>
      </c>
      <c r="M25" s="1017"/>
      <c r="N25" s="1017"/>
      <c r="O25" s="1017"/>
      <c r="P25" s="80"/>
      <c r="Q25" s="4"/>
      <c r="R25" s="1066" t="s">
        <v>299</v>
      </c>
      <c r="S25" s="1067" t="s">
        <v>299</v>
      </c>
      <c r="T25" s="1067" t="s">
        <v>299</v>
      </c>
      <c r="U25" s="1067" t="s">
        <v>299</v>
      </c>
      <c r="V25" s="1067" t="s">
        <v>299</v>
      </c>
      <c r="W25" s="1067" t="s">
        <v>299</v>
      </c>
      <c r="X25" s="1067" t="s">
        <v>299</v>
      </c>
      <c r="Y25" s="1067" t="s">
        <v>299</v>
      </c>
      <c r="Z25" s="1067" t="s">
        <v>299</v>
      </c>
      <c r="AA25" s="1067" t="s">
        <v>299</v>
      </c>
      <c r="AB25" s="1067" t="s">
        <v>299</v>
      </c>
      <c r="AC25" s="1067" t="s">
        <v>265</v>
      </c>
      <c r="AD25" s="1067" t="s">
        <v>265</v>
      </c>
      <c r="AE25" s="1067" t="s">
        <v>265</v>
      </c>
      <c r="AF25" s="1067" t="s">
        <v>265</v>
      </c>
      <c r="AG25" s="1067" t="s">
        <v>265</v>
      </c>
      <c r="AH25" s="1067" t="s">
        <v>265</v>
      </c>
      <c r="AI25" s="1067" t="s">
        <v>265</v>
      </c>
      <c r="AJ25" s="1067" t="s">
        <v>265</v>
      </c>
      <c r="AK25" s="1067" t="s">
        <v>265</v>
      </c>
      <c r="AL25" s="1067" t="s">
        <v>265</v>
      </c>
      <c r="AM25" s="1067" t="s">
        <v>265</v>
      </c>
      <c r="AN25" s="1067" t="s">
        <v>265</v>
      </c>
      <c r="AO25" s="1068" t="s">
        <v>265</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39070</v>
      </c>
      <c r="D26" s="1021" t="s">
        <v>268</v>
      </c>
      <c r="E26" s="1021" t="s">
        <v>253</v>
      </c>
      <c r="F26" s="1022" t="s">
        <v>260</v>
      </c>
      <c r="G26" s="1021" t="s">
        <v>269</v>
      </c>
      <c r="H26" s="1023" t="s">
        <v>270</v>
      </c>
      <c r="I26" s="1023"/>
      <c r="J26" s="1023"/>
      <c r="K26" s="1023"/>
      <c r="L26" s="1023" t="s">
        <v>271</v>
      </c>
      <c r="M26" s="1023"/>
      <c r="N26" s="1023"/>
      <c r="O26" s="1023"/>
      <c r="P26" s="80"/>
      <c r="Q26" s="4"/>
      <c r="R26" s="1069" t="s">
        <v>299</v>
      </c>
      <c r="S26" s="1070" t="s">
        <v>299</v>
      </c>
      <c r="T26" s="1070" t="s">
        <v>299</v>
      </c>
      <c r="U26" s="1070" t="s">
        <v>299</v>
      </c>
      <c r="V26" s="1070" t="s">
        <v>299</v>
      </c>
      <c r="W26" s="1070" t="s">
        <v>299</v>
      </c>
      <c r="X26" s="1070" t="s">
        <v>299</v>
      </c>
      <c r="Y26" s="1070" t="s">
        <v>299</v>
      </c>
      <c r="Z26" s="1070" t="s">
        <v>299</v>
      </c>
      <c r="AA26" s="1070" t="s">
        <v>299</v>
      </c>
      <c r="AB26" s="1070" t="s">
        <v>299</v>
      </c>
      <c r="AC26" s="1070" t="s">
        <v>299</v>
      </c>
      <c r="AD26" s="1070" t="s">
        <v>299</v>
      </c>
      <c r="AE26" s="1070" t="s">
        <v>299</v>
      </c>
      <c r="AF26" s="1070" t="s">
        <v>299</v>
      </c>
      <c r="AG26" s="1070" t="s">
        <v>299</v>
      </c>
      <c r="AH26" s="1070" t="s">
        <v>299</v>
      </c>
      <c r="AI26" s="1070" t="s">
        <v>299</v>
      </c>
      <c r="AJ26" s="1070" t="s">
        <v>299</v>
      </c>
      <c r="AK26" s="1070" t="s">
        <v>299</v>
      </c>
      <c r="AL26" s="1070" t="s">
        <v>299</v>
      </c>
      <c r="AM26" s="1070" t="s">
        <v>299</v>
      </c>
      <c r="AN26" s="1070" t="s">
        <v>299</v>
      </c>
      <c r="AO26" s="1071" t="s">
        <v>299</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44117</v>
      </c>
      <c r="D27" s="1016" t="s">
        <v>272</v>
      </c>
      <c r="E27" s="1016" t="s">
        <v>253</v>
      </c>
      <c r="F27" s="1027" t="s">
        <v>260</v>
      </c>
      <c r="G27" s="1016" t="s">
        <v>273</v>
      </c>
      <c r="H27" s="1017" t="s">
        <v>274</v>
      </c>
      <c r="I27" s="1017"/>
      <c r="J27" s="1017"/>
      <c r="K27" s="1017"/>
      <c r="L27" s="1017" t="s">
        <v>275</v>
      </c>
      <c r="M27" s="1017"/>
      <c r="N27" s="1017"/>
      <c r="O27" s="1017"/>
      <c r="P27" s="80"/>
      <c r="Q27" s="4"/>
      <c r="R27" s="1066" t="s">
        <v>299</v>
      </c>
      <c r="S27" s="1067" t="s">
        <v>299</v>
      </c>
      <c r="T27" s="1067" t="s">
        <v>299</v>
      </c>
      <c r="U27" s="1067" t="s">
        <v>299</v>
      </c>
      <c r="V27" s="1067" t="s">
        <v>299</v>
      </c>
      <c r="W27" s="1067" t="s">
        <v>299</v>
      </c>
      <c r="X27" s="1067" t="s">
        <v>299</v>
      </c>
      <c r="Y27" s="1067" t="s">
        <v>299</v>
      </c>
      <c r="Z27" s="1067" t="s">
        <v>299</v>
      </c>
      <c r="AA27" s="1067" t="s">
        <v>299</v>
      </c>
      <c r="AB27" s="1067" t="s">
        <v>299</v>
      </c>
      <c r="AC27" s="1067" t="s">
        <v>299</v>
      </c>
      <c r="AD27" s="1067" t="s">
        <v>299</v>
      </c>
      <c r="AE27" s="1067" t="s">
        <v>299</v>
      </c>
      <c r="AF27" s="1067" t="s">
        <v>299</v>
      </c>
      <c r="AG27" s="1067" t="s">
        <v>299</v>
      </c>
      <c r="AH27" s="1067" t="s">
        <v>299</v>
      </c>
      <c r="AI27" s="1067" t="s">
        <v>299</v>
      </c>
      <c r="AJ27" s="1067" t="s">
        <v>299</v>
      </c>
      <c r="AK27" s="1067" t="s">
        <v>299</v>
      </c>
      <c r="AL27" s="1067" t="s">
        <v>299</v>
      </c>
      <c r="AM27" s="1067" t="s">
        <v>299</v>
      </c>
      <c r="AN27" s="1067" t="s">
        <v>299</v>
      </c>
      <c r="AO27" s="1068" t="s">
        <v>299</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53909</v>
      </c>
      <c r="D28" s="1021" t="s">
        <v>276</v>
      </c>
      <c r="E28" s="1021" t="s">
        <v>253</v>
      </c>
      <c r="F28" s="1021" t="s">
        <v>277</v>
      </c>
      <c r="G28" s="1021" t="s">
        <v>278</v>
      </c>
      <c r="H28" s="1023" t="s">
        <v>279</v>
      </c>
      <c r="I28" s="1023"/>
      <c r="J28" s="1023"/>
      <c r="K28" s="1023"/>
      <c r="L28" s="1023" t="s">
        <v>280</v>
      </c>
      <c r="M28" s="1023"/>
      <c r="N28" s="1023"/>
      <c r="O28" s="1023"/>
      <c r="P28" s="80"/>
      <c r="Q28" s="4"/>
      <c r="R28" s="1069" t="s">
        <v>300</v>
      </c>
      <c r="S28" s="1070" t="s">
        <v>300</v>
      </c>
      <c r="T28" s="1070" t="s">
        <v>300</v>
      </c>
      <c r="U28" s="1070" t="s">
        <v>300</v>
      </c>
      <c r="V28" s="1070" t="s">
        <v>265</v>
      </c>
      <c r="W28" s="1070" t="s">
        <v>299</v>
      </c>
      <c r="X28" s="1070" t="s">
        <v>299</v>
      </c>
      <c r="Y28" s="1070" t="s">
        <v>299</v>
      </c>
      <c r="Z28" s="1070" t="s">
        <v>299</v>
      </c>
      <c r="AA28" s="1070" t="s">
        <v>299</v>
      </c>
      <c r="AB28" s="1070" t="s">
        <v>299</v>
      </c>
      <c r="AC28" s="1070" t="s">
        <v>299</v>
      </c>
      <c r="AD28" s="1070" t="s">
        <v>300</v>
      </c>
      <c r="AE28" s="1070" t="s">
        <v>299</v>
      </c>
      <c r="AF28" s="1070" t="s">
        <v>300</v>
      </c>
      <c r="AG28" s="1070" t="s">
        <v>265</v>
      </c>
      <c r="AH28" s="1070" t="s">
        <v>300</v>
      </c>
      <c r="AI28" s="1070" t="s">
        <v>300</v>
      </c>
      <c r="AJ28" s="1070" t="s">
        <v>300</v>
      </c>
      <c r="AK28" s="1070" t="s">
        <v>300</v>
      </c>
      <c r="AL28" s="1070" t="s">
        <v>299</v>
      </c>
      <c r="AM28" s="1070" t="s">
        <v>299</v>
      </c>
      <c r="AN28" s="1070" t="s">
        <v>300</v>
      </c>
      <c r="AO28" s="1071" t="s">
        <v>300</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81"/>
      <c r="D29" s="181"/>
      <c r="E29" s="181"/>
      <c r="F29" s="201"/>
      <c r="G29" s="181"/>
      <c r="H29" s="997">
        <v>476</v>
      </c>
      <c r="I29" s="997"/>
      <c r="J29" s="997"/>
      <c r="K29" s="997"/>
      <c r="L29" s="1072"/>
      <c r="M29" s="1072"/>
      <c r="N29" s="1072"/>
      <c r="O29" s="1072"/>
      <c r="P29" s="80"/>
      <c r="Q29" s="4"/>
      <c r="R29" s="182"/>
      <c r="S29" s="182"/>
      <c r="T29" s="182"/>
      <c r="U29" s="182"/>
      <c r="V29" s="182"/>
      <c r="W29" s="182"/>
      <c r="X29" s="182"/>
      <c r="Y29" s="182"/>
      <c r="Z29" s="182"/>
      <c r="AA29" s="182"/>
      <c r="AB29" s="182"/>
      <c r="AC29" s="182"/>
      <c r="AD29" s="182"/>
      <c r="AE29" s="182"/>
      <c r="AF29" s="182"/>
      <c r="AG29" s="182"/>
      <c r="AH29" s="182"/>
      <c r="AI29" s="182"/>
      <c r="AJ29" s="182"/>
      <c r="AK29" s="182"/>
      <c r="AL29" s="182"/>
      <c r="AM29" s="182"/>
      <c r="AN29" s="182"/>
      <c r="AO29" s="182"/>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81"/>
      <c r="D30" s="181"/>
      <c r="E30" s="181"/>
      <c r="F30" s="201"/>
      <c r="G30" s="181"/>
      <c r="H30" s="996"/>
      <c r="I30" s="996"/>
      <c r="J30" s="996"/>
      <c r="K30" s="996"/>
      <c r="L30" s="1072"/>
      <c r="M30" s="1072"/>
      <c r="N30" s="1072"/>
      <c r="O30" s="1072"/>
      <c r="P30" s="80"/>
      <c r="Q30" s="4"/>
      <c r="R30" s="182"/>
      <c r="S30" s="182"/>
      <c r="T30" s="182"/>
      <c r="U30" s="182"/>
      <c r="V30" s="182"/>
      <c r="W30" s="182"/>
      <c r="X30" s="1028" t="s">
        <v>281</v>
      </c>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81"/>
      <c r="D31" s="181"/>
      <c r="E31" s="181"/>
      <c r="F31" s="201"/>
      <c r="G31" s="181"/>
      <c r="H31" s="996"/>
      <c r="I31" s="996"/>
      <c r="J31" s="996"/>
      <c r="K31" s="996"/>
      <c r="L31" s="1072"/>
      <c r="M31" s="1072"/>
      <c r="N31" s="1072"/>
      <c r="O31" s="1072"/>
      <c r="P31" s="80"/>
      <c r="Q31" s="4"/>
      <c r="R31" s="182"/>
      <c r="S31" s="182"/>
      <c r="T31" s="182"/>
      <c r="U31" s="182"/>
      <c r="V31" s="182"/>
      <c r="W31" s="182"/>
      <c r="X31" s="182"/>
      <c r="Y31" s="182"/>
      <c r="Z31" s="182"/>
      <c r="AA31" s="1073" t="s">
        <v>300</v>
      </c>
      <c r="AB31" s="1028" t="s">
        <v>301</v>
      </c>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6"/>
      <c r="I32" s="996"/>
      <c r="J32" s="996"/>
      <c r="K32" s="996"/>
      <c r="L32" s="1072"/>
      <c r="M32" s="1072"/>
      <c r="N32" s="1072"/>
      <c r="O32" s="1072"/>
      <c r="P32" s="80"/>
      <c r="Q32" s="4"/>
      <c r="R32" s="182"/>
      <c r="S32" s="182"/>
      <c r="T32" s="182"/>
      <c r="U32" s="182"/>
      <c r="V32" s="182"/>
      <c r="W32" s="182"/>
      <c r="X32" s="182"/>
      <c r="Y32" s="182"/>
      <c r="Z32" s="182"/>
      <c r="AA32" s="1073" t="s">
        <v>302</v>
      </c>
      <c r="AB32" s="1028" t="s">
        <v>303</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82"/>
      <c r="Y33" s="182"/>
      <c r="Z33" s="182"/>
      <c r="AA33" s="1074" t="s">
        <v>299</v>
      </c>
      <c r="AB33" s="1028" t="s">
        <v>304</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H32:K32"/>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W21"/>
    <mergeCell ref="X21:AI21"/>
    <mergeCell ref="AJ21:AO21"/>
    <mergeCell ref="H29:K29"/>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0" t="s">
        <v>165</v>
      </c>
      <c r="C1" s="12"/>
      <c r="D1" s="12"/>
      <c r="E1" s="12"/>
      <c r="F1" s="12"/>
      <c r="G1" s="12"/>
      <c r="H1" s="12"/>
      <c r="I1" s="104"/>
      <c r="J1" s="12"/>
      <c r="K1" s="12"/>
      <c r="L1" s="12"/>
      <c r="M1" s="13"/>
      <c r="N1" s="51"/>
      <c r="O1" s="2"/>
      <c r="P1" s="2"/>
      <c r="Q1" s="2"/>
      <c r="R1" s="22"/>
      <c r="S1" s="51"/>
      <c r="T1" s="2"/>
      <c r="U1" s="2"/>
      <c r="V1" s="236"/>
    </row>
    <row r="2" ht="21.75" customHeight="1">
      <c r="B2" s="999" t="s">
        <v>208</v>
      </c>
      <c r="C2" s="999"/>
      <c r="D2" s="999"/>
      <c r="E2" s="999"/>
      <c r="F2" s="999"/>
      <c r="G2" s="999"/>
      <c r="H2" s="999"/>
      <c r="I2" s="999"/>
      <c r="J2" s="999"/>
      <c r="K2" s="999"/>
      <c r="L2" s="999"/>
      <c r="M2" s="999"/>
      <c r="N2" s="999"/>
      <c r="O2" s="999"/>
      <c r="P2" s="999"/>
      <c r="Q2" s="999"/>
      <c r="R2" s="999"/>
      <c r="S2" s="999"/>
      <c r="T2" s="2"/>
      <c r="U2" s="2"/>
    </row>
    <row r="3" ht="19.5" customHeight="1">
      <c r="A3"/>
      <c r="B3" s="1030" t="s">
        <v>209</v>
      </c>
      <c r="C3" s="1030"/>
      <c r="D3" s="1030"/>
      <c r="E3" s="1030"/>
      <c r="F3" s="1030"/>
      <c r="G3" s="1030"/>
      <c r="H3" s="1030"/>
      <c r="I3" s="1030"/>
      <c r="J3" s="1030"/>
      <c r="K3" s="1030"/>
      <c r="L3" s="1030"/>
      <c r="M3" s="1030"/>
      <c r="N3" s="1030"/>
      <c r="O3" s="1030"/>
      <c r="P3" s="1030"/>
      <c r="Q3" s="1030"/>
      <c r="R3" s="1030"/>
      <c r="S3" s="1030"/>
      <c r="T3" s="2"/>
      <c r="U3" s="2"/>
    </row>
    <row r="4" ht="18.75" customHeight="1">
      <c r="A4"/>
      <c r="B4" s="1076" t="s">
        <v>210</v>
      </c>
      <c r="C4" s="1076"/>
      <c r="D4" s="1076"/>
      <c r="E4" s="1076"/>
      <c r="F4" s="1076"/>
      <c r="G4" s="1076"/>
      <c r="H4" s="1076"/>
      <c r="I4" s="1076"/>
      <c r="J4" s="1076"/>
      <c r="K4" s="1076"/>
      <c r="L4" s="1076"/>
      <c r="M4" s="1076"/>
      <c r="N4" s="1076"/>
      <c r="O4" s="1076"/>
      <c r="P4" s="1076"/>
      <c r="Q4" s="131"/>
      <c r="R4" s="203"/>
      <c r="S4" s="131"/>
      <c r="T4" s="222"/>
      <c r="U4" s="2"/>
    </row>
    <row r="5" ht="12" customHeight="1">
      <c r="A5"/>
      <c r="B5" s="129"/>
      <c r="D5" s="13"/>
      <c r="E5" s="13"/>
      <c r="F5" s="2"/>
      <c r="G5" s="2"/>
      <c r="H5" s="2"/>
      <c r="I5" s="2"/>
      <c r="J5" s="2"/>
      <c r="K5" s="2"/>
      <c r="L5" s="2"/>
      <c r="M5" s="2"/>
      <c r="N5" s="9"/>
      <c r="O5" s="2"/>
      <c r="P5" s="2"/>
      <c r="Q5" s="2"/>
      <c r="R5" s="2"/>
      <c r="S5" s="2"/>
      <c r="T5" s="2"/>
      <c r="U5" s="2"/>
    </row>
    <row r="6" ht="17.1" customHeight="1">
      <c r="B6" s="1077" t="s">
        <v>211</v>
      </c>
      <c r="C6" s="1077"/>
      <c r="D6" s="1077"/>
      <c r="E6" s="1077"/>
      <c r="F6" s="1077"/>
      <c r="G6" s="1077"/>
      <c r="H6" s="1077"/>
      <c r="I6" s="1077"/>
      <c r="J6" s="1077"/>
      <c r="K6" s="1077"/>
      <c r="L6" s="1077"/>
      <c r="M6" s="1077"/>
      <c r="N6" s="1077"/>
      <c r="O6" s="1077"/>
      <c r="P6" s="1077"/>
      <c r="Q6" s="1077"/>
      <c r="R6" s="1077"/>
      <c r="S6" s="1077"/>
      <c r="T6" s="1077"/>
      <c r="U6" s="2"/>
    </row>
    <row r="7">
      <c r="B7" s="2"/>
      <c r="C7" s="2"/>
      <c r="D7" s="2"/>
      <c r="E7" s="2"/>
      <c r="F7" s="1032" t="s">
        <v>22</v>
      </c>
      <c r="G7" s="1032"/>
      <c r="H7" s="1032"/>
      <c r="I7" s="1032"/>
      <c r="J7" s="1032"/>
      <c r="K7" s="1032" t="s">
        <v>9</v>
      </c>
      <c r="L7" s="1032"/>
      <c r="M7" s="1032"/>
      <c r="N7" s="1032"/>
      <c r="O7" s="1032"/>
      <c r="P7" s="1032" t="s">
        <v>10</v>
      </c>
      <c r="Q7" s="1032"/>
      <c r="R7" s="1032"/>
      <c r="S7" s="1032"/>
      <c r="T7" s="1032"/>
      <c r="U7" s="2"/>
    </row>
    <row r="8" ht="20.1" customHeight="1">
      <c r="B8" s="2"/>
      <c r="C8" s="2"/>
      <c r="D8" s="2"/>
      <c r="E8" s="2"/>
      <c r="F8" s="1032"/>
      <c r="G8" s="1032"/>
      <c r="H8" s="1032"/>
      <c r="I8" s="1032"/>
      <c r="J8" s="1032"/>
      <c r="K8" s="1032"/>
      <c r="L8" s="1032"/>
      <c r="M8" s="1032"/>
      <c r="N8" s="1032"/>
      <c r="O8" s="1032"/>
      <c r="P8" s="1032"/>
      <c r="Q8" s="1032"/>
      <c r="R8" s="1032"/>
      <c r="S8" s="1032"/>
      <c r="T8" s="1032"/>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7"/>
      <c r="D10" s="17"/>
      <c r="E10" s="17"/>
      <c r="F10" s="165"/>
      <c r="G10" s="164"/>
      <c r="H10" s="166"/>
      <c r="I10" s="176"/>
      <c r="J10" s="7"/>
      <c r="K10" s="165"/>
      <c r="L10" s="164"/>
      <c r="M10" s="168"/>
      <c r="N10" s="176"/>
      <c r="O10" s="7"/>
      <c r="P10" s="142"/>
      <c r="Q10" s="187"/>
      <c r="R10" s="168"/>
      <c r="S10" s="176"/>
      <c r="T10" s="7"/>
      <c r="U10" s="2"/>
    </row>
    <row r="11" ht="20.1" customHeight="1">
      <c r="B11" s="2"/>
      <c r="C11" s="180"/>
      <c r="D11" s="16" t="s">
        <v>42</v>
      </c>
      <c r="E11" s="180"/>
      <c r="F11" s="164"/>
      <c r="G11" s="193">
        <v>80.98484848484848484848484848</v>
      </c>
      <c r="H11" s="193">
        <v>80.52597612132946111648919006</v>
      </c>
      <c r="I11" s="193">
        <v>100.56984390087648760285956549</v>
      </c>
      <c r="J11" s="194"/>
      <c r="K11" s="194"/>
      <c r="L11" s="195">
        <v>175.03960087309011537262238853</v>
      </c>
      <c r="M11" s="195">
        <v>191.18590102183931075936686035</v>
      </c>
      <c r="N11" s="193">
        <v>91.55465959444948797821257758</v>
      </c>
      <c r="O11" s="194"/>
      <c r="P11" s="193"/>
      <c r="Q11" s="195">
        <v>141.75555555555555555555555556</v>
      </c>
      <c r="R11" s="195">
        <v>153.95431300419490158115521136</v>
      </c>
      <c r="S11" s="193">
        <v>92.07637823806101987513463993</v>
      </c>
      <c r="T11" s="141"/>
      <c r="U11" s="2"/>
    </row>
    <row r="12" ht="15" customHeight="1">
      <c r="B12" s="2"/>
      <c r="C12" s="17"/>
      <c r="D12" s="17"/>
      <c r="E12" s="17"/>
      <c r="F12" s="165"/>
      <c r="G12" s="193"/>
      <c r="H12" s="193"/>
      <c r="I12" s="193"/>
      <c r="J12" s="194"/>
      <c r="K12" s="194"/>
      <c r="L12" s="195"/>
      <c r="M12" s="195"/>
      <c r="N12" s="193"/>
      <c r="O12" s="194"/>
      <c r="P12" s="193"/>
      <c r="Q12" s="195"/>
      <c r="R12" s="195"/>
      <c r="S12" s="193"/>
      <c r="T12" s="7"/>
      <c r="U12" s="2"/>
    </row>
    <row r="13" ht="20.1" customHeight="1">
      <c r="B13" s="111"/>
      <c r="C13" s="188"/>
      <c r="D13" s="189" t="s">
        <v>58</v>
      </c>
      <c r="E13" s="188"/>
      <c r="F13" s="169"/>
      <c r="G13" s="196">
        <v>88.25966850828729281767955801</v>
      </c>
      <c r="H13" s="196">
        <v>86.41889470672236098260176603</v>
      </c>
      <c r="I13" s="196">
        <v>102.13005941332015073433600385</v>
      </c>
      <c r="J13" s="197"/>
      <c r="K13" s="197"/>
      <c r="L13" s="198">
        <v>265.70242329397258974723763456</v>
      </c>
      <c r="M13" s="198">
        <v>272.49451008788216363411313281</v>
      </c>
      <c r="N13" s="196">
        <v>97.50744086853843375552496499</v>
      </c>
      <c r="O13" s="197"/>
      <c r="P13" s="196"/>
      <c r="Q13" s="198">
        <v>234.5080780177465260338188515</v>
      </c>
      <c r="R13" s="198">
        <v>235.4867437544458290769255454</v>
      </c>
      <c r="S13" s="196">
        <v>99.58440729144644776336596136</v>
      </c>
      <c r="T13" s="170"/>
      <c r="U13" s="2"/>
    </row>
    <row r="14" ht="15" customHeight="1">
      <c r="B14" s="2"/>
      <c r="C14" s="180"/>
      <c r="D14" s="16"/>
      <c r="E14" s="16"/>
      <c r="F14" s="137"/>
      <c r="G14" s="193"/>
      <c r="H14" s="193"/>
      <c r="I14" s="193"/>
      <c r="J14" s="194"/>
      <c r="K14" s="194"/>
      <c r="L14" s="195"/>
      <c r="M14" s="195"/>
      <c r="N14" s="193"/>
      <c r="O14" s="194"/>
      <c r="P14" s="193"/>
      <c r="Q14" s="195"/>
      <c r="R14" s="195"/>
      <c r="S14" s="193"/>
      <c r="T14" s="7"/>
      <c r="U14" s="2"/>
    </row>
    <row r="15" ht="20.1" customHeight="1">
      <c r="B15" s="2"/>
      <c r="C15" s="180"/>
      <c r="D15" s="16" t="s">
        <v>44</v>
      </c>
      <c r="E15" s="180"/>
      <c r="F15" s="137"/>
      <c r="G15" s="193">
        <v>85.03996003996003996003996004</v>
      </c>
      <c r="H15" s="193">
        <v>83.87179132580875078454942927</v>
      </c>
      <c r="I15" s="193">
        <v>101.39280286696427910961188214</v>
      </c>
      <c r="J15" s="194"/>
      <c r="K15" s="194"/>
      <c r="L15" s="195">
        <v>223.53206069505628976994615761</v>
      </c>
      <c r="M15" s="195">
        <v>231.23217079729078409984526014</v>
      </c>
      <c r="N15" s="193">
        <v>96.66996591534242468378037779</v>
      </c>
      <c r="O15" s="194"/>
      <c r="P15" s="193"/>
      <c r="Q15" s="195">
        <v>190.09157509157509157509157509</v>
      </c>
      <c r="R15" s="195">
        <v>193.93856376924140718913226174</v>
      </c>
      <c r="S15" s="193">
        <v>98.01638797211931249255973058</v>
      </c>
      <c r="T15" s="141"/>
      <c r="U15" s="2"/>
    </row>
    <row r="16" ht="15" customHeight="1">
      <c r="B16" s="2"/>
      <c r="C16" s="180"/>
      <c r="D16" s="16"/>
      <c r="E16" s="180"/>
      <c r="F16" s="137"/>
      <c r="G16" s="193"/>
      <c r="H16" s="193"/>
      <c r="I16" s="193"/>
      <c r="J16" s="194"/>
      <c r="K16" s="194"/>
      <c r="L16" s="195"/>
      <c r="M16" s="195"/>
      <c r="N16" s="193"/>
      <c r="O16" s="194"/>
      <c r="P16" s="193"/>
      <c r="Q16" s="195"/>
      <c r="R16" s="195"/>
      <c r="S16" s="193"/>
      <c r="T16" s="7"/>
      <c r="U16" s="2"/>
    </row>
    <row r="17" ht="20.1" customHeight="1">
      <c r="B17" s="111"/>
      <c r="C17" s="188"/>
      <c r="D17" s="189" t="s">
        <v>45</v>
      </c>
      <c r="E17" s="188"/>
      <c r="F17" s="169"/>
      <c r="G17" s="196">
        <v>83.10709838107098381070983811</v>
      </c>
      <c r="H17" s="196">
        <v>79.068811415083080268933416440</v>
      </c>
      <c r="I17" s="196">
        <v>105.10730703256755981637550780</v>
      </c>
      <c r="J17" s="197"/>
      <c r="K17" s="197"/>
      <c r="L17" s="198">
        <v>233.59279238780250243500412078</v>
      </c>
      <c r="M17" s="198">
        <v>240.3397571153039832285115304</v>
      </c>
      <c r="N17" s="196">
        <v>97.19273880922633810766736897</v>
      </c>
      <c r="O17" s="197"/>
      <c r="P17" s="196"/>
      <c r="Q17" s="198">
        <v>194.13219178082191780821917808</v>
      </c>
      <c r="R17" s="198">
        <v>190.03378930896842551950032489</v>
      </c>
      <c r="S17" s="196">
        <v>102.15667039357816850773976695</v>
      </c>
      <c r="T17" s="170"/>
      <c r="U17" s="2"/>
    </row>
    <row r="18" ht="15" customHeight="1">
      <c r="B18" s="2"/>
      <c r="C18" s="16"/>
      <c r="D18" s="16"/>
      <c r="E18" s="16"/>
      <c r="F18" s="137"/>
      <c r="G18" s="191"/>
      <c r="H18" s="192"/>
      <c r="I18" s="187"/>
      <c r="J18" s="141"/>
      <c r="K18" s="137"/>
      <c r="L18" s="191"/>
      <c r="M18" s="192"/>
      <c r="N18" s="187"/>
      <c r="O18" s="141"/>
      <c r="P18" s="190"/>
      <c r="Q18" s="141"/>
      <c r="R18" s="192"/>
      <c r="S18" s="187"/>
      <c r="T18" s="141"/>
      <c r="U18" s="2"/>
    </row>
    <row r="19" ht="15" customHeight="1">
      <c r="B19" s="2"/>
      <c r="C19" s="16"/>
      <c r="D19" s="16"/>
      <c r="E19" s="16"/>
      <c r="F19" s="137"/>
      <c r="G19" s="138"/>
      <c r="H19" s="139"/>
      <c r="I19" s="140"/>
      <c r="J19" s="141"/>
      <c r="K19" s="137"/>
      <c r="L19" s="138"/>
      <c r="M19" s="139"/>
      <c r="N19" s="140"/>
      <c r="O19" s="141"/>
      <c r="P19" s="142"/>
      <c r="Q19" s="141"/>
      <c r="R19" s="157"/>
      <c r="S19" s="140"/>
      <c r="T19" s="141"/>
      <c r="U19" s="2"/>
    </row>
    <row r="20" ht="17.1" customHeight="1">
      <c r="B20" s="1077" t="s">
        <v>212</v>
      </c>
      <c r="C20" s="1077"/>
      <c r="D20" s="1077"/>
      <c r="E20" s="1077"/>
      <c r="F20" s="1077"/>
      <c r="G20" s="1077"/>
      <c r="H20" s="1077"/>
      <c r="I20" s="1077"/>
      <c r="J20" s="1077"/>
      <c r="K20" s="1077"/>
      <c r="L20" s="1077"/>
      <c r="M20" s="1077"/>
      <c r="N20" s="1077"/>
      <c r="O20" s="1077"/>
      <c r="P20" s="1077"/>
      <c r="Q20" s="1077"/>
      <c r="R20" s="1077"/>
      <c r="S20" s="1077"/>
      <c r="T20" s="1077"/>
      <c r="U20" s="2"/>
    </row>
    <row r="21">
      <c r="B21" s="2"/>
      <c r="C21" s="2"/>
      <c r="D21" s="2"/>
      <c r="E21" s="2"/>
      <c r="F21" s="1032" t="s">
        <v>72</v>
      </c>
      <c r="G21" s="1032"/>
      <c r="H21" s="1032"/>
      <c r="I21" s="1032"/>
      <c r="J21" s="1032"/>
      <c r="K21" s="1032" t="s">
        <v>9</v>
      </c>
      <c r="L21" s="1032"/>
      <c r="M21" s="1032"/>
      <c r="N21" s="1032"/>
      <c r="O21" s="1032"/>
      <c r="P21" s="1032" t="s">
        <v>10</v>
      </c>
      <c r="Q21" s="1032"/>
      <c r="R21" s="1032"/>
      <c r="S21" s="1032"/>
      <c r="T21" s="1032"/>
      <c r="U21" s="2"/>
    </row>
    <row r="22" ht="20.1" customHeight="1">
      <c r="B22" s="2"/>
      <c r="C22" s="2"/>
      <c r="D22" s="2"/>
      <c r="E22" s="2"/>
      <c r="F22" s="1032"/>
      <c r="G22" s="1032"/>
      <c r="H22" s="1032"/>
      <c r="I22" s="1032"/>
      <c r="J22" s="1032"/>
      <c r="K22" s="1032"/>
      <c r="L22" s="1032"/>
      <c r="M22" s="1032"/>
      <c r="N22" s="1032"/>
      <c r="O22" s="1032"/>
      <c r="P22" s="1032"/>
      <c r="Q22" s="1032"/>
      <c r="R22" s="1032"/>
      <c r="S22" s="1032"/>
      <c r="T22" s="1032"/>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7"/>
      <c r="D24" s="17"/>
      <c r="E24" s="17"/>
      <c r="F24" s="165"/>
      <c r="G24" s="164"/>
      <c r="H24" s="166"/>
      <c r="I24" s="176"/>
      <c r="J24" s="7"/>
      <c r="K24" s="165"/>
      <c r="L24" s="164"/>
      <c r="M24" s="168"/>
      <c r="N24" s="176"/>
      <c r="O24" s="7"/>
      <c r="P24" s="142"/>
      <c r="Q24" s="187"/>
      <c r="R24" s="168"/>
      <c r="S24" s="176"/>
      <c r="T24" s="7"/>
      <c r="U24" s="2"/>
    </row>
    <row r="25" ht="20.1" customHeight="1">
      <c r="B25" s="2"/>
      <c r="C25" s="180"/>
      <c r="D25" s="16" t="s">
        <v>42</v>
      </c>
      <c r="E25" s="180"/>
      <c r="F25" s="164"/>
      <c r="G25" s="193">
        <v>3.384912959425038067410200200</v>
      </c>
      <c r="H25" s="193">
        <v>6.2050474528598598451777848400</v>
      </c>
      <c r="I25" s="193">
        <v>-2.6553676694743010876547275200</v>
      </c>
      <c r="J25" s="193"/>
      <c r="K25" s="193"/>
      <c r="L25" s="193">
        <v>2.2584314520629771120486298800</v>
      </c>
      <c r="M25" s="193">
        <v>4.7281210519811651492261397600</v>
      </c>
      <c r="N25" s="193">
        <v>-2.3581914533514760327390103900</v>
      </c>
      <c r="O25" s="193"/>
      <c r="P25" s="193"/>
      <c r="Q25" s="193">
        <v>5.7197903503226135601375834500</v>
      </c>
      <c r="R25" s="193">
        <v>11.226550659756230681314416100</v>
      </c>
      <c r="S25" s="193">
        <v>-4.9509404694537376297634275800</v>
      </c>
      <c r="T25" s="141"/>
      <c r="U25" s="2"/>
    </row>
    <row r="26" ht="15" customHeight="1">
      <c r="B26" s="2"/>
      <c r="C26" s="17"/>
      <c r="D26" s="17"/>
      <c r="E26" s="17"/>
      <c r="F26" s="165"/>
      <c r="G26" s="193"/>
      <c r="H26" s="193"/>
      <c r="I26" s="193"/>
      <c r="J26" s="193"/>
      <c r="K26" s="193"/>
      <c r="L26" s="193"/>
      <c r="M26" s="193"/>
      <c r="N26" s="193"/>
      <c r="O26" s="193"/>
      <c r="P26" s="193"/>
      <c r="Q26" s="193"/>
      <c r="R26" s="193"/>
      <c r="S26" s="193"/>
      <c r="T26" s="7"/>
      <c r="U26" s="2"/>
    </row>
    <row r="27" ht="20.1" customHeight="1">
      <c r="B27" s="111"/>
      <c r="C27" s="188"/>
      <c r="D27" s="189" t="s">
        <v>58</v>
      </c>
      <c r="E27" s="188"/>
      <c r="F27" s="169"/>
      <c r="G27" s="196">
        <v>-0.307946953635871630961060700</v>
      </c>
      <c r="H27" s="196">
        <v>3.5465274561060707667006372200</v>
      </c>
      <c r="I27" s="196">
        <v>-3.7224564690069850802112448700</v>
      </c>
      <c r="J27" s="196"/>
      <c r="K27" s="196"/>
      <c r="L27" s="196">
        <v>-1.6491714208803589545875536500</v>
      </c>
      <c r="M27" s="196">
        <v>0.5012258654574712396212613600</v>
      </c>
      <c r="N27" s="196">
        <v>-2.1396726933619931192641480300</v>
      </c>
      <c r="O27" s="196"/>
      <c r="P27" s="196"/>
      <c r="Q27" s="196">
        <v>-1.9520398013762315556109819400</v>
      </c>
      <c r="R27" s="196">
        <v>4.0655294345175762418432505200</v>
      </c>
      <c r="S27" s="196">
        <v>-5.7824807778237939446743400100</v>
      </c>
      <c r="T27" s="170"/>
      <c r="U27" s="2"/>
    </row>
    <row r="28" ht="15" customHeight="1">
      <c r="B28" s="2"/>
      <c r="C28" s="180"/>
      <c r="D28" s="16"/>
      <c r="E28" s="16"/>
      <c r="F28" s="137"/>
      <c r="G28" s="193"/>
      <c r="H28" s="193"/>
      <c r="I28" s="193"/>
      <c r="J28" s="193"/>
      <c r="K28" s="193"/>
      <c r="L28" s="193"/>
      <c r="M28" s="193"/>
      <c r="N28" s="193"/>
      <c r="O28" s="193"/>
      <c r="P28" s="193"/>
      <c r="Q28" s="193"/>
      <c r="R28" s="193"/>
      <c r="S28" s="193"/>
      <c r="T28" s="7"/>
      <c r="U28" s="2"/>
    </row>
    <row r="29" ht="20.1" customHeight="1">
      <c r="B29" s="2"/>
      <c r="C29" s="180"/>
      <c r="D29" s="16" t="s">
        <v>44</v>
      </c>
      <c r="E29" s="180"/>
      <c r="F29" s="137"/>
      <c r="G29" s="193">
        <v>-0.487092060387239336349522300</v>
      </c>
      <c r="H29" s="193">
        <v>3.3966322194620292176839367800</v>
      </c>
      <c r="I29" s="193">
        <v>-3.7561419520537493939679622100</v>
      </c>
      <c r="J29" s="193"/>
      <c r="K29" s="193"/>
      <c r="L29" s="193">
        <v>1.4307192909344184198899066800</v>
      </c>
      <c r="M29" s="193">
        <v>2.943008932440530983122025400</v>
      </c>
      <c r="N29" s="193">
        <v>-1.4690552152842337625716518400</v>
      </c>
      <c r="O29" s="193"/>
      <c r="P29" s="193"/>
      <c r="Q29" s="193">
        <v>0.9366583104551106031407906300</v>
      </c>
      <c r="R29" s="193">
        <v>6.4396043415708369105770989200</v>
      </c>
      <c r="S29" s="193">
        <v>-5.1700173681445043692655723800</v>
      </c>
      <c r="T29" s="141"/>
      <c r="U29" s="2"/>
    </row>
    <row r="30" ht="15" customHeight="1">
      <c r="B30" s="2"/>
      <c r="C30" s="180"/>
      <c r="D30" s="16"/>
      <c r="E30" s="180"/>
      <c r="F30" s="137"/>
      <c r="G30" s="193"/>
      <c r="H30" s="193"/>
      <c r="I30" s="193"/>
      <c r="J30" s="193"/>
      <c r="K30" s="193"/>
      <c r="L30" s="193"/>
      <c r="M30" s="193"/>
      <c r="N30" s="193"/>
      <c r="O30" s="193"/>
      <c r="P30" s="193"/>
      <c r="Q30" s="193"/>
      <c r="R30" s="193"/>
      <c r="S30" s="193"/>
      <c r="T30" s="7"/>
      <c r="U30" s="2"/>
    </row>
    <row r="31" ht="20.1" customHeight="1">
      <c r="B31" s="111"/>
      <c r="C31" s="188"/>
      <c r="D31" s="189" t="s">
        <v>45</v>
      </c>
      <c r="E31" s="188"/>
      <c r="F31" s="169"/>
      <c r="G31" s="196">
        <v>0.7141458131607088665892572900</v>
      </c>
      <c r="H31" s="196">
        <v>4.3461211756042670645481073800</v>
      </c>
      <c r="I31" s="196">
        <v>-3.4806999259936203745187556900</v>
      </c>
      <c r="J31" s="196"/>
      <c r="K31" s="196"/>
      <c r="L31" s="196">
        <v>-4.135515224912910255468430800</v>
      </c>
      <c r="M31" s="196">
        <v>-1.5744413931280540464516884800</v>
      </c>
      <c r="N31" s="196">
        <v>-2.6020414494222008839907971900</v>
      </c>
      <c r="O31" s="196"/>
      <c r="P31" s="196"/>
      <c r="Q31" s="196">
        <v>-3.4509030205954224526483721600</v>
      </c>
      <c r="R31" s="196">
        <v>2.7032526517266356721912302800</v>
      </c>
      <c r="S31" s="196">
        <v>-5.9921721205679495739038465500</v>
      </c>
      <c r="T31" s="170"/>
      <c r="U31" s="2"/>
    </row>
    <row r="32" ht="15" customHeight="1">
      <c r="B32" s="2"/>
      <c r="C32" s="16"/>
      <c r="D32" s="16"/>
      <c r="E32" s="16"/>
      <c r="F32" s="137"/>
      <c r="G32" s="191"/>
      <c r="H32" s="192"/>
      <c r="I32" s="187"/>
      <c r="J32" s="141"/>
      <c r="K32" s="137"/>
      <c r="L32" s="191"/>
      <c r="M32" s="192"/>
      <c r="N32" s="187"/>
      <c r="O32" s="141"/>
      <c r="P32" s="190"/>
      <c r="Q32" s="141"/>
      <c r="R32" s="192"/>
      <c r="S32" s="187"/>
      <c r="T32" s="141"/>
      <c r="U32" s="2"/>
    </row>
    <row r="33" ht="15" customHeight="1">
      <c r="B33" s="2"/>
      <c r="C33" s="16"/>
      <c r="D33" s="0"/>
      <c r="E33" s="0"/>
      <c r="F33" s="137"/>
      <c r="G33" s="138"/>
      <c r="H33" s="139"/>
      <c r="I33" s="140"/>
      <c r="J33" s="141"/>
      <c r="K33" s="137"/>
      <c r="L33" s="138"/>
      <c r="M33" s="139"/>
      <c r="N33" s="140"/>
      <c r="O33" s="141"/>
      <c r="P33" s="142"/>
      <c r="Q33" s="141"/>
      <c r="R33" s="139"/>
      <c r="S33" s="140"/>
      <c r="T33" s="141"/>
      <c r="U33" s="2"/>
    </row>
    <row r="34" ht="39.95" customHeight="1">
      <c r="B34" s="1034" t="s">
        <v>126</v>
      </c>
      <c r="C34" s="1034"/>
      <c r="D34" s="1034"/>
      <c r="E34" s="1034"/>
      <c r="F34" s="1034"/>
      <c r="G34" s="1034"/>
      <c r="H34" s="1034"/>
      <c r="I34" s="1034"/>
      <c r="J34" s="1034"/>
      <c r="K34" s="1034"/>
      <c r="L34" s="1034"/>
      <c r="M34" s="1034"/>
      <c r="N34" s="1034"/>
      <c r="O34" s="1034"/>
      <c r="P34" s="1034"/>
      <c r="Q34" s="1034"/>
      <c r="R34" s="1034"/>
      <c r="S34" s="1034"/>
      <c r="T34" s="1034"/>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drawing r:id="rId76"/>
</worksheet>
</file>

<file path=xl/worksheets/sheet7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167</v>
      </c>
      <c r="E1" s="12"/>
      <c r="F1" s="12"/>
      <c r="G1" s="12"/>
      <c r="H1" s="12"/>
      <c r="I1" s="12"/>
      <c r="J1" s="12"/>
      <c r="K1" s="12"/>
      <c r="L1" s="12"/>
      <c r="M1" s="12"/>
      <c r="N1" s="12"/>
      <c r="O1" s="12"/>
      <c r="Q1" s="231"/>
      <c r="R1" s="2"/>
      <c r="S1" s="2"/>
      <c r="T1" s="2"/>
      <c r="U1" s="2"/>
      <c r="V1" s="236"/>
    </row>
    <row r="2" ht="18" customHeight="1">
      <c r="B2" s="1078" t="s">
        <v>208</v>
      </c>
      <c r="C2" s="1078"/>
      <c r="D2" s="1078"/>
      <c r="E2" s="1078"/>
      <c r="F2" s="1078"/>
      <c r="G2" s="1078"/>
      <c r="H2" s="1078"/>
      <c r="I2" s="1078"/>
      <c r="J2" s="1078"/>
      <c r="K2" s="1078"/>
      <c r="L2" s="1078"/>
      <c r="M2" s="1078"/>
      <c r="N2" s="1078"/>
      <c r="O2" s="1078"/>
      <c r="P2" s="1078"/>
      <c r="Q2" s="1078"/>
      <c r="R2" s="1078"/>
      <c r="S2" s="1078"/>
      <c r="T2" s="1078"/>
      <c r="U2" s="2"/>
    </row>
    <row r="3" ht="18" customHeight="1">
      <c r="B3" s="1079" t="s">
        <v>209</v>
      </c>
      <c r="C3" s="1079"/>
      <c r="D3" s="1079"/>
      <c r="E3" s="1079"/>
      <c r="F3" s="1079"/>
      <c r="G3" s="1079"/>
      <c r="H3" s="1079"/>
      <c r="I3" s="1079"/>
      <c r="J3" s="1079"/>
      <c r="K3" s="1079"/>
      <c r="L3" s="1079"/>
      <c r="M3" s="1079"/>
      <c r="N3" s="1079"/>
      <c r="O3" s="1079"/>
      <c r="P3" s="1079"/>
      <c r="Q3" s="1079"/>
      <c r="R3" s="1079"/>
      <c r="S3" s="1079"/>
      <c r="T3" s="1079"/>
      <c r="U3" s="2"/>
    </row>
    <row r="4" ht="18" customHeight="1">
      <c r="B4" s="1079" t="s">
        <v>210</v>
      </c>
      <c r="C4" s="1079"/>
      <c r="D4" s="1079"/>
      <c r="E4" s="1079"/>
      <c r="F4" s="1079"/>
      <c r="G4" s="1079"/>
      <c r="H4" s="1079"/>
      <c r="I4" s="1079"/>
      <c r="J4" s="1079"/>
      <c r="K4" s="1079"/>
      <c r="L4" s="1079"/>
      <c r="M4" s="1079"/>
      <c r="N4" s="1079"/>
      <c r="O4" s="1079"/>
      <c r="P4" s="1079"/>
      <c r="Q4" s="1079"/>
      <c r="R4" s="1079"/>
      <c r="S4" s="1079"/>
      <c r="T4" s="1079"/>
      <c r="U4" s="2"/>
    </row>
    <row r="5" s="122" customFormat="1" ht="21" customHeight="1">
      <c r="B5" s="1080"/>
      <c r="C5" s="1080"/>
      <c r="D5" s="163"/>
      <c r="E5" s="942" t="s">
        <v>22</v>
      </c>
      <c r="F5" s="942"/>
      <c r="G5" s="942"/>
      <c r="H5" s="942"/>
      <c r="I5" s="942"/>
      <c r="J5" s="942"/>
      <c r="K5" s="942"/>
      <c r="L5" s="942"/>
      <c r="M5" s="537"/>
      <c r="N5" s="1081" t="s">
        <v>28</v>
      </c>
      <c r="O5" s="1081"/>
      <c r="P5" s="1081"/>
      <c r="Q5" s="1081"/>
      <c r="R5" s="1081"/>
      <c r="S5" s="1081"/>
      <c r="T5" s="1081"/>
      <c r="V5" s="236"/>
      <c r="W5" s="236"/>
      <c r="X5" s="236"/>
      <c r="Y5" s="236"/>
      <c r="Z5" s="236"/>
      <c r="AA5" s="236"/>
      <c r="AB5" s="236"/>
      <c r="AC5" s="236"/>
      <c r="AD5" s="236"/>
      <c r="AE5" s="236"/>
      <c r="AF5" s="236"/>
      <c r="AG5" s="236"/>
      <c r="AH5" s="236"/>
      <c r="AI5" s="236"/>
    </row>
    <row r="6" s="122" customFormat="1" ht="15.75" customHeight="1">
      <c r="B6" s="1082"/>
      <c r="C6" s="1082"/>
      <c r="D6" s="163"/>
      <c r="E6" s="940" t="s">
        <v>42</v>
      </c>
      <c r="F6" s="1083" t="s">
        <v>24</v>
      </c>
      <c r="G6" s="943" t="s">
        <v>37</v>
      </c>
      <c r="H6" s="1084" t="s">
        <v>24</v>
      </c>
      <c r="I6" s="943" t="s">
        <v>44</v>
      </c>
      <c r="J6" s="1083" t="s">
        <v>24</v>
      </c>
      <c r="K6" s="943" t="s">
        <v>45</v>
      </c>
      <c r="L6" s="1083" t="s">
        <v>24</v>
      </c>
      <c r="M6" s="538"/>
      <c r="N6" s="1083" t="s">
        <v>63</v>
      </c>
      <c r="O6" s="944" t="s">
        <v>64</v>
      </c>
      <c r="P6" s="944"/>
      <c r="Q6" s="944" t="s">
        <v>65</v>
      </c>
      <c r="R6" s="944"/>
      <c r="S6" s="944" t="s">
        <v>66</v>
      </c>
      <c r="T6" s="944"/>
      <c r="V6" s="236"/>
      <c r="W6" s="236"/>
      <c r="X6" s="236"/>
      <c r="Y6" s="236"/>
      <c r="Z6" s="236"/>
      <c r="AA6" s="236"/>
      <c r="AB6" s="236"/>
      <c r="AC6" s="236"/>
      <c r="AD6" s="236"/>
      <c r="AE6" s="236"/>
      <c r="AF6" s="236"/>
      <c r="AG6" s="236"/>
      <c r="AH6" s="236"/>
      <c r="AI6" s="236"/>
    </row>
    <row r="7" s="122" customFormat="1" ht="24" customHeight="1">
      <c r="B7" s="1085"/>
      <c r="C7" s="1085"/>
      <c r="D7" s="163"/>
      <c r="E7" s="940"/>
      <c r="F7" s="1083"/>
      <c r="G7" s="943"/>
      <c r="H7" s="1084"/>
      <c r="I7" s="943"/>
      <c r="J7" s="1083"/>
      <c r="K7" s="943"/>
      <c r="L7" s="1083"/>
      <c r="M7" s="539"/>
      <c r="N7" s="1083"/>
      <c r="O7" s="944"/>
      <c r="P7" s="944"/>
      <c r="Q7" s="944"/>
      <c r="R7" s="944"/>
      <c r="S7" s="944"/>
      <c r="T7" s="944"/>
      <c r="V7" s="236"/>
      <c r="W7" s="236"/>
      <c r="X7" s="236"/>
      <c r="Y7" s="236"/>
      <c r="Z7" s="236"/>
      <c r="AA7" s="236"/>
      <c r="AB7" s="236"/>
      <c r="AC7" s="236"/>
      <c r="AD7" s="236"/>
      <c r="AE7" s="236"/>
      <c r="AF7" s="236"/>
      <c r="AG7" s="236"/>
      <c r="AH7" s="236"/>
      <c r="AI7" s="236"/>
    </row>
    <row r="8" ht="20.1" customHeight="1">
      <c r="B8" s="1086" t="s">
        <v>213</v>
      </c>
      <c r="C8" s="1086"/>
      <c r="D8" s="345"/>
      <c r="E8" s="238">
        <v>80.98484848484848484848484848</v>
      </c>
      <c r="F8" s="239">
        <v>3.384912959425038067410200200</v>
      </c>
      <c r="G8" s="238">
        <v>88.25966850828729281767955801</v>
      </c>
      <c r="H8" s="239">
        <v>-0.307946953635871630961060700</v>
      </c>
      <c r="I8" s="238">
        <v>85.03996003996003996003996004</v>
      </c>
      <c r="J8" s="239">
        <v>-0.487092060387239336349522300</v>
      </c>
      <c r="K8" s="238">
        <v>83.10709838107098381070983811</v>
      </c>
      <c r="L8" s="239">
        <v>0.7141458131607088665892572900</v>
      </c>
      <c r="M8" s="540"/>
      <c r="N8" s="156">
        <v>0</v>
      </c>
      <c r="O8" s="156"/>
      <c r="P8" s="156">
        <v>-0.5494505494505494505494505500</v>
      </c>
      <c r="Q8" s="156"/>
      <c r="R8" s="156">
        <v>0</v>
      </c>
      <c r="S8" s="156"/>
      <c r="T8" s="243">
        <v>-0.2732240437158469945355191300</v>
      </c>
    </row>
    <row r="9" ht="20.1" customHeight="1">
      <c r="B9" s="1087" t="s">
        <v>214</v>
      </c>
      <c r="C9" s="1087"/>
      <c r="D9" s="345"/>
      <c r="E9" s="240">
        <v>70.543722809998198059052179060</v>
      </c>
      <c r="F9" s="241">
        <v>1.394293279469888650298969900</v>
      </c>
      <c r="G9" s="240">
        <v>78.400530485808735036427769050</v>
      </c>
      <c r="H9" s="241">
        <v>0.601590662063018656642868600</v>
      </c>
      <c r="I9" s="240">
        <v>74.213447813012331073425577290</v>
      </c>
      <c r="J9" s="241">
        <v>0.422849931570148242962838500</v>
      </c>
      <c r="K9" s="240">
        <v>74.147805598340880612940975180</v>
      </c>
      <c r="L9" s="241">
        <v>0.9708838625160982626280740500</v>
      </c>
      <c r="M9" s="540"/>
      <c r="N9" s="121">
        <v>-0.277242972660762418174817100</v>
      </c>
      <c r="O9" s="121"/>
      <c r="P9" s="121">
        <v>0.0784063536229803741211975700</v>
      </c>
      <c r="Q9" s="121"/>
      <c r="R9" s="121">
        <v>0.3107431234120193216075561300</v>
      </c>
      <c r="S9" s="121"/>
      <c r="T9" s="241">
        <v>-0.3103473336071384695463707900</v>
      </c>
    </row>
    <row r="10" ht="20.1" customHeight="1">
      <c r="B10" s="1088" t="s">
        <v>215</v>
      </c>
      <c r="C10" s="1088"/>
      <c r="D10" s="345"/>
      <c r="E10" s="242">
        <v>72.649340986394557823129251700</v>
      </c>
      <c r="F10" s="243">
        <v>4.3443925785962018211238184200</v>
      </c>
      <c r="G10" s="242">
        <v>80.16770745639955290655997117</v>
      </c>
      <c r="H10" s="243">
        <v>1.6795478666083355652922839300</v>
      </c>
      <c r="I10" s="242">
        <v>75.369367377767952544121439890</v>
      </c>
      <c r="J10" s="243">
        <v>0.4826304124637697377334165900</v>
      </c>
      <c r="K10" s="242">
        <v>75.683161142801839106646216920</v>
      </c>
      <c r="L10" s="243">
        <v>2.3499567186892386204959193200</v>
      </c>
      <c r="M10" s="540"/>
      <c r="N10" s="156">
        <v>-1.0647527407524252701317138600</v>
      </c>
      <c r="O10" s="156"/>
      <c r="P10" s="156">
        <v>1.6330076518072827541249050400</v>
      </c>
      <c r="Q10" s="156"/>
      <c r="R10" s="156">
        <v>1.3389566037391795895082069700</v>
      </c>
      <c r="S10" s="156"/>
      <c r="T10" s="243">
        <v>1.8848755756548448813349302200</v>
      </c>
    </row>
    <row r="11" ht="20.1" customHeight="1">
      <c r="B11" s="1087" t="s">
        <v>216</v>
      </c>
      <c r="C11" s="1087"/>
      <c r="D11" s="345"/>
      <c r="E11" s="240">
        <v>68.903330497526546302423039350</v>
      </c>
      <c r="F11" s="241">
        <v>1.4601721010054165249412342500</v>
      </c>
      <c r="G11" s="240">
        <v>77.335068902313087072922143770</v>
      </c>
      <c r="H11" s="241">
        <v>0.4120201978872078891713201800</v>
      </c>
      <c r="I11" s="240">
        <v>73.709057230684959151828347590</v>
      </c>
      <c r="J11" s="241">
        <v>0.1304854951565606519114291600</v>
      </c>
      <c r="K11" s="240">
        <v>72.182290426686996993043232630</v>
      </c>
      <c r="L11" s="241">
        <v>1.0968257499096623219425352200</v>
      </c>
      <c r="M11" s="540"/>
      <c r="N11" s="121">
        <v>2.0498721844402643129310760600</v>
      </c>
      <c r="O11" s="121"/>
      <c r="P11" s="121">
        <v>0.9784434190122251129013434100</v>
      </c>
      <c r="Q11" s="121"/>
      <c r="R11" s="121">
        <v>2.3926121004845422994041268300</v>
      </c>
      <c r="S11" s="121"/>
      <c r="T11" s="241">
        <v>-0.5641044653346278347147269600</v>
      </c>
    </row>
    <row r="12" ht="20.1" customHeight="1">
      <c r="B12" s="1088" t="s">
        <v>217</v>
      </c>
      <c r="C12" s="1088"/>
      <c r="D12" s="345"/>
      <c r="E12" s="242">
        <v>67.293900475236636424335257850</v>
      </c>
      <c r="F12" s="243">
        <v>-2.6967717517351467904158559300</v>
      </c>
      <c r="G12" s="242">
        <v>77.737379115321613047226252670</v>
      </c>
      <c r="H12" s="243">
        <v>-0.7385213960115185308062580600</v>
      </c>
      <c r="I12" s="242">
        <v>73.202254380660103936383505680</v>
      </c>
      <c r="J12" s="243">
        <v>-2.9399571632982911605066318600</v>
      </c>
      <c r="K12" s="242">
        <v>72.487535829903455562177858690</v>
      </c>
      <c r="L12" s="243">
        <v>-0.7953662701175314469505247600</v>
      </c>
      <c r="M12" s="540"/>
      <c r="N12" s="156">
        <v>0.6284088214370405501541380100</v>
      </c>
      <c r="O12" s="156"/>
      <c r="P12" s="156">
        <v>3.474470783287510329665760600</v>
      </c>
      <c r="Q12" s="156"/>
      <c r="R12" s="156">
        <v>4.6546836367169701816100013500</v>
      </c>
      <c r="S12" s="156"/>
      <c r="T12" s="243">
        <v>4.0931637717242551509847310700</v>
      </c>
    </row>
    <row r="13" ht="20.1" customHeight="1">
      <c r="B13" s="1089" t="s">
        <v>74</v>
      </c>
      <c r="C13" s="1089"/>
      <c r="D13" s="345"/>
      <c r="E13" s="244">
        <v>80.52597612132946111648919006</v>
      </c>
      <c r="F13" s="245">
        <v>6.2050474528598598451777848400</v>
      </c>
      <c r="G13" s="244">
        <v>86.41889470672236098260176603</v>
      </c>
      <c r="H13" s="245">
        <v>3.5465274561060707667006372200</v>
      </c>
      <c r="I13" s="244">
        <v>83.87179132580875078454942927</v>
      </c>
      <c r="J13" s="245">
        <v>3.3966322194620292176839367800</v>
      </c>
      <c r="K13" s="244">
        <v>79.068811415083080268933416440</v>
      </c>
      <c r="L13" s="245">
        <v>4.3461211756042670645481073800</v>
      </c>
      <c r="M13" s="540"/>
      <c r="N13" s="250">
        <v>0</v>
      </c>
      <c r="O13" s="250"/>
      <c r="P13" s="250">
        <v>0</v>
      </c>
      <c r="Q13" s="250"/>
      <c r="R13" s="250">
        <v>0</v>
      </c>
      <c r="S13" s="250"/>
      <c r="T13" s="245">
        <v>0</v>
      </c>
    </row>
    <row r="14" ht="9.95" customHeight="1">
      <c r="B14" s="4"/>
      <c r="C14" s="4"/>
      <c r="D14" s="4"/>
      <c r="E14" s="535"/>
      <c r="F14" s="535"/>
      <c r="G14" s="535"/>
      <c r="H14" s="535"/>
      <c r="I14" s="535"/>
      <c r="J14" s="535"/>
      <c r="K14" s="535"/>
      <c r="L14" s="535"/>
      <c r="M14" s="156"/>
      <c r="N14" s="156"/>
      <c r="O14" s="156"/>
      <c r="P14" s="156"/>
      <c r="Q14" s="156"/>
      <c r="R14" s="156"/>
      <c r="S14" s="156"/>
      <c r="T14" s="156"/>
    </row>
    <row r="15" ht="21" customHeight="1">
      <c r="B15" s="4"/>
      <c r="C15" s="4"/>
      <c r="D15" s="4"/>
      <c r="E15" s="1090" t="s">
        <v>90</v>
      </c>
      <c r="F15" s="1090"/>
      <c r="G15" s="1090"/>
      <c r="H15" s="1090"/>
      <c r="I15" s="1090"/>
      <c r="J15" s="1090"/>
      <c r="K15" s="1090"/>
      <c r="L15" s="1090"/>
      <c r="M15" s="537"/>
      <c r="N15" s="1090" t="s">
        <v>29</v>
      </c>
      <c r="O15" s="1090"/>
      <c r="P15" s="1090"/>
      <c r="Q15" s="1090"/>
      <c r="R15" s="1090"/>
      <c r="S15" s="1090"/>
      <c r="T15" s="1090"/>
    </row>
    <row r="16" ht="22.5" customHeight="1">
      <c r="B16" s="4"/>
      <c r="C16" s="4"/>
      <c r="D16" s="4"/>
      <c r="E16" s="940" t="s">
        <v>42</v>
      </c>
      <c r="F16" s="1083" t="s">
        <v>24</v>
      </c>
      <c r="G16" s="940" t="s">
        <v>37</v>
      </c>
      <c r="H16" s="1083" t="s">
        <v>24</v>
      </c>
      <c r="I16" s="940" t="s">
        <v>44</v>
      </c>
      <c r="J16" s="1083" t="s">
        <v>24</v>
      </c>
      <c r="K16" s="940" t="s">
        <v>45</v>
      </c>
      <c r="L16" s="1083" t="s">
        <v>24</v>
      </c>
      <c r="M16" s="538"/>
      <c r="N16" s="944" t="s">
        <v>63</v>
      </c>
      <c r="O16" s="944" t="s">
        <v>64</v>
      </c>
      <c r="P16" s="944"/>
      <c r="Q16" s="944" t="s">
        <v>65</v>
      </c>
      <c r="R16" s="944"/>
      <c r="S16" s="944" t="s">
        <v>66</v>
      </c>
      <c r="T16" s="944"/>
    </row>
    <row r="17" ht="18.75" customHeight="1">
      <c r="B17" s="4"/>
      <c r="C17" s="4"/>
      <c r="D17" s="4"/>
      <c r="E17" s="940"/>
      <c r="F17" s="1083"/>
      <c r="G17" s="940"/>
      <c r="H17" s="1083"/>
      <c r="I17" s="940"/>
      <c r="J17" s="1083"/>
      <c r="K17" s="940"/>
      <c r="L17" s="1083"/>
      <c r="M17" s="539"/>
      <c r="N17" s="944"/>
      <c r="O17" s="944"/>
      <c r="P17" s="944"/>
      <c r="Q17" s="944"/>
      <c r="R17" s="944"/>
      <c r="S17" s="944"/>
      <c r="T17" s="944"/>
    </row>
    <row r="18" ht="20.1" customHeight="1">
      <c r="B18" s="1091" t="s">
        <v>213</v>
      </c>
      <c r="C18" s="1091"/>
      <c r="D18" s="345"/>
      <c r="E18" s="253">
        <v>175.03960087309011537262238853</v>
      </c>
      <c r="F18" s="239">
        <v>2.2584314520629771120486298800</v>
      </c>
      <c r="G18" s="253">
        <v>265.70242329397258974723763456</v>
      </c>
      <c r="H18" s="239">
        <v>-1.6491714208803589545875536500</v>
      </c>
      <c r="I18" s="253">
        <v>223.53206069505628976994615761</v>
      </c>
      <c r="J18" s="239">
        <v>1.4307192909344184198899066800</v>
      </c>
      <c r="K18" s="253">
        <v>233.59279238780250243500412078</v>
      </c>
      <c r="L18" s="239">
        <v>-4.135515224912910255468430800</v>
      </c>
      <c r="M18" s="540"/>
      <c r="N18" s="238">
        <v>3.3849129593810444874274661500</v>
      </c>
      <c r="O18" s="246"/>
      <c r="P18" s="246">
        <v>-0.8557054868588085946682965800</v>
      </c>
      <c r="Q18" s="246"/>
      <c r="R18" s="246">
        <v>-0.487092060399415489527520700</v>
      </c>
      <c r="S18" s="246"/>
      <c r="T18" s="239">
        <v>0.4389705513470124918476897600</v>
      </c>
    </row>
    <row r="19" ht="20.1" customHeight="1">
      <c r="B19" s="1092" t="s">
        <v>214</v>
      </c>
      <c r="C19" s="1092"/>
      <c r="D19" s="345"/>
      <c r="E19" s="254">
        <v>176.93856106308102577276701459</v>
      </c>
      <c r="F19" s="241">
        <v>3.0985710036564580518225085500</v>
      </c>
      <c r="G19" s="254">
        <v>251.00917483543361657718102707</v>
      </c>
      <c r="H19" s="241">
        <v>2.4620341366813485431405263600</v>
      </c>
      <c r="I19" s="254">
        <v>217.87880158930871608973028881</v>
      </c>
      <c r="J19" s="241">
        <v>3.1772520660626405223678548800</v>
      </c>
      <c r="K19" s="254">
        <v>224.88409467496726447919224682</v>
      </c>
      <c r="L19" s="241">
        <v>2.2291973893747805163116079500</v>
      </c>
      <c r="M19" s="540"/>
      <c r="N19" s="240">
        <v>1.1131847266775439241219049800</v>
      </c>
      <c r="O19" s="121"/>
      <c r="P19" s="121">
        <v>0.6804687009593265274516997200</v>
      </c>
      <c r="Q19" s="121"/>
      <c r="R19" s="121">
        <v>0.7349070320650530850041552300</v>
      </c>
      <c r="S19" s="121"/>
      <c r="T19" s="241">
        <v>0.6575234167233806450907560300</v>
      </c>
    </row>
    <row r="20" ht="20.1" customHeight="1">
      <c r="B20" s="1093" t="s">
        <v>215</v>
      </c>
      <c r="C20" s="1093"/>
      <c r="D20" s="345"/>
      <c r="E20" s="255">
        <v>178.88192132965610071910868563</v>
      </c>
      <c r="F20" s="243">
        <v>1.7958199857071405359635061200</v>
      </c>
      <c r="G20" s="255">
        <v>248.4772025213612942113325759</v>
      </c>
      <c r="H20" s="243">
        <v>1.4534339201618460761024892700</v>
      </c>
      <c r="I20" s="255">
        <v>213.32158984456712535584032887</v>
      </c>
      <c r="J20" s="243">
        <v>1.2991030342663952589574411600</v>
      </c>
      <c r="K20" s="255">
        <v>222.7647394825893111007941688</v>
      </c>
      <c r="L20" s="243">
        <v>1.1862926450368412423883550900</v>
      </c>
      <c r="M20" s="540"/>
      <c r="N20" s="242">
        <v>3.2333827988415253501289501600</v>
      </c>
      <c r="O20" s="156"/>
      <c r="P20" s="156">
        <v>3.3399826635846372688477951600</v>
      </c>
      <c r="Q20" s="156"/>
      <c r="R20" s="156">
        <v>1.8280492280193605821603418300</v>
      </c>
      <c r="S20" s="156"/>
      <c r="T20" s="243">
        <v>4.2791260546248311744710428400</v>
      </c>
    </row>
    <row r="21" ht="20.1" customHeight="1">
      <c r="B21" s="1092" t="s">
        <v>216</v>
      </c>
      <c r="C21" s="1092"/>
      <c r="D21" s="345"/>
      <c r="E21" s="254">
        <v>219.07384356486805973152367517</v>
      </c>
      <c r="F21" s="241">
        <v>2.7767513053422057062920321100</v>
      </c>
      <c r="G21" s="254">
        <v>321.96339191739054820643918641</v>
      </c>
      <c r="H21" s="241">
        <v>1.8860175981562260344492967200</v>
      </c>
      <c r="I21" s="254">
        <v>280.12451458073744614989188072</v>
      </c>
      <c r="J21" s="241">
        <v>2.983156015813894919695420200</v>
      </c>
      <c r="K21" s="254">
        <v>288.57449839158170219726296276</v>
      </c>
      <c r="L21" s="241">
        <v>1.469440840345124945763550900</v>
      </c>
      <c r="M21" s="540"/>
      <c r="N21" s="240">
        <v>3.53997594719746972093067300</v>
      </c>
      <c r="O21" s="121"/>
      <c r="P21" s="121">
        <v>1.3944950013862387266174144200</v>
      </c>
      <c r="Q21" s="121"/>
      <c r="R21" s="121">
        <v>2.5262196073825935892827220600</v>
      </c>
      <c r="S21" s="121"/>
      <c r="T21" s="241">
        <v>0.5265340415327974960605503300</v>
      </c>
    </row>
    <row r="22" ht="20.1" customHeight="1">
      <c r="B22" s="1093" t="s">
        <v>217</v>
      </c>
      <c r="C22" s="1093"/>
      <c r="D22" s="345"/>
      <c r="E22" s="255">
        <v>287.52676888237800358358089613</v>
      </c>
      <c r="F22" s="243">
        <v>5.2921240402055670385249807200</v>
      </c>
      <c r="G22" s="255">
        <v>432.6181220076371883258275236</v>
      </c>
      <c r="H22" s="243">
        <v>1.9621052392963887342735201400</v>
      </c>
      <c r="I22" s="255">
        <v>377.16657211269005777790727769</v>
      </c>
      <c r="J22" s="243">
        <v>4.1619577347214785442220476900</v>
      </c>
      <c r="K22" s="255">
        <v>383.59653271954662019621304854</v>
      </c>
      <c r="L22" s="243">
        <v>0.542625007635215101493185200</v>
      </c>
      <c r="M22" s="540"/>
      <c r="N22" s="242">
        <v>-2.0853096819174105356999988600</v>
      </c>
      <c r="O22" s="156"/>
      <c r="P22" s="156">
        <v>2.7102896771410558449746159200</v>
      </c>
      <c r="Q22" s="156"/>
      <c r="R22" s="156">
        <v>1.5778807684138320061005122100</v>
      </c>
      <c r="S22" s="156"/>
      <c r="T22" s="243">
        <v>3.2652418575772077987927135800</v>
      </c>
    </row>
    <row r="23" ht="20.1" customHeight="1">
      <c r="B23" s="1094" t="s">
        <v>74</v>
      </c>
      <c r="C23" s="1094"/>
      <c r="D23" s="345"/>
      <c r="E23" s="256">
        <v>191.18590102183931075936686035</v>
      </c>
      <c r="F23" s="245">
        <v>4.7281210519811651492261397600</v>
      </c>
      <c r="G23" s="256">
        <v>272.49451008788216363411313281</v>
      </c>
      <c r="H23" s="245">
        <v>0.5012258654574712396212613600</v>
      </c>
      <c r="I23" s="256">
        <v>231.23217079729078409984526014</v>
      </c>
      <c r="J23" s="245">
        <v>2.943008932440530983122025400</v>
      </c>
      <c r="K23" s="256">
        <v>240.3397571153039832285115304</v>
      </c>
      <c r="L23" s="245">
        <v>-1.5744413931280540464516884800</v>
      </c>
      <c r="M23" s="540"/>
      <c r="N23" s="244">
        <v>6.2050474528663233604289909400</v>
      </c>
      <c r="O23" s="250"/>
      <c r="P23" s="250">
        <v>3.5465274561313406492149918700</v>
      </c>
      <c r="Q23" s="250"/>
      <c r="R23" s="250">
        <v>3.3966322194827676651104233300</v>
      </c>
      <c r="S23" s="250"/>
      <c r="T23" s="245">
        <v>4.346121175650155096696960100</v>
      </c>
    </row>
    <row r="24" ht="9.95" customHeight="1">
      <c r="B24" s="4"/>
      <c r="C24" s="4"/>
      <c r="D24" s="4"/>
      <c r="E24" s="535"/>
      <c r="F24" s="535"/>
      <c r="G24" s="535"/>
      <c r="H24" s="535"/>
      <c r="I24" s="535"/>
      <c r="J24" s="535"/>
      <c r="K24" s="535"/>
      <c r="L24" s="535"/>
      <c r="M24" s="156"/>
      <c r="N24" s="156"/>
      <c r="O24" s="156"/>
      <c r="P24" s="156"/>
      <c r="Q24" s="156"/>
      <c r="R24" s="156"/>
      <c r="S24" s="156"/>
      <c r="T24" s="156"/>
    </row>
    <row r="25" s="122" customFormat="1" ht="21" customHeight="1">
      <c r="B25" s="1080"/>
      <c r="C25" s="1080"/>
      <c r="D25" s="163"/>
      <c r="E25" s="1090" t="s">
        <v>10</v>
      </c>
      <c r="F25" s="1090"/>
      <c r="G25" s="1090"/>
      <c r="H25" s="1090"/>
      <c r="I25" s="1090"/>
      <c r="J25" s="1090"/>
      <c r="K25" s="1090"/>
      <c r="L25" s="1090"/>
      <c r="M25" s="537"/>
      <c r="N25" s="1090" t="s">
        <v>38</v>
      </c>
      <c r="O25" s="1090"/>
      <c r="P25" s="1090"/>
      <c r="Q25" s="1090"/>
      <c r="R25" s="1090"/>
      <c r="S25" s="1090"/>
      <c r="T25" s="1090"/>
      <c r="V25" s="236"/>
      <c r="W25" s="236"/>
      <c r="X25" s="236"/>
      <c r="Y25" s="236"/>
      <c r="Z25" s="236"/>
      <c r="AA25" s="236"/>
      <c r="AB25" s="236"/>
      <c r="AC25" s="236"/>
      <c r="AD25" s="236"/>
      <c r="AE25" s="236"/>
      <c r="AF25" s="236"/>
      <c r="AG25" s="236"/>
      <c r="AH25" s="236"/>
      <c r="AI25" s="236"/>
    </row>
    <row r="26" s="122" customFormat="1" ht="19.5" customHeight="1">
      <c r="B26" s="163"/>
      <c r="C26" s="163"/>
      <c r="D26" s="163"/>
      <c r="E26" s="940" t="s">
        <v>42</v>
      </c>
      <c r="F26" s="1083" t="s">
        <v>24</v>
      </c>
      <c r="G26" s="940" t="s">
        <v>37</v>
      </c>
      <c r="H26" s="1083" t="s">
        <v>24</v>
      </c>
      <c r="I26" s="940" t="s">
        <v>44</v>
      </c>
      <c r="J26" s="1083" t="s">
        <v>24</v>
      </c>
      <c r="K26" s="940" t="s">
        <v>45</v>
      </c>
      <c r="L26" s="1083" t="s">
        <v>24</v>
      </c>
      <c r="M26" s="538"/>
      <c r="N26" s="944" t="s">
        <v>63</v>
      </c>
      <c r="O26" s="944" t="s">
        <v>64</v>
      </c>
      <c r="P26" s="944"/>
      <c r="Q26" s="944" t="s">
        <v>65</v>
      </c>
      <c r="R26" s="944"/>
      <c r="S26" s="944" t="s">
        <v>66</v>
      </c>
      <c r="T26" s="944"/>
      <c r="V26" s="236"/>
      <c r="W26" s="236"/>
      <c r="X26" s="236"/>
      <c r="Y26" s="236"/>
      <c r="Z26" s="236"/>
      <c r="AA26" s="236"/>
      <c r="AB26" s="236"/>
      <c r="AC26" s="236"/>
      <c r="AD26" s="236"/>
      <c r="AE26" s="236"/>
      <c r="AF26" s="236"/>
      <c r="AG26" s="236"/>
      <c r="AH26" s="236"/>
      <c r="AI26" s="236"/>
    </row>
    <row r="27" s="122" customFormat="1" ht="25.5" customHeight="1">
      <c r="B27" s="163"/>
      <c r="C27" s="163"/>
      <c r="D27" s="163"/>
      <c r="E27" s="940"/>
      <c r="F27" s="1083"/>
      <c r="G27" s="940"/>
      <c r="H27" s="1083"/>
      <c r="I27" s="940"/>
      <c r="J27" s="1083"/>
      <c r="K27" s="940"/>
      <c r="L27" s="1083"/>
      <c r="M27" s="539"/>
      <c r="N27" s="944"/>
      <c r="O27" s="944"/>
      <c r="P27" s="944"/>
      <c r="Q27" s="944"/>
      <c r="R27" s="944"/>
      <c r="S27" s="944"/>
      <c r="T27" s="944"/>
      <c r="V27" s="236"/>
      <c r="W27" s="236"/>
      <c r="X27" s="236"/>
      <c r="Y27" s="236"/>
      <c r="Z27" s="236"/>
      <c r="AA27" s="236"/>
      <c r="AB27" s="236"/>
      <c r="AC27" s="236"/>
      <c r="AD27" s="236"/>
      <c r="AE27" s="236"/>
      <c r="AF27" s="236"/>
      <c r="AG27" s="236"/>
      <c r="AH27" s="236"/>
      <c r="AI27" s="236"/>
    </row>
    <row r="28" ht="20.1" customHeight="1">
      <c r="B28" s="1091" t="s">
        <v>213</v>
      </c>
      <c r="C28" s="1091"/>
      <c r="D28" s="345"/>
      <c r="E28" s="253">
        <v>141.75555555555555555555555556</v>
      </c>
      <c r="F28" s="239">
        <v>5.7197903503226135601375834500</v>
      </c>
      <c r="G28" s="253">
        <v>234.5080780177465260338188515</v>
      </c>
      <c r="H28" s="239">
        <v>-1.9520398013762315556109819400</v>
      </c>
      <c r="I28" s="253">
        <v>190.09157509157509157509157509</v>
      </c>
      <c r="J28" s="239">
        <v>0.9366583104551106031407906300</v>
      </c>
      <c r="K28" s="253">
        <v>194.13219178082191780821917808</v>
      </c>
      <c r="L28" s="239">
        <v>-3.4509030205954224526483721600</v>
      </c>
      <c r="M28" s="540"/>
      <c r="N28" s="238">
        <v>5.7197903503138530380559756400</v>
      </c>
      <c r="O28" s="246"/>
      <c r="P28" s="246">
        <v>-2.4907648574152460517655281400</v>
      </c>
      <c r="Q28" s="246"/>
      <c r="R28" s="246">
        <v>0.9366583104609646135096461800</v>
      </c>
      <c r="S28" s="246"/>
      <c r="T28" s="239">
        <v>-3.714698367534336544459931600</v>
      </c>
    </row>
    <row r="29" ht="20.1" customHeight="1">
      <c r="B29" s="1092" t="s">
        <v>214</v>
      </c>
      <c r="C29" s="1092"/>
      <c r="D29" s="345"/>
      <c r="E29" s="254">
        <v>124.81904806033927973846114243</v>
      </c>
      <c r="F29" s="241">
        <v>4.536067450371641576866527900</v>
      </c>
      <c r="G29" s="254">
        <v>196.79252463903108028807321124</v>
      </c>
      <c r="H29" s="241">
        <v>3.0784361661330714416709455400</v>
      </c>
      <c r="I29" s="254">
        <v>161.69537071309830539771506764</v>
      </c>
      <c r="J29" s="241">
        <v>3.6135370058352100799690910400</v>
      </c>
      <c r="K29" s="254">
        <v>166.74662134118358351650476567</v>
      </c>
      <c r="L29" s="241">
        <v>3.2217241695795533208206235600</v>
      </c>
      <c r="M29" s="540"/>
      <c r="N29" s="240">
        <v>4.2462485494873219474228812100</v>
      </c>
      <c r="O29" s="121"/>
      <c r="P29" s="121">
        <v>3.1592562093293997771950098400</v>
      </c>
      <c r="Q29" s="121"/>
      <c r="R29" s="121">
        <v>3.9355089469863849127058318200</v>
      </c>
      <c r="S29" s="121"/>
      <c r="T29" s="241">
        <v>2.9013783009227290113062097500</v>
      </c>
    </row>
    <row r="30" ht="20.1" customHeight="1">
      <c r="B30" s="1093" t="s">
        <v>215</v>
      </c>
      <c r="C30" s="1093"/>
      <c r="D30" s="345"/>
      <c r="E30" s="255">
        <v>129.95653698979591836734693878</v>
      </c>
      <c r="F30" s="243">
        <v>6.2182300345090878442807568500</v>
      </c>
      <c r="G30" s="255">
        <v>199.19847681317037613696956687</v>
      </c>
      <c r="H30" s="243">
        <v>3.1573929051924553722234175800</v>
      </c>
      <c r="I30" s="255">
        <v>160.77913274604712856118307238</v>
      </c>
      <c r="J30" s="243">
        <v>1.7880033130876516533486200500</v>
      </c>
      <c r="K30" s="255">
        <v>168.59539675195078015147171141</v>
      </c>
      <c r="L30" s="243">
        <v>3.5641267274823828426400392300</v>
      </c>
      <c r="M30" s="540"/>
      <c r="N30" s="242">
        <v>5.0872685190756131195358331100</v>
      </c>
      <c r="O30" s="156"/>
      <c r="P30" s="156">
        <v>4.8419610247273117430172792800</v>
      </c>
      <c r="Q30" s="156"/>
      <c r="R30" s="156">
        <v>3.1509005052937631297393279500</v>
      </c>
      <c r="S30" s="156"/>
      <c r="T30" s="243">
        <v>5.5161816573339219028898343400</v>
      </c>
    </row>
    <row r="31" ht="20.1" customHeight="1">
      <c r="B31" s="1092" t="s">
        <v>216</v>
      </c>
      <c r="C31" s="1092"/>
      <c r="D31" s="345"/>
      <c r="E31" s="254">
        <v>150.94917446513533100166997511</v>
      </c>
      <c r="F31" s="241">
        <v>4.2774687542549436071572991100</v>
      </c>
      <c r="G31" s="254">
        <v>248.99061097953830513552027809</v>
      </c>
      <c r="H31" s="241">
        <v>2.3058085694674904467895515600</v>
      </c>
      <c r="I31" s="254">
        <v>206.47713876949419723779973302</v>
      </c>
      <c r="J31" s="241">
        <v>3.1175340968308642786644480800</v>
      </c>
      <c r="K31" s="254">
        <v>208.29968252636670114174253319</v>
      </c>
      <c r="L31" s="241">
        <v>2.5823837957441527666997472500</v>
      </c>
      <c r="M31" s="540"/>
      <c r="N31" s="240">
        <v>6.4150235808840154011744588900</v>
      </c>
      <c r="O31" s="121"/>
      <c r="P31" s="121">
        <v>3.3068130206896681043762730100</v>
      </c>
      <c r="Q31" s="121"/>
      <c r="R31" s="121">
        <v>5.5847366953788906405049321200</v>
      </c>
      <c r="S31" s="121"/>
      <c r="T31" s="241">
        <v>2.0037119881275738802362622300</v>
      </c>
    </row>
    <row r="32" ht="20.1" customHeight="1">
      <c r="B32" s="1093" t="s">
        <v>217</v>
      </c>
      <c r="C32" s="1093"/>
      <c r="D32" s="345"/>
      <c r="E32" s="255">
        <v>193.48797769137111660971682181</v>
      </c>
      <c r="F32" s="243">
        <v>2.452635782269378719203365200</v>
      </c>
      <c r="G32" s="255">
        <v>336.30598962666152666761681307</v>
      </c>
      <c r="H32" s="243">
        <v>1.2090932762650017821988042300</v>
      </c>
      <c r="I32" s="255">
        <v>276.09443355674720774479126151</v>
      </c>
      <c r="J32" s="243">
        <v>1.0996407968775559179597327200</v>
      </c>
      <c r="K32" s="255">
        <v>278.05967409734868861226463722</v>
      </c>
      <c r="L32" s="243">
        <v>-0.2570571187687922815885001800</v>
      </c>
      <c r="M32" s="540"/>
      <c r="N32" s="242">
        <v>3.0964571833055306473550169700</v>
      </c>
      <c r="O32" s="156"/>
      <c r="P32" s="156">
        <v>4.7255736521889152970171680200</v>
      </c>
      <c r="Q32" s="156"/>
      <c r="R32" s="156">
        <v>5.8055092338241378974769013500</v>
      </c>
      <c r="S32" s="156"/>
      <c r="T32" s="243">
        <v>3.8255848840984261437888015800</v>
      </c>
    </row>
    <row r="33" ht="20.1" customHeight="1">
      <c r="B33" s="1094" t="s">
        <v>74</v>
      </c>
      <c r="C33" s="1094"/>
      <c r="D33" s="345"/>
      <c r="E33" s="256">
        <v>153.95431300419490158115521136</v>
      </c>
      <c r="F33" s="245">
        <v>11.226550659756230681314416100</v>
      </c>
      <c r="G33" s="256">
        <v>235.4867437544458290769255454</v>
      </c>
      <c r="H33" s="245">
        <v>4.0655294345175762418432505200</v>
      </c>
      <c r="I33" s="256">
        <v>193.93856376924140718913226174</v>
      </c>
      <c r="J33" s="245">
        <v>6.4396043415708369105770989200</v>
      </c>
      <c r="K33" s="256">
        <v>190.03378930896842551950032489</v>
      </c>
      <c r="L33" s="245">
        <v>2.7032526517266356721912302800</v>
      </c>
      <c r="M33" s="540"/>
      <c r="N33" s="244">
        <v>11.226550659776922868255298150</v>
      </c>
      <c r="O33" s="250"/>
      <c r="P33" s="250">
        <v>4.065529434513259358611535600</v>
      </c>
      <c r="Q33" s="250"/>
      <c r="R33" s="250">
        <v>6.4396043415530002817786454600</v>
      </c>
      <c r="S33" s="250"/>
      <c r="T33" s="245">
        <v>2.7032526517532066264316506300</v>
      </c>
    </row>
    <row r="34" ht="9.95" customHeight="1">
      <c r="B34" s="4"/>
      <c r="C34" s="4"/>
      <c r="D34" s="4"/>
      <c r="E34" s="535"/>
      <c r="F34" s="535"/>
      <c r="G34" s="535"/>
      <c r="H34" s="535"/>
      <c r="I34" s="535"/>
      <c r="J34" s="535"/>
      <c r="K34" s="535"/>
      <c r="L34" s="535"/>
      <c r="M34" s="156"/>
      <c r="N34" s="156"/>
      <c r="O34" s="156"/>
      <c r="P34" s="156"/>
      <c r="Q34" s="156"/>
      <c r="R34" s="156"/>
      <c r="S34" s="156"/>
      <c r="T34" s="156"/>
    </row>
    <row r="35" ht="21" customHeight="1">
      <c r="B35" s="9"/>
      <c r="C35" s="155"/>
      <c r="D35" s="252"/>
      <c r="E35" s="1090" t="s">
        <v>30</v>
      </c>
      <c r="F35" s="1090"/>
      <c r="G35" s="1090"/>
      <c r="H35" s="1090"/>
      <c r="I35" s="1090"/>
      <c r="J35" s="1090"/>
      <c r="K35" s="1090"/>
      <c r="L35" s="1090"/>
      <c r="M35" s="113"/>
      <c r="N35" s="1095" t="s">
        <v>56</v>
      </c>
      <c r="O35" s="1095"/>
      <c r="P35" s="1095"/>
      <c r="Q35" s="1095"/>
      <c r="R35" s="1095"/>
      <c r="S35" s="1095"/>
      <c r="T35" s="1095"/>
      <c r="U35" s="123"/>
    </row>
    <row r="36" ht="24.95" customHeight="1">
      <c r="B36" s="9"/>
      <c r="C36" s="155"/>
      <c r="D36" s="252"/>
      <c r="E36" s="257" t="s">
        <v>31</v>
      </c>
      <c r="F36" s="257"/>
      <c r="G36" s="257"/>
      <c r="H36" s="257" t="s">
        <v>32</v>
      </c>
      <c r="I36" s="257"/>
      <c r="J36" s="257"/>
      <c r="K36" s="257" t="s">
        <v>36</v>
      </c>
      <c r="L36" s="257"/>
      <c r="M36" s="113"/>
      <c r="N36" s="1096"/>
      <c r="O36" s="1096"/>
      <c r="P36" s="1096"/>
      <c r="Q36" s="1096"/>
      <c r="R36" s="1096"/>
      <c r="S36" s="1096"/>
      <c r="T36" s="1096"/>
      <c r="U36" s="123"/>
    </row>
    <row r="37" ht="24.95" customHeight="1">
      <c r="B37" s="9"/>
      <c r="C37" s="155"/>
      <c r="D37" s="252"/>
      <c r="E37" s="257" t="s">
        <v>33</v>
      </c>
      <c r="F37" s="257"/>
      <c r="G37" s="257" t="s">
        <v>34</v>
      </c>
      <c r="H37" s="257" t="s">
        <v>33</v>
      </c>
      <c r="I37" s="257"/>
      <c r="J37" s="257" t="s">
        <v>34</v>
      </c>
      <c r="K37" s="257" t="s">
        <v>34</v>
      </c>
      <c r="L37" s="257"/>
      <c r="M37" s="113"/>
      <c r="N37" s="1096"/>
      <c r="O37" s="1096"/>
      <c r="P37" s="1096"/>
      <c r="Q37" s="1096"/>
      <c r="R37" s="1096"/>
      <c r="S37" s="1096"/>
      <c r="T37" s="1096"/>
      <c r="U37" s="123"/>
    </row>
    <row r="38" ht="18.95" customHeight="1">
      <c r="B38" s="1097" t="s">
        <v>214</v>
      </c>
      <c r="C38" s="1097"/>
      <c r="D38" s="4"/>
      <c r="E38" s="1098">
        <v>574</v>
      </c>
      <c r="F38" s="1098"/>
      <c r="G38" s="258">
        <v>64745</v>
      </c>
      <c r="H38" s="1099">
        <v>355</v>
      </c>
      <c r="I38" s="1099"/>
      <c r="J38" s="258">
        <v>54635</v>
      </c>
      <c r="K38" s="1100">
        <v>84.38489458645455247509460190</v>
      </c>
      <c r="L38" s="1100"/>
      <c r="N38" s="692"/>
      <c r="O38" s="1096"/>
      <c r="P38" s="1096"/>
      <c r="Q38" s="1101"/>
      <c r="R38" s="1101"/>
      <c r="S38" s="1096"/>
      <c r="T38" s="1096"/>
      <c r="U38" s="123"/>
    </row>
    <row r="39" ht="18.95" customHeight="1">
      <c r="B39" s="1093" t="s">
        <v>215</v>
      </c>
      <c r="C39" s="1093"/>
      <c r="D39" s="4"/>
      <c r="E39" s="1102">
        <v>80</v>
      </c>
      <c r="F39" s="1102"/>
      <c r="G39" s="4">
        <v>12544</v>
      </c>
      <c r="H39" s="1103">
        <v>61</v>
      </c>
      <c r="I39" s="1103"/>
      <c r="J39" s="4">
        <v>11451</v>
      </c>
      <c r="K39" s="1104">
        <v>91.28667091836734693877551020</v>
      </c>
      <c r="L39" s="1104"/>
      <c r="N39" s="693"/>
      <c r="O39" s="1105"/>
      <c r="P39" s="1105"/>
      <c r="Q39" s="1105"/>
      <c r="R39" s="1105"/>
      <c r="S39" s="1105"/>
      <c r="T39" s="1105"/>
      <c r="U39" s="123"/>
    </row>
    <row r="40" ht="18.95" customHeight="1">
      <c r="B40" s="1092" t="s">
        <v>216</v>
      </c>
      <c r="C40" s="1092"/>
      <c r="D40" s="4"/>
      <c r="E40" s="1106">
        <v>228</v>
      </c>
      <c r="F40" s="1106"/>
      <c r="G40" s="120">
        <v>21158</v>
      </c>
      <c r="H40" s="1107">
        <v>131</v>
      </c>
      <c r="I40" s="1107"/>
      <c r="J40" s="120">
        <v>17202</v>
      </c>
      <c r="K40" s="1108">
        <v>81.30258058417619812836752056</v>
      </c>
      <c r="L40" s="1108"/>
      <c r="N40" s="1109"/>
      <c r="O40" s="1109"/>
      <c r="P40" s="1109"/>
      <c r="Q40" s="1109"/>
      <c r="R40" s="1109"/>
      <c r="S40" s="1109"/>
      <c r="T40" s="1109"/>
      <c r="U40" s="123"/>
    </row>
    <row r="41" ht="18.95" customHeight="1">
      <c r="B41" s="1093" t="s">
        <v>217</v>
      </c>
      <c r="C41" s="1093"/>
      <c r="D41" s="4"/>
      <c r="E41" s="1102">
        <v>51</v>
      </c>
      <c r="F41" s="1102"/>
      <c r="G41" s="4">
        <v>8487</v>
      </c>
      <c r="H41" s="1103">
        <v>49</v>
      </c>
      <c r="I41" s="1103"/>
      <c r="J41" s="4">
        <v>8413</v>
      </c>
      <c r="K41" s="1104">
        <v>99.12807823730411217155649817</v>
      </c>
      <c r="L41" s="1104"/>
      <c r="N41" s="1109"/>
      <c r="O41" s="1109"/>
      <c r="P41" s="1109"/>
      <c r="Q41" s="1109"/>
      <c r="R41" s="1109"/>
      <c r="S41" s="1109"/>
      <c r="T41" s="1109"/>
      <c r="U41" s="123"/>
    </row>
    <row r="42" ht="18.95" customHeight="1">
      <c r="B42" s="1094" t="s">
        <v>74</v>
      </c>
      <c r="C42" s="1094"/>
      <c r="D42" s="4"/>
      <c r="E42" s="1110">
        <v>8</v>
      </c>
      <c r="F42" s="1110"/>
      <c r="G42" s="260">
        <v>1033</v>
      </c>
      <c r="H42" s="1111">
        <v>8</v>
      </c>
      <c r="I42" s="1111"/>
      <c r="J42" s="260">
        <v>1033</v>
      </c>
      <c r="K42" s="1112">
        <v>100</v>
      </c>
      <c r="L42" s="1112"/>
      <c r="N42" s="1109"/>
      <c r="O42" s="1109"/>
      <c r="P42" s="1109"/>
      <c r="Q42" s="1109"/>
      <c r="R42" s="1109"/>
      <c r="S42" s="1109"/>
      <c r="T42" s="1109"/>
      <c r="U42" s="123"/>
    </row>
    <row r="43" ht="15" customHeight="1">
      <c r="B43" s="2"/>
      <c r="C43" s="44"/>
      <c r="D43" s="44"/>
      <c r="E43" s="16"/>
      <c r="F43" s="19"/>
      <c r="G43" s="123"/>
      <c r="H43" s="113"/>
      <c r="I43" s="113"/>
      <c r="J43" s="113"/>
      <c r="K43" s="123"/>
      <c r="L43" s="123"/>
      <c r="M43" s="113"/>
      <c r="N43" s="123"/>
      <c r="O43" s="123"/>
      <c r="P43" s="113"/>
      <c r="Q43" s="113"/>
      <c r="R43" s="123"/>
      <c r="S43" s="123"/>
      <c r="T43" s="123"/>
      <c r="U43" s="123"/>
    </row>
    <row r="44" ht="39.95" customHeight="1">
      <c r="B44" s="1034" t="s">
        <v>126</v>
      </c>
      <c r="C44" s="1034"/>
      <c r="D44" s="1034"/>
      <c r="E44" s="1034"/>
      <c r="F44" s="1034"/>
      <c r="G44" s="1034"/>
      <c r="H44" s="1034"/>
      <c r="I44" s="1034"/>
      <c r="J44" s="1034"/>
      <c r="K44" s="1034"/>
      <c r="L44" s="1034"/>
      <c r="M44" s="1034"/>
      <c r="N44" s="1034"/>
      <c r="O44" s="1034"/>
      <c r="P44" s="1034"/>
      <c r="Q44" s="1034"/>
      <c r="R44" s="1034"/>
      <c r="S44" s="1034"/>
      <c r="T44" s="1034"/>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drawing r:id="rId80"/>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169</v>
      </c>
      <c r="AA1" s="998"/>
      <c r="AB1" s="998"/>
      <c r="AC1" s="998"/>
      <c r="AD1" s="998"/>
      <c r="AE1" s="998"/>
      <c r="AF1" s="998"/>
      <c r="AH1" s="236"/>
    </row>
    <row r="2" ht="20.1"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26"/>
    </row>
    <row r="3" ht="20.1"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row>
    <row r="4" ht="20.1" customHeight="1">
      <c r="A4" s="6"/>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1001"/>
      <c r="Y18" s="1001"/>
      <c r="Z18" s="1001"/>
      <c r="AA18" s="1001"/>
      <c r="AB18" s="1001"/>
      <c r="AC18" s="1001"/>
      <c r="AD18" s="1001"/>
      <c r="AE18" s="1001"/>
      <c r="AF18" s="1001"/>
      <c r="AG18" s="1001"/>
    </row>
    <row r="19" s="117" customFormat="1" ht="15.95" customHeight="1">
      <c r="B19" s="964" t="s">
        <v>22</v>
      </c>
      <c r="C19" s="1002">
        <v>2024</v>
      </c>
      <c r="D19" s="1002"/>
      <c r="E19" s="1002"/>
      <c r="F19" s="1002"/>
      <c r="G19" s="1002"/>
      <c r="H19" s="1002"/>
      <c r="I19" s="1002"/>
      <c r="J19" s="1002"/>
      <c r="K19" s="1002"/>
      <c r="L19" s="1002"/>
      <c r="M19" s="1002"/>
      <c r="N19" s="1002"/>
      <c r="O19" s="1002">
        <v>2025</v>
      </c>
      <c r="P19" s="1002"/>
      <c r="Q19" s="1002"/>
      <c r="R19" s="1002"/>
      <c r="S19" s="1002"/>
      <c r="T19" s="1002"/>
      <c r="U19" s="119"/>
      <c r="V19" s="1003" t="s">
        <v>58</v>
      </c>
      <c r="W19" s="1003"/>
      <c r="X19" s="1003"/>
      <c r="Y19" s="119"/>
      <c r="Z19" s="1003" t="s">
        <v>44</v>
      </c>
      <c r="AA19" s="1003"/>
      <c r="AB19" s="1003"/>
      <c r="AC19" s="119"/>
      <c r="AD19" s="1004" t="s">
        <v>45</v>
      </c>
      <c r="AE19" s="1004"/>
      <c r="AF19" s="1004"/>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218</v>
      </c>
      <c r="D20" s="269" t="s">
        <v>220</v>
      </c>
      <c r="E20" s="269" t="s">
        <v>221</v>
      </c>
      <c r="F20" s="269" t="s">
        <v>223</v>
      </c>
      <c r="G20" s="269" t="s">
        <v>224</v>
      </c>
      <c r="H20" s="269" t="s">
        <v>225</v>
      </c>
      <c r="I20" s="269" t="s">
        <v>228</v>
      </c>
      <c r="J20" s="269" t="s">
        <v>229</v>
      </c>
      <c r="K20" s="269" t="s">
        <v>230</v>
      </c>
      <c r="L20" s="269" t="s">
        <v>231</v>
      </c>
      <c r="M20" s="269" t="s">
        <v>232</v>
      </c>
      <c r="N20" s="1005" t="s">
        <v>234</v>
      </c>
      <c r="O20" s="269" t="s">
        <v>218</v>
      </c>
      <c r="P20" s="269" t="s">
        <v>220</v>
      </c>
      <c r="Q20" s="269" t="s">
        <v>221</v>
      </c>
      <c r="R20" s="269" t="s">
        <v>223</v>
      </c>
      <c r="S20" s="269" t="s">
        <v>224</v>
      </c>
      <c r="T20" s="1005" t="s">
        <v>225</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89.29618768328445747800586510</v>
      </c>
      <c r="D21" s="574">
        <v>92.92058516196447230929989551</v>
      </c>
      <c r="E21" s="574">
        <v>92.69305962854349951124144673</v>
      </c>
      <c r="F21" s="574">
        <v>93.23232323232323232323232323</v>
      </c>
      <c r="G21" s="574">
        <v>84.82404692082111436950146628</v>
      </c>
      <c r="H21" s="574">
        <v>78.333333333333333333333333330</v>
      </c>
      <c r="I21" s="574">
        <v>73.704789833822091886608015640</v>
      </c>
      <c r="J21" s="574">
        <v>74.046920821114369501466275660</v>
      </c>
      <c r="K21" s="574">
        <v>66.287878787878787878787878790</v>
      </c>
      <c r="L21" s="574">
        <v>77.541544477028347996089931570</v>
      </c>
      <c r="M21" s="574">
        <v>88.78787878787878787878787879</v>
      </c>
      <c r="N21" s="1006">
        <v>87.82991202346041055718475073</v>
      </c>
      <c r="O21" s="574">
        <v>90.64027370478983382209188661</v>
      </c>
      <c r="P21" s="574">
        <v>92.69480519480519480519480519</v>
      </c>
      <c r="Q21" s="574">
        <v>91.32453567937438905180840665</v>
      </c>
      <c r="R21" s="574">
        <v>93.03030303030303030303030303</v>
      </c>
      <c r="S21" s="574">
        <v>81.23167155425219941348973607</v>
      </c>
      <c r="T21" s="1006">
        <v>80.98484848484848484848484848</v>
      </c>
      <c r="U21" s="113"/>
      <c r="V21" s="573">
        <v>88.30989452536413862380713209</v>
      </c>
      <c r="W21" s="574">
        <v>88.53230103230103230103230103</v>
      </c>
      <c r="X21" s="575">
        <v>88.25966850828729281767955801</v>
      </c>
      <c r="Y21" s="113"/>
      <c r="Z21" s="573">
        <v>83.37495837495837495837495837</v>
      </c>
      <c r="AA21" s="574">
        <v>85.45621045621045621045621046</v>
      </c>
      <c r="AB21" s="575">
        <v>85.03996003996003996003996004</v>
      </c>
      <c r="AC21" s="113"/>
      <c r="AD21" s="573">
        <v>84.07222914072229140722291407</v>
      </c>
      <c r="AE21" s="574">
        <v>82.51780096042391124358337473</v>
      </c>
      <c r="AF21" s="575">
        <v>83.10709838107098381070983811</v>
      </c>
      <c r="AG21" s="113"/>
    </row>
    <row r="22" ht="21.95" customHeight="1">
      <c r="B22" s="38" t="s">
        <v>35</v>
      </c>
      <c r="C22" s="271">
        <v>82.00980545233113699528463917</v>
      </c>
      <c r="D22" s="92">
        <v>87.62893480655603239524270502</v>
      </c>
      <c r="E22" s="92">
        <v>88.01798707179214939262405146</v>
      </c>
      <c r="F22" s="92">
        <v>85.08228460793804453049370765</v>
      </c>
      <c r="G22" s="92">
        <v>82.40327264778440495893576492</v>
      </c>
      <c r="H22" s="92">
        <v>75.821232655695385608260729270</v>
      </c>
      <c r="I22" s="92">
        <v>71.829622458857696030977734750</v>
      </c>
      <c r="J22" s="92">
        <v>65.830809105955094775630015930</v>
      </c>
      <c r="K22" s="92">
        <v>60.096805421103581800580832530</v>
      </c>
      <c r="L22" s="92">
        <v>72.304281297817193891890203920</v>
      </c>
      <c r="M22" s="92">
        <v>79.099709583736689254598257500</v>
      </c>
      <c r="N22" s="1007">
        <v>81.72563470005933235486993723</v>
      </c>
      <c r="O22" s="92">
        <v>87.10301970458732785810198920</v>
      </c>
      <c r="P22" s="92">
        <v>92.00663808601853132346839994</v>
      </c>
      <c r="Q22" s="92">
        <v>88.16475658120725728382724916</v>
      </c>
      <c r="R22" s="92">
        <v>88.59632139399806389157792836</v>
      </c>
      <c r="S22" s="92">
        <v>82.53755113512163132748337133</v>
      </c>
      <c r="T22" s="1007">
        <v>80.52597612132946111648919006</v>
      </c>
      <c r="U22" s="113"/>
      <c r="V22" s="271">
        <v>78.782498007733736956672888600</v>
      </c>
      <c r="W22" s="92">
        <v>83.45899841337961460210832580</v>
      </c>
      <c r="X22" s="272">
        <v>86.41889470672236098260176603</v>
      </c>
      <c r="Y22" s="113"/>
      <c r="Z22" s="271">
        <v>72.547684648362286310011382620</v>
      </c>
      <c r="AA22" s="92">
        <v>81.11656010978373030647958044</v>
      </c>
      <c r="AB22" s="272">
        <v>83.87179132580875078454942927</v>
      </c>
      <c r="AC22" s="113"/>
      <c r="AD22" s="271">
        <v>75.386659453266715463195748340</v>
      </c>
      <c r="AE22" s="92">
        <v>75.775515682066667588749353530</v>
      </c>
      <c r="AF22" s="272">
        <v>79.068811415083080268933416440</v>
      </c>
      <c r="AG22" s="113"/>
    </row>
    <row r="23" ht="21.95" customHeight="1">
      <c r="B23" s="40" t="s">
        <v>97</v>
      </c>
      <c r="C23" s="576">
        <v>108.88476955993084577928047706</v>
      </c>
      <c r="D23" s="113">
        <v>106.03870213308346408031013391</v>
      </c>
      <c r="E23" s="113">
        <v>105.31149678863917305561478073</v>
      </c>
      <c r="F23" s="113">
        <v>109.57900773584362673789871025</v>
      </c>
      <c r="G23" s="113">
        <v>102.93771617951115940957802698</v>
      </c>
      <c r="H23" s="113">
        <v>103.31318891772789131122473716</v>
      </c>
      <c r="I23" s="113">
        <v>102.61057668233609177473840874</v>
      </c>
      <c r="J23" s="113">
        <v>112.48064823551672040338825554</v>
      </c>
      <c r="K23" s="113">
        <v>110.30183438769792050041917463</v>
      </c>
      <c r="L23" s="113">
        <v>107.24336524092896561491770033</v>
      </c>
      <c r="M23" s="113">
        <v>112.24804649115326139812510816</v>
      </c>
      <c r="N23" s="1008">
        <v>107.46923207847897120718999049</v>
      </c>
      <c r="O23" s="113">
        <v>104.06100042476831351755367924</v>
      </c>
      <c r="P23" s="113">
        <v>100.74795375977324002621399857</v>
      </c>
      <c r="Q23" s="113">
        <v>103.58394807710292174764962255</v>
      </c>
      <c r="R23" s="113">
        <v>105.00470173765398842766122154</v>
      </c>
      <c r="S23" s="113">
        <v>98.41783580577730400540306600</v>
      </c>
      <c r="T23" s="1008">
        <v>100.56984390087648760285956549</v>
      </c>
      <c r="U23" s="113"/>
      <c r="V23" s="576">
        <v>112.09329071633772673551062970</v>
      </c>
      <c r="W23" s="113">
        <v>106.07879643339510000512701771</v>
      </c>
      <c r="X23" s="577">
        <v>102.13005941332015073433600385</v>
      </c>
      <c r="Y23" s="113"/>
      <c r="Z23" s="576">
        <v>114.92435462142231803440155062</v>
      </c>
      <c r="AA23" s="113">
        <v>105.34989444884777178127543506</v>
      </c>
      <c r="AB23" s="577">
        <v>101.39280286696427910961188214</v>
      </c>
      <c r="AC23" s="113"/>
      <c r="AD23" s="576">
        <v>111.52136167116247843248153408</v>
      </c>
      <c r="AE23" s="113">
        <v>108.89770952745439546906008258</v>
      </c>
      <c r="AF23" s="577">
        <v>105.10730703256755981637550780</v>
      </c>
      <c r="AG23" s="113"/>
    </row>
    <row r="24" ht="21.95" customHeight="1">
      <c r="A24" s="23"/>
      <c r="B24" s="39" t="s">
        <v>23</v>
      </c>
      <c r="C24" s="273" t="s">
        <v>305</v>
      </c>
      <c r="D24" s="274" t="s">
        <v>305</v>
      </c>
      <c r="E24" s="274" t="s">
        <v>305</v>
      </c>
      <c r="F24" s="274" t="s">
        <v>310</v>
      </c>
      <c r="G24" s="274" t="s">
        <v>311</v>
      </c>
      <c r="H24" s="274" t="s">
        <v>307</v>
      </c>
      <c r="I24" s="274" t="s">
        <v>309</v>
      </c>
      <c r="J24" s="274" t="s">
        <v>307</v>
      </c>
      <c r="K24" s="274" t="s">
        <v>311</v>
      </c>
      <c r="L24" s="274" t="s">
        <v>307</v>
      </c>
      <c r="M24" s="274" t="s">
        <v>310</v>
      </c>
      <c r="N24" s="1009" t="s">
        <v>307</v>
      </c>
      <c r="O24" s="274" t="s">
        <v>307</v>
      </c>
      <c r="P24" s="274" t="s">
        <v>311</v>
      </c>
      <c r="Q24" s="274" t="s">
        <v>307</v>
      </c>
      <c r="R24" s="274" t="s">
        <v>305</v>
      </c>
      <c r="S24" s="274" t="s">
        <v>306</v>
      </c>
      <c r="T24" s="1009" t="s">
        <v>309</v>
      </c>
      <c r="U24" s="113"/>
      <c r="V24" s="273" t="s">
        <v>310</v>
      </c>
      <c r="W24" s="274" t="s">
        <v>305</v>
      </c>
      <c r="X24" s="275" t="s">
        <v>307</v>
      </c>
      <c r="Y24" s="113"/>
      <c r="Z24" s="273" t="s">
        <v>310</v>
      </c>
      <c r="AA24" s="274" t="s">
        <v>307</v>
      </c>
      <c r="AB24" s="275" t="s">
        <v>311</v>
      </c>
      <c r="AC24" s="113"/>
      <c r="AD24" s="273" t="s">
        <v>310</v>
      </c>
      <c r="AE24" s="274" t="s">
        <v>310</v>
      </c>
      <c r="AF24" s="275" t="s">
        <v>307</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-5.4103028734095475176222319200</v>
      </c>
      <c r="D26" s="574">
        <v>-1.0560406918010891251715855100</v>
      </c>
      <c r="E26" s="574">
        <v>1.1466666666699033600000001100</v>
      </c>
      <c r="F26" s="574">
        <v>7.0144927536380773787019554400</v>
      </c>
      <c r="G26" s="574">
        <v>9.772296015219008817948445420</v>
      </c>
      <c r="H26" s="574">
        <v>-8.845136644091452728483055340</v>
      </c>
      <c r="I26" s="574">
        <v>-10.557532621577147368109993510</v>
      </c>
      <c r="J26" s="574">
        <v>1.6096579476235562266962317700</v>
      </c>
      <c r="K26" s="574">
        <v>-1.9058295964741398379214960500</v>
      </c>
      <c r="L26" s="574">
        <v>-0.2201257861962799335469217300</v>
      </c>
      <c r="M26" s="574">
        <v>19.429347826142127687854467830</v>
      </c>
      <c r="N26" s="1006">
        <v>4.3857101365542146448923279400</v>
      </c>
      <c r="O26" s="574">
        <v>1.5051997810441824556484006300</v>
      </c>
      <c r="P26" s="574">
        <v>-0.2429816458873724573168059900</v>
      </c>
      <c r="Q26" s="574">
        <v>-1.4764039018783622459650259600</v>
      </c>
      <c r="R26" s="574">
        <v>-0.2166847237021124999853212200</v>
      </c>
      <c r="S26" s="574">
        <v>-4.2350907519208467641629673300</v>
      </c>
      <c r="T26" s="1006">
        <v>3.384912959425038067410200200</v>
      </c>
      <c r="U26" s="113"/>
      <c r="V26" s="573">
        <v>-2.1382189239336090833364885900</v>
      </c>
      <c r="W26" s="574">
        <v>0.2518477777561640790797630900</v>
      </c>
      <c r="X26" s="575">
        <v>-0.307946953635871630961060700</v>
      </c>
      <c r="Y26" s="113"/>
      <c r="Z26" s="573">
        <v>-3.4977837733260832829694528500</v>
      </c>
      <c r="AA26" s="574">
        <v>2.4962556165239659233067778500</v>
      </c>
      <c r="AB26" s="575">
        <v>-0.487092060387239336349522300</v>
      </c>
      <c r="AC26" s="113"/>
      <c r="AD26" s="573">
        <v>0.6810499105615325573791893500</v>
      </c>
      <c r="AE26" s="574">
        <v>-1.848919906327996190291486900</v>
      </c>
      <c r="AF26" s="575">
        <v>0.7141458131607088665892572900</v>
      </c>
      <c r="AG26" s="113"/>
    </row>
    <row r="27" ht="21.95" customHeight="1">
      <c r="B27" s="38" t="s">
        <v>35</v>
      </c>
      <c r="C27" s="271">
        <v>-3.7069629303529544783751337800</v>
      </c>
      <c r="D27" s="92">
        <v>2.3286895048439395227518633900</v>
      </c>
      <c r="E27" s="92">
        <v>4.1495769131617914146191341800</v>
      </c>
      <c r="F27" s="92">
        <v>9.252506836773615337005906830</v>
      </c>
      <c r="G27" s="92">
        <v>17.782538832375622595704900070</v>
      </c>
      <c r="H27" s="92">
        <v>8.486079689761111834972409620</v>
      </c>
      <c r="I27" s="92">
        <v>6.1565442126390606588479178600</v>
      </c>
      <c r="J27" s="92">
        <v>9.041535198920432658135539510</v>
      </c>
      <c r="K27" s="92">
        <v>2.7134348113916870809738080500</v>
      </c>
      <c r="L27" s="92">
        <v>8.449648711931800954538226190</v>
      </c>
      <c r="M27" s="92">
        <v>2.0354645355281165044995361200</v>
      </c>
      <c r="N27" s="1007">
        <v>4.038958457533210191584595200</v>
      </c>
      <c r="O27" s="92">
        <v>6.2104942502878312709683047800</v>
      </c>
      <c r="P27" s="92">
        <v>4.9957280538446226461657900300</v>
      </c>
      <c r="Q27" s="92">
        <v>0.1667494500726666001519377400</v>
      </c>
      <c r="R27" s="92">
        <v>4.1301627034257858162958770400</v>
      </c>
      <c r="S27" s="92">
        <v>0.1629528573404496821824481500</v>
      </c>
      <c r="T27" s="1007">
        <v>6.2050474528598598451777848400</v>
      </c>
      <c r="U27" s="113"/>
      <c r="V27" s="271">
        <v>0.199520439160219824548303900</v>
      </c>
      <c r="W27" s="92">
        <v>5.935963600979681305399697200</v>
      </c>
      <c r="X27" s="272">
        <v>3.5465274561060707667006372200</v>
      </c>
      <c r="Y27" s="113"/>
      <c r="Z27" s="271">
        <v>-6.5440652861858470139068896100</v>
      </c>
      <c r="AA27" s="92">
        <v>11.811370001554849382094591810</v>
      </c>
      <c r="AB27" s="272">
        <v>3.3966322194620292176839367800</v>
      </c>
      <c r="AC27" s="113"/>
      <c r="AD27" s="271">
        <v>3.4137406556110628934282830600</v>
      </c>
      <c r="AE27" s="92">
        <v>0.5158157047767231586645422900</v>
      </c>
      <c r="AF27" s="272">
        <v>4.3461211756042670645481073800</v>
      </c>
      <c r="AG27" s="113"/>
    </row>
    <row r="28" ht="21.95" customHeight="1">
      <c r="B28" s="40" t="s">
        <v>97</v>
      </c>
      <c r="C28" s="576">
        <v>-1.7689128880516408177466500900</v>
      </c>
      <c r="D28" s="113">
        <v>-3.3077040399014862634932193300</v>
      </c>
      <c r="E28" s="113">
        <v>-2.8832668701611727014212854200</v>
      </c>
      <c r="F28" s="113">
        <v>-2.0484784724297520081551411600</v>
      </c>
      <c r="G28" s="113">
        <v>-6.8008746428651369166940682400</v>
      </c>
      <c r="H28" s="113">
        <v>-15.975520899520004219525628770</v>
      </c>
      <c r="I28" s="113">
        <v>-15.744744667672389915657370610</v>
      </c>
      <c r="J28" s="113">
        <v>-6.8156388643788712772714061200</v>
      </c>
      <c r="K28" s="113">
        <v>-4.497234871275950686080618300</v>
      </c>
      <c r="L28" s="113">
        <v>-7.994285459688310239326152420</v>
      </c>
      <c r="M28" s="113">
        <v>17.046899692936210336974182360</v>
      </c>
      <c r="N28" s="1008">
        <v>0.3332902252265567648405698100</v>
      </c>
      <c r="O28" s="113">
        <v>-4.4301596583515023624068661400</v>
      </c>
      <c r="P28" s="113">
        <v>-4.9894503298293877501283317600</v>
      </c>
      <c r="Q28" s="113">
        <v>-1.6404179640186121637656746700</v>
      </c>
      <c r="R28" s="113">
        <v>-4.1744364113744053707713410300</v>
      </c>
      <c r="S28" s="113">
        <v>-4.3908885309258766549521901200</v>
      </c>
      <c r="T28" s="1008">
        <v>-2.6553676694743010876547275200</v>
      </c>
      <c r="U28" s="113"/>
      <c r="V28" s="576">
        <v>-2.3330843828674882148300103400</v>
      </c>
      <c r="W28" s="113">
        <v>-5.3656148771001374214323604400</v>
      </c>
      <c r="X28" s="577">
        <v>-3.7224564690069850802112448700</v>
      </c>
      <c r="Y28" s="113"/>
      <c r="Z28" s="576">
        <v>3.259591295182176219609640700</v>
      </c>
      <c r="AA28" s="113">
        <v>-8.331097619902903790651649680</v>
      </c>
      <c r="AB28" s="577">
        <v>-3.7561419520537493939679622100</v>
      </c>
      <c r="AC28" s="113"/>
      <c r="AD28" s="576">
        <v>-2.6424832211138795498412635300</v>
      </c>
      <c r="AE28" s="113">
        <v>-2.3526005282117654442744361400</v>
      </c>
      <c r="AF28" s="577">
        <v>-3.4806999259936203745187556900</v>
      </c>
      <c r="AG28" s="113"/>
    </row>
    <row r="29" ht="21.95" customHeight="1">
      <c r="A29" s="23"/>
      <c r="B29" s="39" t="s">
        <v>23</v>
      </c>
      <c r="C29" s="273" t="s">
        <v>306</v>
      </c>
      <c r="D29" s="274" t="s">
        <v>312</v>
      </c>
      <c r="E29" s="274" t="s">
        <v>309</v>
      </c>
      <c r="F29" s="274" t="s">
        <v>306</v>
      </c>
      <c r="G29" s="274" t="s">
        <v>306</v>
      </c>
      <c r="H29" s="274" t="s">
        <v>308</v>
      </c>
      <c r="I29" s="274" t="s">
        <v>312</v>
      </c>
      <c r="J29" s="274" t="s">
        <v>308</v>
      </c>
      <c r="K29" s="274" t="s">
        <v>308</v>
      </c>
      <c r="L29" s="274" t="s">
        <v>312</v>
      </c>
      <c r="M29" s="274" t="s">
        <v>305</v>
      </c>
      <c r="N29" s="1009" t="s">
        <v>309</v>
      </c>
      <c r="O29" s="274" t="s">
        <v>308</v>
      </c>
      <c r="P29" s="274" t="s">
        <v>312</v>
      </c>
      <c r="Q29" s="274" t="s">
        <v>306</v>
      </c>
      <c r="R29" s="274" t="s">
        <v>308</v>
      </c>
      <c r="S29" s="274" t="s">
        <v>312</v>
      </c>
      <c r="T29" s="1009" t="s">
        <v>312</v>
      </c>
      <c r="U29" s="113"/>
      <c r="V29" s="273" t="s">
        <v>312</v>
      </c>
      <c r="W29" s="274" t="s">
        <v>308</v>
      </c>
      <c r="X29" s="275" t="s">
        <v>308</v>
      </c>
      <c r="Y29" s="113"/>
      <c r="Z29" s="273" t="s">
        <v>309</v>
      </c>
      <c r="AA29" s="274" t="s">
        <v>308</v>
      </c>
      <c r="AB29" s="275" t="s">
        <v>312</v>
      </c>
      <c r="AC29" s="113"/>
      <c r="AD29" s="273" t="s">
        <v>308</v>
      </c>
      <c r="AE29" s="274" t="s">
        <v>308</v>
      </c>
      <c r="AF29" s="275" t="s">
        <v>308</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2">
        <v>2024</v>
      </c>
      <c r="D31" s="1002"/>
      <c r="E31" s="1002"/>
      <c r="F31" s="1002"/>
      <c r="G31" s="1002"/>
      <c r="H31" s="1002"/>
      <c r="I31" s="1002"/>
      <c r="J31" s="1002"/>
      <c r="K31" s="1002"/>
      <c r="L31" s="1002"/>
      <c r="M31" s="1002"/>
      <c r="N31" s="1002"/>
      <c r="O31" s="1002">
        <v>2025</v>
      </c>
      <c r="P31" s="1002"/>
      <c r="Q31" s="1002"/>
      <c r="R31" s="1002"/>
      <c r="S31" s="1002"/>
      <c r="T31" s="1002"/>
      <c r="U31" s="119"/>
      <c r="V31" s="1003" t="s">
        <v>58</v>
      </c>
      <c r="W31" s="1003"/>
      <c r="X31" s="1003"/>
      <c r="Y31" s="119"/>
      <c r="Z31" s="1003" t="s">
        <v>44</v>
      </c>
      <c r="AA31" s="1003"/>
      <c r="AB31" s="1003"/>
      <c r="AC31" s="119"/>
      <c r="AD31" s="1004" t="s">
        <v>45</v>
      </c>
      <c r="AE31" s="1004"/>
      <c r="AF31" s="1004"/>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218</v>
      </c>
      <c r="D32" s="269" t="s">
        <v>220</v>
      </c>
      <c r="E32" s="269" t="s">
        <v>221</v>
      </c>
      <c r="F32" s="269" t="s">
        <v>223</v>
      </c>
      <c r="G32" s="269" t="s">
        <v>224</v>
      </c>
      <c r="H32" s="269" t="s">
        <v>225</v>
      </c>
      <c r="I32" s="269" t="s">
        <v>228</v>
      </c>
      <c r="J32" s="269" t="s">
        <v>229</v>
      </c>
      <c r="K32" s="269" t="s">
        <v>230</v>
      </c>
      <c r="L32" s="269" t="s">
        <v>231</v>
      </c>
      <c r="M32" s="269" t="s">
        <v>232</v>
      </c>
      <c r="N32" s="1005" t="s">
        <v>234</v>
      </c>
      <c r="O32" s="269" t="s">
        <v>218</v>
      </c>
      <c r="P32" s="269" t="s">
        <v>220</v>
      </c>
      <c r="Q32" s="269" t="s">
        <v>221</v>
      </c>
      <c r="R32" s="269" t="s">
        <v>223</v>
      </c>
      <c r="S32" s="269" t="s">
        <v>224</v>
      </c>
      <c r="T32" s="1005" t="s">
        <v>225</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287.56403940886699507389162562</v>
      </c>
      <c r="D33" s="579">
        <v>351.08152937868990722518976666</v>
      </c>
      <c r="E33" s="579">
        <v>312.21697864487213287635117321</v>
      </c>
      <c r="F33" s="579">
        <v>258.44718309859154929577464789</v>
      </c>
      <c r="G33" s="579">
        <v>223.86142322097378277153558052</v>
      </c>
      <c r="H33" s="579">
        <v>171.17375886524822695035460993</v>
      </c>
      <c r="I33" s="579">
        <v>179.42672413793103448275862069</v>
      </c>
      <c r="J33" s="579">
        <v>158.6950495049504950495049505</v>
      </c>
      <c r="K33" s="579">
        <v>160.40228571428571428571428571</v>
      </c>
      <c r="L33" s="579">
        <v>192.31705011030570438071225969</v>
      </c>
      <c r="M33" s="579">
        <v>197.74146757679180887372013652</v>
      </c>
      <c r="N33" s="1010">
        <v>278.76683361157484696716750139</v>
      </c>
      <c r="O33" s="579">
        <v>280.59288217848476678349959558</v>
      </c>
      <c r="P33" s="579">
        <v>341.18622300058377116170461179</v>
      </c>
      <c r="Q33" s="579">
        <v>296.99331014182499331014182499</v>
      </c>
      <c r="R33" s="579">
        <v>266.56623235613463626492942454</v>
      </c>
      <c r="S33" s="579">
        <v>222.62274368231046931407942238</v>
      </c>
      <c r="T33" s="1010">
        <v>175.03960087309011537262238853</v>
      </c>
      <c r="U33" s="113"/>
      <c r="V33" s="578">
        <v>276.78283330963552775013033793</v>
      </c>
      <c r="W33" s="579">
        <v>270.15778833043396492547839579</v>
      </c>
      <c r="X33" s="580">
        <v>265.70242329397258974723763456</v>
      </c>
      <c r="Y33" s="113"/>
      <c r="Z33" s="578">
        <v>236.63155267099350973539690464</v>
      </c>
      <c r="AA33" s="579">
        <v>220.37905504140282513395031661</v>
      </c>
      <c r="AB33" s="580">
        <v>223.53206069505628976994615761</v>
      </c>
      <c r="AC33" s="113"/>
      <c r="AD33" s="578">
        <v>257.61914284303559966424727201</v>
      </c>
      <c r="AE33" s="579">
        <v>243.6697938092610244318466864</v>
      </c>
      <c r="AF33" s="580">
        <v>233.59279238780250243500412078</v>
      </c>
      <c r="AG33" s="113"/>
    </row>
    <row r="34" ht="21.95" customHeight="1">
      <c r="B34" s="38" t="s">
        <v>35</v>
      </c>
      <c r="C34" s="276">
        <v>290.93106122915238748000913867</v>
      </c>
      <c r="D34" s="94">
        <v>351.09296445849681916879356977</v>
      </c>
      <c r="E34" s="94">
        <v>306.62572766621727098559568581</v>
      </c>
      <c r="F34" s="94">
        <v>260.33531763188834528008495466</v>
      </c>
      <c r="G34" s="94">
        <v>226.39446339245111414279217827</v>
      </c>
      <c r="H34" s="94">
        <v>182.55450312805890113631527428</v>
      </c>
      <c r="I34" s="94">
        <v>176.53903921398139292235457787</v>
      </c>
      <c r="J34" s="94">
        <v>155.84656705089891371377069399</v>
      </c>
      <c r="K34" s="94">
        <v>161.98218213058419243986254295</v>
      </c>
      <c r="L34" s="94">
        <v>216.41734819037747257493305691</v>
      </c>
      <c r="M34" s="94">
        <v>196.79732713254191653408395546</v>
      </c>
      <c r="N34" s="1011">
        <v>283.66124221466508731038172024</v>
      </c>
      <c r="O34" s="94">
        <v>279.67381493564693650736743984</v>
      </c>
      <c r="P34" s="94">
        <v>356.70795393055764316849541562</v>
      </c>
      <c r="Q34" s="94">
        <v>301.25039280274855665356143521</v>
      </c>
      <c r="R34" s="94">
        <v>267.43824847027972027972027973</v>
      </c>
      <c r="S34" s="94">
        <v>231.43195868487760584162536414</v>
      </c>
      <c r="T34" s="1011">
        <v>191.18590102183931075936686035</v>
      </c>
      <c r="U34" s="113"/>
      <c r="V34" s="276">
        <v>284.22777362153942241110100338</v>
      </c>
      <c r="W34" s="94">
        <v>271.13550878742932645111433067</v>
      </c>
      <c r="X34" s="277">
        <v>272.49451008788216363411313281</v>
      </c>
      <c r="Y34" s="113"/>
      <c r="Z34" s="276">
        <v>242.18836517735384254439344839</v>
      </c>
      <c r="AA34" s="94">
        <v>224.62153884488275717358233226</v>
      </c>
      <c r="AB34" s="277">
        <v>231.23217079729078409984526014</v>
      </c>
      <c r="AC34" s="113"/>
      <c r="AD34" s="276">
        <v>257.05928598314952597048528662</v>
      </c>
      <c r="AE34" s="94">
        <v>244.18429574296187978112739921</v>
      </c>
      <c r="AF34" s="277">
        <v>240.3397571153039832285115304</v>
      </c>
      <c r="AG34" s="113"/>
    </row>
    <row r="35" ht="21.95" customHeight="1">
      <c r="B35" s="40" t="s">
        <v>98</v>
      </c>
      <c r="C35" s="576">
        <v>98.84267365398966013427742065</v>
      </c>
      <c r="D35" s="113">
        <v>99.99674300513890120185601459</v>
      </c>
      <c r="E35" s="113">
        <v>101.82347744307969505460128750</v>
      </c>
      <c r="F35" s="113">
        <v>99.27472977908507581464102845</v>
      </c>
      <c r="G35" s="113">
        <v>98.88113864024373847366527997</v>
      </c>
      <c r="H35" s="113">
        <v>93.76583756202069090205137525</v>
      </c>
      <c r="I35" s="113">
        <v>101.63572031250866445126059555</v>
      </c>
      <c r="J35" s="113">
        <v>101.82774796259719428824054790</v>
      </c>
      <c r="K35" s="113">
        <v>99.02464802268160825743914558</v>
      </c>
      <c r="L35" s="113">
        <v>88.86397126588424098537085153</v>
      </c>
      <c r="M35" s="113">
        <v>100.47975267654734791052060404</v>
      </c>
      <c r="N35" s="1008">
        <v>98.27455856679192348888652249</v>
      </c>
      <c r="O35" s="113">
        <v>100.32862112711424156364483645</v>
      </c>
      <c r="P35" s="113">
        <v>95.64861653378323911334766024</v>
      </c>
      <c r="Q35" s="113">
        <v>98.58686237011377866198379044</v>
      </c>
      <c r="R35" s="113">
        <v>99.67393739708020697415771701</v>
      </c>
      <c r="S35" s="113">
        <v>96.19360478446994349209316174</v>
      </c>
      <c r="T35" s="1008">
        <v>91.55465959444948797821257758</v>
      </c>
      <c r="U35" s="113"/>
      <c r="V35" s="576">
        <v>97.38064291993549553749317565</v>
      </c>
      <c r="W35" s="113">
        <v>99.63939785631963269260092926</v>
      </c>
      <c r="X35" s="577">
        <v>97.50744086853843375552496499</v>
      </c>
      <c r="Y35" s="113"/>
      <c r="Z35" s="576">
        <v>97.70558238735531600794636606</v>
      </c>
      <c r="AA35" s="113">
        <v>98.11127471331830391132125846</v>
      </c>
      <c r="AB35" s="577">
        <v>96.66996591534242468378037779</v>
      </c>
      <c r="AC35" s="113"/>
      <c r="AD35" s="576">
        <v>100.21779289466026396083775656</v>
      </c>
      <c r="AE35" s="113">
        <v>99.78929769739144875808995911</v>
      </c>
      <c r="AF35" s="577">
        <v>97.19273880922633810766736897</v>
      </c>
      <c r="AG35" s="113"/>
    </row>
    <row r="36" ht="21.95" customHeight="1">
      <c r="A36" s="23"/>
      <c r="B36" s="39" t="s">
        <v>23</v>
      </c>
      <c r="C36" s="273" t="s">
        <v>306</v>
      </c>
      <c r="D36" s="274" t="s">
        <v>308</v>
      </c>
      <c r="E36" s="274" t="s">
        <v>309</v>
      </c>
      <c r="F36" s="274" t="s">
        <v>309</v>
      </c>
      <c r="G36" s="274" t="s">
        <v>306</v>
      </c>
      <c r="H36" s="274" t="s">
        <v>308</v>
      </c>
      <c r="I36" s="274" t="s">
        <v>311</v>
      </c>
      <c r="J36" s="274" t="s">
        <v>311</v>
      </c>
      <c r="K36" s="274" t="s">
        <v>306</v>
      </c>
      <c r="L36" s="274" t="s">
        <v>308</v>
      </c>
      <c r="M36" s="274" t="s">
        <v>306</v>
      </c>
      <c r="N36" s="1009" t="s">
        <v>306</v>
      </c>
      <c r="O36" s="274" t="s">
        <v>309</v>
      </c>
      <c r="P36" s="274" t="s">
        <v>306</v>
      </c>
      <c r="Q36" s="274" t="s">
        <v>306</v>
      </c>
      <c r="R36" s="274" t="s">
        <v>311</v>
      </c>
      <c r="S36" s="274" t="s">
        <v>308</v>
      </c>
      <c r="T36" s="1009" t="s">
        <v>308</v>
      </c>
      <c r="U36" s="113"/>
      <c r="V36" s="273" t="s">
        <v>306</v>
      </c>
      <c r="W36" s="274" t="s">
        <v>306</v>
      </c>
      <c r="X36" s="275" t="s">
        <v>306</v>
      </c>
      <c r="Y36" s="113"/>
      <c r="Z36" s="273" t="s">
        <v>309</v>
      </c>
      <c r="AA36" s="274" t="s">
        <v>306</v>
      </c>
      <c r="AB36" s="275" t="s">
        <v>308</v>
      </c>
      <c r="AC36" s="113"/>
      <c r="AD36" s="273" t="s">
        <v>309</v>
      </c>
      <c r="AE36" s="274" t="s">
        <v>306</v>
      </c>
      <c r="AF36" s="275" t="s">
        <v>306</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2.2539092647899099129884983200</v>
      </c>
      <c r="D38" s="574">
        <v>1.2162344522410634697652324300</v>
      </c>
      <c r="E38" s="574">
        <v>-0.7483064832101831910544914300</v>
      </c>
      <c r="F38" s="574">
        <v>-1.9665363402226929105900365600</v>
      </c>
      <c r="G38" s="574">
        <v>-14.640373994918915216975929880</v>
      </c>
      <c r="H38" s="574">
        <v>-7.6972330895483458723735015600</v>
      </c>
      <c r="I38" s="574">
        <v>-3.2597745184463937248828842200</v>
      </c>
      <c r="J38" s="574">
        <v>-6.1624018703361361635951644900</v>
      </c>
      <c r="K38" s="574">
        <v>-1.1041850725666247487794883100</v>
      </c>
      <c r="L38" s="574">
        <v>3.8954704505473957463029178900</v>
      </c>
      <c r="M38" s="574">
        <v>-13.506194806365047538624903530</v>
      </c>
      <c r="N38" s="1006">
        <v>-16.007339721233494521939845730</v>
      </c>
      <c r="O38" s="574">
        <v>-2.4242103584108571590060360400</v>
      </c>
      <c r="P38" s="574">
        <v>-2.8185209274972965284833102800</v>
      </c>
      <c r="Q38" s="574">
        <v>-4.8759899506905570964352785100</v>
      </c>
      <c r="R38" s="574">
        <v>3.1414733022789974030718427700</v>
      </c>
      <c r="S38" s="574">
        <v>-0.5533242489335396102514076700</v>
      </c>
      <c r="T38" s="1006">
        <v>2.2584314520629771120486298800</v>
      </c>
      <c r="U38" s="113"/>
      <c r="V38" s="573">
        <v>-10.870454309913328024215601190</v>
      </c>
      <c r="W38" s="574">
        <v>-2.3935895517607776715943349500</v>
      </c>
      <c r="X38" s="575">
        <v>-1.6491714208803589545875536500</v>
      </c>
      <c r="Y38" s="113"/>
      <c r="Z38" s="573">
        <v>-20.537297093412308947401377760</v>
      </c>
      <c r="AA38" s="574">
        <v>-6.8682715581018852089454383700</v>
      </c>
      <c r="AB38" s="575">
        <v>1.4307192909344184198899066800</v>
      </c>
      <c r="AC38" s="113"/>
      <c r="AD38" s="573">
        <v>-7.7582633061749369608052678600</v>
      </c>
      <c r="AE38" s="574">
        <v>-5.4147175865110622540094706200</v>
      </c>
      <c r="AF38" s="575">
        <v>-4.135515224912910255468430800</v>
      </c>
      <c r="AG38" s="113"/>
    </row>
    <row r="39" ht="21.95" customHeight="1">
      <c r="B39" s="38" t="s">
        <v>35</v>
      </c>
      <c r="C39" s="271">
        <v>1.2563433706687696834658433200</v>
      </c>
      <c r="D39" s="92">
        <v>-0.125911455332120287384815800</v>
      </c>
      <c r="E39" s="92">
        <v>-5.7824374355353639202196454400</v>
      </c>
      <c r="F39" s="92">
        <v>-3.6979371982706977611119482500</v>
      </c>
      <c r="G39" s="92">
        <v>-11.711556150417320748299806930</v>
      </c>
      <c r="H39" s="92">
        <v>-6.9081094469811955956403575100</v>
      </c>
      <c r="I39" s="92">
        <v>-8.208340852159040342009341700</v>
      </c>
      <c r="J39" s="92">
        <v>-8.094180666139139824587082700</v>
      </c>
      <c r="K39" s="92">
        <v>-2.6175421872479386935034218200</v>
      </c>
      <c r="L39" s="92">
        <v>16.331773086982474074370555520</v>
      </c>
      <c r="M39" s="92">
        <v>-5.4592461481077522928095363800</v>
      </c>
      <c r="N39" s="1007">
        <v>-11.044620532183612222994690910</v>
      </c>
      <c r="O39" s="92">
        <v>-3.8693861858512351675854676600</v>
      </c>
      <c r="P39" s="92">
        <v>1.599288519129909224921061600</v>
      </c>
      <c r="Q39" s="92">
        <v>-1.7530606137861855073220900800</v>
      </c>
      <c r="R39" s="92">
        <v>2.7283777333749540338101515400</v>
      </c>
      <c r="S39" s="92">
        <v>2.2250965049635962429183830700</v>
      </c>
      <c r="T39" s="1007">
        <v>4.7281210519811651492261397600</v>
      </c>
      <c r="U39" s="113"/>
      <c r="V39" s="271">
        <v>-12.705994210270527244191079270</v>
      </c>
      <c r="W39" s="92">
        <v>-4.6062580961934284588872711800</v>
      </c>
      <c r="X39" s="272">
        <v>0.5012258654574712396212613600</v>
      </c>
      <c r="Y39" s="113"/>
      <c r="Z39" s="271">
        <v>-20.784066199399332586660726110</v>
      </c>
      <c r="AA39" s="92">
        <v>-7.2533733483232187914940825500</v>
      </c>
      <c r="AB39" s="272">
        <v>2.943008932440530983122025400</v>
      </c>
      <c r="AC39" s="113"/>
      <c r="AD39" s="271">
        <v>-10.020455246144347814167734690</v>
      </c>
      <c r="AE39" s="92">
        <v>-5.0085684284459454552752338900</v>
      </c>
      <c r="AF39" s="272">
        <v>-1.5744413931280540464516884800</v>
      </c>
      <c r="AG39" s="113"/>
    </row>
    <row r="40" ht="21.95" customHeight="1">
      <c r="B40" s="40" t="s">
        <v>98</v>
      </c>
      <c r="C40" s="576">
        <v>0.98518854320669589672486900</v>
      </c>
      <c r="D40" s="113">
        <v>1.3438379535191360758374382200</v>
      </c>
      <c r="E40" s="113">
        <v>5.3430918985152789770739016700</v>
      </c>
      <c r="F40" s="113">
        <v>1.7978855360161679421536155100</v>
      </c>
      <c r="G40" s="113">
        <v>-3.317328652342090785563840800</v>
      </c>
      <c r="H40" s="113">
        <v>-0.8476824758305974504213562800</v>
      </c>
      <c r="I40" s="113">
        <v>5.3910849631320277215804956800</v>
      </c>
      <c r="J40" s="113">
        <v>2.101911293349992489261666400</v>
      </c>
      <c r="K40" s="113">
        <v>1.5540346266076658835334880300</v>
      </c>
      <c r="L40" s="113">
        <v>-10.690374870477980955246744320</v>
      </c>
      <c r="M40" s="113">
        <v>-8.511618884302690968406089400</v>
      </c>
      <c r="N40" s="1008">
        <v>-5.578885974925605732412804900</v>
      </c>
      <c r="O40" s="113">
        <v>1.5033460935261818667971545500</v>
      </c>
      <c r="P40" s="113">
        <v>-4.3482680941868268788002541100</v>
      </c>
      <c r="Q40" s="113">
        <v>-3.1786530515959592171405758100</v>
      </c>
      <c r="R40" s="113">
        <v>0.4021241043601922872914202600</v>
      </c>
      <c r="S40" s="113">
        <v>-2.7179438795797230719952385200</v>
      </c>
      <c r="T40" s="1008">
        <v>-2.3581914533514760327390103900</v>
      </c>
      <c r="U40" s="113"/>
      <c r="V40" s="576">
        <v>2.1027101274150372322685548800</v>
      </c>
      <c r="W40" s="113">
        <v>2.3195112177248215315219384100</v>
      </c>
      <c r="X40" s="577">
        <v>-2.1396726933619931192641480300</v>
      </c>
      <c r="Y40" s="113"/>
      <c r="Z40" s="576">
        <v>0.3115144821613162046827604500</v>
      </c>
      <c r="AA40" s="113">
        <v>0.4152191881009876965044147900</v>
      </c>
      <c r="AB40" s="577">
        <v>-1.4690552152842337625716518400</v>
      </c>
      <c r="AC40" s="113"/>
      <c r="AD40" s="576">
        <v>2.5141180100676074305736231900</v>
      </c>
      <c r="AE40" s="113">
        <v>-0.4275639933108246824656568500</v>
      </c>
      <c r="AF40" s="577">
        <v>-2.6020414494222008839907971900</v>
      </c>
      <c r="AG40" s="113"/>
    </row>
    <row r="41" ht="21.95" customHeight="1">
      <c r="A41" s="23"/>
      <c r="B41" s="39" t="s">
        <v>23</v>
      </c>
      <c r="C41" s="273" t="s">
        <v>309</v>
      </c>
      <c r="D41" s="274" t="s">
        <v>309</v>
      </c>
      <c r="E41" s="274" t="s">
        <v>307</v>
      </c>
      <c r="F41" s="274" t="s">
        <v>309</v>
      </c>
      <c r="G41" s="274" t="s">
        <v>306</v>
      </c>
      <c r="H41" s="274" t="s">
        <v>306</v>
      </c>
      <c r="I41" s="274" t="s">
        <v>307</v>
      </c>
      <c r="J41" s="274" t="s">
        <v>307</v>
      </c>
      <c r="K41" s="274" t="s">
        <v>309</v>
      </c>
      <c r="L41" s="274" t="s">
        <v>313</v>
      </c>
      <c r="M41" s="274" t="s">
        <v>312</v>
      </c>
      <c r="N41" s="1009" t="s">
        <v>309</v>
      </c>
      <c r="O41" s="274" t="s">
        <v>309</v>
      </c>
      <c r="P41" s="274" t="s">
        <v>312</v>
      </c>
      <c r="Q41" s="274" t="s">
        <v>308</v>
      </c>
      <c r="R41" s="274" t="s">
        <v>309</v>
      </c>
      <c r="S41" s="274" t="s">
        <v>308</v>
      </c>
      <c r="T41" s="1009" t="s">
        <v>309</v>
      </c>
      <c r="U41" s="113"/>
      <c r="V41" s="273" t="s">
        <v>309</v>
      </c>
      <c r="W41" s="274" t="s">
        <v>309</v>
      </c>
      <c r="X41" s="275" t="s">
        <v>306</v>
      </c>
      <c r="Y41" s="113"/>
      <c r="Z41" s="273" t="s">
        <v>306</v>
      </c>
      <c r="AA41" s="274" t="s">
        <v>306</v>
      </c>
      <c r="AB41" s="275" t="s">
        <v>306</v>
      </c>
      <c r="AC41" s="113"/>
      <c r="AD41" s="273" t="s">
        <v>309</v>
      </c>
      <c r="AE41" s="274" t="s">
        <v>309</v>
      </c>
      <c r="AF41" s="275" t="s">
        <v>308</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2">
        <v>2024</v>
      </c>
      <c r="D43" s="1002"/>
      <c r="E43" s="1002"/>
      <c r="F43" s="1002"/>
      <c r="G43" s="1002"/>
      <c r="H43" s="1002"/>
      <c r="I43" s="1002"/>
      <c r="J43" s="1002"/>
      <c r="K43" s="1002"/>
      <c r="L43" s="1002"/>
      <c r="M43" s="1002"/>
      <c r="N43" s="1002"/>
      <c r="O43" s="1002">
        <v>2025</v>
      </c>
      <c r="P43" s="1002"/>
      <c r="Q43" s="1002"/>
      <c r="R43" s="1002"/>
      <c r="S43" s="1002"/>
      <c r="T43" s="1002"/>
      <c r="U43" s="119"/>
      <c r="V43" s="1003" t="s">
        <v>58</v>
      </c>
      <c r="W43" s="1003"/>
      <c r="X43" s="1003"/>
      <c r="Y43" s="119"/>
      <c r="Z43" s="1003" t="s">
        <v>44</v>
      </c>
      <c r="AA43" s="1003"/>
      <c r="AB43" s="1003"/>
      <c r="AC43" s="119"/>
      <c r="AD43" s="1004" t="s">
        <v>45</v>
      </c>
      <c r="AE43" s="1004"/>
      <c r="AF43" s="1004"/>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218</v>
      </c>
      <c r="D44" s="269" t="s">
        <v>220</v>
      </c>
      <c r="E44" s="269" t="s">
        <v>221</v>
      </c>
      <c r="F44" s="269" t="s">
        <v>223</v>
      </c>
      <c r="G44" s="269" t="s">
        <v>224</v>
      </c>
      <c r="H44" s="269" t="s">
        <v>225</v>
      </c>
      <c r="I44" s="269" t="s">
        <v>228</v>
      </c>
      <c r="J44" s="269" t="s">
        <v>229</v>
      </c>
      <c r="K44" s="269" t="s">
        <v>230</v>
      </c>
      <c r="L44" s="269" t="s">
        <v>231</v>
      </c>
      <c r="M44" s="269" t="s">
        <v>232</v>
      </c>
      <c r="N44" s="1005" t="s">
        <v>234</v>
      </c>
      <c r="O44" s="269" t="s">
        <v>218</v>
      </c>
      <c r="P44" s="269" t="s">
        <v>220</v>
      </c>
      <c r="Q44" s="269" t="s">
        <v>221</v>
      </c>
      <c r="R44" s="269" t="s">
        <v>223</v>
      </c>
      <c r="S44" s="269" t="s">
        <v>224</v>
      </c>
      <c r="T44" s="1005" t="s">
        <v>225</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256.78372434017595307917888563</v>
      </c>
      <c r="D45" s="579">
        <v>326.2270114942528735632183908</v>
      </c>
      <c r="E45" s="579">
        <v>289.40347018572825024437927664</v>
      </c>
      <c r="F45" s="579">
        <v>240.95631313131313131313131313</v>
      </c>
      <c r="G45" s="579">
        <v>189.88831867057673509286412512</v>
      </c>
      <c r="H45" s="579">
        <v>134.08611111111111111111111111</v>
      </c>
      <c r="I45" s="579">
        <v>132.24608993157380254154447703</v>
      </c>
      <c r="J45" s="579">
        <v>117.50879765395894428152492669</v>
      </c>
      <c r="K45" s="579">
        <v>106.32727272727272727272727273</v>
      </c>
      <c r="L45" s="579">
        <v>149.12561094819159335288367546</v>
      </c>
      <c r="M45" s="579">
        <v>175.57045454545454545454545455</v>
      </c>
      <c r="N45" s="1010">
        <v>244.84066471163245356793743891</v>
      </c>
      <c r="O45" s="579">
        <v>254.33015640273704789833822092</v>
      </c>
      <c r="P45" s="579">
        <v>316.26190476190476190476190476</v>
      </c>
      <c r="Q45" s="579">
        <v>271.2277614858260019550342131</v>
      </c>
      <c r="R45" s="579">
        <v>247.98737373737373737373737374</v>
      </c>
      <c r="S45" s="579">
        <v>180.84017595307917888563049853</v>
      </c>
      <c r="T45" s="1010">
        <v>141.75555555555555555555555556</v>
      </c>
      <c r="U45" s="113"/>
      <c r="V45" s="578">
        <v>244.42662816005357441821530219</v>
      </c>
      <c r="W45" s="579">
        <v>239.17690642690642690642690643</v>
      </c>
      <c r="X45" s="580">
        <v>234.5080780177465260338188515</v>
      </c>
      <c r="Y45" s="113"/>
      <c r="Z45" s="578">
        <v>197.29145854145854145854145854</v>
      </c>
      <c r="AA45" s="579">
        <v>188.32758907758907758907758908</v>
      </c>
      <c r="AB45" s="580">
        <v>190.09157509157509157509157509</v>
      </c>
      <c r="AC45" s="113"/>
      <c r="AD45" s="578">
        <v>216.58615608136156081361560814</v>
      </c>
      <c r="AE45" s="579">
        <v>201.070955456201357840702103</v>
      </c>
      <c r="AF45" s="580">
        <v>194.13219178082191780821917808</v>
      </c>
      <c r="AG45" s="113"/>
    </row>
    <row r="46" ht="21.95" customHeight="1">
      <c r="B46" s="38" t="s">
        <v>35</v>
      </c>
      <c r="C46" s="276">
        <v>238.59199731443025325547262905</v>
      </c>
      <c r="D46" s="94">
        <v>307.65902493574111921681302724</v>
      </c>
      <c r="E46" s="94">
        <v>269.88579333603972145020766324</v>
      </c>
      <c r="F46" s="94">
        <v>221.49923588254275572765408196</v>
      </c>
      <c r="G46" s="94">
        <v>186.55644692876994660088061706</v>
      </c>
      <c r="H46" s="94">
        <v>138.41507454017424975798644724</v>
      </c>
      <c r="I46" s="94">
        <v>126.80732535989757361896137151</v>
      </c>
      <c r="J46" s="94">
        <v>102.59505605346157449333291697</v>
      </c>
      <c r="K46" s="94">
        <v>97.34611681187479832203936754</v>
      </c>
      <c r="L46" s="94">
        <v>156.47900821284701620710114605</v>
      </c>
      <c r="M46" s="94">
        <v>155.66611423039690222652468538</v>
      </c>
      <c r="N46" s="1011">
        <v>231.82395059800768197857789714</v>
      </c>
      <c r="O46" s="94">
        <v>243.60433813196764825281828686</v>
      </c>
      <c r="P46" s="94">
        <v>328.1949961969298852164292629</v>
      </c>
      <c r="Q46" s="94">
        <v>265.59667551447397183274521438</v>
      </c>
      <c r="R46" s="94">
        <v>236.94045014520813165537270087</v>
      </c>
      <c r="S46" s="94">
        <v>191.01827124254442119726446616</v>
      </c>
      <c r="T46" s="1011">
        <v>153.95431300419490158115521136</v>
      </c>
      <c r="U46" s="113"/>
      <c r="V46" s="276">
        <v>223.92174009081525139993474994</v>
      </c>
      <c r="W46" s="94">
        <v>226.28697997700938708918988303</v>
      </c>
      <c r="X46" s="277">
        <v>235.4867437544458290769255454</v>
      </c>
      <c r="Y46" s="113"/>
      <c r="Z46" s="276">
        <v>175.70205142389072689169494591</v>
      </c>
      <c r="AA46" s="94">
        <v>182.20526557663053306809357148</v>
      </c>
      <c r="AB46" s="277">
        <v>193.93856376924140718913226174</v>
      </c>
      <c r="AC46" s="113"/>
      <c r="AD46" s="276">
        <v>193.78840851711591297245117695</v>
      </c>
      <c r="AE46" s="94">
        <v>185.03190931385212940690660266</v>
      </c>
      <c r="AF46" s="277">
        <v>190.03378930896842551950032489</v>
      </c>
      <c r="AG46" s="113"/>
    </row>
    <row r="47" ht="21.95" customHeight="1">
      <c r="B47" s="40" t="s">
        <v>99</v>
      </c>
      <c r="C47" s="576">
        <v>107.62461743501151711450852889</v>
      </c>
      <c r="D47" s="113">
        <v>106.03524845807254908961602536</v>
      </c>
      <c r="E47" s="113">
        <v>107.23182817756891247986059448</v>
      </c>
      <c r="F47" s="113">
        <v>108.78426382433871749640224772</v>
      </c>
      <c r="G47" s="113">
        <v>101.78598584858788451146837016</v>
      </c>
      <c r="H47" s="113">
        <v>96.87247690074997965413775744</v>
      </c>
      <c r="I47" s="113">
        <v>104.28899872798175982305290599</v>
      </c>
      <c r="J47" s="113">
        <v>114.53651099199352345088479862</v>
      </c>
      <c r="K47" s="113">
        <v>109.22600326495492307526501857</v>
      </c>
      <c r="L47" s="113">
        <v>95.30071327228229585240401696</v>
      </c>
      <c r="M47" s="113">
        <v>112.78655949848809893849400943</v>
      </c>
      <c r="N47" s="1008">
        <v>105.61491342031540369942420737</v>
      </c>
      <c r="O47" s="113">
        <v>104.40296685723434516457128333</v>
      </c>
      <c r="P47" s="113">
        <v>96.36402395731956825228367433</v>
      </c>
      <c r="Q47" s="113">
        <v>102.12016432826870158901339538</v>
      </c>
      <c r="R47" s="113">
        <v>104.66232067399384434152054314</v>
      </c>
      <c r="S47" s="113">
        <v>94.67166401244433505287721195</v>
      </c>
      <c r="T47" s="1008">
        <v>92.07637823806101987513463993</v>
      </c>
      <c r="U47" s="113"/>
      <c r="V47" s="576">
        <v>109.15716716962759695784493464</v>
      </c>
      <c r="W47" s="113">
        <v>105.69627401948471358401106001</v>
      </c>
      <c r="X47" s="577">
        <v>99.58440729144644776336596136</v>
      </c>
      <c r="Y47" s="113"/>
      <c r="Z47" s="576">
        <v>112.28750998784401590171003475</v>
      </c>
      <c r="AA47" s="113">
        <v>103.36012435294589350642066634</v>
      </c>
      <c r="AB47" s="577">
        <v>98.01638797211931249255973058</v>
      </c>
      <c r="AC47" s="113"/>
      <c r="AD47" s="576">
        <v>111.76424727294763583857058324</v>
      </c>
      <c r="AE47" s="113">
        <v>108.66825954602872909110931909</v>
      </c>
      <c r="AF47" s="577">
        <v>102.15667039357816850773976695</v>
      </c>
      <c r="AG47" s="113"/>
    </row>
    <row r="48" ht="21.95" customHeight="1">
      <c r="A48" s="23"/>
      <c r="B48" s="39" t="s">
        <v>23</v>
      </c>
      <c r="C48" s="273" t="s">
        <v>307</v>
      </c>
      <c r="D48" s="274" t="s">
        <v>307</v>
      </c>
      <c r="E48" s="274" t="s">
        <v>307</v>
      </c>
      <c r="F48" s="274" t="s">
        <v>307</v>
      </c>
      <c r="G48" s="274" t="s">
        <v>311</v>
      </c>
      <c r="H48" s="274" t="s">
        <v>306</v>
      </c>
      <c r="I48" s="274" t="s">
        <v>311</v>
      </c>
      <c r="J48" s="274" t="s">
        <v>307</v>
      </c>
      <c r="K48" s="274" t="s">
        <v>311</v>
      </c>
      <c r="L48" s="274" t="s">
        <v>309</v>
      </c>
      <c r="M48" s="274" t="s">
        <v>305</v>
      </c>
      <c r="N48" s="1009" t="s">
        <v>307</v>
      </c>
      <c r="O48" s="274" t="s">
        <v>307</v>
      </c>
      <c r="P48" s="274" t="s">
        <v>309</v>
      </c>
      <c r="Q48" s="274" t="s">
        <v>307</v>
      </c>
      <c r="R48" s="274" t="s">
        <v>307</v>
      </c>
      <c r="S48" s="274" t="s">
        <v>308</v>
      </c>
      <c r="T48" s="1009" t="s">
        <v>308</v>
      </c>
      <c r="U48" s="113"/>
      <c r="V48" s="273" t="s">
        <v>305</v>
      </c>
      <c r="W48" s="274" t="s">
        <v>305</v>
      </c>
      <c r="X48" s="275" t="s">
        <v>309</v>
      </c>
      <c r="Y48" s="113"/>
      <c r="Z48" s="273" t="s">
        <v>307</v>
      </c>
      <c r="AA48" s="274" t="s">
        <v>311</v>
      </c>
      <c r="AB48" s="275" t="s">
        <v>306</v>
      </c>
      <c r="AC48" s="113"/>
      <c r="AD48" s="273" t="s">
        <v>305</v>
      </c>
      <c r="AE48" s="274" t="s">
        <v>305</v>
      </c>
      <c r="AF48" s="275" t="s">
        <v>307</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-3.2783369263201432682346229400</v>
      </c>
      <c r="D50" s="574">
        <v>0.147349829674445464388405100</v>
      </c>
      <c r="E50" s="574">
        <v>0.3897796024556957236371573900</v>
      </c>
      <c r="F50" s="574">
        <v>4.9100138643372400464617334400</v>
      </c>
      <c r="G50" s="574">
        <v>-6.2987786642600053603046342500</v>
      </c>
      <c r="H50" s="574">
        <v>-15.861538949083926065805710980</v>
      </c>
      <c r="I50" s="574">
        <v>-13.473155381894249131028395710</v>
      </c>
      <c r="J50" s="574">
        <v>-4.6519375141507881124224555800</v>
      </c>
      <c r="K50" s="574">
        <v>-2.9889707830734737770673180900</v>
      </c>
      <c r="L50" s="574">
        <v>3.6667697294080710262708322400</v>
      </c>
      <c r="M50" s="574">
        <v>3.2989874527243521923216165700</v>
      </c>
      <c r="N50" s="1006">
        <v>-12.323665105465448187067301180</v>
      </c>
      <c r="O50" s="574">
        <v>-0.955499786354193472357622200</v>
      </c>
      <c r="P50" s="574">
        <v>-3.0546540848195071602992651500</v>
      </c>
      <c r="Q50" s="574">
        <v>-6.2804045467081948954270206200</v>
      </c>
      <c r="R50" s="574">
        <v>2.9179814858149940578076020500</v>
      </c>
      <c r="S50" s="574">
        <v>-4.7649812167838871871079262500</v>
      </c>
      <c r="T50" s="1006">
        <v>5.7197903503226135601375834500</v>
      </c>
      <c r="U50" s="113"/>
      <c r="V50" s="573">
        <v>-12.776239122684775657125947130</v>
      </c>
      <c r="W50" s="574">
        <v>-2.1477699760907364650351534100</v>
      </c>
      <c r="X50" s="575">
        <v>-1.9520398013762315556109819400</v>
      </c>
      <c r="Y50" s="113"/>
      <c r="Z50" s="573">
        <v>-23.316730621577094592165362270</v>
      </c>
      <c r="AA50" s="574">
        <v>-4.5434655560749398611959224200</v>
      </c>
      <c r="AB50" s="575">
        <v>0.9366583104551106031407906300</v>
      </c>
      <c r="AC50" s="113"/>
      <c r="AD50" s="573">
        <v>-7.1300510409279076674125020700</v>
      </c>
      <c r="AE50" s="574">
        <v>-7.1635237015645329917690432400</v>
      </c>
      <c r="AF50" s="575">
        <v>-3.4509030205954224526483721600</v>
      </c>
      <c r="AG50" s="113"/>
    </row>
    <row r="51" ht="21.95" customHeight="1">
      <c r="B51" s="38" t="s">
        <v>35</v>
      </c>
      <c r="C51" s="271">
        <v>-2.4971917427407654540122811400</v>
      </c>
      <c r="D51" s="92">
        <v>2.1998459626171330759658884400</v>
      </c>
      <c r="E51" s="92">
        <v>-1.8728072112419145321247059400</v>
      </c>
      <c r="F51" s="92">
        <v>5.2124177464720894248325341900</v>
      </c>
      <c r="G51" s="92">
        <v>3.9883706615847279645439470600</v>
      </c>
      <c r="H51" s="92">
        <v>0.9917425700284491095360454300</v>
      </c>
      <c r="I51" s="92">
        <v>-2.5571467731906610172259625900</v>
      </c>
      <c r="J51" s="92">
        <v>0.215516338738898625676708100</v>
      </c>
      <c r="K51" s="92">
        <v>0.0248673232141538976535149800</v>
      </c>
      <c r="L51" s="92">
        <v>26.161399253208062618355112310</v>
      </c>
      <c r="M51" s="92">
        <v>-3.5349026318512018266172778100</v>
      </c>
      <c r="N51" s="1007">
        <v>-7.4517497097351775836731192700</v>
      </c>
      <c r="O51" s="92">
        <v>2.1008000578337641689586647400</v>
      </c>
      <c r="P51" s="92">
        <v>6.6749126782553686076810081900</v>
      </c>
      <c r="Q51" s="92">
        <v>-1.5892343826287294202337856200</v>
      </c>
      <c r="R51" s="92">
        <v>6.9712268763307712876541737300</v>
      </c>
      <c r="S51" s="92">
        <v>2.3916752206624593115112967300</v>
      </c>
      <c r="T51" s="1007">
        <v>11.226550659756230681314416100</v>
      </c>
      <c r="U51" s="113"/>
      <c r="V51" s="271">
        <v>-12.531824826570026301860234860</v>
      </c>
      <c r="W51" s="92">
        <v>1.0562797007786225316411411300</v>
      </c>
      <c r="X51" s="272">
        <v>4.0655294345175762418432505200</v>
      </c>
      <c r="Y51" s="113"/>
      <c r="Z51" s="271">
        <v>-25.968008624348405146630830560</v>
      </c>
      <c r="AA51" s="92">
        <v>3.7012738895352069910406618100</v>
      </c>
      <c r="AB51" s="272">
        <v>6.4396043415708369105770989200</v>
      </c>
      <c r="AC51" s="113"/>
      <c r="AD51" s="271">
        <v>-6.9487869451489313752759433100</v>
      </c>
      <c r="AE51" s="92">
        <v>-4.5185877061760337927215577300</v>
      </c>
      <c r="AF51" s="272">
        <v>2.7032526517266356721912302800</v>
      </c>
      <c r="AG51" s="113"/>
    </row>
    <row r="52" ht="21.95" customHeight="1">
      <c r="B52" s="40" t="s">
        <v>99</v>
      </c>
      <c r="C52" s="576">
        <v>-0.8011514719722847171580795700</v>
      </c>
      <c r="D52" s="113">
        <v>-2.0083162685558228168462950500</v>
      </c>
      <c r="E52" s="113">
        <v>2.3057694298863420639978163800</v>
      </c>
      <c r="F52" s="113">
        <v>-0.2874222345595789568502145400</v>
      </c>
      <c r="G52" s="113">
        <v>-9.892595931994835599410070310</v>
      </c>
      <c r="H52" s="113">
        <v>-16.687781684185680644880262120</v>
      </c>
      <c r="I52" s="113">
        <v>-11.202472266787617044254462120</v>
      </c>
      <c r="J52" s="113">
        <v>-4.8569862539934868294089018100</v>
      </c>
      <c r="K52" s="113">
        <v>-3.0130888317819367481357734600</v>
      </c>
      <c r="L52" s="113">
        <v>-17.830041246296584652259805170</v>
      </c>
      <c r="M52" s="113">
        <v>7.0843136750992826637025467400</v>
      </c>
      <c r="N52" s="1008">
        <v>-5.2641896313071983316720240600</v>
      </c>
      <c r="O52" s="113">
        <v>-2.9934141969994681407145265500</v>
      </c>
      <c r="P52" s="113">
        <v>-9.120763747351459036620814830</v>
      </c>
      <c r="Q52" s="113">
        <v>-4.7669278200360760450736077800</v>
      </c>
      <c r="R52" s="113">
        <v>-3.7890987220022944798684194400</v>
      </c>
      <c r="S52" s="113">
        <v>-6.9894905244988770862956399100</v>
      </c>
      <c r="T52" s="1008">
        <v>-4.9509404694537376297634275800</v>
      </c>
      <c r="U52" s="113"/>
      <c r="V52" s="576">
        <v>-0.279432257108191397215061700</v>
      </c>
      <c r="W52" s="113">
        <v>-3.1705596983274741525909552300</v>
      </c>
      <c r="X52" s="577">
        <v>-5.7824807778237939446743400100</v>
      </c>
      <c r="Y52" s="113"/>
      <c r="Z52" s="576">
        <v>3.5812598763414022340448664300</v>
      </c>
      <c r="AA52" s="113">
        <v>-7.950470747658456336589586260</v>
      </c>
      <c r="AB52" s="577">
        <v>-5.1700173681445043692655723800</v>
      </c>
      <c r="AC52" s="113"/>
      <c r="AD52" s="576">
        <v>-0.194800357613100793706784500</v>
      </c>
      <c r="AE52" s="113">
        <v>-2.7701056486441970961793059200</v>
      </c>
      <c r="AF52" s="577">
        <v>-5.9921721205679495739038465500</v>
      </c>
      <c r="AG52" s="113"/>
    </row>
    <row r="53" ht="21.95" customHeight="1">
      <c r="A53" s="23"/>
      <c r="B53" s="39" t="s">
        <v>23</v>
      </c>
      <c r="C53" s="273" t="s">
        <v>309</v>
      </c>
      <c r="D53" s="274" t="s">
        <v>306</v>
      </c>
      <c r="E53" s="274" t="s">
        <v>307</v>
      </c>
      <c r="F53" s="274" t="s">
        <v>308</v>
      </c>
      <c r="G53" s="274" t="s">
        <v>308</v>
      </c>
      <c r="H53" s="274" t="s">
        <v>312</v>
      </c>
      <c r="I53" s="274" t="s">
        <v>312</v>
      </c>
      <c r="J53" s="274" t="s">
        <v>308</v>
      </c>
      <c r="K53" s="274" t="s">
        <v>308</v>
      </c>
      <c r="L53" s="274" t="s">
        <v>312</v>
      </c>
      <c r="M53" s="274" t="s">
        <v>311</v>
      </c>
      <c r="N53" s="1009" t="s">
        <v>306</v>
      </c>
      <c r="O53" s="274" t="s">
        <v>306</v>
      </c>
      <c r="P53" s="274" t="s">
        <v>312</v>
      </c>
      <c r="Q53" s="274" t="s">
        <v>312</v>
      </c>
      <c r="R53" s="274" t="s">
        <v>308</v>
      </c>
      <c r="S53" s="274" t="s">
        <v>308</v>
      </c>
      <c r="T53" s="1009" t="s">
        <v>308</v>
      </c>
      <c r="U53" s="113"/>
      <c r="V53" s="273" t="s">
        <v>309</v>
      </c>
      <c r="W53" s="274" t="s">
        <v>309</v>
      </c>
      <c r="X53" s="275" t="s">
        <v>313</v>
      </c>
      <c r="Y53" s="113"/>
      <c r="Z53" s="273" t="s">
        <v>311</v>
      </c>
      <c r="AA53" s="274" t="s">
        <v>312</v>
      </c>
      <c r="AB53" s="275" t="s">
        <v>308</v>
      </c>
      <c r="AC53" s="113"/>
      <c r="AD53" s="273" t="s">
        <v>306</v>
      </c>
      <c r="AE53" s="274" t="s">
        <v>308</v>
      </c>
      <c r="AF53" s="275" t="s">
        <v>312</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2" t="s">
        <v>100</v>
      </c>
      <c r="C55" s="1012"/>
      <c r="D55" s="1012"/>
      <c r="E55" s="1012"/>
      <c r="F55" s="1012"/>
      <c r="G55" s="1012"/>
      <c r="H55" s="1012"/>
      <c r="I55" s="1012"/>
      <c r="J55" s="1012"/>
      <c r="K55" s="1012"/>
      <c r="L55" s="1012"/>
      <c r="M55" s="1012"/>
      <c r="N55" s="1012"/>
      <c r="O55" s="1012"/>
      <c r="P55" s="1012"/>
      <c r="Q55" s="1012"/>
      <c r="R55" s="1012"/>
      <c r="S55" s="1012"/>
      <c r="T55" s="1012"/>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3" t="s">
        <v>126</v>
      </c>
      <c r="C57" s="1013"/>
      <c r="D57" s="1013"/>
      <c r="E57" s="1013"/>
      <c r="F57" s="1013"/>
      <c r="G57" s="1013"/>
      <c r="H57" s="1013"/>
      <c r="I57" s="1013"/>
      <c r="J57" s="1013"/>
      <c r="K57" s="1013"/>
      <c r="L57" s="1013"/>
      <c r="M57" s="1013"/>
      <c r="N57" s="1013"/>
      <c r="O57" s="1013"/>
      <c r="P57" s="1013"/>
      <c r="Q57" s="1013"/>
      <c r="R57" s="1013"/>
      <c r="S57" s="1013"/>
      <c r="T57" s="1013"/>
      <c r="U57" s="1013"/>
      <c r="V57" s="1013"/>
      <c r="W57" s="1013"/>
      <c r="X57" s="1013"/>
      <c r="Y57" s="1013"/>
      <c r="Z57" s="1013"/>
      <c r="AA57" s="1013"/>
      <c r="AB57" s="1013"/>
      <c r="AC57" s="1013"/>
      <c r="AD57" s="1013"/>
      <c r="AE57" s="1013"/>
      <c r="AF57" s="1013"/>
    </row>
    <row r="58">
      <c r="A58"/>
    </row>
    <row r="59" s="281" customFormat="1">
      <c r="A59" s="1014"/>
      <c r="B59" s="1014" t="s">
        <v>109</v>
      </c>
      <c r="C59" s="1014"/>
      <c r="D59" s="1014"/>
      <c r="E59" s="1014"/>
      <c r="F59" s="1014"/>
      <c r="G59" s="1014"/>
      <c r="H59" s="1014"/>
      <c r="I59" s="1014"/>
      <c r="J59" s="1014"/>
      <c r="K59" s="1014"/>
      <c r="L59" s="1014"/>
      <c r="M59" s="1014"/>
      <c r="N59" s="1014"/>
      <c r="O59" s="1014"/>
      <c r="P59" s="1014"/>
      <c r="Q59" s="1014"/>
      <c r="R59" s="1014"/>
      <c r="S59" s="1014"/>
      <c r="T59" s="1014"/>
      <c r="U59" s="1014"/>
      <c r="V59" s="1014"/>
      <c r="W59" s="1014"/>
      <c r="X59" s="1014"/>
      <c r="Y59" s="1014"/>
      <c r="Z59" s="1014"/>
      <c r="AA59" s="1014"/>
      <c r="AB59" s="1014"/>
      <c r="AC59" s="1014"/>
      <c r="AD59" s="1014"/>
      <c r="AE59" s="1014"/>
      <c r="AF59" s="1014"/>
      <c r="AG59" s="1014"/>
    </row>
    <row r="60" s="281" customFormat="1">
      <c r="A60" s="1014"/>
      <c r="B60" s="1014" t="s">
        <v>110</v>
      </c>
      <c r="C60" s="1014">
        <v>100</v>
      </c>
      <c r="D60" s="1014">
        <v>100</v>
      </c>
      <c r="E60" s="1014">
        <v>100</v>
      </c>
      <c r="F60" s="1014">
        <v>100</v>
      </c>
      <c r="G60" s="1014">
        <v>100</v>
      </c>
      <c r="H60" s="1014">
        <v>100</v>
      </c>
      <c r="I60" s="1014">
        <v>100</v>
      </c>
      <c r="J60" s="1014">
        <v>100</v>
      </c>
      <c r="K60" s="1014">
        <v>100</v>
      </c>
      <c r="L60" s="1014">
        <v>100</v>
      </c>
      <c r="M60" s="1014">
        <v>100</v>
      </c>
      <c r="N60" s="1014">
        <v>100</v>
      </c>
      <c r="O60" s="1014">
        <v>100</v>
      </c>
      <c r="P60" s="1014">
        <v>100</v>
      </c>
      <c r="Q60" s="1014">
        <v>100</v>
      </c>
      <c r="R60" s="1014">
        <v>100</v>
      </c>
      <c r="S60" s="1014">
        <v>100</v>
      </c>
      <c r="T60" s="1014">
        <v>100</v>
      </c>
      <c r="U60" s="1014"/>
      <c r="V60" s="1014"/>
      <c r="W60" s="1014"/>
      <c r="X60" s="1014"/>
      <c r="Y60" s="1014"/>
      <c r="Z60" s="1014"/>
      <c r="AA60" s="1014"/>
      <c r="AB60" s="1014"/>
      <c r="AC60" s="1014"/>
      <c r="AD60" s="1014"/>
      <c r="AE60" s="1014"/>
      <c r="AF60" s="1014"/>
      <c r="AG60" s="1014"/>
    </row>
    <row r="61" s="281" customFormat="1">
      <c r="A61" s="1014"/>
      <c r="B61" s="1014" t="s">
        <v>111</v>
      </c>
      <c r="C61" s="1014"/>
      <c r="D61" s="1014"/>
      <c r="E61" s="1014"/>
      <c r="F61" s="1014"/>
      <c r="G61" s="1014"/>
      <c r="H61" s="1014"/>
      <c r="I61" s="1014"/>
      <c r="J61" s="1014"/>
      <c r="K61" s="1014"/>
      <c r="L61" s="1014"/>
      <c r="M61" s="1014"/>
      <c r="N61" s="1014"/>
      <c r="O61" s="1014"/>
      <c r="P61" s="1014"/>
      <c r="Q61" s="1014"/>
      <c r="R61" s="1014"/>
      <c r="S61" s="1014"/>
      <c r="T61" s="1014"/>
      <c r="U61" s="1014"/>
      <c r="V61" s="1014"/>
      <c r="W61" s="1014"/>
      <c r="X61" s="1014"/>
      <c r="Y61" s="1014"/>
      <c r="Z61" s="1014"/>
      <c r="AA61" s="1014"/>
      <c r="AB61" s="1014"/>
      <c r="AC61" s="1014"/>
      <c r="AD61" s="1014"/>
      <c r="AE61" s="1014"/>
      <c r="AF61" s="1014"/>
      <c r="AG61" s="1014"/>
    </row>
    <row r="62" s="281" customFormat="1">
      <c r="A62" s="1014"/>
      <c r="B62" s="1014"/>
      <c r="C62" s="1014"/>
      <c r="D62" s="1014"/>
      <c r="E62" s="1014"/>
      <c r="F62" s="1014"/>
      <c r="G62" s="1014"/>
      <c r="H62" s="1014"/>
      <c r="I62" s="1014"/>
      <c r="J62" s="1014"/>
      <c r="K62" s="1014"/>
      <c r="L62" s="1014"/>
      <c r="M62" s="1014"/>
      <c r="N62" s="1014"/>
      <c r="O62" s="1014"/>
      <c r="P62" s="1014"/>
      <c r="Q62" s="1014"/>
      <c r="R62" s="1014"/>
      <c r="S62" s="1014"/>
      <c r="T62" s="1014"/>
      <c r="U62" s="1014"/>
      <c r="V62" s="1014"/>
      <c r="W62" s="1014"/>
      <c r="X62" s="1014"/>
      <c r="Y62" s="1014"/>
      <c r="Z62" s="1014"/>
      <c r="AA62" s="1014"/>
      <c r="AB62" s="1014"/>
      <c r="AC62" s="1014"/>
      <c r="AD62" s="1014"/>
      <c r="AE62" s="1014"/>
      <c r="AF62" s="1014"/>
      <c r="AG62" s="1014"/>
    </row>
    <row r="63" s="281" customFormat="1">
      <c r="A63" s="1014"/>
      <c r="B63" s="1014"/>
      <c r="C63" s="1014"/>
      <c r="D63" s="1014"/>
      <c r="E63" s="1014"/>
      <c r="F63" s="1014"/>
      <c r="G63" s="1014"/>
      <c r="H63" s="1014"/>
      <c r="I63" s="1014"/>
      <c r="J63" s="1014"/>
      <c r="K63" s="1014"/>
      <c r="L63" s="1014"/>
      <c r="M63" s="1014"/>
      <c r="N63" s="1014"/>
      <c r="O63" s="1014"/>
      <c r="P63" s="1014"/>
      <c r="Q63" s="1014"/>
      <c r="R63" s="1014"/>
      <c r="S63" s="1014"/>
      <c r="T63" s="1014"/>
      <c r="U63" s="1014"/>
      <c r="V63" s="1014"/>
      <c r="W63" s="1014"/>
      <c r="X63" s="1014"/>
      <c r="Y63" s="1014"/>
      <c r="Z63" s="1014"/>
      <c r="AA63" s="1014"/>
      <c r="AB63" s="1014"/>
      <c r="AC63" s="1014"/>
      <c r="AD63" s="1014"/>
      <c r="AE63" s="1014"/>
      <c r="AF63" s="1014"/>
      <c r="AG63" s="1014"/>
    </row>
    <row r="64" s="281" customFormat="1">
      <c r="A64" s="1014"/>
      <c r="B64" s="1014"/>
      <c r="C64" s="1014"/>
      <c r="D64" s="1014"/>
      <c r="E64" s="1014"/>
      <c r="F64" s="1014"/>
      <c r="G64" s="1014"/>
      <c r="H64" s="1014"/>
      <c r="I64" s="1014"/>
      <c r="J64" s="1014"/>
      <c r="K64" s="1014"/>
      <c r="L64" s="1014"/>
      <c r="M64" s="1014"/>
      <c r="N64" s="1014"/>
      <c r="O64" s="1014"/>
      <c r="P64" s="1014"/>
      <c r="Q64" s="1014"/>
      <c r="R64" s="1014"/>
      <c r="S64" s="1014"/>
      <c r="T64" s="1014"/>
      <c r="U64" s="1014"/>
      <c r="V64" s="1014"/>
      <c r="W64" s="1014"/>
      <c r="X64" s="1014"/>
      <c r="Y64" s="1014"/>
      <c r="Z64" s="1014"/>
      <c r="AA64" s="1014"/>
      <c r="AB64" s="1014"/>
      <c r="AC64" s="1014"/>
      <c r="AD64" s="1014"/>
      <c r="AE64" s="1014"/>
      <c r="AF64" s="1014"/>
      <c r="AG64" s="1014"/>
    </row>
    <row r="65" s="281" customFormat="1">
      <c r="A65" s="1014"/>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row>
    <row r="66" s="281" customFormat="1" ht="10.5" customHeight="1">
      <c r="A66" s="1014"/>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row>
    <row r="67" s="281" customFormat="1">
      <c r="A67" s="1014"/>
      <c r="B67" s="1014" t="s">
        <v>37</v>
      </c>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row>
    <row r="68" s="281" customFormat="1">
      <c r="A68" s="1014"/>
      <c r="B68" s="1014" t="s">
        <v>44</v>
      </c>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row>
    <row r="69" s="281" customFormat="1">
      <c r="A69" s="1014"/>
      <c r="B69" s="1014" t="s">
        <v>45</v>
      </c>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row>
    <row r="70" s="281" customFormat="1">
      <c r="A70" s="1014"/>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row>
    <row r="71" s="281" customFormat="1">
      <c r="A71" s="1014"/>
      <c r="B71" s="1014"/>
      <c r="C71" s="1014"/>
      <c r="D71" s="1014"/>
      <c r="E71" s="1014"/>
      <c r="F71" s="1014"/>
      <c r="G71" s="1014"/>
      <c r="H71" s="1014"/>
      <c r="I71" s="1014"/>
      <c r="J71" s="1014"/>
      <c r="K71" s="1014"/>
      <c r="L71" s="1014"/>
      <c r="M71" s="1014"/>
      <c r="N71" s="1014"/>
      <c r="O71" s="1014"/>
      <c r="P71" s="1014"/>
      <c r="Q71" s="1014"/>
      <c r="R71" s="1014"/>
      <c r="S71" s="1014"/>
      <c r="T71" s="1014"/>
      <c r="U71" s="1014"/>
      <c r="V71" s="1014"/>
      <c r="W71" s="1014"/>
      <c r="X71" s="1014"/>
      <c r="Y71" s="1014"/>
      <c r="Z71" s="1014"/>
      <c r="AA71" s="1014"/>
      <c r="AB71" s="1014"/>
      <c r="AC71" s="1014"/>
      <c r="AD71" s="1014"/>
      <c r="AE71" s="1014"/>
      <c r="AF71" s="1014"/>
      <c r="AG71" s="1014"/>
    </row>
    <row r="72" s="281" customFormat="1">
      <c r="A72" s="1014"/>
      <c r="B72" s="1014"/>
      <c r="C72" s="1014"/>
      <c r="D72" s="1014"/>
      <c r="E72" s="1014"/>
      <c r="F72" s="1014"/>
      <c r="G72" s="1014"/>
      <c r="H72" s="1014"/>
      <c r="I72" s="1014"/>
      <c r="J72" s="1014"/>
      <c r="K72" s="1014"/>
      <c r="L72" s="1014"/>
      <c r="M72" s="1014"/>
      <c r="N72" s="1014"/>
      <c r="O72" s="1014"/>
      <c r="P72" s="1014"/>
      <c r="Q72" s="1014"/>
      <c r="R72" s="1014"/>
      <c r="S72" s="1014"/>
      <c r="T72" s="1014"/>
      <c r="U72" s="1014"/>
      <c r="V72" s="1014"/>
      <c r="W72" s="1014"/>
      <c r="X72" s="1014"/>
      <c r="Y72" s="1014"/>
      <c r="Z72" s="1014"/>
      <c r="AA72" s="1014"/>
      <c r="AB72" s="1014"/>
      <c r="AC72" s="1014"/>
      <c r="AD72" s="1014"/>
      <c r="AE72" s="1014"/>
      <c r="AF72" s="1014"/>
      <c r="AG72" s="1014"/>
    </row>
    <row r="73" s="281" customFormat="1">
      <c r="A73" s="1014"/>
      <c r="B73" s="1014"/>
      <c r="C73" s="1014"/>
      <c r="D73" s="1014"/>
      <c r="E73" s="1014"/>
      <c r="F73" s="1014"/>
      <c r="G73" s="1014"/>
      <c r="H73" s="1014"/>
      <c r="I73" s="1014"/>
      <c r="J73" s="1014"/>
      <c r="K73" s="1014"/>
      <c r="L73" s="1014"/>
      <c r="M73" s="1014"/>
      <c r="N73" s="1014"/>
      <c r="O73" s="1014"/>
      <c r="P73" s="1014"/>
      <c r="Q73" s="1014"/>
      <c r="R73" s="1014"/>
      <c r="S73" s="1014"/>
      <c r="T73" s="1014"/>
      <c r="U73" s="1014"/>
      <c r="V73" s="1014"/>
      <c r="W73" s="1014"/>
      <c r="X73" s="1014"/>
      <c r="Y73" s="1014"/>
      <c r="Z73" s="1014"/>
      <c r="AA73" s="1014"/>
      <c r="AB73" s="1014"/>
      <c r="AC73" s="1014"/>
      <c r="AD73" s="1014"/>
      <c r="AE73" s="1014"/>
      <c r="AF73" s="1014"/>
      <c r="AG73" s="1014"/>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N19"/>
    <mergeCell ref="C31:N31"/>
    <mergeCell ref="C43:N43"/>
    <mergeCell ref="O19:T19"/>
    <mergeCell ref="O31:T31"/>
    <mergeCell ref="O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xl/worksheets/sheet8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2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171</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241</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243</v>
      </c>
      <c r="I6" s="1050"/>
      <c r="J6" s="1050"/>
      <c r="K6" s="1050"/>
      <c r="L6" s="1050"/>
      <c r="M6" s="1050"/>
      <c r="N6" s="1050"/>
      <c r="O6" s="1050"/>
      <c r="P6" s="1050"/>
      <c r="Q6" s="1050"/>
      <c r="R6" s="1050"/>
      <c r="S6" s="1050"/>
      <c r="T6" s="1050"/>
      <c r="U6" s="1050"/>
      <c r="Z6" s="1050" t="s">
        <v>244</v>
      </c>
      <c r="AA6" s="1050"/>
      <c r="AB6" s="1050"/>
      <c r="AC6" s="1050"/>
      <c r="AD6" s="1050"/>
      <c r="AE6" s="1050"/>
      <c r="AF6" s="1050"/>
      <c r="AG6" s="1050"/>
      <c r="AH6" s="1050"/>
      <c r="AI6" s="1050"/>
      <c r="AJ6" s="1050"/>
      <c r="AK6" s="1050"/>
      <c r="AL6" s="1050"/>
      <c r="AM6" s="1050"/>
    </row>
    <row r="7" ht="15" customHeight="1">
      <c r="D7" s="93" t="s">
        <v>246</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248</v>
      </c>
      <c r="E8" s="71"/>
      <c r="F8" s="71"/>
      <c r="G8" s="71"/>
      <c r="H8" s="1052">
        <v>1</v>
      </c>
      <c r="I8" s="1052"/>
      <c r="J8" s="1053">
        <v>2</v>
      </c>
      <c r="K8" s="1053"/>
      <c r="L8" s="1053">
        <v>3</v>
      </c>
      <c r="M8" s="1053"/>
      <c r="N8" s="1053">
        <v>4</v>
      </c>
      <c r="O8" s="1053"/>
      <c r="P8" s="1053">
        <v>5</v>
      </c>
      <c r="Q8" s="1053"/>
      <c r="R8" s="1053">
        <v>6</v>
      </c>
      <c r="S8" s="1053"/>
      <c r="T8" s="1054">
        <v>7</v>
      </c>
      <c r="U8" s="1054"/>
      <c r="Z8" s="1052"/>
      <c r="AA8" s="1052"/>
      <c r="AB8" s="1053"/>
      <c r="AC8" s="1053"/>
      <c r="AD8" s="1053"/>
      <c r="AE8" s="1053"/>
      <c r="AF8" s="1053"/>
      <c r="AG8" s="1053"/>
      <c r="AH8" s="1053"/>
      <c r="AI8" s="1053"/>
      <c r="AJ8" s="1053"/>
      <c r="AK8" s="1053"/>
      <c r="AL8" s="1054">
        <v>1</v>
      </c>
      <c r="AM8" s="1054"/>
    </row>
    <row r="9" ht="15" customHeight="1">
      <c r="D9" s="175"/>
      <c r="H9" s="1055">
        <v>8</v>
      </c>
      <c r="I9" s="1055"/>
      <c r="J9" s="1056">
        <v>9</v>
      </c>
      <c r="K9" s="1056"/>
      <c r="L9" s="1056">
        <v>10</v>
      </c>
      <c r="M9" s="1056"/>
      <c r="N9" s="1056">
        <v>11</v>
      </c>
      <c r="O9" s="1056"/>
      <c r="P9" s="1056">
        <v>12</v>
      </c>
      <c r="Q9" s="1056"/>
      <c r="R9" s="1056">
        <v>13</v>
      </c>
      <c r="S9" s="1056"/>
      <c r="T9" s="1057">
        <v>14</v>
      </c>
      <c r="U9" s="1057"/>
      <c r="Z9" s="1055">
        <v>2</v>
      </c>
      <c r="AA9" s="1055"/>
      <c r="AB9" s="1056">
        <v>3</v>
      </c>
      <c r="AC9" s="1056"/>
      <c r="AD9" s="1056">
        <v>4</v>
      </c>
      <c r="AE9" s="1056"/>
      <c r="AF9" s="1056">
        <v>5</v>
      </c>
      <c r="AG9" s="1056"/>
      <c r="AH9" s="1056">
        <v>6</v>
      </c>
      <c r="AI9" s="1056"/>
      <c r="AJ9" s="1056">
        <v>7</v>
      </c>
      <c r="AK9" s="1056"/>
      <c r="AL9" s="1057">
        <v>8</v>
      </c>
      <c r="AM9" s="1057"/>
    </row>
    <row r="10" ht="15" customHeight="1">
      <c r="H10" s="1058">
        <v>15</v>
      </c>
      <c r="I10" s="1058"/>
      <c r="J10" s="1059">
        <v>16</v>
      </c>
      <c r="K10" s="1059"/>
      <c r="L10" s="1059">
        <v>17</v>
      </c>
      <c r="M10" s="1059"/>
      <c r="N10" s="1059">
        <v>18</v>
      </c>
      <c r="O10" s="1059"/>
      <c r="P10" s="1059">
        <v>19</v>
      </c>
      <c r="Q10" s="1059"/>
      <c r="R10" s="1059">
        <v>20</v>
      </c>
      <c r="S10" s="1059"/>
      <c r="T10" s="1060">
        <v>21</v>
      </c>
      <c r="U10" s="1060"/>
      <c r="Z10" s="1058">
        <v>9</v>
      </c>
      <c r="AA10" s="1058"/>
      <c r="AB10" s="1059">
        <v>10</v>
      </c>
      <c r="AC10" s="1059"/>
      <c r="AD10" s="1059">
        <v>11</v>
      </c>
      <c r="AE10" s="1059"/>
      <c r="AF10" s="1059">
        <v>12</v>
      </c>
      <c r="AG10" s="1059"/>
      <c r="AH10" s="1059">
        <v>13</v>
      </c>
      <c r="AI10" s="1059"/>
      <c r="AJ10" s="1059">
        <v>14</v>
      </c>
      <c r="AK10" s="1059"/>
      <c r="AL10" s="1060">
        <v>15</v>
      </c>
      <c r="AM10" s="1060"/>
    </row>
    <row r="11" ht="15" customHeight="1">
      <c r="H11" s="1055">
        <v>22</v>
      </c>
      <c r="I11" s="1055"/>
      <c r="J11" s="1056">
        <v>23</v>
      </c>
      <c r="K11" s="1056"/>
      <c r="L11" s="1056">
        <v>24</v>
      </c>
      <c r="M11" s="1056"/>
      <c r="N11" s="1056">
        <v>25</v>
      </c>
      <c r="O11" s="1056"/>
      <c r="P11" s="1056">
        <v>26</v>
      </c>
      <c r="Q11" s="1056"/>
      <c r="R11" s="1056">
        <v>27</v>
      </c>
      <c r="S11" s="1056"/>
      <c r="T11" s="1057">
        <v>28</v>
      </c>
      <c r="U11" s="1057"/>
      <c r="Z11" s="1055">
        <v>16</v>
      </c>
      <c r="AA11" s="1055"/>
      <c r="AB11" s="1056">
        <v>17</v>
      </c>
      <c r="AC11" s="1056"/>
      <c r="AD11" s="1056">
        <v>18</v>
      </c>
      <c r="AE11" s="1056"/>
      <c r="AF11" s="1056">
        <v>19</v>
      </c>
      <c r="AG11" s="1056"/>
      <c r="AH11" s="1056">
        <v>20</v>
      </c>
      <c r="AI11" s="1056"/>
      <c r="AJ11" s="1056">
        <v>21</v>
      </c>
      <c r="AK11" s="1056"/>
      <c r="AL11" s="1057">
        <v>22</v>
      </c>
      <c r="AM11" s="1057"/>
      <c r="AN11" t="s">
        <v>27</v>
      </c>
    </row>
    <row r="12" ht="15" customHeight="1">
      <c r="A12" s="68"/>
      <c r="H12" s="1058">
        <v>29</v>
      </c>
      <c r="I12" s="1058"/>
      <c r="J12" s="1059">
        <v>30</v>
      </c>
      <c r="K12" s="1059"/>
      <c r="L12" s="1059"/>
      <c r="M12" s="1059"/>
      <c r="N12" s="1059"/>
      <c r="O12" s="1059"/>
      <c r="P12" s="1059"/>
      <c r="Q12" s="1059"/>
      <c r="R12" s="1059"/>
      <c r="S12" s="1059"/>
      <c r="T12" s="1060"/>
      <c r="U12" s="1060"/>
      <c r="Z12" s="1058">
        <v>23</v>
      </c>
      <c r="AA12" s="1058"/>
      <c r="AB12" s="1059">
        <v>24</v>
      </c>
      <c r="AC12" s="1059"/>
      <c r="AD12" s="1059">
        <v>25</v>
      </c>
      <c r="AE12" s="1059"/>
      <c r="AF12" s="1059">
        <v>26</v>
      </c>
      <c r="AG12" s="1059"/>
      <c r="AH12" s="1059">
        <v>27</v>
      </c>
      <c r="AI12" s="1059"/>
      <c r="AJ12" s="1059">
        <v>28</v>
      </c>
      <c r="AK12" s="1059"/>
      <c r="AL12" s="1060">
        <v>29</v>
      </c>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n">
        <v>30</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250</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252</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3"/>
      <c r="X21" s="995">
        <v>2024</v>
      </c>
      <c r="Y21" s="995"/>
      <c r="Z21" s="995"/>
      <c r="AA21" s="995"/>
      <c r="AB21" s="995"/>
      <c r="AC21" s="995"/>
      <c r="AD21" s="995"/>
      <c r="AE21" s="995"/>
      <c r="AF21" s="995"/>
      <c r="AG21" s="995"/>
      <c r="AH21" s="995"/>
      <c r="AI21" s="995"/>
      <c r="AJ21" s="995">
        <v>2025</v>
      </c>
      <c r="AK21" s="995"/>
      <c r="AL21" s="995"/>
      <c r="AM21" s="995"/>
      <c r="AN21" s="995"/>
      <c r="AO21" s="995"/>
    </row>
    <row r="22" s="5" customFormat="1" ht="30" customHeight="1">
      <c r="B22" s="76"/>
      <c r="C22" s="77" t="s">
        <v>71</v>
      </c>
      <c r="D22" s="77" t="s">
        <v>21</v>
      </c>
      <c r="E22" s="177" t="s">
        <v>242</v>
      </c>
      <c r="F22" s="10" t="s">
        <v>60</v>
      </c>
      <c r="G22" s="10" t="s">
        <v>61</v>
      </c>
      <c r="H22" s="1065" t="s">
        <v>34</v>
      </c>
      <c r="I22" s="1065"/>
      <c r="J22" s="1065"/>
      <c r="K22" s="1065"/>
      <c r="L22" s="1065" t="s">
        <v>62</v>
      </c>
      <c r="M22" s="1065"/>
      <c r="N22" s="1065"/>
      <c r="O22" s="1065"/>
      <c r="R22" s="617" t="s">
        <v>228</v>
      </c>
      <c r="S22" s="618" t="s">
        <v>229</v>
      </c>
      <c r="T22" s="618" t="s">
        <v>230</v>
      </c>
      <c r="U22" s="618" t="s">
        <v>231</v>
      </c>
      <c r="V22" s="618" t="s">
        <v>232</v>
      </c>
      <c r="W22" s="1015" t="s">
        <v>234</v>
      </c>
      <c r="X22" s="618" t="s">
        <v>218</v>
      </c>
      <c r="Y22" s="618" t="s">
        <v>220</v>
      </c>
      <c r="Z22" s="618" t="s">
        <v>221</v>
      </c>
      <c r="AA22" s="618" t="s">
        <v>223</v>
      </c>
      <c r="AB22" s="618" t="s">
        <v>224</v>
      </c>
      <c r="AC22" s="618" t="s">
        <v>225</v>
      </c>
      <c r="AD22" s="618" t="s">
        <v>228</v>
      </c>
      <c r="AE22" s="618" t="s">
        <v>229</v>
      </c>
      <c r="AF22" s="618" t="s">
        <v>230</v>
      </c>
      <c r="AG22" s="618" t="s">
        <v>231</v>
      </c>
      <c r="AH22" s="618" t="s">
        <v>232</v>
      </c>
      <c r="AI22" s="1015" t="s">
        <v>234</v>
      </c>
      <c r="AJ22" s="618" t="s">
        <v>218</v>
      </c>
      <c r="AK22" s="618" t="s">
        <v>220</v>
      </c>
      <c r="AL22" s="618" t="s">
        <v>221</v>
      </c>
      <c r="AM22" s="618" t="s">
        <v>223</v>
      </c>
      <c r="AN22" s="618" t="s">
        <v>224</v>
      </c>
      <c r="AO22" s="1015" t="s">
        <v>225</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253</v>
      </c>
      <c r="F23" s="1016" t="s">
        <v>254</v>
      </c>
      <c r="G23" s="1016" t="s">
        <v>255</v>
      </c>
      <c r="H23" s="1017" t="s">
        <v>256</v>
      </c>
      <c r="I23" s="1017"/>
      <c r="J23" s="1017"/>
      <c r="K23" s="1017"/>
      <c r="L23" s="1017" t="s">
        <v>257</v>
      </c>
      <c r="M23" s="1017"/>
      <c r="N23" s="1017"/>
      <c r="O23" s="1017"/>
      <c r="P23" s="80"/>
      <c r="Q23" s="4"/>
      <c r="R23" s="1018" t="s">
        <v>258</v>
      </c>
      <c r="S23" s="1019" t="s">
        <v>258</v>
      </c>
      <c r="T23" s="1019" t="s">
        <v>258</v>
      </c>
      <c r="U23" s="1019" t="s">
        <v>258</v>
      </c>
      <c r="V23" s="1019" t="s">
        <v>258</v>
      </c>
      <c r="W23" s="1019" t="s">
        <v>258</v>
      </c>
      <c r="X23" s="1019" t="s">
        <v>258</v>
      </c>
      <c r="Y23" s="1019" t="s">
        <v>258</v>
      </c>
      <c r="Z23" s="1019" t="s">
        <v>258</v>
      </c>
      <c r="AA23" s="1019" t="s">
        <v>258</v>
      </c>
      <c r="AB23" s="1019" t="s">
        <v>258</v>
      </c>
      <c r="AC23" s="1019" t="s">
        <v>258</v>
      </c>
      <c r="AD23" s="1019" t="s">
        <v>258</v>
      </c>
      <c r="AE23" s="1019" t="s">
        <v>258</v>
      </c>
      <c r="AF23" s="1019" t="s">
        <v>258</v>
      </c>
      <c r="AG23" s="1019" t="s">
        <v>258</v>
      </c>
      <c r="AH23" s="1019" t="s">
        <v>258</v>
      </c>
      <c r="AI23" s="1019" t="s">
        <v>258</v>
      </c>
      <c r="AJ23" s="1019" t="s">
        <v>258</v>
      </c>
      <c r="AK23" s="1019" t="s">
        <v>258</v>
      </c>
      <c r="AL23" s="1019" t="s">
        <v>258</v>
      </c>
      <c r="AM23" s="1019" t="s">
        <v>258</v>
      </c>
      <c r="AN23" s="1019" t="s">
        <v>258</v>
      </c>
      <c r="AO23" s="1020" t="s">
        <v>258</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26819</v>
      </c>
      <c r="D24" s="1021" t="s">
        <v>314</v>
      </c>
      <c r="E24" s="1021" t="s">
        <v>253</v>
      </c>
      <c r="F24" s="1021" t="s">
        <v>315</v>
      </c>
      <c r="G24" s="1021" t="s">
        <v>316</v>
      </c>
      <c r="H24" s="1023" t="s">
        <v>256</v>
      </c>
      <c r="I24" s="1023"/>
      <c r="J24" s="1023"/>
      <c r="K24" s="1023"/>
      <c r="L24" s="1023" t="s">
        <v>317</v>
      </c>
      <c r="M24" s="1023"/>
      <c r="N24" s="1023"/>
      <c r="O24" s="1023"/>
      <c r="P24" s="80"/>
      <c r="Q24" s="4"/>
      <c r="R24" s="1024" t="s">
        <v>258</v>
      </c>
      <c r="S24" s="1025" t="s">
        <v>258</v>
      </c>
      <c r="T24" s="1025" t="s">
        <v>258</v>
      </c>
      <c r="U24" s="1025" t="s">
        <v>258</v>
      </c>
      <c r="V24" s="1025" t="s">
        <v>258</v>
      </c>
      <c r="W24" s="1025" t="s">
        <v>258</v>
      </c>
      <c r="X24" s="1025" t="s">
        <v>258</v>
      </c>
      <c r="Y24" s="1025" t="s">
        <v>258</v>
      </c>
      <c r="Z24" s="1025" t="s">
        <v>258</v>
      </c>
      <c r="AA24" s="1025" t="s">
        <v>258</v>
      </c>
      <c r="AB24" s="1025" t="s">
        <v>258</v>
      </c>
      <c r="AC24" s="1025" t="s">
        <v>258</v>
      </c>
      <c r="AD24" s="1025" t="s">
        <v>258</v>
      </c>
      <c r="AE24" s="1025" t="s">
        <v>258</v>
      </c>
      <c r="AF24" s="1025" t="s">
        <v>258</v>
      </c>
      <c r="AG24" s="1025" t="s">
        <v>258</v>
      </c>
      <c r="AH24" s="1025" t="s">
        <v>258</v>
      </c>
      <c r="AI24" s="1025" t="s">
        <v>258</v>
      </c>
      <c r="AJ24" s="1025" t="s">
        <v>258</v>
      </c>
      <c r="AK24" s="1025" t="s">
        <v>258</v>
      </c>
      <c r="AL24" s="1025" t="s">
        <v>258</v>
      </c>
      <c r="AM24" s="1025" t="s">
        <v>258</v>
      </c>
      <c r="AN24" s="1025" t="s">
        <v>258</v>
      </c>
      <c r="AO24" s="1026" t="s">
        <v>258</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31851</v>
      </c>
      <c r="D25" s="1016" t="s">
        <v>318</v>
      </c>
      <c r="E25" s="1016" t="s">
        <v>253</v>
      </c>
      <c r="F25" s="1016" t="s">
        <v>319</v>
      </c>
      <c r="G25" s="1016" t="s">
        <v>320</v>
      </c>
      <c r="H25" s="1017" t="s">
        <v>321</v>
      </c>
      <c r="I25" s="1017"/>
      <c r="J25" s="1017"/>
      <c r="K25" s="1017"/>
      <c r="L25" s="1017" t="s">
        <v>322</v>
      </c>
      <c r="M25" s="1017"/>
      <c r="N25" s="1017"/>
      <c r="O25" s="1017"/>
      <c r="P25" s="80"/>
      <c r="Q25" s="4"/>
      <c r="R25" s="1018" t="s">
        <v>258</v>
      </c>
      <c r="S25" s="1019" t="s">
        <v>258</v>
      </c>
      <c r="T25" s="1019" t="s">
        <v>258</v>
      </c>
      <c r="U25" s="1019" t="s">
        <v>258</v>
      </c>
      <c r="V25" s="1019" t="s">
        <v>258</v>
      </c>
      <c r="W25" s="1019" t="s">
        <v>258</v>
      </c>
      <c r="X25" s="1019" t="s">
        <v>258</v>
      </c>
      <c r="Y25" s="1019" t="s">
        <v>258</v>
      </c>
      <c r="Z25" s="1019" t="s">
        <v>258</v>
      </c>
      <c r="AA25" s="1019" t="s">
        <v>258</v>
      </c>
      <c r="AB25" s="1019" t="s">
        <v>258</v>
      </c>
      <c r="AC25" s="1019" t="s">
        <v>258</v>
      </c>
      <c r="AD25" s="1019" t="s">
        <v>258</v>
      </c>
      <c r="AE25" s="1019" t="s">
        <v>258</v>
      </c>
      <c r="AF25" s="1019" t="s">
        <v>258</v>
      </c>
      <c r="AG25" s="1019" t="s">
        <v>258</v>
      </c>
      <c r="AH25" s="1019" t="s">
        <v>258</v>
      </c>
      <c r="AI25" s="1019" t="s">
        <v>258</v>
      </c>
      <c r="AJ25" s="1019" t="s">
        <v>258</v>
      </c>
      <c r="AK25" s="1019" t="s">
        <v>258</v>
      </c>
      <c r="AL25" s="1019" t="s">
        <v>258</v>
      </c>
      <c r="AM25" s="1019" t="s">
        <v>258</v>
      </c>
      <c r="AN25" s="1019" t="s">
        <v>258</v>
      </c>
      <c r="AO25" s="1020" t="s">
        <v>258</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33931</v>
      </c>
      <c r="D26" s="1021" t="s">
        <v>259</v>
      </c>
      <c r="E26" s="1021" t="s">
        <v>253</v>
      </c>
      <c r="F26" s="1022" t="s">
        <v>260</v>
      </c>
      <c r="G26" s="1021" t="s">
        <v>261</v>
      </c>
      <c r="H26" s="1023" t="s">
        <v>262</v>
      </c>
      <c r="I26" s="1023"/>
      <c r="J26" s="1023"/>
      <c r="K26" s="1023"/>
      <c r="L26" s="1023" t="s">
        <v>263</v>
      </c>
      <c r="M26" s="1023"/>
      <c r="N26" s="1023"/>
      <c r="O26" s="1023"/>
      <c r="P26" s="80"/>
      <c r="Q26" s="4"/>
      <c r="R26" s="1024" t="s">
        <v>258</v>
      </c>
      <c r="S26" s="1025" t="s">
        <v>258</v>
      </c>
      <c r="T26" s="1025" t="s">
        <v>258</v>
      </c>
      <c r="U26" s="1025" t="s">
        <v>258</v>
      </c>
      <c r="V26" s="1025" t="s">
        <v>258</v>
      </c>
      <c r="W26" s="1025" t="s">
        <v>258</v>
      </c>
      <c r="X26" s="1025" t="s">
        <v>258</v>
      </c>
      <c r="Y26" s="1025" t="s">
        <v>258</v>
      </c>
      <c r="Z26" s="1025" t="s">
        <v>258</v>
      </c>
      <c r="AA26" s="1025" t="s">
        <v>258</v>
      </c>
      <c r="AB26" s="1025" t="s">
        <v>258</v>
      </c>
      <c r="AC26" s="1025" t="s">
        <v>258</v>
      </c>
      <c r="AD26" s="1025" t="s">
        <v>258</v>
      </c>
      <c r="AE26" s="1025" t="s">
        <v>258</v>
      </c>
      <c r="AF26" s="1025" t="s">
        <v>258</v>
      </c>
      <c r="AG26" s="1025" t="s">
        <v>258</v>
      </c>
      <c r="AH26" s="1025" t="s">
        <v>258</v>
      </c>
      <c r="AI26" s="1025" t="s">
        <v>258</v>
      </c>
      <c r="AJ26" s="1025" t="s">
        <v>258</v>
      </c>
      <c r="AK26" s="1025" t="s">
        <v>258</v>
      </c>
      <c r="AL26" s="1025" t="s">
        <v>258</v>
      </c>
      <c r="AM26" s="1025" t="s">
        <v>258</v>
      </c>
      <c r="AN26" s="1025" t="s">
        <v>258</v>
      </c>
      <c r="AO26" s="1026" t="s">
        <v>258</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62556</v>
      </c>
      <c r="D27" s="1016" t="s">
        <v>323</v>
      </c>
      <c r="E27" s="1016" t="s">
        <v>253</v>
      </c>
      <c r="F27" s="1027" t="s">
        <v>260</v>
      </c>
      <c r="G27" s="1016" t="s">
        <v>324</v>
      </c>
      <c r="H27" s="1017" t="s">
        <v>325</v>
      </c>
      <c r="I27" s="1017"/>
      <c r="J27" s="1017"/>
      <c r="K27" s="1017"/>
      <c r="L27" s="1017" t="s">
        <v>326</v>
      </c>
      <c r="M27" s="1017"/>
      <c r="N27" s="1017"/>
      <c r="O27" s="1017"/>
      <c r="P27" s="80"/>
      <c r="Q27" s="4"/>
      <c r="R27" s="1018" t="s">
        <v>258</v>
      </c>
      <c r="S27" s="1019" t="s">
        <v>258</v>
      </c>
      <c r="T27" s="1019" t="s">
        <v>258</v>
      </c>
      <c r="U27" s="1019" t="s">
        <v>258</v>
      </c>
      <c r="V27" s="1019" t="s">
        <v>258</v>
      </c>
      <c r="W27" s="1019" t="s">
        <v>258</v>
      </c>
      <c r="X27" s="1019" t="s">
        <v>258</v>
      </c>
      <c r="Y27" s="1019" t="s">
        <v>258</v>
      </c>
      <c r="Z27" s="1019" t="s">
        <v>258</v>
      </c>
      <c r="AA27" s="1019" t="s">
        <v>258</v>
      </c>
      <c r="AB27" s="1019" t="s">
        <v>258</v>
      </c>
      <c r="AC27" s="1019" t="s">
        <v>258</v>
      </c>
      <c r="AD27" s="1019" t="s">
        <v>258</v>
      </c>
      <c r="AE27" s="1019" t="s">
        <v>258</v>
      </c>
      <c r="AF27" s="1019" t="s">
        <v>258</v>
      </c>
      <c r="AG27" s="1019" t="s">
        <v>258</v>
      </c>
      <c r="AH27" s="1019" t="s">
        <v>258</v>
      </c>
      <c r="AI27" s="1019" t="s">
        <v>258</v>
      </c>
      <c r="AJ27" s="1019" t="s">
        <v>258</v>
      </c>
      <c r="AK27" s="1019" t="s">
        <v>258</v>
      </c>
      <c r="AL27" s="1019" t="s">
        <v>258</v>
      </c>
      <c r="AM27" s="1019" t="s">
        <v>258</v>
      </c>
      <c r="AN27" s="1019" t="s">
        <v>258</v>
      </c>
      <c r="AO27" s="1020" t="s">
        <v>258</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64036</v>
      </c>
      <c r="D28" s="1021" t="s">
        <v>327</v>
      </c>
      <c r="E28" s="1021" t="s">
        <v>253</v>
      </c>
      <c r="F28" s="1022" t="s">
        <v>260</v>
      </c>
      <c r="G28" s="1021" t="s">
        <v>328</v>
      </c>
      <c r="H28" s="1023" t="s">
        <v>329</v>
      </c>
      <c r="I28" s="1023"/>
      <c r="J28" s="1023"/>
      <c r="K28" s="1023"/>
      <c r="L28" s="1023" t="s">
        <v>330</v>
      </c>
      <c r="M28" s="1023"/>
      <c r="N28" s="1023"/>
      <c r="O28" s="1023"/>
      <c r="P28" s="80"/>
      <c r="Q28" s="4"/>
      <c r="R28" s="1024" t="s">
        <v>258</v>
      </c>
      <c r="S28" s="1025" t="s">
        <v>258</v>
      </c>
      <c r="T28" s="1025" t="s">
        <v>258</v>
      </c>
      <c r="U28" s="1025" t="s">
        <v>258</v>
      </c>
      <c r="V28" s="1025" t="s">
        <v>258</v>
      </c>
      <c r="W28" s="1025" t="s">
        <v>258</v>
      </c>
      <c r="X28" s="1025" t="s">
        <v>258</v>
      </c>
      <c r="Y28" s="1025" t="s">
        <v>258</v>
      </c>
      <c r="Z28" s="1025" t="s">
        <v>258</v>
      </c>
      <c r="AA28" s="1025" t="s">
        <v>258</v>
      </c>
      <c r="AB28" s="1025" t="s">
        <v>258</v>
      </c>
      <c r="AC28" s="1025" t="s">
        <v>258</v>
      </c>
      <c r="AD28" s="1025" t="s">
        <v>258</v>
      </c>
      <c r="AE28" s="1025" t="s">
        <v>258</v>
      </c>
      <c r="AF28" s="1025" t="s">
        <v>258</v>
      </c>
      <c r="AG28" s="1025" t="s">
        <v>258</v>
      </c>
      <c r="AH28" s="1025" t="s">
        <v>258</v>
      </c>
      <c r="AI28" s="1025" t="s">
        <v>258</v>
      </c>
      <c r="AJ28" s="1025" t="s">
        <v>258</v>
      </c>
      <c r="AK28" s="1025" t="s">
        <v>258</v>
      </c>
      <c r="AL28" s="1025" t="s">
        <v>258</v>
      </c>
      <c r="AM28" s="1025" t="s">
        <v>258</v>
      </c>
      <c r="AN28" s="1025" t="s">
        <v>258</v>
      </c>
      <c r="AO28" s="1026" t="s">
        <v>258</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67528</v>
      </c>
      <c r="D29" s="1016" t="s">
        <v>331</v>
      </c>
      <c r="E29" s="1016" t="s">
        <v>253</v>
      </c>
      <c r="F29" s="1027" t="s">
        <v>260</v>
      </c>
      <c r="G29" s="1016" t="s">
        <v>332</v>
      </c>
      <c r="H29" s="1017" t="s">
        <v>333</v>
      </c>
      <c r="I29" s="1017"/>
      <c r="J29" s="1017"/>
      <c r="K29" s="1017"/>
      <c r="L29" s="1017" t="s">
        <v>334</v>
      </c>
      <c r="M29" s="1017"/>
      <c r="N29" s="1017"/>
      <c r="O29" s="1017"/>
      <c r="P29" s="80"/>
      <c r="Q29" s="4"/>
      <c r="R29" s="1018" t="s">
        <v>258</v>
      </c>
      <c r="S29" s="1019" t="s">
        <v>258</v>
      </c>
      <c r="T29" s="1019" t="s">
        <v>258</v>
      </c>
      <c r="U29" s="1019" t="s">
        <v>258</v>
      </c>
      <c r="V29" s="1019" t="s">
        <v>258</v>
      </c>
      <c r="W29" s="1019" t="s">
        <v>258</v>
      </c>
      <c r="X29" s="1019" t="s">
        <v>258</v>
      </c>
      <c r="Y29" s="1019" t="s">
        <v>258</v>
      </c>
      <c r="Z29" s="1019" t="s">
        <v>258</v>
      </c>
      <c r="AA29" s="1019" t="s">
        <v>258</v>
      </c>
      <c r="AB29" s="1019" t="s">
        <v>258</v>
      </c>
      <c r="AC29" s="1019" t="s">
        <v>258</v>
      </c>
      <c r="AD29" s="1019" t="s">
        <v>258</v>
      </c>
      <c r="AE29" s="1019" t="s">
        <v>258</v>
      </c>
      <c r="AF29" s="1019" t="s">
        <v>258</v>
      </c>
      <c r="AG29" s="1019" t="s">
        <v>258</v>
      </c>
      <c r="AH29" s="1019" t="s">
        <v>258</v>
      </c>
      <c r="AI29" s="1019" t="s">
        <v>258</v>
      </c>
      <c r="AJ29" s="1019" t="s">
        <v>258</v>
      </c>
      <c r="AK29" s="1019" t="s">
        <v>258</v>
      </c>
      <c r="AL29" s="1019" t="s">
        <v>258</v>
      </c>
      <c r="AM29" s="1019" t="s">
        <v>258</v>
      </c>
      <c r="AN29" s="1019" t="s">
        <v>258</v>
      </c>
      <c r="AO29" s="1020" t="s">
        <v>258</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021">
        <v>68331</v>
      </c>
      <c r="D30" s="1021" t="s">
        <v>335</v>
      </c>
      <c r="E30" s="1021" t="s">
        <v>253</v>
      </c>
      <c r="F30" s="1021" t="s">
        <v>336</v>
      </c>
      <c r="G30" s="1021" t="s">
        <v>337</v>
      </c>
      <c r="H30" s="1023" t="s">
        <v>338</v>
      </c>
      <c r="I30" s="1023"/>
      <c r="J30" s="1023"/>
      <c r="K30" s="1023"/>
      <c r="L30" s="1023" t="s">
        <v>339</v>
      </c>
      <c r="M30" s="1023"/>
      <c r="N30" s="1023"/>
      <c r="O30" s="1023"/>
      <c r="P30" s="80"/>
      <c r="Q30" s="4"/>
      <c r="R30" s="1024" t="s">
        <v>258</v>
      </c>
      <c r="S30" s="1025" t="s">
        <v>258</v>
      </c>
      <c r="T30" s="1025" t="s">
        <v>258</v>
      </c>
      <c r="U30" s="1025" t="s">
        <v>258</v>
      </c>
      <c r="V30" s="1025" t="s">
        <v>258</v>
      </c>
      <c r="W30" s="1025" t="s">
        <v>258</v>
      </c>
      <c r="X30" s="1025" t="s">
        <v>258</v>
      </c>
      <c r="Y30" s="1025" t="s">
        <v>258</v>
      </c>
      <c r="Z30" s="1025" t="s">
        <v>258</v>
      </c>
      <c r="AA30" s="1025" t="s">
        <v>258</v>
      </c>
      <c r="AB30" s="1025" t="s">
        <v>258</v>
      </c>
      <c r="AC30" s="1025" t="s">
        <v>258</v>
      </c>
      <c r="AD30" s="1025" t="s">
        <v>258</v>
      </c>
      <c r="AE30" s="1025" t="s">
        <v>258</v>
      </c>
      <c r="AF30" s="1025" t="s">
        <v>258</v>
      </c>
      <c r="AG30" s="1025" t="s">
        <v>258</v>
      </c>
      <c r="AH30" s="1025" t="s">
        <v>258</v>
      </c>
      <c r="AI30" s="1025" t="s">
        <v>258</v>
      </c>
      <c r="AJ30" s="1025" t="s">
        <v>258</v>
      </c>
      <c r="AK30" s="1025" t="s">
        <v>258</v>
      </c>
      <c r="AL30" s="1025" t="s">
        <v>258</v>
      </c>
      <c r="AM30" s="1025" t="s">
        <v>258</v>
      </c>
      <c r="AN30" s="1025" t="s">
        <v>258</v>
      </c>
      <c r="AO30" s="1026" t="s">
        <v>258</v>
      </c>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016">
        <v>70610</v>
      </c>
      <c r="D31" s="1016" t="s">
        <v>340</v>
      </c>
      <c r="E31" s="1016" t="s">
        <v>253</v>
      </c>
      <c r="F31" s="1016" t="s">
        <v>341</v>
      </c>
      <c r="G31" s="1016" t="s">
        <v>342</v>
      </c>
      <c r="H31" s="1017" t="s">
        <v>343</v>
      </c>
      <c r="I31" s="1017"/>
      <c r="J31" s="1017"/>
      <c r="K31" s="1017"/>
      <c r="L31" s="1017" t="s">
        <v>344</v>
      </c>
      <c r="M31" s="1017"/>
      <c r="N31" s="1017"/>
      <c r="O31" s="1017"/>
      <c r="P31" s="80"/>
      <c r="Q31" s="4"/>
      <c r="R31" s="1018" t="s">
        <v>258</v>
      </c>
      <c r="S31" s="1019" t="s">
        <v>258</v>
      </c>
      <c r="T31" s="1019" t="s">
        <v>258</v>
      </c>
      <c r="U31" s="1019" t="s">
        <v>258</v>
      </c>
      <c r="V31" s="1019" t="s">
        <v>258</v>
      </c>
      <c r="W31" s="1019" t="s">
        <v>258</v>
      </c>
      <c r="X31" s="1019" t="s">
        <v>258</v>
      </c>
      <c r="Y31" s="1019" t="s">
        <v>258</v>
      </c>
      <c r="Z31" s="1019" t="s">
        <v>258</v>
      </c>
      <c r="AA31" s="1019" t="s">
        <v>258</v>
      </c>
      <c r="AB31" s="1019" t="s">
        <v>258</v>
      </c>
      <c r="AC31" s="1019" t="s">
        <v>258</v>
      </c>
      <c r="AD31" s="1019" t="s">
        <v>258</v>
      </c>
      <c r="AE31" s="1019" t="s">
        <v>258</v>
      </c>
      <c r="AF31" s="1019" t="s">
        <v>258</v>
      </c>
      <c r="AG31" s="1019" t="s">
        <v>258</v>
      </c>
      <c r="AH31" s="1019" t="s">
        <v>258</v>
      </c>
      <c r="AI31" s="1019" t="s">
        <v>258</v>
      </c>
      <c r="AJ31" s="1019" t="s">
        <v>258</v>
      </c>
      <c r="AK31" s="1019" t="s">
        <v>258</v>
      </c>
      <c r="AL31" s="1019" t="s">
        <v>258</v>
      </c>
      <c r="AM31" s="1019" t="s">
        <v>258</v>
      </c>
      <c r="AN31" s="1019" t="s">
        <v>258</v>
      </c>
      <c r="AO31" s="1020" t="s">
        <v>258</v>
      </c>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1017">
        <v>1165</v>
      </c>
      <c r="I32" s="1017"/>
      <c r="J32" s="1017"/>
      <c r="K32" s="1017"/>
      <c r="L32" s="1072"/>
      <c r="M32" s="1072"/>
      <c r="N32" s="1072"/>
      <c r="O32" s="1072"/>
      <c r="P32" s="80"/>
      <c r="Q32" s="4"/>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028" t="s">
        <v>281</v>
      </c>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029" t="s">
        <v>282</v>
      </c>
      <c r="AB34" s="1028" t="s">
        <v>283</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029" t="s">
        <v>258</v>
      </c>
      <c r="AB35" s="1028" t="s">
        <v>284</v>
      </c>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30:K30"/>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W21"/>
    <mergeCell ref="X21:AI21"/>
    <mergeCell ref="AJ21:AO21"/>
    <mergeCell ref="H32:K32"/>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87"/>
</worksheet>
</file>

<file path=xl/worksheets/sheet8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173</v>
      </c>
      <c r="C1" s="130"/>
      <c r="P1" s="222"/>
      <c r="Q1" s="222"/>
      <c r="R1" s="222"/>
      <c r="S1" s="222"/>
      <c r="T1" s="222"/>
      <c r="U1" s="222"/>
      <c r="W1" s="281"/>
      <c r="X1" s="281"/>
      <c r="Y1" s="281"/>
      <c r="Z1" s="281"/>
      <c r="AA1" s="281"/>
      <c r="AB1" s="281"/>
      <c r="AC1" s="281"/>
      <c r="AD1" s="281"/>
      <c r="AE1" s="281"/>
      <c r="AF1" s="281"/>
      <c r="AG1" s="281"/>
      <c r="AH1" s="281"/>
      <c r="AI1" s="281"/>
      <c r="AJ1" s="281"/>
      <c r="AK1" s="281"/>
      <c r="AL1" s="0"/>
      <c r="AM1" s="0"/>
      <c r="AN1" s="0"/>
      <c r="AO1" s="0"/>
      <c r="AP1" s="0"/>
      <c r="AQ1" s="0"/>
      <c r="AR1" s="0"/>
      <c r="AS1" s="0"/>
      <c r="AT1" s="0"/>
      <c r="AU1" s="0"/>
      <c r="AV1" s="0"/>
      <c r="AW1" s="0"/>
      <c r="AX1" s="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row>
    <row r="2" s="2" customFormat="1" ht="15" customHeight="1">
      <c r="B2" s="11" t="s">
        <v>208</v>
      </c>
      <c r="C2" s="130"/>
      <c r="W2" s="281"/>
      <c r="X2" s="281"/>
      <c r="Y2" s="281"/>
      <c r="Z2" s="281"/>
      <c r="AA2" s="281"/>
      <c r="AB2" s="281"/>
      <c r="AC2" s="281"/>
      <c r="AD2" s="281"/>
      <c r="AE2" s="281"/>
      <c r="AF2" s="281"/>
      <c r="AG2" s="281"/>
      <c r="AH2" s="281"/>
      <c r="AI2" s="281"/>
      <c r="AJ2" s="281"/>
      <c r="AK2" s="281"/>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row>
    <row r="3" s="2" customFormat="1" ht="17.1" customHeight="1">
      <c r="B3" s="11" t="s">
        <v>209</v>
      </c>
      <c r="C3" s="130"/>
      <c r="O3" s="1113"/>
      <c r="P3" s="1113"/>
      <c r="Q3" s="1113"/>
      <c r="R3" s="1113"/>
      <c r="S3" s="1113"/>
      <c r="T3" s="1113"/>
      <c r="U3" s="1113"/>
      <c r="W3" s="281"/>
      <c r="X3" s="281"/>
      <c r="Y3" s="281"/>
      <c r="Z3" s="281"/>
      <c r="AA3" s="281"/>
      <c r="AB3" s="281"/>
      <c r="AC3" s="281"/>
      <c r="AD3" s="281"/>
      <c r="AE3" s="281"/>
      <c r="AF3" s="281"/>
      <c r="AG3" s="281"/>
      <c r="AH3" s="281"/>
      <c r="AI3" s="281"/>
      <c r="AJ3" s="281"/>
      <c r="AK3" s="281"/>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row>
    <row r="4" s="2" customFormat="1" ht="15.75" customHeight="1">
      <c r="A4" s="9"/>
      <c r="B4" s="11" t="s">
        <v>210</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row>
    <row r="5" s="2" customFormat="1" ht="20.1" customHeight="1">
      <c r="A5" s="9"/>
      <c r="B5" s="11"/>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row>
    <row r="6" s="2" customFormat="1" ht="20.1" customHeight="1">
      <c r="A6" s="9"/>
      <c r="B6" s="11"/>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row>
    <row r="7" s="2" customFormat="1" ht="20.1" customHeight="1">
      <c r="A7" s="9"/>
      <c r="B7" s="11"/>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row>
    <row r="8" s="2" customFormat="1" ht="20.1" customHeight="1">
      <c r="A8" s="9"/>
      <c r="B8" s="11"/>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row>
    <row r="9" s="2" customFormat="1" ht="20.1" customHeight="1">
      <c r="A9" s="9"/>
      <c r="B9" s="11"/>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row>
    <row r="10" s="2" customFormat="1" ht="20.1" customHeight="1">
      <c r="A10" s="9"/>
      <c r="B10" s="11"/>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row>
    <row r="11" s="2" customFormat="1" ht="20.1" customHeight="1">
      <c r="A11" s="9"/>
      <c r="B11" s="11"/>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row>
    <row r="12" s="2" customFormat="1" ht="20.1" customHeight="1">
      <c r="A12" s="9"/>
      <c r="B12" s="11"/>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row>
    <row r="13" s="2" customFormat="1" ht="20.1" customHeight="1">
      <c r="A13" s="9"/>
      <c r="B13" s="11"/>
      <c r="C13" s="131"/>
      <c r="D13" s="131"/>
      <c r="E13" s="131"/>
      <c r="G13" s="132"/>
      <c r="H13" s="132"/>
      <c r="I13" s="132"/>
      <c r="J13" s="132"/>
      <c r="K13" s="132"/>
      <c r="L13" s="132"/>
      <c r="M13" s="132"/>
      <c r="N13" s="132"/>
      <c r="O13" s="132"/>
      <c r="P13" s="132"/>
      <c r="Q13" s="132"/>
      <c r="R13" s="132"/>
      <c r="S13" s="132"/>
      <c r="T13" s="132"/>
      <c r="U13" s="132"/>
      <c r="V13" s="132"/>
      <c r="W13" s="281"/>
      <c r="X13" s="1014" t="s">
        <v>43</v>
      </c>
      <c r="Y13" s="1014" t="s">
        <v>46</v>
      </c>
      <c r="Z13" s="1014" t="s">
        <v>47</v>
      </c>
      <c r="AA13" s="1014" t="s">
        <v>48</v>
      </c>
      <c r="AB13" s="1014" t="s">
        <v>49</v>
      </c>
      <c r="AC13" s="1014" t="s">
        <v>50</v>
      </c>
      <c r="AD13" s="1014" t="s">
        <v>51</v>
      </c>
      <c r="AE13" s="1014" t="s">
        <v>40</v>
      </c>
      <c r="AF13" s="1014" t="s">
        <v>52</v>
      </c>
      <c r="AG13" s="281"/>
      <c r="AH13" s="281"/>
      <c r="AI13" s="281"/>
      <c r="AJ13" s="281"/>
      <c r="AK13" s="281"/>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row>
    <row r="14" s="2" customFormat="1" ht="20.1" customHeight="1">
      <c r="A14" s="9"/>
      <c r="B14" s="11"/>
      <c r="C14" s="131"/>
      <c r="D14" s="131"/>
      <c r="E14" s="131"/>
      <c r="G14" s="132"/>
      <c r="H14" s="132"/>
      <c r="I14" s="132"/>
      <c r="J14" s="132"/>
      <c r="K14" s="132"/>
      <c r="L14" s="132"/>
      <c r="M14" s="132"/>
      <c r="N14" s="132"/>
      <c r="O14" s="132"/>
      <c r="P14" s="132"/>
      <c r="Q14" s="132"/>
      <c r="R14" s="132"/>
      <c r="S14" s="132"/>
      <c r="T14" s="132"/>
      <c r="U14" s="132"/>
      <c r="V14" s="132"/>
      <c r="W14" s="281"/>
      <c r="X14" s="1014" t="str">
        <f>D18</f>
      </c>
      <c r="Y14" s="1014" t="str">
        <f>D24</f>
      </c>
      <c r="Z14" s="1014" t="str">
        <f>D30</f>
      </c>
      <c r="AA14" s="1014" t="str">
        <f>D36</f>
      </c>
      <c r="AB14" s="1014" t="str">
        <f>D42</f>
      </c>
      <c r="AC14" s="1014" t="str">
        <f>D48</f>
      </c>
      <c r="AD14" s="1014" t="str">
        <f>D54</f>
      </c>
      <c r="AE14" s="1014" t="str">
        <f>D60</f>
      </c>
      <c r="AF14" s="1014" t="str">
        <f>D66</f>
      </c>
      <c r="AG14" s="281"/>
      <c r="AH14" s="281"/>
      <c r="AI14" s="281"/>
      <c r="AJ14" s="281"/>
      <c r="AK14" s="281"/>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row>
    <row r="15" s="2" customFormat="1" ht="15.95" customHeight="1">
      <c r="D15" s="962" t="s">
        <v>22</v>
      </c>
      <c r="E15" s="962"/>
      <c r="F15" s="962"/>
      <c r="G15" s="962"/>
      <c r="H15" s="962"/>
      <c r="I15" s="962"/>
      <c r="J15" s="962" t="s">
        <v>90</v>
      </c>
      <c r="K15" s="962"/>
      <c r="L15" s="962"/>
      <c r="M15" s="962"/>
      <c r="N15" s="962"/>
      <c r="O15" s="962"/>
      <c r="P15" s="962" t="s">
        <v>10</v>
      </c>
      <c r="Q15" s="962"/>
      <c r="R15" s="962"/>
      <c r="S15" s="962"/>
      <c r="T15" s="962"/>
      <c r="U15" s="962"/>
      <c r="W15" s="281"/>
      <c r="X15" s="1014" t="str">
        <f>F18</f>
      </c>
      <c r="Y15" s="1014" t="str">
        <f>F24</f>
      </c>
      <c r="Z15" s="1014" t="str">
        <f>F30</f>
      </c>
      <c r="AA15" s="1014" t="str">
        <f>F36</f>
      </c>
      <c r="AB15" s="1014" t="str">
        <f>F42</f>
      </c>
      <c r="AC15" s="1014" t="str">
        <f>F48</f>
      </c>
      <c r="AD15" s="1014" t="str">
        <f>F54</f>
      </c>
      <c r="AE15" s="1014" t="str">
        <f>F60</f>
      </c>
      <c r="AF15" s="1014" t="str">
        <f>F66</f>
      </c>
      <c r="AG15" s="281"/>
      <c r="AH15" s="281"/>
      <c r="AI15" s="281"/>
      <c r="AJ15" s="281"/>
      <c r="AK15" s="281"/>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row>
    <row r="16" s="2" customFormat="1" ht="15.95" customHeight="1">
      <c r="D16" s="963" t="s">
        <v>19</v>
      </c>
      <c r="E16" s="963"/>
      <c r="F16" s="963" t="s">
        <v>35</v>
      </c>
      <c r="G16" s="963"/>
      <c r="H16" s="963" t="s">
        <v>97</v>
      </c>
      <c r="I16" s="963"/>
      <c r="J16" s="963" t="s">
        <v>19</v>
      </c>
      <c r="K16" s="963"/>
      <c r="L16" s="963" t="s">
        <v>35</v>
      </c>
      <c r="M16" s="963"/>
      <c r="N16" s="963" t="s">
        <v>98</v>
      </c>
      <c r="O16" s="963"/>
      <c r="P16" s="963" t="s">
        <v>19</v>
      </c>
      <c r="Q16" s="963"/>
      <c r="R16" s="963" t="s">
        <v>35</v>
      </c>
      <c r="S16" s="963"/>
      <c r="T16" s="963" t="s">
        <v>99</v>
      </c>
      <c r="U16" s="963"/>
      <c r="W16" s="281"/>
      <c r="X16" s="1014" t="str">
        <f>J18</f>
      </c>
      <c r="Y16" s="1014" t="str">
        <f>J24</f>
      </c>
      <c r="Z16" s="1014" t="str">
        <f>J30</f>
      </c>
      <c r="AA16" s="1014" t="str">
        <f>J36</f>
      </c>
      <c r="AB16" s="1014" t="str">
        <f>J42</f>
      </c>
      <c r="AC16" s="1014" t="str">
        <f>J48</f>
      </c>
      <c r="AD16" s="1014" t="str">
        <f>J54</f>
      </c>
      <c r="AE16" s="1014" t="str">
        <f>J60</f>
      </c>
      <c r="AF16" s="1014" t="str">
        <f>J66</f>
      </c>
      <c r="AG16" s="281"/>
      <c r="AH16" s="281"/>
      <c r="AI16" s="281"/>
      <c r="AJ16" s="281"/>
      <c r="AK16" s="281"/>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4" t="str">
        <f>L18</f>
      </c>
      <c r="Y17" s="1014" t="str">
        <f>L24</f>
      </c>
      <c r="Z17" s="1014" t="str">
        <f>L30</f>
      </c>
      <c r="AA17" s="1014" t="str">
        <f>L36</f>
      </c>
      <c r="AB17" s="1014" t="str">
        <f>L42</f>
      </c>
      <c r="AC17" s="1014" t="str">
        <f>L48</f>
      </c>
      <c r="AD17" s="1014" t="str">
        <f>L54</f>
      </c>
      <c r="AE17" s="1014" t="str">
        <f>L60</f>
      </c>
      <c r="AF17" s="1014" t="str">
        <f>L66</f>
      </c>
      <c r="AG17" s="281"/>
      <c r="AH17" s="281"/>
      <c r="AI17" s="281"/>
      <c r="AJ17" s="281"/>
      <c r="AK17" s="281"/>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row>
    <row r="18" s="2" customFormat="1" ht="15.95" customHeight="1">
      <c r="B18" s="300" t="s">
        <v>43</v>
      </c>
      <c r="C18" s="303" t="s">
        <v>42</v>
      </c>
      <c r="D18" s="307">
        <v>76.363636363636363636363636360</v>
      </c>
      <c r="E18" s="308">
        <v>3.9175257732644404293761744700</v>
      </c>
      <c r="F18" s="308">
        <v>76.727976766698935140367860600</v>
      </c>
      <c r="G18" s="308">
        <v>5.6518261796956979249681655400</v>
      </c>
      <c r="H18" s="308">
        <v>99.52515312091252694887623811</v>
      </c>
      <c r="I18" s="309">
        <v>-1.641524306075339321691919900</v>
      </c>
      <c r="J18" s="317">
        <v>156.66743327219019071730412704</v>
      </c>
      <c r="K18" s="308">
        <v>-0.3742373997994905901615990500</v>
      </c>
      <c r="L18" s="318">
        <v>180.32885307862420149703262687</v>
      </c>
      <c r="M18" s="308">
        <v>10.173947074445635398758732250</v>
      </c>
      <c r="N18" s="308">
        <v>86.87873881386219542449396128</v>
      </c>
      <c r="O18" s="309">
        <v>-9.574118704402889631667533480</v>
      </c>
      <c r="P18" s="317">
        <v>119.63694904421796382048678792</v>
      </c>
      <c r="Q18" s="308">
        <v>3.5286275267913710312032145800</v>
      </c>
      <c r="R18" s="318">
        <v>138.3626804938214347594850533</v>
      </c>
      <c r="S18" s="308">
        <v>16.400787058411172306380312910</v>
      </c>
      <c r="T18" s="308">
        <v>86.46619783401700438016293143</v>
      </c>
      <c r="U18" s="309">
        <v>-11.058481524822649269280051630</v>
      </c>
      <c r="W18" s="281"/>
      <c r="X18" s="1014"/>
      <c r="Y18" s="1014"/>
      <c r="Z18" s="1014"/>
      <c r="AA18" s="1014"/>
      <c r="AB18" s="1014"/>
      <c r="AC18" s="1014"/>
      <c r="AD18" s="1014"/>
      <c r="AE18" s="1014"/>
      <c r="AF18" s="1014"/>
      <c r="AG18" s="281"/>
      <c r="AH18" s="281"/>
      <c r="AI18" s="281"/>
      <c r="AJ18" s="281"/>
      <c r="AK18" s="281"/>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row>
    <row r="19" s="2" customFormat="1" ht="15.95" customHeight="1">
      <c r="B19" s="301"/>
      <c r="C19" s="304" t="s">
        <v>58</v>
      </c>
      <c r="D19" s="310">
        <v>86.07226107226107226107226107</v>
      </c>
      <c r="E19" s="134">
        <v>0.6816632583627284931060022400</v>
      </c>
      <c r="F19" s="134">
        <v>84.43294362945863429890535408</v>
      </c>
      <c r="G19" s="134">
        <v>3.7603117176154664993478236200</v>
      </c>
      <c r="H19" s="134">
        <v>101.94156140043459487766106449</v>
      </c>
      <c r="I19" s="311">
        <v>-2.967077111033621085452151100</v>
      </c>
      <c r="J19" s="319">
        <v>241.53194349007089139555205635</v>
      </c>
      <c r="K19" s="134">
        <v>-0.3821721525792397748738089900</v>
      </c>
      <c r="L19" s="135">
        <v>255.41341195480124391793216724</v>
      </c>
      <c r="M19" s="134">
        <v>3.0823051047453358752934246100</v>
      </c>
      <c r="N19" s="134">
        <v>94.56509806650807974078264472</v>
      </c>
      <c r="O19" s="311">
        <v>-3.3608845415869921943656538200</v>
      </c>
      <c r="P19" s="319">
        <v>207.8920049736798989459384541</v>
      </c>
      <c r="Q19" s="134">
        <v>0.2968859786083825372426526500</v>
      </c>
      <c r="R19" s="135">
        <v>215.65306213787429474744760431</v>
      </c>
      <c r="S19" s="134">
        <v>6.9585211023665938464189131700</v>
      </c>
      <c r="T19" s="134">
        <v>96.40113750888579097531429827</v>
      </c>
      <c r="U19" s="311">
        <v>-6.2282416165678030474711441100</v>
      </c>
      <c r="W19" s="281"/>
      <c r="X19" s="281"/>
      <c r="Y19" s="281"/>
      <c r="Z19" s="281"/>
      <c r="AA19" s="281"/>
      <c r="AB19" s="281"/>
      <c r="AC19" s="281"/>
      <c r="AD19" s="281"/>
      <c r="AE19" s="281"/>
      <c r="AF19" s="281"/>
      <c r="AG19" s="281"/>
      <c r="AH19" s="281"/>
      <c r="AI19" s="281"/>
      <c r="AJ19" s="281"/>
      <c r="AK19" s="281"/>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row>
    <row r="20" s="2" customFormat="1" ht="15.95" customHeight="1">
      <c r="B20" s="301"/>
      <c r="C20" s="305" t="s">
        <v>44</v>
      </c>
      <c r="D20" s="312">
        <v>82.86713286713286713286713287</v>
      </c>
      <c r="E20" s="159">
        <v>1.1379800853879257561072493500</v>
      </c>
      <c r="F20" s="159">
        <v>81.11549631394742720976990096</v>
      </c>
      <c r="G20" s="159">
        <v>1.5948517067617347045288751300</v>
      </c>
      <c r="H20" s="159">
        <v>102.15943516693086625996978886</v>
      </c>
      <c r="I20" s="313">
        <v>-0.4496995799614163610722617100</v>
      </c>
      <c r="J20" s="320">
        <v>200.22260247983106259259110051</v>
      </c>
      <c r="K20" s="159">
        <v>-2.5487880911452735233308088200</v>
      </c>
      <c r="L20" s="160">
        <v>213.81359694176066641634487076</v>
      </c>
      <c r="M20" s="159">
        <v>3.9546397052998331232000909400</v>
      </c>
      <c r="N20" s="159">
        <v>93.64353125509206871584255912</v>
      </c>
      <c r="O20" s="313">
        <v>-6.2560245650693906880366554800</v>
      </c>
      <c r="P20" s="320">
        <v>165.91873002699287354700731056</v>
      </c>
      <c r="Q20" s="159">
        <v>-1.439812706663006868676258600</v>
      </c>
      <c r="R20" s="160">
        <v>173.43596034601228231984843825</v>
      </c>
      <c r="S20" s="159">
        <v>5.6125620508745413044780862100</v>
      </c>
      <c r="T20" s="159">
        <v>95.66570260053886319142976112</v>
      </c>
      <c r="U20" s="313">
        <v>-6.6775908287416542275692818900</v>
      </c>
      <c r="W20" s="281"/>
      <c r="X20" s="281"/>
      <c r="Y20" s="281"/>
      <c r="Z20" s="281"/>
      <c r="AA20" s="281"/>
      <c r="AB20" s="281"/>
      <c r="AC20" s="281"/>
      <c r="AD20" s="281"/>
      <c r="AE20" s="281"/>
      <c r="AF20" s="281"/>
      <c r="AG20" s="281"/>
      <c r="AH20" s="281"/>
      <c r="AI20" s="281"/>
      <c r="AJ20" s="281"/>
      <c r="AK20" s="281"/>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row>
    <row r="21" s="2" customFormat="1" ht="15.95" customHeight="1">
      <c r="B21" s="302"/>
      <c r="C21" s="306" t="s">
        <v>45</v>
      </c>
      <c r="D21" s="314">
        <v>82.53205128205128205128205128</v>
      </c>
      <c r="E21" s="315">
        <v>0.5387830000789066722558602300</v>
      </c>
      <c r="F21" s="315">
        <v>79.25571524313053838707275300</v>
      </c>
      <c r="G21" s="315">
        <v>5.5653803017112180410710478700</v>
      </c>
      <c r="H21" s="315">
        <v>104.13387984563866485405431901</v>
      </c>
      <c r="I21" s="316">
        <v>-4.7615963559635393127288541600</v>
      </c>
      <c r="J21" s="321">
        <v>211.76898740848853608131905793</v>
      </c>
      <c r="K21" s="315">
        <v>-2.3036228117313713422535287500</v>
      </c>
      <c r="L21" s="322">
        <v>224.87481480423019538843045663</v>
      </c>
      <c r="M21" s="315">
        <v>0.7172332987897387807968744100</v>
      </c>
      <c r="N21" s="315">
        <v>94.17194521888865359151181143</v>
      </c>
      <c r="O21" s="316">
        <v>-2.9993438178401915359669146300</v>
      </c>
      <c r="P21" s="321">
        <v>174.77728928745448090044761993</v>
      </c>
      <c r="Q21" s="315">
        <v>-1.7772513397960154366844097700</v>
      </c>
      <c r="R21" s="322">
        <v>178.22614287475783953145524294</v>
      </c>
      <c r="S21" s="315">
        <v>6.3225303612569935227831683500</v>
      </c>
      <c r="T21" s="315">
        <v>98.06490028246402440190414629</v>
      </c>
      <c r="U21" s="316">
        <v>-7.6181235280504345545741381300</v>
      </c>
      <c r="W21" s="281"/>
      <c r="X21" s="281"/>
      <c r="Y21" s="281"/>
      <c r="Z21" s="281"/>
      <c r="AA21" s="281"/>
      <c r="AB21" s="281"/>
      <c r="AC21" s="281"/>
      <c r="AD21" s="281"/>
      <c r="AE21" s="281"/>
      <c r="AF21" s="281"/>
      <c r="AG21" s="281"/>
      <c r="AH21" s="281"/>
      <c r="AI21" s="281"/>
      <c r="AJ21" s="281"/>
      <c r="AK21" s="281"/>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2" customFormat="1" ht="15.95" customHeight="1">
      <c r="B24" s="323" t="s">
        <v>46</v>
      </c>
      <c r="C24" s="303" t="s">
        <v>42</v>
      </c>
      <c r="D24" s="307">
        <v>69.393939393939393939393939390</v>
      </c>
      <c r="E24" s="308">
        <v>-10.634146341445977394408087030</v>
      </c>
      <c r="F24" s="308">
        <v>70.706679574056147144240077440</v>
      </c>
      <c r="G24" s="308">
        <v>7.5699558174309361640288212600</v>
      </c>
      <c r="H24" s="308">
        <v>98.14340004640598984005054419</v>
      </c>
      <c r="I24" s="309">
        <v>-16.923035824083749084828568150</v>
      </c>
      <c r="J24" s="317">
        <v>150.01681041119292249019906836</v>
      </c>
      <c r="K24" s="308">
        <v>-0.9801822274939826611313229700</v>
      </c>
      <c r="L24" s="318">
        <v>173.56333826002898600477491882</v>
      </c>
      <c r="M24" s="308">
        <v>10.966655655629285194579192780</v>
      </c>
      <c r="N24" s="308">
        <v>86.43346683414553177205008915</v>
      </c>
      <c r="O24" s="309">
        <v>-10.766151158225570480967546380</v>
      </c>
      <c r="P24" s="317">
        <v>104.10257449746417954622905047</v>
      </c>
      <c r="Q24" s="308">
        <v>-11.510094556482928433683533070</v>
      </c>
      <c r="R24" s="318">
        <v>122.72087344155389291179825818</v>
      </c>
      <c r="S24" s="308">
        <v>19.366782460776778354951623980</v>
      </c>
      <c r="T24" s="308">
        <v>84.82874312901966553683024033</v>
      </c>
      <c r="U24" s="309">
        <v>-25.867227364880506237499507250</v>
      </c>
      <c r="W24" s="281"/>
      <c r="X24" s="281"/>
      <c r="Y24" s="281"/>
      <c r="Z24" s="281"/>
      <c r="AA24" s="281"/>
      <c r="AB24" s="281"/>
      <c r="AC24" s="281"/>
      <c r="AD24" s="281"/>
      <c r="AE24" s="281"/>
      <c r="AF24" s="281"/>
      <c r="AG24" s="281"/>
      <c r="AH24" s="281"/>
      <c r="AI24" s="281"/>
      <c r="AJ24" s="281"/>
      <c r="AK24" s="281"/>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row>
    <row r="25" s="2" customFormat="1" ht="15.95" customHeight="1">
      <c r="B25" s="324"/>
      <c r="C25" s="304" t="s">
        <v>58</v>
      </c>
      <c r="D25" s="310">
        <v>84.29487179487179487179487179</v>
      </c>
      <c r="E25" s="134">
        <v>-2.9845741113214009745933665800</v>
      </c>
      <c r="F25" s="134">
        <v>80.61657606672127485293022563</v>
      </c>
      <c r="G25" s="134">
        <v>3.8626097441723535393001178600</v>
      </c>
      <c r="H25" s="134">
        <v>104.56270398426307675767747764</v>
      </c>
      <c r="I25" s="311">
        <v>-6.5925397718597827626359339200</v>
      </c>
      <c r="J25" s="319">
        <v>237.46142469423572651316524896</v>
      </c>
      <c r="K25" s="134">
        <v>0.4759180744405613362739416300</v>
      </c>
      <c r="L25" s="135">
        <v>249.50463598567708336009812543</v>
      </c>
      <c r="M25" s="134">
        <v>3.3004949248322947215870537200</v>
      </c>
      <c r="N25" s="134">
        <v>95.17315129481020430751559589</v>
      </c>
      <c r="O25" s="311">
        <v>-2.7343304138424691629425449600</v>
      </c>
      <c r="P25" s="319">
        <v>200.16780350828203869539250152</v>
      </c>
      <c r="Q25" s="134">
        <v>-2.5228601645580995221169840700</v>
      </c>
      <c r="R25" s="135">
        <v>201.14209465938938896838352118</v>
      </c>
      <c r="S25" s="134">
        <v>7.2905899076172692674088544700</v>
      </c>
      <c r="T25" s="134">
        <v>99.51562046086486370995500833</v>
      </c>
      <c r="U25" s="311">
        <v>-9.146608365728969863567492490</v>
      </c>
      <c r="W25" s="281"/>
      <c r="X25" s="281"/>
      <c r="Y25" s="281"/>
      <c r="Z25" s="281"/>
      <c r="AA25" s="281"/>
      <c r="AB25" s="281"/>
      <c r="AC25" s="281"/>
      <c r="AD25" s="281"/>
      <c r="AE25" s="281"/>
      <c r="AF25" s="281"/>
      <c r="AG25" s="281"/>
      <c r="AH25" s="281"/>
      <c r="AI25" s="281"/>
      <c r="AJ25" s="281"/>
      <c r="AK25" s="281"/>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row>
    <row r="26" s="2" customFormat="1" ht="15.95" customHeight="1">
      <c r="B26" s="324"/>
      <c r="C26" s="305" t="s">
        <v>44</v>
      </c>
      <c r="D26" s="312">
        <v>77.797202797202797202797202800</v>
      </c>
      <c r="E26" s="159">
        <v>-8.121128699286703495485267440</v>
      </c>
      <c r="F26" s="159">
        <v>76.208206121081242088018467500</v>
      </c>
      <c r="G26" s="159">
        <v>1.8916766228568621363491676800</v>
      </c>
      <c r="H26" s="159">
        <v>102.08507292978104468806463924</v>
      </c>
      <c r="I26" s="313">
        <v>-9.826911926463936786491515580</v>
      </c>
      <c r="J26" s="320">
        <v>190.10504687919182648594541482</v>
      </c>
      <c r="K26" s="159">
        <v>4.3565545080079234753597570700</v>
      </c>
      <c r="L26" s="160">
        <v>208.89351667673506566204612655</v>
      </c>
      <c r="M26" s="159">
        <v>8.410112359628535135562763140</v>
      </c>
      <c r="N26" s="159">
        <v>91.00571903981745692073117475</v>
      </c>
      <c r="O26" s="313">
        <v>-3.7390957018757513102004804300</v>
      </c>
      <c r="P26" s="320">
        <v>147.89640884832231256336662516</v>
      </c>
      <c r="Q26" s="159">
        <v>-4.1183755897140960922652636900</v>
      </c>
      <c r="R26" s="160">
        <v>159.19400176258147754750019057</v>
      </c>
      <c r="S26" s="159">
        <v>10.460881111921835114749326600</v>
      </c>
      <c r="T26" s="159">
        <v>92.90325465206574749428732228</v>
      </c>
      <c r="U26" s="313">
        <v>-13.198569986799676844431503030</v>
      </c>
      <c r="W26" s="281"/>
      <c r="X26" s="281"/>
      <c r="Y26" s="281"/>
      <c r="Z26" s="281"/>
      <c r="AA26" s="281"/>
      <c r="AB26" s="281"/>
      <c r="AC26" s="281"/>
      <c r="AD26" s="281"/>
      <c r="AE26" s="281"/>
      <c r="AF26" s="281"/>
      <c r="AG26" s="281"/>
      <c r="AH26" s="281"/>
      <c r="AI26" s="281"/>
      <c r="AJ26" s="281"/>
      <c r="AK26" s="281"/>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row>
    <row r="27" s="2" customFormat="1" ht="15.95" customHeight="1">
      <c r="B27" s="325"/>
      <c r="C27" s="306" t="s">
        <v>45</v>
      </c>
      <c r="D27" s="314">
        <v>78.216123499142367066895368780</v>
      </c>
      <c r="E27" s="315">
        <v>1.1064918452711553500675090700</v>
      </c>
      <c r="F27" s="315">
        <v>72.941971542859230305576357560</v>
      </c>
      <c r="G27" s="315">
        <v>8.188136423849532734882361540</v>
      </c>
      <c r="H27" s="315">
        <v>107.23061338305125729370555799</v>
      </c>
      <c r="I27" s="316">
        <v>-6.5456757207668275900348837800</v>
      </c>
      <c r="J27" s="321">
        <v>208.75736250767596256360246016</v>
      </c>
      <c r="K27" s="315">
        <v>0.1354599154689230095670922300</v>
      </c>
      <c r="L27" s="322">
        <v>217.57193687875453983649871013</v>
      </c>
      <c r="M27" s="315">
        <v>1.5030377086728721356685987300</v>
      </c>
      <c r="N27" s="315">
        <v>95.94866208502144328045783286</v>
      </c>
      <c r="O27" s="316">
        <v>-1.3473269609392938056544900100</v>
      </c>
      <c r="P27" s="321">
        <v>163.28191647255615596741461721</v>
      </c>
      <c r="Q27" s="315">
        <v>1.2434506136325816612349501700</v>
      </c>
      <c r="R27" s="322">
        <v>158.70126028334878350966366489</v>
      </c>
      <c r="S27" s="315">
        <v>9.814244910635030761202352090</v>
      </c>
      <c r="T27" s="315">
        <v>102.88633888671026172152914586</v>
      </c>
      <c r="U27" s="316">
        <v>-7.8048110278739574990108395200</v>
      </c>
      <c r="W27" s="281"/>
      <c r="X27" s="281"/>
      <c r="Y27" s="281"/>
      <c r="Z27" s="281"/>
      <c r="AA27" s="281"/>
      <c r="AB27" s="281"/>
      <c r="AC27" s="281"/>
      <c r="AD27" s="281"/>
      <c r="AE27" s="281"/>
      <c r="AF27" s="281"/>
      <c r="AG27" s="281"/>
      <c r="AH27" s="281"/>
      <c r="AI27" s="281"/>
      <c r="AJ27" s="281"/>
      <c r="AK27" s="281"/>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row>
    <row r="28" s="2" customFormat="1" ht="5.1" customHeight="1">
      <c r="B28" s="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row>
    <row r="29" s="9" customFormat="1" ht="5.1" customHeight="1">
      <c r="B29" s="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2" customFormat="1" ht="15.95" customHeight="1">
      <c r="B30" s="323" t="s">
        <v>47</v>
      </c>
      <c r="C30" s="303" t="s">
        <v>42</v>
      </c>
      <c r="D30" s="307">
        <v>69.886363636363636363636363640</v>
      </c>
      <c r="E30" s="308">
        <v>-11.933174224387393555516294560</v>
      </c>
      <c r="F30" s="308">
        <v>75.435624394966118102613746370</v>
      </c>
      <c r="G30" s="308">
        <v>5.3040540539813373356465074800</v>
      </c>
      <c r="H30" s="308">
        <v>92.64371336070736100604442228</v>
      </c>
      <c r="I30" s="308">
        <v>-16.369007283929123098100413050</v>
      </c>
      <c r="J30" s="317">
        <v>166.52469672929909221478774984</v>
      </c>
      <c r="K30" s="308">
        <v>11.629615936085874882681791200</v>
      </c>
      <c r="L30" s="318">
        <v>181.94957097629471688509707442</v>
      </c>
      <c r="M30" s="308">
        <v>13.307666904347820792782714040</v>
      </c>
      <c r="N30" s="308">
        <v>91.52244538734851524963988398</v>
      </c>
      <c r="O30" s="309">
        <v>-1.4809685999477550538204327500</v>
      </c>
      <c r="P30" s="317">
        <v>116.37805510058970649101643881</v>
      </c>
      <c r="Q30" s="308">
        <v>-1.6913406195166072926974415400</v>
      </c>
      <c r="R30" s="318">
        <v>137.2547949499299691507375559</v>
      </c>
      <c r="S30" s="308">
        <v>19.317566804351484108360363550</v>
      </c>
      <c r="T30" s="308">
        <v>84.78979196542415313482777744</v>
      </c>
      <c r="U30" s="309">
        <v>-17.607556025903919402818236990</v>
      </c>
      <c r="W30" s="281"/>
      <c r="X30" s="281"/>
      <c r="Y30" s="281"/>
      <c r="Z30" s="281"/>
      <c r="AA30" s="281"/>
      <c r="AB30" s="281"/>
      <c r="AC30" s="281"/>
      <c r="AD30" s="281"/>
      <c r="AE30" s="281"/>
      <c r="AF30" s="281"/>
      <c r="AG30" s="281"/>
      <c r="AH30" s="281"/>
      <c r="AI30" s="281"/>
      <c r="AJ30" s="281"/>
      <c r="AK30" s="281"/>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row>
    <row r="31" s="2" customFormat="1" ht="15.95" customHeight="1">
      <c r="B31" s="324"/>
      <c r="C31" s="304" t="s">
        <v>58</v>
      </c>
      <c r="D31" s="310">
        <v>84.24242424242424242424242424</v>
      </c>
      <c r="E31" s="134">
        <v>-3.946843853861444531517294800</v>
      </c>
      <c r="F31" s="134">
        <v>82.90803484995159728944820910</v>
      </c>
      <c r="G31" s="134">
        <v>3.34586547442112001322561800</v>
      </c>
      <c r="H31" s="134">
        <v>101.60948139084283508891107704</v>
      </c>
      <c r="I31" s="134">
        <v>-7.0566048238580311273827767200</v>
      </c>
      <c r="J31" s="319">
        <v>247.34885871569121846969637458</v>
      </c>
      <c r="K31" s="134">
        <v>4.1153150472077247085856057300</v>
      </c>
      <c r="L31" s="135">
        <v>261.50591379022918721132131558</v>
      </c>
      <c r="M31" s="134">
        <v>5.8599785714439676945175121500</v>
      </c>
      <c r="N31" s="134">
        <v>94.58633463797432456543468746</v>
      </c>
      <c r="O31" s="311">
        <v>-1.6480860356696716221092843500</v>
      </c>
      <c r="P31" s="319">
        <v>208.37267491806714768053209737</v>
      </c>
      <c r="Q31" s="134">
        <v>0.0060461343829283765147379400</v>
      </c>
      <c r="R31" s="135">
        <v>216.80941413988759447750631899</v>
      </c>
      <c r="S31" s="134">
        <v>9.401911045647940222338660280</v>
      </c>
      <c r="T31" s="134">
        <v>96.10868409229273533086278285</v>
      </c>
      <c r="U31" s="311">
        <v>-8.588391940715280594209231250</v>
      </c>
      <c r="W31" s="281"/>
      <c r="X31" s="281"/>
      <c r="Y31" s="281"/>
      <c r="Z31" s="281"/>
      <c r="AA31" s="281"/>
      <c r="AB31" s="281"/>
      <c r="AC31" s="281"/>
      <c r="AD31" s="281"/>
      <c r="AE31" s="281"/>
      <c r="AF31" s="281"/>
      <c r="AG31" s="281"/>
      <c r="AH31" s="281"/>
      <c r="AI31" s="281"/>
      <c r="AJ31" s="281"/>
      <c r="AK31" s="281"/>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row>
    <row r="32" s="2" customFormat="1" ht="15.95" customHeight="1">
      <c r="B32" s="324"/>
      <c r="C32" s="305" t="s">
        <v>44</v>
      </c>
      <c r="D32" s="312">
        <v>79.137529137529137529137529140</v>
      </c>
      <c r="E32" s="159">
        <v>-7.4301295160077283049167562300</v>
      </c>
      <c r="F32" s="159">
        <v>78.323032243651798346861270380</v>
      </c>
      <c r="G32" s="159">
        <v>1.8396591788895877607952740400</v>
      </c>
      <c r="H32" s="159">
        <v>101.03992002160341856593345122</v>
      </c>
      <c r="I32" s="159">
        <v>-9.102336722005184031329967170</v>
      </c>
      <c r="J32" s="320">
        <v>201.40334424402597711576730784</v>
      </c>
      <c r="K32" s="159">
        <v>11.764359438462753349444074540</v>
      </c>
      <c r="L32" s="160">
        <v>213.26506312944071994412431463</v>
      </c>
      <c r="M32" s="159">
        <v>8.698709592638549428099029860</v>
      </c>
      <c r="N32" s="159">
        <v>94.43803935285131732672861809</v>
      </c>
      <c r="O32" s="313">
        <v>2.8203185275131024686098430900</v>
      </c>
      <c r="P32" s="320">
        <v>159.38563023507417070117249653</v>
      </c>
      <c r="Q32" s="159">
        <v>3.4601227793836215396236929600</v>
      </c>
      <c r="R32" s="160">
        <v>167.03566415931621806331815782</v>
      </c>
      <c r="S32" s="159">
        <v>10.698395381008861107987658280</v>
      </c>
      <c r="T32" s="159">
        <v>95.42011943214110278016539019</v>
      </c>
      <c r="U32" s="313">
        <v>-6.5387330834224653454854453800</v>
      </c>
      <c r="W32" s="281"/>
      <c r="X32" s="281"/>
      <c r="Y32" s="281"/>
      <c r="Z32" s="281"/>
      <c r="AA32" s="281"/>
      <c r="AB32" s="281"/>
      <c r="AC32" s="281"/>
      <c r="AD32" s="281"/>
      <c r="AE32" s="281"/>
      <c r="AF32" s="281"/>
      <c r="AG32" s="281"/>
      <c r="AH32" s="281"/>
      <c r="AI32" s="281"/>
      <c r="AJ32" s="281"/>
      <c r="AK32" s="281"/>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row>
    <row r="33" s="2" customFormat="1" ht="15.95" customHeight="1">
      <c r="B33" s="325"/>
      <c r="C33" s="306" t="s">
        <v>45</v>
      </c>
      <c r="D33" s="314">
        <v>78.117715617715617715617715620</v>
      </c>
      <c r="E33" s="315">
        <v>0.9032743696092068033410763700</v>
      </c>
      <c r="F33" s="315">
        <v>73.549780326159803410529451190</v>
      </c>
      <c r="G33" s="315">
        <v>7.750186820014805937107005400</v>
      </c>
      <c r="H33" s="315">
        <v>106.21067156320033462568919182</v>
      </c>
      <c r="I33" s="315">
        <v>-6.3544320919803228955396300300</v>
      </c>
      <c r="J33" s="321">
        <v>214.73962590805599934182570371</v>
      </c>
      <c r="K33" s="315">
        <v>1.4252747426877046771331231800</v>
      </c>
      <c r="L33" s="322">
        <v>228.92468635448061194722107282</v>
      </c>
      <c r="M33" s="315">
        <v>2.4295704309995633122725254100</v>
      </c>
      <c r="N33" s="315">
        <v>93.80361258878048333965996584</v>
      </c>
      <c r="O33" s="316">
        <v>-0.9804743729286436750987943700</v>
      </c>
      <c r="P33" s="321">
        <v>167.74969028540155426440405351</v>
      </c>
      <c r="Q33" s="315">
        <v>2.3414232537509268047213808700</v>
      </c>
      <c r="R33" s="322">
        <v>168.3736039260708172017799193</v>
      </c>
      <c r="S33" s="315">
        <v>10.368053498283737392078782450</v>
      </c>
      <c r="T33" s="315">
        <v>99.62944688113210162654751787</v>
      </c>
      <c r="U33" s="316">
        <v>-7.2726028865745681139539128700</v>
      </c>
      <c r="W33" s="281"/>
      <c r="X33" s="281"/>
      <c r="Y33" s="281"/>
      <c r="Z33" s="281"/>
      <c r="AA33" s="281"/>
      <c r="AB33" s="281"/>
      <c r="AC33" s="281"/>
      <c r="AD33" s="281"/>
      <c r="AE33" s="281"/>
      <c r="AF33" s="281"/>
      <c r="AG33" s="281"/>
      <c r="AH33" s="281"/>
      <c r="AI33" s="281"/>
      <c r="AJ33" s="281"/>
      <c r="AK33" s="281"/>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row>
    <row r="34" s="2" customFormat="1" ht="5.1" customHeight="1">
      <c r="B34" s="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row>
    <row r="35" s="9" customFormat="1" ht="5.1" customHeight="1">
      <c r="B35" s="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2" customFormat="1" ht="15.95" customHeight="1">
      <c r="B36" s="323" t="s">
        <v>48</v>
      </c>
      <c r="C36" s="303" t="s">
        <v>42</v>
      </c>
      <c r="D36" s="307">
        <v>78.409090909090909090909090910</v>
      </c>
      <c r="E36" s="308">
        <v>4.2821158690092266304589211700</v>
      </c>
      <c r="F36" s="308">
        <v>75.822846079380445304937076480</v>
      </c>
      <c r="G36" s="308">
        <v>0.2239283429954110756215504400</v>
      </c>
      <c r="H36" s="308">
        <v>103.41090444822217693994324932</v>
      </c>
      <c r="I36" s="308">
        <v>4.0491203978048908151252415500</v>
      </c>
      <c r="J36" s="317">
        <v>154.95478325604681613540207488</v>
      </c>
      <c r="K36" s="308">
        <v>4.3707714422934691370522168200</v>
      </c>
      <c r="L36" s="318">
        <v>175.74681447416407430753566298</v>
      </c>
      <c r="M36" s="308">
        <v>5.7215358010608536469851607700</v>
      </c>
      <c r="N36" s="308">
        <v>88.16932683510716062444461679</v>
      </c>
      <c r="O36" s="309">
        <v>-1.2776624446084315772716383800</v>
      </c>
      <c r="P36" s="317">
        <v>121.4986368712185262879857178</v>
      </c>
      <c r="Q36" s="308">
        <v>8.840048808836347669306576320</v>
      </c>
      <c r="R36" s="318">
        <v>133.25623662815973978836138241</v>
      </c>
      <c r="S36" s="308">
        <v>5.9582762842980240747586447200</v>
      </c>
      <c r="T36" s="308">
        <v>91.17669832610798597326083105</v>
      </c>
      <c r="U36" s="309">
        <v>2.7197238625649793573643339800</v>
      </c>
      <c r="W36" s="281"/>
      <c r="X36" s="281"/>
      <c r="Y36" s="281"/>
      <c r="Z36" s="281"/>
      <c r="AA36" s="281"/>
      <c r="AB36" s="281"/>
      <c r="AC36" s="281"/>
      <c r="AD36" s="281"/>
      <c r="AE36" s="281"/>
      <c r="AF36" s="281"/>
      <c r="AG36" s="281"/>
      <c r="AH36" s="281"/>
      <c r="AI36" s="281"/>
      <c r="AJ36" s="281"/>
      <c r="AK36" s="281"/>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row>
    <row r="37" s="2" customFormat="1" ht="15.95" customHeight="1">
      <c r="B37" s="324"/>
      <c r="C37" s="304" t="s">
        <v>58</v>
      </c>
      <c r="D37" s="310">
        <v>88.34498834498834498834498834</v>
      </c>
      <c r="E37" s="134">
        <v>1.4725568942868383843271528900</v>
      </c>
      <c r="F37" s="134">
        <v>83.63616054806761486335542483</v>
      </c>
      <c r="G37" s="134">
        <v>3.4904994617661416040541293700</v>
      </c>
      <c r="H37" s="134">
        <v>105.63013386318738364388673343</v>
      </c>
      <c r="I37" s="134">
        <v>-1.9498819486694971099669900</v>
      </c>
      <c r="J37" s="319">
        <v>243.09501349131028251398976887</v>
      </c>
      <c r="K37" s="134">
        <v>1.9773668694861930650442734900</v>
      </c>
      <c r="L37" s="135">
        <v>257.99702997772750438141245802</v>
      </c>
      <c r="M37" s="134">
        <v>4.9472412222451502465738216200</v>
      </c>
      <c r="N37" s="134">
        <v>94.22395812553432307960441363</v>
      </c>
      <c r="O37" s="311">
        <v>-2.8298736757125223833464839700</v>
      </c>
      <c r="P37" s="319">
        <v>214.76226133614591392261566993</v>
      </c>
      <c r="Q37" s="134">
        <v>3.4790416159279015932993345300</v>
      </c>
      <c r="R37" s="135">
        <v>215.77881020141830854567235254</v>
      </c>
      <c r="S37" s="134">
        <v>8.610424112332243009719918670</v>
      </c>
      <c r="T37" s="134">
        <v>99.52889309923190475504180126</v>
      </c>
      <c r="U37" s="311">
        <v>-4.7245764284427055598984504900</v>
      </c>
      <c r="W37" s="281"/>
      <c r="X37" s="281"/>
      <c r="Y37" s="281"/>
      <c r="Z37" s="281"/>
      <c r="AA37" s="281"/>
      <c r="AB37" s="281"/>
      <c r="AC37" s="281"/>
      <c r="AD37" s="281"/>
      <c r="AE37" s="281"/>
      <c r="AF37" s="281"/>
      <c r="AG37" s="281"/>
      <c r="AH37" s="281"/>
      <c r="AI37" s="281"/>
      <c r="AJ37" s="281"/>
      <c r="AK37" s="281"/>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row>
    <row r="38" s="2" customFormat="1" ht="15.95" customHeight="1">
      <c r="B38" s="324"/>
      <c r="C38" s="305" t="s">
        <v>44</v>
      </c>
      <c r="D38" s="312">
        <v>85.31468531468531468531468531</v>
      </c>
      <c r="E38" s="159">
        <v>2.377622377663328671328687700</v>
      </c>
      <c r="F38" s="159">
        <v>79.61128900141484846228311862</v>
      </c>
      <c r="G38" s="159">
        <v>1.86755597904676088638592700</v>
      </c>
      <c r="H38" s="159">
        <v>107.16405472744577457994737966</v>
      </c>
      <c r="I38" s="159">
        <v>0.5007152607604286302718237200</v>
      </c>
      <c r="J38" s="320">
        <v>192.99665475647937633213826126</v>
      </c>
      <c r="K38" s="159">
        <v>6.0513016899485961731306610800</v>
      </c>
      <c r="L38" s="160">
        <v>209.71920804327476564979818788</v>
      </c>
      <c r="M38" s="159">
        <v>5.7006658242426897853493926900</v>
      </c>
      <c r="N38" s="159">
        <v>92.02621760646360256545481583</v>
      </c>
      <c r="O38" s="313">
        <v>0.3317253140644645606717169400</v>
      </c>
      <c r="P38" s="320">
        <v>164.65448867336002736028578933</v>
      </c>
      <c r="Q38" s="159">
        <v>8.572801170748293277163858250</v>
      </c>
      <c r="R38" s="160">
        <v>166.96016480680992773564617072</v>
      </c>
      <c r="S38" s="159">
        <v>7.674684928727260403928451100</v>
      </c>
      <c r="T38" s="159">
        <v>98.61902619938833072997025626</v>
      </c>
      <c r="U38" s="313">
        <v>0.8341015742196314882110960700</v>
      </c>
      <c r="W38" s="281"/>
      <c r="X38" s="281"/>
      <c r="Y38" s="281"/>
      <c r="Z38" s="281"/>
      <c r="AA38" s="281"/>
      <c r="AB38" s="281"/>
      <c r="AC38" s="281"/>
      <c r="AD38" s="281"/>
      <c r="AE38" s="281"/>
      <c r="AF38" s="281"/>
      <c r="AG38" s="281"/>
      <c r="AH38" s="281"/>
      <c r="AI38" s="281"/>
      <c r="AJ38" s="281"/>
      <c r="AK38" s="281"/>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row>
    <row r="39" s="2" customFormat="1" ht="15.95" customHeight="1">
      <c r="B39" s="325"/>
      <c r="C39" s="306" t="s">
        <v>45</v>
      </c>
      <c r="D39" s="314">
        <v>81.20629370629370629370629371</v>
      </c>
      <c r="E39" s="315">
        <v>2.4067609773835040406228983300</v>
      </c>
      <c r="F39" s="315">
        <v>74.780326159803410529451187730</v>
      </c>
      <c r="G39" s="315">
        <v>6.3085562315744857902681191200</v>
      </c>
      <c r="H39" s="315">
        <v>108.59312586142228260298502324</v>
      </c>
      <c r="I39" s="315">
        <v>-3.6702551444972336883487633700</v>
      </c>
      <c r="J39" s="321">
        <v>212.50938542804234306620141595</v>
      </c>
      <c r="K39" s="315">
        <v>-2.3646875439921787781302662300</v>
      </c>
      <c r="L39" s="322">
        <v>223.48359362242658022693341512</v>
      </c>
      <c r="M39" s="315">
        <v>-1.3149727689335791232460965900</v>
      </c>
      <c r="N39" s="315">
        <v>95.08947926938217075003209976</v>
      </c>
      <c r="O39" s="316">
        <v>-1.0637021688838686385575756400</v>
      </c>
      <c r="P39" s="321">
        <v>172.57099568413578383610237362</v>
      </c>
      <c r="Q39" s="315">
        <v>-0.0148389436386336894530976900</v>
      </c>
      <c r="R39" s="322">
        <v>167.12176022450021038676908839</v>
      </c>
      <c r="S39" s="315">
        <v>4.9106276661179753248207141300</v>
      </c>
      <c r="T39" s="315">
        <v>103.26063790395436940212023516</v>
      </c>
      <c r="U39" s="316">
        <v>-4.6949167298774960340233504700</v>
      </c>
      <c r="W39" s="281"/>
      <c r="X39" s="281"/>
      <c r="Y39" s="281"/>
      <c r="Z39" s="281"/>
      <c r="AA39" s="281"/>
      <c r="AB39" s="281"/>
      <c r="AC39" s="281"/>
      <c r="AD39" s="281"/>
      <c r="AE39" s="281"/>
      <c r="AF39" s="281"/>
      <c r="AG39" s="281"/>
      <c r="AH39" s="281"/>
      <c r="AI39" s="281"/>
      <c r="AJ39" s="281"/>
      <c r="AK39" s="281"/>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row>
    <row r="40" s="2" customFormat="1" ht="5.1" customHeight="1">
      <c r="B40" s="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row>
    <row r="41" s="9" customFormat="1" ht="5.1" customHeight="1">
      <c r="B41" s="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2" customFormat="1" ht="15.95" customHeight="1">
      <c r="B42" s="323" t="s">
        <v>49</v>
      </c>
      <c r="C42" s="303" t="s">
        <v>42</v>
      </c>
      <c r="D42" s="307">
        <v>92.23484848484848484848484848</v>
      </c>
      <c r="E42" s="308">
        <v>10.933940774540032482189303700</v>
      </c>
      <c r="F42" s="308">
        <v>83.78509196515004840271055179</v>
      </c>
      <c r="G42" s="308">
        <v>2.8520499108280949369971274800</v>
      </c>
      <c r="H42" s="308">
        <v>110.08503579987484803005443450</v>
      </c>
      <c r="I42" s="308">
        <v>7.8577829713488697174542747400</v>
      </c>
      <c r="J42" s="317">
        <v>156.3297878285252603098321126</v>
      </c>
      <c r="K42" s="308">
        <v>-5.3354572705027706705964413900</v>
      </c>
      <c r="L42" s="318">
        <v>180.79372925460656441829490749</v>
      </c>
      <c r="M42" s="308">
        <v>-0.4242415394342145125524867600</v>
      </c>
      <c r="N42" s="308">
        <v>86.46858963143363844671961444</v>
      </c>
      <c r="O42" s="309">
        <v>-4.9321399174212577392336369200</v>
      </c>
      <c r="P42" s="317">
        <v>144.19054294032538214183378568</v>
      </c>
      <c r="Q42" s="308">
        <v>5.0151077659921547607312659700</v>
      </c>
      <c r="R42" s="318">
        <v>151.47819232319649709974273227</v>
      </c>
      <c r="S42" s="308">
        <v>2.4157087910207614583233525400</v>
      </c>
      <c r="T42" s="308">
        <v>95.18897785146168481196925058</v>
      </c>
      <c r="U42" s="309">
        <v>2.5380862034088527193791682400</v>
      </c>
      <c r="W42" s="281"/>
      <c r="X42" s="281"/>
      <c r="Y42" s="281"/>
      <c r="Z42" s="281"/>
      <c r="AA42" s="281"/>
      <c r="AB42" s="281"/>
      <c r="AC42" s="281"/>
      <c r="AD42" s="281"/>
      <c r="AE42" s="281"/>
      <c r="AF42" s="281"/>
      <c r="AG42" s="281"/>
      <c r="AH42" s="281"/>
      <c r="AI42" s="281"/>
      <c r="AJ42" s="281"/>
      <c r="AK42" s="281"/>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row>
    <row r="43" s="2" customFormat="1" ht="15.95" customHeight="1">
      <c r="B43" s="324"/>
      <c r="C43" s="304" t="s">
        <v>58</v>
      </c>
      <c r="D43" s="310">
        <v>91.11305361305361305361305361</v>
      </c>
      <c r="E43" s="134">
        <v>1.8235102571905551465633832500</v>
      </c>
      <c r="F43" s="134">
        <v>87.09881599523419465336212674</v>
      </c>
      <c r="G43" s="134">
        <v>2.887983223598842668787782600</v>
      </c>
      <c r="H43" s="134">
        <v>104.60883144275444222211386529</v>
      </c>
      <c r="I43" s="134">
        <v>-1.0345940633193847777800022100</v>
      </c>
      <c r="J43" s="319">
        <v>249.63518025814360322987245852</v>
      </c>
      <c r="K43" s="134">
        <v>-5.9521678407502976351629976700</v>
      </c>
      <c r="L43" s="135">
        <v>258.09443276133660119742062182</v>
      </c>
      <c r="M43" s="134">
        <v>-2.7182520895264649330802330700</v>
      </c>
      <c r="N43" s="134">
        <v>96.72241961492444079593808933</v>
      </c>
      <c r="O43" s="311">
        <v>-3.3242780075855329467368021200</v>
      </c>
      <c r="P43" s="319">
        <v>227.45023562564541005239253432</v>
      </c>
      <c r="Q43" s="134">
        <v>-4.2371959745872055406831899700</v>
      </c>
      <c r="R43" s="135">
        <v>224.79719508474000714168071361</v>
      </c>
      <c r="S43" s="134">
        <v>0.0912284697366562489298025900</v>
      </c>
      <c r="T43" s="134">
        <v>101.18019290229390391821819561</v>
      </c>
      <c r="U43" s="311">
        <v>-4.3244792880572434281136057800</v>
      </c>
      <c r="W43" s="281"/>
      <c r="X43" s="281"/>
      <c r="Y43" s="281"/>
      <c r="Z43" s="281"/>
      <c r="AA43" s="281"/>
      <c r="AB43" s="281"/>
      <c r="AC43" s="281"/>
      <c r="AD43" s="281"/>
      <c r="AE43" s="281"/>
      <c r="AF43" s="281"/>
      <c r="AG43" s="281"/>
      <c r="AH43" s="281"/>
      <c r="AI43" s="281"/>
      <c r="AJ43" s="281"/>
      <c r="AK43" s="281"/>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row>
    <row r="44" s="2" customFormat="1" ht="15.95" customHeight="1">
      <c r="B44" s="324"/>
      <c r="C44" s="305" t="s">
        <v>44</v>
      </c>
      <c r="D44" s="312">
        <v>90.26806526806526806526806527</v>
      </c>
      <c r="E44" s="159">
        <v>4.3097643097179498690610007800</v>
      </c>
      <c r="F44" s="159">
        <v>85.26323627969320128081018691</v>
      </c>
      <c r="G44" s="159">
        <v>3.3673377268286295829885937700</v>
      </c>
      <c r="H44" s="159">
        <v>105.86985576286042145591033685</v>
      </c>
      <c r="I44" s="159">
        <v>0.9117256994723089337418187800</v>
      </c>
      <c r="J44" s="320">
        <v>203.11094980502489719230476096</v>
      </c>
      <c r="K44" s="159">
        <v>-6.2298195920455409305978226300</v>
      </c>
      <c r="L44" s="160">
        <v>213.24806545570042440829223429</v>
      </c>
      <c r="M44" s="159">
        <v>-3.7622454879817609763867712900</v>
      </c>
      <c r="N44" s="159">
        <v>95.24632702809630883415982302</v>
      </c>
      <c r="O44" s="313">
        <v>-2.5640395669516160185161934500</v>
      </c>
      <c r="P44" s="320">
        <v>183.34432473658715952848489203</v>
      </c>
      <c r="Q44" s="159">
        <v>-2.1885458236138865737178393800</v>
      </c>
      <c r="R44" s="160">
        <v>181.82220191136866925868985647</v>
      </c>
      <c r="S44" s="159">
        <v>-0.5215952728357759038803144900</v>
      </c>
      <c r="T44" s="159">
        <v>100.83714904405836729527706713</v>
      </c>
      <c r="U44" s="313">
        <v>-1.6756908752398583839171846300</v>
      </c>
      <c r="W44" s="281"/>
      <c r="X44" s="281"/>
      <c r="Y44" s="281"/>
      <c r="Z44" s="281"/>
      <c r="AA44" s="281"/>
      <c r="AB44" s="281"/>
      <c r="AC44" s="281"/>
      <c r="AD44" s="281"/>
      <c r="AE44" s="281"/>
      <c r="AF44" s="281"/>
      <c r="AG44" s="281"/>
      <c r="AH44" s="281"/>
      <c r="AI44" s="281"/>
      <c r="AJ44" s="281"/>
      <c r="AK44" s="281"/>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row>
    <row r="45" s="2" customFormat="1" ht="15.95" customHeight="1">
      <c r="B45" s="325"/>
      <c r="C45" s="306" t="s">
        <v>45</v>
      </c>
      <c r="D45" s="314">
        <v>86.02855477855477855477855478</v>
      </c>
      <c r="E45" s="315">
        <v>2.0566885585555510285085787200</v>
      </c>
      <c r="F45" s="315">
        <v>79.95941618884503686052572790</v>
      </c>
      <c r="G45" s="315">
        <v>3.1446027922741456921203927500</v>
      </c>
      <c r="H45" s="315">
        <v>107.59027376516149353336154305</v>
      </c>
      <c r="I45" s="315">
        <v>-1.0547466413096400068754072400</v>
      </c>
      <c r="J45" s="321">
        <v>219.52215668797494137441483209</v>
      </c>
      <c r="K45" s="315">
        <v>-7.8364384036517964706100581900</v>
      </c>
      <c r="L45" s="322">
        <v>226.93390755053252942521850977</v>
      </c>
      <c r="M45" s="315">
        <v>-4.4824939834132165487608289300</v>
      </c>
      <c r="N45" s="315">
        <v>96.73396058679520656386849232</v>
      </c>
      <c r="O45" s="316">
        <v>-3.511340025620896038046690500</v>
      </c>
      <c r="P45" s="321">
        <v>188.85173881737937482749411182</v>
      </c>
      <c r="Q45" s="315">
        <v>-5.9409209771262482875927941800</v>
      </c>
      <c r="R45" s="322">
        <v>181.45502761193913678126741032</v>
      </c>
      <c r="S45" s="315">
        <v>-1.4788478220612988035418816100</v>
      </c>
      <c r="T45" s="315">
        <v>104.07633301916529051753506898</v>
      </c>
      <c r="U45" s="316">
        <v>-4.5290509259810325458507856100</v>
      </c>
      <c r="W45" s="281"/>
      <c r="X45" s="281"/>
      <c r="Y45" s="281"/>
      <c r="Z45" s="281"/>
      <c r="AA45" s="281"/>
      <c r="AB45" s="281"/>
      <c r="AC45" s="281"/>
      <c r="AD45" s="281"/>
      <c r="AE45" s="281"/>
      <c r="AF45" s="281"/>
      <c r="AG45" s="281"/>
      <c r="AH45" s="281"/>
      <c r="AI45" s="281"/>
      <c r="AJ45" s="281"/>
      <c r="AK45" s="281"/>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row>
    <row r="46" s="2" customFormat="1" ht="5.1" customHeight="1">
      <c r="A46" s="4"/>
      <c r="B46" s="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row>
    <row r="47" s="9" customFormat="1" ht="5.1" customHeight="1">
      <c r="A47" s="4"/>
      <c r="B47" s="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2" customFormat="1" ht="15.95" customHeight="1">
      <c r="B48" s="323" t="s">
        <v>50</v>
      </c>
      <c r="C48" s="303" t="s">
        <v>42</v>
      </c>
      <c r="D48" s="307">
        <v>91.47727272727272727272727273</v>
      </c>
      <c r="E48" s="308">
        <v>15.274463007102679980177858340</v>
      </c>
      <c r="F48" s="308">
        <v>90.85188770571151984511132623</v>
      </c>
      <c r="G48" s="308">
        <v>15.294840294863098856618517140</v>
      </c>
      <c r="H48" s="308">
        <v>100.68835666199755906997341549</v>
      </c>
      <c r="I48" s="308">
        <v>-0.0176740672978339323074027900</v>
      </c>
      <c r="J48" s="317">
        <v>214.30198215503617514073534166</v>
      </c>
      <c r="K48" s="308">
        <v>4.5569441635025178380001638600</v>
      </c>
      <c r="L48" s="318">
        <v>213.13896667386250812264709901</v>
      </c>
      <c r="M48" s="308">
        <v>-1.3822855786416020310912666500</v>
      </c>
      <c r="N48" s="308">
        <v>100.54566065477626835639151464</v>
      </c>
      <c r="O48" s="309">
        <v>6.0224775811941458694221646800</v>
      </c>
      <c r="P48" s="317">
        <v>196.0376086759137738503317614</v>
      </c>
      <c r="Q48" s="308">
        <v>20.527455921213124261988331150</v>
      </c>
      <c r="R48" s="318">
        <v>193.64077465965146551123359383</v>
      </c>
      <c r="S48" s="308">
        <v>13.701136344545981135568429380</v>
      </c>
      <c r="T48" s="308">
        <v>101.23777340822247626230211489</v>
      </c>
      <c r="U48" s="309">
        <v>6.0037390970954225543527793200</v>
      </c>
      <c r="W48" s="281"/>
      <c r="X48" s="281"/>
      <c r="Y48" s="281"/>
      <c r="Z48" s="281"/>
      <c r="AA48" s="281"/>
      <c r="AB48" s="281"/>
      <c r="AC48" s="281"/>
      <c r="AD48" s="281"/>
      <c r="AE48" s="281"/>
      <c r="AF48" s="281"/>
      <c r="AG48" s="281"/>
      <c r="AH48" s="281"/>
      <c r="AI48" s="281"/>
      <c r="AJ48" s="281"/>
      <c r="AK48" s="281"/>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row>
    <row r="49" s="2" customFormat="1" ht="15.95" customHeight="1">
      <c r="B49" s="324"/>
      <c r="C49" s="304" t="s">
        <v>58</v>
      </c>
      <c r="D49" s="310">
        <v>90.79254079254079254079254079</v>
      </c>
      <c r="E49" s="134">
        <v>-0.7327174259275245777540382800</v>
      </c>
      <c r="F49" s="134">
        <v>91.87951448358031126666170229</v>
      </c>
      <c r="G49" s="134">
        <v>3.8313528454569576447165612700</v>
      </c>
      <c r="H49" s="134">
        <v>98.81695751531944977060684246</v>
      </c>
      <c r="I49" s="134">
        <v>-4.3956571366474524511973855700</v>
      </c>
      <c r="J49" s="319">
        <v>313.22997899421816905939238963</v>
      </c>
      <c r="K49" s="134">
        <v>-5.4633185731279708441558246500</v>
      </c>
      <c r="L49" s="135">
        <v>303.40569945745432330514993057</v>
      </c>
      <c r="M49" s="134">
        <v>-4.6060101498577273459620341500</v>
      </c>
      <c r="N49" s="134">
        <v>103.23800098491370610458183391</v>
      </c>
      <c r="O49" s="311">
        <v>-0.898702763830539175149808200</v>
      </c>
      <c r="P49" s="319">
        <v>284.38945645279248682665113231</v>
      </c>
      <c r="Q49" s="134">
        <v>-6.1560053118418154872786185600</v>
      </c>
      <c r="R49" s="135">
        <v>278.76768357701989486191022551</v>
      </c>
      <c r="S49" s="134">
        <v>-0.9511298053344012473360762100</v>
      </c>
      <c r="T49" s="134">
        <v>102.01665157297175198410790083</v>
      </c>
      <c r="U49" s="311">
        <v>-5.2548560081907576697525241700</v>
      </c>
      <c r="W49" s="281"/>
      <c r="X49" s="281"/>
      <c r="Y49" s="281"/>
      <c r="Z49" s="281"/>
      <c r="AA49" s="281"/>
      <c r="AB49" s="281"/>
      <c r="AC49" s="281"/>
      <c r="AD49" s="281"/>
      <c r="AE49" s="281"/>
      <c r="AF49" s="281"/>
      <c r="AG49" s="281"/>
      <c r="AH49" s="281"/>
      <c r="AI49" s="281"/>
      <c r="AJ49" s="281"/>
      <c r="AK49" s="281"/>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row>
    <row r="50" s="2" customFormat="1" ht="15.95" customHeight="1">
      <c r="B50" s="324"/>
      <c r="C50" s="305" t="s">
        <v>44</v>
      </c>
      <c r="D50" s="312">
        <v>88.34498834498834498834498834</v>
      </c>
      <c r="E50" s="159">
        <v>-0.2631578947497029085872559600</v>
      </c>
      <c r="F50" s="159">
        <v>91.90557748156973713604884950</v>
      </c>
      <c r="G50" s="159">
        <v>6.3232253618740803206847812500</v>
      </c>
      <c r="H50" s="159">
        <v>96.12581822107096333845684784</v>
      </c>
      <c r="I50" s="159">
        <v>-6.1946796988111778962080399700</v>
      </c>
      <c r="J50" s="320">
        <v>278.83401799129671572216986402</v>
      </c>
      <c r="K50" s="159">
        <v>-1.4403584649064075647561685700</v>
      </c>
      <c r="L50" s="160">
        <v>268.25388269825619546668341393</v>
      </c>
      <c r="M50" s="159">
        <v>-1.5463002311421704776480804300</v>
      </c>
      <c r="N50" s="159">
        <v>103.94407536121145023162434870</v>
      </c>
      <c r="O50" s="313">
        <v>0.1076056730481618892349756400</v>
      </c>
      <c r="P50" s="320">
        <v>246.33588069627378848182372603</v>
      </c>
      <c r="Q50" s="159">
        <v>-1.6997259426177196918976423600</v>
      </c>
      <c r="R50" s="160">
        <v>246.54028001056504314914041959</v>
      </c>
      <c r="S50" s="159">
        <v>4.6791490822636942148498283700</v>
      </c>
      <c r="T50" s="159">
        <v>99.91709293332617965343884212</v>
      </c>
      <c r="U50" s="313">
        <v>-6.0937398525375851343289968300</v>
      </c>
      <c r="W50" s="281"/>
      <c r="X50" s="281"/>
      <c r="Y50" s="281"/>
      <c r="Z50" s="281"/>
      <c r="AA50" s="281"/>
      <c r="AB50" s="281"/>
      <c r="AC50" s="281"/>
      <c r="AD50" s="281"/>
      <c r="AE50" s="281"/>
      <c r="AF50" s="281"/>
      <c r="AG50" s="281"/>
      <c r="AH50" s="281"/>
      <c r="AI50" s="281"/>
      <c r="AJ50" s="281"/>
      <c r="AK50" s="281"/>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row>
    <row r="51" s="2" customFormat="1" ht="15.95" customHeight="1">
      <c r="B51" s="325"/>
      <c r="C51" s="306" t="s">
        <v>45</v>
      </c>
      <c r="D51" s="314">
        <v>87.13578088578088578088578089</v>
      </c>
      <c r="E51" s="315">
        <v>-0.92761305280510493390805100</v>
      </c>
      <c r="F51" s="315">
        <v>85.22228013999553205748752699</v>
      </c>
      <c r="G51" s="315">
        <v>1.1594432256680093077200733800</v>
      </c>
      <c r="H51" s="315">
        <v>102.24530573769847245122744834</v>
      </c>
      <c r="I51" s="315">
        <v>-2.0631353949523865454900623600</v>
      </c>
      <c r="J51" s="321">
        <v>279.06943687600196202778192092</v>
      </c>
      <c r="K51" s="315">
        <v>-6.9923970459576217028650671300</v>
      </c>
      <c r="L51" s="322">
        <v>272.89932153371741526752518116</v>
      </c>
      <c r="M51" s="315">
        <v>-3.7505677935615329329728830300</v>
      </c>
      <c r="N51" s="315">
        <v>102.26094931552991131509586432</v>
      </c>
      <c r="O51" s="316">
        <v>-3.3681541574713848429280354500</v>
      </c>
      <c r="P51" s="321">
        <v>243.16933303545567233219167672</v>
      </c>
      <c r="Q51" s="315">
        <v>-7.855147711109854667646882700</v>
      </c>
      <c r="R51" s="322">
        <v>232.57102429761180721045438497</v>
      </c>
      <c r="S51" s="315">
        <v>-2.6346102721028919070645032500</v>
      </c>
      <c r="T51" s="315">
        <v>104.55702027794054859776538804</v>
      </c>
      <c r="U51" s="316">
        <v>-5.3617999718235953962525644300</v>
      </c>
      <c r="W51" s="281"/>
      <c r="X51" s="281"/>
      <c r="Y51" s="281"/>
      <c r="Z51" s="281"/>
      <c r="AA51" s="281"/>
      <c r="AB51" s="281"/>
      <c r="AC51" s="281"/>
      <c r="AD51" s="281"/>
      <c r="AE51" s="281"/>
      <c r="AF51" s="281"/>
      <c r="AG51" s="281"/>
      <c r="AH51" s="281"/>
      <c r="AI51" s="281"/>
      <c r="AJ51" s="281"/>
      <c r="AK51" s="281"/>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row>
    <row r="52" s="2" customFormat="1" ht="5.1" customHeight="1">
      <c r="B52" s="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row>
    <row r="53" s="9" customFormat="1" ht="5.1" customHeight="1">
      <c r="B53" s="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2" customFormat="1" ht="15.95" customHeight="1">
      <c r="B54" s="323" t="s">
        <v>51</v>
      </c>
      <c r="C54" s="303" t="s">
        <v>42</v>
      </c>
      <c r="D54" s="307">
        <v>93.18181818181818181818181818</v>
      </c>
      <c r="E54" s="308">
        <v>14.953271028045977814656302500</v>
      </c>
      <c r="F54" s="308">
        <v>93.56243949661181026137463698</v>
      </c>
      <c r="G54" s="308">
        <v>11.941162844611549954500566920</v>
      </c>
      <c r="H54" s="308">
        <v>99.59319004845352528439496069</v>
      </c>
      <c r="I54" s="308">
        <v>2.6907958670911312777562479500</v>
      </c>
      <c r="J54" s="317">
        <v>220.41576635772513029835568925</v>
      </c>
      <c r="K54" s="308">
        <v>4.5647251602284842031089401100</v>
      </c>
      <c r="L54" s="318">
        <v>227.30585873512466987400690755</v>
      </c>
      <c r="M54" s="308">
        <v>4.2915252677321538734463458800</v>
      </c>
      <c r="N54" s="308">
        <v>96.96880123736515070477614634</v>
      </c>
      <c r="O54" s="309">
        <v>0.2619579028666687736379238800</v>
      </c>
      <c r="P54" s="317">
        <v>205.38741865151659868710416498</v>
      </c>
      <c r="Q54" s="308">
        <v>20.200571913180097439930941600</v>
      </c>
      <c r="R54" s="318">
        <v>212.67290655130493071948468166</v>
      </c>
      <c r="S54" s="308">
        <v>16.745146132996151915913734090</v>
      </c>
      <c r="T54" s="308">
        <v>96.57432250401579537473620880</v>
      </c>
      <c r="U54" s="309">
        <v>2.959802522561733784069395600</v>
      </c>
      <c r="W54" s="281"/>
      <c r="X54" s="281"/>
      <c r="Y54" s="281"/>
      <c r="Z54" s="281"/>
      <c r="AA54" s="281"/>
      <c r="AB54" s="281"/>
      <c r="AC54" s="281"/>
      <c r="AD54" s="281"/>
      <c r="AE54" s="281"/>
      <c r="AF54" s="281"/>
      <c r="AG54" s="281"/>
      <c r="AH54" s="281"/>
      <c r="AI54" s="281"/>
      <c r="AJ54" s="281"/>
      <c r="AK54" s="281"/>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row>
    <row r="55" s="2" customFormat="1" ht="15.95" customHeight="1">
      <c r="B55" s="324"/>
      <c r="C55" s="304" t="s">
        <v>58</v>
      </c>
      <c r="D55" s="310">
        <v>92.80303030303030303030303030</v>
      </c>
      <c r="E55" s="134">
        <v>1.7246885978962059278634719600</v>
      </c>
      <c r="F55" s="134">
        <v>94.22146101720157867302107380</v>
      </c>
      <c r="G55" s="134">
        <v>3.4666054019479569121878348300</v>
      </c>
      <c r="H55" s="134">
        <v>98.49457788187898682086859656</v>
      </c>
      <c r="I55" s="134">
        <v>-1.6835546090021722354074197200</v>
      </c>
      <c r="J55" s="319">
        <v>320.58964079793827441064408022</v>
      </c>
      <c r="K55" s="134">
        <v>-4.1551813042030419260546464900</v>
      </c>
      <c r="L55" s="135">
        <v>312.8168301228662953277718094</v>
      </c>
      <c r="M55" s="134">
        <v>-2.4822161906479941068587226400</v>
      </c>
      <c r="N55" s="134">
        <v>102.48478020571478827971647351</v>
      </c>
      <c r="O55" s="311">
        <v>-1.7155487421701834910153848700</v>
      </c>
      <c r="P55" s="319">
        <v>297.51690149808665617654469566</v>
      </c>
      <c r="Q55" s="134">
        <v>-2.5021566445045547839669604800</v>
      </c>
      <c r="R55" s="135">
        <v>294.7405876494621516704368683</v>
      </c>
      <c r="S55" s="134">
        <v>0.8983405707541265255341709900</v>
      </c>
      <c r="T55" s="134">
        <v>100.94195165678647446193643634</v>
      </c>
      <c r="U55" s="311">
        <v>-3.3702211513232749433129724500</v>
      </c>
      <c r="W55" s="281"/>
      <c r="X55" s="281"/>
      <c r="Y55" s="281"/>
      <c r="Z55" s="281"/>
      <c r="AA55" s="281"/>
      <c r="AB55" s="281"/>
      <c r="AC55" s="281"/>
      <c r="AD55" s="281"/>
      <c r="AE55" s="281"/>
      <c r="AF55" s="281"/>
      <c r="AG55" s="281"/>
      <c r="AH55" s="281"/>
      <c r="AI55" s="281"/>
      <c r="AJ55" s="281"/>
      <c r="AK55" s="281"/>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row>
    <row r="56" s="2" customFormat="1" ht="15.95" customHeight="1">
      <c r="B56" s="324"/>
      <c r="C56" s="305" t="s">
        <v>44</v>
      </c>
      <c r="D56" s="312">
        <v>91.60839160839160839160839161</v>
      </c>
      <c r="E56" s="159">
        <v>4.3824701195668259233980606300</v>
      </c>
      <c r="F56" s="159">
        <v>94.64591555588651426018318564</v>
      </c>
      <c r="G56" s="159">
        <v>6.1023457717952929229791912600</v>
      </c>
      <c r="H56" s="159">
        <v>96.79064444602011182012725008</v>
      </c>
      <c r="I56" s="159">
        <v>-1.6209591218264129379407692400</v>
      </c>
      <c r="J56" s="320">
        <v>287.20683531825487911924066101</v>
      </c>
      <c r="K56" s="159">
        <v>0.0429415926201015674900019700</v>
      </c>
      <c r="L56" s="160">
        <v>277.43582155215881690655629577</v>
      </c>
      <c r="M56" s="159">
        <v>1.9055643581110607394054857700</v>
      </c>
      <c r="N56" s="159">
        <v>103.52190056474608742059763302</v>
      </c>
      <c r="O56" s="313">
        <v>-1.8277929936668844088543540400</v>
      </c>
      <c r="P56" s="320">
        <v>263.10556242441530884350018596</v>
      </c>
      <c r="Q56" s="159">
        <v>4.4272936145936691800073532300</v>
      </c>
      <c r="R56" s="160">
        <v>262.5816733880362322497825988</v>
      </c>
      <c r="S56" s="159">
        <v>8.124194255910260218466820090</v>
      </c>
      <c r="T56" s="159">
        <v>100.19951469942884849001485866</v>
      </c>
      <c r="U56" s="313">
        <v>-3.4191243382459817208451290700</v>
      </c>
      <c r="W56" s="281"/>
      <c r="X56" s="281"/>
      <c r="Y56" s="281"/>
      <c r="Z56" s="281"/>
      <c r="AA56" s="281"/>
      <c r="AB56" s="281"/>
      <c r="AC56" s="281"/>
      <c r="AD56" s="281"/>
      <c r="AE56" s="281"/>
      <c r="AF56" s="281"/>
      <c r="AG56" s="281"/>
      <c r="AH56" s="281"/>
      <c r="AI56" s="281"/>
      <c r="AJ56" s="281"/>
      <c r="AK56" s="281"/>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row>
    <row r="57" s="2" customFormat="1" ht="15.95" customHeight="1">
      <c r="B57" s="325"/>
      <c r="C57" s="306" t="s">
        <v>45</v>
      </c>
      <c r="D57" s="314">
        <v>88.59265734265734265734265734</v>
      </c>
      <c r="E57" s="315">
        <v>-0.658081300052049716962179100</v>
      </c>
      <c r="F57" s="315">
        <v>87.90304564747933576587981235</v>
      </c>
      <c r="G57" s="315">
        <v>0.6383438008786815316430911300</v>
      </c>
      <c r="H57" s="315">
        <v>100.78451399502442098514281441</v>
      </c>
      <c r="I57" s="315">
        <v>-1.2882019436471490583286668100</v>
      </c>
      <c r="J57" s="321">
        <v>281.19447015230151677772331952</v>
      </c>
      <c r="K57" s="315">
        <v>-5.826840905352683075123742100</v>
      </c>
      <c r="L57" s="322">
        <v>278.02251080098550376043228771</v>
      </c>
      <c r="M57" s="315">
        <v>-1.8234572401339600880098168200</v>
      </c>
      <c r="N57" s="315">
        <v>101.14090018903969547772062008</v>
      </c>
      <c r="O57" s="316">
        <v>-4.0777395014132377101327496600</v>
      </c>
      <c r="P57" s="321">
        <v>249.11765340852935948795680449</v>
      </c>
      <c r="Q57" s="315">
        <v>-6.4465768549670161853082669100</v>
      </c>
      <c r="R57" s="322">
        <v>244.39025457965845402785188326</v>
      </c>
      <c r="S57" s="315">
        <v>-1.1967533655509107305922280800</v>
      </c>
      <c r="T57" s="315">
        <v>101.93436470572834188749998458</v>
      </c>
      <c r="U57" s="316">
        <v>-5.3134119254596463199292628800</v>
      </c>
      <c r="W57" s="281"/>
      <c r="X57" s="281"/>
      <c r="Y57" s="281"/>
      <c r="Z57" s="281"/>
      <c r="AA57" s="281"/>
      <c r="AB57" s="281"/>
      <c r="AC57" s="281"/>
      <c r="AD57" s="281"/>
      <c r="AE57" s="281"/>
      <c r="AF57" s="281"/>
      <c r="AG57" s="281"/>
      <c r="AH57" s="281"/>
      <c r="AI57" s="281"/>
      <c r="AJ57" s="281"/>
      <c r="AK57" s="281"/>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row>
    <row r="58" s="2" customFormat="1" ht="5.1" customHeight="1">
      <c r="B58" s="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row>
    <row r="59" s="2" customFormat="1" ht="15.95" customHeight="1">
      <c r="B59" s="1114" t="s">
        <v>57</v>
      </c>
      <c r="C59" s="1114"/>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row>
    <row r="60" ht="15.95" customHeight="1">
      <c r="B60" s="344" t="s">
        <v>40</v>
      </c>
      <c r="C60" s="348" t="s">
        <v>42</v>
      </c>
      <c r="D60" s="238">
        <v>76.859504132231404958677685950</v>
      </c>
      <c r="E60" s="246">
        <v>-0.9048625792459705904911620800</v>
      </c>
      <c r="F60" s="246">
        <v>76.243069611898266302912963130</v>
      </c>
      <c r="G60" s="246">
        <v>3.8972868327335377662956432100</v>
      </c>
      <c r="H60" s="246">
        <v>100.80851220113413692717157292</v>
      </c>
      <c r="I60" s="239">
        <v>-4.6220161838492815421855535400</v>
      </c>
      <c r="J60" s="326">
        <v>156.54103296196987603057071275</v>
      </c>
      <c r="K60" s="246">
        <v>1.2746093125732749719860323300</v>
      </c>
      <c r="L60" s="328">
        <v>178.45882317979616614386056944</v>
      </c>
      <c r="M60" s="246">
        <v>7.4109734385710825351176688900</v>
      </c>
      <c r="N60" s="246">
        <v>87.71829275387095075658475193</v>
      </c>
      <c r="O60" s="239">
        <v>-5.7129769236756521142944626700</v>
      </c>
      <c r="P60" s="326">
        <v>120.31666169804296256895104368</v>
      </c>
      <c r="Q60" s="246">
        <v>0.3582132705810395775636564800</v>
      </c>
      <c r="R60" s="328">
        <v>136.06248478554643011417196544</v>
      </c>
      <c r="S60" s="246">
        <v>11.597087163402223583234596970</v>
      </c>
      <c r="T60" s="246">
        <v>88.42750585344664447705338917</v>
      </c>
      <c r="U60" s="239">
        <v>-10.070938389622923022703767630</v>
      </c>
    </row>
    <row r="61" ht="15.95" customHeight="1">
      <c r="B61" s="345" t="s">
        <v>67</v>
      </c>
      <c r="C61" s="304" t="s">
        <v>58</v>
      </c>
      <c r="D61" s="240">
        <v>86.83345078693915903218228800</v>
      </c>
      <c r="E61" s="121">
        <v>-0.5630953951654053010106655600</v>
      </c>
      <c r="F61" s="121">
        <v>83.74494398042879548541540032</v>
      </c>
      <c r="G61" s="121">
        <v>3.4706491619855332332399195300</v>
      </c>
      <c r="H61" s="121">
        <v>103.68799196672936512759653116</v>
      </c>
      <c r="I61" s="241">
        <v>-3.8984432684646432270776259500</v>
      </c>
      <c r="J61" s="329">
        <v>243.86340994945101996571296617</v>
      </c>
      <c r="K61" s="121">
        <v>-0.1191691486273934760100058600</v>
      </c>
      <c r="L61" s="136">
        <v>256.51795576363978267457903251</v>
      </c>
      <c r="M61" s="121">
        <v>2.7280959729187546991315067300</v>
      </c>
      <c r="N61" s="121">
        <v>95.06679921236739205256628545</v>
      </c>
      <c r="O61" s="241">
        <v>-2.7716518004260423425061559900</v>
      </c>
      <c r="P61" s="329">
        <v>211.75501406580824413983039217</v>
      </c>
      <c r="Q61" s="121">
        <v>-0.6815935077715122520191300</v>
      </c>
      <c r="R61" s="136">
        <v>214.82081835400125462341431754</v>
      </c>
      <c r="S61" s="121">
        <v>6.2934277749592479478771139600</v>
      </c>
      <c r="T61" s="121">
        <v>98.57285513029763110695201712</v>
      </c>
      <c r="U61" s="241">
        <v>-6.5620437959146459004327442500</v>
      </c>
    </row>
    <row r="62" ht="15.95" customHeight="1">
      <c r="B62" s="345"/>
      <c r="C62" s="305" t="s">
        <v>44</v>
      </c>
      <c r="D62" s="242">
        <v>83.07692307692307692307692308</v>
      </c>
      <c r="E62" s="156">
        <v>-1.5605579339410681792316973900</v>
      </c>
      <c r="F62" s="156">
        <v>80.10425199195770347754858887</v>
      </c>
      <c r="G62" s="156">
        <v>2.1266091976296318017457405700</v>
      </c>
      <c r="H62" s="156">
        <v>103.71100286314384054435516148</v>
      </c>
      <c r="I62" s="243">
        <v>-3.610388282409793447282704100</v>
      </c>
      <c r="J62" s="330">
        <v>197.69619579193287163155782363</v>
      </c>
      <c r="K62" s="156">
        <v>2.2643278159730638437320265500</v>
      </c>
      <c r="L62" s="186">
        <v>211.83594425705915057204221896</v>
      </c>
      <c r="M62" s="156">
        <v>4.2299613546326430867925292200</v>
      </c>
      <c r="N62" s="156">
        <v>93.32514200328247010862263912</v>
      </c>
      <c r="O62" s="243">
        <v>-1.8858622924967250241562891400</v>
      </c>
      <c r="P62" s="330">
        <v>164.2399165040673087400634227</v>
      </c>
      <c r="Q62" s="156">
        <v>0.6684337346292344123244941100</v>
      </c>
      <c r="R62" s="186">
        <v>169.6895985972177149850005628</v>
      </c>
      <c r="S62" s="156">
        <v>6.4465252994139172930157051500</v>
      </c>
      <c r="T62" s="156">
        <v>96.78844069513721218710412144</v>
      </c>
      <c r="U62" s="243">
        <v>-5.428163623484975996948555500</v>
      </c>
    </row>
    <row r="63" ht="15.95" customHeight="1">
      <c r="B63" s="346"/>
      <c r="C63" s="349" t="s">
        <v>45</v>
      </c>
      <c r="D63" s="244">
        <v>81.20863810518982932776036224</v>
      </c>
      <c r="E63" s="250">
        <v>1.3842585881585422353351447900</v>
      </c>
      <c r="F63" s="250">
        <v>76.085351967449640781416326360</v>
      </c>
      <c r="G63" s="250">
        <v>6.0620393838132871754355768500</v>
      </c>
      <c r="H63" s="250">
        <v>106.73360378221682428539339209</v>
      </c>
      <c r="I63" s="245">
        <v>-4.4104194325529830085599129400</v>
      </c>
      <c r="J63" s="332">
        <v>213.53317338796507046917223621</v>
      </c>
      <c r="K63" s="250">
        <v>-2.4364006073098873086435102400</v>
      </c>
      <c r="L63" s="334">
        <v>224.39180852619018917172648646</v>
      </c>
      <c r="M63" s="250">
        <v>-0.4236570809549405440570198600</v>
      </c>
      <c r="N63" s="250">
        <v>95.16085938717897775209175875</v>
      </c>
      <c r="O63" s="245">
        <v>-2.0213069362589336508720286400</v>
      </c>
      <c r="P63" s="332">
        <v>173.40738201116007028870604971</v>
      </c>
      <c r="Q63" s="250">
        <v>-1.0858681037113697366994120300</v>
      </c>
      <c r="R63" s="334">
        <v>170.72929730327747788842260769</v>
      </c>
      <c r="S63" s="250">
        <v>5.6127000436883476626975238100</v>
      </c>
      <c r="T63" s="250">
        <v>101.56861461398887044235753261</v>
      </c>
      <c r="U63" s="245">
        <v>-6.3425782549181972285335875100</v>
      </c>
    </row>
    <row r="64" ht="5.1" customHeight="1">
      <c r="B64" s="4"/>
      <c r="C64" s="4"/>
      <c r="D64" s="156"/>
      <c r="E64" s="156"/>
      <c r="F64" s="156"/>
      <c r="G64" s="156"/>
      <c r="H64" s="156"/>
      <c r="I64" s="156"/>
      <c r="J64" s="156"/>
      <c r="K64" s="156"/>
      <c r="L64" s="156"/>
      <c r="M64" s="156"/>
      <c r="N64" s="156"/>
      <c r="O64" s="156"/>
      <c r="P64" s="156"/>
      <c r="Q64" s="156"/>
      <c r="R64" s="156"/>
      <c r="S64" s="156"/>
      <c r="T64" s="156"/>
      <c r="U64" s="156"/>
    </row>
    <row r="65" s="4" customFormat="1" ht="5.1" customHeight="1">
      <c r="A65" s="4"/>
      <c r="B65" s="4"/>
      <c r="C65" s="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92.32954545454545454545454545</v>
      </c>
      <c r="E66" s="246">
        <v>14.976415094383009967960144530</v>
      </c>
      <c r="F66" s="246">
        <v>92.20716360116166505324298161</v>
      </c>
      <c r="G66" s="246">
        <v>13.198204146328553925994045980</v>
      </c>
      <c r="H66" s="246">
        <v>100.13272488662026455265033472</v>
      </c>
      <c r="I66" s="239">
        <v>1.5708826490573758723265896800</v>
      </c>
      <c r="J66" s="326">
        <v>217.38709172193152482027299398</v>
      </c>
      <c r="K66" s="246">
        <v>4.3964109803964505047223131400</v>
      </c>
      <c r="L66" s="328">
        <v>220.32652634693856026579106487</v>
      </c>
      <c r="M66" s="246">
        <v>1.4547322472566347114792401400</v>
      </c>
      <c r="N66" s="246">
        <v>98.66587347710443622580319934</v>
      </c>
      <c r="O66" s="239">
        <v>2.8994987892886027152431863200</v>
      </c>
      <c r="P66" s="326">
        <v>200.71251366371518626871796319</v>
      </c>
      <c r="Q66" s="246">
        <v>20.031250832365517228836193210</v>
      </c>
      <c r="R66" s="328">
        <v>203.15684060547819811535913774</v>
      </c>
      <c r="S66" s="246">
        <v>14.844934925333758809559391890</v>
      </c>
      <c r="T66" s="246">
        <v>98.79682764582299807048569464</v>
      </c>
      <c r="U66" s="239">
        <v>4.5159291617514709276031004700</v>
      </c>
    </row>
    <row r="67" ht="15.95" customHeight="1">
      <c r="B67" s="345" t="s">
        <v>55</v>
      </c>
      <c r="C67" s="304" t="s">
        <v>58</v>
      </c>
      <c r="D67" s="240">
        <v>91.79778554778554778554778555</v>
      </c>
      <c r="E67" s="121">
        <v>0.4944178627881393435742722800</v>
      </c>
      <c r="F67" s="121">
        <v>93.05048775039094496984138804</v>
      </c>
      <c r="G67" s="121">
        <v>3.6463632474449708063939644800</v>
      </c>
      <c r="H67" s="121">
        <v>98.65373924102932263091083932</v>
      </c>
      <c r="I67" s="241">
        <v>-3.0410573858072791017406721200</v>
      </c>
      <c r="J67" s="329">
        <v>316.95010640968373572241994629</v>
      </c>
      <c r="K67" s="121">
        <v>-4.7934688755745080678008118900</v>
      </c>
      <c r="L67" s="136">
        <v>308.17048093553517807586135776</v>
      </c>
      <c r="M67" s="121">
        <v>-3.5269467499243171565018549100</v>
      </c>
      <c r="N67" s="121">
        <v>102.84895082992108806414818429</v>
      </c>
      <c r="O67" s="241">
        <v>-1.3128247557376010208882411600</v>
      </c>
      <c r="P67" s="329">
        <v>290.95317897543957150159791399</v>
      </c>
      <c r="Q67" s="121">
        <v>-4.3227507791172500881482230500</v>
      </c>
      <c r="R67" s="136">
        <v>286.75413561324102326617354689</v>
      </c>
      <c r="S67" s="121">
        <v>-0.0091887925183366471393236500</v>
      </c>
      <c r="T67" s="121">
        <v>101.46433576389762072563581470</v>
      </c>
      <c r="U67" s="241">
        <v>-4.3139583872862501571090488300</v>
      </c>
    </row>
    <row r="68" ht="15.95" customHeight="1">
      <c r="B68" s="345"/>
      <c r="C68" s="305" t="s">
        <v>44</v>
      </c>
      <c r="D68" s="342">
        <v>89.97668997668997668997668998</v>
      </c>
      <c r="E68" s="161">
        <v>2.0489094513783906736462186800</v>
      </c>
      <c r="F68" s="161">
        <v>93.27574651872812569811601757</v>
      </c>
      <c r="G68" s="161">
        <v>6.2110484588774962866716303200</v>
      </c>
      <c r="H68" s="161">
        <v>96.46311429804678573785731219</v>
      </c>
      <c r="I68" s="336">
        <v>-3.918743923408344667204756100</v>
      </c>
      <c r="J68" s="335">
        <v>283.09634598286997765876160395</v>
      </c>
      <c r="K68" s="161">
        <v>-0.6632718299106143362492482200</v>
      </c>
      <c r="L68" s="162">
        <v>272.91229092247391534935882222</v>
      </c>
      <c r="M68" s="161">
        <v>0.2043329387876118749506383800</v>
      </c>
      <c r="N68" s="161">
        <v>103.73162198959444618809685627</v>
      </c>
      <c r="O68" s="336">
        <v>-0.8658355814009646519893779400</v>
      </c>
      <c r="P68" s="335">
        <v>254.720721560344548662661956</v>
      </c>
      <c r="Q68" s="161">
        <v>1.3720477822832116038154149800</v>
      </c>
      <c r="R68" s="162">
        <v>254.5609766993006376994615092</v>
      </c>
      <c r="S68" s="161">
        <v>6.428072615544703716058343300</v>
      </c>
      <c r="T68" s="161">
        <v>100.06275308301996624694875936</v>
      </c>
      <c r="U68" s="336">
        <v>-4.7506496255980043122425102900</v>
      </c>
    </row>
    <row r="69" ht="15.95" customHeight="1">
      <c r="B69" s="346"/>
      <c r="C69" s="349" t="s">
        <v>45</v>
      </c>
      <c r="D69" s="343">
        <v>87.86421911421911421911421911</v>
      </c>
      <c r="E69" s="338">
        <v>-0.798462290365773772706644800</v>
      </c>
      <c r="F69" s="338">
        <v>86.56266289373743391168366967</v>
      </c>
      <c r="G69" s="338">
        <v>0.8767835204516688740282354900</v>
      </c>
      <c r="H69" s="338">
        <v>101.50360002454804451338193053</v>
      </c>
      <c r="I69" s="340">
        <v>-1.6606851966471600809078649100</v>
      </c>
      <c r="J69" s="337">
        <v>280.14076230737135287792233253</v>
      </c>
      <c r="K69" s="338">
        <v>-6.4043458814998961714515017600</v>
      </c>
      <c r="L69" s="339">
        <v>275.50058127415640836892833568</v>
      </c>
      <c r="M69" s="338">
        <v>-2.7719602063249012300012889300</v>
      </c>
      <c r="N69" s="338">
        <v>101.68427268345872460424267115</v>
      </c>
      <c r="O69" s="340">
        <v>-3.7359445721081078398470431900</v>
      </c>
      <c r="P69" s="337">
        <v>246.1434932219925159100742406</v>
      </c>
      <c r="Q69" s="338">
        <v>-7.1516718851082649560377773900</v>
      </c>
      <c r="R69" s="339">
        <v>238.48063943863513061915313412</v>
      </c>
      <c r="S69" s="338">
        <v>-1.9194807761135161261839688100</v>
      </c>
      <c r="T69" s="338">
        <v>103.21319743247561156158937007</v>
      </c>
      <c r="U69" s="340">
        <v>-5.3345874903073288379332522100</v>
      </c>
    </row>
    <row r="70" ht="5.1" customHeight="1">
      <c r="B70" s="4"/>
      <c r="C70" s="4"/>
      <c r="D70" s="161"/>
      <c r="E70" s="161"/>
      <c r="F70" s="161"/>
      <c r="G70" s="161"/>
      <c r="H70" s="161"/>
      <c r="I70" s="161"/>
      <c r="J70" s="162"/>
      <c r="K70" s="161"/>
      <c r="L70" s="162"/>
      <c r="M70" s="161"/>
      <c r="N70" s="161"/>
      <c r="O70" s="161"/>
      <c r="P70" s="162"/>
      <c r="Q70" s="161"/>
      <c r="R70" s="162"/>
      <c r="S70" s="161"/>
      <c r="T70" s="161"/>
      <c r="U70" s="161"/>
    </row>
    <row r="71" s="4" customFormat="1" ht="5.1" customHeight="1">
      <c r="A71" s="4"/>
      <c r="B71" s="4"/>
      <c r="C71" s="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80.98484848484848484848484848</v>
      </c>
      <c r="E72" s="246">
        <v>3.384912959425038067410200200</v>
      </c>
      <c r="F72" s="246">
        <v>80.52597612132946111648919006</v>
      </c>
      <c r="G72" s="246">
        <v>6.2050474528598598451777848400</v>
      </c>
      <c r="H72" s="246">
        <v>100.56984390087648760285956549</v>
      </c>
      <c r="I72" s="239">
        <v>-2.6553676694743010876547275200</v>
      </c>
      <c r="J72" s="326">
        <v>175.03960087309011537262238853</v>
      </c>
      <c r="K72" s="246">
        <v>2.2584314520629771120486298800</v>
      </c>
      <c r="L72" s="328">
        <v>191.18590102183931075936686035</v>
      </c>
      <c r="M72" s="246">
        <v>4.7281210519811651492261397600</v>
      </c>
      <c r="N72" s="246">
        <v>91.55465959444948797821257758</v>
      </c>
      <c r="O72" s="239">
        <v>-2.3581914533514760327390103900</v>
      </c>
      <c r="P72" s="326">
        <v>141.75555555555555555555555556</v>
      </c>
      <c r="Q72" s="246">
        <v>5.7197903503226135601375834500</v>
      </c>
      <c r="R72" s="328">
        <v>153.95431300419490158115521136</v>
      </c>
      <c r="S72" s="246">
        <v>11.226550659756230681314416100</v>
      </c>
      <c r="T72" s="246">
        <v>92.07637823806101987513463993</v>
      </c>
      <c r="U72" s="239">
        <v>-4.9509404694537376297634275800</v>
      </c>
    </row>
    <row r="73" ht="15.95" customHeight="1">
      <c r="B73" s="345"/>
      <c r="C73" s="304" t="s">
        <v>58</v>
      </c>
      <c r="D73" s="240">
        <v>88.25966850828729281767955801</v>
      </c>
      <c r="E73" s="121">
        <v>-0.307946953635871630961060700</v>
      </c>
      <c r="F73" s="121">
        <v>86.41889470672236098260176603</v>
      </c>
      <c r="G73" s="121">
        <v>3.5465274561060707667006372200</v>
      </c>
      <c r="H73" s="121">
        <v>102.13005941332015073433600385</v>
      </c>
      <c r="I73" s="241">
        <v>-3.7224564690069850802112448700</v>
      </c>
      <c r="J73" s="329">
        <v>265.70242329397258974723763456</v>
      </c>
      <c r="K73" s="121">
        <v>-1.6491714208803589545875536500</v>
      </c>
      <c r="L73" s="136">
        <v>272.49451008788216363411313281</v>
      </c>
      <c r="M73" s="121">
        <v>0.5012258654574712396212613600</v>
      </c>
      <c r="N73" s="121">
        <v>97.50744086853843375552496499</v>
      </c>
      <c r="O73" s="241">
        <v>-2.1396726933619931192641480300</v>
      </c>
      <c r="P73" s="329">
        <v>234.5080780177465260338188515</v>
      </c>
      <c r="Q73" s="121">
        <v>-1.9520398013762315556109819400</v>
      </c>
      <c r="R73" s="136">
        <v>235.4867437544458290769255454</v>
      </c>
      <c r="S73" s="121">
        <v>4.0655294345175762418432505200</v>
      </c>
      <c r="T73" s="121">
        <v>99.58440729144644776336596136</v>
      </c>
      <c r="U73" s="241">
        <v>-5.7824807778237939446743400100</v>
      </c>
    </row>
    <row r="74" ht="15.95" customHeight="1">
      <c r="B74" s="345"/>
      <c r="C74" s="305" t="s">
        <v>44</v>
      </c>
      <c r="D74" s="242">
        <v>85.03996003996003996003996004</v>
      </c>
      <c r="E74" s="156">
        <v>-0.487092060387239336349522300</v>
      </c>
      <c r="F74" s="156">
        <v>83.87179132580875078454942927</v>
      </c>
      <c r="G74" s="156">
        <v>3.3966322194620292176839367800</v>
      </c>
      <c r="H74" s="156">
        <v>101.39280286696427910961188214</v>
      </c>
      <c r="I74" s="243">
        <v>-3.7561419520537493939679622100</v>
      </c>
      <c r="J74" s="330">
        <v>223.53206069505628976994615761</v>
      </c>
      <c r="K74" s="156">
        <v>1.4307192909344184198899066800</v>
      </c>
      <c r="L74" s="186">
        <v>231.23217079729078409984526014</v>
      </c>
      <c r="M74" s="156">
        <v>2.943008932440530983122025400</v>
      </c>
      <c r="N74" s="156">
        <v>96.66996591534242468378037779</v>
      </c>
      <c r="O74" s="243">
        <v>-1.4690552152842337625716518400</v>
      </c>
      <c r="P74" s="330">
        <v>190.09157509157509157509157509</v>
      </c>
      <c r="Q74" s="156">
        <v>0.9366583104551106031407906300</v>
      </c>
      <c r="R74" s="186">
        <v>193.93856376924140718913226174</v>
      </c>
      <c r="S74" s="156">
        <v>6.4396043415708369105770989200</v>
      </c>
      <c r="T74" s="156">
        <v>98.01638797211931249255973058</v>
      </c>
      <c r="U74" s="243">
        <v>-5.1700173681445043692655723800</v>
      </c>
    </row>
    <row r="75" ht="15.95" customHeight="1">
      <c r="B75" s="346"/>
      <c r="C75" s="349" t="s">
        <v>45</v>
      </c>
      <c r="D75" s="244">
        <v>83.10709838107098381070983811</v>
      </c>
      <c r="E75" s="250">
        <v>0.7141458131607088665892572900</v>
      </c>
      <c r="F75" s="250">
        <v>79.068811415083080268933416440</v>
      </c>
      <c r="G75" s="250">
        <v>4.3461211756042670645481073800</v>
      </c>
      <c r="H75" s="250">
        <v>105.10730703256755981637550780</v>
      </c>
      <c r="I75" s="245">
        <v>-3.4806999259936203745187556900</v>
      </c>
      <c r="J75" s="332">
        <v>233.59279238780250243500412078</v>
      </c>
      <c r="K75" s="250">
        <v>-4.135515224912910255468430800</v>
      </c>
      <c r="L75" s="334">
        <v>240.3397571153039832285115304</v>
      </c>
      <c r="M75" s="250">
        <v>-1.5744413931280540464516884800</v>
      </c>
      <c r="N75" s="250">
        <v>97.19273880922633810766736897</v>
      </c>
      <c r="O75" s="245">
        <v>-2.6020414494222008839907971900</v>
      </c>
      <c r="P75" s="332">
        <v>194.13219178082191780821917808</v>
      </c>
      <c r="Q75" s="250">
        <v>-3.4509030205954224526483721600</v>
      </c>
      <c r="R75" s="334">
        <v>190.03378930896842551950032489</v>
      </c>
      <c r="S75" s="250">
        <v>2.7032526517266356721912302800</v>
      </c>
      <c r="T75" s="250">
        <v>102.15667039357816850773976695</v>
      </c>
      <c r="U75" s="245">
        <v>-5.9921721205679495739038465500</v>
      </c>
    </row>
    <row r="76" ht="9.95" customHeight="1"/>
    <row r="77" ht="24" customHeight="1">
      <c r="B77" s="1048" t="s">
        <v>126</v>
      </c>
      <c r="C77" s="1048"/>
      <c r="D77" s="1048"/>
      <c r="E77" s="1048"/>
      <c r="F77" s="1048"/>
      <c r="G77" s="1048"/>
      <c r="H77" s="1048"/>
      <c r="I77" s="1048"/>
      <c r="J77" s="1048"/>
      <c r="K77" s="1048"/>
      <c r="L77" s="1048"/>
      <c r="M77" s="1048"/>
      <c r="N77" s="1048"/>
      <c r="O77" s="1048"/>
      <c r="P77" s="1048"/>
      <c r="Q77" s="1048"/>
      <c r="R77" s="1048"/>
      <c r="S77" s="1048"/>
      <c r="T77" s="1048"/>
      <c r="U77" s="1048"/>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91"/>
</worksheet>
</file>

<file path=xl/worksheets/sheet9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2" width="10.28515625" customWidth="1"/>
    <col min="33" max="33" width="0" customWidth="1"/>
    <col min="34" max="34" width="2.7109375" customWidth="1"/>
    <col min="35" max="38" width="9.28515625" style="236" customWidth="1"/>
    <col min="39" max="49" width="9.140625" style="236" customWidth="1"/>
  </cols>
  <sheetData>
    <row r="1" ht="39.95" customHeight="1">
      <c r="A1" s="7"/>
      <c r="B1" s="656" t="s">
        <v>175</v>
      </c>
      <c r="AA1" s="998"/>
      <c r="AB1" s="998"/>
      <c r="AC1" s="998"/>
      <c r="AD1" s="998"/>
      <c r="AE1" s="998"/>
      <c r="AF1" s="998"/>
      <c r="AG1" s="998"/>
      <c r="AH1"/>
    </row>
    <row r="2" ht="21.95" customHeight="1">
      <c r="A2" s="6"/>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999"/>
      <c r="AG2" s="999"/>
    </row>
    <row r="3" ht="21.95" customHeight="1">
      <c r="A3" s="6"/>
      <c r="B3" s="999" t="s">
        <v>209</v>
      </c>
      <c r="C3" s="999"/>
      <c r="D3" s="999"/>
      <c r="E3" s="999"/>
      <c r="F3" s="999"/>
      <c r="G3" s="999"/>
      <c r="H3" s="999"/>
      <c r="I3" s="999"/>
      <c r="J3" s="999"/>
      <c r="K3" s="999"/>
      <c r="L3" s="999"/>
      <c r="M3" s="999"/>
      <c r="N3" s="999"/>
      <c r="O3" s="999"/>
      <c r="P3" s="999"/>
      <c r="Q3" s="999"/>
      <c r="R3" s="999"/>
      <c r="S3" s="999"/>
      <c r="T3" s="999"/>
      <c r="U3" s="1000"/>
      <c r="V3" s="1000"/>
      <c r="W3" s="1000"/>
      <c r="X3" s="1000"/>
      <c r="Y3" s="1000"/>
      <c r="Z3" s="1000"/>
      <c r="AA3" s="1000"/>
      <c r="AB3" s="1000"/>
      <c r="AC3" s="1000"/>
      <c r="AD3" s="1000"/>
      <c r="AE3" s="1000"/>
      <c r="AF3" s="1000"/>
      <c r="AG3" s="1000"/>
    </row>
    <row r="4" ht="21.95" customHeight="1">
      <c r="A4" s="6"/>
      <c r="B4" s="999" t="s">
        <v>285</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c r="AC4" s="999"/>
      <c r="AD4" s="999"/>
      <c r="AE4" s="999"/>
      <c r="AF4" s="999"/>
      <c r="AG4" s="999"/>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1001"/>
      <c r="Y22" s="1001"/>
      <c r="Z22" s="1001"/>
      <c r="AA22" s="1001"/>
      <c r="AB22" s="1001"/>
      <c r="AC22" s="1001"/>
      <c r="AD22" s="1001"/>
      <c r="AE22"/>
      <c r="AF22"/>
      <c r="AG22"/>
    </row>
    <row r="23" s="82" customFormat="1" ht="21.95" customHeight="1">
      <c r="B23" s="25"/>
      <c r="C23" s="41" t="s">
        <v>286</v>
      </c>
      <c r="D23" s="41" t="s">
        <v>288</v>
      </c>
      <c r="E23" s="41" t="s">
        <v>289</v>
      </c>
      <c r="F23" s="41" t="s">
        <v>290</v>
      </c>
      <c r="G23" s="41" t="s">
        <v>291</v>
      </c>
      <c r="H23" s="41" t="s">
        <v>292</v>
      </c>
      <c r="I23" s="41" t="s">
        <v>293</v>
      </c>
      <c r="J23" s="41" t="s">
        <v>286</v>
      </c>
      <c r="K23" s="41" t="s">
        <v>288</v>
      </c>
      <c r="L23" s="41" t="s">
        <v>289</v>
      </c>
      <c r="M23" s="41" t="s">
        <v>290</v>
      </c>
      <c r="N23" s="41" t="s">
        <v>291</v>
      </c>
      <c r="O23" s="41" t="s">
        <v>292</v>
      </c>
      <c r="P23" s="41" t="s">
        <v>293</v>
      </c>
      <c r="Q23" s="41" t="s">
        <v>286</v>
      </c>
      <c r="R23" s="41" t="s">
        <v>288</v>
      </c>
      <c r="S23" s="41" t="s">
        <v>289</v>
      </c>
      <c r="T23" s="41" t="s">
        <v>290</v>
      </c>
      <c r="U23" s="41" t="s">
        <v>291</v>
      </c>
      <c r="V23" s="41" t="s">
        <v>292</v>
      </c>
      <c r="W23" s="41" t="s">
        <v>293</v>
      </c>
      <c r="X23" s="41" t="s">
        <v>286</v>
      </c>
      <c r="Y23" s="41" t="s">
        <v>288</v>
      </c>
      <c r="Z23" s="41" t="s">
        <v>289</v>
      </c>
      <c r="AA23" s="41" t="s">
        <v>290</v>
      </c>
      <c r="AB23" s="41" t="s">
        <v>291</v>
      </c>
      <c r="AC23" s="41" t="s">
        <v>292</v>
      </c>
      <c r="AD23" s="41" t="s">
        <v>293</v>
      </c>
      <c r="AE23" s="41" t="s">
        <v>286</v>
      </c>
      <c r="AF23" s="41" t="s">
        <v>288</v>
      </c>
      <c r="AG23" s="41"/>
      <c r="AH23" s="93"/>
      <c r="AI23" s="236"/>
      <c r="AJ23" s="236"/>
      <c r="AK23" s="236"/>
      <c r="AL23" s="236"/>
      <c r="AM23" s="236"/>
      <c r="AN23" s="236"/>
      <c r="AO23" s="236"/>
      <c r="AP23" s="236"/>
      <c r="AQ23" s="236"/>
      <c r="AR23" s="236"/>
      <c r="AS23" s="236"/>
      <c r="AT23" s="236"/>
      <c r="AU23" s="236"/>
      <c r="AV23" s="236"/>
      <c r="AW23" s="236"/>
    </row>
    <row r="24" s="35" customFormat="1" ht="20.1" customHeight="1">
      <c r="B24" s="964" t="s">
        <v>22</v>
      </c>
      <c r="C24" s="350" t="s">
        <v>287</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c r="AH25" s="529"/>
      <c r="AI25" s="236"/>
      <c r="AJ25" s="236"/>
      <c r="AK25" s="236"/>
      <c r="AL25" s="236"/>
      <c r="AM25" s="236"/>
      <c r="AN25" s="236"/>
      <c r="AO25" s="236"/>
      <c r="AP25" s="236"/>
      <c r="AQ25" s="236"/>
      <c r="AR25" s="236"/>
      <c r="AS25" s="236"/>
      <c r="AT25" s="236"/>
      <c r="AU25" s="236"/>
      <c r="AV25" s="236"/>
      <c r="AW25" s="236"/>
    </row>
    <row r="26" ht="24.95" customHeight="1">
      <c r="B26" s="263" t="s">
        <v>19</v>
      </c>
      <c r="C26" s="573">
        <v>68.181818181818181818181818180</v>
      </c>
      <c r="D26" s="574">
        <v>66.666666666666666666666666670</v>
      </c>
      <c r="E26" s="574">
        <v>63.636363636363636363636363640</v>
      </c>
      <c r="F26" s="574">
        <v>57.575757575757575757575757580</v>
      </c>
      <c r="G26" s="574">
        <v>82.57575757575757575757575758</v>
      </c>
      <c r="H26" s="574">
        <v>87.12121212121212121212121212</v>
      </c>
      <c r="I26" s="574">
        <v>90.15151515151515151515151515</v>
      </c>
      <c r="J26" s="574">
        <v>83.33333333333333333333333333</v>
      </c>
      <c r="K26" s="574">
        <v>62.878787878787878787878787880</v>
      </c>
      <c r="L26" s="574">
        <v>67.424242424242424242424242420</v>
      </c>
      <c r="M26" s="574">
        <v>87.12121212121212121212121212</v>
      </c>
      <c r="N26" s="574">
        <v>97.72727272727272727272727273</v>
      </c>
      <c r="O26" s="574">
        <v>88.63636363636363636363636364</v>
      </c>
      <c r="P26" s="574">
        <v>90.90909090909090909090909091</v>
      </c>
      <c r="Q26" s="574">
        <v>85.60606060606060606060606061</v>
      </c>
      <c r="R26" s="574">
        <v>80.30303030303030303030303030</v>
      </c>
      <c r="S26" s="574">
        <v>89.39393939393939393939393939</v>
      </c>
      <c r="T26" s="574">
        <v>90.15151515151515151515151515</v>
      </c>
      <c r="U26" s="574">
        <v>96.96969696969696969696969697</v>
      </c>
      <c r="V26" s="574">
        <v>99.24242424242424242424242424</v>
      </c>
      <c r="W26" s="574">
        <v>98.48484848484848484848484848</v>
      </c>
      <c r="X26" s="574">
        <v>64.393939393939393939393939390</v>
      </c>
      <c r="Y26" s="574">
        <v>59.090909090909090909090909090</v>
      </c>
      <c r="Z26" s="574">
        <v>59.090909090909090909090909090</v>
      </c>
      <c r="AA26" s="574">
        <v>78.787878787878787878787878790</v>
      </c>
      <c r="AB26" s="574">
        <v>91.66666666666666666666666667</v>
      </c>
      <c r="AC26" s="574">
        <v>90.90909090909090909090909091</v>
      </c>
      <c r="AD26" s="574">
        <v>93.18181818181818181818181818</v>
      </c>
      <c r="AE26" s="574">
        <v>80.30303030303030303030303030</v>
      </c>
      <c r="AF26" s="574">
        <v>78.030303030303030303030303030</v>
      </c>
      <c r="AG26" s="575"/>
      <c r="AH26" s="342"/>
    </row>
    <row r="27" ht="24.95" customHeight="1">
      <c r="B27" s="38" t="s">
        <v>35</v>
      </c>
      <c r="C27" s="271">
        <v>78.412391093901258470474346560</v>
      </c>
      <c r="D27" s="92">
        <v>68.344627299128751210067763790</v>
      </c>
      <c r="E27" s="92">
        <v>62.149080348499515972894482090</v>
      </c>
      <c r="F27" s="92">
        <v>60.696999031945788964181994190</v>
      </c>
      <c r="G27" s="92">
        <v>72.894482090997095837366892550</v>
      </c>
      <c r="H27" s="92">
        <v>84.02710551790900290416263311</v>
      </c>
      <c r="I27" s="92">
        <v>89.73862536302032913843175218</v>
      </c>
      <c r="J27" s="92">
        <v>69.990319457889641819941916750</v>
      </c>
      <c r="K27" s="92">
        <v>67.570183930300096805421103580</v>
      </c>
      <c r="L27" s="92">
        <v>85.47918683446272991287512101</v>
      </c>
      <c r="M27" s="92">
        <v>88.57696030977734753146176186</v>
      </c>
      <c r="N27" s="92">
        <v>94.09486931268151016456921588</v>
      </c>
      <c r="O27" s="92">
        <v>91.77153920619554695062923524</v>
      </c>
      <c r="P27" s="92">
        <v>92.06195546950629235237173282</v>
      </c>
      <c r="Q27" s="92">
        <v>69.119070667957405614714424010</v>
      </c>
      <c r="R27" s="92">
        <v>69.796708615682478218780251690</v>
      </c>
      <c r="S27" s="92">
        <v>69.990319457889641819941916750</v>
      </c>
      <c r="T27" s="92">
        <v>78.412391093901258470474346560</v>
      </c>
      <c r="U27" s="92">
        <v>95.15972894482090997095837367</v>
      </c>
      <c r="V27" s="92">
        <v>97.09583736689254598257502420</v>
      </c>
      <c r="W27" s="92">
        <v>97.57986447241045498547918683</v>
      </c>
      <c r="X27" s="92">
        <v>90.99709583736689254598257502</v>
      </c>
      <c r="Y27" s="92">
        <v>87.12487899322362052274927396</v>
      </c>
      <c r="Z27" s="92">
        <v>84.12391093901258470474346563</v>
      </c>
      <c r="AA27" s="92">
        <v>75.605033881897386253630203290</v>
      </c>
      <c r="AB27" s="92">
        <v>72.991287512100677637947725070</v>
      </c>
      <c r="AC27" s="92">
        <v>90.51306873184898354307841239</v>
      </c>
      <c r="AD27" s="92">
        <v>94.86931268151016456921587609</v>
      </c>
      <c r="AE27" s="92">
        <v>75.121006776379477250726040660</v>
      </c>
      <c r="AF27" s="92">
        <v>60.696999031945788964181994190</v>
      </c>
      <c r="AG27" s="272"/>
      <c r="AH27" s="342"/>
    </row>
    <row r="28" ht="24.95" customHeight="1">
      <c r="A28" s="23"/>
      <c r="B28" s="40" t="s">
        <v>97</v>
      </c>
      <c r="C28" s="581">
        <v>86.95286195286334840171259926</v>
      </c>
      <c r="D28" s="582">
        <v>97.54485363554622873682213017</v>
      </c>
      <c r="E28" s="582">
        <v>102.39308977626654890683408459</v>
      </c>
      <c r="F28" s="582">
        <v>94.85766758501187150612993333</v>
      </c>
      <c r="G28" s="582">
        <v>113.28121856009850905845810707</v>
      </c>
      <c r="H28" s="582">
        <v>103.68227202905733140946994753</v>
      </c>
      <c r="I28" s="582">
        <v>100.46010264459142193819512335</v>
      </c>
      <c r="J28" s="582">
        <v>119.06408483170206566563809296</v>
      </c>
      <c r="K28" s="582">
        <v>93.05700269167331209868406813</v>
      </c>
      <c r="L28" s="582">
        <v>78.877964240330754503048374950</v>
      </c>
      <c r="M28" s="582">
        <v>98.35651597944164566926997025</v>
      </c>
      <c r="N28" s="582">
        <v>103.86036288812025714343173021</v>
      </c>
      <c r="O28" s="582">
        <v>96.58371691599071045639053594</v>
      </c>
      <c r="P28" s="582">
        <v>98.74772966256291029793602261</v>
      </c>
      <c r="Q28" s="582">
        <v>123.85302605883208785593861974</v>
      </c>
      <c r="R28" s="582">
        <v>115.05274660611578153005176608</v>
      </c>
      <c r="S28" s="582">
        <v>127.72329100128039771404813608</v>
      </c>
      <c r="T28" s="582">
        <v>114.97100635989709399781999236</v>
      </c>
      <c r="U28" s="582">
        <v>101.90203150530923757454205876</v>
      </c>
      <c r="V28" s="582">
        <v>102.21079186681592442000865345</v>
      </c>
      <c r="W28" s="582">
        <v>100.92742905243986608216519046</v>
      </c>
      <c r="X28" s="582">
        <v>70.764829142462970604071507500</v>
      </c>
      <c r="Y28" s="582">
        <v>67.823232323250710864197535850</v>
      </c>
      <c r="Z28" s="582">
        <v>70.242703211643524120262857020</v>
      </c>
      <c r="AA28" s="582">
        <v>104.20983199471955725137518740</v>
      </c>
      <c r="AB28" s="582">
        <v>125.58576480990390685281211671</v>
      </c>
      <c r="AC28" s="582">
        <v>100.43753038410880265377909087</v>
      </c>
      <c r="AD28" s="582">
        <v>98.22124304268213780479724470</v>
      </c>
      <c r="AE28" s="582">
        <v>106.89823492655623789239510358</v>
      </c>
      <c r="AF28" s="582">
        <v>128.55710212179240480436030437</v>
      </c>
      <c r="AG28" s="583"/>
      <c r="AH28" s="342"/>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-5.2631578947408310249307477600</v>
      </c>
      <c r="D30" s="574">
        <v>8.641975308706355738454542040</v>
      </c>
      <c r="E30" s="574">
        <v>-13.402061855612966308853187930</v>
      </c>
      <c r="F30" s="574">
        <v>-28.301886792425774296902802170</v>
      </c>
      <c r="G30" s="574">
        <v>-12.800000000027903999999991070</v>
      </c>
      <c r="H30" s="574">
        <v>5.5045871559090985607272393600</v>
      </c>
      <c r="I30" s="574">
        <v>0.8474576271630853203102752600</v>
      </c>
      <c r="J30" s="574">
        <v>-1.7857142857318239795918336100</v>
      </c>
      <c r="K30" s="574">
        <v>-33.600000000021247999999993200</v>
      </c>
      <c r="L30" s="574">
        <v>-23.275862068976099881093934340</v>
      </c>
      <c r="M30" s="574">
        <v>10.576923076893306213017759490</v>
      </c>
      <c r="N30" s="574">
        <v>22.857142857072653061224529920</v>
      </c>
      <c r="O30" s="574">
        <v>32.954545454478977272727305970</v>
      </c>
      <c r="P30" s="574">
        <v>51.898734177176734497676664120</v>
      </c>
      <c r="Q30" s="574">
        <v>28.409090909026704545454577560</v>
      </c>
      <c r="R30" s="574">
        <v>-0.9345794392449296881823734600</v>
      </c>
      <c r="S30" s="574">
        <v>-4.0650406503877850485821894900</v>
      </c>
      <c r="T30" s="574">
        <v>-2.459016393397850040311723600</v>
      </c>
      <c r="U30" s="574">
        <v>5.7851239669036814425244317200</v>
      </c>
      <c r="V30" s="574">
        <v>11.965811965766031119877292570</v>
      </c>
      <c r="W30" s="574">
        <v>23.809523809453061224489836340</v>
      </c>
      <c r="X30" s="574">
        <v>-15.841584158469169689246118550</v>
      </c>
      <c r="Y30" s="574">
        <v>-19.587628865926325858220817370</v>
      </c>
      <c r="Z30" s="574">
        <v>-6.0240963855602845115401329600</v>
      </c>
      <c r="AA30" s="574">
        <v>60.000000000078769230769269550</v>
      </c>
      <c r="AB30" s="574">
        <v>37.499999999931250000000034380</v>
      </c>
      <c r="AC30" s="574">
        <v>14.285714285648979591836772010</v>
      </c>
      <c r="AD30" s="574">
        <v>9.821428571408960459183676970</v>
      </c>
      <c r="AE30" s="574">
        <v>19.101123595580558010352275400</v>
      </c>
      <c r="AF30" s="574">
        <v>51.470588235151557093425739710</v>
      </c>
      <c r="AG30" s="575"/>
      <c r="AH30" s="342"/>
    </row>
    <row r="31" ht="24.95" customHeight="1">
      <c r="B31" s="38" t="s">
        <v>35</v>
      </c>
      <c r="C31" s="271">
        <v>-8.059023836597276853642453860</v>
      </c>
      <c r="D31" s="92">
        <v>0.857142857153663265306123600</v>
      </c>
      <c r="E31" s="92">
        <v>-9.193776520466295221156769090</v>
      </c>
      <c r="F31" s="92">
        <v>-25.622775800694009700991624550</v>
      </c>
      <c r="G31" s="92">
        <v>-18.152173913047837547258978970</v>
      </c>
      <c r="H31" s="92">
        <v>-2.0316027088339089625934305900</v>
      </c>
      <c r="I31" s="92">
        <v>5.2213393870053387119425250300</v>
      </c>
      <c r="J31" s="92">
        <v>-15.240328253269822940617806960</v>
      </c>
      <c r="K31" s="92">
        <v>-10.969387755092501822157433380</v>
      </c>
      <c r="L31" s="92">
        <v>9.282178217813531914763259130</v>
      </c>
      <c r="M31" s="92">
        <v>14.949748743645666302618667010</v>
      </c>
      <c r="N31" s="92">
        <v>23.506988564198327652820862360</v>
      </c>
      <c r="O31" s="92">
        <v>42.986425339310227063327963850</v>
      </c>
      <c r="P31" s="92">
        <v>29.211956521804789771384721460</v>
      </c>
      <c r="Q31" s="92">
        <v>8.181818181757206611570282310</v>
      </c>
      <c r="R31" s="92">
        <v>17.235772357729105426664022990</v>
      </c>
      <c r="S31" s="92">
        <v>-12.681159420327187040537686200</v>
      </c>
      <c r="T31" s="92">
        <v>-4.028436018930282900204390300</v>
      </c>
      <c r="U31" s="92">
        <v>12.471395881047401017966281390</v>
      </c>
      <c r="V31" s="92">
        <v>16.492450638769642570492409100</v>
      </c>
      <c r="W31" s="92">
        <v>20.574162679417472127469609790</v>
      </c>
      <c r="X31" s="92">
        <v>36.429608127655595602469692800</v>
      </c>
      <c r="Y31" s="92">
        <v>44.927536231942635767462508220</v>
      </c>
      <c r="Z31" s="92">
        <v>39.935587761731278313249910700</v>
      </c>
      <c r="AA31" s="92">
        <v>20.710973724917663022056391310</v>
      </c>
      <c r="AB31" s="92">
        <v>-4.4359949302589268474477055200</v>
      </c>
      <c r="AC31" s="92">
        <v>10.000000000059529411764738100</v>
      </c>
      <c r="AD31" s="92">
        <v>13.033448673594382783305330200</v>
      </c>
      <c r="AE31" s="92">
        <v>15.304606240731899260148944690</v>
      </c>
      <c r="AF31" s="92">
        <v>4.8494983278351167772173120500</v>
      </c>
      <c r="AG31" s="272"/>
      <c r="AH31" s="342"/>
    </row>
    <row r="32" ht="24.95" customHeight="1">
      <c r="A32" s="23"/>
      <c r="B32" s="40" t="s">
        <v>97</v>
      </c>
      <c r="C32" s="581">
        <v>3.0409356725881644583032797600</v>
      </c>
      <c r="D32" s="582">
        <v>7.7186724023753718123508590100</v>
      </c>
      <c r="E32" s="582">
        <v>-4.6343578380028112263282053500</v>
      </c>
      <c r="F32" s="582">
        <v>-3.6020583189942676021449469200</v>
      </c>
      <c r="G32" s="582">
        <v>6.5391766268105634637523941800</v>
      </c>
      <c r="H32" s="582">
        <v>7.6924702997678755696949288300</v>
      </c>
      <c r="I32" s="582">
        <v>-4.1568390834966311221459262400</v>
      </c>
      <c r="J32" s="582">
        <v>15.873839162284596342916001230</v>
      </c>
      <c r="K32" s="582">
        <v>-25.418911174815416167604904390</v>
      </c>
      <c r="L32" s="582">
        <v>-29.792634826445357353050207720</v>
      </c>
      <c r="M32" s="582">
        <v>-3.8041193778724077421099916200</v>
      </c>
      <c r="N32" s="582">
        <v>-0.5261610817303182799798726400</v>
      </c>
      <c r="O32" s="582">
        <v>-7.0159666282357256945821143700</v>
      </c>
      <c r="P32" s="582">
        <v>17.557800582971905377494261220</v>
      </c>
      <c r="Q32" s="582">
        <v>18.697478991562559651729297980</v>
      </c>
      <c r="R32" s="582">
        <v>-15.498982462064528978739619510</v>
      </c>
      <c r="S32" s="582">
        <v>9.867422325717013171900050800</v>
      </c>
      <c r="T32" s="582">
        <v>1.6352964986712303822966865700</v>
      </c>
      <c r="U32" s="582">
        <v>-5.944864346798214054827356300</v>
      </c>
      <c r="V32" s="582">
        <v>-3.8857785617528423358261548400</v>
      </c>
      <c r="W32" s="582">
        <v>2.6832955404170905489225993900</v>
      </c>
      <c r="X32" s="582">
        <v>-38.313671792703648502105459950</v>
      </c>
      <c r="Y32" s="582">
        <v>-44.515463917532377227019045870</v>
      </c>
      <c r="Z32" s="582">
        <v>-32.843456680594792588507645100</v>
      </c>
      <c r="AA32" s="582">
        <v>32.548015364887025771041401820</v>
      </c>
      <c r="AB32" s="582">
        <v>43.882625994582568824955046910</v>
      </c>
      <c r="AC32" s="582">
        <v>3.8961038961089716111737590600</v>
      </c>
      <c r="AD32" s="582">
        <v>-2.8416545189313274495972225200</v>
      </c>
      <c r="AE32" s="582">
        <v>3.2925981697561072696427609800</v>
      </c>
      <c r="AF32" s="582">
        <v>44.464771554501247286247149520</v>
      </c>
      <c r="AG32" s="583"/>
      <c r="AH32" s="342"/>
    </row>
    <row r="33" ht="30" customHeight="1">
      <c r="A33" s="8"/>
      <c r="B33" s="25"/>
      <c r="X33" s="1001"/>
      <c r="Y33" s="1001"/>
      <c r="Z33" s="1001"/>
      <c r="AA33" s="1001"/>
      <c r="AB33" s="1001"/>
      <c r="AC33" s="1001"/>
      <c r="AD33" s="1001"/>
      <c r="AE33"/>
      <c r="AF33"/>
      <c r="AG33" s="4"/>
      <c r="AH33" s="4"/>
    </row>
    <row r="34" s="35" customFormat="1" ht="20.1" customHeight="1">
      <c r="B34" s="964" t="s">
        <v>9</v>
      </c>
      <c r="C34" s="350" t="s">
        <v>287</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c r="AH35" s="529"/>
      <c r="AI35" s="236"/>
      <c r="AJ35" s="236"/>
      <c r="AK35" s="236"/>
      <c r="AL35" s="236"/>
      <c r="AM35" s="236"/>
      <c r="AN35" s="236"/>
      <c r="AO35" s="236"/>
      <c r="AP35" s="236"/>
      <c r="AQ35" s="236"/>
      <c r="AR35" s="236"/>
      <c r="AS35" s="236"/>
      <c r="AT35" s="236"/>
      <c r="AU35" s="236"/>
      <c r="AV35" s="236"/>
      <c r="AW35" s="236"/>
    </row>
    <row r="36" ht="24.95" customHeight="1">
      <c r="B36" s="263" t="s">
        <v>19</v>
      </c>
      <c r="C36" s="578">
        <v>162.56666666666666666666666667</v>
      </c>
      <c r="D36" s="579">
        <v>141.94318181818181818181818182</v>
      </c>
      <c r="E36" s="579">
        <v>143.66666666666666666666666667</v>
      </c>
      <c r="F36" s="579">
        <v>139.72368421052631578947368421</v>
      </c>
      <c r="G36" s="579">
        <v>140.22935779816513761467889908</v>
      </c>
      <c r="H36" s="579">
        <v>187.02608695652173913043478261</v>
      </c>
      <c r="I36" s="579">
        <v>197.89915966386554621848739496</v>
      </c>
      <c r="J36" s="579">
        <v>131.80909090909090909090909091</v>
      </c>
      <c r="K36" s="579">
        <v>139.36144578313253012048192771</v>
      </c>
      <c r="L36" s="579">
        <v>174.79775280898876404494382022</v>
      </c>
      <c r="M36" s="579">
        <v>161.53913043478260869565217391</v>
      </c>
      <c r="N36" s="579">
        <v>169.10852713178294573643410853</v>
      </c>
      <c r="O36" s="579">
        <v>221.60683760683760683760683761</v>
      </c>
      <c r="P36" s="579">
        <v>221.81666666666666666666666667</v>
      </c>
      <c r="Q36" s="579">
        <v>144.15044247787610619469026549</v>
      </c>
      <c r="R36" s="579">
        <v>134.34905660377358490566037736</v>
      </c>
      <c r="S36" s="579">
        <v>150.88135593220338983050847458</v>
      </c>
      <c r="T36" s="579">
        <v>150.18487394957983193277310924</v>
      </c>
      <c r="U36" s="579">
        <v>164.546875000</v>
      </c>
      <c r="V36" s="579">
        <v>261.6564885496183206106870229</v>
      </c>
      <c r="W36" s="579">
        <v>269.20769230769230769230769231</v>
      </c>
      <c r="X36" s="579">
        <v>224.25882352941176470588235294</v>
      </c>
      <c r="Y36" s="579">
        <v>215.70512820512820512820512821</v>
      </c>
      <c r="Z36" s="579">
        <v>211.000000000</v>
      </c>
      <c r="AA36" s="579">
        <v>168.67307692307692307692307692</v>
      </c>
      <c r="AB36" s="579">
        <v>153.01652892561983471074380165</v>
      </c>
      <c r="AC36" s="579">
        <v>187.79166666666666666666666667</v>
      </c>
      <c r="AD36" s="579">
        <v>195.56910569105691056910569106</v>
      </c>
      <c r="AE36" s="579">
        <v>141.92452830188679245283018868</v>
      </c>
      <c r="AF36" s="579">
        <v>136.65048543689320388349514563</v>
      </c>
      <c r="AG36" s="580"/>
      <c r="AH36" s="342"/>
    </row>
    <row r="37" ht="24.95" customHeight="1">
      <c r="B37" s="38" t="s">
        <v>35</v>
      </c>
      <c r="C37" s="276">
        <v>181.6984320987654320987654321</v>
      </c>
      <c r="D37" s="94">
        <v>162.30720963172804532577903684</v>
      </c>
      <c r="E37" s="94">
        <v>151.69408099688473520249221184</v>
      </c>
      <c r="F37" s="94">
        <v>151.30185007974481658692185008</v>
      </c>
      <c r="G37" s="94">
        <v>165.87624169986719787516600265</v>
      </c>
      <c r="H37" s="94">
        <v>195.91186635944700460829493088</v>
      </c>
      <c r="I37" s="94">
        <v>203.39514563106796116504854369</v>
      </c>
      <c r="J37" s="94">
        <v>169.44219917012448132780082987</v>
      </c>
      <c r="K37" s="94">
        <v>173.04322349570200573065902579</v>
      </c>
      <c r="L37" s="94">
        <v>189.78009060022650056625141563</v>
      </c>
      <c r="M37" s="94">
        <v>196.83378142076502732240437158</v>
      </c>
      <c r="N37" s="94">
        <v>209.33960905349794238683127572</v>
      </c>
      <c r="O37" s="94">
        <v>224.30109704641350210970464135</v>
      </c>
      <c r="P37" s="94">
        <v>227.49652996845425867507886435</v>
      </c>
      <c r="Q37" s="94">
        <v>160.41694677871148459383753501</v>
      </c>
      <c r="R37" s="94">
        <v>149.55933425797503467406380029</v>
      </c>
      <c r="S37" s="94">
        <v>147.91596127247579529737206085</v>
      </c>
      <c r="T37" s="94">
        <v>161.9968641975308641975308642</v>
      </c>
      <c r="U37" s="94">
        <v>184.16852492370295015259409969</v>
      </c>
      <c r="V37" s="94">
        <v>237.72303090727816550348953141</v>
      </c>
      <c r="W37" s="94">
        <v>278.03869047619047619047619048</v>
      </c>
      <c r="X37" s="94">
        <v>234.12</v>
      </c>
      <c r="Y37" s="94">
        <v>223.12411111111111111111111111</v>
      </c>
      <c r="Z37" s="94">
        <v>225.78596087456846950517836594</v>
      </c>
      <c r="AA37" s="94">
        <v>186.14276568501920614596670935</v>
      </c>
      <c r="AB37" s="94">
        <v>155.92374005305039787798408489</v>
      </c>
      <c r="AC37" s="94">
        <v>192.91775401069518716577540107</v>
      </c>
      <c r="AD37" s="94">
        <v>199.10214285714285714285714286</v>
      </c>
      <c r="AE37" s="94">
        <v>143.79185567010309278350515464</v>
      </c>
      <c r="AF37" s="94">
        <v>145.02256778309409888357256779</v>
      </c>
      <c r="AG37" s="277"/>
      <c r="AH37" s="342"/>
    </row>
    <row r="38" ht="24.95" customHeight="1">
      <c r="A38" s="23"/>
      <c r="B38" s="40" t="s">
        <v>98</v>
      </c>
      <c r="C38" s="581">
        <v>89.47059409861595266668790264</v>
      </c>
      <c r="D38" s="582">
        <v>87.45340526786992998239766055</v>
      </c>
      <c r="E38" s="582">
        <v>94.70815586377600290049795862</v>
      </c>
      <c r="F38" s="582">
        <v>92.34763761112322725294401363</v>
      </c>
      <c r="G38" s="582">
        <v>84.53854292880912080467501224</v>
      </c>
      <c r="H38" s="582">
        <v>95.46439959559299332275951300</v>
      </c>
      <c r="I38" s="582">
        <v>97.29787751316219530850688711</v>
      </c>
      <c r="J38" s="582">
        <v>77.790002463772389368030012760</v>
      </c>
      <c r="K38" s="582">
        <v>80.53562743911526942883370657</v>
      </c>
      <c r="L38" s="582">
        <v>92.10542173110573549356373252</v>
      </c>
      <c r="M38" s="582">
        <v>82.06880407862361854076459929</v>
      </c>
      <c r="N38" s="582">
        <v>80.78190644206497289766570073</v>
      </c>
      <c r="O38" s="582">
        <v>98.79882021307945464873850824</v>
      </c>
      <c r="P38" s="582">
        <v>97.50331870880853086415927043</v>
      </c>
      <c r="Q38" s="582">
        <v>89.85985918104773217155722131</v>
      </c>
      <c r="R38" s="582">
        <v>89.82993757648877064290708135</v>
      </c>
      <c r="S38" s="582">
        <v>102.00478341498275160763785083</v>
      </c>
      <c r="T38" s="582">
        <v>92.70850685509599179275379396</v>
      </c>
      <c r="U38" s="582">
        <v>89.34581795025553855961271120</v>
      </c>
      <c r="V38" s="582">
        <v>110.06779088714006963972534384</v>
      </c>
      <c r="W38" s="582">
        <v>96.82382399608387516965940199</v>
      </c>
      <c r="X38" s="582">
        <v>95.78798203033135345373413332</v>
      </c>
      <c r="Y38" s="582">
        <v>96.67495239800522186238372361</v>
      </c>
      <c r="Z38" s="582">
        <v>93.45133735626192323124662819</v>
      </c>
      <c r="AA38" s="582">
        <v>90.61489781908250531048462482</v>
      </c>
      <c r="AB38" s="582">
        <v>98.13549166631706540385026675</v>
      </c>
      <c r="AC38" s="582">
        <v>97.34286386946583476844428862</v>
      </c>
      <c r="AD38" s="582">
        <v>98.22551524793039111507615464</v>
      </c>
      <c r="AE38" s="582">
        <v>98.70136777948161734371106824</v>
      </c>
      <c r="AF38" s="582">
        <v>94.22704860754615261899289403</v>
      </c>
      <c r="AG38" s="583"/>
      <c r="AH38" s="342"/>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9.795487937844278227009511470</v>
      </c>
      <c r="D40" s="574">
        <v>4.64546943912155473457907400</v>
      </c>
      <c r="E40" s="574">
        <v>2.5510829837527001178554827300</v>
      </c>
      <c r="F40" s="574">
        <v>-0.997924289334281620770125700</v>
      </c>
      <c r="G40" s="574">
        <v>-9.557454595889571220087392880</v>
      </c>
      <c r="H40" s="574">
        <v>-10.162861456619011699865989600</v>
      </c>
      <c r="I40" s="574">
        <v>4.1063743940709389964496954500</v>
      </c>
      <c r="J40" s="574">
        <v>-13.759678807005479769583302550</v>
      </c>
      <c r="K40" s="574">
        <v>-12.553683435110856558103303230</v>
      </c>
      <c r="L40" s="574">
        <v>8.978497935329956374946993780</v>
      </c>
      <c r="M40" s="574">
        <v>-2.839225231513817149128900200</v>
      </c>
      <c r="N40" s="574">
        <v>-5.686538753739646444596956600</v>
      </c>
      <c r="O40" s="574">
        <v>9.355698477005181060241405450</v>
      </c>
      <c r="P40" s="574">
        <v>9.303372421801203585012281860</v>
      </c>
      <c r="Q40" s="574">
        <v>-28.866489440616808448459773680</v>
      </c>
      <c r="R40" s="574">
        <v>-17.619776179904545027281583280</v>
      </c>
      <c r="S40" s="574">
        <v>-0.3842899642152708286388507600</v>
      </c>
      <c r="T40" s="574">
        <v>-2.5965944296185543248459808400</v>
      </c>
      <c r="U40" s="574">
        <v>-8.332542011968001819760919930</v>
      </c>
      <c r="V40" s="574">
        <v>24.314988874807388455403331280</v>
      </c>
      <c r="W40" s="574">
        <v>28.083772224846110467538472010</v>
      </c>
      <c r="X40" s="574">
        <v>43.984115291298632243191151950</v>
      </c>
      <c r="Y40" s="574">
        <v>47.037227237543465658200800520</v>
      </c>
      <c r="Z40" s="574">
        <v>44.080625257125479355256504620</v>
      </c>
      <c r="AA40" s="574">
        <v>31.665065449733897858445434490</v>
      </c>
      <c r="AB40" s="574">
        <v>2.6330376940195618814558437600</v>
      </c>
      <c r="AC40" s="574">
        <v>-7.7773490482333224803730087500</v>
      </c>
      <c r="AD40" s="574">
        <v>-1.6534669656829444265199146100</v>
      </c>
      <c r="AE40" s="574">
        <v>4.3821421276824000353810585900</v>
      </c>
      <c r="AF40" s="574">
        <v>2.653921892514144131992378800</v>
      </c>
      <c r="AG40" s="575"/>
      <c r="AH40" s="342"/>
    </row>
    <row r="41" ht="24.95" customHeight="1">
      <c r="B41" s="38" t="s">
        <v>35</v>
      </c>
      <c r="C41" s="271">
        <v>2.6003641723708293951793891500</v>
      </c>
      <c r="D41" s="92">
        <v>4.9822415399456977354534622900</v>
      </c>
      <c r="E41" s="92">
        <v>1.6959888586306292532329173500</v>
      </c>
      <c r="F41" s="92">
        <v>-0.7326321901467233615938997600</v>
      </c>
      <c r="G41" s="92">
        <v>-1.9452405076215944752835479700</v>
      </c>
      <c r="H41" s="92">
        <v>-3.225847431040012725704602200</v>
      </c>
      <c r="I41" s="92">
        <v>3.8053456614102643668370873700</v>
      </c>
      <c r="J41" s="92">
        <v>0.1220132025478965649859559200</v>
      </c>
      <c r="K41" s="92">
        <v>3.2772133054422589967943782100</v>
      </c>
      <c r="L41" s="92">
        <v>8.201440470788056255975960990</v>
      </c>
      <c r="M41" s="92">
        <v>10.148362440402540960794819230</v>
      </c>
      <c r="N41" s="92">
        <v>15.798048484641751988813004300</v>
      </c>
      <c r="O41" s="92">
        <v>6.4030809846525363525431782600</v>
      </c>
      <c r="P41" s="92">
        <v>8.248491523371611006388892540</v>
      </c>
      <c r="Q41" s="92">
        <v>2.8926960297727534310839556800</v>
      </c>
      <c r="R41" s="92">
        <v>-1.5690264476702793453172666900</v>
      </c>
      <c r="S41" s="92">
        <v>-12.041659499662224233508412470</v>
      </c>
      <c r="T41" s="92">
        <v>-11.627020788478543858555358910</v>
      </c>
      <c r="U41" s="92">
        <v>-9.150859666507606961038406380</v>
      </c>
      <c r="V41" s="92">
        <v>1.6325143018175299824020203400</v>
      </c>
      <c r="W41" s="92">
        <v>27.220948995561943046364352290</v>
      </c>
      <c r="X41" s="92">
        <v>50.302690347972767292243521290</v>
      </c>
      <c r="Y41" s="92">
        <v>53.087443753680384398876782390</v>
      </c>
      <c r="Z41" s="92">
        <v>60.288824147803506424748775110</v>
      </c>
      <c r="AA41" s="92">
        <v>29.987459787943244930072610090</v>
      </c>
      <c r="AB41" s="92">
        <v>-8.349985397072310577014588730</v>
      </c>
      <c r="AC41" s="92">
        <v>-9.445390095268117106630616760</v>
      </c>
      <c r="AD41" s="92">
        <v>-5.1580449519260119834806517500</v>
      </c>
      <c r="AE41" s="92">
        <v>-4.6725306138854261471694538100</v>
      </c>
      <c r="AF41" s="92">
        <v>3.8899112422786359844304014500</v>
      </c>
      <c r="AG41" s="272"/>
      <c r="AH41" s="342"/>
    </row>
    <row r="42" ht="24.95" customHeight="1">
      <c r="A42" s="23"/>
      <c r="B42" s="40" t="s">
        <v>98</v>
      </c>
      <c r="C42" s="581">
        <v>7.0127663029477893673809446100</v>
      </c>
      <c r="D42" s="582">
        <v>-0.3207895886699695362126184900</v>
      </c>
      <c r="E42" s="582">
        <v>0.8408336796059683585767279600</v>
      </c>
      <c r="F42" s="582">
        <v>-0.2672500590711521342344201400</v>
      </c>
      <c r="G42" s="582">
        <v>-7.7632275349839483643986859300</v>
      </c>
      <c r="H42" s="582">
        <v>-7.1682508618798255823820168200</v>
      </c>
      <c r="I42" s="582">
        <v>0.2899934784236141768980327800</v>
      </c>
      <c r="J42" s="582">
        <v>-13.864775153373090596130370900</v>
      </c>
      <c r="K42" s="582">
        <v>-15.328547540973458634386321100</v>
      </c>
      <c r="L42" s="582">
        <v>0.7181581512290101814267949800</v>
      </c>
      <c r="M42" s="582">
        <v>-11.790994785802551494765055320</v>
      </c>
      <c r="N42" s="582">
        <v>-18.553496815767762417957203640</v>
      </c>
      <c r="O42" s="582">
        <v>2.7749360873913567194357422600</v>
      </c>
      <c r="P42" s="582">
        <v>0.9744993982255037721206701500</v>
      </c>
      <c r="Q42" s="582">
        <v>-30.866316751192071211916879420</v>
      </c>
      <c r="R42" s="582">
        <v>-16.306604672262387894899480680</v>
      </c>
      <c r="S42" s="582">
        <v>13.253284985944151595814421790</v>
      </c>
      <c r="T42" s="582">
        <v>10.218537882778702304785934130</v>
      </c>
      <c r="U42" s="582">
        <v>0.9007434209430273593159353300</v>
      </c>
      <c r="V42" s="582">
        <v>22.318127942453127866052393220</v>
      </c>
      <c r="W42" s="582">
        <v>0.6782084523906156000368688800</v>
      </c>
      <c r="X42" s="582">
        <v>-4.2039001710960545921461782700</v>
      </c>
      <c r="Y42" s="582">
        <v>-3.9521311270299860881825082700</v>
      </c>
      <c r="Z42" s="582">
        <v>-10.111870853668276688386324060</v>
      </c>
      <c r="AA42" s="582">
        <v>1.290590388117461069274358800</v>
      </c>
      <c r="AB42" s="582">
        <v>11.983656673314781587944939170</v>
      </c>
      <c r="AC42" s="582">
        <v>1.8420277541216928753622541500</v>
      </c>
      <c r="AD42" s="582">
        <v>3.6951768702876470342743378600</v>
      </c>
      <c r="AE42" s="582">
        <v>9.498492721860327811831980550</v>
      </c>
      <c r="AF42" s="582">
        <v>-1.1897106609814401581750432300</v>
      </c>
      <c r="AG42" s="583"/>
      <c r="AH42" s="342"/>
    </row>
    <row r="43" ht="30" customHeight="1">
      <c r="A43" s="8"/>
      <c r="B43" s="25"/>
      <c r="X43" s="1001"/>
      <c r="Y43" s="1001"/>
      <c r="Z43" s="1001"/>
      <c r="AA43" s="1001"/>
      <c r="AB43" s="1001"/>
      <c r="AC43" s="1001"/>
      <c r="AD43" s="1001"/>
      <c r="AE43"/>
      <c r="AF43"/>
      <c r="AG43" s="4"/>
      <c r="AH43" s="4"/>
    </row>
    <row r="44" s="35" customFormat="1" ht="20.1" customHeight="1">
      <c r="B44" s="964" t="s">
        <v>10</v>
      </c>
      <c r="C44" s="350" t="s">
        <v>287</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c r="AH45" s="529"/>
      <c r="AI45" s="236"/>
      <c r="AJ45" s="236"/>
      <c r="AK45" s="236"/>
      <c r="AL45" s="236"/>
      <c r="AM45" s="236"/>
      <c r="AN45" s="236"/>
      <c r="AO45" s="236"/>
      <c r="AP45" s="236"/>
      <c r="AQ45" s="236"/>
      <c r="AR45" s="236"/>
      <c r="AS45" s="236"/>
      <c r="AT45" s="236"/>
      <c r="AU45" s="236"/>
      <c r="AV45" s="236"/>
      <c r="AW45" s="236"/>
    </row>
    <row r="46" ht="24.95" customHeight="1">
      <c r="B46" s="263" t="s">
        <v>19</v>
      </c>
      <c r="C46" s="578">
        <v>110.84090909090909090909090909</v>
      </c>
      <c r="D46" s="579">
        <v>94.62878787878787878787878788</v>
      </c>
      <c r="E46" s="579">
        <v>91.42424242424242424242424242</v>
      </c>
      <c r="F46" s="579">
        <v>80.4469696969696969696969697</v>
      </c>
      <c r="G46" s="579">
        <v>115.79545454545454545454545455</v>
      </c>
      <c r="H46" s="579">
        <v>162.93939393939393939393939394</v>
      </c>
      <c r="I46" s="579">
        <v>178.40909090909090909090909091</v>
      </c>
      <c r="J46" s="579">
        <v>109.84090909090909090909090909</v>
      </c>
      <c r="K46" s="579">
        <v>87.62878787878787878787878788</v>
      </c>
      <c r="L46" s="579">
        <v>117.85606060606060606060606061</v>
      </c>
      <c r="M46" s="579">
        <v>140.73484848484848484848484848</v>
      </c>
      <c r="N46" s="579">
        <v>165.26515151515151515151515152</v>
      </c>
      <c r="O46" s="579">
        <v>196.42424242424242424242424242</v>
      </c>
      <c r="P46" s="579">
        <v>201.65151515151515151515151515</v>
      </c>
      <c r="Q46" s="579">
        <v>123.40151515151515151515151515</v>
      </c>
      <c r="R46" s="579">
        <v>107.88636363636363636363636364</v>
      </c>
      <c r="S46" s="579">
        <v>134.87878787878787878787878788</v>
      </c>
      <c r="T46" s="579">
        <v>135.39393939393939393939393939</v>
      </c>
      <c r="U46" s="579">
        <v>159.56060606060606060606060606</v>
      </c>
      <c r="V46" s="579">
        <v>259.67424242424242424242424242</v>
      </c>
      <c r="W46" s="579">
        <v>265.12878787878787878787878788</v>
      </c>
      <c r="X46" s="579">
        <v>144.40909090909090909090909091</v>
      </c>
      <c r="Y46" s="579">
        <v>127.46212121212121212121212121</v>
      </c>
      <c r="Z46" s="579">
        <v>124.68181818181818181818181818</v>
      </c>
      <c r="AA46" s="579">
        <v>132.89393939393939393939393939</v>
      </c>
      <c r="AB46" s="579">
        <v>140.26515151515151515151515152</v>
      </c>
      <c r="AC46" s="579">
        <v>170.71969696969696969696969697</v>
      </c>
      <c r="AD46" s="579">
        <v>182.23484848484848484848484848</v>
      </c>
      <c r="AE46" s="579">
        <v>113.96969696969696969696969697</v>
      </c>
      <c r="AF46" s="579">
        <v>106.62878787878787878787878788</v>
      </c>
      <c r="AG46" s="580"/>
      <c r="AH46" s="342"/>
    </row>
    <row r="47" ht="24.95" customHeight="1">
      <c r="B47" s="38" t="s">
        <v>35</v>
      </c>
      <c r="C47" s="276">
        <v>142.47408518877057115198451113</v>
      </c>
      <c r="D47" s="94">
        <v>110.92825750242013552758954501</v>
      </c>
      <c r="E47" s="94">
        <v>94.2764762826718296224588577</v>
      </c>
      <c r="F47" s="94">
        <v>91.83568247821878025169409487</v>
      </c>
      <c r="G47" s="94">
        <v>120.91462729912875121006776379</v>
      </c>
      <c r="H47" s="94">
        <v>164.61907066795740561471442401</v>
      </c>
      <c r="I47" s="94">
        <v>182.52400774443368828654404647</v>
      </c>
      <c r="J47" s="94">
        <v>118.59313649564375605033881897</v>
      </c>
      <c r="K47" s="94">
        <v>116.92562439496611810261374637</v>
      </c>
      <c r="L47" s="94">
        <v>162.22247821878025169409486931</v>
      </c>
      <c r="M47" s="94">
        <v>174.34938044530493707647628267</v>
      </c>
      <c r="N47" s="94">
        <v>196.97783155856727976766698935</v>
      </c>
      <c r="O47" s="94">
        <v>205.8445692158760890609874153</v>
      </c>
      <c r="P47" s="94">
        <v>209.43775411423039690222652469</v>
      </c>
      <c r="Q47" s="94">
        <v>110.87870280735721200387221684</v>
      </c>
      <c r="R47" s="94">
        <v>104.38749273959341723136495644</v>
      </c>
      <c r="S47" s="94">
        <v>103.52685382381413359148112294</v>
      </c>
      <c r="T47" s="94">
        <v>127.02561471442400774443368829</v>
      </c>
      <c r="U47" s="94">
        <v>175.25426911907066795740561471</v>
      </c>
      <c r="V47" s="94">
        <v>230.81916747337850919651500484</v>
      </c>
      <c r="W47" s="94">
        <v>271.30977734753146176185866409</v>
      </c>
      <c r="X47" s="94">
        <v>213.04240077444336882865440465</v>
      </c>
      <c r="Y47" s="94">
        <v>194.39661181026137463697967086</v>
      </c>
      <c r="Z47" s="94">
        <v>189.93998063891577928363988383</v>
      </c>
      <c r="AA47" s="94">
        <v>140.73330106485963213939980639</v>
      </c>
      <c r="AB47" s="94">
        <v>113.81074540174249757986447241</v>
      </c>
      <c r="AC47" s="94">
        <v>174.6157792836398838334946757</v>
      </c>
      <c r="AD47" s="94">
        <v>188.88683446272991287512100678</v>
      </c>
      <c r="AE47" s="94">
        <v>108.01788964181994191674733785</v>
      </c>
      <c r="AF47" s="94">
        <v>88.02434656340755082284607938</v>
      </c>
      <c r="AG47" s="277"/>
      <c r="AH47" s="342"/>
    </row>
    <row r="48" ht="24.95" customHeight="1">
      <c r="A48" s="23"/>
      <c r="B48" s="40" t="s">
        <v>99</v>
      </c>
      <c r="C48" s="581">
        <v>77.797242174973713768886838260</v>
      </c>
      <c r="D48" s="582">
        <v>85.30629616780965632661394337</v>
      </c>
      <c r="E48" s="582">
        <v>96.97460705902415156731459281</v>
      </c>
      <c r="F48" s="582">
        <v>87.59881510769655211434272083</v>
      </c>
      <c r="G48" s="582">
        <v>95.76629158275248810926139037</v>
      </c>
      <c r="H48" s="582">
        <v>98.97965847954907092510703660</v>
      </c>
      <c r="I48" s="582">
        <v>97.74554762074287170459672954</v>
      </c>
      <c r="J48" s="582">
        <v>92.61995452408358295519959263</v>
      </c>
      <c r="K48" s="582">
        <v>74.944040993750793977001270200</v>
      </c>
      <c r="L48" s="582">
        <v>72.650881616480101532999390170</v>
      </c>
      <c r="M48" s="582">
        <v>80.72001639776536734987854139</v>
      </c>
      <c r="N48" s="582">
        <v>83.90038117867385080884712397</v>
      </c>
      <c r="O48" s="582">
        <v>95.42357283092707221265220435</v>
      </c>
      <c r="P48" s="582">
        <v>96.28231357062812534625165814</v>
      </c>
      <c r="Q48" s="582">
        <v>111.29415480795053462635132451</v>
      </c>
      <c r="R48" s="582">
        <v>103.35181045634628929345213891</v>
      </c>
      <c r="S48" s="582">
        <v>130.28386635640261154643044540</v>
      </c>
      <c r="T48" s="582">
        <v>106.58790331253617296007364291</v>
      </c>
      <c r="U48" s="582">
        <v>91.04520355630893257755488248</v>
      </c>
      <c r="V48" s="582">
        <v>112.50116065606541665433293933</v>
      </c>
      <c r="W48" s="582">
        <v>97.72179626951100872097507661</v>
      </c>
      <c r="X48" s="582">
        <v>67.784201822815575760987142570</v>
      </c>
      <c r="Y48" s="582">
        <v>65.568077563257046505888044200</v>
      </c>
      <c r="Z48" s="582">
        <v>65.642745546475618519991995080</v>
      </c>
      <c r="AA48" s="582">
        <v>94.42963277941911009786584693</v>
      </c>
      <c r="AB48" s="582">
        <v>123.24420775918788035598698184</v>
      </c>
      <c r="AC48" s="582">
        <v>97.76876847562827772860544369</v>
      </c>
      <c r="AD48" s="582">
        <v>96.47832206158068627988704235</v>
      </c>
      <c r="AE48" s="582">
        <v>105.51002000468057777626977028</v>
      </c>
      <c r="AF48" s="582">
        <v>121.13556310467801289443589076</v>
      </c>
      <c r="AG48" s="583"/>
      <c r="AH48" s="342"/>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4.016778046358823647265540100</v>
      </c>
      <c r="D50" s="574">
        <v>13.688905069693966414166382220</v>
      </c>
      <c r="E50" s="574">
        <v>-11.192876591386800242375042520</v>
      </c>
      <c r="F50" s="574">
        <v>-29.017379679123507785467121880</v>
      </c>
      <c r="G50" s="574">
        <v>-21.134100407638493836113576410</v>
      </c>
      <c r="H50" s="574">
        <v>-5.217697867094735535103097400</v>
      </c>
      <c r="I50" s="574">
        <v>4.988631804210778508150778200</v>
      </c>
      <c r="J50" s="574">
        <v>-15.299684542574875525347714670</v>
      </c>
      <c r="K50" s="574">
        <v>-41.935645800926433570527379330</v>
      </c>
      <c r="L50" s="574">
        <v>-16.387186928920688117896029460</v>
      </c>
      <c r="M50" s="574">
        <v>7.437395176701393769276817100</v>
      </c>
      <c r="N50" s="574">
        <v>15.870823816848919460450047370</v>
      </c>
      <c r="O50" s="574">
        <v>45.393371838709651391034743490</v>
      </c>
      <c r="P50" s="574">
        <v>66.030439121818624166338005970</v>
      </c>
      <c r="Q50" s="574">
        <v>-8.658105758996393416053496730</v>
      </c>
      <c r="R50" s="574">
        <v>-18.389684813772288897463891740</v>
      </c>
      <c r="S50" s="574">
        <v>-4.4337090714148533653492865600</v>
      </c>
      <c r="T50" s="574">
        <v>-4.9917601403595782450454972800</v>
      </c>
      <c r="U50" s="574">
        <v>-3.0294659300452036466123263700</v>
      </c>
      <c r="V50" s="574">
        <v>39.190286688869948519018561520</v>
      </c>
      <c r="W50" s="574">
        <v>58.579908468887268841960437270</v>
      </c>
      <c r="X50" s="574">
        <v>21.174750492700945814173232810</v>
      </c>
      <c r="Y50" s="574">
        <v>18.236120871431689703688385570</v>
      </c>
      <c r="Z50" s="574">
        <v>35.401069518765591501923699600</v>
      </c>
      <c r="AA50" s="574">
        <v>110.66410471969820128026500205</v>
      </c>
      <c r="AB50" s="574">
        <v>41.120426829324224559414061440</v>
      </c>
      <c r="AC50" s="574">
        <v>5.3973153734446737600980122200</v>
      </c>
      <c r="AD50" s="574">
        <v>8.005567528718174387432498860</v>
      </c>
      <c r="AE50" s="574">
        <v>24.320304107156118808610864740</v>
      </c>
      <c r="AF50" s="574">
        <v>55.490499337066864030458730180</v>
      </c>
      <c r="AG50" s="575"/>
      <c r="AH50" s="342"/>
    </row>
    <row r="51" ht="24.95" customHeight="1">
      <c r="B51" s="38" t="s">
        <v>35</v>
      </c>
      <c r="C51" s="271">
        <v>-5.6682236326919115407909799400</v>
      </c>
      <c r="D51" s="92">
        <v>5.8820893245369192209704661500</v>
      </c>
      <c r="E51" s="92">
        <v>-7.6537130873481949586790913500</v>
      </c>
      <c r="F51" s="92">
        <v>-26.167687287332178810729876180</v>
      </c>
      <c r="G51" s="92">
        <v>-19.744310980670549306607019870</v>
      </c>
      <c r="H51" s="92">
        <v>-5.1919137360558624630332360800</v>
      </c>
      <c r="I51" s="92">
        <v>9.225375060268811328630079940</v>
      </c>
      <c r="J51" s="92">
        <v>-15.136910263295270964360896710</v>
      </c>
      <c r="K51" s="92">
        <v>-8.051664684724518466002906240</v>
      </c>
      <c r="L51" s="92">
        <v>18.244891009549713322664558030</v>
      </c>
      <c r="M51" s="92">
        <v>26.615265870581914978397777640</v>
      </c>
      <c r="N51" s="92">
        <v>43.018682499452569549783101250</v>
      </c>
      <c r="O51" s="92">
        <v>52.141961950861366372580647440</v>
      </c>
      <c r="P51" s="92">
        <v>39.869993802624537775056756630</v>
      </c>
      <c r="Q51" s="92">
        <v>11.311189341231788993665313770</v>
      </c>
      <c r="R51" s="92">
        <v>15.396312083278143326448840540</v>
      </c>
      <c r="S51" s="92">
        <v>-23.195796881958274648524844770</v>
      </c>
      <c r="T51" s="92">
        <v>-15.187069714055625023127544460</v>
      </c>
      <c r="U51" s="92">
        <v>2.1792962789866280772644624200</v>
      </c>
      <c r="V51" s="92">
        <v>18.394206555996881331469655830</v>
      </c>
      <c r="W51" s="92">
        <v>53.395594004236110947700848750</v>
      </c>
      <c r="X51" s="92">
        <v>105.05737144710455655607496868</v>
      </c>
      <c r="Y51" s="92">
        <v>121.86586051256482421536450674</v>
      </c>
      <c r="Z51" s="92">
        <v>124.30110818747834095806806436</v>
      </c>
      <c r="AA51" s="92">
        <v>56.909128430192728229939946670</v>
      </c>
      <c r="AB51" s="92">
        <v>-12.415575398449904823625602430</v>
      </c>
      <c r="AC51" s="92">
        <v>-0.3899291048302987035596251200</v>
      </c>
      <c r="AD51" s="92">
        <v>7.2031325802758119470180671200</v>
      </c>
      <c r="AE51" s="92">
        <v>9.916963214834785520940473280</v>
      </c>
      <c r="AF51" s="92">
        <v>8.928050750610770000004771520</v>
      </c>
      <c r="AG51" s="272"/>
      <c r="AH51" s="342"/>
    </row>
    <row r="52" ht="24.95" customHeight="1">
      <c r="A52" s="23"/>
      <c r="B52" s="40" t="s">
        <v>99</v>
      </c>
      <c r="C52" s="581">
        <v>10.266955687713967809944431390</v>
      </c>
      <c r="D52" s="582">
        <v>7.3731221161635569232877971300</v>
      </c>
      <c r="E52" s="582">
        <v>-3.8324913998526060803337896900</v>
      </c>
      <c r="F52" s="582">
        <v>-3.8596818752122535366729675800</v>
      </c>
      <c r="G52" s="582">
        <v>-1.7317020686389601272415374500</v>
      </c>
      <c r="H52" s="582">
        <v>-0.0271961307455549501685244300</v>
      </c>
      <c r="I52" s="582">
        <v>-3.8789001673656697849705892100</v>
      </c>
      <c r="J52" s="582">
        <v>-0.1918080990838227762622709400</v>
      </c>
      <c r="K52" s="582">
        <v>-36.851108831979831239520632390</v>
      </c>
      <c r="L52" s="582">
        <v>-29.288434910653690159265419650</v>
      </c>
      <c r="M52" s="582">
        <v>-15.146570646153365836211395840</v>
      </c>
      <c r="N52" s="582">
        <v>-18.982036617963593095162941530</v>
      </c>
      <c r="O52" s="582">
        <v>-4.4357191307771573509334502400</v>
      </c>
      <c r="P52" s="582">
        <v>18.703400642191859588762814210</v>
      </c>
      <c r="Q52" s="582">
        <v>-17.940060849622476807263001220</v>
      </c>
      <c r="R52" s="582">
        <v>-29.278229335994892281934187020</v>
      </c>
      <c r="S52" s="582">
        <v>24.428464913212662362467269500</v>
      </c>
      <c r="T52" s="582">
        <v>12.020937773708413316470382610</v>
      </c>
      <c r="U52" s="582">
        <v>-5.0976689003824883717051263100</v>
      </c>
      <c r="V52" s="582">
        <v>17.565116349643540687189962850</v>
      </c>
      <c r="W52" s="582">
        <v>3.3797023299709153663245045200</v>
      </c>
      <c r="X52" s="582">
        <v>-40.906903449725452987959221250</v>
      </c>
      <c r="Y52" s="582">
        <v>-46.708285538734318162413140300</v>
      </c>
      <c r="Z52" s="582">
        <v>-39.634239610829491024540990100</v>
      </c>
      <c r="AA52" s="582">
        <v>34.258667310890995495180851180</v>
      </c>
      <c r="AB52" s="582">
        <v>61.125025906531003132293224300</v>
      </c>
      <c r="AC52" s="582">
        <v>5.8098989653018746249065885500</v>
      </c>
      <c r="AD52" s="582">
        <v>0.7485181907898217089714380600</v>
      </c>
      <c r="AE52" s="582">
        <v>13.103838089262569242602405040</v>
      </c>
      <c r="AF52" s="582">
        <v>42.74605876612505260914301600</v>
      </c>
      <c r="AG52" s="583"/>
      <c r="AH52" s="342"/>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1048" t="s">
        <v>126</v>
      </c>
      <c r="C56" s="1048"/>
      <c r="D56" s="1048"/>
      <c r="E56" s="1048"/>
      <c r="F56" s="1048"/>
      <c r="G56" s="1048"/>
      <c r="H56" s="1048"/>
      <c r="I56" s="1048"/>
      <c r="J56" s="1048"/>
      <c r="K56" s="1048"/>
      <c r="L56" s="1048"/>
      <c r="M56" s="1048"/>
      <c r="N56" s="1048"/>
      <c r="O56" s="1048"/>
      <c r="P56" s="1048"/>
      <c r="Q56" s="1048"/>
      <c r="R56" s="1048"/>
      <c r="S56" s="1048"/>
      <c r="T56" s="1048"/>
      <c r="U56" s="1048"/>
      <c r="V56" s="1048"/>
      <c r="W56" s="1048"/>
      <c r="X56" s="1048"/>
      <c r="Y56" s="1048"/>
      <c r="Z56" s="1048"/>
      <c r="AA56" s="1048"/>
      <c r="AB56" s="1048"/>
      <c r="AC56" s="1048"/>
      <c r="AD56" s="1048"/>
      <c r="AE56" s="1048"/>
      <c r="AF56" s="1048"/>
      <c r="AG56" s="1048"/>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4"/>
      <c r="C65" s="1014"/>
      <c r="D65" s="1014"/>
      <c r="E65" s="1014"/>
      <c r="F65" s="1014"/>
      <c r="G65" s="1014"/>
      <c r="H65" s="1014"/>
      <c r="I65" s="1014"/>
      <c r="J65" s="1014"/>
      <c r="K65" s="1014"/>
      <c r="L65" s="1014"/>
      <c r="M65" s="1014"/>
      <c r="N65" s="1014"/>
      <c r="O65" s="1014"/>
      <c r="P65" s="1014"/>
      <c r="Q65" s="1014"/>
      <c r="R65" s="1014"/>
      <c r="S65" s="1014"/>
      <c r="T65" s="1014"/>
      <c r="U65" s="1014"/>
      <c r="V65" s="1014"/>
      <c r="W65" s="1014"/>
      <c r="X65" s="1014"/>
      <c r="Y65" s="1014"/>
      <c r="Z65" s="1014"/>
      <c r="AA65" s="1014"/>
      <c r="AB65" s="1014"/>
      <c r="AC65" s="1014"/>
      <c r="AD65" s="1014"/>
      <c r="AE65" s="1014"/>
      <c r="AF65" s="1014"/>
      <c r="AG65" s="1014"/>
      <c r="AH65" s="1014"/>
      <c r="AI65" s="1014"/>
    </row>
    <row r="66" s="282" customFormat="1">
      <c r="B66" s="1014"/>
      <c r="C66" s="1014"/>
      <c r="D66" s="1014"/>
      <c r="E66" s="1014"/>
      <c r="F66" s="1014"/>
      <c r="G66" s="1014"/>
      <c r="H66" s="1014"/>
      <c r="I66" s="1014"/>
      <c r="J66" s="1014"/>
      <c r="K66" s="1014"/>
      <c r="L66" s="1014"/>
      <c r="M66" s="1014"/>
      <c r="N66" s="1014"/>
      <c r="O66" s="1014"/>
      <c r="P66" s="1014"/>
      <c r="Q66" s="1014"/>
      <c r="R66" s="1014"/>
      <c r="S66" s="1014"/>
      <c r="T66" s="1014"/>
      <c r="U66" s="1014"/>
      <c r="V66" s="1014"/>
      <c r="W66" s="1014"/>
      <c r="X66" s="1014"/>
      <c r="Y66" s="1014"/>
      <c r="Z66" s="1014"/>
      <c r="AA66" s="1014"/>
      <c r="AB66" s="1014"/>
      <c r="AC66" s="1014"/>
      <c r="AD66" s="1014"/>
      <c r="AE66" s="1014"/>
      <c r="AF66" s="1014"/>
      <c r="AG66" s="1014"/>
      <c r="AH66" s="1014"/>
      <c r="AI66" s="1014"/>
    </row>
    <row r="67" s="282" customFormat="1">
      <c r="B67" s="1014"/>
      <c r="C67" s="1014"/>
      <c r="D67" s="1014"/>
      <c r="E67" s="1014"/>
      <c r="F67" s="1014"/>
      <c r="G67" s="1014"/>
      <c r="H67" s="1014"/>
      <c r="I67" s="1014"/>
      <c r="J67" s="1014"/>
      <c r="K67" s="1014"/>
      <c r="L67" s="1014"/>
      <c r="M67" s="1014"/>
      <c r="N67" s="1014"/>
      <c r="O67" s="1014"/>
      <c r="P67" s="1014"/>
      <c r="Q67" s="1014"/>
      <c r="R67" s="1014"/>
      <c r="S67" s="1014"/>
      <c r="T67" s="1014"/>
      <c r="U67" s="1014"/>
      <c r="V67" s="1014"/>
      <c r="W67" s="1014"/>
      <c r="X67" s="1014"/>
      <c r="Y67" s="1014"/>
      <c r="Z67" s="1014"/>
      <c r="AA67" s="1014"/>
      <c r="AB67" s="1014"/>
      <c r="AC67" s="1014"/>
      <c r="AD67" s="1014"/>
      <c r="AE67" s="1014"/>
      <c r="AF67" s="1014"/>
      <c r="AG67" s="1014"/>
      <c r="AH67" s="1014"/>
      <c r="AI67" s="1014"/>
    </row>
    <row r="68" s="282" customFormat="1">
      <c r="B68" s="1014"/>
      <c r="C68" s="1014"/>
      <c r="D68" s="1014"/>
      <c r="E68" s="1014"/>
      <c r="F68" s="1014"/>
      <c r="G68" s="1014"/>
      <c r="H68" s="1014"/>
      <c r="I68" s="1014"/>
      <c r="J68" s="1014"/>
      <c r="K68" s="1014"/>
      <c r="L68" s="1014"/>
      <c r="M68" s="1014"/>
      <c r="N68" s="1014"/>
      <c r="O68" s="1014"/>
      <c r="P68" s="1014"/>
      <c r="Q68" s="1014"/>
      <c r="R68" s="1014"/>
      <c r="S68" s="1014"/>
      <c r="T68" s="1014"/>
      <c r="U68" s="1014"/>
      <c r="V68" s="1014"/>
      <c r="W68" s="1014"/>
      <c r="X68" s="1014"/>
      <c r="Y68" s="1014"/>
      <c r="Z68" s="1014"/>
      <c r="AA68" s="1014"/>
      <c r="AB68" s="1014"/>
      <c r="AC68" s="1014"/>
      <c r="AD68" s="1014"/>
      <c r="AE68" s="1014"/>
      <c r="AF68" s="1014"/>
      <c r="AG68" s="1014"/>
      <c r="AH68" s="1014"/>
      <c r="AI68" s="1014"/>
    </row>
    <row r="69" s="282" customFormat="1">
      <c r="B69" s="1014"/>
      <c r="C69" s="1014"/>
      <c r="D69" s="1014"/>
      <c r="E69" s="1014"/>
      <c r="F69" s="1014"/>
      <c r="G69" s="1014"/>
      <c r="H69" s="1014"/>
      <c r="I69" s="1014"/>
      <c r="J69" s="1014"/>
      <c r="K69" s="1014"/>
      <c r="L69" s="1014"/>
      <c r="M69" s="1014"/>
      <c r="N69" s="1014"/>
      <c r="O69" s="1014"/>
      <c r="P69" s="1014"/>
      <c r="Q69" s="1014"/>
      <c r="R69" s="1014"/>
      <c r="S69" s="1014"/>
      <c r="T69" s="1014"/>
      <c r="U69" s="1014"/>
      <c r="V69" s="1014"/>
      <c r="W69" s="1014"/>
      <c r="X69" s="1014"/>
      <c r="Y69" s="1014"/>
      <c r="Z69" s="1014"/>
      <c r="AA69" s="1014"/>
      <c r="AB69" s="1014"/>
      <c r="AC69" s="1014"/>
      <c r="AD69" s="1014"/>
      <c r="AE69" s="1014"/>
      <c r="AF69" s="1014"/>
      <c r="AG69" s="1014"/>
      <c r="AH69" s="1014"/>
      <c r="AI69" s="1014"/>
    </row>
    <row r="70" s="282" customFormat="1">
      <c r="B70" s="1014"/>
      <c r="C70" s="1014"/>
      <c r="D70" s="1014"/>
      <c r="E70" s="1014"/>
      <c r="F70" s="1014"/>
      <c r="G70" s="1014"/>
      <c r="H70" s="1014"/>
      <c r="I70" s="1014"/>
      <c r="J70" s="1014"/>
      <c r="K70" s="1014"/>
      <c r="L70" s="1014"/>
      <c r="M70" s="1014"/>
      <c r="N70" s="1014"/>
      <c r="O70" s="1014"/>
      <c r="P70" s="1014"/>
      <c r="Q70" s="1014"/>
      <c r="R70" s="1014"/>
      <c r="S70" s="1014"/>
      <c r="T70" s="1014"/>
      <c r="U70" s="1014"/>
      <c r="V70" s="1014"/>
      <c r="W70" s="1014"/>
      <c r="X70" s="1014"/>
      <c r="Y70" s="1014"/>
      <c r="Z70" s="1014"/>
      <c r="AA70" s="1014"/>
      <c r="AB70" s="1014"/>
      <c r="AC70" s="1014"/>
      <c r="AD70" s="1014"/>
      <c r="AE70" s="1014"/>
      <c r="AF70" s="1014"/>
      <c r="AG70" s="1014"/>
      <c r="AH70" s="1014"/>
      <c r="AI70" s="1014"/>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95"/>
</worksheet>
</file>

<file path=xl/worksheets/sheet9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pageSetUpPr fitToPage="1"/>
  </sheetPr>
  <dimension ref="A1:AO79"/>
  <sheetViews>
    <sheetView showGridLines="0" workbookViewId="0"/>
  </sheetViews>
  <sheetFormatPr defaultRowHeight="12.75"/>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236" customWidth="1"/>
  </cols>
  <sheetData>
    <row r="1" ht="26.25" customHeight="1">
      <c r="B1" s="20" t="s">
        <v>177</v>
      </c>
      <c r="C1" s="12"/>
      <c r="D1" s="12"/>
      <c r="E1" s="12"/>
      <c r="F1" s="12"/>
      <c r="G1" s="12"/>
      <c r="H1" s="2"/>
      <c r="I1" s="2"/>
      <c r="J1" s="2"/>
      <c r="K1" s="2"/>
      <c r="L1" s="2"/>
      <c r="M1" s="2"/>
      <c r="N1" s="2"/>
      <c r="O1" s="2"/>
      <c r="P1" s="131"/>
      <c r="Q1" s="2"/>
      <c r="R1" s="2"/>
      <c r="S1" s="222"/>
      <c r="T1" s="2"/>
      <c r="U1" s="236"/>
    </row>
    <row r="2" ht="14.25" customHeight="1">
      <c r="B2" s="999" t="s">
        <v>208</v>
      </c>
      <c r="C2" s="999"/>
      <c r="D2" s="999"/>
      <c r="E2" s="999"/>
      <c r="F2" s="999"/>
      <c r="G2" s="999"/>
      <c r="H2" s="999"/>
      <c r="I2" s="999"/>
      <c r="J2" s="999"/>
      <c r="K2" s="999"/>
      <c r="L2" s="999"/>
      <c r="M2" s="999"/>
      <c r="N2" s="999"/>
      <c r="O2" s="999"/>
      <c r="P2" s="999"/>
      <c r="Q2" s="999"/>
      <c r="R2" s="999"/>
      <c r="S2" s="999"/>
      <c r="T2" s="2"/>
    </row>
    <row r="3" ht="14.25" customHeight="1">
      <c r="B3" s="1030" t="s">
        <v>209</v>
      </c>
      <c r="C3" s="1030"/>
      <c r="D3" s="1030"/>
      <c r="E3" s="1030"/>
      <c r="F3" s="1030"/>
      <c r="G3" s="1030"/>
      <c r="H3" s="1030"/>
      <c r="I3" s="1030"/>
      <c r="J3" s="1030"/>
      <c r="K3" s="1030"/>
      <c r="L3" s="1030"/>
      <c r="M3" s="1030"/>
      <c r="N3" s="1030"/>
      <c r="O3" s="1030"/>
      <c r="P3" s="1030"/>
      <c r="Q3" s="1030"/>
      <c r="R3" s="1030"/>
      <c r="S3" s="1030"/>
      <c r="T3" s="2"/>
    </row>
    <row r="4" ht="14.25" customHeight="1">
      <c r="B4" s="1030" t="s">
        <v>210</v>
      </c>
      <c r="C4" s="1030"/>
      <c r="D4" s="1030"/>
      <c r="E4" s="1030"/>
      <c r="F4" s="1030"/>
      <c r="G4" s="1030"/>
      <c r="H4" s="1030"/>
      <c r="I4" s="1030"/>
      <c r="J4" s="1030"/>
      <c r="K4" s="1030"/>
      <c r="L4" s="1030"/>
      <c r="M4" s="1030"/>
      <c r="N4" s="1030"/>
      <c r="O4" s="1030"/>
      <c r="P4" s="1030"/>
      <c r="Q4" s="1030"/>
      <c r="R4" s="1030"/>
      <c r="S4" s="1030"/>
      <c r="T4" s="2"/>
    </row>
    <row r="5" ht="15" customHeight="1">
      <c r="A5" s="14"/>
      <c r="B5" s="13"/>
      <c r="C5" s="2"/>
      <c r="D5" s="2"/>
      <c r="E5" s="2"/>
      <c r="F5" s="2"/>
      <c r="G5" s="2"/>
      <c r="H5" s="2"/>
      <c r="I5" s="2"/>
      <c r="J5" s="2"/>
      <c r="K5" s="2"/>
      <c r="L5" s="2"/>
      <c r="M5" s="2"/>
      <c r="N5" s="2"/>
      <c r="O5" s="2"/>
      <c r="P5" s="2"/>
      <c r="Q5" s="2"/>
      <c r="R5" s="2"/>
      <c r="S5" s="2"/>
      <c r="T5" s="2"/>
    </row>
    <row r="6" s="0" customFormat="1" ht="18" customHeight="1">
      <c r="A6" s="14"/>
      <c r="B6" s="1031" t="s">
        <v>211</v>
      </c>
      <c r="C6" s="1031"/>
      <c r="D6" s="1031"/>
      <c r="E6" s="1031"/>
      <c r="F6" s="1031"/>
      <c r="G6" s="1031"/>
      <c r="H6" s="1031"/>
      <c r="I6" s="1031"/>
      <c r="J6" s="1031"/>
      <c r="K6" s="1031"/>
      <c r="L6" s="1031"/>
      <c r="M6" s="1031"/>
      <c r="N6" s="1031"/>
      <c r="O6" s="1031"/>
      <c r="P6" s="1031"/>
      <c r="Q6" s="1031"/>
      <c r="R6" s="1031"/>
      <c r="S6" s="1031"/>
      <c r="T6" s="2"/>
      <c r="U6" s="236"/>
      <c r="V6" s="236"/>
      <c r="W6" s="236"/>
      <c r="X6" s="236"/>
      <c r="Y6" s="236"/>
      <c r="Z6" s="236"/>
      <c r="AA6" s="236"/>
      <c r="AB6" s="236"/>
      <c r="AC6" s="236"/>
      <c r="AD6" s="236"/>
      <c r="AE6" s="236"/>
      <c r="AF6" s="236"/>
      <c r="AG6" s="236"/>
      <c r="AH6" s="236"/>
      <c r="AI6" s="236"/>
      <c r="AJ6" s="236"/>
      <c r="AK6" s="236"/>
      <c r="AL6" s="236"/>
      <c r="AM6" s="236"/>
      <c r="AN6" s="236"/>
      <c r="AO6" s="236"/>
    </row>
    <row r="7" ht="15" customHeight="1">
      <c r="A7" s="14"/>
      <c r="B7" s="13"/>
      <c r="C7" s="2"/>
      <c r="D7" s="2"/>
      <c r="E7" s="2"/>
      <c r="F7" s="2"/>
      <c r="G7" s="2"/>
      <c r="H7" s="2"/>
      <c r="I7" s="2"/>
      <c r="J7" s="2"/>
      <c r="K7" s="2"/>
      <c r="L7" s="2"/>
      <c r="M7" s="2"/>
      <c r="N7" s="2"/>
      <c r="O7" s="2"/>
      <c r="P7" s="2"/>
      <c r="Q7" s="2"/>
      <c r="R7" s="2"/>
      <c r="S7" s="2"/>
      <c r="T7" s="2"/>
    </row>
    <row r="8" ht="15" customHeight="1">
      <c r="A8" s="2"/>
      <c r="B8" s="2"/>
      <c r="C8" s="15"/>
      <c r="D8" s="1032" t="s">
        <v>11</v>
      </c>
      <c r="E8" s="1032"/>
      <c r="F8" s="1032"/>
      <c r="G8" s="2"/>
      <c r="H8" s="1032" t="s">
        <v>13</v>
      </c>
      <c r="I8" s="1032"/>
      <c r="J8" s="1032"/>
      <c r="K8" s="2"/>
      <c r="L8" s="1032" t="s">
        <v>14</v>
      </c>
      <c r="M8" s="1032"/>
      <c r="N8" s="1032"/>
      <c r="O8" s="2"/>
      <c r="P8" s="1032" t="s">
        <v>12</v>
      </c>
      <c r="Q8" s="1032"/>
      <c r="R8" s="1032"/>
      <c r="S8" s="3"/>
      <c r="T8" s="2"/>
    </row>
    <row r="9" ht="15" customHeight="1">
      <c r="A9" s="2"/>
      <c r="B9" s="2"/>
      <c r="C9" s="2"/>
      <c r="D9" s="3"/>
      <c r="E9" s="3"/>
      <c r="F9" s="171" t="s">
        <v>24</v>
      </c>
      <c r="G9" s="50"/>
      <c r="H9" s="2"/>
      <c r="I9" s="2"/>
      <c r="J9" s="171" t="s">
        <v>24</v>
      </c>
      <c r="K9" s="2"/>
      <c r="L9" s="2"/>
      <c r="M9" s="2"/>
      <c r="N9" s="171" t="s">
        <v>24</v>
      </c>
      <c r="O9" s="2"/>
      <c r="P9" s="2"/>
      <c r="Q9" s="2"/>
      <c r="R9" s="171" t="s">
        <v>24</v>
      </c>
      <c r="S9" s="2"/>
      <c r="T9" s="2"/>
    </row>
    <row r="10" ht="15" customHeight="1">
      <c r="A10" s="2"/>
      <c r="B10" s="173" t="s">
        <v>22</v>
      </c>
      <c r="C10" s="45"/>
      <c r="D10" s="18" t="s">
        <v>19</v>
      </c>
      <c r="E10" s="113">
        <v>79.39393939393939393939393939</v>
      </c>
      <c r="F10" s="113">
        <v>20.229445506607563219987702510</v>
      </c>
      <c r="G10" s="659"/>
      <c r="H10" s="18" t="s">
        <v>19</v>
      </c>
      <c r="I10" s="667">
        <v>1.5909090909090909090909090900</v>
      </c>
      <c r="J10" s="113">
        <v>-87.06365503082207202459002535</v>
      </c>
      <c r="K10" s="9"/>
      <c r="L10" s="18" t="s">
        <v>19</v>
      </c>
      <c r="M10" s="667">
        <v>0</v>
      </c>
      <c r="N10" s="113">
        <v>0</v>
      </c>
      <c r="O10" s="9"/>
      <c r="P10" s="18" t="s">
        <v>19</v>
      </c>
      <c r="Q10" s="667">
        <v>80.98484848484848484848484848</v>
      </c>
      <c r="R10" s="113">
        <v>3.384912959425038067410200200</v>
      </c>
      <c r="S10" s="674"/>
      <c r="T10" s="9"/>
    </row>
    <row r="11" ht="15" customHeight="1">
      <c r="A11" s="2"/>
      <c r="B11" s="44"/>
      <c r="C11" s="45"/>
      <c r="D11" s="133" t="s">
        <v>16</v>
      </c>
      <c r="E11" s="92">
        <v>67.812197483059051306873184900</v>
      </c>
      <c r="F11" s="92">
        <v>0.675481460148183582668780500</v>
      </c>
      <c r="G11" s="661"/>
      <c r="H11" s="133" t="s">
        <v>16</v>
      </c>
      <c r="I11" s="668">
        <v>12.713778638270409809616005160</v>
      </c>
      <c r="J11" s="92">
        <v>63.553341635904110105990882670</v>
      </c>
      <c r="K11" s="120"/>
      <c r="L11" s="133" t="s">
        <v>16</v>
      </c>
      <c r="M11" s="668">
        <v>0</v>
      </c>
      <c r="N11" s="92">
        <v>-100</v>
      </c>
      <c r="O11" s="120"/>
      <c r="P11" s="133" t="s">
        <v>16</v>
      </c>
      <c r="Q11" s="668">
        <v>80.52597612132946111648919006</v>
      </c>
      <c r="R11" s="92">
        <v>6.2050474528598598451777848400</v>
      </c>
      <c r="S11" s="674"/>
      <c r="T11" s="9"/>
    </row>
    <row r="12" ht="15" customHeight="1">
      <c r="A12" s="2"/>
      <c r="B12" s="44"/>
      <c r="C12" s="45"/>
      <c r="D12" s="19" t="s">
        <v>97</v>
      </c>
      <c r="E12" s="113">
        <v>117.07914260369717267961823767</v>
      </c>
      <c r="F12" s="113">
        <v>19.422766857245603234182563650</v>
      </c>
      <c r="G12" s="113"/>
      <c r="H12" s="19" t="s">
        <v>97</v>
      </c>
      <c r="I12" s="667">
        <v>12.513267189634005231623941340</v>
      </c>
      <c r="J12" s="113">
        <v>-92.09044288562066536907189107</v>
      </c>
      <c r="K12" s="9"/>
      <c r="L12" s="19" t="s">
        <v>97</v>
      </c>
      <c r="M12" s="667">
        <v>0</v>
      </c>
      <c r="N12" s="113">
        <v>0</v>
      </c>
      <c r="O12" s="9"/>
      <c r="P12" s="19" t="s">
        <v>97</v>
      </c>
      <c r="Q12" s="667">
        <v>100.56984390087648760285956549</v>
      </c>
      <c r="R12" s="113">
        <v>-2.6553676694743010876547275200</v>
      </c>
      <c r="S12" s="667"/>
      <c r="T12" s="9"/>
    </row>
    <row r="13" ht="15" customHeight="1">
      <c r="A13" s="2"/>
      <c r="B13" s="17"/>
      <c r="C13" s="2"/>
      <c r="D13" s="2"/>
      <c r="E13" s="662"/>
      <c r="F13" s="659"/>
      <c r="G13" s="662"/>
      <c r="H13" s="2"/>
      <c r="I13" s="9"/>
      <c r="J13" s="659"/>
      <c r="K13" s="9"/>
      <c r="L13" s="2"/>
      <c r="M13" s="9"/>
      <c r="N13" s="659"/>
      <c r="O13" s="9"/>
      <c r="P13" s="2"/>
      <c r="Q13" s="674"/>
      <c r="R13" s="659"/>
      <c r="S13" s="674"/>
      <c r="T13" s="9"/>
    </row>
    <row r="14" ht="15" customHeight="1">
      <c r="A14" s="2"/>
      <c r="B14" s="173" t="s">
        <v>9</v>
      </c>
      <c r="C14" s="45"/>
      <c r="D14" s="18" t="s">
        <v>19</v>
      </c>
      <c r="E14" s="663">
        <v>174.32251908396946564885496183</v>
      </c>
      <c r="F14" s="113">
        <v>1.3352067268687220370950639400</v>
      </c>
      <c r="G14" s="664"/>
      <c r="H14" s="53" t="s">
        <v>19</v>
      </c>
      <c r="I14" s="670">
        <v>210.82539682539682539682539683</v>
      </c>
      <c r="J14" s="113">
        <v>26.546168380650674076757550470</v>
      </c>
      <c r="K14" s="671"/>
      <c r="L14" s="53" t="s">
        <v>19</v>
      </c>
      <c r="M14" s="670">
        <v>0</v>
      </c>
      <c r="N14" s="113">
        <v>0</v>
      </c>
      <c r="O14" s="671"/>
      <c r="P14" s="53" t="s">
        <v>19</v>
      </c>
      <c r="Q14" s="670">
        <v>175.03960087309011537262238853</v>
      </c>
      <c r="R14" s="113">
        <v>2.2584314520629771120486298800</v>
      </c>
      <c r="S14" s="675"/>
      <c r="T14" s="9"/>
    </row>
    <row r="15" ht="15" customHeight="1">
      <c r="A15" s="2"/>
      <c r="B15" s="44"/>
      <c r="C15" s="45"/>
      <c r="D15" s="133" t="s">
        <v>16</v>
      </c>
      <c r="E15" s="665">
        <v>185.48190881404602283042888276</v>
      </c>
      <c r="F15" s="92">
        <v>1.2795832396581760881193220900</v>
      </c>
      <c r="G15" s="666"/>
      <c r="H15" s="143" t="s">
        <v>16</v>
      </c>
      <c r="I15" s="672">
        <v>221.60960565300071832957792617</v>
      </c>
      <c r="J15" s="92">
        <v>23.885232984424054571895522400</v>
      </c>
      <c r="K15" s="673"/>
      <c r="L15" s="143" t="s">
        <v>16</v>
      </c>
      <c r="M15" s="672">
        <v>0</v>
      </c>
      <c r="N15" s="92">
        <v>-100</v>
      </c>
      <c r="O15" s="673"/>
      <c r="P15" s="143" t="s">
        <v>16</v>
      </c>
      <c r="Q15" s="672">
        <v>191.18590102183931075936686035</v>
      </c>
      <c r="R15" s="92">
        <v>4.7281210519811651492261397600</v>
      </c>
      <c r="S15" s="675"/>
      <c r="T15" s="9"/>
    </row>
    <row r="16" ht="15" customHeight="1">
      <c r="A16" s="2"/>
      <c r="B16" s="44"/>
      <c r="C16" s="45"/>
      <c r="D16" s="19" t="s">
        <v>98</v>
      </c>
      <c r="E16" s="113">
        <v>93.98356971772320141681317096</v>
      </c>
      <c r="F16" s="113">
        <v>0.0549207307794527692733140600</v>
      </c>
      <c r="G16" s="113"/>
      <c r="H16" s="19" t="s">
        <v>98</v>
      </c>
      <c r="I16" s="667">
        <v>95.13369070991928579135929628</v>
      </c>
      <c r="J16" s="113">
        <v>2.1479036138304749726205481200</v>
      </c>
      <c r="K16" s="9"/>
      <c r="L16" s="19" t="s">
        <v>98</v>
      </c>
      <c r="M16" s="667">
        <v>0</v>
      </c>
      <c r="N16" s="113">
        <v>0</v>
      </c>
      <c r="O16" s="9"/>
      <c r="P16" s="19" t="s">
        <v>98</v>
      </c>
      <c r="Q16" s="667">
        <v>91.55465959444948797821257758</v>
      </c>
      <c r="R16" s="113">
        <v>-2.3581914533514760327390103900</v>
      </c>
      <c r="S16" s="667"/>
      <c r="T16" s="9"/>
    </row>
    <row r="17" ht="15" customHeight="1">
      <c r="A17" s="2"/>
      <c r="B17" s="17"/>
      <c r="C17" s="2"/>
      <c r="D17" s="2"/>
      <c r="E17" s="662"/>
      <c r="F17" s="113"/>
      <c r="G17" s="662"/>
      <c r="H17" s="2"/>
      <c r="I17" s="9"/>
      <c r="J17" s="113"/>
      <c r="K17" s="9"/>
      <c r="L17" s="2"/>
      <c r="M17" s="9"/>
      <c r="N17" s="113"/>
      <c r="O17" s="9"/>
      <c r="P17" s="2"/>
      <c r="Q17" s="675"/>
      <c r="R17" s="113"/>
      <c r="S17" s="675"/>
      <c r="T17" s="9"/>
    </row>
    <row r="18" ht="15" customHeight="1">
      <c r="A18" s="2"/>
      <c r="B18" s="173" t="s">
        <v>10</v>
      </c>
      <c r="C18" s="45"/>
      <c r="D18" s="18" t="s">
        <v>19</v>
      </c>
      <c r="E18" s="663">
        <v>138.40151515151515151515151515</v>
      </c>
      <c r="F18" s="113">
        <v>21.834757150793843581867358760</v>
      </c>
      <c r="G18" s="664"/>
      <c r="H18" s="53" t="s">
        <v>19</v>
      </c>
      <c r="I18" s="670">
        <v>3.354040404040404040404040404</v>
      </c>
      <c r="J18" s="113">
        <v>-83.62955111298651254380122838</v>
      </c>
      <c r="K18" s="671"/>
      <c r="L18" s="53" t="s">
        <v>19</v>
      </c>
      <c r="M18" s="670">
        <v>0</v>
      </c>
      <c r="N18" s="113">
        <v>0</v>
      </c>
      <c r="O18" s="671"/>
      <c r="P18" s="53" t="s">
        <v>19</v>
      </c>
      <c r="Q18" s="670">
        <v>141.75555555555555555555555556</v>
      </c>
      <c r="R18" s="113">
        <v>5.7197903503226135601375834500</v>
      </c>
      <c r="S18" s="675"/>
      <c r="T18" s="9"/>
    </row>
    <row r="19" ht="15" customHeight="1">
      <c r="A19" s="2"/>
      <c r="B19" s="44"/>
      <c r="C19" s="45"/>
      <c r="D19" s="133" t="s">
        <v>16</v>
      </c>
      <c r="E19" s="665">
        <v>125.77935830032840173544572349</v>
      </c>
      <c r="F19" s="92">
        <v>1.9637080473589830800864761200</v>
      </c>
      <c r="G19" s="666"/>
      <c r="H19" s="143" t="s">
        <v>16</v>
      </c>
      <c r="I19" s="672">
        <v>28.17495470386649984570948787</v>
      </c>
      <c r="J19" s="92">
        <v>102.61843833919190522411561657</v>
      </c>
      <c r="K19" s="673"/>
      <c r="L19" s="143" t="s">
        <v>16</v>
      </c>
      <c r="M19" s="672">
        <v>0</v>
      </c>
      <c r="N19" s="92">
        <v>-100</v>
      </c>
      <c r="O19" s="673"/>
      <c r="P19" s="143" t="s">
        <v>16</v>
      </c>
      <c r="Q19" s="672">
        <v>153.95431300419490158115521136</v>
      </c>
      <c r="R19" s="92">
        <v>11.226550659756230681314416100</v>
      </c>
      <c r="S19" s="675"/>
      <c r="T19" s="9"/>
    </row>
    <row r="20" ht="15" customHeight="1">
      <c r="A20" s="2"/>
      <c r="B20" s="44"/>
      <c r="C20" s="45"/>
      <c r="D20" s="19" t="s">
        <v>99</v>
      </c>
      <c r="E20" s="113">
        <v>110.03515761392228858454094076</v>
      </c>
      <c r="F20" s="113">
        <v>19.488354713567837240291006720</v>
      </c>
      <c r="G20" s="113"/>
      <c r="H20" s="19" t="s">
        <v>99</v>
      </c>
      <c r="I20" s="667">
        <v>11.904332905905737115785732410</v>
      </c>
      <c r="J20" s="113">
        <v>-91.92055322250341331862799112</v>
      </c>
      <c r="K20" s="9"/>
      <c r="L20" s="19" t="s">
        <v>99</v>
      </c>
      <c r="M20" s="667">
        <v>0</v>
      </c>
      <c r="N20" s="113">
        <v>0</v>
      </c>
      <c r="O20" s="9"/>
      <c r="P20" s="19" t="s">
        <v>99</v>
      </c>
      <c r="Q20" s="667">
        <v>92.07637823806101987513463993</v>
      </c>
      <c r="R20" s="113">
        <v>-4.9509404694537376297634275800</v>
      </c>
      <c r="S20" s="667"/>
      <c r="T20" s="9"/>
    </row>
    <row r="21" ht="15" customHeight="1">
      <c r="A21" s="2"/>
      <c r="B21" s="17"/>
      <c r="C21" s="2"/>
      <c r="D21" s="2"/>
      <c r="E21" s="9"/>
      <c r="F21" s="9"/>
      <c r="G21" s="9"/>
      <c r="H21" s="2"/>
      <c r="I21" s="9"/>
      <c r="J21" s="9"/>
      <c r="K21" s="9"/>
      <c r="L21" s="2"/>
      <c r="M21" s="9"/>
      <c r="N21" s="9"/>
      <c r="O21" s="9"/>
      <c r="P21" s="2"/>
      <c r="Q21" s="9"/>
      <c r="R21" s="9"/>
      <c r="S21" s="9"/>
      <c r="T21" s="9"/>
    </row>
    <row r="22" ht="15" customHeight="1">
      <c r="A22" s="2"/>
      <c r="E22" s="4"/>
      <c r="F22" s="4"/>
      <c r="G22" s="4"/>
      <c r="I22" s="4"/>
      <c r="J22" s="4"/>
      <c r="K22" s="4"/>
      <c r="M22" s="4"/>
      <c r="N22" s="4"/>
      <c r="O22" s="4"/>
      <c r="Q22" s="4"/>
      <c r="R22" s="4"/>
      <c r="S22" s="4"/>
      <c r="T22" s="9"/>
    </row>
    <row r="23" s="0" customFormat="1" ht="18" customHeight="1">
      <c r="A23" s="2"/>
      <c r="B23" s="1033" t="s">
        <v>58</v>
      </c>
      <c r="C23" s="1033"/>
      <c r="D23" s="1033"/>
      <c r="E23" s="1033"/>
      <c r="F23" s="1033"/>
      <c r="G23" s="1033"/>
      <c r="H23" s="1033"/>
      <c r="I23" s="1033"/>
      <c r="J23" s="1033"/>
      <c r="K23" s="1033"/>
      <c r="L23" s="1033"/>
      <c r="M23" s="1033"/>
      <c r="N23" s="1033"/>
      <c r="O23" s="1033"/>
      <c r="P23" s="1033"/>
      <c r="Q23" s="1033"/>
      <c r="R23" s="1033"/>
      <c r="S23" s="1033"/>
      <c r="T23" s="2"/>
      <c r="U23" s="236"/>
      <c r="V23" s="236"/>
      <c r="W23" s="236"/>
      <c r="X23" s="236"/>
      <c r="Y23" s="236"/>
      <c r="Z23" s="236"/>
      <c r="AA23" s="236"/>
      <c r="AB23" s="236"/>
      <c r="AC23" s="236"/>
      <c r="AD23" s="236"/>
      <c r="AE23" s="236"/>
      <c r="AF23" s="236"/>
      <c r="AG23" s="236"/>
      <c r="AH23" s="236"/>
      <c r="AI23" s="236"/>
      <c r="AJ23" s="236"/>
      <c r="AK23" s="236"/>
      <c r="AL23" s="236"/>
      <c r="AM23" s="236"/>
      <c r="AN23" s="236"/>
      <c r="AO23" s="236"/>
    </row>
    <row r="24" ht="15" customHeight="1">
      <c r="A24" s="2"/>
      <c r="B24" s="17"/>
      <c r="C24" s="2"/>
      <c r="D24" s="2"/>
      <c r="E24" s="2"/>
      <c r="F24" s="2"/>
      <c r="G24" s="2"/>
      <c r="H24" s="2"/>
      <c r="I24" s="2"/>
      <c r="J24" s="2"/>
      <c r="K24" s="2"/>
      <c r="L24" s="2"/>
      <c r="M24" s="2"/>
      <c r="N24" s="2"/>
      <c r="O24" s="2"/>
      <c r="P24" s="2"/>
      <c r="Q24" s="2"/>
      <c r="R24" s="2"/>
      <c r="S24" s="2"/>
      <c r="T24" s="2"/>
    </row>
    <row r="25" ht="15" customHeight="1">
      <c r="A25" s="2"/>
      <c r="B25" s="2"/>
      <c r="C25" s="15"/>
      <c r="D25" s="1032" t="s">
        <v>11</v>
      </c>
      <c r="E25" s="1032"/>
      <c r="F25" s="1032"/>
      <c r="G25" s="2"/>
      <c r="H25" s="1032" t="s">
        <v>13</v>
      </c>
      <c r="I25" s="1032"/>
      <c r="J25" s="1032"/>
      <c r="K25" s="2"/>
      <c r="L25" s="1032" t="s">
        <v>14</v>
      </c>
      <c r="M25" s="1032"/>
      <c r="N25" s="1032"/>
      <c r="O25" s="2"/>
      <c r="P25" s="1032" t="s">
        <v>12</v>
      </c>
      <c r="Q25" s="1032"/>
      <c r="R25" s="1032"/>
      <c r="S25" s="3"/>
      <c r="T25" s="2"/>
    </row>
    <row r="26" ht="15" customHeight="1">
      <c r="A26" s="2"/>
      <c r="B26" s="17"/>
      <c r="C26" s="2"/>
      <c r="D26" s="2"/>
      <c r="E26" s="2"/>
      <c r="F26" s="171" t="s">
        <v>24</v>
      </c>
      <c r="G26" s="2"/>
      <c r="H26" s="2"/>
      <c r="I26" s="2"/>
      <c r="J26" s="171" t="s">
        <v>24</v>
      </c>
      <c r="K26" s="2"/>
      <c r="L26" s="2"/>
      <c r="M26" s="2"/>
      <c r="N26" s="171" t="s">
        <v>24</v>
      </c>
      <c r="O26" s="2"/>
      <c r="P26" s="2"/>
      <c r="Q26" s="2"/>
      <c r="R26" s="171" t="s">
        <v>24</v>
      </c>
      <c r="S26" s="2"/>
      <c r="T26" s="2"/>
    </row>
    <row r="27" ht="15" customHeight="1">
      <c r="A27" s="2"/>
      <c r="B27" s="173" t="s">
        <v>22</v>
      </c>
      <c r="C27" s="45"/>
      <c r="D27" s="18" t="s">
        <v>19</v>
      </c>
      <c r="E27" s="667">
        <v>76.226351916959651766281600540</v>
      </c>
      <c r="F27" s="113">
        <v>-1.4443852078575857955408027600</v>
      </c>
      <c r="G27" s="9"/>
      <c r="H27" s="18" t="s">
        <v>19</v>
      </c>
      <c r="I27" s="667">
        <v>12.033316591327641051397957480</v>
      </c>
      <c r="J27" s="113">
        <v>7.5477670350983396639043433200</v>
      </c>
      <c r="K27" s="9"/>
      <c r="L27" s="18" t="s">
        <v>19</v>
      </c>
      <c r="M27" s="667">
        <v>0</v>
      </c>
      <c r="N27" s="113">
        <v>0</v>
      </c>
      <c r="O27" s="9"/>
      <c r="P27" s="18" t="s">
        <v>19</v>
      </c>
      <c r="Q27" s="667">
        <v>88.25966850828729281767955801</v>
      </c>
      <c r="R27" s="113">
        <v>-0.307946953635871630961060700</v>
      </c>
      <c r="S27" s="674"/>
      <c r="T27" s="9"/>
    </row>
    <row r="28" ht="15" customHeight="1">
      <c r="A28" s="2"/>
      <c r="B28" s="44"/>
      <c r="C28" s="45"/>
      <c r="D28" s="133" t="s">
        <v>16</v>
      </c>
      <c r="E28" s="668">
        <v>74.915094692816609884849684180</v>
      </c>
      <c r="F28" s="92">
        <v>4.3929197854769568128486755600</v>
      </c>
      <c r="G28" s="120"/>
      <c r="H28" s="133" t="s">
        <v>16</v>
      </c>
      <c r="I28" s="668">
        <v>11.280773159761035015750937300</v>
      </c>
      <c r="J28" s="92">
        <v>2.6853704724592197522656995200</v>
      </c>
      <c r="K28" s="120"/>
      <c r="L28" s="133" t="s">
        <v>16</v>
      </c>
      <c r="M28" s="668">
        <v>0.2230268541447160820011445500</v>
      </c>
      <c r="N28" s="92">
        <v>-68.614881523072354246007372550</v>
      </c>
      <c r="O28" s="120"/>
      <c r="P28" s="133" t="s">
        <v>16</v>
      </c>
      <c r="Q28" s="668">
        <v>86.41889470672236098260176603</v>
      </c>
      <c r="R28" s="92">
        <v>3.5465274561060707667006372200</v>
      </c>
      <c r="S28" s="674"/>
      <c r="T28" s="9"/>
    </row>
    <row r="29" ht="15" customHeight="1">
      <c r="A29" s="2"/>
      <c r="B29" s="44"/>
      <c r="C29" s="45"/>
      <c r="D29" s="19" t="s">
        <v>97</v>
      </c>
      <c r="E29" s="667">
        <v>101.75032445668880016401179848</v>
      </c>
      <c r="F29" s="113">
        <v>-5.5916675242712420909111486100</v>
      </c>
      <c r="G29" s="676"/>
      <c r="H29" s="19" t="s">
        <v>97</v>
      </c>
      <c r="I29" s="667">
        <v>106.67102707294384692284553636</v>
      </c>
      <c r="J29" s="113">
        <v>4.7352378822786312013789185300</v>
      </c>
      <c r="K29" s="676"/>
      <c r="L29" s="19" t="s">
        <v>97</v>
      </c>
      <c r="M29" s="667">
        <v>0</v>
      </c>
      <c r="N29" s="113">
        <v>0</v>
      </c>
      <c r="O29" s="676"/>
      <c r="P29" s="19" t="s">
        <v>97</v>
      </c>
      <c r="Q29" s="667">
        <v>102.13005941332015073433600385</v>
      </c>
      <c r="R29" s="113">
        <v>-3.7224564690069850802112448700</v>
      </c>
      <c r="S29" s="667"/>
      <c r="T29" s="9"/>
    </row>
    <row r="30" ht="15" customHeight="1">
      <c r="A30" s="2"/>
      <c r="B30" s="17"/>
      <c r="C30" s="2"/>
      <c r="D30" s="2"/>
      <c r="E30" s="9"/>
      <c r="F30" s="659"/>
      <c r="G30" s="9"/>
      <c r="H30" s="2"/>
      <c r="I30" s="9"/>
      <c r="J30" s="659"/>
      <c r="K30" s="9"/>
      <c r="L30" s="2"/>
      <c r="M30" s="9"/>
      <c r="N30" s="659"/>
      <c r="O30" s="9"/>
      <c r="P30" s="2"/>
      <c r="Q30" s="674"/>
      <c r="R30" s="659"/>
      <c r="S30" s="674"/>
      <c r="T30" s="9"/>
    </row>
    <row r="31" ht="15" customHeight="1">
      <c r="A31" s="2"/>
      <c r="B31" s="173" t="s">
        <v>9</v>
      </c>
      <c r="C31" s="45"/>
      <c r="D31" s="18" t="s">
        <v>19</v>
      </c>
      <c r="E31" s="670">
        <v>259.88309905556775752251262904</v>
      </c>
      <c r="F31" s="113">
        <v>-2.5099109778945299420949491200</v>
      </c>
      <c r="G31" s="671"/>
      <c r="H31" s="53" t="s">
        <v>19</v>
      </c>
      <c r="I31" s="670">
        <v>302.56556521739130434782608696</v>
      </c>
      <c r="J31" s="113">
        <v>2.5882737900102606906545510200</v>
      </c>
      <c r="K31" s="671"/>
      <c r="L31" s="53" t="s">
        <v>19</v>
      </c>
      <c r="M31" s="670">
        <v>0</v>
      </c>
      <c r="N31" s="113">
        <v>0</v>
      </c>
      <c r="O31" s="671"/>
      <c r="P31" s="53" t="s">
        <v>19</v>
      </c>
      <c r="Q31" s="670">
        <v>265.70242329397258974723763456</v>
      </c>
      <c r="R31" s="113">
        <v>-1.6491714208803589545875536500</v>
      </c>
      <c r="S31" s="675"/>
      <c r="T31" s="9"/>
    </row>
    <row r="32" ht="15" customHeight="1">
      <c r="A32" s="2"/>
      <c r="B32" s="44"/>
      <c r="C32" s="45"/>
      <c r="D32" s="133" t="s">
        <v>16</v>
      </c>
      <c r="E32" s="672">
        <v>270.42550655300847137682801257</v>
      </c>
      <c r="F32" s="92">
        <v>1.0369832784778304156296468500</v>
      </c>
      <c r="G32" s="673"/>
      <c r="H32" s="143" t="s">
        <v>16</v>
      </c>
      <c r="I32" s="672">
        <v>288.33642198015171023636948937</v>
      </c>
      <c r="J32" s="92">
        <v>-4.0877650537721751074782037200</v>
      </c>
      <c r="K32" s="673"/>
      <c r="L32" s="143" t="s">
        <v>16</v>
      </c>
      <c r="M32" s="672">
        <v>166.18704846088856947438413101</v>
      </c>
      <c r="N32" s="92">
        <v>-0.6209514916069007064298483600</v>
      </c>
      <c r="O32" s="673"/>
      <c r="P32" s="143" t="s">
        <v>16</v>
      </c>
      <c r="Q32" s="672">
        <v>272.49451008788216363411313281</v>
      </c>
      <c r="R32" s="92">
        <v>0.5012258654574712396212613600</v>
      </c>
      <c r="S32" s="675"/>
      <c r="T32" s="9"/>
    </row>
    <row r="33" ht="15" customHeight="1">
      <c r="A33" s="2"/>
      <c r="B33" s="44"/>
      <c r="C33" s="45"/>
      <c r="D33" s="19" t="s">
        <v>98</v>
      </c>
      <c r="E33" s="667">
        <v>96.10154839615098839522839359</v>
      </c>
      <c r="F33" s="113">
        <v>-3.510491051126428339064096800</v>
      </c>
      <c r="G33" s="676"/>
      <c r="H33" s="19" t="s">
        <v>98</v>
      </c>
      <c r="I33" s="667">
        <v>104.93491010933347038254990696</v>
      </c>
      <c r="J33" s="113">
        <v>6.9605706169985784042171045300</v>
      </c>
      <c r="K33" s="676"/>
      <c r="L33" s="19" t="s">
        <v>98</v>
      </c>
      <c r="M33" s="667">
        <v>0</v>
      </c>
      <c r="N33" s="113">
        <v>0</v>
      </c>
      <c r="O33" s="676"/>
      <c r="P33" s="19" t="s">
        <v>98</v>
      </c>
      <c r="Q33" s="667">
        <v>97.50744086853843375552496499</v>
      </c>
      <c r="R33" s="113">
        <v>-2.1396726933619931192641480300</v>
      </c>
      <c r="S33" s="667"/>
      <c r="T33" s="9"/>
    </row>
    <row r="34" ht="15" customHeight="1">
      <c r="A34" s="2"/>
      <c r="B34" s="17"/>
      <c r="C34" s="2"/>
      <c r="D34" s="2"/>
      <c r="E34" s="9"/>
      <c r="F34" s="113"/>
      <c r="G34" s="9"/>
      <c r="H34" s="2"/>
      <c r="I34" s="9"/>
      <c r="J34" s="113"/>
      <c r="K34" s="9"/>
      <c r="L34" s="2"/>
      <c r="M34" s="9"/>
      <c r="N34" s="113"/>
      <c r="O34" s="9"/>
      <c r="P34" s="2"/>
      <c r="Q34" s="675"/>
      <c r="R34" s="113"/>
      <c r="S34" s="675"/>
      <c r="T34" s="9"/>
    </row>
    <row r="35" ht="15" customHeight="1">
      <c r="A35" s="2"/>
      <c r="B35" s="173" t="s">
        <v>10</v>
      </c>
      <c r="C35" s="45"/>
      <c r="D35" s="18" t="s">
        <v>19</v>
      </c>
      <c r="E35" s="670">
        <v>198.09940565879792399129415704</v>
      </c>
      <c r="F35" s="113">
        <v>-3.9180434028188123609225863600</v>
      </c>
      <c r="G35" s="671"/>
      <c r="H35" s="53" t="s">
        <v>19</v>
      </c>
      <c r="I35" s="670">
        <v>36.408672358948602042524694458</v>
      </c>
      <c r="J35" s="113">
        <v>10.331397700833287898700035440</v>
      </c>
      <c r="K35" s="671"/>
      <c r="L35" s="53" t="s">
        <v>19</v>
      </c>
      <c r="M35" s="670">
        <v>0</v>
      </c>
      <c r="N35" s="113">
        <v>0</v>
      </c>
      <c r="O35" s="671"/>
      <c r="P35" s="53" t="s">
        <v>19</v>
      </c>
      <c r="Q35" s="670">
        <v>234.5080780177465260338188515</v>
      </c>
      <c r="R35" s="113">
        <v>-1.9520398013762315556109819400</v>
      </c>
      <c r="S35" s="675"/>
      <c r="T35" s="9"/>
    </row>
    <row r="36" ht="15" customHeight="1">
      <c r="A36" s="2"/>
      <c r="B36" s="44"/>
      <c r="C36" s="45"/>
      <c r="D36" s="133" t="s">
        <v>16</v>
      </c>
      <c r="E36" s="672">
        <v>202.58952430771528292439911938</v>
      </c>
      <c r="F36" s="92">
        <v>5.4754569075038439292252695500</v>
      </c>
      <c r="G36" s="673"/>
      <c r="H36" s="143" t="s">
        <v>16</v>
      </c>
      <c r="I36" s="672">
        <v>32.526577700552271570256161423</v>
      </c>
      <c r="J36" s="92">
        <v>-1.512166217134392286982866500</v>
      </c>
      <c r="K36" s="673"/>
      <c r="L36" s="143" t="s">
        <v>16</v>
      </c>
      <c r="M36" s="672">
        <v>0.3706417461782745822702645977</v>
      </c>
      <c r="N36" s="92">
        <v>-68.809767886299125096571074880</v>
      </c>
      <c r="O36" s="673"/>
      <c r="P36" s="143" t="s">
        <v>16</v>
      </c>
      <c r="Q36" s="672">
        <v>235.4867437544458290769255454</v>
      </c>
      <c r="R36" s="92">
        <v>4.0655294345175762418432505200</v>
      </c>
      <c r="S36" s="675"/>
      <c r="T36" s="9"/>
    </row>
    <row r="37" ht="15" customHeight="1">
      <c r="A37" s="2"/>
      <c r="B37" s="44"/>
      <c r="C37" s="45"/>
      <c r="D37" s="19" t="s">
        <v>99</v>
      </c>
      <c r="E37" s="667">
        <v>97.78363730096807573140622415</v>
      </c>
      <c r="F37" s="113">
        <v>-8.905863587367050728904661060</v>
      </c>
      <c r="G37" s="676"/>
      <c r="H37" s="19" t="s">
        <v>99</v>
      </c>
      <c r="I37" s="667">
        <v>111.93514637193752838096173053</v>
      </c>
      <c r="J37" s="113">
        <v>12.025408076235095837587413350</v>
      </c>
      <c r="K37" s="676"/>
      <c r="L37" s="19" t="s">
        <v>99</v>
      </c>
      <c r="M37" s="667">
        <v>0</v>
      </c>
      <c r="N37" s="113">
        <v>0</v>
      </c>
      <c r="O37" s="676"/>
      <c r="P37" s="19" t="s">
        <v>99</v>
      </c>
      <c r="Q37" s="667">
        <v>99.58440729144644776336596136</v>
      </c>
      <c r="R37" s="113">
        <v>-5.7824807778237939446743400100</v>
      </c>
      <c r="S37" s="667"/>
      <c r="T37" s="9"/>
    </row>
    <row r="38" ht="9.95" customHeight="1">
      <c r="A38" s="2"/>
      <c r="B38" s="44"/>
      <c r="C38" s="45"/>
      <c r="D38" s="19"/>
      <c r="E38" s="172"/>
      <c r="F38" s="113"/>
      <c r="G38" s="51"/>
      <c r="H38" s="52"/>
      <c r="I38" s="172"/>
      <c r="J38" s="113"/>
      <c r="K38" s="51"/>
      <c r="L38" s="52"/>
      <c r="M38" s="172"/>
      <c r="N38" s="113"/>
      <c r="O38" s="51"/>
      <c r="P38" s="52"/>
      <c r="Q38" s="172"/>
      <c r="R38" s="113"/>
      <c r="S38" s="172"/>
      <c r="T38" s="2"/>
    </row>
    <row r="39" s="680" customFormat="1" ht="9.75" customHeight="1">
      <c r="A39" s="678"/>
      <c r="B39" s="678"/>
      <c r="C39" s="678"/>
      <c r="D39" s="678"/>
      <c r="E39" s="678"/>
      <c r="F39" s="678"/>
      <c r="G39" s="678"/>
      <c r="H39" s="678"/>
      <c r="I39" s="678"/>
      <c r="J39" s="678"/>
      <c r="K39" s="678"/>
      <c r="L39" s="678"/>
      <c r="M39" s="678"/>
      <c r="N39" s="678"/>
      <c r="O39" s="678"/>
      <c r="P39" s="678"/>
      <c r="Q39" s="678"/>
      <c r="R39" s="678"/>
      <c r="S39" s="678"/>
      <c r="T39" s="678"/>
      <c r="U39" s="679"/>
      <c r="V39" s="679"/>
      <c r="W39" s="679"/>
      <c r="X39" s="679"/>
      <c r="Y39" s="679"/>
      <c r="Z39" s="679"/>
      <c r="AA39" s="679"/>
      <c r="AB39" s="679"/>
      <c r="AC39" s="679"/>
      <c r="AD39" s="679"/>
      <c r="AE39" s="679"/>
      <c r="AF39" s="679"/>
      <c r="AG39" s="679"/>
      <c r="AH39" s="679"/>
      <c r="AI39" s="679"/>
      <c r="AJ39" s="679"/>
      <c r="AK39" s="679"/>
      <c r="AL39" s="679"/>
      <c r="AM39" s="679"/>
      <c r="AN39" s="679"/>
      <c r="AO39" s="679"/>
    </row>
    <row r="40" ht="35.1" customHeight="1">
      <c r="A40" s="2"/>
      <c r="B40" s="1034" t="s">
        <v>126</v>
      </c>
      <c r="C40" s="1034"/>
      <c r="D40" s="1034"/>
      <c r="E40" s="1034"/>
      <c r="F40" s="1034"/>
      <c r="G40" s="1034"/>
      <c r="H40" s="1034"/>
      <c r="I40" s="1034"/>
      <c r="J40" s="1034"/>
      <c r="K40" s="1034"/>
      <c r="L40" s="1034"/>
      <c r="M40" s="1034"/>
      <c r="N40" s="1034"/>
      <c r="O40" s="1034"/>
      <c r="P40" s="1034"/>
      <c r="Q40" s="1034"/>
      <c r="R40" s="1034"/>
      <c r="S40" s="1034"/>
      <c r="T40" s="2"/>
    </row>
    <row r="41" s="683" customFormat="1" ht="15" customHeight="1">
      <c r="A41" s="681"/>
      <c r="B41" s="681"/>
      <c r="C41" s="681"/>
      <c r="D41" s="681"/>
      <c r="E41" s="681"/>
      <c r="F41" s="681"/>
      <c r="G41" s="681"/>
      <c r="H41" s="681"/>
      <c r="I41" s="681"/>
      <c r="J41" s="681"/>
      <c r="K41" s="681"/>
      <c r="L41" s="681"/>
      <c r="M41" s="681"/>
      <c r="N41" s="681"/>
      <c r="O41" s="681"/>
      <c r="P41" s="681"/>
      <c r="Q41" s="681"/>
      <c r="R41" s="681"/>
      <c r="S41" s="681"/>
      <c r="T41" s="681"/>
      <c r="U41" s="682"/>
      <c r="V41" s="682"/>
      <c r="W41" s="682"/>
      <c r="X41" s="682"/>
      <c r="Y41" s="682"/>
      <c r="Z41" s="682"/>
      <c r="AA41" s="682"/>
      <c r="AB41" s="682"/>
      <c r="AC41" s="682"/>
      <c r="AD41" s="682"/>
      <c r="AE41" s="682"/>
      <c r="AF41" s="682"/>
      <c r="AG41" s="682"/>
      <c r="AH41" s="682"/>
      <c r="AI41" s="682"/>
      <c r="AJ41" s="682"/>
      <c r="AK41" s="682"/>
      <c r="AL41" s="682"/>
      <c r="AM41" s="682"/>
      <c r="AN41" s="682"/>
      <c r="AO41" s="682"/>
    </row>
    <row r="42" ht="18" customHeight="1">
      <c r="A42" s="236"/>
      <c r="B42" s="236"/>
      <c r="C42" s="236"/>
      <c r="D42" s="236"/>
      <c r="E42" s="236"/>
      <c r="F42" s="236"/>
      <c r="G42" s="236"/>
      <c r="H42" s="236"/>
      <c r="I42" s="236"/>
      <c r="J42" s="236"/>
      <c r="K42" s="236"/>
      <c r="L42" s="236"/>
      <c r="M42" s="236"/>
      <c r="N42" s="236"/>
      <c r="O42" s="236"/>
      <c r="P42" s="236"/>
      <c r="Q42" s="236"/>
      <c r="R42" s="236"/>
      <c r="S42" s="236"/>
      <c r="T42" s="236"/>
    </row>
    <row r="43">
      <c r="A43" s="236"/>
      <c r="B43" s="236"/>
      <c r="C43" s="236"/>
      <c r="D43" s="236"/>
      <c r="E43" s="236"/>
      <c r="F43" s="236"/>
      <c r="G43" s="236"/>
      <c r="H43" s="236"/>
      <c r="I43" s="236"/>
      <c r="J43" s="236"/>
      <c r="K43" s="236"/>
      <c r="L43" s="236"/>
      <c r="M43" s="236"/>
      <c r="N43" s="236"/>
      <c r="O43" s="236"/>
      <c r="P43" s="236"/>
      <c r="Q43" s="236"/>
      <c r="R43" s="236"/>
      <c r="S43" s="236"/>
      <c r="T43" s="236"/>
    </row>
    <row r="44">
      <c r="A44" s="236"/>
      <c r="B44" s="236"/>
      <c r="C44" s="236"/>
      <c r="D44" s="236"/>
      <c r="E44" s="236"/>
      <c r="F44" s="236"/>
      <c r="G44" s="236"/>
      <c r="H44" s="236"/>
      <c r="I44" s="236"/>
      <c r="J44" s="236"/>
      <c r="K44" s="236"/>
      <c r="L44" s="236"/>
      <c r="M44" s="236"/>
      <c r="N44" s="236"/>
      <c r="O44" s="236"/>
      <c r="P44" s="236"/>
      <c r="Q44" s="236"/>
      <c r="R44" s="236"/>
      <c r="S44" s="236"/>
      <c r="T44" s="236"/>
    </row>
    <row r="45">
      <c r="A45" s="236"/>
      <c r="B45" s="236"/>
      <c r="C45" s="236"/>
      <c r="D45" s="236"/>
      <c r="E45" s="236"/>
      <c r="F45" s="236"/>
      <c r="G45" s="236"/>
      <c r="H45" s="236"/>
      <c r="I45" s="236"/>
      <c r="J45" s="236"/>
      <c r="K45" s="236"/>
      <c r="L45" s="236"/>
      <c r="M45" s="236"/>
      <c r="N45" s="236"/>
      <c r="O45" s="236"/>
      <c r="P45" s="236"/>
      <c r="Q45" s="236"/>
      <c r="R45" s="236"/>
      <c r="S45" s="236"/>
      <c r="T45" s="236"/>
    </row>
    <row r="46">
      <c r="A46" s="236"/>
      <c r="B46" s="236"/>
      <c r="C46" s="236"/>
      <c r="D46" s="236"/>
      <c r="E46" s="236"/>
      <c r="F46" s="236"/>
      <c r="G46" s="236"/>
      <c r="H46" s="236"/>
      <c r="I46" s="236"/>
      <c r="J46" s="236"/>
      <c r="K46" s="236"/>
      <c r="L46" s="236"/>
      <c r="M46" s="236"/>
      <c r="N46" s="236"/>
      <c r="O46" s="236"/>
      <c r="P46" s="236"/>
      <c r="Q46" s="236"/>
      <c r="R46" s="236"/>
      <c r="S46" s="236"/>
      <c r="T46" s="236"/>
    </row>
    <row r="47">
      <c r="A47" s="236"/>
      <c r="B47" s="236"/>
      <c r="C47" s="236"/>
      <c r="D47" s="236"/>
      <c r="E47" s="236"/>
      <c r="F47" s="236"/>
      <c r="G47" s="236"/>
      <c r="H47" s="236"/>
      <c r="I47" s="236"/>
      <c r="J47" s="236"/>
      <c r="K47" s="236"/>
      <c r="L47" s="236"/>
      <c r="M47" s="236"/>
      <c r="N47" s="236"/>
      <c r="O47" s="236"/>
      <c r="P47" s="236"/>
      <c r="Q47" s="236"/>
      <c r="R47" s="236"/>
      <c r="S47" s="236"/>
      <c r="T47" s="236"/>
    </row>
    <row r="48">
      <c r="A48" s="236"/>
      <c r="B48" s="236"/>
      <c r="C48" s="236"/>
      <c r="D48" s="236"/>
      <c r="E48" s="236"/>
      <c r="F48" s="236"/>
      <c r="G48" s="236"/>
      <c r="H48" s="236"/>
      <c r="I48" s="236"/>
      <c r="J48" s="236"/>
      <c r="K48" s="236"/>
      <c r="L48" s="236"/>
      <c r="M48" s="236"/>
      <c r="N48" s="236"/>
      <c r="O48" s="236"/>
      <c r="P48" s="236"/>
      <c r="Q48" s="236"/>
      <c r="R48" s="236"/>
      <c r="S48" s="236"/>
      <c r="T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sheetData>
  <mergeCells count="14">
    <mergeCell ref="B40:S40"/>
    <mergeCell ref="D25:F25"/>
    <mergeCell ref="H25:J25"/>
    <mergeCell ref="L25:N25"/>
    <mergeCell ref="P25:R25"/>
    <mergeCell ref="B2:S2"/>
    <mergeCell ref="B6:S6"/>
    <mergeCell ref="B23:S23"/>
    <mergeCell ref="D8:F8"/>
    <mergeCell ref="H8:J8"/>
    <mergeCell ref="L8:N8"/>
    <mergeCell ref="P8:R8"/>
    <mergeCell ref="B4:S4"/>
    <mergeCell ref="B3:S3"/>
  </mergeCells>
  <phoneticPr fontId="0" type="noConversion"/>
  <printOptions horizontalCentered="1" verticalCentered="1"/>
  <pageMargins left="0.25" right="0.25" top="0.25" bottom="0.25" header="0" footer="0"/>
  <pageSetup scale="88" fitToWidth="1" fitToHeight="1" orientation="landscape" r:id="rId1"/>
  <headerFooter alignWithMargins="0">
    <oddHeader/>
    <oddFooter/>
  </headerFooter>
  <rowBreaks count="1" manualBreakCount="1">
    <brk id="42" max="16383" man="1"/>
  </rowBreaks>
  <colBreaks count="1" manualBreakCount="1">
    <brk id="21" max="1048575" man="1"/>
  </colBreaks>
  <drawing r:id="rId35"/>
</worksheet>
</file>

<file path=xl/worksheets/sheet9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pageSetUpPr fitToPage="1"/>
  </sheetPr>
  <dimension ref="A1:AD86"/>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179</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 r="D6" s="960" t="s">
        <v>22</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218</v>
      </c>
      <c r="D9" s="415">
        <v>75.366568914956011730205278590</v>
      </c>
      <c r="E9" s="416">
        <v>68.285294944258813977453705150</v>
      </c>
      <c r="F9" s="417">
        <v>54.845804201180604609187099110</v>
      </c>
      <c r="G9" s="415">
        <v>13.929618768328445747800586510</v>
      </c>
      <c r="H9" s="416">
        <v>13.099959404178246885051369330</v>
      </c>
      <c r="I9" s="417">
        <v>18.232690960021002633809122880</v>
      </c>
      <c r="J9" s="415">
        <v>0</v>
      </c>
      <c r="K9" s="416">
        <v>0.6245511038940761327795646900</v>
      </c>
      <c r="L9" s="417">
        <v>7.6393997596830854748986988800</v>
      </c>
      <c r="M9" s="415">
        <v>89.29618768328445747800586510</v>
      </c>
      <c r="N9" s="416">
        <v>82.00980545233113699528463917</v>
      </c>
      <c r="O9" s="417">
        <v>80.71789492088469271789492088</v>
      </c>
      <c r="P9" s="5"/>
      <c r="Q9" s="415">
        <v>-1.6895122728286723120926637600</v>
      </c>
      <c r="R9" s="416">
        <v>-5.4604409856674951710934696200</v>
      </c>
      <c r="S9" s="417">
        <v>1.5221264854712524771455094500</v>
      </c>
      <c r="T9" s="415">
        <v>-21.487603305913598797896108330</v>
      </c>
      <c r="U9" s="416">
        <v>1.2551291332103907326132143400</v>
      </c>
      <c r="V9" s="417">
        <v>10.308467688901454810929002770</v>
      </c>
      <c r="W9" s="415">
        <v>0</v>
      </c>
      <c r="X9" s="416">
        <v>0</v>
      </c>
      <c r="Y9" s="417">
        <v>-10.926988496368916198071556740</v>
      </c>
      <c r="Z9" s="415">
        <v>-5.4103028734095475176222319200</v>
      </c>
      <c r="AA9" s="416">
        <v>-3.7069629303529544783751337800</v>
      </c>
      <c r="AB9" s="417">
        <v>2.0081348900690659056715515100</v>
      </c>
    </row>
    <row r="10" ht="18" customHeight="1">
      <c r="A10" s="58"/>
      <c r="B10" s="286"/>
      <c r="C10" s="287" t="s">
        <v>220</v>
      </c>
      <c r="D10" s="271">
        <v>71.969696969696969696969696970</v>
      </c>
      <c r="E10" s="92">
        <v>68.468137663985020778592172590</v>
      </c>
      <c r="F10" s="272">
        <v>58.702387972864008849945650760</v>
      </c>
      <c r="G10" s="271">
        <v>20.950888192267502612330198540</v>
      </c>
      <c r="H10" s="92">
        <v>18.449778015155048990457751350</v>
      </c>
      <c r="I10" s="272">
        <v>19.986771032335629040538966410</v>
      </c>
      <c r="J10" s="271">
        <v>0</v>
      </c>
      <c r="K10" s="92">
        <v>0.7110191274159626261927810800</v>
      </c>
      <c r="L10" s="272">
        <v>7.5349989506656350479590529800</v>
      </c>
      <c r="M10" s="271">
        <v>92.92058516196447230929989551</v>
      </c>
      <c r="N10" s="92">
        <v>87.62893480655603239524270502</v>
      </c>
      <c r="O10" s="272">
        <v>86.22415795586527293844367015</v>
      </c>
      <c r="P10" s="5"/>
      <c r="Q10" s="271">
        <v>-8.465244322044345206940642600</v>
      </c>
      <c r="R10" s="92">
        <v>-1.030863878432645407630148500</v>
      </c>
      <c r="S10" s="272">
        <v>5.5421539241912519224092064800</v>
      </c>
      <c r="T10" s="271">
        <v>37.052181873633888452907236580</v>
      </c>
      <c r="U10" s="92">
        <v>12.133090840864014344020270330</v>
      </c>
      <c r="V10" s="272">
        <v>3.692093475195202389278353400</v>
      </c>
      <c r="W10" s="271">
        <v>0</v>
      </c>
      <c r="X10" s="92">
        <v>0</v>
      </c>
      <c r="Y10" s="272">
        <v>-11.377334138269125491887584950</v>
      </c>
      <c r="Z10" s="271">
        <v>-1.0560406918010891251715855100</v>
      </c>
      <c r="AA10" s="92">
        <v>2.3286895048439395227518633900</v>
      </c>
      <c r="AB10" s="272">
        <v>3.3896222130629871542216971900</v>
      </c>
    </row>
    <row r="11" ht="18" customHeight="1">
      <c r="A11" s="58"/>
      <c r="B11" s="288"/>
      <c r="C11" s="289" t="s">
        <v>221</v>
      </c>
      <c r="D11" s="420">
        <v>84.13978494623655913978494624</v>
      </c>
      <c r="E11" s="91">
        <v>80.95743684226961871155107267</v>
      </c>
      <c r="F11" s="421">
        <v>63.569411045656282054192780990</v>
      </c>
      <c r="G11" s="420">
        <v>8.553274682306940371456500490</v>
      </c>
      <c r="H11" s="91">
        <v>6.5234362801736252068825531600</v>
      </c>
      <c r="I11" s="421">
        <v>12.592401634063202887333885220</v>
      </c>
      <c r="J11" s="420">
        <v>0</v>
      </c>
      <c r="K11" s="91">
        <v>0.5371139493489054741904256300</v>
      </c>
      <c r="L11" s="421">
        <v>7.2577412616550786631927535100</v>
      </c>
      <c r="M11" s="420">
        <v>92.69305962854349951124144673</v>
      </c>
      <c r="N11" s="91">
        <v>88.01798707179214939262405146</v>
      </c>
      <c r="O11" s="421">
        <v>83.41955394137456360471941972</v>
      </c>
      <c r="P11" s="5"/>
      <c r="Q11" s="420">
        <v>3.5488721804714327412516292900</v>
      </c>
      <c r="R11" s="91">
        <v>4.5953360768079030852520077300</v>
      </c>
      <c r="S11" s="421">
        <v>8.040314740864946217732116230</v>
      </c>
      <c r="T11" s="420">
        <v>-17.647058823632498269896064720</v>
      </c>
      <c r="U11" s="91">
        <v>0.674698795196879361300626700</v>
      </c>
      <c r="V11" s="421">
        <v>-27.178333061400331956606832060</v>
      </c>
      <c r="W11" s="420">
        <v>0</v>
      </c>
      <c r="X11" s="91">
        <v>-14.851485144058043328852107640</v>
      </c>
      <c r="Y11" s="421">
        <v>-4.5562134814058476911426007700</v>
      </c>
      <c r="Z11" s="420">
        <v>1.1466666666699033600000001100</v>
      </c>
      <c r="AA11" s="91">
        <v>4.1495769131617914146191341800</v>
      </c>
      <c r="AB11" s="421">
        <v>-0.3766192840601837976214862500</v>
      </c>
    </row>
    <row r="12" ht="18" customHeight="1">
      <c r="A12" s="58"/>
      <c r="B12" s="286"/>
      <c r="C12" s="287" t="s">
        <v>223</v>
      </c>
      <c r="D12" s="271">
        <v>89.87373737373737373737373737</v>
      </c>
      <c r="E12" s="92">
        <v>71.919974185221039044853178440</v>
      </c>
      <c r="F12" s="272">
        <v>57.425813313551856448310429480</v>
      </c>
      <c r="G12" s="271">
        <v>3.3585858585858585858585858600</v>
      </c>
      <c r="H12" s="92">
        <v>12.262020006453694740238786710</v>
      </c>
      <c r="I12" s="272">
        <v>17.124579847692754315948025260</v>
      </c>
      <c r="J12" s="271">
        <v>0</v>
      </c>
      <c r="K12" s="92">
        <v>0.900290416263310745401742500</v>
      </c>
      <c r="L12" s="272">
        <v>6.6685333924277056199223362100</v>
      </c>
      <c r="M12" s="271">
        <v>93.23232323232323232323232323</v>
      </c>
      <c r="N12" s="92">
        <v>85.08228460793804453049370765</v>
      </c>
      <c r="O12" s="272">
        <v>81.21892655367231638418079096</v>
      </c>
      <c r="P12" s="5"/>
      <c r="Q12" s="271">
        <v>10.631022691913255746471995710</v>
      </c>
      <c r="R12" s="92">
        <v>5.8762054058930064500548948700</v>
      </c>
      <c r="S12" s="272">
        <v>1.2088202916541212397395819900</v>
      </c>
      <c r="T12" s="271">
        <v>-42.918454935249940135199913750</v>
      </c>
      <c r="U12" s="92">
        <v>30.899069927054566830685882270</v>
      </c>
      <c r="V12" s="272">
        <v>16.186775368291881947025497730</v>
      </c>
      <c r="W12" s="271">
        <v>0</v>
      </c>
      <c r="X12" s="92">
        <v>55.000000005735000000212195420</v>
      </c>
      <c r="Y12" s="272">
        <v>-6.1521721900022863388955747900</v>
      </c>
      <c r="Z12" s="271">
        <v>7.0144927536380773787019554400</v>
      </c>
      <c r="AA12" s="92">
        <v>9.252506836773615337005906830</v>
      </c>
      <c r="AB12" s="272">
        <v>3.3524087732935703145183485700</v>
      </c>
    </row>
    <row r="13" ht="18" customHeight="1">
      <c r="A13" s="58"/>
      <c r="B13" s="288"/>
      <c r="C13" s="289" t="s">
        <v>224</v>
      </c>
      <c r="D13" s="420">
        <v>76.368523949169110459433040080</v>
      </c>
      <c r="E13" s="91">
        <v>73.131811510476844767823127130</v>
      </c>
      <c r="F13" s="421">
        <v>56.907764012635783364015300110</v>
      </c>
      <c r="G13" s="420">
        <v>8.455522971652003910068426200</v>
      </c>
      <c r="H13" s="91">
        <v>8.465790213284201979826999340</v>
      </c>
      <c r="I13" s="421">
        <v>11.274233804237897984934253430</v>
      </c>
      <c r="J13" s="420">
        <v>0</v>
      </c>
      <c r="K13" s="91">
        <v>0.8056709240233582112856384500</v>
      </c>
      <c r="L13" s="421">
        <v>6.2780896626233115433413157900</v>
      </c>
      <c r="M13" s="420">
        <v>84.82404692082111436950146628</v>
      </c>
      <c r="N13" s="91">
        <v>82.40327264778440495893576492</v>
      </c>
      <c r="O13" s="421">
        <v>74.460087479496992892290869330</v>
      </c>
      <c r="P13" s="5"/>
      <c r="Q13" s="420">
        <v>13.430127041721206451889161070</v>
      </c>
      <c r="R13" s="91">
        <v>15.947123477503558112884288550</v>
      </c>
      <c r="S13" s="421">
        <v>6.2603362847648540526146519600</v>
      </c>
      <c r="T13" s="420">
        <v>-14.987714987374938574937214720</v>
      </c>
      <c r="U13" s="91">
        <v>36.781029263155844884485424570</v>
      </c>
      <c r="V13" s="421">
        <v>-1.0949130196411902526706021900</v>
      </c>
      <c r="W13" s="420">
        <v>0</v>
      </c>
      <c r="X13" s="91">
        <v>15.178571422209869260555444560</v>
      </c>
      <c r="Y13" s="421">
        <v>-5.9933978377732320149240206100</v>
      </c>
      <c r="Z13" s="420">
        <v>9.772296015219008817948445420</v>
      </c>
      <c r="AA13" s="91">
        <v>17.782538832375622595704900070</v>
      </c>
      <c r="AB13" s="421">
        <v>3.9474519625319122228600343300</v>
      </c>
    </row>
    <row r="14" ht="18" customHeight="1">
      <c r="A14" s="58"/>
      <c r="B14" s="286"/>
      <c r="C14" s="287" t="s">
        <v>225</v>
      </c>
      <c r="D14" s="271">
        <v>66.035353535353535353535353540</v>
      </c>
      <c r="E14" s="92">
        <v>67.357212003872216844143272020</v>
      </c>
      <c r="F14" s="272">
        <v>54.300561649538564472084263030</v>
      </c>
      <c r="G14" s="271">
        <v>12.297979797979797979797979800</v>
      </c>
      <c r="H14" s="92">
        <v>7.7734753146176185866408518900</v>
      </c>
      <c r="I14" s="272">
        <v>9.826178451834883466691657290</v>
      </c>
      <c r="J14" s="271">
        <v>0</v>
      </c>
      <c r="K14" s="92">
        <v>0.6905453372055501774766053600</v>
      </c>
      <c r="L14" s="272">
        <v>7.3551760407368689288225006800</v>
      </c>
      <c r="M14" s="271">
        <v>78.333333333333333333333333330</v>
      </c>
      <c r="N14" s="92">
        <v>75.821232655695385608260729270</v>
      </c>
      <c r="O14" s="272">
        <v>71.48191614211031686759842100</v>
      </c>
      <c r="P14" s="5"/>
      <c r="Q14" s="271">
        <v>-14.149704530540864115085432340</v>
      </c>
      <c r="R14" s="92">
        <v>8.877529730908554610488257240</v>
      </c>
      <c r="S14" s="272">
        <v>2.3420635696987688201731583200</v>
      </c>
      <c r="T14" s="271">
        <v>36.414565825596874043739086860</v>
      </c>
      <c r="U14" s="92">
        <v>5.3344993435915697343751100100</v>
      </c>
      <c r="V14" s="272">
        <v>-5.1327954253673811413687770600</v>
      </c>
      <c r="W14" s="271">
        <v>0</v>
      </c>
      <c r="X14" s="92">
        <v>7.0000000039590000001464835300</v>
      </c>
      <c r="Y14" s="272">
        <v>2.0054461569778240082634640400</v>
      </c>
      <c r="Z14" s="271">
        <v>-8.845136644091452728483055340</v>
      </c>
      <c r="AA14" s="92">
        <v>8.486079689761111834972409620</v>
      </c>
      <c r="AB14" s="272">
        <v>1.2114582299157134367591894200</v>
      </c>
    </row>
    <row r="15" ht="18" customHeight="1">
      <c r="A15" s="58"/>
      <c r="B15" s="288"/>
      <c r="C15" s="289" t="s">
        <v>228</v>
      </c>
      <c r="D15" s="420">
        <v>69.941348973607038123167155430</v>
      </c>
      <c r="E15" s="91">
        <v>68.700621428348374605752115670</v>
      </c>
      <c r="F15" s="421">
        <v>57.517020635118786405548718110</v>
      </c>
      <c r="G15" s="420">
        <v>3.7634408602150537634408602200</v>
      </c>
      <c r="H15" s="91">
        <v>2.7167973019392311775911063900</v>
      </c>
      <c r="I15" s="421">
        <v>7.5088123268168132338754042200</v>
      </c>
      <c r="J15" s="420">
        <v>0</v>
      </c>
      <c r="K15" s="91">
        <v>0.4122037285700902476345126900</v>
      </c>
      <c r="L15" s="421">
        <v>7.33274704438484700547211700</v>
      </c>
      <c r="M15" s="420">
        <v>73.704789833822091886608015640</v>
      </c>
      <c r="N15" s="91">
        <v>71.829622458857696030977734750</v>
      </c>
      <c r="O15" s="421">
        <v>72.358580006320446644896239330</v>
      </c>
      <c r="P15" s="5"/>
      <c r="Q15" s="420">
        <v>-14.796070259023412548621221670</v>
      </c>
      <c r="R15" s="91">
        <v>7.7058650739287586432870968700</v>
      </c>
      <c r="S15" s="421">
        <v>6.3032593193142721886726178700</v>
      </c>
      <c r="T15" s="420">
        <v>1084.6153847218177514888525503</v>
      </c>
      <c r="U15" s="91">
        <v>-11.675126904175698420465092940</v>
      </c>
      <c r="V15" s="421">
        <v>-4.6315558288052488702395050600</v>
      </c>
      <c r="W15" s="420">
        <v>0</v>
      </c>
      <c r="X15" s="91">
        <v>-48.638132295471029084466387390</v>
      </c>
      <c r="Y15" s="421">
        <v>0.0921513490834852099367232200</v>
      </c>
      <c r="Z15" s="420">
        <v>-10.557532621577147368109993510</v>
      </c>
      <c r="AA15" s="91">
        <v>6.1565442126390606588479178600</v>
      </c>
      <c r="AB15" s="421">
        <v>4.404469427068488479029897900</v>
      </c>
    </row>
    <row r="16" ht="18" customHeight="1">
      <c r="A16" s="58"/>
      <c r="B16" s="286"/>
      <c r="C16" s="287" t="s">
        <v>229</v>
      </c>
      <c r="D16" s="271">
        <v>71.554252199413489736070381230</v>
      </c>
      <c r="E16" s="92">
        <v>62.748649408237829060362864190</v>
      </c>
      <c r="F16" s="272">
        <v>56.910852283495038170764681610</v>
      </c>
      <c r="G16" s="271">
        <v>2.4926686217008797653958944300</v>
      </c>
      <c r="H16" s="92">
        <v>2.5856415701214751897073978100</v>
      </c>
      <c r="I16" s="272">
        <v>5.0997671708750298990999176600</v>
      </c>
      <c r="J16" s="271">
        <v>0</v>
      </c>
      <c r="K16" s="92">
        <v>0.4965181275957905255597539300</v>
      </c>
      <c r="L16" s="272">
        <v>7.3970569082317121525954676600</v>
      </c>
      <c r="M16" s="271">
        <v>74.046920821114369501466275660</v>
      </c>
      <c r="N16" s="92">
        <v>65.830809105955094775630015930</v>
      </c>
      <c r="O16" s="272">
        <v>69.407676362601780222460066930</v>
      </c>
      <c r="P16" s="5"/>
      <c r="Q16" s="271">
        <v>0.0341646737969489440641785400</v>
      </c>
      <c r="R16" s="92">
        <v>8.136906683885049360318176460</v>
      </c>
      <c r="S16" s="272">
        <v>12.355549270047313829271963860</v>
      </c>
      <c r="T16" s="271">
        <v>85.45454545528727272727569468</v>
      </c>
      <c r="U16" s="92">
        <v>48.920863311542404637473328720</v>
      </c>
      <c r="V16" s="272">
        <v>-24.245571373208436164627251020</v>
      </c>
      <c r="W16" s="271">
        <v>0</v>
      </c>
      <c r="X16" s="92">
        <v>-18.461538461977096646940440640</v>
      </c>
      <c r="Y16" s="272">
        <v>5.2073270823160333152459116400</v>
      </c>
      <c r="Z16" s="271">
        <v>1.6096579476235562266962317700</v>
      </c>
      <c r="AA16" s="92">
        <v>9.041535198920432658135539510</v>
      </c>
      <c r="AB16" s="272">
        <v>7.7501823547250967589817252400</v>
      </c>
    </row>
    <row r="17" ht="18" customHeight="1">
      <c r="A17" s="58"/>
      <c r="B17" s="288"/>
      <c r="C17" s="289" t="s">
        <v>230</v>
      </c>
      <c r="D17" s="420">
        <v>52.954545454545454545454545450</v>
      </c>
      <c r="E17" s="91">
        <v>48.16069699903194578896418200</v>
      </c>
      <c r="F17" s="421">
        <v>49.810937715218563804919135170</v>
      </c>
      <c r="G17" s="420">
        <v>13.333333333333333333333333330</v>
      </c>
      <c r="H17" s="91">
        <v>11.377863827040980961600516300</v>
      </c>
      <c r="I17" s="421">
        <v>9.836162998559471399212129780</v>
      </c>
      <c r="J17" s="420">
        <v>0</v>
      </c>
      <c r="K17" s="91">
        <v>0.5582445950306550500161342400</v>
      </c>
      <c r="L17" s="421">
        <v>6.2854176935420019679324994400</v>
      </c>
      <c r="M17" s="420">
        <v>66.287878787878787878787878790</v>
      </c>
      <c r="N17" s="91">
        <v>60.096805421103581800580832530</v>
      </c>
      <c r="O17" s="421">
        <v>65.932518407320037172063764390</v>
      </c>
      <c r="P17" s="5"/>
      <c r="Q17" s="420">
        <v>-19.470046082978997218033924800</v>
      </c>
      <c r="R17" s="91">
        <v>-1.8479547546310882219058885800</v>
      </c>
      <c r="S17" s="421">
        <v>1.9328008869010757742880668800</v>
      </c>
      <c r="T17" s="420">
        <v>633.33333332600000000007333315</v>
      </c>
      <c r="U17" s="91">
        <v>27.939042090691100667553884200</v>
      </c>
      <c r="V17" s="421">
        <v>10.060568694612608101399463380</v>
      </c>
      <c r="W17" s="420">
        <v>0</v>
      </c>
      <c r="X17" s="91">
        <v>1.7647058861182352942569635200</v>
      </c>
      <c r="Y17" s="421">
        <v>1.1703416063774668142047646600</v>
      </c>
      <c r="Z17" s="420">
        <v>-1.9058295964741398379214960500</v>
      </c>
      <c r="AA17" s="91">
        <v>2.7134348113916870809738080500</v>
      </c>
      <c r="AB17" s="421">
        <v>2.9934901101312709049890308600</v>
      </c>
    </row>
    <row r="18" ht="18" customHeight="1">
      <c r="A18" s="58"/>
      <c r="B18" s="286"/>
      <c r="C18" s="287" t="s">
        <v>231</v>
      </c>
      <c r="D18" s="271">
        <v>66.666666666666666666666666670</v>
      </c>
      <c r="E18" s="92">
        <v>56.156512506635855478874558910</v>
      </c>
      <c r="F18" s="272">
        <v>50.741477743294983433085963500</v>
      </c>
      <c r="G18" s="271">
        <v>10.874877810361681329423264910</v>
      </c>
      <c r="H18" s="92">
        <v>15.654373419105018268119788900</v>
      </c>
      <c r="I18" s="272">
        <v>13.492836290090188312728319910</v>
      </c>
      <c r="J18" s="271">
        <v>0</v>
      </c>
      <c r="K18" s="92">
        <v>0.493395372076320144895856100</v>
      </c>
      <c r="L18" s="272">
        <v>6.1855319746534023411987844500</v>
      </c>
      <c r="M18" s="271">
        <v>77.541544477028347996089931570</v>
      </c>
      <c r="N18" s="92">
        <v>72.304281297817193891890203920</v>
      </c>
      <c r="O18" s="272">
        <v>70.419846008038574087013067870</v>
      </c>
      <c r="P18" s="5"/>
      <c r="Q18" s="271">
        <v>-6.0282466413787692990811216300</v>
      </c>
      <c r="R18" s="92">
        <v>-6.103801169595776384720939500</v>
      </c>
      <c r="S18" s="272">
        <v>-1.2723212269697392438258313200</v>
      </c>
      <c r="T18" s="271">
        <v>60.649819493501466199227939610</v>
      </c>
      <c r="U18" s="92">
        <v>150.77538769470224441886067026</v>
      </c>
      <c r="V18" s="272">
        <v>10.454907517096702241850643850</v>
      </c>
      <c r="W18" s="271">
        <v>0</v>
      </c>
      <c r="X18" s="92">
        <v>-20.603015078621388348646487330</v>
      </c>
      <c r="Y18" s="272">
        <v>3.9258169076680605607119332200</v>
      </c>
      <c r="Z18" s="271">
        <v>-0.2201257861962799335469217300</v>
      </c>
      <c r="AA18" s="92">
        <v>8.449648711931800954538226190</v>
      </c>
      <c r="AB18" s="272">
        <v>1.2318119963395251662304040900</v>
      </c>
    </row>
    <row r="19" ht="18" customHeight="1">
      <c r="A19" s="58"/>
      <c r="B19" s="288"/>
      <c r="C19" s="289" t="s">
        <v>232</v>
      </c>
      <c r="D19" s="420">
        <v>79.82323232323232323232323232</v>
      </c>
      <c r="E19" s="91">
        <v>68.141335914811229428848015490</v>
      </c>
      <c r="F19" s="421">
        <v>53.414211371886301388352372010</v>
      </c>
      <c r="G19" s="420">
        <v>8.964646464646464646464646460</v>
      </c>
      <c r="H19" s="91">
        <v>10.187157147466924814456276220</v>
      </c>
      <c r="I19" s="421">
        <v>15.000948585822587098820533990</v>
      </c>
      <c r="J19" s="420">
        <v>0</v>
      </c>
      <c r="K19" s="91">
        <v>0.771216521458535011293965800</v>
      </c>
      <c r="L19" s="421">
        <v>7.9045594282743024553845712600</v>
      </c>
      <c r="M19" s="420">
        <v>88.78787878787878787878787879</v>
      </c>
      <c r="N19" s="91">
        <v>79.099709583736689254598257500</v>
      </c>
      <c r="O19" s="421">
        <v>76.319719385983190942557477250</v>
      </c>
      <c r="P19" s="5"/>
      <c r="Q19" s="420">
        <v>28.652828652734401672130678900</v>
      </c>
      <c r="R19" s="91">
        <v>7.927016252608097415856050180</v>
      </c>
      <c r="S19" s="421">
        <v>-2.0462810914314868782475892700</v>
      </c>
      <c r="T19" s="420">
        <v>-27.104722792727548709991412690</v>
      </c>
      <c r="U19" s="91">
        <v>-25.029684160682201250459235850</v>
      </c>
      <c r="V19" s="421">
        <v>1.0063241019129277689133222300</v>
      </c>
      <c r="W19" s="420">
        <v>0</v>
      </c>
      <c r="X19" s="91">
        <v>-3.2388663943949909029236664100</v>
      </c>
      <c r="Y19" s="421">
        <v>14.802116575132262011577369600</v>
      </c>
      <c r="Z19" s="420">
        <v>19.429347826142127687854467830</v>
      </c>
      <c r="AA19" s="91">
        <v>2.0354645355281165044995361200</v>
      </c>
      <c r="AB19" s="421">
        <v>0.0692275515145893175078840900</v>
      </c>
    </row>
    <row r="20" ht="18" customHeight="1">
      <c r="A20" s="58"/>
      <c r="B20" s="286"/>
      <c r="C20" s="287" t="s">
        <v>234</v>
      </c>
      <c r="D20" s="271">
        <v>79.76539589442815249266862170</v>
      </c>
      <c r="E20" s="92">
        <v>72.841395247166099366080629550</v>
      </c>
      <c r="F20" s="272">
        <v>60.416799423492137763907934740</v>
      </c>
      <c r="G20" s="271">
        <v>8.064516129032258064516129030</v>
      </c>
      <c r="H20" s="92">
        <v>7.0699184960809418230646722700</v>
      </c>
      <c r="I20" s="272">
        <v>9.768677154362675703761089930</v>
      </c>
      <c r="J20" s="271">
        <v>0</v>
      </c>
      <c r="K20" s="92">
        <v>1.8143209568122911657246354200</v>
      </c>
      <c r="L20" s="272">
        <v>8.008256499111391584258510950</v>
      </c>
      <c r="M20" s="271">
        <v>87.82991202346041055718475073</v>
      </c>
      <c r="N20" s="92">
        <v>81.72563470005933235486993723</v>
      </c>
      <c r="O20" s="272">
        <v>78.193733076966205051927535610</v>
      </c>
      <c r="P20" s="5"/>
      <c r="Q20" s="271">
        <v>12.396694214850488354620591830</v>
      </c>
      <c r="R20" s="92">
        <v>6.936230688133400569002596100</v>
      </c>
      <c r="S20" s="272">
        <v>-0.0888611008874127510844908500</v>
      </c>
      <c r="T20" s="271">
        <v>-38.775510204301541024572304690</v>
      </c>
      <c r="U20" s="92">
        <v>-27.551999999666368266238463550</v>
      </c>
      <c r="V20" s="272">
        <v>3.3781402035548275257710356400</v>
      </c>
      <c r="W20" s="271">
        <v>0</v>
      </c>
      <c r="X20" s="92">
        <v>167.74193549377741935520524864</v>
      </c>
      <c r="Y20" s="272">
        <v>5.9754770702217705857774407100</v>
      </c>
      <c r="Z20" s="271">
        <v>4.3857101365542146448923279400</v>
      </c>
      <c r="AA20" s="92">
        <v>4.038958457533210191584595200</v>
      </c>
      <c r="AB20" s="272">
        <v>0.9254789436642737176349896600</v>
      </c>
    </row>
    <row r="21" ht="18" customHeight="1">
      <c r="A21" s="58"/>
      <c r="B21" s="288">
        <v>2025</v>
      </c>
      <c r="C21" s="289" t="s">
        <v>218</v>
      </c>
      <c r="D21" s="420">
        <v>73.484848484848484848484848480</v>
      </c>
      <c r="E21" s="91">
        <v>75.626893170533678918277488060</v>
      </c>
      <c r="F21" s="421">
        <v>54.004250071683738699332037130</v>
      </c>
      <c r="G21" s="420">
        <v>17.155425219941348973607038120</v>
      </c>
      <c r="H21" s="91">
        <v>10.907785029510039658995097270</v>
      </c>
      <c r="I21" s="421">
        <v>20.045242630262313056609823870</v>
      </c>
      <c r="J21" s="420">
        <v>0</v>
      </c>
      <c r="K21" s="91">
        <v>0.5683415045436092808294038700</v>
      </c>
      <c r="L21" s="421">
        <v>8.549935804777986263680740280</v>
      </c>
      <c r="M21" s="420">
        <v>90.64027370478983382209188661</v>
      </c>
      <c r="N21" s="91">
        <v>87.10301970458732785810198920</v>
      </c>
      <c r="O21" s="421">
        <v>82.59942850672403801962260129</v>
      </c>
      <c r="P21" s="5"/>
      <c r="Q21" s="420">
        <v>-2.4967574579038605176964244700</v>
      </c>
      <c r="R21" s="91">
        <v>10.751360497486591681821861690</v>
      </c>
      <c r="S21" s="421">
        <v>-1.5344002002943526868085027300</v>
      </c>
      <c r="T21" s="420">
        <v>23.157894737093606648199959550</v>
      </c>
      <c r="U21" s="91">
        <v>-16.734207389887968894236481650</v>
      </c>
      <c r="V21" s="421">
        <v>9.941218628883693077249546440</v>
      </c>
      <c r="W21" s="420">
        <v>0</v>
      </c>
      <c r="X21" s="91">
        <v>-9.000000000863134999991812520</v>
      </c>
      <c r="Y21" s="421">
        <v>11.918947479111148205157858170</v>
      </c>
      <c r="Z21" s="420">
        <v>1.5051997810441824556484006300</v>
      </c>
      <c r="AA21" s="91">
        <v>6.2104942502878312709683047800</v>
      </c>
      <c r="AB21" s="421">
        <v>2.3309993250788545535782062200</v>
      </c>
    </row>
    <row r="22" ht="18" customHeight="1">
      <c r="A22" s="58"/>
      <c r="B22" s="286"/>
      <c r="C22" s="287" t="s">
        <v>220</v>
      </c>
      <c r="D22" s="271">
        <v>75.568181818181818181818181820</v>
      </c>
      <c r="E22" s="92">
        <v>76.846217673904024339648734610</v>
      </c>
      <c r="F22" s="272">
        <v>58.228838902675082467992749630</v>
      </c>
      <c r="G22" s="271">
        <v>17.126623376623376623376623380</v>
      </c>
      <c r="H22" s="92">
        <v>14.354861015073987000414880380</v>
      </c>
      <c r="I22" s="272">
        <v>21.345421531263776250522634960</v>
      </c>
      <c r="J22" s="271">
        <v>0</v>
      </c>
      <c r="K22" s="92">
        <v>0.8055593970405199834047849500</v>
      </c>
      <c r="L22" s="272">
        <v>8.528993920739923599342868210</v>
      </c>
      <c r="M22" s="271">
        <v>92.69480519480519480519480519</v>
      </c>
      <c r="N22" s="92">
        <v>92.00663808601853132346839994</v>
      </c>
      <c r="O22" s="272">
        <v>88.10325435467878231785825280</v>
      </c>
      <c r="P22" s="5"/>
      <c r="Q22" s="271">
        <v>4.9999999999955789473684212400</v>
      </c>
      <c r="R22" s="92">
        <v>12.236465450569939923828120980</v>
      </c>
      <c r="S22" s="272">
        <v>-0.8066947301079673349344996300</v>
      </c>
      <c r="T22" s="271">
        <v>-18.253473459335918908641984810</v>
      </c>
      <c r="U22" s="92">
        <v>-22.194939130174803468088068550</v>
      </c>
      <c r="V22" s="272">
        <v>6.7977488548205378968698906900</v>
      </c>
      <c r="W22" s="271">
        <v>0</v>
      </c>
      <c r="X22" s="92">
        <v>13.296445341242444809760394920</v>
      </c>
      <c r="Y22" s="272">
        <v>13.191706814339790341211523030</v>
      </c>
      <c r="Z22" s="271">
        <v>-0.2429816458873724573168059900</v>
      </c>
      <c r="AA22" s="92">
        <v>4.9957280538446226461657900300</v>
      </c>
      <c r="AB22" s="272">
        <v>2.1793154532629479927739194200</v>
      </c>
    </row>
    <row r="23" ht="18" customHeight="1">
      <c r="A23" s="58"/>
      <c r="B23" s="288"/>
      <c r="C23" s="289" t="s">
        <v>221</v>
      </c>
      <c r="D23" s="420">
        <v>75.439882697947214076246334310</v>
      </c>
      <c r="E23" s="91">
        <v>79.87696343253286700184242576</v>
      </c>
      <c r="F23" s="421">
        <v>61.763832049951858055571804450</v>
      </c>
      <c r="G23" s="420">
        <v>15.884652981427174975562072340</v>
      </c>
      <c r="H23" s="91">
        <v>8.281547637635449520657027760</v>
      </c>
      <c r="I23" s="421">
        <v>14.859857467376298123364180800</v>
      </c>
      <c r="J23" s="420">
        <v>0</v>
      </c>
      <c r="K23" s="91">
        <v>0.0062455110389407613277956500</v>
      </c>
      <c r="L23" s="421">
        <v>8.480389776088899524956837640</v>
      </c>
      <c r="M23" s="420">
        <v>91.32453567937438905180840665</v>
      </c>
      <c r="N23" s="91">
        <v>88.16475658120725728382724916</v>
      </c>
      <c r="O23" s="421">
        <v>85.10407929341705570389282289</v>
      </c>
      <c r="P23" s="5"/>
      <c r="Q23" s="420">
        <v>-10.339819924445503447751080590</v>
      </c>
      <c r="R23" s="91">
        <v>-1.3346190935760816004180751500</v>
      </c>
      <c r="S23" s="421">
        <v>-2.8403267641572337569846914600</v>
      </c>
      <c r="T23" s="420">
        <v>85.71428571443640816326542844</v>
      </c>
      <c r="U23" s="91">
        <v>26.950694111502046164449140100</v>
      </c>
      <c r="V23" s="421">
        <v>18.006539968802043241717164220</v>
      </c>
      <c r="W23" s="420">
        <v>0</v>
      </c>
      <c r="X23" s="91">
        <v>-98.83720930221970659815152747</v>
      </c>
      <c r="Y23" s="421">
        <v>16.846129812328351288555796050</v>
      </c>
      <c r="Z23" s="420">
        <v>-1.4764039018783622459650259600</v>
      </c>
      <c r="AA23" s="91">
        <v>0.1667494500726666001519377400</v>
      </c>
      <c r="AB23" s="421">
        <v>2.0193411165928669412644461200</v>
      </c>
    </row>
    <row r="24" ht="18" customHeight="1">
      <c r="A24" s="59"/>
      <c r="B24" s="286"/>
      <c r="C24" s="287" t="s">
        <v>223</v>
      </c>
      <c r="D24" s="271">
        <v>82.39898989898989898989898990</v>
      </c>
      <c r="E24" s="92">
        <v>78.870603420458212326556953860</v>
      </c>
      <c r="F24" s="272">
        <v>58.770690183082636463238854440</v>
      </c>
      <c r="G24" s="271">
        <v>10.631313131313131313131313130</v>
      </c>
      <c r="H24" s="92">
        <v>9.725717973539851565020974510</v>
      </c>
      <c r="I24" s="272">
        <v>17.804223140585607261106235140</v>
      </c>
      <c r="J24" s="271">
        <v>0</v>
      </c>
      <c r="K24" s="92">
        <v>0</v>
      </c>
      <c r="L24" s="272">
        <v>7.0910272772376097486694663100</v>
      </c>
      <c r="M24" s="271">
        <v>93.03030303030303030303030303</v>
      </c>
      <c r="N24" s="92">
        <v>88.59632139399806389157792836</v>
      </c>
      <c r="O24" s="272">
        <v>83.66594060090585347301455589</v>
      </c>
      <c r="P24" s="93"/>
      <c r="Q24" s="271">
        <v>-8.316942961467914884962903210</v>
      </c>
      <c r="R24" s="92">
        <v>9.664393395581255018168484830</v>
      </c>
      <c r="S24" s="272">
        <v>2.3419378705849916327424405500</v>
      </c>
      <c r="T24" s="271">
        <v>216.54135338212584091809029717</v>
      </c>
      <c r="U24" s="92">
        <v>-20.684210526615310941827123740</v>
      </c>
      <c r="V24" s="272">
        <v>3.9688173311702596879955049700</v>
      </c>
      <c r="W24" s="271">
        <v>0</v>
      </c>
      <c r="X24" s="92">
        <v>-100</v>
      </c>
      <c r="Y24" s="272">
        <v>6.3356342388435506796978202400</v>
      </c>
      <c r="Z24" s="271">
        <v>-0.2166847237021124999853212200</v>
      </c>
      <c r="AA24" s="92">
        <v>4.1301627034257858162958770400</v>
      </c>
      <c r="AB24" s="272">
        <v>3.0128618427232557222634154900</v>
      </c>
    </row>
    <row r="25" ht="18" customHeight="1">
      <c r="A25" s="60"/>
      <c r="B25" s="288"/>
      <c r="C25" s="289" t="s">
        <v>224</v>
      </c>
      <c r="D25" s="420">
        <v>71.309872922776148582600195500</v>
      </c>
      <c r="E25" s="91">
        <v>70.543047184835899197451831500</v>
      </c>
      <c r="F25" s="421">
        <v>52.600356608435218534738849750</v>
      </c>
      <c r="G25" s="420">
        <v>9.921798631476050830889540570</v>
      </c>
      <c r="H25" s="91">
        <v>11.994503950285732130031539830</v>
      </c>
      <c r="I25" s="421">
        <v>12.000712913835857655518488150</v>
      </c>
      <c r="J25" s="420">
        <v>0</v>
      </c>
      <c r="K25" s="91">
        <v>0</v>
      </c>
      <c r="L25" s="421">
        <v>6.9799994286327302413340087800</v>
      </c>
      <c r="M25" s="420">
        <v>81.23167155425219941348973607</v>
      </c>
      <c r="N25" s="91">
        <v>82.53755113512163132748337133</v>
      </c>
      <c r="O25" s="421">
        <v>71.581068950903806431591346680</v>
      </c>
      <c r="P25" s="93"/>
      <c r="Q25" s="420">
        <v>-6.6240000000377687244799847300</v>
      </c>
      <c r="R25" s="91">
        <v>-3.5398607968194735869247868600</v>
      </c>
      <c r="S25" s="421">
        <v>-7.5691032302922224430471916300</v>
      </c>
      <c r="T25" s="420">
        <v>17.341040461761682648939595570</v>
      </c>
      <c r="U25" s="91">
        <v>41.682036148758107922952206830</v>
      </c>
      <c r="V25" s="421">
        <v>6.4437115838880489510088933400</v>
      </c>
      <c r="W25" s="420">
        <v>0</v>
      </c>
      <c r="X25" s="91">
        <v>-100</v>
      </c>
      <c r="Y25" s="421">
        <v>11.180308083431261973483761440</v>
      </c>
      <c r="Z25" s="420">
        <v>-4.2350907519208467641629673300</v>
      </c>
      <c r="AA25" s="91">
        <v>0.1629528573404496821824481500</v>
      </c>
      <c r="AB25" s="421">
        <v>-3.8665258476748786619166992600</v>
      </c>
    </row>
    <row r="26" ht="18" customHeight="1">
      <c r="A26" s="60"/>
      <c r="B26" s="290"/>
      <c r="C26" s="291" t="s">
        <v>225</v>
      </c>
      <c r="D26" s="273">
        <v>79.39393939393939393939393939</v>
      </c>
      <c r="E26" s="274">
        <v>67.812197483059051306873184900</v>
      </c>
      <c r="F26" s="275">
        <v>53.717718045148384175866652260</v>
      </c>
      <c r="G26" s="273">
        <v>1.5909090909090909090909090900</v>
      </c>
      <c r="H26" s="274">
        <v>12.713778638270409809616005160</v>
      </c>
      <c r="I26" s="275">
        <v>12.723158539299489125469626160</v>
      </c>
      <c r="J26" s="273">
        <v>0</v>
      </c>
      <c r="K26" s="274">
        <v>0</v>
      </c>
      <c r="L26" s="275">
        <v>7.2128863913306734114664897500</v>
      </c>
      <c r="M26" s="273">
        <v>80.98484848484848484848484848</v>
      </c>
      <c r="N26" s="274">
        <v>80.52597612132946111648919006</v>
      </c>
      <c r="O26" s="275">
        <v>73.653762975778546712802768170</v>
      </c>
      <c r="P26" s="184"/>
      <c r="Q26" s="273">
        <v>20.229445506607563219987702510</v>
      </c>
      <c r="R26" s="274">
        <v>0.675481460148183582668780500</v>
      </c>
      <c r="S26" s="275">
        <v>-1.0733657012864113766303553500</v>
      </c>
      <c r="T26" s="273">
        <v>-87.06365503082207202459002535</v>
      </c>
      <c r="U26" s="274">
        <v>63.553341635904110105990882670</v>
      </c>
      <c r="V26" s="275">
        <v>29.482266190360183556844958950</v>
      </c>
      <c r="W26" s="273">
        <v>0</v>
      </c>
      <c r="X26" s="274">
        <v>-100</v>
      </c>
      <c r="Y26" s="275">
        <v>-1.9345512409487445775243339800</v>
      </c>
      <c r="Z26" s="273">
        <v>3.384912959425038067410200200</v>
      </c>
      <c r="AA26" s="274">
        <v>6.2050474528598598451777848400</v>
      </c>
      <c r="AB26" s="275">
        <v>3.0383164734435755807656964200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27">
        <v>76.954629164573915955131424740</v>
      </c>
      <c r="E29" s="428">
        <v>68.644670620891786514630454660</v>
      </c>
      <c r="F29" s="429">
        <v>55.304871450255595990409446440</v>
      </c>
      <c r="G29" s="427">
        <v>11.355265360790222668675707350</v>
      </c>
      <c r="H29" s="428">
        <v>9.706749102811635904649334400</v>
      </c>
      <c r="I29" s="429">
        <v>14.885433916944989085657071660</v>
      </c>
      <c r="J29" s="427">
        <v>0</v>
      </c>
      <c r="K29" s="428">
        <v>0.4310782840303145373930995400</v>
      </c>
      <c r="L29" s="429">
        <v>7.6030306137809571810804282400</v>
      </c>
      <c r="M29" s="427">
        <v>88.30989452536413862380713209</v>
      </c>
      <c r="N29" s="428">
        <v>78.782498007733736956672888600</v>
      </c>
      <c r="O29" s="429">
        <v>77.793335980981542257146946330</v>
      </c>
      <c r="P29" s="5"/>
      <c r="Q29" s="427">
        <v>-0.0815173088159985327209211500</v>
      </c>
      <c r="R29" s="428">
        <v>3.7555981067271934261766008800</v>
      </c>
      <c r="S29" s="429">
        <v>0.8896034603139336992497165300</v>
      </c>
      <c r="T29" s="427">
        <v>-14.118391896301799498380491690</v>
      </c>
      <c r="U29" s="428">
        <v>-21.263754801131610083856482390</v>
      </c>
      <c r="V29" s="429">
        <v>0.3552532553097608603028847400</v>
      </c>
      <c r="W29" s="427">
        <v>0</v>
      </c>
      <c r="X29" s="428">
        <v>213.57577190632949388001870053</v>
      </c>
      <c r="Y29" s="429">
        <v>6.2277274206227575123163887400</v>
      </c>
      <c r="Z29" s="427">
        <v>-2.1382189239336090833364885900</v>
      </c>
      <c r="AA29" s="428">
        <v>0.199520439160219824548303900</v>
      </c>
      <c r="AB29" s="429">
        <v>1.2838454659559404215489108400</v>
      </c>
    </row>
    <row r="30" ht="18" customHeight="1">
      <c r="A30" s="58"/>
      <c r="B30" s="286">
        <v>2024</v>
      </c>
      <c r="C30" s="287"/>
      <c r="D30" s="271">
        <v>77.343489843489843489843489840</v>
      </c>
      <c r="E30" s="92">
        <v>71.762620345146640108464858560</v>
      </c>
      <c r="F30" s="272">
        <v>57.633304865255452389045040260</v>
      </c>
      <c r="G30" s="271">
        <v>11.188811188811188811188811190</v>
      </c>
      <c r="H30" s="92">
        <v>10.985764678912702031844170010</v>
      </c>
      <c r="I30" s="272">
        <v>14.74462393624089042465846800</v>
      </c>
      <c r="J30" s="271">
        <v>0</v>
      </c>
      <c r="K30" s="92">
        <v>0.7106133893202724617992972200</v>
      </c>
      <c r="L30" s="272">
        <v>7.1127636903446697751237008100</v>
      </c>
      <c r="M30" s="271">
        <v>88.53230103230103230103230103</v>
      </c>
      <c r="N30" s="92">
        <v>83.45899841337961460210832580</v>
      </c>
      <c r="O30" s="272">
        <v>79.49069249184101258882720907</v>
      </c>
      <c r="P30" s="5"/>
      <c r="Q30" s="271">
        <v>0.5053116142735228737822531600</v>
      </c>
      <c r="R30" s="92">
        <v>4.5421584750052380427458323500</v>
      </c>
      <c r="S30" s="272">
        <v>4.2101777906633609138839254600</v>
      </c>
      <c r="T30" s="271">
        <v>-1.4658765488954119555690023500</v>
      </c>
      <c r="U30" s="92">
        <v>13.176559552196093791923388480</v>
      </c>
      <c r="V30" s="272">
        <v>-0.9459581860038533502666709900</v>
      </c>
      <c r="W30" s="271">
        <v>0</v>
      </c>
      <c r="X30" s="92">
        <v>64.845554901641127855862305510</v>
      </c>
      <c r="Y30" s="272">
        <v>-6.4483092119274589481503580300</v>
      </c>
      <c r="Z30" s="271">
        <v>0.2518477777561640790797630900</v>
      </c>
      <c r="AA30" s="92">
        <v>5.935963600979681305399697200</v>
      </c>
      <c r="AB30" s="272">
        <v>2.1818790638513941746359533500</v>
      </c>
    </row>
    <row r="31" ht="18" customHeight="1">
      <c r="A31" s="58"/>
      <c r="B31" s="425">
        <v>2025</v>
      </c>
      <c r="C31" s="426"/>
      <c r="D31" s="430">
        <v>76.226351916959651766281600540</v>
      </c>
      <c r="E31" s="431">
        <v>74.915094692816609884849684180</v>
      </c>
      <c r="F31" s="432">
        <v>56.505331092863228178053619770</v>
      </c>
      <c r="G31" s="430">
        <v>12.033316591327641051397957480</v>
      </c>
      <c r="H31" s="431">
        <v>11.280773159761035015750937300</v>
      </c>
      <c r="I31" s="432">
        <v>16.421892976867615248433303900</v>
      </c>
      <c r="J31" s="430">
        <v>0</v>
      </c>
      <c r="K31" s="431">
        <v>0.2230268541447160820011445500</v>
      </c>
      <c r="L31" s="432">
        <v>7.8069909129318450663765550700</v>
      </c>
      <c r="M31" s="430">
        <v>88.25966850828729281767955801</v>
      </c>
      <c r="N31" s="431">
        <v>86.41889470672236098260176603</v>
      </c>
      <c r="O31" s="432">
        <v>80.73421498266268849286347875</v>
      </c>
      <c r="P31" s="184"/>
      <c r="Q31" s="430">
        <v>-1.4443852078575857955408027600</v>
      </c>
      <c r="R31" s="431">
        <v>4.3929197854769568128486755600</v>
      </c>
      <c r="S31" s="432">
        <v>-1.9571561531532178490262959500</v>
      </c>
      <c r="T31" s="430">
        <v>7.5477670350983396639043433200</v>
      </c>
      <c r="U31" s="431">
        <v>2.6853704724592197522656995200</v>
      </c>
      <c r="V31" s="432">
        <v>11.375461645716837393755487810</v>
      </c>
      <c r="W31" s="430">
        <v>0</v>
      </c>
      <c r="X31" s="431">
        <v>-68.614881523072354246007372550</v>
      </c>
      <c r="Y31" s="432">
        <v>9.760302083121281934887270580</v>
      </c>
      <c r="Z31" s="430">
        <v>-0.307946953635871630961060700</v>
      </c>
      <c r="AA31" s="431">
        <v>3.5465274561060707667006372200</v>
      </c>
      <c r="AB31" s="432">
        <v>1.5643623824147288793860822400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27">
        <v>75.074925074925074925074925070</v>
      </c>
      <c r="E34" s="428">
        <v>64.275608225269406295543759240</v>
      </c>
      <c r="F34" s="429">
        <v>54.441114599132223427644989050</v>
      </c>
      <c r="G34" s="427">
        <v>8.300033300033300033300033300</v>
      </c>
      <c r="H34" s="428">
        <v>7.6295437379658096018212184700</v>
      </c>
      <c r="I34" s="429">
        <v>12.156815363812612906144180300</v>
      </c>
      <c r="J34" s="427">
        <v>0</v>
      </c>
      <c r="K34" s="428">
        <v>0.642532685127070412646404900</v>
      </c>
      <c r="L34" s="429">
        <v>6.9946881812428145803191438700</v>
      </c>
      <c r="M34" s="427">
        <v>83.37495837495837495837495837</v>
      </c>
      <c r="N34" s="428">
        <v>72.547684648362286310011382620</v>
      </c>
      <c r="O34" s="429">
        <v>73.592618144187650914108313210</v>
      </c>
      <c r="P34" s="5"/>
      <c r="Q34" s="427">
        <v>3.7744533947386111200128283500</v>
      </c>
      <c r="R34" s="428">
        <v>2.1681591754693555906659503500</v>
      </c>
      <c r="S34" s="429">
        <v>2.1491764081135582793675229200</v>
      </c>
      <c r="T34" s="427">
        <v>-40.936018957286907582938329560</v>
      </c>
      <c r="U34" s="428">
        <v>-47.639810579628609664883156070</v>
      </c>
      <c r="V34" s="429">
        <v>-23.433217047221561063561028780</v>
      </c>
      <c r="W34" s="427">
        <v>0</v>
      </c>
      <c r="X34" s="428">
        <v>343.62123043366843506847405199</v>
      </c>
      <c r="Y34" s="429">
        <v>0.3808843738963112613873539600</v>
      </c>
      <c r="Z34" s="427">
        <v>-3.4977837733260832829694528500</v>
      </c>
      <c r="AA34" s="428">
        <v>-6.5440652861858470139068896100</v>
      </c>
      <c r="AB34" s="429">
        <v>-3.3472355094690354325570850900</v>
      </c>
    </row>
    <row r="35" ht="18" customHeight="1">
      <c r="A35" s="58"/>
      <c r="B35" s="286">
        <v>2024</v>
      </c>
      <c r="C35" s="287"/>
      <c r="D35" s="271">
        <v>77.414252414252414252414252410</v>
      </c>
      <c r="E35" s="92">
        <v>70.828590576896482027169345660</v>
      </c>
      <c r="F35" s="272">
        <v>56.223531639836843907112148900</v>
      </c>
      <c r="G35" s="271">
        <v>8.041958041958041958041958040</v>
      </c>
      <c r="H35" s="92">
        <v>9.489058859823622650340946570</v>
      </c>
      <c r="I35" s="272">
        <v>12.732338322124333302902661280</v>
      </c>
      <c r="J35" s="271">
        <v>0</v>
      </c>
      <c r="K35" s="92">
        <v>0.7989106730636256289692882100</v>
      </c>
      <c r="L35" s="272">
        <v>6.7604993599995476187543110900</v>
      </c>
      <c r="M35" s="271">
        <v>85.45621045621045621045621046</v>
      </c>
      <c r="N35" s="92">
        <v>81.11656010978373030647958044</v>
      </c>
      <c r="O35" s="272">
        <v>75.716369321960724828769121270</v>
      </c>
      <c r="P35" s="5"/>
      <c r="Q35" s="271">
        <v>3.1159902417731853362839011700</v>
      </c>
      <c r="R35" s="92">
        <v>10.195130831943047917651216460</v>
      </c>
      <c r="S35" s="272">
        <v>3.2740274585897441457590153700</v>
      </c>
      <c r="T35" s="271">
        <v>-3.1093279835631266920102833800</v>
      </c>
      <c r="U35" s="92">
        <v>24.372559954824688500146672470</v>
      </c>
      <c r="V35" s="272">
        <v>4.7341589149910002756922950400</v>
      </c>
      <c r="W35" s="271">
        <v>0</v>
      </c>
      <c r="X35" s="92">
        <v>24.337748349609309076576999490</v>
      </c>
      <c r="Y35" s="272">
        <v>-3.3480952278887039466429004200</v>
      </c>
      <c r="Z35" s="271">
        <v>2.4962556165239659233067778500</v>
      </c>
      <c r="AA35" s="92">
        <v>11.811370001554849382094591810</v>
      </c>
      <c r="AB35" s="272">
        <v>2.8858209305712850803667946500</v>
      </c>
    </row>
    <row r="36" ht="18" customHeight="1">
      <c r="A36" s="58"/>
      <c r="B36" s="425">
        <v>2025</v>
      </c>
      <c r="C36" s="426"/>
      <c r="D36" s="430">
        <v>77.630702630702630702630702630</v>
      </c>
      <c r="E36" s="431">
        <v>72.388115272916821803559460870</v>
      </c>
      <c r="F36" s="432">
        <v>55.018148020879624024611330280</v>
      </c>
      <c r="G36" s="430">
        <v>7.4092574092574092574092574100</v>
      </c>
      <c r="H36" s="431">
        <v>11.483676052891928980989968410</v>
      </c>
      <c r="I36" s="432">
        <v>14.169572016725877466803559590</v>
      </c>
      <c r="J36" s="430">
        <v>0</v>
      </c>
      <c r="K36" s="431">
        <v>0</v>
      </c>
      <c r="L36" s="432">
        <v>7.0916460824364678349635704900</v>
      </c>
      <c r="M36" s="430">
        <v>85.03996003996003996003996004</v>
      </c>
      <c r="N36" s="431">
        <v>83.87179132580875078454942927</v>
      </c>
      <c r="O36" s="432">
        <v>76.279366120041969326378460360</v>
      </c>
      <c r="P36" s="184"/>
      <c r="Q36" s="430">
        <v>0.2795999569229811599791620900</v>
      </c>
      <c r="R36" s="431">
        <v>2.2018293507105933907621874100</v>
      </c>
      <c r="S36" s="432">
        <v>-2.1439130267425225041273390300</v>
      </c>
      <c r="T36" s="430">
        <v>-7.867494824497254478348378700</v>
      </c>
      <c r="U36" s="431">
        <v>21.020179372498584540711401800</v>
      </c>
      <c r="V36" s="432">
        <v>11.288057686396981127259450540</v>
      </c>
      <c r="W36" s="430">
        <v>0</v>
      </c>
      <c r="X36" s="431">
        <v>-100</v>
      </c>
      <c r="Y36" s="432">
        <v>4.8982583209129663309896458600</v>
      </c>
      <c r="Z36" s="430">
        <v>-0.487092060387239336349522300</v>
      </c>
      <c r="AA36" s="431">
        <v>3.3966322194620292176839367800</v>
      </c>
      <c r="AB36" s="432">
        <v>0.7435602143675239314698692200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7.2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 customHeight="1">
      <c r="A39" s="58"/>
      <c r="B39" s="284">
        <v>2023</v>
      </c>
      <c r="C39" s="285"/>
      <c r="D39" s="427">
        <v>75.483603154836031548360315480</v>
      </c>
      <c r="E39" s="428">
        <v>66.179496971432814605013312970</v>
      </c>
      <c r="F39" s="429">
        <v>54.118171435514188580365572620</v>
      </c>
      <c r="G39" s="427">
        <v>8.588625985886259858862598590</v>
      </c>
      <c r="H39" s="428">
        <v>8.978826549554996870657374110</v>
      </c>
      <c r="I39" s="429">
        <v>13.027785712848889053257325440</v>
      </c>
      <c r="J39" s="427">
        <v>0</v>
      </c>
      <c r="K39" s="428">
        <v>0.2283359322789039875250612600</v>
      </c>
      <c r="L39" s="429">
        <v>7.5278799750058775174259210500</v>
      </c>
      <c r="M39" s="427">
        <v>84.07222914072229140722291407</v>
      </c>
      <c r="N39" s="428">
        <v>75.386659453266715463195748340</v>
      </c>
      <c r="O39" s="429">
        <v>74.673837123368955151048819110</v>
      </c>
      <c r="P39" s="5"/>
      <c r="Q39" s="427">
        <v>0.2729603793623626909528954200</v>
      </c>
      <c r="R39" s="428">
        <v>3.7200438966385016497806319800</v>
      </c>
      <c r="S39" s="429">
        <v>0.264755851736719522704499800</v>
      </c>
      <c r="T39" s="427">
        <v>4.4158465802897383690921991600</v>
      </c>
      <c r="U39" s="428">
        <v>0.1777252652782489947101761700</v>
      </c>
      <c r="V39" s="429">
        <v>16.384429443492471048999923200</v>
      </c>
      <c r="W39" s="427">
        <v>0</v>
      </c>
      <c r="X39" s="428">
        <v>76.566527393351469111419029150</v>
      </c>
      <c r="Y39" s="429">
        <v>19.395393036866150885340299880</v>
      </c>
      <c r="Z39" s="427">
        <v>0.6810499105615325573791893500</v>
      </c>
      <c r="AA39" s="428">
        <v>3.4137406556110628934282830600</v>
      </c>
      <c r="AB39" s="429">
        <v>4.4768921184877751719840347700</v>
      </c>
    </row>
    <row r="40" ht="18" customHeight="1">
      <c r="A40" s="58"/>
      <c r="B40" s="286">
        <v>2024</v>
      </c>
      <c r="C40" s="287"/>
      <c r="D40" s="271">
        <v>73.967130319589335982778605730</v>
      </c>
      <c r="E40" s="92">
        <v>66.019102265759001554191144290</v>
      </c>
      <c r="F40" s="272">
        <v>55.545170150653774667716072210</v>
      </c>
      <c r="G40" s="271">
        <v>8.55067064083457526080476900</v>
      </c>
      <c r="H40" s="92">
        <v>9.063218924293770337758092540</v>
      </c>
      <c r="I40" s="272">
        <v>12.396635429788244591997500310</v>
      </c>
      <c r="J40" s="271">
        <v>0</v>
      </c>
      <c r="K40" s="92">
        <v>0.693194492013895696800116700</v>
      </c>
      <c r="L40" s="272">
        <v>6.9758717434108077360162474200</v>
      </c>
      <c r="M40" s="271">
        <v>82.51780096042391124358337473</v>
      </c>
      <c r="N40" s="92">
        <v>75.775515682066667588749353530</v>
      </c>
      <c r="O40" s="272">
        <v>74.917677323852826995729819940</v>
      </c>
      <c r="P40" s="5"/>
      <c r="Q40" s="271">
        <v>-2.009009601861105058194431500</v>
      </c>
      <c r="R40" s="92">
        <v>-0.24236313810350402528211700</v>
      </c>
      <c r="S40" s="272">
        <v>2.6368199022661427219094685500</v>
      </c>
      <c r="T40" s="271">
        <v>-0.4419256948403186047187981300</v>
      </c>
      <c r="U40" s="92">
        <v>0.9399042762166950965653671100</v>
      </c>
      <c r="V40" s="272">
        <v>-4.8446474092035497607582332300</v>
      </c>
      <c r="W40" s="271">
        <v>0</v>
      </c>
      <c r="X40" s="92">
        <v>203.58537310857389605872237919</v>
      </c>
      <c r="Y40" s="272">
        <v>-7.3328511270424747172427198500</v>
      </c>
      <c r="Z40" s="271">
        <v>-1.848919906327996190291486900</v>
      </c>
      <c r="AA40" s="92">
        <v>0.5158157047767231586645422900</v>
      </c>
      <c r="AB40" s="272">
        <v>0.3265403384184961837723641400</v>
      </c>
    </row>
    <row r="41" ht="18" customHeight="1">
      <c r="A41" s="58"/>
      <c r="B41" s="425">
        <v>2025</v>
      </c>
      <c r="C41" s="426"/>
      <c r="D41" s="430">
        <v>73.167289331672893316728933170</v>
      </c>
      <c r="E41" s="431">
        <v>68.828919624978450848042010900</v>
      </c>
      <c r="F41" s="432">
        <v>55.694611645036624253109228290</v>
      </c>
      <c r="G41" s="430">
        <v>9.939809049398090493980904940</v>
      </c>
      <c r="H41" s="431">
        <v>9.746847193305838825604370830</v>
      </c>
      <c r="I41" s="432">
        <v>13.242737153270157476454713200</v>
      </c>
      <c r="J41" s="430">
        <v>0</v>
      </c>
      <c r="K41" s="431">
        <v>0.493044596798790595287034700</v>
      </c>
      <c r="L41" s="432">
        <v>7.5011841350690872484100918700</v>
      </c>
      <c r="M41" s="430">
        <v>83.10709838107098381070983811</v>
      </c>
      <c r="N41" s="431">
        <v>79.068811415083080268933416440</v>
      </c>
      <c r="O41" s="432">
        <v>76.438532933375868977974033370</v>
      </c>
      <c r="P41" s="184"/>
      <c r="Q41" s="430">
        <v>-1.0813465176641613819765712900</v>
      </c>
      <c r="R41" s="431">
        <v>4.2560672028920118040306630100</v>
      </c>
      <c r="S41" s="432">
        <v>0.2690449843454857761720438100</v>
      </c>
      <c r="T41" s="430">
        <v>16.245958556393686864423016120</v>
      </c>
      <c r="U41" s="431">
        <v>7.542885973689960572371372500</v>
      </c>
      <c r="V41" s="432">
        <v>6.8252529346489621040990081300</v>
      </c>
      <c r="W41" s="430">
        <v>0</v>
      </c>
      <c r="X41" s="431">
        <v>-28.873555331309442186532160150</v>
      </c>
      <c r="Y41" s="432">
        <v>7.5304192937046889056496965800</v>
      </c>
      <c r="Z41" s="430">
        <v>0.7141458131607088665892572900</v>
      </c>
      <c r="AA41" s="431">
        <v>4.3461211756042670645481073800</v>
      </c>
      <c r="AB41" s="432">
        <v>2.0300357189406490598010280900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2">
    <mergeCell ref="B43:AB43"/>
    <mergeCell ref="Q38:AB38"/>
    <mergeCell ref="Q7:S7"/>
    <mergeCell ref="T7:V7"/>
    <mergeCell ref="Q33:AB33"/>
    <mergeCell ref="B33:O33"/>
    <mergeCell ref="B38:O38"/>
    <mergeCell ref="J7:L7"/>
    <mergeCell ref="G7:I7"/>
    <mergeCell ref="D7:F7"/>
    <mergeCell ref="B8:C8"/>
    <mergeCell ref="M7:O7"/>
    <mergeCell ref="Q28:AB28"/>
    <mergeCell ref="W7:Y7"/>
    <mergeCell ref="Z7:AB7"/>
    <mergeCell ref="B28:O28"/>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39"/>
</worksheet>
</file>

<file path=xl/worksheets/sheet10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pageSetUpPr fitToPage="1"/>
  </sheetPr>
  <dimension ref="A1:AD82"/>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181</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90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218</v>
      </c>
      <c r="D9" s="434">
        <v>285.75064850843060959792477302</v>
      </c>
      <c r="E9" s="435">
        <v>290.71187675265499321271477946</v>
      </c>
      <c r="F9" s="436">
        <v>267.71484504574015863883063735</v>
      </c>
      <c r="G9" s="434">
        <v>297.3754385964912280701754386</v>
      </c>
      <c r="H9" s="435">
        <v>297.90725223447074873260728055</v>
      </c>
      <c r="I9" s="436">
        <v>291.41092035898453089422040881</v>
      </c>
      <c r="J9" s="434">
        <v>0</v>
      </c>
      <c r="K9" s="435">
        <v>168.56998963044236242139187942</v>
      </c>
      <c r="L9" s="436">
        <v>153.53997964488606655577160413</v>
      </c>
      <c r="M9" s="434">
        <v>287.56403940886699507389162562</v>
      </c>
      <c r="N9" s="435">
        <v>290.93106122915238748000913867</v>
      </c>
      <c r="O9" s="436">
        <v>262.26147907794812700090541647</v>
      </c>
      <c r="P9" s="5"/>
      <c r="Q9" s="415">
        <v>2.2021565037568591095660146900</v>
      </c>
      <c r="R9" s="416">
        <v>1.8305487782818872998665767100</v>
      </c>
      <c r="S9" s="417">
        <v>-2.8276472805591484421829202900</v>
      </c>
      <c r="T9" s="415">
        <v>3.1561947455799254277663107600</v>
      </c>
      <c r="U9" s="416">
        <v>0.1139410727888294782475018200</v>
      </c>
      <c r="V9" s="417">
        <v>5.6370798574782375684821111900</v>
      </c>
      <c r="W9" s="415">
        <v>0</v>
      </c>
      <c r="X9" s="416">
        <v>0</v>
      </c>
      <c r="Y9" s="417">
        <v>20.656819660872482427879865430</v>
      </c>
      <c r="Z9" s="415">
        <v>2.2539092647899099129884983200</v>
      </c>
      <c r="AA9" s="416">
        <v>1.2563433706687696834658433200</v>
      </c>
      <c r="AB9" s="417">
        <v>1.0599541073309790584166684500</v>
      </c>
    </row>
    <row r="10" ht="18" customHeight="1">
      <c r="A10" s="58"/>
      <c r="B10" s="286"/>
      <c r="C10" s="287" t="s">
        <v>220</v>
      </c>
      <c r="D10" s="276">
        <v>358.93212341197822141560798548</v>
      </c>
      <c r="E10" s="94">
        <v>345.63333408261494569660543107</v>
      </c>
      <c r="F10" s="277">
        <v>324.34444269852251566802770501</v>
      </c>
      <c r="G10" s="276">
        <v>324.11346633416458852867830424</v>
      </c>
      <c r="H10" s="94">
        <v>378.4932319631062743004407956</v>
      </c>
      <c r="I10" s="277">
        <v>329.19233177180982192683617109</v>
      </c>
      <c r="J10" s="276">
        <v>0</v>
      </c>
      <c r="K10" s="94">
        <v>165.84038296430267961685317184</v>
      </c>
      <c r="L10" s="277">
        <v>160.87778740450076326784335912</v>
      </c>
      <c r="M10" s="276">
        <v>351.08152937868990722518976666</v>
      </c>
      <c r="N10" s="94">
        <v>351.09296445849681916879356977</v>
      </c>
      <c r="O10" s="277">
        <v>311.18307987266351468455483865</v>
      </c>
      <c r="P10" s="5"/>
      <c r="Q10" s="271">
        <v>2.7181658109170109422969713700</v>
      </c>
      <c r="R10" s="92">
        <v>-0.9989816520739269746677734900</v>
      </c>
      <c r="S10" s="272">
        <v>-1.0671961577412479308094745200</v>
      </c>
      <c r="T10" s="271">
        <v>-2.8550239892621267524306489800</v>
      </c>
      <c r="U10" s="92">
        <v>4.6462849639130222153901147100</v>
      </c>
      <c r="V10" s="272">
        <v>2.3228844589985705982150957900</v>
      </c>
      <c r="W10" s="271">
        <v>0</v>
      </c>
      <c r="X10" s="92">
        <v>0</v>
      </c>
      <c r="Y10" s="272">
        <v>19.396912757170684199324905920</v>
      </c>
      <c r="Z10" s="271">
        <v>1.2162344522410634697652324300</v>
      </c>
      <c r="AA10" s="92">
        <v>-0.125911455332120287384815800</v>
      </c>
      <c r="AB10" s="272">
        <v>1.4481062129723104466315736300</v>
      </c>
    </row>
    <row r="11" ht="18" customHeight="1">
      <c r="A11" s="58"/>
      <c r="B11" s="288"/>
      <c r="C11" s="289" t="s">
        <v>221</v>
      </c>
      <c r="D11" s="439">
        <v>312.10688353180365959918675574</v>
      </c>
      <c r="E11" s="95">
        <v>306.2521805022579502465246957</v>
      </c>
      <c r="F11" s="440">
        <v>301.30324551980017978871705231</v>
      </c>
      <c r="G11" s="439">
        <v>313.3</v>
      </c>
      <c r="H11" s="95">
        <v>322.6854864915313732494366855</v>
      </c>
      <c r="I11" s="440">
        <v>297.68140819851961572521347367</v>
      </c>
      <c r="J11" s="439">
        <v>0</v>
      </c>
      <c r="K11" s="95">
        <v>167.87790231484651826031411762</v>
      </c>
      <c r="L11" s="440">
        <v>161.47189325780921510401502164</v>
      </c>
      <c r="M11" s="439">
        <v>312.21697864487213287635117321</v>
      </c>
      <c r="N11" s="95">
        <v>306.62572766621727098559568581</v>
      </c>
      <c r="O11" s="440">
        <v>288.59078956573267436740505418</v>
      </c>
      <c r="P11" s="5"/>
      <c r="Q11" s="420">
        <v>-2.010080068198589874516326600</v>
      </c>
      <c r="R11" s="91">
        <v>-6.0487803393756309545837230300</v>
      </c>
      <c r="S11" s="421">
        <v>-4.2449179097025842429017328200</v>
      </c>
      <c r="T11" s="420">
        <v>10.410205807724837891175641390</v>
      </c>
      <c r="U11" s="91">
        <v>-3.3607982116064203256954551200</v>
      </c>
      <c r="V11" s="421">
        <v>1.5132913823061797560134962400</v>
      </c>
      <c r="W11" s="420">
        <v>0</v>
      </c>
      <c r="X11" s="91">
        <v>-3.5678237023973841950589456600</v>
      </c>
      <c r="Y11" s="421">
        <v>20.838284388200553008429188770</v>
      </c>
      <c r="Z11" s="420">
        <v>-0.7483064832101831910544914300</v>
      </c>
      <c r="AA11" s="91">
        <v>-5.7824374355353639202196454400</v>
      </c>
      <c r="AB11" s="421">
        <v>-1.7721720742611521912362134800</v>
      </c>
    </row>
    <row r="12" ht="18" customHeight="1">
      <c r="A12" s="58"/>
      <c r="B12" s="286"/>
      <c r="C12" s="287" t="s">
        <v>223</v>
      </c>
      <c r="D12" s="276">
        <v>257.79657207080640629390278168</v>
      </c>
      <c r="E12" s="94">
        <v>258.66207235988633425261890251</v>
      </c>
      <c r="F12" s="277">
        <v>248.10800066306657160549445387</v>
      </c>
      <c r="G12" s="276">
        <v>275.85714285714285714285714286</v>
      </c>
      <c r="H12" s="94">
        <v>276.93185501534764822577328234</v>
      </c>
      <c r="I12" s="277">
        <v>274.2161073121643958928901836</v>
      </c>
      <c r="J12" s="276">
        <v>0</v>
      </c>
      <c r="K12" s="94">
        <v>167.95699707717677032147465167</v>
      </c>
      <c r="L12" s="277">
        <v>157.44216229271919453722286945</v>
      </c>
      <c r="M12" s="276">
        <v>258.44718309859154929577464789</v>
      </c>
      <c r="N12" s="94">
        <v>260.33531763188834528008495466</v>
      </c>
      <c r="O12" s="277">
        <v>246.16857816113941881293149923</v>
      </c>
      <c r="P12" s="5"/>
      <c r="Q12" s="271">
        <v>-3.1029055926922857151135757200</v>
      </c>
      <c r="R12" s="92">
        <v>-3.1896508239601552215990149700</v>
      </c>
      <c r="S12" s="272">
        <v>-1.7380486348748885512976421800</v>
      </c>
      <c r="T12" s="271">
        <v>19.826089272386604369375135290</v>
      </c>
      <c r="U12" s="92">
        <v>-7.5584005442679960693879328300</v>
      </c>
      <c r="V12" s="272">
        <v>8.320702666150166325511025660</v>
      </c>
      <c r="W12" s="271">
        <v>0</v>
      </c>
      <c r="X12" s="92">
        <v>0.6735228698956675585291681500</v>
      </c>
      <c r="Y12" s="272">
        <v>21.227580733410592173687262310</v>
      </c>
      <c r="Z12" s="271">
        <v>-1.9665363402226929105900365600</v>
      </c>
      <c r="AA12" s="92">
        <v>-3.6979371982706977611119482500</v>
      </c>
      <c r="AB12" s="272">
        <v>1.9197628238996176653635393800</v>
      </c>
    </row>
    <row r="13" ht="18" customHeight="1">
      <c r="A13" s="58"/>
      <c r="B13" s="288"/>
      <c r="C13" s="289" t="s">
        <v>224</v>
      </c>
      <c r="D13" s="439">
        <v>205.17344</v>
      </c>
      <c r="E13" s="95">
        <v>221.32021379049156595019234115</v>
      </c>
      <c r="F13" s="440">
        <v>222.03780596935152348308713933</v>
      </c>
      <c r="G13" s="439">
        <v>392.64739884393063583815028902</v>
      </c>
      <c r="H13" s="95">
        <v>275.94614995286876007521399453</v>
      </c>
      <c r="I13" s="440">
        <v>255.67060481356754816042323367</v>
      </c>
      <c r="J13" s="439">
        <v>0</v>
      </c>
      <c r="K13" s="95">
        <v>166.31395627228995522690086732</v>
      </c>
      <c r="L13" s="440">
        <v>153.97154387799996723643864555</v>
      </c>
      <c r="M13" s="439">
        <v>223.86142322097378277153558052</v>
      </c>
      <c r="N13" s="95">
        <v>226.39446339245111414279217827</v>
      </c>
      <c r="O13" s="440">
        <v>221.39125745754933455713630106</v>
      </c>
      <c r="P13" s="5"/>
      <c r="Q13" s="420">
        <v>-13.046454389792187145753872520</v>
      </c>
      <c r="R13" s="91">
        <v>-11.312095286230012719739228980</v>
      </c>
      <c r="S13" s="421">
        <v>-3.6453417722987223438160622600</v>
      </c>
      <c r="T13" s="420">
        <v>-10.818228764798428887459509300</v>
      </c>
      <c r="U13" s="91">
        <v>-18.670034365641889164862191300</v>
      </c>
      <c r="V13" s="421">
        <v>-6.1076897908247550661516974400</v>
      </c>
      <c r="W13" s="420">
        <v>0</v>
      </c>
      <c r="X13" s="91">
        <v>16.096884253029747314205172110</v>
      </c>
      <c r="Y13" s="421">
        <v>10.670820011055465648179655810</v>
      </c>
      <c r="Z13" s="420">
        <v>-14.640373994918915216975929880</v>
      </c>
      <c r="AA13" s="91">
        <v>-11.711556150417320748299806930</v>
      </c>
      <c r="AB13" s="421">
        <v>-3.1478549181622566336311016400</v>
      </c>
    </row>
    <row r="14" ht="18" customHeight="1">
      <c r="A14" s="58"/>
      <c r="B14" s="286"/>
      <c r="C14" s="287" t="s">
        <v>225</v>
      </c>
      <c r="D14" s="276">
        <v>172.02562141491395793499043977</v>
      </c>
      <c r="E14" s="94">
        <v>183.13849927202945332752354979</v>
      </c>
      <c r="F14" s="277">
        <v>182.19164577433014214142384571</v>
      </c>
      <c r="G14" s="276">
        <v>166.59958932238193018480492813</v>
      </c>
      <c r="H14" s="94">
        <v>178.88298735395002566975747658</v>
      </c>
      <c r="I14" s="277">
        <v>198.04282374799250310055515472</v>
      </c>
      <c r="J14" s="276">
        <v>0</v>
      </c>
      <c r="K14" s="94">
        <v>166.92060588781111870480215316</v>
      </c>
      <c r="L14" s="277">
        <v>145.56705443118824644066414005</v>
      </c>
      <c r="M14" s="276">
        <v>171.17375886524822695035460993</v>
      </c>
      <c r="N14" s="94">
        <v>182.55450312805890113631527428</v>
      </c>
      <c r="O14" s="277">
        <v>180.60209950248756218905472637</v>
      </c>
      <c r="P14" s="5"/>
      <c r="Q14" s="271">
        <v>-8.117702262421714646494802410</v>
      </c>
      <c r="R14" s="92">
        <v>-7.4930912228860470421796698100</v>
      </c>
      <c r="S14" s="272">
        <v>-2.4230248755568821352820678700</v>
      </c>
      <c r="T14" s="271">
        <v>-2.1711076582459457887296809100</v>
      </c>
      <c r="U14" s="92">
        <v>-1.8901623338352730419925360300</v>
      </c>
      <c r="V14" s="272">
        <v>0.7640367860340592484585687500</v>
      </c>
      <c r="W14" s="271">
        <v>0</v>
      </c>
      <c r="X14" s="92">
        <v>-4.1760351422447814157898619500</v>
      </c>
      <c r="Y14" s="272">
        <v>10.803800687387346115400591420</v>
      </c>
      <c r="Z14" s="271">
        <v>-7.6972330895483458723735015600</v>
      </c>
      <c r="AA14" s="92">
        <v>-6.9081094469811955956403575100</v>
      </c>
      <c r="AB14" s="272">
        <v>-1.0435431884297427996602429200</v>
      </c>
    </row>
    <row r="15" ht="18" customHeight="1">
      <c r="A15" s="58"/>
      <c r="B15" s="288"/>
      <c r="C15" s="289" t="s">
        <v>228</v>
      </c>
      <c r="D15" s="439">
        <v>173.54926624737945492662473795</v>
      </c>
      <c r="E15" s="95">
        <v>175.58049691911592686080157605</v>
      </c>
      <c r="F15" s="440">
        <v>177.31123966375627512188117365</v>
      </c>
      <c r="G15" s="439">
        <v>288.65584415584415584415584416</v>
      </c>
      <c r="H15" s="95">
        <v>202.52878450940139731279468926</v>
      </c>
      <c r="I15" s="440">
        <v>180.51329203555637979295135734</v>
      </c>
      <c r="J15" s="439">
        <v>0</v>
      </c>
      <c r="K15" s="95">
        <v>165.00003982023025303207535552</v>
      </c>
      <c r="L15" s="440">
        <v>140.34894826266761922539036006</v>
      </c>
      <c r="M15" s="439">
        <v>179.42672413793103448275862069</v>
      </c>
      <c r="N15" s="95">
        <v>176.53903921398139292235457787</v>
      </c>
      <c r="O15" s="440">
        <v>173.8978017178628621342262338</v>
      </c>
      <c r="P15" s="5"/>
      <c r="Q15" s="420">
        <v>-6.4765906987051062593857972700</v>
      </c>
      <c r="R15" s="91">
        <v>-8.099310954787932454824272120</v>
      </c>
      <c r="S15" s="421">
        <v>-3.9166801729655927866827571700</v>
      </c>
      <c r="T15" s="420">
        <v>79.37504655953326485823840221</v>
      </c>
      <c r="U15" s="91">
        <v>-10.039982869781694064298672180</v>
      </c>
      <c r="V15" s="421">
        <v>2.6671317869448935643025101300</v>
      </c>
      <c r="W15" s="420">
        <v>0</v>
      </c>
      <c r="X15" s="91">
        <v>-1.5645519340505925395111013600</v>
      </c>
      <c r="Y15" s="421">
        <v>6.3233750210711675288530667800</v>
      </c>
      <c r="Z15" s="420">
        <v>-3.2597745184463937248828842200</v>
      </c>
      <c r="AA15" s="91">
        <v>-8.208340852159040342009341700</v>
      </c>
      <c r="AB15" s="421">
        <v>-2.302148495598473646750172400</v>
      </c>
    </row>
    <row r="16" ht="18" customHeight="1">
      <c r="A16" s="58"/>
      <c r="B16" s="286"/>
      <c r="C16" s="287" t="s">
        <v>229</v>
      </c>
      <c r="D16" s="276">
        <v>158.49419398907103825136612022</v>
      </c>
      <c r="E16" s="94">
        <v>155.39457327398649337015713643</v>
      </c>
      <c r="F16" s="277">
        <v>160.57175314712446254962744828</v>
      </c>
      <c r="G16" s="276">
        <v>164.46078431372549019607843137</v>
      </c>
      <c r="H16" s="94">
        <v>163.85258119798510707340911204</v>
      </c>
      <c r="I16" s="277">
        <v>167.62382366565122477357537507</v>
      </c>
      <c r="J16" s="276">
        <v>0</v>
      </c>
      <c r="K16" s="94">
        <v>171.27665031813668907723116943</v>
      </c>
      <c r="L16" s="277">
        <v>140.49470083603337312235724497</v>
      </c>
      <c r="M16" s="276">
        <v>158.6950495049504950495049505</v>
      </c>
      <c r="N16" s="94">
        <v>155.84656705089891371377069399</v>
      </c>
      <c r="O16" s="277">
        <v>158.95021520383365378046281024</v>
      </c>
      <c r="P16" s="5"/>
      <c r="Q16" s="271">
        <v>-6.1206120702392382886962618600</v>
      </c>
      <c r="R16" s="92">
        <v>-8.436998234448004930016007660</v>
      </c>
      <c r="S16" s="272">
        <v>-5.2808172588976656721518602600</v>
      </c>
      <c r="T16" s="271">
        <v>-10.865755446842172944801459040</v>
      </c>
      <c r="U16" s="92">
        <v>-2.5896461629190784658157627800</v>
      </c>
      <c r="V16" s="272">
        <v>0.8605604598416197631901342300</v>
      </c>
      <c r="W16" s="271">
        <v>0</v>
      </c>
      <c r="X16" s="92">
        <v>7.0479348570825731272713841900</v>
      </c>
      <c r="Y16" s="272">
        <v>6.4828688805229206262048378900</v>
      </c>
      <c r="Z16" s="271">
        <v>-6.1624018703361361635951644900</v>
      </c>
      <c r="AA16" s="92">
        <v>-8.094180666139139824587082700</v>
      </c>
      <c r="AB16" s="272">
        <v>-3.7095948434937817878632261400</v>
      </c>
    </row>
    <row r="17" ht="18" customHeight="1">
      <c r="A17" s="58"/>
      <c r="B17" s="288"/>
      <c r="C17" s="289" t="s">
        <v>230</v>
      </c>
      <c r="D17" s="439">
        <v>146.70195517405817835002384359</v>
      </c>
      <c r="E17" s="95">
        <v>155.12282229761649324921959667</v>
      </c>
      <c r="F17" s="440">
        <v>162.27504716918504460826371678</v>
      </c>
      <c r="G17" s="439">
        <v>214.81439393939393939393939394</v>
      </c>
      <c r="H17" s="95">
        <v>190.58792842927481236588525441</v>
      </c>
      <c r="I17" s="440">
        <v>178.64929872823191422091859147</v>
      </c>
      <c r="J17" s="439">
        <v>0</v>
      </c>
      <c r="K17" s="95">
        <v>170.72255240723034597275209613</v>
      </c>
      <c r="L17" s="440">
        <v>142.35863112659608301603506441</v>
      </c>
      <c r="M17" s="439">
        <v>160.40228571428571428571428571</v>
      </c>
      <c r="N17" s="95">
        <v>161.98218213058419243986254295</v>
      </c>
      <c r="O17" s="440">
        <v>162.81919161254648553120900329</v>
      </c>
      <c r="P17" s="5"/>
      <c r="Q17" s="420">
        <v>-9.508234903326450621869025650</v>
      </c>
      <c r="R17" s="91">
        <v>-5.6765162500487834214811247200</v>
      </c>
      <c r="S17" s="421">
        <v>-1.9120989634257658930319711800</v>
      </c>
      <c r="T17" s="420">
        <v>30.212463071547794542623178380</v>
      </c>
      <c r="U17" s="91">
        <v>7.9215125852910012371896798400</v>
      </c>
      <c r="V17" s="421">
        <v>-2.919363506712140855572666600</v>
      </c>
      <c r="W17" s="420">
        <v>0</v>
      </c>
      <c r="X17" s="91">
        <v>1.6668721494337276000157791200</v>
      </c>
      <c r="Y17" s="421">
        <v>5.3949883698909776569905621700</v>
      </c>
      <c r="Z17" s="420">
        <v>-1.1041850725666247487794883100</v>
      </c>
      <c r="AA17" s="91">
        <v>-2.6175421872479386935034218200</v>
      </c>
      <c r="AB17" s="421">
        <v>-1.3728932955123756165335647100</v>
      </c>
    </row>
    <row r="18" ht="18" customHeight="1">
      <c r="A18" s="58"/>
      <c r="B18" s="286"/>
      <c r="C18" s="287" t="s">
        <v>231</v>
      </c>
      <c r="D18" s="276">
        <v>192.05425219941348973607038123</v>
      </c>
      <c r="E18" s="94">
        <v>212.90087582073985055000708652</v>
      </c>
      <c r="F18" s="277">
        <v>212.4840086319755958943237612</v>
      </c>
      <c r="G18" s="276">
        <v>193.92808988764044943820224719</v>
      </c>
      <c r="H18" s="94">
        <v>230.42206942499212599856574933</v>
      </c>
      <c r="I18" s="277">
        <v>228.87511753635868506370899652</v>
      </c>
      <c r="J18" s="276">
        <v>0</v>
      </c>
      <c r="K18" s="94">
        <v>172.31010182373253119248393496</v>
      </c>
      <c r="L18" s="277">
        <v>149.86500877221089572613480255</v>
      </c>
      <c r="M18" s="276">
        <v>192.31705011030570438071225969</v>
      </c>
      <c r="N18" s="94">
        <v>216.41734819037747257493305691</v>
      </c>
      <c r="O18" s="277">
        <v>210.12431479262039019981531328</v>
      </c>
      <c r="P18" s="5"/>
      <c r="Q18" s="271">
        <v>3.2995496104086049608435914500</v>
      </c>
      <c r="R18" s="92">
        <v>16.267862125330186550765041490</v>
      </c>
      <c r="S18" s="272">
        <v>8.102936237930017297474335670</v>
      </c>
      <c r="T18" s="271">
        <v>9.823729681032513264534190400</v>
      </c>
      <c r="U18" s="92">
        <v>6.7780357163996255078627679500</v>
      </c>
      <c r="V18" s="272">
        <v>4.0985963167528715129728067500</v>
      </c>
      <c r="W18" s="271">
        <v>0</v>
      </c>
      <c r="X18" s="92">
        <v>2.372631296880886054095987900</v>
      </c>
      <c r="Y18" s="272">
        <v>4.6213648007282402312710329900</v>
      </c>
      <c r="Z18" s="271">
        <v>3.8954704505473957463029178900</v>
      </c>
      <c r="AA18" s="92">
        <v>16.331773086982474074370555520</v>
      </c>
      <c r="AB18" s="272">
        <v>7.1579045417705663183482047100</v>
      </c>
    </row>
    <row r="19" ht="18" customHeight="1">
      <c r="A19" s="58"/>
      <c r="B19" s="288"/>
      <c r="C19" s="289" t="s">
        <v>232</v>
      </c>
      <c r="D19" s="439">
        <v>196.78108193609617209743751977</v>
      </c>
      <c r="E19" s="95">
        <v>193.69947900989306294255286011</v>
      </c>
      <c r="F19" s="440">
        <v>211.02371135668948408563624364</v>
      </c>
      <c r="G19" s="439">
        <v>206.29295774647887323943661972</v>
      </c>
      <c r="H19" s="95">
        <v>217.53309563412931672532176835</v>
      </c>
      <c r="I19" s="440">
        <v>234.64252334542315495504815904</v>
      </c>
      <c r="J19" s="439">
        <v>0</v>
      </c>
      <c r="K19" s="95">
        <v>196.60668967004994535678004229</v>
      </c>
      <c r="L19" s="440">
        <v>149.05674122691597116329829132</v>
      </c>
      <c r="M19" s="439">
        <v>197.74146757679180887372013652</v>
      </c>
      <c r="N19" s="95">
        <v>196.79732713254191653408395546</v>
      </c>
      <c r="O19" s="440">
        <v>209.24806261518509248936315442</v>
      </c>
      <c r="P19" s="5"/>
      <c r="Q19" s="420">
        <v>-12.748811518278848120269728960</v>
      </c>
      <c r="R19" s="91">
        <v>-0.8471013808447930545635973300</v>
      </c>
      <c r="S19" s="421">
        <v>1.1189741162759763165136785300</v>
      </c>
      <c r="T19" s="420">
        <v>-15.517692508662997140338881950</v>
      </c>
      <c r="U19" s="91">
        <v>-19.491733073049380028982594500</v>
      </c>
      <c r="V19" s="421">
        <v>-0.1010207915238304939831479400</v>
      </c>
      <c r="W19" s="420">
        <v>0</v>
      </c>
      <c r="X19" s="91">
        <v>19.15557616855678431074545700</v>
      </c>
      <c r="Y19" s="421">
        <v>1.8979077936524803081768347200</v>
      </c>
      <c r="Z19" s="420">
        <v>-13.506194806365047538624903530</v>
      </c>
      <c r="AA19" s="91">
        <v>-5.4592461481077522928095363800</v>
      </c>
      <c r="AB19" s="421">
        <v>0.5253238980791246156061058300</v>
      </c>
    </row>
    <row r="20" ht="18" customHeight="1">
      <c r="A20" s="58"/>
      <c r="B20" s="286"/>
      <c r="C20" s="287" t="s">
        <v>234</v>
      </c>
      <c r="D20" s="276">
        <v>278.51041666666666666666666667</v>
      </c>
      <c r="E20" s="94">
        <v>280.94690233469982819915718492</v>
      </c>
      <c r="F20" s="277">
        <v>271.49333136209686563835734035</v>
      </c>
      <c r="G20" s="276">
        <v>281.3030303030303030303030303</v>
      </c>
      <c r="H20" s="94">
        <v>326.76808180999812044495831632</v>
      </c>
      <c r="I20" s="277">
        <v>276.96338200153330833431105186</v>
      </c>
      <c r="J20" s="276">
        <v>0</v>
      </c>
      <c r="K20" s="94">
        <v>224.66091036653367080735607021</v>
      </c>
      <c r="L20" s="277">
        <v>161.7413517175967524121346719</v>
      </c>
      <c r="M20" s="276">
        <v>278.76683361157484696716750139</v>
      </c>
      <c r="N20" s="94">
        <v>283.66124221466508731038172024</v>
      </c>
      <c r="O20" s="277">
        <v>260.93638756263391426113070032</v>
      </c>
      <c r="P20" s="5"/>
      <c r="Q20" s="271">
        <v>-13.665255141894568756466445350</v>
      </c>
      <c r="R20" s="92">
        <v>-8.980454536638818347398844050</v>
      </c>
      <c r="S20" s="272">
        <v>-0.1206343754200235523901048400</v>
      </c>
      <c r="T20" s="271">
        <v>-26.361178565639207807355034750</v>
      </c>
      <c r="U20" s="92">
        <v>-18.308433761329331593654854050</v>
      </c>
      <c r="V20" s="272">
        <v>-3.7579011125043132975606114200</v>
      </c>
      <c r="W20" s="271">
        <v>0</v>
      </c>
      <c r="X20" s="92">
        <v>26.676418070370218041568766180</v>
      </c>
      <c r="Y20" s="272">
        <v>7.4895015939443871566762887900</v>
      </c>
      <c r="Z20" s="271">
        <v>-16.007339721233494521939845730</v>
      </c>
      <c r="AA20" s="92">
        <v>-11.044620532183612222994690910</v>
      </c>
      <c r="AB20" s="272">
        <v>-0.3799271983661195603791773900</v>
      </c>
    </row>
    <row r="21" ht="18" customHeight="1">
      <c r="A21" s="58"/>
      <c r="B21" s="288">
        <v>2025</v>
      </c>
      <c r="C21" s="289" t="s">
        <v>218</v>
      </c>
      <c r="D21" s="441">
        <v>270.1549717326238776188892584</v>
      </c>
      <c r="E21" s="154">
        <v>276.54309850575522941138598106</v>
      </c>
      <c r="F21" s="442">
        <v>272.42048144999772386371898503</v>
      </c>
      <c r="G21" s="441">
        <v>325.3034188034188034188034188</v>
      </c>
      <c r="H21" s="154">
        <v>307.26051001355121785664578918</v>
      </c>
      <c r="I21" s="442">
        <v>290.42169249860988247731036058</v>
      </c>
      <c r="J21" s="441">
        <v>0</v>
      </c>
      <c r="K21" s="154">
        <v>166.81318082574423154829982618</v>
      </c>
      <c r="L21" s="442">
        <v>162.03963881869721821568139041</v>
      </c>
      <c r="M21" s="441">
        <v>280.59288217848476678349959558</v>
      </c>
      <c r="N21" s="154">
        <v>279.67381493564693650736743984</v>
      </c>
      <c r="O21" s="442">
        <v>265.3634050754380730430855825</v>
      </c>
      <c r="P21" s="5"/>
      <c r="Q21" s="420">
        <v>-5.457792259504764634440485400</v>
      </c>
      <c r="R21" s="91">
        <v>-4.8738216013780996669847305300</v>
      </c>
      <c r="S21" s="421">
        <v>1.7577046963885969108173273800</v>
      </c>
      <c r="T21" s="420">
        <v>9.391488530030706280849683300</v>
      </c>
      <c r="U21" s="91">
        <v>3.1396542745756080428569051100</v>
      </c>
      <c r="V21" s="421">
        <v>-0.3394614927853255339883353600</v>
      </c>
      <c r="W21" s="420">
        <v>0</v>
      </c>
      <c r="X21" s="91">
        <v>-1.0421836108002848414584509300</v>
      </c>
      <c r="Y21" s="421">
        <v>5.5357954283013634504703804300</v>
      </c>
      <c r="Z21" s="420">
        <v>-2.4242103584108571590060360400</v>
      </c>
      <c r="AA21" s="91">
        <v>-3.8693861858512351675854676600</v>
      </c>
      <c r="AB21" s="421">
        <v>1.1827608112500205838928470600</v>
      </c>
    </row>
    <row r="22" ht="18" customHeight="1">
      <c r="A22" s="58"/>
      <c r="B22" s="286"/>
      <c r="C22" s="287" t="s">
        <v>220</v>
      </c>
      <c r="D22" s="276">
        <v>343.84138918725384890798424633</v>
      </c>
      <c r="E22" s="94">
        <v>356.49242175869002743847434854</v>
      </c>
      <c r="F22" s="277">
        <v>333.99871671539043294630765415</v>
      </c>
      <c r="G22" s="276">
        <v>329.47077409162717219589257504</v>
      </c>
      <c r="H22" s="94">
        <v>368.58020503007793914666666072</v>
      </c>
      <c r="I22" s="277">
        <v>321.01258318345366162039524282</v>
      </c>
      <c r="J22" s="276">
        <v>0</v>
      </c>
      <c r="K22" s="94">
        <v>165.70815572838264715910163051</v>
      </c>
      <c r="L22" s="277">
        <v>169.13854674110360409812839706</v>
      </c>
      <c r="M22" s="276">
        <v>341.18622300058377116170461179</v>
      </c>
      <c r="N22" s="94">
        <v>356.70795393055764316849541562</v>
      </c>
      <c r="O22" s="277">
        <v>314.89288578879514884789336872</v>
      </c>
      <c r="P22" s="5"/>
      <c r="Q22" s="271">
        <v>-4.2043420581289855220131226100</v>
      </c>
      <c r="R22" s="92">
        <v>3.1417940937070917809890092200</v>
      </c>
      <c r="S22" s="272">
        <v>2.9765498482317857188404143800</v>
      </c>
      <c r="T22" s="271">
        <v>1.6529111912626126415534131500</v>
      </c>
      <c r="U22" s="92">
        <v>-2.6190764050408436489013390300</v>
      </c>
      <c r="V22" s="272">
        <v>-2.4847931737415549527693693600</v>
      </c>
      <c r="W22" s="271">
        <v>0</v>
      </c>
      <c r="X22" s="92">
        <v>-0.0797316272151982619421442500</v>
      </c>
      <c r="Y22" s="272">
        <v>5.1348041702197962417206306200</v>
      </c>
      <c r="Z22" s="271">
        <v>-2.8185209274972965284833102800</v>
      </c>
      <c r="AA22" s="92">
        <v>1.599288519129909224921061600</v>
      </c>
      <c r="AB22" s="272">
        <v>1.1921618352812662128694209900</v>
      </c>
    </row>
    <row r="23" ht="18" customHeight="1">
      <c r="A23" s="58"/>
      <c r="B23" s="288"/>
      <c r="C23" s="289" t="s">
        <v>221</v>
      </c>
      <c r="D23" s="439">
        <v>296.66472303206997084548104956</v>
      </c>
      <c r="E23" s="95">
        <v>301.09622377267198560723458144</v>
      </c>
      <c r="F23" s="440">
        <v>297.71505352255049374965739462</v>
      </c>
      <c r="G23" s="439">
        <v>298.55384615384615384615384615</v>
      </c>
      <c r="H23" s="95">
        <v>302.84013276984591010995086995</v>
      </c>
      <c r="I23" s="440">
        <v>299.43134597754755460434003774</v>
      </c>
      <c r="J23" s="439">
        <v>0</v>
      </c>
      <c r="K23" s="95">
        <v>165.00000659596327047846717809</v>
      </c>
      <c r="L23" s="440">
        <v>166.01523261428527067835458606</v>
      </c>
      <c r="M23" s="439">
        <v>296.99331014182499331014182499</v>
      </c>
      <c r="N23" s="95">
        <v>301.25039280274855665356143521</v>
      </c>
      <c r="O23" s="440">
        <v>284.89120344919660106491589049</v>
      </c>
      <c r="P23" s="5"/>
      <c r="Q23" s="420">
        <v>-4.9477154508694633263807720900</v>
      </c>
      <c r="R23" s="91">
        <v>-1.6835657206330625231877681700</v>
      </c>
      <c r="S23" s="421">
        <v>-1.1908905896646605864685259700</v>
      </c>
      <c r="T23" s="420">
        <v>-4.7067200274988337548184340400</v>
      </c>
      <c r="U23" s="91">
        <v>-6.1500608339807824176615072400</v>
      </c>
      <c r="V23" s="421">
        <v>0.5878559193997969145360401100</v>
      </c>
      <c r="W23" s="420">
        <v>0</v>
      </c>
      <c r="X23" s="91">
        <v>-1.7142790558820416123714453600</v>
      </c>
      <c r="Y23" s="421">
        <v>2.8137029081782948943757919700</v>
      </c>
      <c r="Z23" s="420">
        <v>-4.8759899506905570964352785100</v>
      </c>
      <c r="AA23" s="91">
        <v>-1.7530606137861855073220900800</v>
      </c>
      <c r="AB23" s="421">
        <v>-1.2819487836292012307065414200</v>
      </c>
    </row>
    <row r="24" ht="18" customHeight="1">
      <c r="A24" s="59"/>
      <c r="B24" s="286"/>
      <c r="C24" s="287" t="s">
        <v>223</v>
      </c>
      <c r="D24" s="276">
        <v>264.2133006435795280416794361</v>
      </c>
      <c r="E24" s="94">
        <v>264.48005907168676790861564541</v>
      </c>
      <c r="F24" s="277">
        <v>249.95848356562381357564283768</v>
      </c>
      <c r="G24" s="276">
        <v>284.80285035629453681710213777</v>
      </c>
      <c r="H24" s="94">
        <v>291.42765300923424644247392001</v>
      </c>
      <c r="I24" s="277">
        <v>288.09534927725273529461297388</v>
      </c>
      <c r="J24" s="276">
        <v>0</v>
      </c>
      <c r="K24" s="94">
        <v>0</v>
      </c>
      <c r="L24" s="277">
        <v>162.20222196891249096929835252</v>
      </c>
      <c r="M24" s="276">
        <v>266.56623235613463626492942454</v>
      </c>
      <c r="N24" s="94">
        <v>267.43824847027972027972027973</v>
      </c>
      <c r="O24" s="277">
        <v>250.6363606309429845404918446</v>
      </c>
      <c r="P24" s="93"/>
      <c r="Q24" s="271">
        <v>2.4890666781314954155256716700</v>
      </c>
      <c r="R24" s="92">
        <v>2.2492616171773631150663308500</v>
      </c>
      <c r="S24" s="272">
        <v>0.7458376584302658771953119800</v>
      </c>
      <c r="T24" s="271">
        <v>3.242876876974183653565297100</v>
      </c>
      <c r="U24" s="92">
        <v>5.2344277956515255313402774100</v>
      </c>
      <c r="V24" s="272">
        <v>5.0614247649759564190582130700</v>
      </c>
      <c r="W24" s="271">
        <v>0</v>
      </c>
      <c r="X24" s="92">
        <v>-100</v>
      </c>
      <c r="Y24" s="272">
        <v>3.0233703646441833744539329800</v>
      </c>
      <c r="Z24" s="271">
        <v>3.1414733022789974030718427700</v>
      </c>
      <c r="AA24" s="92">
        <v>2.7283777333749540338101515400</v>
      </c>
      <c r="AB24" s="272">
        <v>1.8149280071476610312860330500</v>
      </c>
    </row>
    <row r="25" ht="18" customHeight="1">
      <c r="A25" s="60"/>
      <c r="B25" s="288"/>
      <c r="C25" s="289" t="s">
        <v>224</v>
      </c>
      <c r="D25" s="439">
        <v>217.36943111720356408498971899</v>
      </c>
      <c r="E25" s="95">
        <v>229.90832602501745629094562099</v>
      </c>
      <c r="F25" s="440">
        <v>221.69207487223976245334180446</v>
      </c>
      <c r="G25" s="439">
        <v>260.37931034482758620689655172</v>
      </c>
      <c r="H25" s="95">
        <v>240.39287037095955802851820404</v>
      </c>
      <c r="I25" s="440">
        <v>245.46658753613832230789497344</v>
      </c>
      <c r="J25" s="439">
        <v>0</v>
      </c>
      <c r="K25" s="95">
        <v>0</v>
      </c>
      <c r="L25" s="440">
        <v>155.92937800102526486975914305</v>
      </c>
      <c r="M25" s="439">
        <v>222.62274368231046931407942238</v>
      </c>
      <c r="N25" s="95">
        <v>231.43195868487760584162536414</v>
      </c>
      <c r="O25" s="440">
        <v>219.26528119638994555083165511</v>
      </c>
      <c r="P25" s="93"/>
      <c r="Q25" s="420">
        <v>5.9442348469682840454347887300</v>
      </c>
      <c r="R25" s="91">
        <v>3.8804012012417884285739791300</v>
      </c>
      <c r="S25" s="421">
        <v>-0.1557082117843860605721431400</v>
      </c>
      <c r="T25" s="420">
        <v>-33.686225577584078665885214500</v>
      </c>
      <c r="U25" s="91">
        <v>-12.884136846268328232183771560</v>
      </c>
      <c r="V25" s="421">
        <v>-3.9910795708802934198187912500</v>
      </c>
      <c r="W25" s="420">
        <v>0</v>
      </c>
      <c r="X25" s="91">
        <v>-100</v>
      </c>
      <c r="Y25" s="421">
        <v>1.2715558172077322071619781500</v>
      </c>
      <c r="Z25" s="420">
        <v>-0.5533242489335396102514076700</v>
      </c>
      <c r="AA25" s="91">
        <v>2.2250965049635962429183830700</v>
      </c>
      <c r="AB25" s="421">
        <v>-0.9602801327952950019294891400</v>
      </c>
    </row>
    <row r="26" ht="18" customHeight="1">
      <c r="A26" s="60"/>
      <c r="B26" s="290"/>
      <c r="C26" s="291" t="s">
        <v>225</v>
      </c>
      <c r="D26" s="443">
        <v>174.32251908396946564885496183</v>
      </c>
      <c r="E26" s="444">
        <v>185.48190881404602283042888276</v>
      </c>
      <c r="F26" s="445">
        <v>183.20283888796255426092472599</v>
      </c>
      <c r="G26" s="443">
        <v>210.82539682539682539682539683</v>
      </c>
      <c r="H26" s="444">
        <v>221.60960565300071832957792617</v>
      </c>
      <c r="I26" s="445">
        <v>202.02706606107452828708996065</v>
      </c>
      <c r="J26" s="443">
        <v>0</v>
      </c>
      <c r="K26" s="444">
        <v>0</v>
      </c>
      <c r="L26" s="445">
        <v>150.75703619113191338186018465</v>
      </c>
      <c r="M26" s="443">
        <v>175.03960087309011537262238853</v>
      </c>
      <c r="N26" s="444">
        <v>191.18590102183931075936686035</v>
      </c>
      <c r="O26" s="445">
        <v>183.27718319508674056130563508</v>
      </c>
      <c r="P26" s="184"/>
      <c r="Q26" s="273">
        <v>1.3352067268687220370950639400</v>
      </c>
      <c r="R26" s="274">
        <v>1.2795832396581760881193220900</v>
      </c>
      <c r="S26" s="275">
        <v>0.5550161805526614433419646800</v>
      </c>
      <c r="T26" s="273">
        <v>26.546168380650674076757550470</v>
      </c>
      <c r="U26" s="274">
        <v>23.885232984424054571895522400</v>
      </c>
      <c r="V26" s="275">
        <v>2.0118084753953446175288982400</v>
      </c>
      <c r="W26" s="273">
        <v>0</v>
      </c>
      <c r="X26" s="274">
        <v>-100</v>
      </c>
      <c r="Y26" s="275">
        <v>3.5653546609235521685819290500</v>
      </c>
      <c r="Z26" s="273">
        <v>2.2584314520629771120486298800</v>
      </c>
      <c r="AA26" s="274">
        <v>4.7281210519811651492261397600</v>
      </c>
      <c r="AB26" s="275">
        <v>1.4812029870946824107259439800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1037" t="s">
        <v>59</v>
      </c>
      <c r="C28" s="1037"/>
      <c r="D28" s="1037"/>
      <c r="E28" s="1037"/>
      <c r="F28" s="1037"/>
      <c r="G28" s="1037"/>
      <c r="H28" s="1037"/>
      <c r="I28" s="1037"/>
      <c r="J28" s="1037"/>
      <c r="K28" s="1037"/>
      <c r="L28" s="1037"/>
      <c r="M28" s="1037"/>
      <c r="N28" s="1037"/>
      <c r="O28" s="1037"/>
      <c r="P28" s="411"/>
      <c r="Q28" s="1038"/>
      <c r="R28" s="1038"/>
      <c r="S28" s="1038"/>
      <c r="T28" s="1038"/>
      <c r="U28" s="1038"/>
      <c r="V28" s="1038"/>
      <c r="W28" s="1038"/>
      <c r="X28" s="1038"/>
      <c r="Y28" s="1038"/>
      <c r="Z28" s="1038"/>
      <c r="AA28" s="1038"/>
      <c r="AB28" s="1038"/>
      <c r="AC28" s="9"/>
    </row>
    <row r="29" ht="18" customHeight="1">
      <c r="A29" s="58"/>
      <c r="B29" s="284">
        <v>2023</v>
      </c>
      <c r="C29" s="285"/>
      <c r="D29" s="454">
        <v>273.45909931469596432067877733</v>
      </c>
      <c r="E29" s="455">
        <v>281.49554276225117495942724512</v>
      </c>
      <c r="F29" s="456">
        <v>265.2641214245657677363998056</v>
      </c>
      <c r="G29" s="454">
        <v>299.30777736822705492075193513</v>
      </c>
      <c r="H29" s="455">
        <v>308.89233993970931121607788789</v>
      </c>
      <c r="I29" s="456">
        <v>275.15542754705213325061272318</v>
      </c>
      <c r="J29" s="454">
        <v>0</v>
      </c>
      <c r="K29" s="455">
        <v>163.92556517067513427021561074</v>
      </c>
      <c r="L29" s="456">
        <v>132.480310471303973425635433</v>
      </c>
      <c r="M29" s="454">
        <v>276.78283330963552775013033793</v>
      </c>
      <c r="N29" s="455">
        <v>284.22777362153942241110100338</v>
      </c>
      <c r="O29" s="456">
        <v>254.17932881116731297482544105</v>
      </c>
      <c r="P29" s="5"/>
      <c r="Q29" s="427">
        <v>-12.311720589075157212070706520</v>
      </c>
      <c r="R29" s="428">
        <v>-14.428880129406137359185206690</v>
      </c>
      <c r="S29" s="429">
        <v>-5.1052701259395538151130736400</v>
      </c>
      <c r="T29" s="427">
        <v>-1.181905442576503263096044300</v>
      </c>
      <c r="U29" s="428">
        <v>0.504958563729551342742745700</v>
      </c>
      <c r="V29" s="429">
        <v>2.7079587027074008400494704800</v>
      </c>
      <c r="W29" s="427">
        <v>0</v>
      </c>
      <c r="X29" s="428">
        <v>-52.431695929197791527556486430</v>
      </c>
      <c r="Y29" s="429">
        <v>3.5828841066646748760420116200</v>
      </c>
      <c r="Z29" s="427">
        <v>-10.870454309913328024215601190</v>
      </c>
      <c r="AA29" s="428">
        <v>-12.705994210270527244191079270</v>
      </c>
      <c r="AB29" s="429">
        <v>-3.411901241489186722677137600</v>
      </c>
    </row>
    <row r="30" ht="18" customHeight="1">
      <c r="A30" s="58"/>
      <c r="B30" s="286">
        <v>2024</v>
      </c>
      <c r="C30" s="287"/>
      <c r="D30" s="276">
        <v>266.57386577686884451859426296</v>
      </c>
      <c r="E30" s="94">
        <v>267.65002059463438412295763884</v>
      </c>
      <c r="F30" s="277">
        <v>258.44049541967793287080209506</v>
      </c>
      <c r="G30" s="276">
        <v>294.93191964285714285714285714</v>
      </c>
      <c r="H30" s="94">
        <v>300.62527699603250441168125934</v>
      </c>
      <c r="I30" s="277">
        <v>281.74491156836576371296893678</v>
      </c>
      <c r="J30" s="276">
        <v>0</v>
      </c>
      <c r="K30" s="94">
        <v>167.22543730820865837046335801</v>
      </c>
      <c r="L30" s="277">
        <v>155.42749198699405326480825451</v>
      </c>
      <c r="M30" s="276">
        <v>270.15778833043396492547839579</v>
      </c>
      <c r="N30" s="94">
        <v>271.13550878742932645111433067</v>
      </c>
      <c r="O30" s="277">
        <v>253.54567961060418337397591472</v>
      </c>
      <c r="P30" s="5"/>
      <c r="Q30" s="271">
        <v>-2.5178293774410287333678443900</v>
      </c>
      <c r="R30" s="92">
        <v>-4.9185582236223998667690470800</v>
      </c>
      <c r="S30" s="272">
        <v>-2.5723893485013383907510138300</v>
      </c>
      <c r="T30" s="271">
        <v>-1.4619926564620471528088243600</v>
      </c>
      <c r="U30" s="92">
        <v>-2.6763573824075207206208077700</v>
      </c>
      <c r="V30" s="272">
        <v>2.3948224754308371137040400600</v>
      </c>
      <c r="W30" s="271">
        <v>0</v>
      </c>
      <c r="X30" s="92">
        <v>2.013030813145231356942065800</v>
      </c>
      <c r="Y30" s="272">
        <v>17.321201493308123016052023680</v>
      </c>
      <c r="Z30" s="271">
        <v>-2.3935895517607776715943349500</v>
      </c>
      <c r="AA30" s="92">
        <v>-4.6062580961934284588872711800</v>
      </c>
      <c r="AB30" s="272">
        <v>-0.2492921842068755598165365900</v>
      </c>
    </row>
    <row r="31" ht="18" customHeight="1">
      <c r="A31" s="58"/>
      <c r="B31" s="425">
        <v>2025</v>
      </c>
      <c r="C31" s="426"/>
      <c r="D31" s="457">
        <v>259.88309905556775752251262904</v>
      </c>
      <c r="E31" s="458">
        <v>270.42550655300847137682801257</v>
      </c>
      <c r="F31" s="459">
        <v>261.46790961973453253784272232</v>
      </c>
      <c r="G31" s="457">
        <v>302.56556521739130434782608696</v>
      </c>
      <c r="H31" s="458">
        <v>288.33642198015171023636948937</v>
      </c>
      <c r="I31" s="459">
        <v>280.98220284516299550027292995</v>
      </c>
      <c r="J31" s="457">
        <v>0</v>
      </c>
      <c r="K31" s="458">
        <v>166.18704846088856947438413101</v>
      </c>
      <c r="L31" s="459">
        <v>161.40719591187851268629048508</v>
      </c>
      <c r="M31" s="457">
        <v>265.70242329397258974723763456</v>
      </c>
      <c r="N31" s="458">
        <v>272.49451008788216363411313281</v>
      </c>
      <c r="O31" s="459">
        <v>255.76138918239029607058492829</v>
      </c>
      <c r="P31" s="93"/>
      <c r="Q31" s="430">
        <v>-2.5099109778945299420949491200</v>
      </c>
      <c r="R31" s="431">
        <v>1.0369832784778304156296468500</v>
      </c>
      <c r="S31" s="432">
        <v>1.1714163429063615385292939300</v>
      </c>
      <c r="T31" s="430">
        <v>2.5882737900102606906545510200</v>
      </c>
      <c r="U31" s="431">
        <v>-4.0877650537721751074782037200</v>
      </c>
      <c r="V31" s="432">
        <v>-0.2707089611632043868488600</v>
      </c>
      <c r="W31" s="430">
        <v>0</v>
      </c>
      <c r="X31" s="431">
        <v>-0.6209514916069007064298483600</v>
      </c>
      <c r="Y31" s="432">
        <v>3.8472627000753874593178698700</v>
      </c>
      <c r="Z31" s="430">
        <v>-1.6491714208803589545875536500</v>
      </c>
      <c r="AA31" s="431">
        <v>0.5012258654574712396212613600</v>
      </c>
      <c r="AB31" s="432">
        <v>0.8738896971911422633772487300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1039" t="s">
        <v>44</v>
      </c>
      <c r="C33" s="1039"/>
      <c r="D33" s="1039"/>
      <c r="E33" s="1039"/>
      <c r="F33" s="1039"/>
      <c r="G33" s="1039"/>
      <c r="H33" s="1039"/>
      <c r="I33" s="1039"/>
      <c r="J33" s="1039"/>
      <c r="K33" s="1039"/>
      <c r="L33" s="1039"/>
      <c r="M33" s="1039"/>
      <c r="N33" s="1039"/>
      <c r="O33" s="1039"/>
      <c r="P33" s="411"/>
      <c r="Q33" s="1038"/>
      <c r="R33" s="1038"/>
      <c r="S33" s="1038"/>
      <c r="T33" s="1038"/>
      <c r="U33" s="1038"/>
      <c r="V33" s="1038"/>
      <c r="W33" s="1038"/>
      <c r="X33" s="1038"/>
      <c r="Y33" s="1038"/>
      <c r="Z33" s="1038"/>
      <c r="AA33" s="1038"/>
      <c r="AB33" s="1038"/>
      <c r="AC33" s="9"/>
    </row>
    <row r="34" ht="18" customHeight="1">
      <c r="A34" s="58"/>
      <c r="B34" s="284">
        <v>2023</v>
      </c>
      <c r="C34" s="285"/>
      <c r="D34" s="454">
        <v>230.23242404080727434020847194</v>
      </c>
      <c r="E34" s="455">
        <v>239.32791320405994803245498112</v>
      </c>
      <c r="F34" s="456">
        <v>223.96943667919468012907530732</v>
      </c>
      <c r="G34" s="454">
        <v>294.51253761283851554663991976</v>
      </c>
      <c r="H34" s="455">
        <v>273.16370438027151317438624611</v>
      </c>
      <c r="I34" s="456">
        <v>243.36787491407568422053328741</v>
      </c>
      <c r="J34" s="454">
        <v>0</v>
      </c>
      <c r="K34" s="455">
        <v>160.52650410958044278864143758</v>
      </c>
      <c r="L34" s="456">
        <v>133.39254418405790151401072168</v>
      </c>
      <c r="M34" s="454">
        <v>236.63155267099350973539690464</v>
      </c>
      <c r="N34" s="455">
        <v>242.18836517735384254439344839</v>
      </c>
      <c r="O34" s="456">
        <v>218.56490158462316234938044683</v>
      </c>
      <c r="P34" s="5"/>
      <c r="Q34" s="427">
        <v>-21.231598351863178819288696460</v>
      </c>
      <c r="R34" s="428">
        <v>-21.682548308717789794741542680</v>
      </c>
      <c r="S34" s="429">
        <v>-12.150692944542546504320371650</v>
      </c>
      <c r="T34" s="427">
        <v>-9.686303085006563059191850030</v>
      </c>
      <c r="U34" s="428">
        <v>-10.709931126589572892517534900</v>
      </c>
      <c r="V34" s="429">
        <v>-4.7408186291194267986148471500</v>
      </c>
      <c r="W34" s="427">
        <v>0</v>
      </c>
      <c r="X34" s="428">
        <v>-53.992025761992102249353318280</v>
      </c>
      <c r="Y34" s="429">
        <v>6.2038529547131264882188620400</v>
      </c>
      <c r="Z34" s="427">
        <v>-20.537297093412308947401377760</v>
      </c>
      <c r="AA34" s="428">
        <v>-20.784066199399332586660726110</v>
      </c>
      <c r="AB34" s="429">
        <v>-10.137325584819149726733417530</v>
      </c>
    </row>
    <row r="35" ht="18" customHeight="1">
      <c r="A35" s="58"/>
      <c r="B35" s="286">
        <v>2024</v>
      </c>
      <c r="C35" s="287"/>
      <c r="D35" s="276">
        <v>215.99225723196042585224217658</v>
      </c>
      <c r="E35" s="94">
        <v>221.84994802302475795750516084</v>
      </c>
      <c r="F35" s="277">
        <v>218.21043732594833503505005754</v>
      </c>
      <c r="G35" s="276">
        <v>262.60766045548654244306418219</v>
      </c>
      <c r="H35" s="94">
        <v>250.15248633589841745070508668</v>
      </c>
      <c r="I35" s="277">
        <v>249.32097633227376755160707351</v>
      </c>
      <c r="J35" s="276">
        <v>0</v>
      </c>
      <c r="K35" s="94">
        <v>167.09722045642437652604462365</v>
      </c>
      <c r="L35" s="277">
        <v>152.10272938962288404238663326</v>
      </c>
      <c r="M35" s="276">
        <v>220.37905504140282513395031661</v>
      </c>
      <c r="N35" s="94">
        <v>224.62153884488275717358233226</v>
      </c>
      <c r="O35" s="277">
        <v>217.53936435140666222846857509</v>
      </c>
      <c r="P35" s="5"/>
      <c r="Q35" s="271">
        <v>-6.1851265598958565937351699600</v>
      </c>
      <c r="R35" s="92">
        <v>-7.3029363550126093908294363400</v>
      </c>
      <c r="S35" s="272">
        <v>-2.5713326954965289536816611900</v>
      </c>
      <c r="T35" s="271">
        <v>-10.833113393379290567283227480</v>
      </c>
      <c r="U35" s="92">
        <v>-8.423966169519080472936422870</v>
      </c>
      <c r="V35" s="272">
        <v>2.4461328021518845199497026100</v>
      </c>
      <c r="W35" s="271">
        <v>0</v>
      </c>
      <c r="X35" s="92">
        <v>4.0932283321501839185434587600</v>
      </c>
      <c r="Y35" s="272">
        <v>14.026410036606141318509321700</v>
      </c>
      <c r="Z35" s="271">
        <v>-6.8682715581018852089454383700</v>
      </c>
      <c r="AA35" s="92">
        <v>-7.2533733483232187914940825500</v>
      </c>
      <c r="AB35" s="272">
        <v>-0.4692140530149954944530463500</v>
      </c>
    </row>
    <row r="36" ht="18" customHeight="1">
      <c r="A36" s="58"/>
      <c r="B36" s="425">
        <v>2025</v>
      </c>
      <c r="C36" s="426"/>
      <c r="D36" s="457">
        <v>219.24739946380697050938337802</v>
      </c>
      <c r="E36" s="458">
        <v>228.60600764857362541502649866</v>
      </c>
      <c r="F36" s="459">
        <v>219.73795447720721330442029911</v>
      </c>
      <c r="G36" s="457">
        <v>268.42471910112359550561797753</v>
      </c>
      <c r="H36" s="458">
        <v>247.78636475567489683961943916</v>
      </c>
      <c r="I36" s="459">
        <v>250.85767517373621271297943015</v>
      </c>
      <c r="J36" s="457">
        <v>0</v>
      </c>
      <c r="K36" s="458">
        <v>0</v>
      </c>
      <c r="L36" s="459">
        <v>156.33866956617351599075147203</v>
      </c>
      <c r="M36" s="457">
        <v>223.53206069505628976994615761</v>
      </c>
      <c r="N36" s="458">
        <v>231.23217079729078409984526014</v>
      </c>
      <c r="O36" s="459">
        <v>219.62452711986490003692248095</v>
      </c>
      <c r="P36" s="93"/>
      <c r="Q36" s="430">
        <v>1.5070643149539297136425872400</v>
      </c>
      <c r="R36" s="431">
        <v>3.0453284689853521476416427500</v>
      </c>
      <c r="S36" s="432">
        <v>0.7000202052781954950297175700</v>
      </c>
      <c r="T36" s="430">
        <v>2.2151138453210968561162234800</v>
      </c>
      <c r="U36" s="431">
        <v>-0.9458717020497330229192715700</v>
      </c>
      <c r="V36" s="432">
        <v>0.6163536113335564924621592700</v>
      </c>
      <c r="W36" s="430">
        <v>0</v>
      </c>
      <c r="X36" s="431">
        <v>-100</v>
      </c>
      <c r="Y36" s="432">
        <v>2.7849205557143327163370170500</v>
      </c>
      <c r="Z36" s="430">
        <v>1.4307192909344184198899066800</v>
      </c>
      <c r="AA36" s="431">
        <v>2.943008932440530983122025400</v>
      </c>
      <c r="AB36" s="432">
        <v>0.9585220471163341101593378200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9" t="s">
        <v>45</v>
      </c>
      <c r="C38" s="1039"/>
      <c r="D38" s="1039"/>
      <c r="E38" s="1039"/>
      <c r="F38" s="1039"/>
      <c r="G38" s="1039"/>
      <c r="H38" s="1039"/>
      <c r="I38" s="1039"/>
      <c r="J38" s="1039"/>
      <c r="K38" s="1039"/>
      <c r="L38" s="1039"/>
      <c r="M38" s="1039"/>
      <c r="N38" s="1039"/>
      <c r="O38" s="1039"/>
      <c r="P38" s="411"/>
      <c r="Q38" s="1038"/>
      <c r="R38" s="1038"/>
      <c r="S38" s="1038"/>
      <c r="T38" s="1038"/>
      <c r="U38" s="1038"/>
      <c r="V38" s="1038"/>
      <c r="W38" s="1038"/>
      <c r="X38" s="1038"/>
      <c r="Y38" s="1038"/>
      <c r="Z38" s="1038"/>
      <c r="AA38" s="1038"/>
      <c r="AB38" s="1038"/>
      <c r="AC38" s="9"/>
    </row>
    <row r="39" ht="18" customHeight="1">
      <c r="A39" s="58"/>
      <c r="B39" s="284">
        <v>2023</v>
      </c>
      <c r="C39" s="285"/>
      <c r="D39" s="454">
        <v>254.62728222613286405631324241</v>
      </c>
      <c r="E39" s="455">
        <v>254.43344885711423827782937277</v>
      </c>
      <c r="F39" s="456">
        <v>240.14790905516056694114738654</v>
      </c>
      <c r="G39" s="454">
        <v>283.91396810053165780570323828</v>
      </c>
      <c r="H39" s="455">
        <v>278.65617341052326310997598343</v>
      </c>
      <c r="I39" s="456">
        <v>247.74473745971918014914564963</v>
      </c>
      <c r="J39" s="454">
        <v>0</v>
      </c>
      <c r="K39" s="455">
        <v>168.86411718191296326138982959</v>
      </c>
      <c r="L39" s="456">
        <v>125.72608613991392730042423918</v>
      </c>
      <c r="M39" s="454">
        <v>257.61914284303559966424727201</v>
      </c>
      <c r="N39" s="455">
        <v>257.05928598314952597048528662</v>
      </c>
      <c r="O39" s="456">
        <v>229.93839088595301829763856969</v>
      </c>
      <c r="P39" s="5"/>
      <c r="Q39" s="427">
        <v>-8.242862983035036050915725730</v>
      </c>
      <c r="R39" s="428">
        <v>-11.138175922769941209075750260</v>
      </c>
      <c r="S39" s="429">
        <v>-2.0681781724483098471272000500</v>
      </c>
      <c r="T39" s="427">
        <v>-3.9626882755065099413279980200</v>
      </c>
      <c r="U39" s="428">
        <v>-0.8353070161129556893979181200</v>
      </c>
      <c r="V39" s="429">
        <v>3.6756518371406589209899112100</v>
      </c>
      <c r="W39" s="427">
        <v>0</v>
      </c>
      <c r="X39" s="428">
        <v>-42.805062548227861739726570030</v>
      </c>
      <c r="Y39" s="429">
        <v>4.8461819740424997180519546800</v>
      </c>
      <c r="Z39" s="427">
        <v>-7.7582633061749369608052678600</v>
      </c>
      <c r="AA39" s="428">
        <v>-10.020455246144347814167734690</v>
      </c>
      <c r="AB39" s="429">
        <v>-1.392613952547878632795400800</v>
      </c>
    </row>
    <row r="40" ht="18" customHeight="1">
      <c r="A40" s="58"/>
      <c r="B40" s="286">
        <v>2024</v>
      </c>
      <c r="C40" s="287"/>
      <c r="D40" s="276">
        <v>238.52005037078494473205540786</v>
      </c>
      <c r="E40" s="94">
        <v>239.15737058254839875611693279</v>
      </c>
      <c r="F40" s="277">
        <v>231.87283977040726386486808546</v>
      </c>
      <c r="G40" s="276">
        <v>288.21738077947228274025659647</v>
      </c>
      <c r="H40" s="94">
        <v>286.66822769883506613077882023</v>
      </c>
      <c r="I40" s="277">
        <v>256.2463716808754815592845395</v>
      </c>
      <c r="J40" s="276">
        <v>0</v>
      </c>
      <c r="K40" s="94">
        <v>167.48419144934851444274969407</v>
      </c>
      <c r="L40" s="277">
        <v>147.94966701540518678976954878</v>
      </c>
      <c r="M40" s="276">
        <v>243.6697938092610244318466864</v>
      </c>
      <c r="N40" s="94">
        <v>244.18429574296187978112739921</v>
      </c>
      <c r="O40" s="277">
        <v>228.09152259229951482307427923</v>
      </c>
      <c r="P40" s="5"/>
      <c r="Q40" s="271">
        <v>-6.3258075546721676064667811900</v>
      </c>
      <c r="R40" s="92">
        <v>-6.0039583408434862324050832800</v>
      </c>
      <c r="S40" s="272">
        <v>-3.4458219175627477300405217300</v>
      </c>
      <c r="T40" s="271">
        <v>1.5157453181200858337290084300</v>
      </c>
      <c r="U40" s="92">
        <v>2.8752473667727345448675005400</v>
      </c>
      <c r="V40" s="272">
        <v>3.4316104181863481793689514100</v>
      </c>
      <c r="W40" s="271">
        <v>0</v>
      </c>
      <c r="X40" s="92">
        <v>-0.8171811487132183610926421600</v>
      </c>
      <c r="Y40" s="272">
        <v>17.676189212456831020367914880</v>
      </c>
      <c r="Z40" s="271">
        <v>-5.4147175865110622540094706200</v>
      </c>
      <c r="AA40" s="92">
        <v>-5.0085684284459454552752338900</v>
      </c>
      <c r="AB40" s="272">
        <v>-0.8032013647586734364643825300</v>
      </c>
    </row>
    <row r="41" ht="18" customHeight="1">
      <c r="A41" s="58"/>
      <c r="B41" s="425">
        <v>2025</v>
      </c>
      <c r="C41" s="426"/>
      <c r="D41" s="457">
        <v>228.53741631680472029955747192</v>
      </c>
      <c r="E41" s="458">
        <v>237.56363588665783797476093143</v>
      </c>
      <c r="F41" s="459">
        <v>231.52535568576433660347575225</v>
      </c>
      <c r="G41" s="457">
        <v>270.80559615786176654833994571</v>
      </c>
      <c r="H41" s="458">
        <v>262.50709066569690531283176471</v>
      </c>
      <c r="I41" s="459">
        <v>257.37684800521588660538732365</v>
      </c>
      <c r="J41" s="457">
        <v>0</v>
      </c>
      <c r="K41" s="458">
        <v>189.6664751338048681524339789</v>
      </c>
      <c r="L41" s="459">
        <v>154.80794182505319107145900717</v>
      </c>
      <c r="M41" s="457">
        <v>233.59279238780250243500412078</v>
      </c>
      <c r="N41" s="458">
        <v>240.3397571153039832285115304</v>
      </c>
      <c r="O41" s="459">
        <v>228.47549430063792471234838638</v>
      </c>
      <c r="P41" s="93"/>
      <c r="Q41" s="430">
        <v>-4.1852389509713810936399883300</v>
      </c>
      <c r="R41" s="431">
        <v>-0.6663958095710813488572481400</v>
      </c>
      <c r="S41" s="432">
        <v>-0.1498597614881248743496575400</v>
      </c>
      <c r="T41" s="430">
        <v>-6.0411986864036754796478282900</v>
      </c>
      <c r="U41" s="431">
        <v>-8.428257720450627315827104760</v>
      </c>
      <c r="V41" s="432">
        <v>0.4411677390396976471780052500</v>
      </c>
      <c r="W41" s="430">
        <v>0</v>
      </c>
      <c r="X41" s="431">
        <v>13.244404437549427584197723330</v>
      </c>
      <c r="Y41" s="432">
        <v>4.6355459583016952609163669800</v>
      </c>
      <c r="Z41" s="430">
        <v>-4.135515224912910255468430800</v>
      </c>
      <c r="AA41" s="431">
        <v>-1.5744413931280540464516884800</v>
      </c>
      <c r="AB41" s="432">
        <v>0.1683410693979413045892955300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22">
    <mergeCell ref="B43:AB43"/>
    <mergeCell ref="Q38:AB38"/>
    <mergeCell ref="B28:O28"/>
    <mergeCell ref="B33:O33"/>
    <mergeCell ref="B38:O38"/>
    <mergeCell ref="Q33:AB33"/>
    <mergeCell ref="Q28:AB28"/>
    <mergeCell ref="D7:F7"/>
    <mergeCell ref="Z7:AB7"/>
    <mergeCell ref="T7:V7"/>
    <mergeCell ref="B8:C8"/>
    <mergeCell ref="Q7:S7"/>
    <mergeCell ref="J7:L7"/>
    <mergeCell ref="M7:O7"/>
    <mergeCell ref="W7:Y7"/>
    <mergeCell ref="G7:I7"/>
    <mergeCell ref="B2:AB2"/>
    <mergeCell ref="Q6:AB6"/>
    <mergeCell ref="D6:O6"/>
    <mergeCell ref="B3:Q3"/>
    <mergeCell ref="R3:AB3"/>
    <mergeCell ref="B4:AB4"/>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3"/>
</worksheet>
</file>

<file path=xl/worksheets/sheet10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pageSetUpPr fitToPage="1"/>
  </sheetPr>
  <dimension ref="A1:AD8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89"/>
      <c r="B1" s="656" t="s">
        <v>183</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1035" t="s">
        <v>294</v>
      </c>
      <c r="S3" s="1035"/>
      <c r="T3" s="1035"/>
      <c r="U3" s="1035"/>
      <c r="V3" s="1035"/>
      <c r="W3" s="1035"/>
      <c r="X3" s="1035"/>
      <c r="Y3" s="1035"/>
      <c r="Z3" s="1035"/>
      <c r="AA3" s="1035"/>
      <c r="AB3" s="1035"/>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2.75" customHeight="1"/>
    <row r="6" ht="15.75" customHeight="1">
      <c r="D6" s="960" t="s">
        <v>10</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18" customHeight="1">
      <c r="A9" s="57"/>
      <c r="B9" s="284">
        <v>2024</v>
      </c>
      <c r="C9" s="285" t="s">
        <v>218</v>
      </c>
      <c r="D9" s="434">
        <v>215.36045943304007820136852395</v>
      </c>
      <c r="E9" s="435">
        <v>198.51346247854063443719932806</v>
      </c>
      <c r="F9" s="436">
        <v>146.8303597312807016479105451</v>
      </c>
      <c r="G9" s="434">
        <v>41.423264907135874877810361681</v>
      </c>
      <c r="H9" s="435">
        <v>39.025729104818561375676468223</v>
      </c>
      <c r="I9" s="436">
        <v>53.132052532806576080631723881</v>
      </c>
      <c r="J9" s="434">
        <v>0</v>
      </c>
      <c r="K9" s="435">
        <v>1.0528057310710574425968327728</v>
      </c>
      <c r="L9" s="436">
        <v>11.729532836008884523402831116</v>
      </c>
      <c r="M9" s="434">
        <v>256.78372434017595307917888563</v>
      </c>
      <c r="N9" s="435">
        <v>238.59199731443025325547262905</v>
      </c>
      <c r="O9" s="436">
        <v>211.6919451000961622519451001</v>
      </c>
      <c r="P9" s="5"/>
      <c r="Q9" s="415">
        <v>0.4754385264649683696185938600</v>
      </c>
      <c r="R9" s="416">
        <v>-3.7298482431953254399715428300</v>
      </c>
      <c r="S9" s="417">
        <v>-1.3485611633829473238900940800</v>
      </c>
      <c r="T9" s="415">
        <v>-19.009599166777730955386945370</v>
      </c>
      <c r="U9" s="416">
        <v>1.3705003137926588821365329900</v>
      </c>
      <c r="V9" s="417">
        <v>16.526644102284677295101392240</v>
      </c>
      <c r="W9" s="415">
        <v>0</v>
      </c>
      <c r="X9" s="416">
        <v>0</v>
      </c>
      <c r="Y9" s="417">
        <v>7.4726628571125337279528316400</v>
      </c>
      <c r="Z9" s="415">
        <v>-3.2783369263201432682346229400</v>
      </c>
      <c r="AA9" s="416">
        <v>-2.4971917427407654540122811400</v>
      </c>
      <c r="AB9" s="417">
        <v>3.0893743056782696523614474800</v>
      </c>
    </row>
    <row r="10" ht="18" customHeight="1">
      <c r="A10" s="58"/>
      <c r="B10" s="286"/>
      <c r="C10" s="287" t="s">
        <v>220</v>
      </c>
      <c r="D10" s="276">
        <v>258.32236154649947753396029258</v>
      </c>
      <c r="E10" s="94">
        <v>236.64870699230605932821915963</v>
      </c>
      <c r="F10" s="277">
        <v>190.39793312131027814844224557</v>
      </c>
      <c r="G10" s="276">
        <v>67.904649947753396029258098224</v>
      </c>
      <c r="H10" s="94">
        <v>69.831161099578984242078032278</v>
      </c>
      <c r="I10" s="277">
        <v>65.794917607238282895657252455</v>
      </c>
      <c r="J10" s="276">
        <v>0</v>
      </c>
      <c r="K10" s="94">
        <v>1.1791568438560756465158353198</v>
      </c>
      <c r="L10" s="277">
        <v>12.12213959278322370231939475</v>
      </c>
      <c r="M10" s="276">
        <v>326.2270114942528735632183908</v>
      </c>
      <c r="N10" s="94">
        <v>307.65902493574111921681302724</v>
      </c>
      <c r="O10" s="277">
        <v>268.31499032133178474641889276</v>
      </c>
      <c r="P10" s="5"/>
      <c r="Q10" s="271">
        <v>-5.9771778881461756255101006800</v>
      </c>
      <c r="R10" s="92">
        <v>-2.0195473894835789901809029700</v>
      </c>
      <c r="S10" s="272">
        <v>4.4158121127205652108918894100</v>
      </c>
      <c r="T10" s="271">
        <v>33.139309203380393568614385830</v>
      </c>
      <c r="U10" s="92">
        <v>17.343113779793680383898415950</v>
      </c>
      <c r="V10" s="272">
        <v>6.1007409995410396581968537700</v>
      </c>
      <c r="W10" s="271">
        <v>0</v>
      </c>
      <c r="X10" s="92">
        <v>0</v>
      </c>
      <c r="Y10" s="272">
        <v>5.8127270428102016526565493400</v>
      </c>
      <c r="Z10" s="271">
        <v>0.147349829674445464388405100</v>
      </c>
      <c r="AA10" s="92">
        <v>2.1998459626171330759658884400</v>
      </c>
      <c r="AB10" s="272">
        <v>4.8868137559302797158944771400</v>
      </c>
    </row>
    <row r="11" ht="18" customHeight="1">
      <c r="A11" s="58"/>
      <c r="B11" s="288"/>
      <c r="C11" s="289" t="s">
        <v>221</v>
      </c>
      <c r="D11" s="439">
        <v>262.60606060606060606060606061</v>
      </c>
      <c r="E11" s="95">
        <v>247.93391560818903163792126709</v>
      </c>
      <c r="F11" s="440">
        <v>191.53669863838472228158541849</v>
      </c>
      <c r="G11" s="439">
        <v>26.797409579667644183773216031</v>
      </c>
      <c r="H11" s="95">
        <v>21.050182096643320073636862131</v>
      </c>
      <c r="I11" s="440">
        <v>37.485238510292737299429935728</v>
      </c>
      <c r="J11" s="439">
        <v>0</v>
      </c>
      <c r="K11" s="95">
        <v>0.9016956312073697386495340296</v>
      </c>
      <c r="L11" s="440">
        <v>11.719212222947664429049628782</v>
      </c>
      <c r="M11" s="439">
        <v>289.40347018572825024437927664</v>
      </c>
      <c r="N11" s="95">
        <v>269.88579333603972145020766324</v>
      </c>
      <c r="O11" s="440">
        <v>240.74114937162512401006498299</v>
      </c>
      <c r="P11" s="5"/>
      <c r="Q11" s="420">
        <v>1.4674569399131841813854979500</v>
      </c>
      <c r="R11" s="91">
        <v>-1.7314060477064361277353701700</v>
      </c>
      <c r="S11" s="421">
        <v>3.4540920707267702639133625200</v>
      </c>
      <c r="T11" s="420">
        <v>-9.073948158313188001991098550</v>
      </c>
      <c r="U11" s="91">
        <v>-2.7087746813529413722849448800</v>
      </c>
      <c r="V11" s="421">
        <v>-26.076329051019353035761801210</v>
      </c>
      <c r="W11" s="420">
        <v>0</v>
      </c>
      <c r="X11" s="91">
        <v>-17.889434042801494396489985100</v>
      </c>
      <c r="Y11" s="421">
        <v>15.332634184498635509908230170</v>
      </c>
      <c r="Z11" s="420">
        <v>0.3897796024556957236371573900</v>
      </c>
      <c r="AA11" s="91">
        <v>-1.8728072112419145321247059400</v>
      </c>
      <c r="AB11" s="421">
        <v>-2.1421170164987621609912828800</v>
      </c>
    </row>
    <row r="12" ht="18" customHeight="1">
      <c r="A12" s="58"/>
      <c r="B12" s="286"/>
      <c r="C12" s="287" t="s">
        <v>223</v>
      </c>
      <c r="D12" s="276">
        <v>231.69141414141414141414141414</v>
      </c>
      <c r="E12" s="94">
        <v>186.02969566818801606396805741</v>
      </c>
      <c r="F12" s="277">
        <v>142.47803727675861155151392795</v>
      </c>
      <c r="G12" s="276">
        <v>9.26489898989898989898989899</v>
      </c>
      <c r="H12" s="94">
        <v>33.957439466225268256145158854</v>
      </c>
      <c r="I12" s="277">
        <v>46.958356251906441437012855434</v>
      </c>
      <c r="J12" s="276">
        <v>0</v>
      </c>
      <c r="K12" s="94">
        <v>1.5121007481294714075408656927</v>
      </c>
      <c r="L12" s="277">
        <v>10.499083166250201248761352215</v>
      </c>
      <c r="M12" s="276">
        <v>240.95631313131313131313131313</v>
      </c>
      <c r="N12" s="94">
        <v>221.49923588254275572765408196</v>
      </c>
      <c r="O12" s="277">
        <v>199.93547669491525423728813559</v>
      </c>
      <c r="P12" s="5"/>
      <c r="Q12" s="271">
        <v>7.1982465015837297806092978300</v>
      </c>
      <c r="R12" s="92">
        <v>2.4991241477983010612636427900</v>
      </c>
      <c r="S12" s="272">
        <v>-0.5502382278831377932881860900</v>
      </c>
      <c r="T12" s="271">
        <v>-31.601416853324230890499657690</v>
      </c>
      <c r="U12" s="92">
        <v>21.005193913746061954337833840</v>
      </c>
      <c r="V12" s="272">
        <v>25.854331483680572835326383480</v>
      </c>
      <c r="W12" s="271">
        <v>0</v>
      </c>
      <c r="X12" s="92">
        <v>56.043960443521343368049705550</v>
      </c>
      <c r="Y12" s="272">
        <v>13.769451225505879421971305320</v>
      </c>
      <c r="Z12" s="271">
        <v>4.9100138643372400464617334400</v>
      </c>
      <c r="AA12" s="92">
        <v>5.2124177464720894248325341900</v>
      </c>
      <c r="AB12" s="272">
        <v>5.3365298945783269507908601200</v>
      </c>
    </row>
    <row r="13" ht="18" customHeight="1">
      <c r="A13" s="58"/>
      <c r="B13" s="288"/>
      <c r="C13" s="289" t="s">
        <v>224</v>
      </c>
      <c r="D13" s="439">
        <v>156.68792766373411534701857283</v>
      </c>
      <c r="E13" s="95">
        <v>161.8554815838466721727369215</v>
      </c>
      <c r="F13" s="440">
        <v>126.35675063987269346265969992</v>
      </c>
      <c r="G13" s="439">
        <v>33.200391006842619745845552297</v>
      </c>
      <c r="H13" s="95">
        <v>23.361022156644512024604351222</v>
      </c>
      <c r="I13" s="440">
        <v>28.824901755390718909997111922</v>
      </c>
      <c r="J13" s="439">
        <v>0</v>
      </c>
      <c r="K13" s="95">
        <v>1.339943188278762403539344339</v>
      </c>
      <c r="L13" s="440">
        <v>9.666471579586232241886654526</v>
      </c>
      <c r="M13" s="439">
        <v>189.88831867057673509286412512</v>
      </c>
      <c r="N13" s="95">
        <v>186.55644692876994660088061706</v>
      </c>
      <c r="O13" s="440">
        <v>164.84812397484964461454346638</v>
      </c>
      <c r="P13" s="5"/>
      <c r="Q13" s="420">
        <v>-1.3684827470568844136751379100</v>
      </c>
      <c r="R13" s="91">
        <v>2.8310743881139614852206002600</v>
      </c>
      <c r="S13" s="421">
        <v>2.3867838587332481312531395900</v>
      </c>
      <c r="T13" s="420">
        <v>-24.184538458576692041972762200</v>
      </c>
      <c r="U13" s="91">
        <v>11.243964094280121000743520260</v>
      </c>
      <c r="V13" s="421">
        <v>-7.1357289199890590281285330600</v>
      </c>
      <c r="W13" s="420">
        <v>0</v>
      </c>
      <c r="X13" s="91">
        <v>33.718732756738540038010161300</v>
      </c>
      <c r="Y13" s="421">
        <v>4.0378774781583801347115040600</v>
      </c>
      <c r="Z13" s="420">
        <v>-6.2987786642600053603046342500</v>
      </c>
      <c r="AA13" s="91">
        <v>3.9883706615847279645439470600</v>
      </c>
      <c r="AB13" s="421">
        <v>0.6753369836010753859390410900</v>
      </c>
    </row>
    <row r="14" ht="18" customHeight="1">
      <c r="A14" s="58"/>
      <c r="B14" s="286"/>
      <c r="C14" s="287" t="s">
        <v>225</v>
      </c>
      <c r="D14" s="276">
        <v>113.59772727272727272727272727</v>
      </c>
      <c r="E14" s="94">
        <v>123.35698721537085539718381989</v>
      </c>
      <c r="F14" s="277">
        <v>98.93108693399906172553933576</v>
      </c>
      <c r="G14" s="276">
        <v>20.488383838383838383838383838</v>
      </c>
      <c r="H14" s="94">
        <v>13.90542486400986162757166057</v>
      </c>
      <c r="I14" s="277">
        <v>19.460041272530576677203546014</v>
      </c>
      <c r="J14" s="276">
        <v>0</v>
      </c>
      <c r="K14" s="94">
        <v>1.1526624607935327332309667885</v>
      </c>
      <c r="L14" s="277">
        <v>10.706713110729154584205444985</v>
      </c>
      <c r="M14" s="276">
        <v>134.08611111111111111111111111</v>
      </c>
      <c r="N14" s="94">
        <v>138.41507454017424975798644724</v>
      </c>
      <c r="O14" s="277">
        <v>129.09784131725879298694832675</v>
      </c>
      <c r="P14" s="5"/>
      <c r="Q14" s="271">
        <v>-21.118775908137926412348861390</v>
      </c>
      <c r="R14" s="92">
        <v>0.7192371068849607722413674900</v>
      </c>
      <c r="S14" s="272">
        <v>-0.1377100888228727096570086600</v>
      </c>
      <c r="T14" s="271">
        <v>33.452858740926134710739071870</v>
      </c>
      <c r="U14" s="92">
        <v>3.3435063133598851852096387200</v>
      </c>
      <c r="V14" s="272">
        <v>-4.4079750851924079698754113900</v>
      </c>
      <c r="W14" s="271">
        <v>0</v>
      </c>
      <c r="X14" s="92">
        <v>2.5316423950345951743364116800</v>
      </c>
      <c r="Y14" s="272">
        <v>13.025911250532560736503776700</v>
      </c>
      <c r="Z14" s="271">
        <v>-15.861538949083926065805710980</v>
      </c>
      <c r="AA14" s="92">
        <v>0.9917425700284491095360454300</v>
      </c>
      <c r="AB14" s="272">
        <v>0.1552729517098109466447989900</v>
      </c>
    </row>
    <row r="15" ht="18" customHeight="1">
      <c r="A15" s="58"/>
      <c r="B15" s="288"/>
      <c r="C15" s="289" t="s">
        <v>228</v>
      </c>
      <c r="D15" s="439">
        <v>121.38269794721407624633431085</v>
      </c>
      <c r="E15" s="95">
        <v>120.62489249041471414101223099</v>
      </c>
      <c r="F15" s="440">
        <v>101.9841423057876230261902151</v>
      </c>
      <c r="G15" s="439">
        <v>10.863391984359726295210166178</v>
      </c>
      <c r="H15" s="95">
        <v>5.5022965532017367411588976567</v>
      </c>
      <c r="I15" s="440">
        <v>13.55440432390869020682308535</v>
      </c>
      <c r="J15" s="439">
        <v>0</v>
      </c>
      <c r="K15" s="95">
        <v>0.6801363162811227367902428545</v>
      </c>
      <c r="L15" s="440">
        <v>10.291433355555977928895474435</v>
      </c>
      <c r="M15" s="439">
        <v>132.24608993157380254154447703</v>
      </c>
      <c r="N15" s="95">
        <v>126.80732535989757361896137151</v>
      </c>
      <c r="O15" s="440">
        <v>125.82997998525229116190877489</v>
      </c>
      <c r="P15" s="5"/>
      <c r="Q15" s="420">
        <v>-20.314380047530342966543661320</v>
      </c>
      <c r="R15" s="91">
        <v>-1.0175678549174946620183535400</v>
      </c>
      <c r="S15" s="421">
        <v>2.1397006382172530054113453800</v>
      </c>
      <c r="T15" s="420">
        <v>2024.9043978107744242892907411</v>
      </c>
      <c r="U15" s="91">
        <v>-20.542929032186303792823454440</v>
      </c>
      <c r="V15" s="421">
        <v>-2.0879537397943358335088714900</v>
      </c>
      <c r="W15" s="420">
        <v>0</v>
      </c>
      <c r="X15" s="91">
        <v>-49.441715389639155087445788420</v>
      </c>
      <c r="Y15" s="421">
        <v>6.421353446169576563679320300</v>
      </c>
      <c r="Z15" s="420">
        <v>-13.473155381894249131028395710</v>
      </c>
      <c r="AA15" s="91">
        <v>-2.5571467731906610172259625900</v>
      </c>
      <c r="AB15" s="421">
        <v>2.0009235048031201805008812400</v>
      </c>
    </row>
    <row r="16" ht="18" customHeight="1">
      <c r="A16" s="58"/>
      <c r="B16" s="286"/>
      <c r="C16" s="287" t="s">
        <v>229</v>
      </c>
      <c r="D16" s="276">
        <v>113.40933528836754643206256109</v>
      </c>
      <c r="E16" s="94">
        <v>97.5079959831210254435854698</v>
      </c>
      <c r="F16" s="277">
        <v>91.38275324257829801332043768</v>
      </c>
      <c r="G16" s="276">
        <v>4.0994623655913978494623655914</v>
      </c>
      <c r="H16" s="94">
        <v>4.2366404531721471647497968576</v>
      </c>
      <c r="I16" s="277">
        <v>8.548424729866330302794675622</v>
      </c>
      <c r="J16" s="276">
        <v>0</v>
      </c>
      <c r="K16" s="94">
        <v>0.850419617168401884997650312</v>
      </c>
      <c r="L16" s="277">
        <v>10.392472973891283675322477307</v>
      </c>
      <c r="M16" s="276">
        <v>117.50879765395894428152492669</v>
      </c>
      <c r="N16" s="94">
        <v>102.59505605346157449333291697</v>
      </c>
      <c r="O16" s="277">
        <v>110.3236509463359119914375906</v>
      </c>
      <c r="P16" s="5"/>
      <c r="Q16" s="271">
        <v>-6.0885384836776993992807770900</v>
      </c>
      <c r="R16" s="92">
        <v>-0.9866022238481189716323110400</v>
      </c>
      <c r="S16" s="272">
        <v>6.4222580329190556151309547700</v>
      </c>
      <c r="T16" s="271">
        <v>65.303508081458961955108982770</v>
      </c>
      <c r="U16" s="92">
        <v>45.064339886141617523987223510</v>
      </c>
      <c r="V16" s="272">
        <v>-23.593658713331496363072630120</v>
      </c>
      <c r="W16" s="271">
        <v>0</v>
      </c>
      <c r="X16" s="92">
        <v>-12.714760807378615066059685660</v>
      </c>
      <c r="Y16" s="272">
        <v>12.027780149381542205373932820</v>
      </c>
      <c r="Z16" s="271">
        <v>-4.6519375141507881124224555800</v>
      </c>
      <c r="AA16" s="92">
        <v>0.215516338738898625676708100</v>
      </c>
      <c r="AB16" s="272">
        <v>3.7530871462379422597005585300</v>
      </c>
    </row>
    <row r="17" ht="18" customHeight="1">
      <c r="A17" s="58"/>
      <c r="B17" s="288"/>
      <c r="C17" s="289" t="s">
        <v>230</v>
      </c>
      <c r="D17" s="439">
        <v>77.685353535353535353535353535</v>
      </c>
      <c r="E17" s="95">
        <v>74.708232423101844522252419503</v>
      </c>
      <c r="F17" s="440">
        <v>80.83072267278430776044449788</v>
      </c>
      <c r="G17" s="439">
        <v>28.641919191919191919191919192</v>
      </c>
      <c r="H17" s="95">
        <v>21.684834967461212920365001843</v>
      </c>
      <c r="I17" s="440">
        <v>17.572236218692323857502591124</v>
      </c>
      <c r="J17" s="439">
        <v>0</v>
      </c>
      <c r="K17" s="95">
        <v>0.9530494213117408794219461966</v>
      </c>
      <c r="L17" s="440">
        <v>8.94783458911526201276275444</v>
      </c>
      <c r="M17" s="439">
        <v>106.32727272727272727272727273</v>
      </c>
      <c r="N17" s="95">
        <v>97.34611681187479832203936754</v>
      </c>
      <c r="O17" s="440">
        <v>107.35079348059189363070984345</v>
      </c>
      <c r="P17" s="5"/>
      <c r="Q17" s="420">
        <v>-27.127023268933386164863025780</v>
      </c>
      <c r="R17" s="91">
        <v>-7.4195715527918011192126776800</v>
      </c>
      <c r="S17" s="421">
        <v>-0.0162551422857963029300805900</v>
      </c>
      <c r="T17" s="420">
        <v>854.8913958562807014718702127</v>
      </c>
      <c r="U17" s="91">
        <v>38.073749410485400920749232530</v>
      </c>
      <c r="V17" s="421">
        <v>6.8475006168363924448704787200</v>
      </c>
      <c r="W17" s="420">
        <v>0</v>
      </c>
      <c r="X17" s="91">
        <v>3.4609934215028978701973431300</v>
      </c>
      <c r="Y17" s="421">
        <v>6.6284697709599037194885604300</v>
      </c>
      <c r="Z17" s="420">
        <v>-2.9889707830734737770673180900</v>
      </c>
      <c r="AA17" s="91">
        <v>0.0248673232141538976535149800</v>
      </c>
      <c r="AB17" s="421">
        <v>1.5794993895512896340290318200</v>
      </c>
    </row>
    <row r="18" ht="18" customHeight="1">
      <c r="A18" s="58"/>
      <c r="B18" s="286"/>
      <c r="C18" s="287" t="s">
        <v>231</v>
      </c>
      <c r="D18" s="276">
        <v>128.03616813294232649071358749</v>
      </c>
      <c r="E18" s="94">
        <v>119.5577069570110461993185347</v>
      </c>
      <c r="F18" s="277">
        <v>107.81752594805488839533118974</v>
      </c>
      <c r="G18" s="276">
        <v>21.089442815249266862170087977</v>
      </c>
      <c r="H18" s="94">
        <v>36.071131187817678781838369341</v>
      </c>
      <c r="I18" s="277">
        <v>30.881744917932377209603938043</v>
      </c>
      <c r="J18" s="276">
        <v>0</v>
      </c>
      <c r="K18" s="94">
        <v>0.8501700680182912259442420049</v>
      </c>
      <c r="L18" s="277">
        <v>9.269948036422231257807257371</v>
      </c>
      <c r="M18" s="276">
        <v>149.12561094819159335288367546</v>
      </c>
      <c r="N18" s="94">
        <v>156.47900821284701620710114605</v>
      </c>
      <c r="O18" s="277">
        <v>147.96921890240949686274238515</v>
      </c>
      <c r="P18" s="5"/>
      <c r="Q18" s="271">
        <v>-2.927602019555120982701776100</v>
      </c>
      <c r="R18" s="92">
        <v>9.171102997086250055741913270</v>
      </c>
      <c r="S18" s="272">
        <v>6.7275196331193767449732944900</v>
      </c>
      <c r="T18" s="271">
        <v>76.431623494219511322807689320</v>
      </c>
      <c r="U18" s="92">
        <v>167.77303304047923724638839495</v>
      </c>
      <c r="V18" s="272">
        <v>14.982008288393350475466338590</v>
      </c>
      <c r="W18" s="271">
        <v>0</v>
      </c>
      <c r="X18" s="92">
        <v>-18.719217358955571533845834710</v>
      </c>
      <c r="Y18" s="272">
        <v>8.728608028663196343093630160</v>
      </c>
      <c r="Z18" s="271">
        <v>3.6667697294080710262708322400</v>
      </c>
      <c r="AA18" s="92">
        <v>26.161399253208062618355112310</v>
      </c>
      <c r="AB18" s="272">
        <v>8.477888464873991805894284450</v>
      </c>
    </row>
    <row r="19" ht="18" customHeight="1">
      <c r="A19" s="58"/>
      <c r="B19" s="288"/>
      <c r="C19" s="289" t="s">
        <v>232</v>
      </c>
      <c r="D19" s="439">
        <v>157.0770202020202020202020202</v>
      </c>
      <c r="E19" s="95">
        <v>131.98941265737050048912193439</v>
      </c>
      <c r="F19" s="440">
        <v>112.71665122886135886113819085</v>
      </c>
      <c r="G19" s="439">
        <v>18.493434343434343434343434343</v>
      </c>
      <c r="H19" s="95">
        <v>22.160438299998265663176535098</v>
      </c>
      <c r="I19" s="440">
        <v>35.198604287523688550878064694</v>
      </c>
      <c r="J19" s="439">
        <v>0</v>
      </c>
      <c r="K19" s="95">
        <v>1.5162632730281360742262158795</v>
      </c>
      <c r="L19" s="440">
        <v>11.782278692130615573327913373</v>
      </c>
      <c r="M19" s="439">
        <v>175.57045454545454545454545455</v>
      </c>
      <c r="N19" s="95">
        <v>155.66611423039690222652468538</v>
      </c>
      <c r="O19" s="440">
        <v>159.69753420851566298534416892</v>
      </c>
      <c r="P19" s="5"/>
      <c r="Q19" s="420">
        <v>12.251122014941637062977500630</v>
      </c>
      <c r="R19" s="91">
        <v>7.0127650076550097335158737200</v>
      </c>
      <c r="S19" s="421">
        <v>-0.9502043308906587792763971600</v>
      </c>
      <c r="T19" s="420">
        <v>-38.416387763000493355908239260</v>
      </c>
      <c r="U19" s="91">
        <v>-39.642698007946750302893813450</v>
      </c>
      <c r="V19" s="421">
        <v>0.9042867139527557336465193500</v>
      </c>
      <c r="W19" s="420">
        <v>0</v>
      </c>
      <c r="X19" s="91">
        <v>15.296286248590978642494155640</v>
      </c>
      <c r="Y19" s="421">
        <v>16.980954892784028595607280360</v>
      </c>
      <c r="Z19" s="420">
        <v>3.2989874527243521923216165700</v>
      </c>
      <c r="AA19" s="91">
        <v>-3.5349026318512018266172778100</v>
      </c>
      <c r="AB19" s="421">
        <v>0.5949151185025492688104223500</v>
      </c>
    </row>
    <row r="20" ht="18" customHeight="1">
      <c r="A20" s="58"/>
      <c r="B20" s="286"/>
      <c r="C20" s="287" t="s">
        <v>234</v>
      </c>
      <c r="D20" s="276">
        <v>222.15493646138807429130009775</v>
      </c>
      <c r="E20" s="94">
        <v>204.64564356428842371337914922</v>
      </c>
      <c r="F20" s="277">
        <v>164.02758145719493836982074607</v>
      </c>
      <c r="G20" s="276">
        <v>22.685728250244379276637341153</v>
      </c>
      <c r="H20" s="94">
        <v>23.102237055173960737200937705</v>
      </c>
      <c r="I20" s="277">
        <v>27.055658623534011115788798477</v>
      </c>
      <c r="J20" s="276">
        <v>0</v>
      </c>
      <c r="K20" s="94">
        <v>4.0760699785452975279978102236</v>
      </c>
      <c r="L20" s="277">
        <v>12.952662310675056305737075455</v>
      </c>
      <c r="M20" s="276">
        <v>244.84066471163245356793743891</v>
      </c>
      <c r="N20" s="94">
        <v>231.82395059800768197857789714</v>
      </c>
      <c r="O20" s="277">
        <v>204.03590239140400579134662001</v>
      </c>
      <c r="P20" s="5"/>
      <c r="Q20" s="271">
        <v>-2.962600820663705985934915400</v>
      </c>
      <c r="R20" s="92">
        <v>-2.6671288920111105154771948600</v>
      </c>
      <c r="S20" s="272">
        <v>-0.209388279300142310610241800</v>
      </c>
      <c r="T20" s="271">
        <v>-54.915007285064274273195218590</v>
      </c>
      <c r="U20" s="92">
        <v>-40.816094091475665389228418470</v>
      </c>
      <c r="V20" s="272">
        <v>-0.5067080771560403555317949400</v>
      </c>
      <c r="W20" s="271">
        <v>0</v>
      </c>
      <c r="X20" s="92">
        <v>239.16589355029788103228149239</v>
      </c>
      <c r="Y20" s="272">
        <v>13.912512115106467616418227610</v>
      </c>
      <c r="Z20" s="271">
        <v>-12.323665105465448187067301180</v>
      </c>
      <c r="AA20" s="92">
        <v>-7.4517497097351775836731192700</v>
      </c>
      <c r="AB20" s="272">
        <v>0.5420355991136406813385753900</v>
      </c>
    </row>
    <row r="21" ht="18" customHeight="1">
      <c r="A21" s="58"/>
      <c r="B21" s="288">
        <v>2025</v>
      </c>
      <c r="C21" s="289" t="s">
        <v>218</v>
      </c>
      <c r="D21" s="439">
        <v>198.52297165200391006842619746</v>
      </c>
      <c r="E21" s="95">
        <v>209.14095367743122586531385847</v>
      </c>
      <c r="F21" s="440">
        <v>147.11863804874158187575113185</v>
      </c>
      <c r="G21" s="439">
        <v>55.80718475073313782991202346</v>
      </c>
      <c r="H21" s="95">
        <v>33.515315912854336070114097421</v>
      </c>
      <c r="I21" s="440">
        <v>58.215732912260674338385803634</v>
      </c>
      <c r="J21" s="439">
        <v>0</v>
      </c>
      <c r="K21" s="95">
        <v>0.9480685416820863173903309612</v>
      </c>
      <c r="L21" s="440">
        <v>13.854285097292722238301902074</v>
      </c>
      <c r="M21" s="439">
        <v>254.33015640273704789833822092</v>
      </c>
      <c r="N21" s="95">
        <v>243.60433813196764825281828686</v>
      </c>
      <c r="O21" s="440">
        <v>219.18865605829497845243883756</v>
      </c>
      <c r="P21" s="5"/>
      <c r="Q21" s="420">
        <v>-7.8182818820714574081607023100</v>
      </c>
      <c r="R21" s="91">
        <v>5.3535367658413777705226186800</v>
      </c>
      <c r="S21" s="421">
        <v>0.1963342717195081888115307700</v>
      </c>
      <c r="T21" s="420">
        <v>34.724254295000575328785787260</v>
      </c>
      <c r="U21" s="91">
        <v>-14.119949372753439115103521540</v>
      </c>
      <c r="V21" s="421">
        <v>9.568010526832869642264661980</v>
      </c>
      <c r="W21" s="420">
        <v>0</v>
      </c>
      <c r="X21" s="91">
        <v>-9.948387088326487797333480800</v>
      </c>
      <c r="Y21" s="421">
        <v>18.114551457424491055850794790</v>
      </c>
      <c r="Z21" s="420">
        <v>-0.955499786354193472357622200</v>
      </c>
      <c r="AA21" s="91">
        <v>2.1008000578337641689586647400</v>
      </c>
      <c r="AB21" s="421">
        <v>3.5413302828551680789275257100</v>
      </c>
    </row>
    <row r="22" ht="18" customHeight="1">
      <c r="A22" s="58"/>
      <c r="B22" s="286"/>
      <c r="C22" s="287" t="s">
        <v>220</v>
      </c>
      <c r="D22" s="276">
        <v>259.83468614718614718614718615</v>
      </c>
      <c r="E22" s="94">
        <v>273.95094241565493154041520346</v>
      </c>
      <c r="F22" s="277">
        <v>194.48357469320680782049218623</v>
      </c>
      <c r="G22" s="276">
        <v>56.427218614718614718614718615</v>
      </c>
      <c r="H22" s="94">
        <v>52.909176161142428548505046857</v>
      </c>
      <c r="I22" s="277">
        <v>68.521489048906958072554898311</v>
      </c>
      <c r="J22" s="276">
        <v>0</v>
      </c>
      <c r="K22" s="94">
        <v>1.3348776201325251275090125816</v>
      </c>
      <c r="L22" s="277">
        <v>14.425816369176580557353235123</v>
      </c>
      <c r="M22" s="276">
        <v>316.26190476190476190476190476</v>
      </c>
      <c r="N22" s="94">
        <v>328.1949961969298852164292629</v>
      </c>
      <c r="O22" s="277">
        <v>277.43088011129034645040031966</v>
      </c>
      <c r="P22" s="5"/>
      <c r="Q22" s="271">
        <v>0.585440838970464891799899400</v>
      </c>
      <c r="R22" s="92">
        <v>15.762704093104831439279436030</v>
      </c>
      <c r="S22" s="272">
        <v>2.1458434474201459523048231800</v>
      </c>
      <c r="T22" s="271">
        <v>-16.902275973595877954753215980</v>
      </c>
      <c r="U22" s="92">
        <v>-24.232713121183520323822436380</v>
      </c>
      <c r="V22" s="272">
        <v>4.1440456814381461942758809500</v>
      </c>
      <c r="W22" s="271">
        <v>0</v>
      </c>
      <c r="X22" s="92">
        <v>13.206112235034548104954825650</v>
      </c>
      <c r="Y22" s="272">
        <v>19.003879296562958792404668860</v>
      </c>
      <c r="Z22" s="271">
        <v>-3.0546540848195071602992651500</v>
      </c>
      <c r="AA22" s="92">
        <v>6.6749126782553686076810081900</v>
      </c>
      <c r="AB22" s="272">
        <v>3.3974582557144172507059322500</v>
      </c>
    </row>
    <row r="23" ht="18" customHeight="1">
      <c r="A23" s="58"/>
      <c r="B23" s="288"/>
      <c r="C23" s="289" t="s">
        <v>221</v>
      </c>
      <c r="D23" s="439">
        <v>223.80351906158357771260997067</v>
      </c>
      <c r="E23" s="95">
        <v>240.50652055963453517307726817</v>
      </c>
      <c r="F23" s="440">
        <v>183.88022564509237002036294178</v>
      </c>
      <c r="G23" s="439">
        <v>47.424242424242424242424242424</v>
      </c>
      <c r="H23" s="95">
        <v>25.079849861213232789294872657</v>
      </c>
      <c r="I23" s="440">
        <v>44.49507122490995897202654432</v>
      </c>
      <c r="J23" s="439">
        <v>0</v>
      </c>
      <c r="K23" s="95">
        <v>0.010305093626203870373073552</v>
      </c>
      <c r="L23" s="440">
        <v>14.078738813372052363231196751</v>
      </c>
      <c r="M23" s="439">
        <v>271.2277614858260019550342131</v>
      </c>
      <c r="N23" s="95">
        <v>265.59667551447397183274521438</v>
      </c>
      <c r="O23" s="440">
        <v>242.45403568337438135562068286</v>
      </c>
      <c r="P23" s="5"/>
      <c r="Q23" s="420">
        <v>-14.775950507371911471581757820</v>
      </c>
      <c r="R23" s="91">
        <v>-2.9957156246032425205264115700</v>
      </c>
      <c r="S23" s="421">
        <v>-3.9973921696135110196085785500</v>
      </c>
      <c r="T23" s="420">
        <v>76.973234234431341423440438560</v>
      </c>
      <c r="U23" s="91">
        <v>19.14314919519912306094322500</v>
      </c>
      <c r="V23" s="421">
        <v>18.700248399603575649831802530</v>
      </c>
      <c r="W23" s="420">
        <v>0</v>
      </c>
      <c r="X23" s="91">
        <v>-98.85714277971053450379925141</v>
      </c>
      <c r="Y23" s="421">
        <v>20.133832766176933461249886650</v>
      </c>
      <c r="Z23" s="420">
        <v>-6.2804045467081948954270206200</v>
      </c>
      <c r="AA23" s="91">
        <v>-1.5892343826287294202337856200</v>
      </c>
      <c r="AB23" s="421">
        <v>0.7115054141119959665808963300</v>
      </c>
    </row>
    <row r="24" ht="18" customHeight="1">
      <c r="A24" s="59"/>
      <c r="B24" s="286"/>
      <c r="C24" s="287" t="s">
        <v>223</v>
      </c>
      <c r="D24" s="276">
        <v>217.70909090909090909090909091</v>
      </c>
      <c r="E24" s="94">
        <v>208.59701851662368445377165554</v>
      </c>
      <c r="F24" s="277">
        <v>146.90232596268429981819465124</v>
      </c>
      <c r="G24" s="276">
        <v>30.278282828282828282828282828</v>
      </c>
      <c r="H24" s="94">
        <v>28.343431628584447201601045334</v>
      </c>
      <c r="I24" s="277">
        <v>51.293138842971561537883391792</v>
      </c>
      <c r="J24" s="276">
        <v>0</v>
      </c>
      <c r="K24" s="94">
        <v>0</v>
      </c>
      <c r="L24" s="277">
        <v>11.501803804101079486849730718</v>
      </c>
      <c r="M24" s="276">
        <v>247.98737373737373737373737374</v>
      </c>
      <c r="N24" s="94">
        <v>236.94045014520813165537270087</v>
      </c>
      <c r="O24" s="277">
        <v>209.69726860975694084292777374</v>
      </c>
      <c r="P24" s="93"/>
      <c r="Q24" s="271">
        <v>-6.0348905392651950782129212800</v>
      </c>
      <c r="R24" s="92">
        <v>12.131032503904349927941767210</v>
      </c>
      <c r="S24" s="272">
        <v>3.1052425836615002960909816700</v>
      </c>
      <c r="T24" s="271">
        <v>226.80639973830556227755040414</v>
      </c>
      <c r="U24" s="92">
        <v>-16.532482795717068076794552420</v>
      </c>
      <c r="V24" s="272">
        <v>9.231120799498109013756050540</v>
      </c>
      <c r="W24" s="271">
        <v>0</v>
      </c>
      <c r="X24" s="92">
        <v>-100</v>
      </c>
      <c r="Y24" s="272">
        <v>9.550554290489061775837194400</v>
      </c>
      <c r="Z24" s="271">
        <v>2.9179814858149940578076020500</v>
      </c>
      <c r="AA24" s="92">
        <v>6.9712268763307712876541737300</v>
      </c>
      <c r="AB24" s="272">
        <v>4.8824711232981229439887483500</v>
      </c>
    </row>
    <row r="25" ht="18" customHeight="1">
      <c r="A25" s="60"/>
      <c r="B25" s="288"/>
      <c r="C25" s="289" t="s">
        <v>224</v>
      </c>
      <c r="D25" s="439">
        <v>155.00586510263929618768328446</v>
      </c>
      <c r="E25" s="95">
        <v>162.1843389096944176876764069</v>
      </c>
      <c r="F25" s="440">
        <v>116.61082195543732044712099438</v>
      </c>
      <c r="G25" s="439">
        <v>25.834310850439882697947214076</v>
      </c>
      <c r="H25" s="95">
        <v>28.833932332850003509588059261</v>
      </c>
      <c r="I25" s="440">
        <v>29.457740469601551450405914918</v>
      </c>
      <c r="J25" s="439">
        <v>0</v>
      </c>
      <c r="K25" s="95">
        <v>0</v>
      </c>
      <c r="L25" s="440">
        <v>10.883869693542133651781179081</v>
      </c>
      <c r="M25" s="439">
        <v>180.84017595307917888563049853</v>
      </c>
      <c r="N25" s="95">
        <v>191.01827124254442119726446616</v>
      </c>
      <c r="O25" s="440">
        <v>156.95243211858100554930808838</v>
      </c>
      <c r="P25" s="93"/>
      <c r="Q25" s="420">
        <v>-1.073511269273356024519650200</v>
      </c>
      <c r="R25" s="91">
        <v>0.2031796036046843306049424300</v>
      </c>
      <c r="S25" s="421">
        <v>-7.7130257268464311774311166700</v>
      </c>
      <c r="T25" s="420">
        <v>-22.186727122736054095588013540</v>
      </c>
      <c r="U25" s="91">
        <v>23.427528725252232226154590300</v>
      </c>
      <c r="V25" s="421">
        <v>2.1954583560132922193956728300</v>
      </c>
      <c r="W25" s="420">
        <v>0</v>
      </c>
      <c r="X25" s="91">
        <v>-100</v>
      </c>
      <c r="Y25" s="421">
        <v>12.594027757877189794755366570</v>
      </c>
      <c r="Z25" s="420">
        <v>-4.7649812167838871871079262500</v>
      </c>
      <c r="AA25" s="91">
        <v>2.3916752206624593115112967300</v>
      </c>
      <c r="AB25" s="421">
        <v>-4.7896765009142554324259728800</v>
      </c>
    </row>
    <row r="26" ht="18" customHeight="1">
      <c r="A26" s="60"/>
      <c r="B26" s="290"/>
      <c r="C26" s="291" t="s">
        <v>225</v>
      </c>
      <c r="D26" s="443">
        <v>138.40151515151515151515151515</v>
      </c>
      <c r="E26" s="444">
        <v>125.77935830032840173544572349</v>
      </c>
      <c r="F26" s="445">
        <v>98.41238444454318236571189188</v>
      </c>
      <c r="G26" s="443">
        <v>3.354040404040404040404040404</v>
      </c>
      <c r="H26" s="444">
        <v>28.17495470386649984570948787</v>
      </c>
      <c r="I26" s="445">
        <v>25.704223907245823894271112781</v>
      </c>
      <c r="J26" s="443">
        <v>0</v>
      </c>
      <c r="K26" s="444">
        <v>0</v>
      </c>
      <c r="L26" s="445">
        <v>10.873933747403611963777087616</v>
      </c>
      <c r="M26" s="443">
        <v>141.75555555555555555555555556</v>
      </c>
      <c r="N26" s="444">
        <v>153.95431300419490158115521136</v>
      </c>
      <c r="O26" s="445">
        <v>134.99054209919261822376009227</v>
      </c>
      <c r="P26" s="184"/>
      <c r="Q26" s="273">
        <v>21.834757150793843581867358760</v>
      </c>
      <c r="R26" s="274">
        <v>1.9637080473589830800864761200</v>
      </c>
      <c r="S26" s="275">
        <v>-0.524306874140440983146985100</v>
      </c>
      <c r="T26" s="273">
        <v>-83.62955111298651254380122838</v>
      </c>
      <c r="U26" s="274">
        <v>102.61843833919190522411561657</v>
      </c>
      <c r="V26" s="275">
        <v>32.087201395455436561798858240</v>
      </c>
      <c r="W26" s="273">
        <v>0</v>
      </c>
      <c r="X26" s="274">
        <v>-100</v>
      </c>
      <c r="Y26" s="275">
        <v>1.5618298069133483593331677300</v>
      </c>
      <c r="Z26" s="273">
        <v>5.7197903503226135601375834500</v>
      </c>
      <c r="AA26" s="274">
        <v>11.226550659756230681314416100</v>
      </c>
      <c r="AB26" s="275">
        <v>4.5645230948590274594695957300</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 customHeight="1">
      <c r="A29" s="58"/>
      <c r="B29" s="284">
        <v>2023</v>
      </c>
      <c r="C29" s="285"/>
      <c r="D29" s="454">
        <v>210.43943579440817009877783358</v>
      </c>
      <c r="E29" s="455">
        <v>193.2316881416389080376183119</v>
      </c>
      <c r="F29" s="456">
        <v>146.70398135750601102567752283</v>
      </c>
      <c r="G29" s="454">
        <v>33.987192365645404319437468609</v>
      </c>
      <c r="H29" s="455">
        <v>29.983404435751602045539182595</v>
      </c>
      <c r="I29" s="456">
        <v>40.958079336403893860000913796</v>
      </c>
      <c r="J29" s="454">
        <v>0</v>
      </c>
      <c r="K29" s="455">
        <v>0.7066475134247413167772554447</v>
      </c>
      <c r="L29" s="456">
        <v>10.072518562365300177979741666</v>
      </c>
      <c r="M29" s="454">
        <v>244.42662816005357441821530219</v>
      </c>
      <c r="N29" s="455">
        <v>223.92174009081525139993474994</v>
      </c>
      <c r="O29" s="456">
        <v>197.73457925627520506365817829</v>
      </c>
      <c r="P29" s="5"/>
      <c r="Q29" s="427">
        <v>-12.383201714601452728608093310</v>
      </c>
      <c r="R29" s="428">
        <v>-11.215172771671412758038573300</v>
      </c>
      <c r="S29" s="429">
        <v>-4.2610833253686835426962849900</v>
      </c>
      <c r="T29" s="427">
        <v>-15.133431296624044255951927060</v>
      </c>
      <c r="U29" s="428">
        <v>-20.866169388480064155442424880</v>
      </c>
      <c r="V29" s="429">
        <v>3.0728320697755571352018505800</v>
      </c>
      <c r="W29" s="427">
        <v>0</v>
      </c>
      <c r="X29" s="428">
        <v>49.162676684657397372248764340</v>
      </c>
      <c r="Y29" s="429">
        <v>10.033743783708125946929520690</v>
      </c>
      <c r="Z29" s="427">
        <v>-12.776239122684775657125947130</v>
      </c>
      <c r="AA29" s="428">
        <v>-12.531824826570026301860234860</v>
      </c>
      <c r="AB29" s="429">
        <v>-2.1718593148999697355030003900</v>
      </c>
    </row>
    <row r="30" ht="18" customHeight="1">
      <c r="A30" s="58"/>
      <c r="B30" s="286">
        <v>2024</v>
      </c>
      <c r="C30" s="287"/>
      <c r="D30" s="276">
        <v>206.1775308025308025308025308</v>
      </c>
      <c r="E30" s="94">
        <v>192.07266813303426679949323649</v>
      </c>
      <c r="F30" s="277">
        <v>148.94779862049953667236882314</v>
      </c>
      <c r="G30" s="276">
        <v>32.999375624375624375624375624</v>
      </c>
      <c r="H30" s="94">
        <v>33.025985496113611342437224394</v>
      </c>
      <c r="I30" s="277">
        <v>41.542227670249987914382281603</v>
      </c>
      <c r="J30" s="276">
        <v>0</v>
      </c>
      <c r="K30" s="94">
        <v>1.188326347861508947259422148</v>
      </c>
      <c r="L30" s="277">
        <v>11.055190214864284130190521577</v>
      </c>
      <c r="M30" s="276">
        <v>239.17690642690642690642690643</v>
      </c>
      <c r="N30" s="94">
        <v>226.28697997700938708918988303</v>
      </c>
      <c r="O30" s="277">
        <v>201.54521650561380871694162631</v>
      </c>
      <c r="P30" s="5"/>
      <c r="Q30" s="271">
        <v>-2.0252406474008475484859272100</v>
      </c>
      <c r="R30" s="92">
        <v>-0.5998084577703448019891826800</v>
      </c>
      <c r="S30" s="272">
        <v>1.529486277220809182611363700</v>
      </c>
      <c r="T30" s="271">
        <v>-2.9064381976552742978823950600</v>
      </c>
      <c r="U30" s="92">
        <v>10.147550345152895042407152300</v>
      </c>
      <c r="V30" s="272">
        <v>1.4262102699011263844549263300</v>
      </c>
      <c r="W30" s="271">
        <v>0</v>
      </c>
      <c r="X30" s="92">
        <v>68.163946709998986498863713120</v>
      </c>
      <c r="Y30" s="272">
        <v>9.755967649764657337063966660</v>
      </c>
      <c r="Z30" s="271">
        <v>-2.1477699760907364650351534100</v>
      </c>
      <c r="AA30" s="92">
        <v>1.0562797007786225316411411300</v>
      </c>
      <c r="AB30" s="272">
        <v>1.9271476256940013270455345600</v>
      </c>
    </row>
    <row r="31" ht="18" customHeight="1">
      <c r="A31" s="58"/>
      <c r="B31" s="425">
        <v>2025</v>
      </c>
      <c r="C31" s="426"/>
      <c r="D31" s="457">
        <v>198.09940565879792399129415704</v>
      </c>
      <c r="E31" s="458">
        <v>202.58952430771528292439911938</v>
      </c>
      <c r="F31" s="459">
        <v>147.74330803221938045437182007</v>
      </c>
      <c r="G31" s="457">
        <v>36.408672358948602042524694458</v>
      </c>
      <c r="H31" s="458">
        <v>32.526577700552271570256161423</v>
      </c>
      <c r="I31" s="459">
        <v>46.142596635277738551078947176</v>
      </c>
      <c r="J31" s="457">
        <v>0</v>
      </c>
      <c r="K31" s="458">
        <v>0.3706417461782745822702645977</v>
      </c>
      <c r="L31" s="459">
        <v>12.601045117658456005781045852</v>
      </c>
      <c r="M31" s="457">
        <v>234.5080780177465260338188515</v>
      </c>
      <c r="N31" s="458">
        <v>235.4867437544458290769255454</v>
      </c>
      <c r="O31" s="459">
        <v>206.4869497851555750112318131</v>
      </c>
      <c r="P31" s="93"/>
      <c r="Q31" s="430">
        <v>-3.9180434028188123609225863600</v>
      </c>
      <c r="R31" s="431">
        <v>5.4754569075038439292252695500</v>
      </c>
      <c r="S31" s="432">
        <v>-0.808666257196259739083479600</v>
      </c>
      <c r="T31" s="430">
        <v>10.331397700833287898700035440</v>
      </c>
      <c r="U31" s="431">
        <v>-1.512166217134392286982866500</v>
      </c>
      <c r="V31" s="432">
        <v>11.073958290344112002451646450</v>
      </c>
      <c r="W31" s="430">
        <v>0</v>
      </c>
      <c r="X31" s="431">
        <v>-68.809767886299125096571074880</v>
      </c>
      <c r="Y31" s="432">
        <v>13.983069243575553213804394090</v>
      </c>
      <c r="Z31" s="430">
        <v>-1.9520398013762315556109819400</v>
      </c>
      <c r="AA31" s="431">
        <v>4.0655294345175762418432505200</v>
      </c>
      <c r="AB31" s="432">
        <v>2.451922881244997114521987800</v>
      </c>
    </row>
    <row r="32" ht="21"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 customHeight="1">
      <c r="A34" s="58"/>
      <c r="B34" s="284">
        <v>2023</v>
      </c>
      <c r="C34" s="285"/>
      <c r="D34" s="454">
        <v>172.84681984681984681984681985</v>
      </c>
      <c r="E34" s="455">
        <v>153.82947186475438145664460085</v>
      </c>
      <c r="F34" s="456">
        <v>121.93145768955125586543577372</v>
      </c>
      <c r="G34" s="454">
        <v>24.444638694638694638694638695</v>
      </c>
      <c r="H34" s="455">
        <v>20.841144301940441182586706351</v>
      </c>
      <c r="I34" s="456">
        <v>29.585783208138614589729761431</v>
      </c>
      <c r="J34" s="454">
        <v>0</v>
      </c>
      <c r="K34" s="455">
        <v>1.0314352571959042524636386956</v>
      </c>
      <c r="L34" s="456">
        <v>9.33039252270139746973467675</v>
      </c>
      <c r="M34" s="454">
        <v>197.29145854145854145854145854</v>
      </c>
      <c r="N34" s="455">
        <v>175.70205142389072689169494591</v>
      </c>
      <c r="O34" s="456">
        <v>160.8476334203912679249002119</v>
      </c>
      <c r="P34" s="5"/>
      <c r="Q34" s="427">
        <v>-18.258521741918451091935035510</v>
      </c>
      <c r="R34" s="428">
        <v>-19.984501293862660912632019010</v>
      </c>
      <c r="S34" s="429">
        <v>-10.262656362565034114746665150</v>
      </c>
      <c r="T34" s="427">
        <v>-46.657135175191088426152985820</v>
      </c>
      <c r="U34" s="428">
        <v>-53.247550804282336721722350100</v>
      </c>
      <c r="V34" s="429">
        <v>-27.063109357412834266018713830</v>
      </c>
      <c r="W34" s="427">
        <v>0</v>
      </c>
      <c r="X34" s="428">
        <v>104.10114144011122459650650827</v>
      </c>
      <c r="Y34" s="429">
        <v>6.6083668350949412702791187600</v>
      </c>
      <c r="Z34" s="427">
        <v>-23.316730621577094592165362270</v>
      </c>
      <c r="AA34" s="428">
        <v>-25.968008624348405146630830560</v>
      </c>
      <c r="AB34" s="429">
        <v>-13.145240932564762320567209020</v>
      </c>
    </row>
    <row r="35" ht="18" customHeight="1">
      <c r="A35" s="58"/>
      <c r="B35" s="286">
        <v>2024</v>
      </c>
      <c r="C35" s="287"/>
      <c r="D35" s="276">
        <v>167.20879120879120879120879121</v>
      </c>
      <c r="E35" s="94">
        <v>157.13319138028585693614726247</v>
      </c>
      <c r="F35" s="277">
        <v>122.68561427138090845467006383</v>
      </c>
      <c r="G35" s="276">
        <v>21.118797868797868797868797869</v>
      </c>
      <c r="H35" s="94">
        <v>23.737116667725645816200433744</v>
      </c>
      <c r="I35" s="277">
        <v>31.744390214648631964629546919</v>
      </c>
      <c r="J35" s="276">
        <v>0</v>
      </c>
      <c r="K35" s="94">
        <v>1.3349575286190303157458752631</v>
      </c>
      <c r="L35" s="277">
        <v>10.282904046927298897877150862</v>
      </c>
      <c r="M35" s="276">
        <v>188.32758907758907758907758908</v>
      </c>
      <c r="N35" s="94">
        <v>182.20526557663053306809357148</v>
      </c>
      <c r="O35" s="277">
        <v>164.71290853295683931717676161</v>
      </c>
      <c r="P35" s="5"/>
      <c r="Q35" s="271">
        <v>-3.2618642581946067925029493700</v>
      </c>
      <c r="R35" s="92">
        <v>2.1476505609987925425744359200</v>
      </c>
      <c r="S35" s="272">
        <v>0.6185086244935734509941772500</v>
      </c>
      <c r="T35" s="271">
        <v>-13.605604350932107812587698230</v>
      </c>
      <c r="U35" s="92">
        <v>13.895457580808708868087767500</v>
      </c>
      <c r="V35" s="272">
        <v>7.2960955313079162514569014400</v>
      </c>
      <c r="W35" s="271">
        <v>0</v>
      </c>
      <c r="X35" s="92">
        <v>29.427176286662068521141422070</v>
      </c>
      <c r="Y35" s="272">
        <v>10.208697243014424352596919520</v>
      </c>
      <c r="Z35" s="271">
        <v>-4.5434655560749398611959224200</v>
      </c>
      <c r="AA35" s="92">
        <v>3.7012738895352069910406618100</v>
      </c>
      <c r="AB35" s="272">
        <v>2.4030662002059731967027766500</v>
      </c>
    </row>
    <row r="36" ht="18" customHeight="1">
      <c r="A36" s="58"/>
      <c r="B36" s="425">
        <v>2025</v>
      </c>
      <c r="C36" s="426"/>
      <c r="D36" s="457">
        <v>170.2032967032967032967032967</v>
      </c>
      <c r="E36" s="458">
        <v>165.48358033746252235158780203</v>
      </c>
      <c r="F36" s="459">
        <v>120.89575305232294961671411627</v>
      </c>
      <c r="G36" s="457">
        <v>19.888278388278388278388278388</v>
      </c>
      <c r="H36" s="458">
        <v>28.454983431778884837544459706</v>
      </c>
      <c r="I36" s="459">
        <v>35.545458943226825116069986164</v>
      </c>
      <c r="J36" s="457">
        <v>0</v>
      </c>
      <c r="K36" s="458">
        <v>0</v>
      </c>
      <c r="L36" s="459">
        <v>11.08698513562283855034609828</v>
      </c>
      <c r="M36" s="457">
        <v>190.09157509157509157509157509</v>
      </c>
      <c r="N36" s="458">
        <v>193.93856376924140718913226174</v>
      </c>
      <c r="O36" s="459">
        <v>167.52819713117261328313020072</v>
      </c>
      <c r="P36" s="93"/>
      <c r="Q36" s="430">
        <v>1.790878023128191857096575800</v>
      </c>
      <c r="R36" s="431">
        <v>5.3142107557356095743802967900</v>
      </c>
      <c r="S36" s="432">
        <v>-1.4589006459368528980205168700</v>
      </c>
      <c r="T36" s="430">
        <v>-5.8266549458268553472435118100</v>
      </c>
      <c r="U36" s="431">
        <v>19.875483741876139852193812900</v>
      </c>
      <c r="V36" s="432">
        <v>11.973985648899386359391070470</v>
      </c>
      <c r="W36" s="430">
        <v>0</v>
      </c>
      <c r="X36" s="431">
        <v>-100</v>
      </c>
      <c r="Y36" s="432">
        <v>7.8195914797556229868596565600</v>
      </c>
      <c r="Z36" s="430">
        <v>0.9366583104551106031407906300</v>
      </c>
      <c r="AA36" s="431">
        <v>6.4396043415708369105770989200</v>
      </c>
      <c r="AB36" s="432">
        <v>1.709209450095147924972013900</v>
      </c>
    </row>
    <row r="37" ht="21"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972" t="s">
        <v>45</v>
      </c>
      <c r="C38" s="972"/>
      <c r="D38" s="972"/>
      <c r="E38" s="972"/>
      <c r="F38" s="972"/>
      <c r="G38" s="972"/>
      <c r="H38" s="972"/>
      <c r="I38" s="972"/>
      <c r="J38" s="972"/>
      <c r="K38" s="972"/>
      <c r="L38" s="972"/>
      <c r="M38" s="972"/>
      <c r="N38" s="972"/>
      <c r="O38" s="972"/>
      <c r="P38" s="467"/>
      <c r="Q38" s="971"/>
      <c r="R38" s="971"/>
      <c r="S38" s="971"/>
      <c r="T38" s="971"/>
      <c r="U38" s="971"/>
      <c r="V38" s="971"/>
      <c r="W38" s="971"/>
      <c r="X38" s="971"/>
      <c r="Y38" s="971"/>
      <c r="Z38" s="971"/>
      <c r="AA38" s="971"/>
      <c r="AB38" s="971"/>
      <c r="AC38" s="9"/>
    </row>
    <row r="39" ht="18" customHeight="1">
      <c r="A39" s="58"/>
      <c r="B39" s="284">
        <v>2023</v>
      </c>
      <c r="C39" s="285"/>
      <c r="D39" s="454">
        <v>192.20184723951847239518472395</v>
      </c>
      <c r="E39" s="455">
        <v>168.38277658070597656577848096</v>
      </c>
      <c r="F39" s="456">
        <v>129.96365712127449745607641473</v>
      </c>
      <c r="G39" s="454">
        <v>24.384308841843088418430884184</v>
      </c>
      <c r="H39" s="455">
        <v>25.020054480158074550261636569</v>
      </c>
      <c r="I39" s="456">
        <v>32.27565351111228506311059387</v>
      </c>
      <c r="J39" s="454">
        <v>0</v>
      </c>
      <c r="K39" s="455">
        <v>0.3855774562518618564110594238</v>
      </c>
      <c r="L39" s="456">
        <v>9.464508861885220588106496345</v>
      </c>
      <c r="M39" s="454">
        <v>216.58615608136156081361560814</v>
      </c>
      <c r="N39" s="455">
        <v>193.78840851711591297245117695</v>
      </c>
      <c r="O39" s="456">
        <v>171.70381949427200310729350495</v>
      </c>
      <c r="P39" s="5"/>
      <c r="Q39" s="427">
        <v>-7.992402353741983667813218950</v>
      </c>
      <c r="R39" s="428">
        <v>-7.8324770597610605546488694200</v>
      </c>
      <c r="S39" s="429">
        <v>-1.808897943547566922636466500</v>
      </c>
      <c r="T39" s="427">
        <v>0.2781720704989541922167972600</v>
      </c>
      <c r="U39" s="428">
        <v>-0.659066302558065934859009500</v>
      </c>
      <c r="V39" s="429">
        <v>20.662315862216102460812467750</v>
      </c>
      <c r="W39" s="427">
        <v>0</v>
      </c>
      <c r="X39" s="428">
        <v>0.9871148729029806023594130600</v>
      </c>
      <c r="Y39" s="429">
        <v>25.181511052122504103606808830</v>
      </c>
      <c r="Z39" s="427">
        <v>-7.1300510409279076674125020700</v>
      </c>
      <c r="AA39" s="428">
        <v>-6.9487869451489313752759433100</v>
      </c>
      <c r="AB39" s="429">
        <v>3.0219323416607280103926329400</v>
      </c>
    </row>
    <row r="40" ht="18" customHeight="1">
      <c r="A40" s="58"/>
      <c r="B40" s="286">
        <v>2024</v>
      </c>
      <c r="C40" s="287"/>
      <c r="D40" s="276">
        <v>176.42643649610862725616823977</v>
      </c>
      <c r="E40" s="94">
        <v>157.88954906099286177760504267</v>
      </c>
      <c r="F40" s="277">
        <v>128.79416338362550994943324476</v>
      </c>
      <c r="G40" s="276">
        <v>24.644518960092730584533863222</v>
      </c>
      <c r="H40" s="94">
        <v>25.981369062738375661868666178</v>
      </c>
      <c r="I40" s="277">
        <v>31.76592849933828093131694398</v>
      </c>
      <c r="J40" s="276">
        <v>0</v>
      </c>
      <c r="K40" s="94">
        <v>1.1609911901208919674328938167</v>
      </c>
      <c r="L40" s="277">
        <v>10.320779015798030559733465589</v>
      </c>
      <c r="M40" s="276">
        <v>201.070955456201357840702103</v>
      </c>
      <c r="N40" s="94">
        <v>185.03190931385212940690660266</v>
      </c>
      <c r="O40" s="277">
        <v>170.88087089876182144048365433</v>
      </c>
      <c r="P40" s="5"/>
      <c r="Q40" s="271">
        <v>-8.207731075411495300677952890</v>
      </c>
      <c r="R40" s="92">
        <v>-6.2317700971501083152615789800</v>
      </c>
      <c r="S40" s="272">
        <v>-0.8998621334447039164943853400</v>
      </c>
      <c r="T40" s="271">
        <v>1.0671211555796649913716777400</v>
      </c>
      <c r="U40" s="92">
        <v>3.8421762162793312568202989600</v>
      </c>
      <c r="V40" s="272">
        <v>-1.5792864165753244204434001900</v>
      </c>
      <c r="W40" s="271">
        <v>0</v>
      </c>
      <c r="X40" s="92">
        <v>201.10453065948398587246290122</v>
      </c>
      <c r="Y40" s="272">
        <v>9.047169445263051296604392570</v>
      </c>
      <c r="Z40" s="271">
        <v>-7.1635237015645329917690432400</v>
      </c>
      <c r="AA40" s="92">
        <v>-4.5185877061760337927215577300</v>
      </c>
      <c r="AB40" s="272">
        <v>-0.4792838027493603520410093200</v>
      </c>
    </row>
    <row r="41" ht="18" customHeight="1">
      <c r="A41" s="58"/>
      <c r="B41" s="425">
        <v>2025</v>
      </c>
      <c r="C41" s="426"/>
      <c r="D41" s="457">
        <v>167.21463262764632627646326276</v>
      </c>
      <c r="E41" s="458">
        <v>163.51248400260418644951678945</v>
      </c>
      <c r="F41" s="459">
        <v>128.9471477089761682534947992</v>
      </c>
      <c r="G41" s="457">
        <v>26.917559153175591531755915318</v>
      </c>
      <c r="H41" s="458">
        <v>25.586164998778292432591779106</v>
      </c>
      <c r="I41" s="459">
        <v>34.083739474702386390899551703</v>
      </c>
      <c r="J41" s="457">
        <v>0</v>
      </c>
      <c r="K41" s="458">
        <v>0.9351403075859466373917563335</v>
      </c>
      <c r="L41" s="459">
        <v>11.612428772007871971290744564</v>
      </c>
      <c r="M41" s="457">
        <v>194.13219178082191780821917808</v>
      </c>
      <c r="N41" s="458">
        <v>190.03378930896842551950032489</v>
      </c>
      <c r="O41" s="459">
        <v>174.64331595568642661568509546</v>
      </c>
      <c r="P41" s="93"/>
      <c r="Q41" s="430">
        <v>-5.221328532959007839124007100</v>
      </c>
      <c r="R41" s="431">
        <v>3.5613091398670015038157582800</v>
      </c>
      <c r="S41" s="432">
        <v>0.1187820327855388723862214800</v>
      </c>
      <c r="T41" s="430">
        <v>9.223309234624104111632013830</v>
      </c>
      <c r="U41" s="431">
        <v>-1.5211056159818766524103646500</v>
      </c>
      <c r="V41" s="432">
        <v>7.2965314879855065823605636100</v>
      </c>
      <c r="W41" s="430">
        <v>0</v>
      </c>
      <c r="X41" s="431">
        <v>-19.453281337526780136093615520</v>
      </c>
      <c r="Y41" s="432">
        <v>12.515041299019148128699579360</v>
      </c>
      <c r="Z41" s="430">
        <v>-3.4509030205954224526483721600</v>
      </c>
      <c r="AA41" s="431">
        <v>2.7032526517266356721912302800</v>
      </c>
      <c r="AB41" s="432">
        <v>2.2017941722187513416703451900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row>
    <row r="44" ht="12" customHeight="1">
      <c r="Z44" s="55"/>
      <c r="AA44" s="233"/>
      <c r="AB44" s="233"/>
    </row>
    <row r="45" ht="12" customHeight="1"/>
    <row r="46">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sheetData>
  <mergeCells count="22">
    <mergeCell ref="B43:AB43"/>
    <mergeCell ref="B33:O33"/>
    <mergeCell ref="B38:O38"/>
    <mergeCell ref="B8:C8"/>
    <mergeCell ref="Q28:AB28"/>
    <mergeCell ref="Q33:AB33"/>
    <mergeCell ref="Q38:AB38"/>
    <mergeCell ref="B28:O28"/>
    <mergeCell ref="Q7:S7"/>
    <mergeCell ref="T7:V7"/>
    <mergeCell ref="W7:Y7"/>
    <mergeCell ref="Z7:AB7"/>
    <mergeCell ref="D7:F7"/>
    <mergeCell ref="M7:O7"/>
    <mergeCell ref="J7:L7"/>
    <mergeCell ref="G7:I7"/>
    <mergeCell ref="B4:AB4"/>
    <mergeCell ref="B2:AB2"/>
    <mergeCell ref="Q6:AB6"/>
    <mergeCell ref="D6:O6"/>
    <mergeCell ref="B3:Q3"/>
    <mergeCell ref="R3:AB3"/>
  </mergeCells>
  <phoneticPr fontId="0" type="noConversion"/>
  <printOptions horizontalCentered="1" verticalCentered="1"/>
  <pageMargins left="0.25" right="0.25" top="0.25" bottom="0.25" header="0" footer="0"/>
  <pageSetup scale="70" fitToWidth="1" fitToHeight="1" orientation="landscape" r:id="rId1"/>
  <headerFooter alignWithMargins="0">
    <oddHeader/>
    <oddFooter/>
  </headerFooter>
  <rowBreaks count="1" manualBreakCount="1">
    <brk id="46" max="16383" man="1"/>
  </rowBreaks>
  <colBreaks count="1" manualBreakCount="1">
    <brk id="30" max="1048575" man="1"/>
  </colBreaks>
  <drawing r:id="rId47"/>
</worksheet>
</file>

<file path=xl/worksheets/sheet10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pageSetUpPr fitToPage="1"/>
  </sheetPr>
  <dimension ref="A1:AP81"/>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185</v>
      </c>
      <c r="Y1" s="21"/>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54</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218</v>
      </c>
      <c r="D9" s="415">
        <v>110.37013016701791247037045946</v>
      </c>
      <c r="E9" s="416">
        <v>98.29342086065174398991498235</v>
      </c>
      <c r="F9" s="417">
        <v>108.48657654962050352607039546</v>
      </c>
      <c r="G9" s="415">
        <v>106.33329721512302751690527647</v>
      </c>
      <c r="H9" s="416">
        <v>99.82148348721965630183629923</v>
      </c>
      <c r="I9" s="417">
        <v>106.14347472124739391785120236</v>
      </c>
      <c r="J9" s="415">
        <v>0</v>
      </c>
      <c r="K9" s="416">
        <v>0</v>
      </c>
      <c r="L9" s="417">
        <v>0</v>
      </c>
      <c r="M9" s="415">
        <v>108.88476955993084577928047706</v>
      </c>
      <c r="N9" s="416">
        <v>98.84267365398966013427742065</v>
      </c>
      <c r="O9" s="417">
        <v>107.62461743501151711450852889</v>
      </c>
      <c r="P9" s="5"/>
      <c r="Q9" s="415">
        <v>3.988731015982737122915293800</v>
      </c>
      <c r="R9" s="416">
        <v>0.3649275486407058865436021800</v>
      </c>
      <c r="S9" s="417">
        <v>4.3682145430714839945675827800</v>
      </c>
      <c r="T9" s="415">
        <v>-22.460820141973856930848133710</v>
      </c>
      <c r="U9" s="416">
        <v>3.0387912414675589003697785800</v>
      </c>
      <c r="V9" s="417">
        <v>-20.104566335767638598143230050</v>
      </c>
      <c r="W9" s="415">
        <v>0</v>
      </c>
      <c r="X9" s="416">
        <v>0</v>
      </c>
      <c r="Y9" s="417">
        <v>0</v>
      </c>
      <c r="Z9" s="415">
        <v>-1.7689128880516408177466500900</v>
      </c>
      <c r="AA9" s="416">
        <v>0.98518854320669589672486900</v>
      </c>
      <c r="AB9" s="417">
        <v>-0.8011514719722847171580795700</v>
      </c>
    </row>
    <row r="10" ht="18.95" customHeight="1">
      <c r="A10" s="58"/>
      <c r="B10" s="286"/>
      <c r="C10" s="287" t="s">
        <v>220</v>
      </c>
      <c r="D10" s="271">
        <v>105.11414422118576421656722246</v>
      </c>
      <c r="E10" s="92">
        <v>103.84765820249271898651679227</v>
      </c>
      <c r="F10" s="272">
        <v>109.15857721331420077413965589</v>
      </c>
      <c r="G10" s="271">
        <v>113.55631582671044934345665427</v>
      </c>
      <c r="H10" s="92">
        <v>85.63256591223882316349963954</v>
      </c>
      <c r="I10" s="272">
        <v>97.24118699802395348865278146</v>
      </c>
      <c r="J10" s="271">
        <v>0</v>
      </c>
      <c r="K10" s="92">
        <v>0</v>
      </c>
      <c r="L10" s="272">
        <v>0</v>
      </c>
      <c r="M10" s="271">
        <v>106.03870213308346408031013391</v>
      </c>
      <c r="N10" s="92">
        <v>99.99674300513890120185601459</v>
      </c>
      <c r="O10" s="272">
        <v>106.03524845807254908961602536</v>
      </c>
      <c r="P10" s="5"/>
      <c r="Q10" s="271">
        <v>-7.5118170522882661880942483300</v>
      </c>
      <c r="R10" s="92">
        <v>3.7546557853865702892670018600</v>
      </c>
      <c r="S10" s="272">
        <v>-4.0392041404499960303892369800</v>
      </c>
      <c r="T10" s="271">
        <v>22.222780845104030166517865270</v>
      </c>
      <c r="U10" s="92">
        <v>-7.1682515588309705568365585100</v>
      </c>
      <c r="V10" s="272">
        <v>13.461544452614128109249184950</v>
      </c>
      <c r="W10" s="271">
        <v>0</v>
      </c>
      <c r="X10" s="92">
        <v>0</v>
      </c>
      <c r="Y10" s="272">
        <v>0</v>
      </c>
      <c r="Z10" s="271">
        <v>-3.3077040399014862634932193300</v>
      </c>
      <c r="AA10" s="92">
        <v>1.3438379535191360758374382200</v>
      </c>
      <c r="AB10" s="272">
        <v>-2.0083162685558228168462950500</v>
      </c>
    </row>
    <row r="11" ht="18.95" customHeight="1">
      <c r="A11" s="58"/>
      <c r="B11" s="288"/>
      <c r="C11" s="289" t="s">
        <v>221</v>
      </c>
      <c r="D11" s="420">
        <v>103.93089038890345958344222533</v>
      </c>
      <c r="E11" s="91">
        <v>101.91172615323132038815391728</v>
      </c>
      <c r="F11" s="421">
        <v>105.91776440180390930737922006</v>
      </c>
      <c r="G11" s="420">
        <v>131.11609150330672331561253547</v>
      </c>
      <c r="H11" s="91">
        <v>97.09144449180325089762079409</v>
      </c>
      <c r="I11" s="421">
        <v>127.30250720251930470786222980</v>
      </c>
      <c r="J11" s="420">
        <v>0</v>
      </c>
      <c r="K11" s="91">
        <v>0</v>
      </c>
      <c r="L11" s="421">
        <v>0</v>
      </c>
      <c r="M11" s="420">
        <v>105.31149678863917305561478073</v>
      </c>
      <c r="N11" s="91">
        <v>101.82347744307969505460128750</v>
      </c>
      <c r="O11" s="421">
        <v>107.23182817756891247986059448</v>
      </c>
      <c r="P11" s="5"/>
      <c r="Q11" s="420">
        <v>-1.0004881055346400527984573700</v>
      </c>
      <c r="R11" s="91">
        <v>4.2987204271805842290655380100</v>
      </c>
      <c r="S11" s="421">
        <v>3.2552241351285010830072022500</v>
      </c>
      <c r="T11" s="420">
        <v>-18.198969391845893697660562800</v>
      </c>
      <c r="U11" s="91">
        <v>14.249914904561287696734589770</v>
      </c>
      <c r="V11" s="421">
        <v>-6.5423921385823718311817732200</v>
      </c>
      <c r="W11" s="420">
        <v>0</v>
      </c>
      <c r="X11" s="91">
        <v>0</v>
      </c>
      <c r="Y11" s="421">
        <v>0</v>
      </c>
      <c r="Z11" s="420">
        <v>-2.8832668701611727014212854200</v>
      </c>
      <c r="AA11" s="91">
        <v>5.3430918985152789770739016700</v>
      </c>
      <c r="AB11" s="421">
        <v>2.3057694298863420639978163800</v>
      </c>
    </row>
    <row r="12" ht="18.95" customHeight="1">
      <c r="A12" s="58"/>
      <c r="B12" s="286"/>
      <c r="C12" s="287" t="s">
        <v>223</v>
      </c>
      <c r="D12" s="271">
        <v>124.96352841048707709648458798</v>
      </c>
      <c r="E12" s="92">
        <v>99.66539342966009154235651225</v>
      </c>
      <c r="F12" s="272">
        <v>124.54539223385913227858310054</v>
      </c>
      <c r="G12" s="271">
        <v>27.390151515048081289872798900</v>
      </c>
      <c r="H12" s="92">
        <v>99.61192180000463764179690823</v>
      </c>
      <c r="I12" s="272">
        <v>27.283856308191120626625861360</v>
      </c>
      <c r="J12" s="271">
        <v>0</v>
      </c>
      <c r="K12" s="92">
        <v>0</v>
      </c>
      <c r="L12" s="272">
        <v>0</v>
      </c>
      <c r="M12" s="271">
        <v>109.57900773584362673789871025</v>
      </c>
      <c r="N12" s="92">
        <v>99.27472977908507581464102845</v>
      </c>
      <c r="O12" s="272">
        <v>108.78426382433871749640224772</v>
      </c>
      <c r="P12" s="5"/>
      <c r="Q12" s="271">
        <v>4.4909215133688523005325188400</v>
      </c>
      <c r="R12" s="92">
        <v>0.0896032624274512011335236700</v>
      </c>
      <c r="S12" s="272">
        <v>4.5845487879184249055191815600</v>
      </c>
      <c r="T12" s="271">
        <v>-56.392703862624415614434753650</v>
      </c>
      <c r="U12" s="92">
        <v>29.623556902942099707186584510</v>
      </c>
      <c r="V12" s="272">
        <v>-43.474671677609104204782486830</v>
      </c>
      <c r="W12" s="271">
        <v>0</v>
      </c>
      <c r="X12" s="92">
        <v>0</v>
      </c>
      <c r="Y12" s="272">
        <v>0</v>
      </c>
      <c r="Z12" s="271">
        <v>-2.0484784724297520081551411600</v>
      </c>
      <c r="AA12" s="92">
        <v>1.7978855360161679421536155100</v>
      </c>
      <c r="AB12" s="272">
        <v>-0.2874222345595789568502145400</v>
      </c>
    </row>
    <row r="13" ht="18.95" customHeight="1">
      <c r="A13" s="58"/>
      <c r="B13" s="288"/>
      <c r="C13" s="289" t="s">
        <v>224</v>
      </c>
      <c r="D13" s="420">
        <v>104.42586115647414947187962708</v>
      </c>
      <c r="E13" s="91">
        <v>92.70433842713327080229743603</v>
      </c>
      <c r="F13" s="421">
        <v>96.80730373200835636795876462</v>
      </c>
      <c r="G13" s="420">
        <v>99.87872081176939681428789038</v>
      </c>
      <c r="H13" s="91">
        <v>142.29131260245879280211315883</v>
      </c>
      <c r="I13" s="421">
        <v>142.11874285416395068770880623</v>
      </c>
      <c r="J13" s="420">
        <v>0</v>
      </c>
      <c r="K13" s="91">
        <v>0</v>
      </c>
      <c r="L13" s="421">
        <v>0</v>
      </c>
      <c r="M13" s="420">
        <v>102.93771617951115940957802698</v>
      </c>
      <c r="N13" s="91">
        <v>98.88113864024373847366527997</v>
      </c>
      <c r="O13" s="421">
        <v>101.78598584858788451146837016</v>
      </c>
      <c r="P13" s="5"/>
      <c r="Q13" s="420">
        <v>-2.1708140403605057877343781400</v>
      </c>
      <c r="R13" s="91">
        <v>-1.9555756889216704132756299700</v>
      </c>
      <c r="S13" s="421">
        <v>-4.0839378175716921714103475100</v>
      </c>
      <c r="T13" s="420">
        <v>-37.847897862687345668523795050</v>
      </c>
      <c r="U13" s="91">
        <v>9.654259090816480364634520230</v>
      </c>
      <c r="V13" s="421">
        <v>-31.847572891815661923906063820</v>
      </c>
      <c r="W13" s="420">
        <v>0</v>
      </c>
      <c r="X13" s="91">
        <v>0</v>
      </c>
      <c r="Y13" s="421">
        <v>0</v>
      </c>
      <c r="Z13" s="420">
        <v>-6.8008746428651369166940682400</v>
      </c>
      <c r="AA13" s="91">
        <v>-3.317328652342090785563840800</v>
      </c>
      <c r="AB13" s="421">
        <v>-9.892595931994835599410070310</v>
      </c>
    </row>
    <row r="14" ht="18.95" customHeight="1">
      <c r="A14" s="58"/>
      <c r="B14" s="286"/>
      <c r="C14" s="287" t="s">
        <v>225</v>
      </c>
      <c r="D14" s="271">
        <v>98.03753981315329871554418685</v>
      </c>
      <c r="E14" s="92">
        <v>93.93198158701681180553123986</v>
      </c>
      <c r="F14" s="272">
        <v>92.08860384565684961462934661</v>
      </c>
      <c r="G14" s="271">
        <v>158.20439765058436504985952040</v>
      </c>
      <c r="H14" s="92">
        <v>93.13327767312501731757328428</v>
      </c>
      <c r="I14" s="272">
        <v>147.34094095482531517304082740</v>
      </c>
      <c r="J14" s="271">
        <v>0</v>
      </c>
      <c r="K14" s="92">
        <v>0</v>
      </c>
      <c r="L14" s="272">
        <v>0</v>
      </c>
      <c r="M14" s="271">
        <v>103.31318891772789131122473716</v>
      </c>
      <c r="N14" s="92">
        <v>93.76583756202069090205137525</v>
      </c>
      <c r="O14" s="272">
        <v>96.87247690074997965413775744</v>
      </c>
      <c r="P14" s="5"/>
      <c r="Q14" s="271">
        <v>-21.149666343784507274082546040</v>
      </c>
      <c r="R14" s="92">
        <v>-0.6752047471550341029555848400</v>
      </c>
      <c r="S14" s="272">
        <v>-21.682067539734195127751017470</v>
      </c>
      <c r="T14" s="271">
        <v>29.506065606898851380037083630</v>
      </c>
      <c r="U14" s="92">
        <v>-0.2863579546252215086811818200</v>
      </c>
      <c r="V14" s="272">
        <v>29.135214685064332747613738570</v>
      </c>
      <c r="W14" s="271">
        <v>0</v>
      </c>
      <c r="X14" s="92">
        <v>0</v>
      </c>
      <c r="Y14" s="272">
        <v>0</v>
      </c>
      <c r="Z14" s="271">
        <v>-15.975520899520004219525628770</v>
      </c>
      <c r="AA14" s="92">
        <v>-0.8476824758305974504213562800</v>
      </c>
      <c r="AB14" s="272">
        <v>-16.687781684185680644880262120</v>
      </c>
    </row>
    <row r="15" ht="18.95" customHeight="1">
      <c r="A15" s="58"/>
      <c r="B15" s="288"/>
      <c r="C15" s="289" t="s">
        <v>228</v>
      </c>
      <c r="D15" s="420">
        <v>101.80599173560887538346173343</v>
      </c>
      <c r="E15" s="91">
        <v>98.84313422768335740433664115</v>
      </c>
      <c r="F15" s="421">
        <v>100.62823306298439737086672471</v>
      </c>
      <c r="G15" s="420">
        <v>138.52490421655971843487276617</v>
      </c>
      <c r="H15" s="91">
        <v>142.52583644101548795830569372</v>
      </c>
      <c r="I15" s="421">
        <v>197.43377841097723796909664135</v>
      </c>
      <c r="J15" s="420">
        <v>0</v>
      </c>
      <c r="K15" s="91">
        <v>0</v>
      </c>
      <c r="L15" s="421">
        <v>0</v>
      </c>
      <c r="M15" s="420">
        <v>102.61057668233609177473840874</v>
      </c>
      <c r="N15" s="91">
        <v>101.63572031250866445126059555</v>
      </c>
      <c r="O15" s="421">
        <v>104.28899872798175982305290599</v>
      </c>
      <c r="P15" s="5"/>
      <c r="Q15" s="420">
        <v>-20.892024141358681185688846620</v>
      </c>
      <c r="R15" s="91">
        <v>1.7657324150495457240456994900</v>
      </c>
      <c r="S15" s="421">
        <v>-19.495188968799372678916563980</v>
      </c>
      <c r="T15" s="420">
        <v>1241.2024757163147529417057452</v>
      </c>
      <c r="U15" s="91">
        <v>99.39418897603908791015084666</v>
      </c>
      <c r="V15" s="421">
        <v>2574.2797989203378522692673407</v>
      </c>
      <c r="W15" s="420">
        <v>0</v>
      </c>
      <c r="X15" s="91">
        <v>0</v>
      </c>
      <c r="Y15" s="421">
        <v>0</v>
      </c>
      <c r="Z15" s="420">
        <v>-15.744744667672389915657370610</v>
      </c>
      <c r="AA15" s="91">
        <v>5.3910849631320277215804956800</v>
      </c>
      <c r="AB15" s="421">
        <v>-11.202472266787617044254462120</v>
      </c>
    </row>
    <row r="16" ht="18.95" customHeight="1">
      <c r="A16" s="58"/>
      <c r="B16" s="286"/>
      <c r="C16" s="287" t="s">
        <v>229</v>
      </c>
      <c r="D16" s="271">
        <v>114.03313517384291724980978159</v>
      </c>
      <c r="E16" s="92">
        <v>101.99467758092531434777375327</v>
      </c>
      <c r="F16" s="272">
        <v>116.30772855594689132778155519</v>
      </c>
      <c r="G16" s="271">
        <v>96.40425999201720389279931116</v>
      </c>
      <c r="H16" s="92">
        <v>100.37118921855160495967180007</v>
      </c>
      <c r="I16" s="272">
        <v>96.76210220990102142714359690</v>
      </c>
      <c r="J16" s="271">
        <v>0</v>
      </c>
      <c r="K16" s="92">
        <v>0</v>
      </c>
      <c r="L16" s="272">
        <v>0</v>
      </c>
      <c r="M16" s="271">
        <v>112.48064823551672040338825554</v>
      </c>
      <c r="N16" s="92">
        <v>101.82774796259719428824054790</v>
      </c>
      <c r="O16" s="272">
        <v>114.53651099199352345088479862</v>
      </c>
      <c r="P16" s="5"/>
      <c r="Q16" s="271">
        <v>-7.49304031209266683286362700</v>
      </c>
      <c r="R16" s="92">
        <v>2.5298276810327010383757923100</v>
      </c>
      <c r="S16" s="272">
        <v>-5.1527736390904997571513773500</v>
      </c>
      <c r="T16" s="271">
        <v>24.532279314095686135899538210</v>
      </c>
      <c r="U16" s="92">
        <v>-8.496128961557373470463782500</v>
      </c>
      <c r="V16" s="272">
        <v>13.951856265285003757003997130</v>
      </c>
      <c r="W16" s="271">
        <v>0</v>
      </c>
      <c r="X16" s="92">
        <v>0</v>
      </c>
      <c r="Y16" s="272">
        <v>0</v>
      </c>
      <c r="Z16" s="271">
        <v>-6.8156388643788712772714061200</v>
      </c>
      <c r="AA16" s="92">
        <v>2.101911293349992489261666400</v>
      </c>
      <c r="AB16" s="272">
        <v>-4.8569862539934868294089018100</v>
      </c>
    </row>
    <row r="17" ht="18.95" customHeight="1">
      <c r="A17" s="58"/>
      <c r="B17" s="288"/>
      <c r="C17" s="289" t="s">
        <v>230</v>
      </c>
      <c r="D17" s="420">
        <v>109.95386021021455139562596232</v>
      </c>
      <c r="E17" s="91">
        <v>94.57148406738851215940078205</v>
      </c>
      <c r="F17" s="421">
        <v>103.98499739010422759837813665</v>
      </c>
      <c r="G17" s="420">
        <v>117.18661372702446681631684930</v>
      </c>
      <c r="H17" s="91">
        <v>112.71143755522843921643542102</v>
      </c>
      <c r="I17" s="421">
        <v>132.08271695332740566863121640</v>
      </c>
      <c r="J17" s="420">
        <v>0</v>
      </c>
      <c r="K17" s="91">
        <v>0</v>
      </c>
      <c r="L17" s="421">
        <v>0</v>
      </c>
      <c r="M17" s="420">
        <v>110.30183438769792050041917463</v>
      </c>
      <c r="N17" s="91">
        <v>99.02464802268160825743914558</v>
      </c>
      <c r="O17" s="421">
        <v>109.22600326495492307526501857</v>
      </c>
      <c r="P17" s="5"/>
      <c r="Q17" s="420">
        <v>-17.953870736166561858892790050</v>
      </c>
      <c r="R17" s="91">
        <v>-4.0623167221565977798862911400</v>
      </c>
      <c r="S17" s="421">
        <v>-21.286844365121945755226388390</v>
      </c>
      <c r="T17" s="420">
        <v>473.18963887331085307687093610</v>
      </c>
      <c r="U17" s="91">
        <v>20.654779526559087806443664570</v>
      </c>
      <c r="V17" s="421">
        <v>591.58069504985756847696121711</v>
      </c>
      <c r="W17" s="420">
        <v>0</v>
      </c>
      <c r="X17" s="91">
        <v>0</v>
      </c>
      <c r="Y17" s="421">
        <v>0</v>
      </c>
      <c r="Z17" s="420">
        <v>-4.497234871275950686080618300</v>
      </c>
      <c r="AA17" s="91">
        <v>1.5540346266076658835334880300</v>
      </c>
      <c r="AB17" s="421">
        <v>-3.0130888317819367481357734600</v>
      </c>
    </row>
    <row r="18" ht="18.95" customHeight="1">
      <c r="A18" s="58"/>
      <c r="B18" s="286"/>
      <c r="C18" s="287" t="s">
        <v>231</v>
      </c>
      <c r="D18" s="271">
        <v>118.71582420441693609298680877</v>
      </c>
      <c r="E18" s="92">
        <v>90.20829597768163453872005297</v>
      </c>
      <c r="F18" s="272">
        <v>107.09152207058611535688420078</v>
      </c>
      <c r="G18" s="271">
        <v>69.468624001859915677417155610</v>
      </c>
      <c r="H18" s="92">
        <v>84.16211622939270433479323275</v>
      </c>
      <c r="I18" s="272">
        <v>58.466264075417050074024204950</v>
      </c>
      <c r="J18" s="271">
        <v>0</v>
      </c>
      <c r="K18" s="92">
        <v>0</v>
      </c>
      <c r="L18" s="272">
        <v>0</v>
      </c>
      <c r="M18" s="271">
        <v>107.24336524092896561491770033</v>
      </c>
      <c r="N18" s="92">
        <v>88.86397126588424098537085153</v>
      </c>
      <c r="O18" s="272">
        <v>95.30071327228229585240401696</v>
      </c>
      <c r="P18" s="5"/>
      <c r="Q18" s="271">
        <v>0.0804660137204172478127810400</v>
      </c>
      <c r="R18" s="92">
        <v>-11.153823832151294528582156080</v>
      </c>
      <c r="S18" s="272">
        <v>-11.082332855959366451130834880</v>
      </c>
      <c r="T18" s="271">
        <v>-35.938761386678741745104368810</v>
      </c>
      <c r="U18" s="92">
        <v>2.8523599860511218010106457100</v>
      </c>
      <c r="V18" s="272">
        <v>-34.111504249897088876913559110</v>
      </c>
      <c r="W18" s="271">
        <v>0</v>
      </c>
      <c r="X18" s="92">
        <v>0</v>
      </c>
      <c r="Y18" s="272">
        <v>0</v>
      </c>
      <c r="Z18" s="271">
        <v>-7.994285459688310239326152420</v>
      </c>
      <c r="AA18" s="92">
        <v>-10.690374870477980955246744320</v>
      </c>
      <c r="AB18" s="272">
        <v>-17.830041246296584652259805170</v>
      </c>
    </row>
    <row r="19" ht="18.95" customHeight="1">
      <c r="A19" s="58"/>
      <c r="B19" s="288"/>
      <c r="C19" s="289" t="s">
        <v>232</v>
      </c>
      <c r="D19" s="420">
        <v>117.14362692131350839567093529</v>
      </c>
      <c r="E19" s="91">
        <v>101.59091957394406365936433803</v>
      </c>
      <c r="F19" s="421">
        <v>119.00728781159074482944470098</v>
      </c>
      <c r="G19" s="420">
        <v>87.99949126971553519430624313</v>
      </c>
      <c r="H19" s="91">
        <v>94.83290675616205042208085992</v>
      </c>
      <c r="I19" s="421">
        <v>83.45247550195946907035423728</v>
      </c>
      <c r="J19" s="420">
        <v>0</v>
      </c>
      <c r="K19" s="91">
        <v>0</v>
      </c>
      <c r="L19" s="421">
        <v>0</v>
      </c>
      <c r="M19" s="420">
        <v>112.24804649115326139812510816</v>
      </c>
      <c r="N19" s="91">
        <v>100.47975267654734791052060404</v>
      </c>
      <c r="O19" s="421">
        <v>112.78655949848809893849400943</v>
      </c>
      <c r="P19" s="5"/>
      <c r="Q19" s="420">
        <v>19.203544320832734824578881760</v>
      </c>
      <c r="R19" s="91">
        <v>-12.003391028560325365024274780</v>
      </c>
      <c r="S19" s="421">
        <v>4.8950767760606441674551839200</v>
      </c>
      <c r="T19" s="420">
        <v>-2.7678136459271093594841660800</v>
      </c>
      <c r="U19" s="91">
        <v>4.9361894326053557560905133600</v>
      </c>
      <c r="V19" s="421">
        <v>2.031751262071508416934130800</v>
      </c>
      <c r="W19" s="420">
        <v>0</v>
      </c>
      <c r="X19" s="91">
        <v>0</v>
      </c>
      <c r="Y19" s="421">
        <v>0</v>
      </c>
      <c r="Z19" s="420">
        <v>17.046899692936210336974182360</v>
      </c>
      <c r="AA19" s="91">
        <v>-8.511618884302690968406089400</v>
      </c>
      <c r="AB19" s="421">
        <v>7.0843136750992826637025467400</v>
      </c>
    </row>
    <row r="20" ht="18.95" customHeight="1">
      <c r="A20" s="58"/>
      <c r="B20" s="286"/>
      <c r="C20" s="287" t="s">
        <v>234</v>
      </c>
      <c r="D20" s="271">
        <v>109.50558487207767875518117111</v>
      </c>
      <c r="E20" s="92">
        <v>99.13275937631421934460162672</v>
      </c>
      <c r="F20" s="272">
        <v>108.55590795490675836267926814</v>
      </c>
      <c r="G20" s="271">
        <v>114.06802120110593766193005759</v>
      </c>
      <c r="H20" s="92">
        <v>86.08644661524639104723550487</v>
      </c>
      <c r="I20" s="272">
        <v>98.19710617651258909343883873</v>
      </c>
      <c r="J20" s="271">
        <v>0</v>
      </c>
      <c r="K20" s="92">
        <v>0</v>
      </c>
      <c r="L20" s="272">
        <v>0</v>
      </c>
      <c r="M20" s="271">
        <v>107.46923207847897120718999049</v>
      </c>
      <c r="N20" s="92">
        <v>98.27455856679192348888652249</v>
      </c>
      <c r="O20" s="272">
        <v>105.61491342031540369942420737</v>
      </c>
      <c r="P20" s="5"/>
      <c r="Q20" s="271">
        <v>5.106280155499888166614105700</v>
      </c>
      <c r="R20" s="92">
        <v>-5.1470270274577951179237961500</v>
      </c>
      <c r="S20" s="272">
        <v>-0.3035684916133525576502472400</v>
      </c>
      <c r="T20" s="271">
        <v>-15.491815101222870410950518770</v>
      </c>
      <c r="U20" s="92">
        <v>-9.857498362563716090794480600</v>
      </c>
      <c r="V20" s="272">
        <v>-23.822208043293407734922440370</v>
      </c>
      <c r="W20" s="271">
        <v>0</v>
      </c>
      <c r="X20" s="92">
        <v>0</v>
      </c>
      <c r="Y20" s="272">
        <v>0</v>
      </c>
      <c r="Z20" s="271">
        <v>0.3332902252265567648405698100</v>
      </c>
      <c r="AA20" s="92">
        <v>-5.578885974925605732412804900</v>
      </c>
      <c r="AB20" s="272">
        <v>-5.2641896313071983316720240600</v>
      </c>
    </row>
    <row r="21" ht="18.95" customHeight="1">
      <c r="A21" s="58"/>
      <c r="B21" s="288">
        <v>2025</v>
      </c>
      <c r="C21" s="289" t="s">
        <v>218</v>
      </c>
      <c r="D21" s="420">
        <v>97.16761512227892406607168557</v>
      </c>
      <c r="E21" s="91">
        <v>97.69000679905156165903893198</v>
      </c>
      <c r="F21" s="421">
        <v>94.92304981941780220906328437</v>
      </c>
      <c r="G21" s="420">
        <v>157.27689144537287815282423576</v>
      </c>
      <c r="H21" s="91">
        <v>105.87218604467596116296477152</v>
      </c>
      <c r="I21" s="421">
        <v>166.51248311597453123797442390</v>
      </c>
      <c r="J21" s="420">
        <v>0</v>
      </c>
      <c r="K21" s="91">
        <v>0</v>
      </c>
      <c r="L21" s="421">
        <v>0</v>
      </c>
      <c r="M21" s="420">
        <v>104.06100042476831351755367924</v>
      </c>
      <c r="N21" s="91">
        <v>100.32862112711424156364483645</v>
      </c>
      <c r="O21" s="421">
        <v>104.40296685723434516457128333</v>
      </c>
      <c r="P21" s="5"/>
      <c r="Q21" s="420">
        <v>-11.962036308867693911495135140</v>
      </c>
      <c r="R21" s="91">
        <v>-0.6138905904023708091221797600</v>
      </c>
      <c r="S21" s="421">
        <v>-12.502493084000084767420671240</v>
      </c>
      <c r="T21" s="420">
        <v>47.909352540079577179961856390</v>
      </c>
      <c r="U21" s="91">
        <v>6.061523377632267061330241300</v>
      </c>
      <c r="V21" s="421">
        <v>56.874912521322471633250630630</v>
      </c>
      <c r="W21" s="420">
        <v>0</v>
      </c>
      <c r="X21" s="91">
        <v>0</v>
      </c>
      <c r="Y21" s="421">
        <v>0</v>
      </c>
      <c r="Z21" s="420">
        <v>-4.4301596583515023624068661400</v>
      </c>
      <c r="AA21" s="91">
        <v>1.5033460935261818667971545500</v>
      </c>
      <c r="AB21" s="421">
        <v>-2.9934141969994681407145265500</v>
      </c>
    </row>
    <row r="22" ht="18.95" customHeight="1">
      <c r="A22" s="58"/>
      <c r="B22" s="286"/>
      <c r="C22" s="287" t="s">
        <v>220</v>
      </c>
      <c r="D22" s="271">
        <v>98.33689165920751218035724158</v>
      </c>
      <c r="E22" s="92">
        <v>96.45124782483895545732544235</v>
      </c>
      <c r="F22" s="272">
        <v>94.84715907744770846642938795</v>
      </c>
      <c r="G22" s="271">
        <v>119.30887633539423542124228045</v>
      </c>
      <c r="H22" s="92">
        <v>89.38916675265320691960219615</v>
      </c>
      <c r="I22" s="272">
        <v>106.64921041844752361007428670</v>
      </c>
      <c r="J22" s="271">
        <v>0</v>
      </c>
      <c r="K22" s="92">
        <v>0</v>
      </c>
      <c r="L22" s="272">
        <v>0</v>
      </c>
      <c r="M22" s="271">
        <v>100.74795375977324002621399857</v>
      </c>
      <c r="N22" s="92">
        <v>95.64861653378323911334766024</v>
      </c>
      <c r="O22" s="272">
        <v>96.36402395731956825228367433</v>
      </c>
      <c r="P22" s="5"/>
      <c r="Q22" s="271">
        <v>-6.447517232058303878048790700</v>
      </c>
      <c r="R22" s="92">
        <v>-7.1223660751581448668580607700</v>
      </c>
      <c r="S22" s="272">
        <v>-13.110667527195080326178588530</v>
      </c>
      <c r="T22" s="271">
        <v>5.0658217174580623570045214500</v>
      </c>
      <c r="U22" s="92">
        <v>4.3868834250568768040912542400</v>
      </c>
      <c r="V22" s="272">
        <v>9.674936835809112806068964330</v>
      </c>
      <c r="W22" s="271">
        <v>0</v>
      </c>
      <c r="X22" s="92">
        <v>0</v>
      </c>
      <c r="Y22" s="272">
        <v>0</v>
      </c>
      <c r="Z22" s="271">
        <v>-4.9894503298293877501283317600</v>
      </c>
      <c r="AA22" s="92">
        <v>-4.3482680941868268788002541100</v>
      </c>
      <c r="AB22" s="272">
        <v>-9.120763747351459036620814830</v>
      </c>
    </row>
    <row r="23" ht="18.95" customHeight="1">
      <c r="A23" s="58"/>
      <c r="B23" s="288"/>
      <c r="C23" s="289" t="s">
        <v>221</v>
      </c>
      <c r="D23" s="420">
        <v>94.44510589301214555311624053</v>
      </c>
      <c r="E23" s="91">
        <v>98.52821111965342837393181399</v>
      </c>
      <c r="F23" s="421">
        <v>93.05507332643097882664561990</v>
      </c>
      <c r="G23" s="420">
        <v>191.80778372036946689412438791</v>
      </c>
      <c r="H23" s="91">
        <v>98.58463718901747697200756352</v>
      </c>
      <c r="I23" s="421">
        <v>189.09300768028325090723188011</v>
      </c>
      <c r="J23" s="420">
        <v>0</v>
      </c>
      <c r="K23" s="91">
        <v>0</v>
      </c>
      <c r="L23" s="421">
        <v>0</v>
      </c>
      <c r="M23" s="420">
        <v>103.58394807710292174764962255</v>
      </c>
      <c r="N23" s="91">
        <v>98.58686237011377866198379044</v>
      </c>
      <c r="O23" s="421">
        <v>102.12016432826870158901339538</v>
      </c>
      <c r="P23" s="5"/>
      <c r="Q23" s="420">
        <v>-9.127011671306678945183751480</v>
      </c>
      <c r="R23" s="91">
        <v>-3.3200448675162884485277308600</v>
      </c>
      <c r="S23" s="421">
        <v>-12.144035656355326672227217270</v>
      </c>
      <c r="T23" s="420">
        <v>46.288515407387617168012208890</v>
      </c>
      <c r="U23" s="91">
        <v>1.5379240725413110379215246100</v>
      </c>
      <c r="V23" s="421">
        <v>48.538321699739306363589355490</v>
      </c>
      <c r="W23" s="420">
        <v>0</v>
      </c>
      <c r="X23" s="91">
        <v>0</v>
      </c>
      <c r="Y23" s="421">
        <v>0</v>
      </c>
      <c r="Z23" s="420">
        <v>-1.6404179640186121637656746700</v>
      </c>
      <c r="AA23" s="91">
        <v>-3.1786530515959592171405758100</v>
      </c>
      <c r="AB23" s="421">
        <v>-4.7669278200360760450736077800</v>
      </c>
    </row>
    <row r="24" ht="18.95" customHeight="1">
      <c r="A24" s="59"/>
      <c r="B24" s="286"/>
      <c r="C24" s="287" t="s">
        <v>223</v>
      </c>
      <c r="D24" s="271">
        <v>104.47363951265624891847151618</v>
      </c>
      <c r="E24" s="92">
        <v>99.89913854789023837250510262</v>
      </c>
      <c r="F24" s="272">
        <v>104.36826588284423487786185588</v>
      </c>
      <c r="G24" s="271">
        <v>109.31134503674317667722069414</v>
      </c>
      <c r="H24" s="92">
        <v>97.72677623948873287020198263</v>
      </c>
      <c r="I24" s="272">
        <v>106.82645356792457890808766169</v>
      </c>
      <c r="J24" s="271">
        <v>0</v>
      </c>
      <c r="K24" s="92">
        <v>0</v>
      </c>
      <c r="L24" s="272">
        <v>0</v>
      </c>
      <c r="M24" s="271">
        <v>105.00470173765398842766122154</v>
      </c>
      <c r="N24" s="92">
        <v>99.67393739708020697415771701</v>
      </c>
      <c r="O24" s="272">
        <v>104.66232067399384434152054314</v>
      </c>
      <c r="P24" s="93"/>
      <c r="Q24" s="271">
        <v>-16.396695226574682795798955790</v>
      </c>
      <c r="R24" s="92">
        <v>0.2345298705464027205182546500</v>
      </c>
      <c r="S24" s="272">
        <v>-16.200620504018738616390010240</v>
      </c>
      <c r="T24" s="271">
        <v>299.08996113759970442872774353</v>
      </c>
      <c r="U24" s="92">
        <v>-1.8924899012552402435408262200</v>
      </c>
      <c r="V24" s="272">
        <v>291.53722392174645248554711302</v>
      </c>
      <c r="W24" s="271">
        <v>0</v>
      </c>
      <c r="X24" s="92">
        <v>0</v>
      </c>
      <c r="Y24" s="272">
        <v>0</v>
      </c>
      <c r="Z24" s="271">
        <v>-4.1744364113744053707713410300</v>
      </c>
      <c r="AA24" s="92">
        <v>0.4021241043601922872914202600</v>
      </c>
      <c r="AB24" s="272">
        <v>-3.7890987220022944798684194400</v>
      </c>
    </row>
    <row r="25" ht="18.95" customHeight="1">
      <c r="A25" s="60"/>
      <c r="B25" s="288"/>
      <c r="C25" s="289" t="s">
        <v>224</v>
      </c>
      <c r="D25" s="420">
        <v>101.08703234206386465623773469</v>
      </c>
      <c r="E25" s="91">
        <v>94.54613274578278252460679626</v>
      </c>
      <c r="F25" s="421">
        <v>95.57387978684089197736941168</v>
      </c>
      <c r="G25" s="420">
        <v>82.71954115474606357043471047</v>
      </c>
      <c r="H25" s="91">
        <v>108.31407351764733016267285998</v>
      </c>
      <c r="I25" s="421">
        <v>89.59690461977848605145019420</v>
      </c>
      <c r="J25" s="420">
        <v>0</v>
      </c>
      <c r="K25" s="91">
        <v>0</v>
      </c>
      <c r="L25" s="421">
        <v>0</v>
      </c>
      <c r="M25" s="420">
        <v>98.41783580577730400540306600</v>
      </c>
      <c r="N25" s="91">
        <v>96.19360478446994349209316174</v>
      </c>
      <c r="O25" s="421">
        <v>94.67166401244433505287721195</v>
      </c>
      <c r="P25" s="93"/>
      <c r="Q25" s="420">
        <v>-3.197319875995400926432833400</v>
      </c>
      <c r="R25" s="91">
        <v>1.9867401568602057377906711900</v>
      </c>
      <c r="S25" s="421">
        <v>-1.2741021571819640839065738900</v>
      </c>
      <c r="T25" s="420">
        <v>-17.180015440312582184781450300</v>
      </c>
      <c r="U25" s="91">
        <v>-23.878646182546849091870327430</v>
      </c>
      <c r="V25" s="421">
        <v>-36.956306522007311067785383760</v>
      </c>
      <c r="W25" s="420">
        <v>0</v>
      </c>
      <c r="X25" s="91">
        <v>0</v>
      </c>
      <c r="Y25" s="421">
        <v>0</v>
      </c>
      <c r="Z25" s="420">
        <v>-4.3908885309258766549521901200</v>
      </c>
      <c r="AA25" s="91">
        <v>-2.7179438795797230719952385200</v>
      </c>
      <c r="AB25" s="421">
        <v>-6.9894905244988770862956399100</v>
      </c>
    </row>
    <row r="26" ht="18.95" customHeight="1">
      <c r="A26" s="60"/>
      <c r="B26" s="290"/>
      <c r="C26" s="291" t="s">
        <v>225</v>
      </c>
      <c r="D26" s="273">
        <v>117.07914260369717267961823767</v>
      </c>
      <c r="E26" s="274">
        <v>93.98356971772320141681317096</v>
      </c>
      <c r="F26" s="275">
        <v>110.03515761392228858454094076</v>
      </c>
      <c r="G26" s="273">
        <v>12.513267189634005231623941340</v>
      </c>
      <c r="H26" s="274">
        <v>95.13369070991928579135929628</v>
      </c>
      <c r="I26" s="275">
        <v>11.904332905905737115785732410</v>
      </c>
      <c r="J26" s="273">
        <v>0</v>
      </c>
      <c r="K26" s="274">
        <v>0</v>
      </c>
      <c r="L26" s="275">
        <v>0</v>
      </c>
      <c r="M26" s="273">
        <v>100.56984390087648760285956549</v>
      </c>
      <c r="N26" s="274">
        <v>91.55465959444948797821257758</v>
      </c>
      <c r="O26" s="275">
        <v>92.07637823806101987513463993</v>
      </c>
      <c r="P26" s="184"/>
      <c r="Q26" s="273">
        <v>19.422766857245603234182563650</v>
      </c>
      <c r="R26" s="274">
        <v>0.0549207307794527692733140600</v>
      </c>
      <c r="S26" s="275">
        <v>19.488354713567837240291006720</v>
      </c>
      <c r="T26" s="273">
        <v>-92.09044288562066536907189107</v>
      </c>
      <c r="U26" s="274">
        <v>2.1479036138304749726205481200</v>
      </c>
      <c r="V26" s="275">
        <v>-91.92055322250341331862799112</v>
      </c>
      <c r="W26" s="273">
        <v>0</v>
      </c>
      <c r="X26" s="274">
        <v>0</v>
      </c>
      <c r="Y26" s="275">
        <v>0</v>
      </c>
      <c r="Z26" s="273">
        <v>-2.6553676694743010876547275200</v>
      </c>
      <c r="AA26" s="274">
        <v>-2.3581914533514760327390103900</v>
      </c>
      <c r="AB26" s="275">
        <v>-4.9509404694537376297634275800</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v>112.10575922137764949499735234</v>
      </c>
      <c r="E29" s="428">
        <v>97.14509033828995440073237641</v>
      </c>
      <c r="F29" s="429">
        <v>108.90524107008698735972055447</v>
      </c>
      <c r="G29" s="427">
        <v>116.98319633619347564327473996</v>
      </c>
      <c r="H29" s="428">
        <v>96.89711872643265207314329139</v>
      </c>
      <c r="I29" s="429">
        <v>113.35334664353493568279378453</v>
      </c>
      <c r="J29" s="427">
        <v>0</v>
      </c>
      <c r="K29" s="428">
        <v>0</v>
      </c>
      <c r="L29" s="429">
        <v>0</v>
      </c>
      <c r="M29" s="427">
        <v>112.09329071633772673551062970</v>
      </c>
      <c r="N29" s="428">
        <v>97.38064291993549553749317565</v>
      </c>
      <c r="O29" s="429">
        <v>109.15716716962759695784493464</v>
      </c>
      <c r="P29" s="5"/>
      <c r="Q29" s="427">
        <v>-3.6982249494174834296269129200</v>
      </c>
      <c r="R29" s="428">
        <v>2.4741519609426493786455550200</v>
      </c>
      <c r="S29" s="429">
        <v>-1.3155726934091332191233459900</v>
      </c>
      <c r="T29" s="427">
        <v>9.075061792708378029337606200</v>
      </c>
      <c r="U29" s="428">
        <v>-1.6783888381426988483889285800</v>
      </c>
      <c r="V29" s="429">
        <v>7.2443581304315877259139300500</v>
      </c>
      <c r="W29" s="427">
        <v>0</v>
      </c>
      <c r="X29" s="428">
        <v>0</v>
      </c>
      <c r="Y29" s="429">
        <v>0</v>
      </c>
      <c r="Z29" s="427">
        <v>-2.3330843828674882148300103400</v>
      </c>
      <c r="AA29" s="428">
        <v>2.1027101274150372322685548800</v>
      </c>
      <c r="AB29" s="429">
        <v>-0.279432257108191397215061700</v>
      </c>
    </row>
    <row r="30" ht="18.95" customHeight="1">
      <c r="A30" s="58"/>
      <c r="B30" s="286">
        <v>2024</v>
      </c>
      <c r="C30" s="287"/>
      <c r="D30" s="271">
        <v>107.77684743331826931271759928</v>
      </c>
      <c r="E30" s="92">
        <v>99.59792462733968212833778717</v>
      </c>
      <c r="F30" s="272">
        <v>107.34350327229480832673727202</v>
      </c>
      <c r="G30" s="271">
        <v>101.84826924520942654022072938</v>
      </c>
      <c r="H30" s="92">
        <v>98.10616146119389332507479498</v>
      </c>
      <c r="I30" s="272">
        <v>99.91942747105149079350072313</v>
      </c>
      <c r="J30" s="271">
        <v>0</v>
      </c>
      <c r="K30" s="92">
        <v>0</v>
      </c>
      <c r="L30" s="272">
        <v>0</v>
      </c>
      <c r="M30" s="271">
        <v>106.07879643339510000512701771</v>
      </c>
      <c r="N30" s="92">
        <v>99.63939785631963269260092926</v>
      </c>
      <c r="O30" s="272">
        <v>105.69627401948471358401106001</v>
      </c>
      <c r="P30" s="5"/>
      <c r="Q30" s="271">
        <v>-3.8614535222338333118610737600</v>
      </c>
      <c r="R30" s="92">
        <v>2.5249184292256902353657576600</v>
      </c>
      <c r="S30" s="272">
        <v>-1.4340336447168177042243896900</v>
      </c>
      <c r="T30" s="271">
        <v>-12.937693245698338390191918630</v>
      </c>
      <c r="U30" s="92">
        <v>1.24775922203400346357029300</v>
      </c>
      <c r="V30" s="272">
        <v>-11.851365284078137052484066010</v>
      </c>
      <c r="W30" s="271">
        <v>0</v>
      </c>
      <c r="X30" s="92">
        <v>0</v>
      </c>
      <c r="Y30" s="272">
        <v>0</v>
      </c>
      <c r="Z30" s="271">
        <v>-5.3656148771001374214323604400</v>
      </c>
      <c r="AA30" s="92">
        <v>2.3195112177248215315219384100</v>
      </c>
      <c r="AB30" s="272">
        <v>-3.1705596983274741525909552300</v>
      </c>
    </row>
    <row r="31" ht="18.95" customHeight="1">
      <c r="A31" s="58"/>
      <c r="B31" s="425">
        <v>2025</v>
      </c>
      <c r="C31" s="426"/>
      <c r="D31" s="430">
        <v>101.75032445668880016401179848</v>
      </c>
      <c r="E31" s="431">
        <v>96.10154839615098839522839359</v>
      </c>
      <c r="F31" s="432">
        <v>97.78363730096807573140622415</v>
      </c>
      <c r="G31" s="430">
        <v>106.67102707294384692284553636</v>
      </c>
      <c r="H31" s="431">
        <v>104.93491010933347038254990696</v>
      </c>
      <c r="I31" s="432">
        <v>111.93514637193752838096173053</v>
      </c>
      <c r="J31" s="430">
        <v>0</v>
      </c>
      <c r="K31" s="431">
        <v>0</v>
      </c>
      <c r="L31" s="432">
        <v>0</v>
      </c>
      <c r="M31" s="430">
        <v>102.13005941332015073433600385</v>
      </c>
      <c r="N31" s="431">
        <v>97.50744086853843375552496499</v>
      </c>
      <c r="O31" s="432">
        <v>99.58440729144644776336596136</v>
      </c>
      <c r="P31" s="184"/>
      <c r="Q31" s="430">
        <v>-5.5916675242712420909111486100</v>
      </c>
      <c r="R31" s="431">
        <v>-3.510491051126428339064096800</v>
      </c>
      <c r="S31" s="432">
        <v>-8.905863587367050728904661060</v>
      </c>
      <c r="T31" s="430">
        <v>4.7352378822786312013789185300</v>
      </c>
      <c r="U31" s="431">
        <v>6.9605706169985784042171045300</v>
      </c>
      <c r="V31" s="432">
        <v>12.025408076235095837587413350</v>
      </c>
      <c r="W31" s="430">
        <v>0</v>
      </c>
      <c r="X31" s="431">
        <v>0</v>
      </c>
      <c r="Y31" s="432">
        <v>0</v>
      </c>
      <c r="Z31" s="430">
        <v>-3.7224564690069850802112448700</v>
      </c>
      <c r="AA31" s="431">
        <v>-2.1396726933619931192641480300</v>
      </c>
      <c r="AB31" s="432">
        <v>-5.7824807778237939446743400100</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v>116.80157862026154352927422717</v>
      </c>
      <c r="E34" s="428">
        <v>96.19957027096289909868273279</v>
      </c>
      <c r="F34" s="429">
        <v>112.36261670243144603755393173</v>
      </c>
      <c r="G34" s="427">
        <v>108.78806892073812806681406956</v>
      </c>
      <c r="H34" s="428">
        <v>107.81539893119056308129509342</v>
      </c>
      <c r="I34" s="429">
        <v>117.29029049719779119444934059</v>
      </c>
      <c r="J34" s="427">
        <v>0</v>
      </c>
      <c r="K34" s="428">
        <v>0</v>
      </c>
      <c r="L34" s="429">
        <v>0</v>
      </c>
      <c r="M34" s="427">
        <v>114.92435462142231803440155062</v>
      </c>
      <c r="N34" s="428">
        <v>97.70558238735531600794636606</v>
      </c>
      <c r="O34" s="429">
        <v>112.28750998784401590171003475</v>
      </c>
      <c r="P34" s="5"/>
      <c r="Q34" s="427">
        <v>1.572206284378055694274195900</v>
      </c>
      <c r="R34" s="428">
        <v>0.575797535690029226875124300</v>
      </c>
      <c r="S34" s="429">
        <v>2.1570565451157058290153138300</v>
      </c>
      <c r="T34" s="427">
        <v>12.803222631971414197817776010</v>
      </c>
      <c r="U34" s="428">
        <v>1.1464074946790862473575277900</v>
      </c>
      <c r="V34" s="429">
        <v>14.096407231230410210619148630</v>
      </c>
      <c r="W34" s="427">
        <v>0</v>
      </c>
      <c r="X34" s="428">
        <v>0</v>
      </c>
      <c r="Y34" s="429">
        <v>0</v>
      </c>
      <c r="Z34" s="427">
        <v>3.259591295182176219609640700</v>
      </c>
      <c r="AA34" s="428">
        <v>0.3115144821613162046827604500</v>
      </c>
      <c r="AB34" s="429">
        <v>3.5812598763414022340448664300</v>
      </c>
    </row>
    <row r="35" ht="18.95" customHeight="1">
      <c r="A35" s="58"/>
      <c r="B35" s="286">
        <v>2024</v>
      </c>
      <c r="C35" s="287"/>
      <c r="D35" s="271">
        <v>109.29802751080050237143807921</v>
      </c>
      <c r="E35" s="92">
        <v>97.35961588305971304493541850</v>
      </c>
      <c r="F35" s="272">
        <v>106.41213975226013281520102657</v>
      </c>
      <c r="G35" s="271">
        <v>84.74979616816858432236866964</v>
      </c>
      <c r="H35" s="92">
        <v>104.97903271001750970810474659</v>
      </c>
      <c r="I35" s="272">
        <v>88.96951624093006436493278334</v>
      </c>
      <c r="J35" s="271">
        <v>0</v>
      </c>
      <c r="K35" s="92">
        <v>0</v>
      </c>
      <c r="L35" s="272">
        <v>0</v>
      </c>
      <c r="M35" s="271">
        <v>105.34989444884777178127543506</v>
      </c>
      <c r="N35" s="92">
        <v>98.11127471331830391132125846</v>
      </c>
      <c r="O35" s="272">
        <v>103.36012435294589350642066634</v>
      </c>
      <c r="P35" s="5"/>
      <c r="Q35" s="271">
        <v>-6.4241863835523433522334218600</v>
      </c>
      <c r="R35" s="92">
        <v>1.2058740062890036700706859200</v>
      </c>
      <c r="S35" s="272">
        <v>-5.2957799709311757826805979100</v>
      </c>
      <c r="T35" s="271">
        <v>-22.096423799979278748862523160</v>
      </c>
      <c r="U35" s="92">
        <v>-2.6307616994418898742945556800</v>
      </c>
      <c r="V35" s="272">
        <v>-24.145881245767756291769704360</v>
      </c>
      <c r="W35" s="271">
        <v>0</v>
      </c>
      <c r="X35" s="92">
        <v>0</v>
      </c>
      <c r="Y35" s="272">
        <v>0</v>
      </c>
      <c r="Z35" s="271">
        <v>-8.331097619902903790651649680</v>
      </c>
      <c r="AA35" s="92">
        <v>0.4152191881009876965044147900</v>
      </c>
      <c r="AB35" s="272">
        <v>-7.950470747658456336589586260</v>
      </c>
    </row>
    <row r="36" ht="18.95" customHeight="1">
      <c r="A36" s="58"/>
      <c r="B36" s="425">
        <v>2025</v>
      </c>
      <c r="C36" s="426"/>
      <c r="D36" s="430">
        <v>107.24233161484907809204255217</v>
      </c>
      <c r="E36" s="431">
        <v>95.90622823912023193268475824</v>
      </c>
      <c r="F36" s="432">
        <v>102.85207532745602256522322066</v>
      </c>
      <c r="G36" s="430">
        <v>64.519909610183856402967110640</v>
      </c>
      <c r="H36" s="431">
        <v>108.32909202480595222510282953</v>
      </c>
      <c r="I36" s="432">
        <v>69.893832255942028140486328450</v>
      </c>
      <c r="J36" s="430">
        <v>0</v>
      </c>
      <c r="K36" s="431">
        <v>0</v>
      </c>
      <c r="L36" s="432">
        <v>0</v>
      </c>
      <c r="M36" s="430">
        <v>101.39280286696427910961188214</v>
      </c>
      <c r="N36" s="431">
        <v>96.66996591534242468378037779</v>
      </c>
      <c r="O36" s="432">
        <v>98.01638797211931249255973058</v>
      </c>
      <c r="P36" s="184"/>
      <c r="Q36" s="430">
        <v>-1.8808170126837775462943280100</v>
      </c>
      <c r="R36" s="431">
        <v>-1.4928033875204019162591927200</v>
      </c>
      <c r="S36" s="432">
        <v>-3.3455435001409507266989596200</v>
      </c>
      <c r="T36" s="430">
        <v>-23.870130044757376008021285280</v>
      </c>
      <c r="U36" s="431">
        <v>3.191169920626288294081605400</v>
      </c>
      <c r="V36" s="432">
        <v>-21.440696533976124933808998790</v>
      </c>
      <c r="W36" s="430">
        <v>0</v>
      </c>
      <c r="X36" s="431">
        <v>0</v>
      </c>
      <c r="Y36" s="432">
        <v>0</v>
      </c>
      <c r="Z36" s="430">
        <v>-3.7561419520537493939679622100</v>
      </c>
      <c r="AA36" s="431">
        <v>-1.4690552152842337625716518400</v>
      </c>
      <c r="AB36" s="432">
        <v>-5.1700173681445043692655723800</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v>114.05889529117586916932386788</v>
      </c>
      <c r="E39" s="428">
        <v>100.07618234548309276270062352</v>
      </c>
      <c r="F39" s="429">
        <v>114.14578803278185726598335616</v>
      </c>
      <c r="G39" s="427">
        <v>95.65421426109268939945130522</v>
      </c>
      <c r="H39" s="428">
        <v>101.88683947880321378892117551</v>
      </c>
      <c r="I39" s="429">
        <v>97.45905573922703267811761423</v>
      </c>
      <c r="J39" s="427">
        <v>0</v>
      </c>
      <c r="K39" s="428">
        <v>0</v>
      </c>
      <c r="L39" s="429">
        <v>0</v>
      </c>
      <c r="M39" s="427">
        <v>111.52136167116247843248153408</v>
      </c>
      <c r="N39" s="428">
        <v>100.21779289466026396083775656</v>
      </c>
      <c r="O39" s="429">
        <v>111.76424727294763583857058324</v>
      </c>
      <c r="P39" s="5"/>
      <c r="Q39" s="427">
        <v>-3.323449728424333418280463800</v>
      </c>
      <c r="R39" s="428">
        <v>3.2582191169669205844166110400</v>
      </c>
      <c r="S39" s="429">
        <v>-0.1735158859104475864870416200</v>
      </c>
      <c r="T39" s="427">
        <v>4.2306024655697767086144725400</v>
      </c>
      <c r="U39" s="428">
        <v>-3.1537245417354408901157037900</v>
      </c>
      <c r="V39" s="429">
        <v>0.9434563761244493711908045200</v>
      </c>
      <c r="W39" s="427">
        <v>0</v>
      </c>
      <c r="X39" s="428">
        <v>0</v>
      </c>
      <c r="Y39" s="429">
        <v>0</v>
      </c>
      <c r="Z39" s="427">
        <v>-2.6424832211138795498412635300</v>
      </c>
      <c r="AA39" s="428">
        <v>2.5141180100676074305736231900</v>
      </c>
      <c r="AB39" s="429">
        <v>-0.194800357613100793706784500</v>
      </c>
    </row>
    <row r="40" ht="18.95" customHeight="1">
      <c r="A40" s="58"/>
      <c r="B40" s="286">
        <v>2024</v>
      </c>
      <c r="C40" s="287"/>
      <c r="D40" s="271">
        <v>112.03898232634203500581010127</v>
      </c>
      <c r="E40" s="92">
        <v>99.73351429221571719905552364</v>
      </c>
      <c r="F40" s="272">
        <v>111.74041445133710176146782691</v>
      </c>
      <c r="G40" s="271">
        <v>94.34474343225675159149447845</v>
      </c>
      <c r="H40" s="92">
        <v>100.54039929472057343444246764</v>
      </c>
      <c r="I40" s="272">
        <v>94.85458176056430213765889619</v>
      </c>
      <c r="J40" s="271">
        <v>0</v>
      </c>
      <c r="K40" s="92">
        <v>0</v>
      </c>
      <c r="L40" s="272">
        <v>0</v>
      </c>
      <c r="M40" s="271">
        <v>108.89770952745439546906008258</v>
      </c>
      <c r="N40" s="92">
        <v>99.78929769739144875808995911</v>
      </c>
      <c r="O40" s="272">
        <v>108.66825954602872909110931909</v>
      </c>
      <c r="P40" s="5"/>
      <c r="Q40" s="271">
        <v>-1.7709385661688129536116542300</v>
      </c>
      <c r="R40" s="92">
        <v>-0.3424071994485820081042115700</v>
      </c>
      <c r="S40" s="272">
        <v>-2.1072819443602332140210172200</v>
      </c>
      <c r="T40" s="271">
        <v>-1.3689630289250883813462894400</v>
      </c>
      <c r="U40" s="92">
        <v>-1.3215054966540460123391992300</v>
      </c>
      <c r="V40" s="272">
        <v>-2.6723776039912172487595184500</v>
      </c>
      <c r="W40" s="271">
        <v>0</v>
      </c>
      <c r="X40" s="92">
        <v>0</v>
      </c>
      <c r="Y40" s="272">
        <v>0</v>
      </c>
      <c r="Z40" s="271">
        <v>-2.3526005282117654442744361400</v>
      </c>
      <c r="AA40" s="92">
        <v>-0.4275639933108246824656568500</v>
      </c>
      <c r="AB40" s="272">
        <v>-2.7701056486441970961793059200</v>
      </c>
    </row>
    <row r="41" ht="18.95" customHeight="1">
      <c r="A41" s="58"/>
      <c r="B41" s="425">
        <v>2025</v>
      </c>
      <c r="C41" s="426"/>
      <c r="D41" s="430">
        <v>106.30312044749444709408938826</v>
      </c>
      <c r="E41" s="431">
        <v>96.20050453588776185372003066</v>
      </c>
      <c r="F41" s="432">
        <v>102.26413820793491136924869606</v>
      </c>
      <c r="G41" s="430">
        <v>101.97973613694008473997510310</v>
      </c>
      <c r="H41" s="431">
        <v>103.16125003371045142968499271</v>
      </c>
      <c r="I41" s="432">
        <v>105.20357057979589508124201520</v>
      </c>
      <c r="J41" s="430">
        <v>0</v>
      </c>
      <c r="K41" s="431">
        <v>0</v>
      </c>
      <c r="L41" s="432">
        <v>0</v>
      </c>
      <c r="M41" s="430">
        <v>105.10730703256755981637550780</v>
      </c>
      <c r="N41" s="431">
        <v>97.19273880922633810766736897</v>
      </c>
      <c r="O41" s="432">
        <v>102.15667039357816850773976695</v>
      </c>
      <c r="P41" s="184"/>
      <c r="Q41" s="430">
        <v>-5.119523365626928102461646200</v>
      </c>
      <c r="R41" s="431">
        <v>-3.5424498789456065891761388100</v>
      </c>
      <c r="S41" s="432">
        <v>-8.480616695309599877461595670</v>
      </c>
      <c r="T41" s="430">
        <v>8.092652994619473227284238120</v>
      </c>
      <c r="U41" s="431">
        <v>2.6067638057894702546619333300</v>
      </c>
      <c r="V41" s="432">
        <v>10.910373149201509738802527760</v>
      </c>
      <c r="W41" s="430">
        <v>0</v>
      </c>
      <c r="X41" s="431">
        <v>0</v>
      </c>
      <c r="Y41" s="432">
        <v>0</v>
      </c>
      <c r="Z41" s="430">
        <v>-3.4806999259936203745187556900</v>
      </c>
      <c r="AA41" s="431">
        <v>-2.6020414494222008839907971900</v>
      </c>
      <c r="AB41" s="432">
        <v>-5.9921721205679495739038465500</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466" customFormat="1">
      <c r="A46"/>
    </row>
    <row r="47" s="466" customFormat="1"/>
    <row r="48" s="466" customFormat="1"/>
    <row r="49" s="466" customFormat="1"/>
    <row r="50" s="466" customFormat="1"/>
    <row r="51" s="466" customFormat="1"/>
    <row r="52" s="466" customFormat="1"/>
    <row r="53" s="466" customFormat="1"/>
    <row r="54" s="466" customFormat="1"/>
    <row r="55" s="466" customFormat="1"/>
    <row r="56" s="466" customFormat="1"/>
    <row r="57" s="466" customFormat="1"/>
    <row r="58" s="466" customFormat="1"/>
    <row r="59" s="466" customFormat="1"/>
    <row r="60" s="466" customFormat="1"/>
    <row r="61" s="466" customFormat="1"/>
    <row r="62" s="466" customFormat="1"/>
    <row r="63" s="466" customFormat="1"/>
    <row r="64" s="466" customFormat="1"/>
    <row r="65" s="466" customFormat="1"/>
    <row r="66" s="466" customFormat="1"/>
    <row r="67" s="466" customFormat="1"/>
    <row r="68" s="466" customFormat="1"/>
    <row r="69" s="466" customFormat="1"/>
    <row r="70" s="466" customFormat="1"/>
    <row r="71" s="466" customFormat="1"/>
    <row r="72" s="466" customFormat="1"/>
    <row r="73" s="466" customFormat="1"/>
    <row r="74" s="466" customFormat="1"/>
    <row r="75" s="466" customFormat="1"/>
    <row r="76" s="466" customFormat="1"/>
    <row r="77" s="466" customFormat="1"/>
    <row r="78" s="466" customFormat="1"/>
    <row r="79" s="466" customFormat="1"/>
    <row r="80" s="466" customFormat="1"/>
    <row r="81" s="466" customFormat="1"/>
  </sheetData>
  <mergeCells count="21">
    <mergeCell ref="B3:AB3"/>
    <mergeCell ref="Q33:AB33"/>
    <mergeCell ref="B8:C8"/>
    <mergeCell ref="B2:AB2"/>
    <mergeCell ref="Q6:AB6"/>
    <mergeCell ref="D6:O6"/>
    <mergeCell ref="B4:AB4"/>
    <mergeCell ref="T7:V7"/>
    <mergeCell ref="M7:O7"/>
    <mergeCell ref="G7:I7"/>
    <mergeCell ref="D7:F7"/>
    <mergeCell ref="Q7:S7"/>
    <mergeCell ref="J7:L7"/>
    <mergeCell ref="B43:AB43"/>
    <mergeCell ref="B33:O33"/>
    <mergeCell ref="W7:Y7"/>
    <mergeCell ref="Q38:AB38"/>
    <mergeCell ref="B28:O28"/>
    <mergeCell ref="Z7:AB7"/>
    <mergeCell ref="B38:O38"/>
    <mergeCell ref="Q28:AB28"/>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4">
    <pageSetUpPr fitToPage="1"/>
  </sheetPr>
  <dimension ref="A1:AP78"/>
  <sheetViews>
    <sheetView showGridLines="0" zoomScale="85" workbookViewId="0"/>
  </sheetViews>
  <sheetFormatPr defaultRowHeight="12.75"/>
  <cols>
    <col min="1" max="1" width="2.7109375" customWidth="1"/>
    <col min="2" max="2" width="6.7109375" customWidth="1"/>
    <col min="3" max="3" width="6.140625" style="26"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236" customWidth="1"/>
  </cols>
  <sheetData>
    <row r="1" ht="30">
      <c r="A1" s="89"/>
      <c r="B1" s="656" t="s">
        <v>187</v>
      </c>
      <c r="Z1" s="5"/>
      <c r="AB1" s="685"/>
      <c r="AD1" s="236"/>
    </row>
    <row r="2" ht="15" customHeight="1">
      <c r="A2" s="11"/>
      <c r="B2" s="999" t="s">
        <v>208</v>
      </c>
      <c r="C2" s="999"/>
      <c r="D2" s="999"/>
      <c r="E2" s="999"/>
      <c r="F2" s="999"/>
      <c r="G2" s="999"/>
      <c r="H2" s="999"/>
      <c r="I2" s="999"/>
      <c r="J2" s="999"/>
      <c r="K2" s="999"/>
      <c r="L2" s="999"/>
      <c r="M2" s="999"/>
      <c r="N2" s="999"/>
      <c r="O2" s="999"/>
      <c r="P2" s="999"/>
      <c r="Q2" s="999"/>
      <c r="R2" s="999"/>
      <c r="S2" s="999"/>
      <c r="T2" s="999"/>
      <c r="U2" s="999"/>
      <c r="V2" s="999"/>
      <c r="W2" s="999"/>
      <c r="X2" s="999"/>
      <c r="Y2" s="999"/>
      <c r="Z2" s="999"/>
      <c r="AA2" s="999"/>
      <c r="AB2" s="999"/>
    </row>
    <row r="3" ht="17.1" customHeight="1">
      <c r="A3" s="11"/>
      <c r="B3" s="999" t="s">
        <v>209</v>
      </c>
      <c r="C3" s="999"/>
      <c r="D3" s="999"/>
      <c r="E3" s="999"/>
      <c r="F3" s="999"/>
      <c r="G3" s="999"/>
      <c r="H3" s="999"/>
      <c r="I3" s="999"/>
      <c r="J3" s="999"/>
      <c r="K3" s="999"/>
      <c r="L3" s="999"/>
      <c r="M3" s="999"/>
      <c r="N3" s="999"/>
      <c r="O3" s="999"/>
      <c r="P3" s="999"/>
      <c r="Q3" s="999"/>
      <c r="R3" s="999"/>
      <c r="S3" s="999"/>
      <c r="T3" s="999"/>
      <c r="U3" s="999"/>
      <c r="V3" s="999"/>
      <c r="W3" s="999"/>
      <c r="X3" s="999"/>
      <c r="Y3" s="999"/>
      <c r="Z3" s="999"/>
      <c r="AA3" s="999"/>
      <c r="AB3" s="999"/>
    </row>
    <row r="4" ht="19.5" customHeight="1">
      <c r="A4" s="4"/>
      <c r="B4" s="999" t="s">
        <v>210</v>
      </c>
      <c r="C4" s="999"/>
      <c r="D4" s="999"/>
      <c r="E4" s="999"/>
      <c r="F4" s="999"/>
      <c r="G4" s="999"/>
      <c r="H4" s="999"/>
      <c r="I4" s="999"/>
      <c r="J4" s="999"/>
      <c r="K4" s="999"/>
      <c r="L4" s="999"/>
      <c r="M4" s="999"/>
      <c r="N4" s="999"/>
      <c r="O4" s="999"/>
      <c r="P4" s="999"/>
      <c r="Q4" s="999"/>
      <c r="R4" s="999"/>
      <c r="S4" s="999"/>
      <c r="T4" s="999"/>
      <c r="U4" s="999"/>
      <c r="V4" s="999"/>
      <c r="W4" s="999"/>
      <c r="X4" s="999"/>
      <c r="Y4" s="999"/>
      <c r="Z4" s="999"/>
      <c r="AA4" s="999"/>
      <c r="AB4" s="999"/>
    </row>
    <row r="5" ht="15" customHeight="1"/>
    <row r="6" ht="15.75" customHeight="1">
      <c r="D6" s="960" t="s">
        <v>77</v>
      </c>
      <c r="E6" s="960"/>
      <c r="F6" s="960"/>
      <c r="G6" s="960"/>
      <c r="H6" s="960"/>
      <c r="I6" s="960"/>
      <c r="J6" s="960"/>
      <c r="K6" s="960"/>
      <c r="L6" s="960"/>
      <c r="M6" s="960"/>
      <c r="N6" s="960"/>
      <c r="O6" s="960"/>
      <c r="Q6" s="960" t="s">
        <v>70</v>
      </c>
      <c r="R6" s="960"/>
      <c r="S6" s="960"/>
      <c r="T6" s="960"/>
      <c r="U6" s="960"/>
      <c r="V6" s="960"/>
      <c r="W6" s="960"/>
      <c r="X6" s="960"/>
      <c r="Y6" s="960"/>
      <c r="Z6" s="960"/>
      <c r="AA6" s="960"/>
      <c r="AB6" s="960"/>
    </row>
    <row r="7" ht="15.75" customHeight="1">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944" t="s">
        <v>42</v>
      </c>
      <c r="C8" s="944"/>
      <c r="D8" s="412" t="s">
        <v>53</v>
      </c>
      <c r="E8" s="413" t="s">
        <v>9</v>
      </c>
      <c r="F8" s="414" t="s">
        <v>10</v>
      </c>
      <c r="G8" s="412" t="s">
        <v>53</v>
      </c>
      <c r="H8" s="413" t="s">
        <v>9</v>
      </c>
      <c r="I8" s="414" t="s">
        <v>10</v>
      </c>
      <c r="J8" s="412" t="s">
        <v>53</v>
      </c>
      <c r="K8" s="413" t="s">
        <v>9</v>
      </c>
      <c r="L8" s="414" t="s">
        <v>10</v>
      </c>
      <c r="M8" s="412" t="s">
        <v>53</v>
      </c>
      <c r="N8" s="413" t="s">
        <v>9</v>
      </c>
      <c r="O8" s="414" t="s">
        <v>10</v>
      </c>
      <c r="P8" s="63"/>
      <c r="Q8" s="412" t="s">
        <v>53</v>
      </c>
      <c r="R8" s="413" t="s">
        <v>9</v>
      </c>
      <c r="S8" s="414" t="s">
        <v>10</v>
      </c>
      <c r="T8" s="412" t="s">
        <v>53</v>
      </c>
      <c r="U8" s="413" t="s">
        <v>9</v>
      </c>
      <c r="V8" s="414" t="s">
        <v>10</v>
      </c>
      <c r="W8" s="412" t="s">
        <v>53</v>
      </c>
      <c r="X8" s="413" t="s">
        <v>9</v>
      </c>
      <c r="Y8" s="414" t="s">
        <v>10</v>
      </c>
      <c r="Z8" s="412" t="s">
        <v>53</v>
      </c>
      <c r="AA8" s="413" t="s">
        <v>9</v>
      </c>
      <c r="AB8" s="414" t="s">
        <v>10</v>
      </c>
    </row>
    <row r="9" ht="18.95" customHeight="1">
      <c r="A9" s="57"/>
      <c r="B9" s="284">
        <v>2024</v>
      </c>
      <c r="C9" s="285" t="s">
        <v>218</v>
      </c>
      <c r="D9" s="415" t="s">
        <v>305</v>
      </c>
      <c r="E9" s="416" t="s">
        <v>306</v>
      </c>
      <c r="F9" s="417" t="s">
        <v>307</v>
      </c>
      <c r="G9" s="415" t="s">
        <v>311</v>
      </c>
      <c r="H9" s="416" t="s">
        <v>311</v>
      </c>
      <c r="I9" s="417" t="s">
        <v>311</v>
      </c>
      <c r="J9" s="415" t="s">
        <v>265</v>
      </c>
      <c r="K9" s="416" t="s">
        <v>265</v>
      </c>
      <c r="L9" s="417" t="s">
        <v>265</v>
      </c>
      <c r="M9" s="415" t="s">
        <v>305</v>
      </c>
      <c r="N9" s="416" t="s">
        <v>306</v>
      </c>
      <c r="O9" s="417" t="s">
        <v>307</v>
      </c>
      <c r="P9" s="5"/>
      <c r="Q9" s="415" t="s">
        <v>309</v>
      </c>
      <c r="R9" s="416" t="s">
        <v>309</v>
      </c>
      <c r="S9" s="417" t="s">
        <v>307</v>
      </c>
      <c r="T9" s="415" t="s">
        <v>306</v>
      </c>
      <c r="U9" s="416" t="s">
        <v>307</v>
      </c>
      <c r="V9" s="417" t="s">
        <v>308</v>
      </c>
      <c r="W9" s="415"/>
      <c r="X9" s="416"/>
      <c r="Y9" s="417"/>
      <c r="Z9" s="415" t="s">
        <v>306</v>
      </c>
      <c r="AA9" s="416" t="s">
        <v>309</v>
      </c>
      <c r="AB9" s="417" t="s">
        <v>309</v>
      </c>
    </row>
    <row r="10" ht="18.95" customHeight="1">
      <c r="A10" s="58"/>
      <c r="B10" s="286"/>
      <c r="C10" s="287" t="s">
        <v>220</v>
      </c>
      <c r="D10" s="271" t="s">
        <v>307</v>
      </c>
      <c r="E10" s="92" t="s">
        <v>309</v>
      </c>
      <c r="F10" s="272" t="s">
        <v>305</v>
      </c>
      <c r="G10" s="271" t="s">
        <v>311</v>
      </c>
      <c r="H10" s="92" t="s">
        <v>308</v>
      </c>
      <c r="I10" s="272" t="s">
        <v>309</v>
      </c>
      <c r="J10" s="271" t="s">
        <v>265</v>
      </c>
      <c r="K10" s="92" t="s">
        <v>265</v>
      </c>
      <c r="L10" s="272" t="s">
        <v>265</v>
      </c>
      <c r="M10" s="271" t="s">
        <v>305</v>
      </c>
      <c r="N10" s="92" t="s">
        <v>308</v>
      </c>
      <c r="O10" s="272" t="s">
        <v>307</v>
      </c>
      <c r="P10" s="5"/>
      <c r="Q10" s="271" t="s">
        <v>312</v>
      </c>
      <c r="R10" s="92" t="s">
        <v>307</v>
      </c>
      <c r="S10" s="272" t="s">
        <v>308</v>
      </c>
      <c r="T10" s="271" t="s">
        <v>307</v>
      </c>
      <c r="U10" s="92" t="s">
        <v>308</v>
      </c>
      <c r="V10" s="272" t="s">
        <v>307</v>
      </c>
      <c r="W10" s="271"/>
      <c r="X10" s="92"/>
      <c r="Y10" s="272"/>
      <c r="Z10" s="271" t="s">
        <v>312</v>
      </c>
      <c r="AA10" s="92" t="s">
        <v>309</v>
      </c>
      <c r="AB10" s="272" t="s">
        <v>306</v>
      </c>
    </row>
    <row r="11" ht="18.95" customHeight="1">
      <c r="A11" s="58"/>
      <c r="B11" s="288"/>
      <c r="C11" s="289" t="s">
        <v>221</v>
      </c>
      <c r="D11" s="420" t="s">
        <v>305</v>
      </c>
      <c r="E11" s="91" t="s">
        <v>309</v>
      </c>
      <c r="F11" s="421" t="s">
        <v>307</v>
      </c>
      <c r="G11" s="420" t="s">
        <v>307</v>
      </c>
      <c r="H11" s="91" t="s">
        <v>306</v>
      </c>
      <c r="I11" s="421" t="s">
        <v>307</v>
      </c>
      <c r="J11" s="420" t="s">
        <v>265</v>
      </c>
      <c r="K11" s="91" t="s">
        <v>265</v>
      </c>
      <c r="L11" s="421" t="s">
        <v>265</v>
      </c>
      <c r="M11" s="420" t="s">
        <v>305</v>
      </c>
      <c r="N11" s="91" t="s">
        <v>309</v>
      </c>
      <c r="O11" s="421" t="s">
        <v>307</v>
      </c>
      <c r="P11" s="5"/>
      <c r="Q11" s="420" t="s">
        <v>306</v>
      </c>
      <c r="R11" s="91" t="s">
        <v>307</v>
      </c>
      <c r="S11" s="421" t="s">
        <v>311</v>
      </c>
      <c r="T11" s="420" t="s">
        <v>306</v>
      </c>
      <c r="U11" s="91" t="s">
        <v>311</v>
      </c>
      <c r="V11" s="421" t="s">
        <v>311</v>
      </c>
      <c r="W11" s="420"/>
      <c r="X11" s="91"/>
      <c r="Y11" s="421"/>
      <c r="Z11" s="420" t="s">
        <v>309</v>
      </c>
      <c r="AA11" s="91" t="s">
        <v>307</v>
      </c>
      <c r="AB11" s="421" t="s">
        <v>307</v>
      </c>
    </row>
    <row r="12" ht="18.95" customHeight="1">
      <c r="A12" s="58"/>
      <c r="B12" s="286"/>
      <c r="C12" s="287" t="s">
        <v>223</v>
      </c>
      <c r="D12" s="271" t="s">
        <v>310</v>
      </c>
      <c r="E12" s="92" t="s">
        <v>306</v>
      </c>
      <c r="F12" s="272" t="s">
        <v>310</v>
      </c>
      <c r="G12" s="271" t="s">
        <v>312</v>
      </c>
      <c r="H12" s="92" t="s">
        <v>309</v>
      </c>
      <c r="I12" s="272" t="s">
        <v>312</v>
      </c>
      <c r="J12" s="271" t="s">
        <v>265</v>
      </c>
      <c r="K12" s="92" t="s">
        <v>265</v>
      </c>
      <c r="L12" s="272" t="s">
        <v>265</v>
      </c>
      <c r="M12" s="271" t="s">
        <v>310</v>
      </c>
      <c r="N12" s="92" t="s">
        <v>309</v>
      </c>
      <c r="O12" s="272" t="s">
        <v>307</v>
      </c>
      <c r="P12" s="5"/>
      <c r="Q12" s="271" t="s">
        <v>309</v>
      </c>
      <c r="R12" s="92" t="s">
        <v>306</v>
      </c>
      <c r="S12" s="272" t="s">
        <v>309</v>
      </c>
      <c r="T12" s="271" t="s">
        <v>312</v>
      </c>
      <c r="U12" s="92" t="s">
        <v>305</v>
      </c>
      <c r="V12" s="272" t="s">
        <v>312</v>
      </c>
      <c r="W12" s="271"/>
      <c r="X12" s="92"/>
      <c r="Y12" s="272"/>
      <c r="Z12" s="271" t="s">
        <v>306</v>
      </c>
      <c r="AA12" s="92" t="s">
        <v>309</v>
      </c>
      <c r="AB12" s="272" t="s">
        <v>308</v>
      </c>
    </row>
    <row r="13" ht="18.95" customHeight="1">
      <c r="A13" s="58"/>
      <c r="B13" s="288"/>
      <c r="C13" s="289" t="s">
        <v>224</v>
      </c>
      <c r="D13" s="420" t="s">
        <v>311</v>
      </c>
      <c r="E13" s="91" t="s">
        <v>308</v>
      </c>
      <c r="F13" s="421" t="s">
        <v>306</v>
      </c>
      <c r="G13" s="420" t="s">
        <v>311</v>
      </c>
      <c r="H13" s="91" t="s">
        <v>310</v>
      </c>
      <c r="I13" s="421" t="s">
        <v>305</v>
      </c>
      <c r="J13" s="420" t="s">
        <v>265</v>
      </c>
      <c r="K13" s="91" t="s">
        <v>265</v>
      </c>
      <c r="L13" s="421" t="s">
        <v>265</v>
      </c>
      <c r="M13" s="420" t="s">
        <v>311</v>
      </c>
      <c r="N13" s="91" t="s">
        <v>306</v>
      </c>
      <c r="O13" s="421" t="s">
        <v>311</v>
      </c>
      <c r="P13" s="5"/>
      <c r="Q13" s="420" t="s">
        <v>309</v>
      </c>
      <c r="R13" s="91" t="s">
        <v>306</v>
      </c>
      <c r="S13" s="421" t="s">
        <v>306</v>
      </c>
      <c r="T13" s="420" t="s">
        <v>309</v>
      </c>
      <c r="U13" s="91" t="s">
        <v>305</v>
      </c>
      <c r="V13" s="421" t="s">
        <v>311</v>
      </c>
      <c r="W13" s="420"/>
      <c r="X13" s="91"/>
      <c r="Y13" s="421"/>
      <c r="Z13" s="420" t="s">
        <v>306</v>
      </c>
      <c r="AA13" s="91" t="s">
        <v>306</v>
      </c>
      <c r="AB13" s="421" t="s">
        <v>308</v>
      </c>
    </row>
    <row r="14" ht="18.95" customHeight="1">
      <c r="A14" s="58"/>
      <c r="B14" s="286"/>
      <c r="C14" s="287" t="s">
        <v>225</v>
      </c>
      <c r="D14" s="271" t="s">
        <v>311</v>
      </c>
      <c r="E14" s="92" t="s">
        <v>306</v>
      </c>
      <c r="F14" s="272" t="s">
        <v>306</v>
      </c>
      <c r="G14" s="271" t="s">
        <v>307</v>
      </c>
      <c r="H14" s="92" t="s">
        <v>306</v>
      </c>
      <c r="I14" s="272" t="s">
        <v>305</v>
      </c>
      <c r="J14" s="271" t="s">
        <v>265</v>
      </c>
      <c r="K14" s="92" t="s">
        <v>265</v>
      </c>
      <c r="L14" s="272" t="s">
        <v>265</v>
      </c>
      <c r="M14" s="271" t="s">
        <v>307</v>
      </c>
      <c r="N14" s="92" t="s">
        <v>308</v>
      </c>
      <c r="O14" s="272" t="s">
        <v>306</v>
      </c>
      <c r="P14" s="5"/>
      <c r="Q14" s="271" t="s">
        <v>312</v>
      </c>
      <c r="R14" s="92" t="s">
        <v>306</v>
      </c>
      <c r="S14" s="272" t="s">
        <v>312</v>
      </c>
      <c r="T14" s="271" t="s">
        <v>307</v>
      </c>
      <c r="U14" s="92" t="s">
        <v>306</v>
      </c>
      <c r="V14" s="272" t="s">
        <v>307</v>
      </c>
      <c r="W14" s="271"/>
      <c r="X14" s="92"/>
      <c r="Y14" s="272"/>
      <c r="Z14" s="271" t="s">
        <v>308</v>
      </c>
      <c r="AA14" s="92" t="s">
        <v>306</v>
      </c>
      <c r="AB14" s="272" t="s">
        <v>312</v>
      </c>
    </row>
    <row r="15" ht="18.95" customHeight="1">
      <c r="A15" s="58"/>
      <c r="B15" s="288"/>
      <c r="C15" s="289" t="s">
        <v>228</v>
      </c>
      <c r="D15" s="420" t="s">
        <v>309</v>
      </c>
      <c r="E15" s="91" t="s">
        <v>309</v>
      </c>
      <c r="F15" s="421" t="s">
        <v>311</v>
      </c>
      <c r="G15" s="420" t="s">
        <v>311</v>
      </c>
      <c r="H15" s="91" t="s">
        <v>310</v>
      </c>
      <c r="I15" s="421" t="s">
        <v>307</v>
      </c>
      <c r="J15" s="420" t="s">
        <v>265</v>
      </c>
      <c r="K15" s="91" t="s">
        <v>265</v>
      </c>
      <c r="L15" s="421" t="s">
        <v>265</v>
      </c>
      <c r="M15" s="420" t="s">
        <v>309</v>
      </c>
      <c r="N15" s="91" t="s">
        <v>311</v>
      </c>
      <c r="O15" s="421" t="s">
        <v>311</v>
      </c>
      <c r="P15" s="5"/>
      <c r="Q15" s="420" t="s">
        <v>312</v>
      </c>
      <c r="R15" s="91" t="s">
        <v>311</v>
      </c>
      <c r="S15" s="421" t="s">
        <v>312</v>
      </c>
      <c r="T15" s="420" t="s">
        <v>310</v>
      </c>
      <c r="U15" s="91" t="s">
        <v>310</v>
      </c>
      <c r="V15" s="421" t="s">
        <v>310</v>
      </c>
      <c r="W15" s="420"/>
      <c r="X15" s="91"/>
      <c r="Y15" s="421"/>
      <c r="Z15" s="420" t="s">
        <v>312</v>
      </c>
      <c r="AA15" s="91" t="s">
        <v>307</v>
      </c>
      <c r="AB15" s="421" t="s">
        <v>312</v>
      </c>
    </row>
    <row r="16" ht="18.95" customHeight="1">
      <c r="A16" s="58"/>
      <c r="B16" s="286"/>
      <c r="C16" s="287" t="s">
        <v>229</v>
      </c>
      <c r="D16" s="271" t="s">
        <v>307</v>
      </c>
      <c r="E16" s="92" t="s">
        <v>311</v>
      </c>
      <c r="F16" s="272" t="s">
        <v>307</v>
      </c>
      <c r="G16" s="271" t="s">
        <v>307</v>
      </c>
      <c r="H16" s="92" t="s">
        <v>307</v>
      </c>
      <c r="I16" s="272" t="s">
        <v>307</v>
      </c>
      <c r="J16" s="271" t="s">
        <v>265</v>
      </c>
      <c r="K16" s="92" t="s">
        <v>265</v>
      </c>
      <c r="L16" s="272" t="s">
        <v>265</v>
      </c>
      <c r="M16" s="271" t="s">
        <v>307</v>
      </c>
      <c r="N16" s="92" t="s">
        <v>311</v>
      </c>
      <c r="O16" s="272" t="s">
        <v>307</v>
      </c>
      <c r="P16" s="5"/>
      <c r="Q16" s="271" t="s">
        <v>308</v>
      </c>
      <c r="R16" s="92" t="s">
        <v>307</v>
      </c>
      <c r="S16" s="272" t="s">
        <v>308</v>
      </c>
      <c r="T16" s="271" t="s">
        <v>307</v>
      </c>
      <c r="U16" s="92" t="s">
        <v>309</v>
      </c>
      <c r="V16" s="272" t="s">
        <v>307</v>
      </c>
      <c r="W16" s="271"/>
      <c r="X16" s="92"/>
      <c r="Y16" s="272"/>
      <c r="Z16" s="271" t="s">
        <v>308</v>
      </c>
      <c r="AA16" s="92" t="s">
        <v>307</v>
      </c>
      <c r="AB16" s="272" t="s">
        <v>308</v>
      </c>
    </row>
    <row r="17" ht="18.95" customHeight="1">
      <c r="A17" s="58"/>
      <c r="B17" s="288"/>
      <c r="C17" s="289" t="s">
        <v>230</v>
      </c>
      <c r="D17" s="420" t="s">
        <v>309</v>
      </c>
      <c r="E17" s="91" t="s">
        <v>308</v>
      </c>
      <c r="F17" s="421" t="s">
        <v>311</v>
      </c>
      <c r="G17" s="420" t="s">
        <v>311</v>
      </c>
      <c r="H17" s="91" t="s">
        <v>307</v>
      </c>
      <c r="I17" s="421" t="s">
        <v>311</v>
      </c>
      <c r="J17" s="420" t="s">
        <v>265</v>
      </c>
      <c r="K17" s="91" t="s">
        <v>265</v>
      </c>
      <c r="L17" s="421" t="s">
        <v>265</v>
      </c>
      <c r="M17" s="420" t="s">
        <v>311</v>
      </c>
      <c r="N17" s="91" t="s">
        <v>306</v>
      </c>
      <c r="O17" s="421" t="s">
        <v>311</v>
      </c>
      <c r="P17" s="5"/>
      <c r="Q17" s="420" t="s">
        <v>308</v>
      </c>
      <c r="R17" s="91" t="s">
        <v>306</v>
      </c>
      <c r="S17" s="421" t="s">
        <v>308</v>
      </c>
      <c r="T17" s="420" t="s">
        <v>305</v>
      </c>
      <c r="U17" s="91" t="s">
        <v>307</v>
      </c>
      <c r="V17" s="421" t="s">
        <v>305</v>
      </c>
      <c r="W17" s="420"/>
      <c r="X17" s="91"/>
      <c r="Y17" s="421"/>
      <c r="Z17" s="420" t="s">
        <v>308</v>
      </c>
      <c r="AA17" s="91" t="s">
        <v>309</v>
      </c>
      <c r="AB17" s="421" t="s">
        <v>308</v>
      </c>
    </row>
    <row r="18" ht="18.95" customHeight="1">
      <c r="A18" s="58"/>
      <c r="B18" s="286"/>
      <c r="C18" s="287" t="s">
        <v>231</v>
      </c>
      <c r="D18" s="271" t="s">
        <v>307</v>
      </c>
      <c r="E18" s="92" t="s">
        <v>308</v>
      </c>
      <c r="F18" s="272" t="s">
        <v>305</v>
      </c>
      <c r="G18" s="271" t="s">
        <v>306</v>
      </c>
      <c r="H18" s="92" t="s">
        <v>312</v>
      </c>
      <c r="I18" s="272" t="s">
        <v>308</v>
      </c>
      <c r="J18" s="271" t="s">
        <v>265</v>
      </c>
      <c r="K18" s="92" t="s">
        <v>265</v>
      </c>
      <c r="L18" s="272" t="s">
        <v>265</v>
      </c>
      <c r="M18" s="271" t="s">
        <v>307</v>
      </c>
      <c r="N18" s="92" t="s">
        <v>308</v>
      </c>
      <c r="O18" s="272" t="s">
        <v>309</v>
      </c>
      <c r="P18" s="5"/>
      <c r="Q18" s="271" t="s">
        <v>311</v>
      </c>
      <c r="R18" s="92" t="s">
        <v>313</v>
      </c>
      <c r="S18" s="272" t="s">
        <v>308</v>
      </c>
      <c r="T18" s="271" t="s">
        <v>308</v>
      </c>
      <c r="U18" s="92" t="s">
        <v>308</v>
      </c>
      <c r="V18" s="272" t="s">
        <v>308</v>
      </c>
      <c r="W18" s="271"/>
      <c r="X18" s="92"/>
      <c r="Y18" s="272"/>
      <c r="Z18" s="271" t="s">
        <v>312</v>
      </c>
      <c r="AA18" s="92" t="s">
        <v>313</v>
      </c>
      <c r="AB18" s="272" t="s">
        <v>312</v>
      </c>
    </row>
    <row r="19" ht="18.95" customHeight="1">
      <c r="A19" s="58"/>
      <c r="B19" s="288"/>
      <c r="C19" s="289" t="s">
        <v>232</v>
      </c>
      <c r="D19" s="420" t="s">
        <v>305</v>
      </c>
      <c r="E19" s="91" t="s">
        <v>306</v>
      </c>
      <c r="F19" s="421" t="s">
        <v>305</v>
      </c>
      <c r="G19" s="420" t="s">
        <v>309</v>
      </c>
      <c r="H19" s="91" t="s">
        <v>306</v>
      </c>
      <c r="I19" s="421" t="s">
        <v>306</v>
      </c>
      <c r="J19" s="420" t="s">
        <v>265</v>
      </c>
      <c r="K19" s="91" t="s">
        <v>265</v>
      </c>
      <c r="L19" s="421" t="s">
        <v>265</v>
      </c>
      <c r="M19" s="420" t="s">
        <v>310</v>
      </c>
      <c r="N19" s="91" t="s">
        <v>306</v>
      </c>
      <c r="O19" s="421" t="s">
        <v>305</v>
      </c>
      <c r="P19" s="5"/>
      <c r="Q19" s="420" t="s">
        <v>310</v>
      </c>
      <c r="R19" s="91" t="s">
        <v>313</v>
      </c>
      <c r="S19" s="421" t="s">
        <v>309</v>
      </c>
      <c r="T19" s="420" t="s">
        <v>306</v>
      </c>
      <c r="U19" s="91" t="s">
        <v>308</v>
      </c>
      <c r="V19" s="421" t="s">
        <v>306</v>
      </c>
      <c r="W19" s="420"/>
      <c r="X19" s="91"/>
      <c r="Y19" s="421"/>
      <c r="Z19" s="420" t="s">
        <v>305</v>
      </c>
      <c r="AA19" s="91" t="s">
        <v>312</v>
      </c>
      <c r="AB19" s="421" t="s">
        <v>311</v>
      </c>
    </row>
    <row r="20" ht="18.95" customHeight="1">
      <c r="A20" s="58"/>
      <c r="B20" s="286"/>
      <c r="C20" s="287" t="s">
        <v>234</v>
      </c>
      <c r="D20" s="271" t="s">
        <v>307</v>
      </c>
      <c r="E20" s="92" t="s">
        <v>309</v>
      </c>
      <c r="F20" s="272" t="s">
        <v>307</v>
      </c>
      <c r="G20" s="271" t="s">
        <v>311</v>
      </c>
      <c r="H20" s="92" t="s">
        <v>312</v>
      </c>
      <c r="I20" s="272" t="s">
        <v>311</v>
      </c>
      <c r="J20" s="271" t="s">
        <v>265</v>
      </c>
      <c r="K20" s="92" t="s">
        <v>265</v>
      </c>
      <c r="L20" s="272" t="s">
        <v>265</v>
      </c>
      <c r="M20" s="271" t="s">
        <v>307</v>
      </c>
      <c r="N20" s="92" t="s">
        <v>306</v>
      </c>
      <c r="O20" s="272" t="s">
        <v>307</v>
      </c>
      <c r="P20" s="5"/>
      <c r="Q20" s="271" t="s">
        <v>311</v>
      </c>
      <c r="R20" s="92" t="s">
        <v>309</v>
      </c>
      <c r="S20" s="272" t="s">
        <v>306</v>
      </c>
      <c r="T20" s="271" t="s">
        <v>308</v>
      </c>
      <c r="U20" s="92" t="s">
        <v>312</v>
      </c>
      <c r="V20" s="272" t="s">
        <v>308</v>
      </c>
      <c r="W20" s="271"/>
      <c r="X20" s="92"/>
      <c r="Y20" s="272"/>
      <c r="Z20" s="271" t="s">
        <v>309</v>
      </c>
      <c r="AA20" s="92" t="s">
        <v>309</v>
      </c>
      <c r="AB20" s="272" t="s">
        <v>306</v>
      </c>
    </row>
    <row r="21" ht="18.95" customHeight="1">
      <c r="A21" s="58"/>
      <c r="B21" s="288">
        <v>2025</v>
      </c>
      <c r="C21" s="289" t="s">
        <v>218</v>
      </c>
      <c r="D21" s="420" t="s">
        <v>306</v>
      </c>
      <c r="E21" s="91" t="s">
        <v>306</v>
      </c>
      <c r="F21" s="421" t="s">
        <v>308</v>
      </c>
      <c r="G21" s="420" t="s">
        <v>305</v>
      </c>
      <c r="H21" s="91" t="s">
        <v>307</v>
      </c>
      <c r="I21" s="421" t="s">
        <v>305</v>
      </c>
      <c r="J21" s="420" t="s">
        <v>265</v>
      </c>
      <c r="K21" s="91" t="s">
        <v>265</v>
      </c>
      <c r="L21" s="421" t="s">
        <v>265</v>
      </c>
      <c r="M21" s="420" t="s">
        <v>307</v>
      </c>
      <c r="N21" s="91" t="s">
        <v>309</v>
      </c>
      <c r="O21" s="421" t="s">
        <v>307</v>
      </c>
      <c r="P21" s="5"/>
      <c r="Q21" s="420" t="s">
        <v>312</v>
      </c>
      <c r="R21" s="91" t="s">
        <v>306</v>
      </c>
      <c r="S21" s="421" t="s">
        <v>313</v>
      </c>
      <c r="T21" s="420" t="s">
        <v>305</v>
      </c>
      <c r="U21" s="91" t="s">
        <v>305</v>
      </c>
      <c r="V21" s="421" t="s">
        <v>305</v>
      </c>
      <c r="W21" s="420"/>
      <c r="X21" s="91"/>
      <c r="Y21" s="421"/>
      <c r="Z21" s="420" t="s">
        <v>308</v>
      </c>
      <c r="AA21" s="91" t="s">
        <v>309</v>
      </c>
      <c r="AB21" s="421" t="s">
        <v>306</v>
      </c>
    </row>
    <row r="22" ht="18.95" customHeight="1">
      <c r="A22" s="58"/>
      <c r="B22" s="286"/>
      <c r="C22" s="287" t="s">
        <v>220</v>
      </c>
      <c r="D22" s="271" t="s">
        <v>306</v>
      </c>
      <c r="E22" s="92" t="s">
        <v>306</v>
      </c>
      <c r="F22" s="272" t="s">
        <v>306</v>
      </c>
      <c r="G22" s="271" t="s">
        <v>307</v>
      </c>
      <c r="H22" s="92" t="s">
        <v>306</v>
      </c>
      <c r="I22" s="272" t="s">
        <v>311</v>
      </c>
      <c r="J22" s="271" t="s">
        <v>265</v>
      </c>
      <c r="K22" s="92" t="s">
        <v>265</v>
      </c>
      <c r="L22" s="272" t="s">
        <v>265</v>
      </c>
      <c r="M22" s="271" t="s">
        <v>311</v>
      </c>
      <c r="N22" s="92" t="s">
        <v>306</v>
      </c>
      <c r="O22" s="272" t="s">
        <v>309</v>
      </c>
      <c r="P22" s="5"/>
      <c r="Q22" s="271" t="s">
        <v>308</v>
      </c>
      <c r="R22" s="92" t="s">
        <v>312</v>
      </c>
      <c r="S22" s="272" t="s">
        <v>313</v>
      </c>
      <c r="T22" s="271" t="s">
        <v>309</v>
      </c>
      <c r="U22" s="92" t="s">
        <v>311</v>
      </c>
      <c r="V22" s="272" t="s">
        <v>311</v>
      </c>
      <c r="W22" s="271"/>
      <c r="X22" s="92"/>
      <c r="Y22" s="272"/>
      <c r="Z22" s="271" t="s">
        <v>312</v>
      </c>
      <c r="AA22" s="92" t="s">
        <v>312</v>
      </c>
      <c r="AB22" s="272" t="s">
        <v>312</v>
      </c>
    </row>
    <row r="23" ht="18.95" customHeight="1">
      <c r="A23" s="58"/>
      <c r="B23" s="288"/>
      <c r="C23" s="289" t="s">
        <v>221</v>
      </c>
      <c r="D23" s="420" t="s">
        <v>308</v>
      </c>
      <c r="E23" s="91" t="s">
        <v>306</v>
      </c>
      <c r="F23" s="421" t="s">
        <v>312</v>
      </c>
      <c r="G23" s="420" t="s">
        <v>310</v>
      </c>
      <c r="H23" s="91" t="s">
        <v>306</v>
      </c>
      <c r="I23" s="421" t="s">
        <v>310</v>
      </c>
      <c r="J23" s="420" t="s">
        <v>265</v>
      </c>
      <c r="K23" s="91" t="s">
        <v>265</v>
      </c>
      <c r="L23" s="421" t="s">
        <v>265</v>
      </c>
      <c r="M23" s="420" t="s">
        <v>307</v>
      </c>
      <c r="N23" s="91" t="s">
        <v>306</v>
      </c>
      <c r="O23" s="421" t="s">
        <v>307</v>
      </c>
      <c r="P23" s="5"/>
      <c r="Q23" s="420" t="s">
        <v>308</v>
      </c>
      <c r="R23" s="91" t="s">
        <v>306</v>
      </c>
      <c r="S23" s="421" t="s">
        <v>312</v>
      </c>
      <c r="T23" s="420" t="s">
        <v>307</v>
      </c>
      <c r="U23" s="91" t="s">
        <v>309</v>
      </c>
      <c r="V23" s="421" t="s">
        <v>307</v>
      </c>
      <c r="W23" s="420"/>
      <c r="X23" s="91"/>
      <c r="Y23" s="421"/>
      <c r="Z23" s="420" t="s">
        <v>306</v>
      </c>
      <c r="AA23" s="91" t="s">
        <v>308</v>
      </c>
      <c r="AB23" s="421" t="s">
        <v>312</v>
      </c>
    </row>
    <row r="24" ht="18.95" customHeight="1">
      <c r="A24" s="59"/>
      <c r="B24" s="286"/>
      <c r="C24" s="287" t="s">
        <v>223</v>
      </c>
      <c r="D24" s="271" t="s">
        <v>307</v>
      </c>
      <c r="E24" s="92" t="s">
        <v>311</v>
      </c>
      <c r="F24" s="272" t="s">
        <v>309</v>
      </c>
      <c r="G24" s="271" t="s">
        <v>311</v>
      </c>
      <c r="H24" s="92" t="s">
        <v>306</v>
      </c>
      <c r="I24" s="272" t="s">
        <v>311</v>
      </c>
      <c r="J24" s="271" t="s">
        <v>265</v>
      </c>
      <c r="K24" s="92" t="s">
        <v>265</v>
      </c>
      <c r="L24" s="272" t="s">
        <v>265</v>
      </c>
      <c r="M24" s="271" t="s">
        <v>305</v>
      </c>
      <c r="N24" s="92" t="s">
        <v>311</v>
      </c>
      <c r="O24" s="272" t="s">
        <v>307</v>
      </c>
      <c r="P24" s="93"/>
      <c r="Q24" s="271" t="s">
        <v>312</v>
      </c>
      <c r="R24" s="92" t="s">
        <v>311</v>
      </c>
      <c r="S24" s="272" t="s">
        <v>308</v>
      </c>
      <c r="T24" s="271" t="s">
        <v>305</v>
      </c>
      <c r="U24" s="92" t="s">
        <v>306</v>
      </c>
      <c r="V24" s="272" t="s">
        <v>307</v>
      </c>
      <c r="W24" s="271"/>
      <c r="X24" s="92"/>
      <c r="Y24" s="272"/>
      <c r="Z24" s="271" t="s">
        <v>308</v>
      </c>
      <c r="AA24" s="92" t="s">
        <v>309</v>
      </c>
      <c r="AB24" s="272" t="s">
        <v>308</v>
      </c>
    </row>
    <row r="25" ht="18.95" customHeight="1">
      <c r="A25" s="60"/>
      <c r="B25" s="288"/>
      <c r="C25" s="289" t="s">
        <v>224</v>
      </c>
      <c r="D25" s="420" t="s">
        <v>309</v>
      </c>
      <c r="E25" s="91" t="s">
        <v>308</v>
      </c>
      <c r="F25" s="421" t="s">
        <v>306</v>
      </c>
      <c r="G25" s="420" t="s">
        <v>306</v>
      </c>
      <c r="H25" s="91" t="s">
        <v>311</v>
      </c>
      <c r="I25" s="421" t="s">
        <v>309</v>
      </c>
      <c r="J25" s="420" t="s">
        <v>265</v>
      </c>
      <c r="K25" s="91" t="s">
        <v>265</v>
      </c>
      <c r="L25" s="421" t="s">
        <v>265</v>
      </c>
      <c r="M25" s="420" t="s">
        <v>306</v>
      </c>
      <c r="N25" s="91" t="s">
        <v>308</v>
      </c>
      <c r="O25" s="421" t="s">
        <v>308</v>
      </c>
      <c r="P25" s="93"/>
      <c r="Q25" s="420" t="s">
        <v>306</v>
      </c>
      <c r="R25" s="91" t="s">
        <v>311</v>
      </c>
      <c r="S25" s="421" t="s">
        <v>311</v>
      </c>
      <c r="T25" s="420" t="s">
        <v>308</v>
      </c>
      <c r="U25" s="91" t="s">
        <v>313</v>
      </c>
      <c r="V25" s="421" t="s">
        <v>312</v>
      </c>
      <c r="W25" s="420"/>
      <c r="X25" s="91"/>
      <c r="Y25" s="421"/>
      <c r="Z25" s="420" t="s">
        <v>312</v>
      </c>
      <c r="AA25" s="91" t="s">
        <v>308</v>
      </c>
      <c r="AB25" s="421" t="s">
        <v>308</v>
      </c>
    </row>
    <row r="26" ht="18.95" customHeight="1">
      <c r="A26" s="60"/>
      <c r="B26" s="290"/>
      <c r="C26" s="291" t="s">
        <v>225</v>
      </c>
      <c r="D26" s="273" t="s">
        <v>305</v>
      </c>
      <c r="E26" s="274" t="s">
        <v>308</v>
      </c>
      <c r="F26" s="275" t="s">
        <v>305</v>
      </c>
      <c r="G26" s="273" t="s">
        <v>312</v>
      </c>
      <c r="H26" s="274" t="s">
        <v>306</v>
      </c>
      <c r="I26" s="275" t="s">
        <v>312</v>
      </c>
      <c r="J26" s="273" t="s">
        <v>265</v>
      </c>
      <c r="K26" s="274" t="s">
        <v>265</v>
      </c>
      <c r="L26" s="275" t="s">
        <v>265</v>
      </c>
      <c r="M26" s="273" t="s">
        <v>309</v>
      </c>
      <c r="N26" s="274" t="s">
        <v>308</v>
      </c>
      <c r="O26" s="275" t="s">
        <v>308</v>
      </c>
      <c r="P26" s="184"/>
      <c r="Q26" s="273" t="s">
        <v>305</v>
      </c>
      <c r="R26" s="274" t="s">
        <v>307</v>
      </c>
      <c r="S26" s="275" t="s">
        <v>310</v>
      </c>
      <c r="T26" s="273" t="s">
        <v>313</v>
      </c>
      <c r="U26" s="274" t="s">
        <v>307</v>
      </c>
      <c r="V26" s="275" t="s">
        <v>313</v>
      </c>
      <c r="W26" s="273"/>
      <c r="X26" s="274"/>
      <c r="Y26" s="275"/>
      <c r="Z26" s="273" t="s">
        <v>312</v>
      </c>
      <c r="AA26" s="274" t="s">
        <v>309</v>
      </c>
      <c r="AB26" s="275" t="s">
        <v>308</v>
      </c>
    </row>
    <row r="27" ht="21.95"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9"/>
    </row>
    <row r="28" ht="18.95" customHeight="1">
      <c r="A28" s="112"/>
      <c r="B28" s="973" t="s">
        <v>59</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9"/>
    </row>
    <row r="29" ht="18.95" customHeight="1">
      <c r="A29" s="58"/>
      <c r="B29" s="284">
        <v>2023</v>
      </c>
      <c r="C29" s="285"/>
      <c r="D29" s="427" t="s">
        <v>310</v>
      </c>
      <c r="E29" s="428" t="s">
        <v>306</v>
      </c>
      <c r="F29" s="429" t="s">
        <v>307</v>
      </c>
      <c r="G29" s="427" t="s">
        <v>311</v>
      </c>
      <c r="H29" s="428" t="s">
        <v>311</v>
      </c>
      <c r="I29" s="429" t="s">
        <v>307</v>
      </c>
      <c r="J29" s="427" t="s">
        <v>265</v>
      </c>
      <c r="K29" s="428" t="s">
        <v>265</v>
      </c>
      <c r="L29" s="429" t="s">
        <v>265</v>
      </c>
      <c r="M29" s="427" t="s">
        <v>310</v>
      </c>
      <c r="N29" s="428" t="s">
        <v>306</v>
      </c>
      <c r="O29" s="429" t="s">
        <v>305</v>
      </c>
      <c r="P29" s="5"/>
      <c r="Q29" s="427" t="s">
        <v>306</v>
      </c>
      <c r="R29" s="428" t="s">
        <v>311</v>
      </c>
      <c r="S29" s="429" t="s">
        <v>306</v>
      </c>
      <c r="T29" s="427" t="s">
        <v>309</v>
      </c>
      <c r="U29" s="428" t="s">
        <v>308</v>
      </c>
      <c r="V29" s="429" t="s">
        <v>306</v>
      </c>
      <c r="W29" s="427"/>
      <c r="X29" s="428"/>
      <c r="Y29" s="429"/>
      <c r="Z29" s="427" t="s">
        <v>312</v>
      </c>
      <c r="AA29" s="428" t="s">
        <v>309</v>
      </c>
      <c r="AB29" s="429" t="s">
        <v>309</v>
      </c>
    </row>
    <row r="30" ht="18.95" customHeight="1">
      <c r="A30" s="58"/>
      <c r="B30" s="286">
        <v>2024</v>
      </c>
      <c r="C30" s="287"/>
      <c r="D30" s="271" t="s">
        <v>305</v>
      </c>
      <c r="E30" s="92" t="s">
        <v>306</v>
      </c>
      <c r="F30" s="272" t="s">
        <v>307</v>
      </c>
      <c r="G30" s="271" t="s">
        <v>311</v>
      </c>
      <c r="H30" s="92" t="s">
        <v>309</v>
      </c>
      <c r="I30" s="272" t="s">
        <v>307</v>
      </c>
      <c r="J30" s="271" t="s">
        <v>265</v>
      </c>
      <c r="K30" s="92" t="s">
        <v>265</v>
      </c>
      <c r="L30" s="272" t="s">
        <v>265</v>
      </c>
      <c r="M30" s="271" t="s">
        <v>305</v>
      </c>
      <c r="N30" s="92" t="s">
        <v>306</v>
      </c>
      <c r="O30" s="272" t="s">
        <v>305</v>
      </c>
      <c r="P30" s="5"/>
      <c r="Q30" s="271" t="s">
        <v>306</v>
      </c>
      <c r="R30" s="92" t="s">
        <v>311</v>
      </c>
      <c r="S30" s="272" t="s">
        <v>306</v>
      </c>
      <c r="T30" s="271" t="s">
        <v>306</v>
      </c>
      <c r="U30" s="92" t="s">
        <v>307</v>
      </c>
      <c r="V30" s="272" t="s">
        <v>308</v>
      </c>
      <c r="W30" s="271"/>
      <c r="X30" s="92"/>
      <c r="Y30" s="272"/>
      <c r="Z30" s="271" t="s">
        <v>308</v>
      </c>
      <c r="AA30" s="92" t="s">
        <v>309</v>
      </c>
      <c r="AB30" s="272" t="s">
        <v>309</v>
      </c>
    </row>
    <row r="31" ht="18.95" customHeight="1">
      <c r="A31" s="58"/>
      <c r="B31" s="425">
        <v>2025</v>
      </c>
      <c r="C31" s="426"/>
      <c r="D31" s="430" t="s">
        <v>311</v>
      </c>
      <c r="E31" s="431" t="s">
        <v>306</v>
      </c>
      <c r="F31" s="432" t="s">
        <v>306</v>
      </c>
      <c r="G31" s="430" t="s">
        <v>307</v>
      </c>
      <c r="H31" s="431" t="s">
        <v>307</v>
      </c>
      <c r="I31" s="432" t="s">
        <v>307</v>
      </c>
      <c r="J31" s="430" t="s">
        <v>265</v>
      </c>
      <c r="K31" s="431" t="s">
        <v>265</v>
      </c>
      <c r="L31" s="432" t="s">
        <v>265</v>
      </c>
      <c r="M31" s="430" t="s">
        <v>307</v>
      </c>
      <c r="N31" s="431" t="s">
        <v>306</v>
      </c>
      <c r="O31" s="432" t="s">
        <v>309</v>
      </c>
      <c r="P31" s="184"/>
      <c r="Q31" s="430" t="s">
        <v>312</v>
      </c>
      <c r="R31" s="431" t="s">
        <v>308</v>
      </c>
      <c r="S31" s="432" t="s">
        <v>313</v>
      </c>
      <c r="T31" s="430" t="s">
        <v>309</v>
      </c>
      <c r="U31" s="431" t="s">
        <v>307</v>
      </c>
      <c r="V31" s="432" t="s">
        <v>309</v>
      </c>
      <c r="W31" s="430"/>
      <c r="X31" s="431"/>
      <c r="Y31" s="432"/>
      <c r="Z31" s="430" t="s">
        <v>308</v>
      </c>
      <c r="AA31" s="431" t="s">
        <v>306</v>
      </c>
      <c r="AB31" s="432" t="s">
        <v>313</v>
      </c>
    </row>
    <row r="32" ht="21.95" customHeight="1">
      <c r="B32" s="43"/>
      <c r="C32"/>
      <c r="D32" s="56"/>
      <c r="E32" s="56"/>
      <c r="F32" s="56"/>
      <c r="G32" s="56"/>
      <c r="H32" s="56"/>
      <c r="I32" s="56"/>
      <c r="J32" s="56"/>
      <c r="K32" s="56"/>
      <c r="L32" s="56"/>
      <c r="M32" s="56"/>
      <c r="N32" s="56"/>
      <c r="O32" s="56"/>
      <c r="P32" s="5"/>
      <c r="Q32" s="5"/>
      <c r="R32" s="5"/>
      <c r="S32" s="5"/>
      <c r="T32" s="5"/>
      <c r="U32" s="5"/>
      <c r="V32" s="5"/>
      <c r="W32" s="5"/>
      <c r="X32" s="5"/>
      <c r="Y32" s="5"/>
      <c r="Z32" s="5"/>
      <c r="AA32" s="5"/>
      <c r="AB32" s="5"/>
    </row>
    <row r="33" ht="18.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9"/>
    </row>
    <row r="34" ht="18.95" customHeight="1">
      <c r="A34" s="58"/>
      <c r="B34" s="284">
        <v>2023</v>
      </c>
      <c r="C34" s="285"/>
      <c r="D34" s="427" t="s">
        <v>310</v>
      </c>
      <c r="E34" s="428" t="s">
        <v>306</v>
      </c>
      <c r="F34" s="429" t="s">
        <v>305</v>
      </c>
      <c r="G34" s="427" t="s">
        <v>311</v>
      </c>
      <c r="H34" s="428" t="s">
        <v>305</v>
      </c>
      <c r="I34" s="429" t="s">
        <v>307</v>
      </c>
      <c r="J34" s="427" t="s">
        <v>265</v>
      </c>
      <c r="K34" s="428" t="s">
        <v>265</v>
      </c>
      <c r="L34" s="429" t="s">
        <v>265</v>
      </c>
      <c r="M34" s="427" t="s">
        <v>310</v>
      </c>
      <c r="N34" s="428" t="s">
        <v>309</v>
      </c>
      <c r="O34" s="429" t="s">
        <v>307</v>
      </c>
      <c r="P34" s="5"/>
      <c r="Q34" s="427" t="s">
        <v>309</v>
      </c>
      <c r="R34" s="428" t="s">
        <v>309</v>
      </c>
      <c r="S34" s="429" t="s">
        <v>309</v>
      </c>
      <c r="T34" s="427" t="s">
        <v>309</v>
      </c>
      <c r="U34" s="428" t="s">
        <v>309</v>
      </c>
      <c r="V34" s="429" t="s">
        <v>309</v>
      </c>
      <c r="W34" s="427"/>
      <c r="X34" s="428"/>
      <c r="Y34" s="429"/>
      <c r="Z34" s="427" t="s">
        <v>309</v>
      </c>
      <c r="AA34" s="428" t="s">
        <v>306</v>
      </c>
      <c r="AB34" s="429" t="s">
        <v>311</v>
      </c>
    </row>
    <row r="35" ht="18.95" customHeight="1">
      <c r="A35" s="58"/>
      <c r="B35" s="286">
        <v>2024</v>
      </c>
      <c r="C35" s="287"/>
      <c r="D35" s="271" t="s">
        <v>311</v>
      </c>
      <c r="E35" s="92" t="s">
        <v>306</v>
      </c>
      <c r="F35" s="272" t="s">
        <v>305</v>
      </c>
      <c r="G35" s="271" t="s">
        <v>311</v>
      </c>
      <c r="H35" s="92" t="s">
        <v>307</v>
      </c>
      <c r="I35" s="272" t="s">
        <v>311</v>
      </c>
      <c r="J35" s="271" t="s">
        <v>265</v>
      </c>
      <c r="K35" s="92" t="s">
        <v>265</v>
      </c>
      <c r="L35" s="272" t="s">
        <v>265</v>
      </c>
      <c r="M35" s="271" t="s">
        <v>307</v>
      </c>
      <c r="N35" s="92" t="s">
        <v>306</v>
      </c>
      <c r="O35" s="272" t="s">
        <v>311</v>
      </c>
      <c r="P35" s="5"/>
      <c r="Q35" s="271" t="s">
        <v>308</v>
      </c>
      <c r="R35" s="92" t="s">
        <v>306</v>
      </c>
      <c r="S35" s="272" t="s">
        <v>308</v>
      </c>
      <c r="T35" s="271" t="s">
        <v>306</v>
      </c>
      <c r="U35" s="92" t="s">
        <v>309</v>
      </c>
      <c r="V35" s="272" t="s">
        <v>306</v>
      </c>
      <c r="W35" s="271"/>
      <c r="X35" s="92"/>
      <c r="Y35" s="272"/>
      <c r="Z35" s="271" t="s">
        <v>308</v>
      </c>
      <c r="AA35" s="92" t="s">
        <v>306</v>
      </c>
      <c r="AB35" s="272" t="s">
        <v>312</v>
      </c>
    </row>
    <row r="36" ht="18.95" customHeight="1">
      <c r="A36" s="58"/>
      <c r="B36" s="425">
        <v>2025</v>
      </c>
      <c r="C36" s="426"/>
      <c r="D36" s="430" t="s">
        <v>305</v>
      </c>
      <c r="E36" s="431" t="s">
        <v>306</v>
      </c>
      <c r="F36" s="432" t="s">
        <v>309</v>
      </c>
      <c r="G36" s="430" t="s">
        <v>312</v>
      </c>
      <c r="H36" s="431" t="s">
        <v>307</v>
      </c>
      <c r="I36" s="432" t="s">
        <v>308</v>
      </c>
      <c r="J36" s="430" t="s">
        <v>265</v>
      </c>
      <c r="K36" s="431" t="s">
        <v>265</v>
      </c>
      <c r="L36" s="432" t="s">
        <v>265</v>
      </c>
      <c r="M36" s="430" t="s">
        <v>311</v>
      </c>
      <c r="N36" s="431" t="s">
        <v>308</v>
      </c>
      <c r="O36" s="432" t="s">
        <v>306</v>
      </c>
      <c r="P36" s="184"/>
      <c r="Q36" s="430" t="s">
        <v>306</v>
      </c>
      <c r="R36" s="431" t="s">
        <v>309</v>
      </c>
      <c r="S36" s="432" t="s">
        <v>311</v>
      </c>
      <c r="T36" s="430" t="s">
        <v>312</v>
      </c>
      <c r="U36" s="431" t="s">
        <v>309</v>
      </c>
      <c r="V36" s="432" t="s">
        <v>308</v>
      </c>
      <c r="W36" s="430"/>
      <c r="X36" s="431"/>
      <c r="Y36" s="432"/>
      <c r="Z36" s="430" t="s">
        <v>312</v>
      </c>
      <c r="AA36" s="431" t="s">
        <v>306</v>
      </c>
      <c r="AB36" s="432" t="s">
        <v>308</v>
      </c>
    </row>
    <row r="37" ht="21.9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9"/>
    </row>
    <row r="39" ht="18.95" customHeight="1">
      <c r="A39" s="58"/>
      <c r="B39" s="284">
        <v>2023</v>
      </c>
      <c r="C39" s="285"/>
      <c r="D39" s="427" t="s">
        <v>310</v>
      </c>
      <c r="E39" s="428" t="s">
        <v>306</v>
      </c>
      <c r="F39" s="429" t="s">
        <v>310</v>
      </c>
      <c r="G39" s="427" t="s">
        <v>311</v>
      </c>
      <c r="H39" s="428" t="s">
        <v>305</v>
      </c>
      <c r="I39" s="429" t="s">
        <v>307</v>
      </c>
      <c r="J39" s="427" t="s">
        <v>265</v>
      </c>
      <c r="K39" s="428" t="s">
        <v>265</v>
      </c>
      <c r="L39" s="429" t="s">
        <v>265</v>
      </c>
      <c r="M39" s="427" t="s">
        <v>310</v>
      </c>
      <c r="N39" s="428" t="s">
        <v>309</v>
      </c>
      <c r="O39" s="429" t="s">
        <v>305</v>
      </c>
      <c r="P39" s="5"/>
      <c r="Q39" s="427" t="s">
        <v>345</v>
      </c>
      <c r="R39" s="428" t="s">
        <v>346</v>
      </c>
      <c r="S39" s="429" t="s">
        <v>345</v>
      </c>
      <c r="T39" s="427" t="s">
        <v>347</v>
      </c>
      <c r="U39" s="428" t="s">
        <v>345</v>
      </c>
      <c r="V39" s="429" t="s">
        <v>346</v>
      </c>
      <c r="W39" s="427"/>
      <c r="X39" s="428"/>
      <c r="Y39" s="429"/>
      <c r="Z39" s="427" t="s">
        <v>308</v>
      </c>
      <c r="AA39" s="428" t="s">
        <v>309</v>
      </c>
      <c r="AB39" s="429" t="s">
        <v>306</v>
      </c>
    </row>
    <row r="40" ht="18.95" customHeight="1">
      <c r="A40" s="58"/>
      <c r="B40" s="286">
        <v>2024</v>
      </c>
      <c r="C40" s="287"/>
      <c r="D40" s="271" t="s">
        <v>310</v>
      </c>
      <c r="E40" s="92" t="s">
        <v>308</v>
      </c>
      <c r="F40" s="272" t="s">
        <v>310</v>
      </c>
      <c r="G40" s="271" t="s">
        <v>311</v>
      </c>
      <c r="H40" s="92" t="s">
        <v>309</v>
      </c>
      <c r="I40" s="272" t="s">
        <v>309</v>
      </c>
      <c r="J40" s="271" t="s">
        <v>265</v>
      </c>
      <c r="K40" s="92" t="s">
        <v>265</v>
      </c>
      <c r="L40" s="272" t="s">
        <v>265</v>
      </c>
      <c r="M40" s="271" t="s">
        <v>310</v>
      </c>
      <c r="N40" s="92" t="s">
        <v>306</v>
      </c>
      <c r="O40" s="272" t="s">
        <v>305</v>
      </c>
      <c r="P40" s="5"/>
      <c r="Q40" s="271" t="s">
        <v>306</v>
      </c>
      <c r="R40" s="92" t="s">
        <v>309</v>
      </c>
      <c r="S40" s="272" t="s">
        <v>312</v>
      </c>
      <c r="T40" s="271" t="s">
        <v>309</v>
      </c>
      <c r="U40" s="92" t="s">
        <v>306</v>
      </c>
      <c r="V40" s="272" t="s">
        <v>306</v>
      </c>
      <c r="W40" s="271"/>
      <c r="X40" s="92"/>
      <c r="Y40" s="272"/>
      <c r="Z40" s="271" t="s">
        <v>308</v>
      </c>
      <c r="AA40" s="92" t="s">
        <v>309</v>
      </c>
      <c r="AB40" s="272" t="s">
        <v>308</v>
      </c>
    </row>
    <row r="41" ht="18.95" customHeight="1">
      <c r="A41" s="58"/>
      <c r="B41" s="425">
        <v>2025</v>
      </c>
      <c r="C41" s="426"/>
      <c r="D41" s="430" t="s">
        <v>307</v>
      </c>
      <c r="E41" s="431" t="s">
        <v>306</v>
      </c>
      <c r="F41" s="432" t="s">
        <v>311</v>
      </c>
      <c r="G41" s="430" t="s">
        <v>309</v>
      </c>
      <c r="H41" s="431" t="s">
        <v>307</v>
      </c>
      <c r="I41" s="432" t="s">
        <v>311</v>
      </c>
      <c r="J41" s="430" t="s">
        <v>265</v>
      </c>
      <c r="K41" s="431" t="s">
        <v>265</v>
      </c>
      <c r="L41" s="432" t="s">
        <v>265</v>
      </c>
      <c r="M41" s="430" t="s">
        <v>307</v>
      </c>
      <c r="N41" s="431" t="s">
        <v>306</v>
      </c>
      <c r="O41" s="432" t="s">
        <v>307</v>
      </c>
      <c r="P41" s="184"/>
      <c r="Q41" s="430" t="s">
        <v>308</v>
      </c>
      <c r="R41" s="431" t="s">
        <v>308</v>
      </c>
      <c r="S41" s="432" t="s">
        <v>312</v>
      </c>
      <c r="T41" s="430" t="s">
        <v>309</v>
      </c>
      <c r="U41" s="431" t="s">
        <v>309</v>
      </c>
      <c r="V41" s="432" t="s">
        <v>309</v>
      </c>
      <c r="W41" s="430"/>
      <c r="X41" s="431"/>
      <c r="Y41" s="432"/>
      <c r="Z41" s="430" t="s">
        <v>308</v>
      </c>
      <c r="AA41" s="431" t="s">
        <v>308</v>
      </c>
      <c r="AB41" s="432" t="s">
        <v>312</v>
      </c>
    </row>
    <row r="42" ht="12" customHeight="1">
      <c r="B42" s="43"/>
      <c r="C42"/>
      <c r="D42" s="56"/>
      <c r="E42" s="56"/>
      <c r="F42" s="56"/>
      <c r="G42" s="56"/>
      <c r="H42" s="56"/>
      <c r="I42" s="56"/>
      <c r="J42" s="56"/>
      <c r="K42" s="56"/>
      <c r="L42" s="56"/>
      <c r="M42" s="56"/>
      <c r="N42" s="56"/>
      <c r="O42" s="56"/>
      <c r="P42" s="5"/>
      <c r="Q42" s="5"/>
      <c r="R42" s="5"/>
      <c r="S42" s="5"/>
      <c r="T42" s="5"/>
      <c r="U42" s="5"/>
      <c r="V42" s="5"/>
      <c r="W42" s="5"/>
      <c r="X42" s="5"/>
      <c r="Y42" s="5"/>
      <c r="Z42" s="5"/>
      <c r="AA42" s="5"/>
      <c r="AB42" s="5"/>
      <c r="AP42" s="236"/>
    </row>
    <row r="43" ht="39.95" customHeight="1">
      <c r="B43" s="1036" t="s">
        <v>126</v>
      </c>
      <c r="C43" s="1036"/>
      <c r="D43" s="1036"/>
      <c r="E43" s="1036"/>
      <c r="F43" s="1036"/>
      <c r="G43" s="1036"/>
      <c r="H43" s="1036"/>
      <c r="I43" s="1036"/>
      <c r="J43" s="1036"/>
      <c r="K43" s="1036"/>
      <c r="L43" s="1036"/>
      <c r="M43" s="1036"/>
      <c r="N43" s="1036"/>
      <c r="O43" s="1036"/>
      <c r="P43" s="1036"/>
      <c r="Q43" s="1036"/>
      <c r="R43" s="1036"/>
      <c r="S43" s="1036"/>
      <c r="T43" s="1036"/>
      <c r="U43" s="1036"/>
      <c r="V43" s="1036"/>
      <c r="W43" s="1036"/>
      <c r="X43" s="1036"/>
      <c r="Y43" s="1036"/>
      <c r="Z43" s="1036"/>
      <c r="AA43" s="1036"/>
      <c r="AB43" s="1036"/>
      <c r="AP43" s="236"/>
    </row>
    <row r="44" ht="12" customHeight="1">
      <c r="Z44" s="55"/>
      <c r="AA44" s="233"/>
      <c r="AB44" s="233"/>
      <c r="AP44" s="236"/>
    </row>
    <row r="45" ht="12" customHeight="1">
      <c r="AP45" s="236"/>
    </row>
    <row r="46" s="236" customFormat="1">
      <c r="A4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1">
    <mergeCell ref="B43:AB43"/>
    <mergeCell ref="T7:V7"/>
    <mergeCell ref="W7:Y7"/>
    <mergeCell ref="Z7:AB7"/>
    <mergeCell ref="B38:O38"/>
    <mergeCell ref="Q28:AB28"/>
    <mergeCell ref="Q7:S7"/>
    <mergeCell ref="Q33:AB33"/>
    <mergeCell ref="G7:I7"/>
    <mergeCell ref="B33:O33"/>
    <mergeCell ref="B8:C8"/>
    <mergeCell ref="Q38:AB38"/>
    <mergeCell ref="M7:O7"/>
    <mergeCell ref="B28:O28"/>
    <mergeCell ref="J7:L7"/>
    <mergeCell ref="D7:F7"/>
    <mergeCell ref="B2:AB2"/>
    <mergeCell ref="Q6:AB6"/>
    <mergeCell ref="D6:O6"/>
    <mergeCell ref="B4:AB4"/>
    <mergeCell ref="B3:AB3"/>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30" max="1048575" man="1"/>
  </colBreaks>
  <drawing r:id="rId55"/>
</worksheet>
</file>

<file path=xl/worksheets/sheet1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189</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42</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76.363636363636363636363636440</v>
      </c>
      <c r="E11" s="428">
        <v>63.40755082284607938044530500</v>
      </c>
      <c r="F11" s="429">
        <v>50.049740484429065743944636730</v>
      </c>
      <c r="G11" s="427">
        <v>0</v>
      </c>
      <c r="H11" s="428">
        <v>13.320425943852855759922555680</v>
      </c>
      <c r="I11" s="429">
        <v>8.581314878892733564013840840</v>
      </c>
      <c r="J11" s="427">
        <v>0</v>
      </c>
      <c r="K11" s="428">
        <v>0</v>
      </c>
      <c r="L11" s="429">
        <v>7.1215397923875432525951557200</v>
      </c>
      <c r="M11" s="427">
        <v>76.363636363636363636363636360</v>
      </c>
      <c r="N11" s="428">
        <v>76.727976766698935140367860600</v>
      </c>
      <c r="O11" s="429">
        <v>65.748269896193771626297577850</v>
      </c>
      <c r="P11" s="5"/>
      <c r="Q11" s="427">
        <v>15.596330275239962966080297360</v>
      </c>
      <c r="R11" s="428">
        <v>-1.4444778813704540953271332900</v>
      </c>
      <c r="S11" s="429">
        <v>0.9155912662563583046665303100</v>
      </c>
      <c r="T11" s="427">
        <v>-100</v>
      </c>
      <c r="U11" s="428">
        <v>79.166666665584201388895429010</v>
      </c>
      <c r="V11" s="429">
        <v>51.359925404679534972283878930</v>
      </c>
      <c r="W11" s="427">
        <v>0</v>
      </c>
      <c r="X11" s="428">
        <v>-100</v>
      </c>
      <c r="Y11" s="429">
        <v>-2.0108742301838607880189558700</v>
      </c>
      <c r="Z11" s="427">
        <v>3.9175257732644404293761744700</v>
      </c>
      <c r="AA11" s="428">
        <v>5.6518261796956979249681655400</v>
      </c>
      <c r="AB11" s="429">
        <v>5.1456293698814229321295573200</v>
      </c>
    </row>
    <row r="12" ht="18" customHeight="1">
      <c r="A12" s="58"/>
      <c r="B12" s="1043" t="s">
        <v>46</v>
      </c>
      <c r="C12" s="1043"/>
      <c r="D12" s="420">
        <v>69.393939393939393939393939460</v>
      </c>
      <c r="E12" s="91">
        <v>57.889641819941916747337850980</v>
      </c>
      <c r="F12" s="421">
        <v>46.429498269896193771626297620</v>
      </c>
      <c r="G12" s="420">
        <v>0</v>
      </c>
      <c r="H12" s="91">
        <v>12.817037754114230396902226540</v>
      </c>
      <c r="I12" s="421">
        <v>11.561418685121107266435986170</v>
      </c>
      <c r="J12" s="420">
        <v>0</v>
      </c>
      <c r="K12" s="91">
        <v>0</v>
      </c>
      <c r="L12" s="421">
        <v>6.7971453287197231833910034700</v>
      </c>
      <c r="M12" s="420">
        <v>69.393939393939393939393939390</v>
      </c>
      <c r="N12" s="91">
        <v>70.706679574056147144240077440</v>
      </c>
      <c r="O12" s="421">
        <v>64.790224913494809688581314880</v>
      </c>
      <c r="P12" s="5"/>
      <c r="Q12" s="420">
        <v>14.143302180600017468774629380</v>
      </c>
      <c r="R12" s="91">
        <v>3.1924072476744538186723620200</v>
      </c>
      <c r="S12" s="421">
        <v>-0.7449681187632488469679314600</v>
      </c>
      <c r="T12" s="420">
        <v>-100</v>
      </c>
      <c r="U12" s="91">
        <v>45.095890410989115856633521190</v>
      </c>
      <c r="V12" s="421">
        <v>30.246607374142137471236723780</v>
      </c>
      <c r="W12" s="420">
        <v>0</v>
      </c>
      <c r="X12" s="91">
        <v>-100</v>
      </c>
      <c r="Y12" s="421">
        <v>-0.0633048373846017255219767200</v>
      </c>
      <c r="Z12" s="420">
        <v>-10.634146341445977394408087030</v>
      </c>
      <c r="AA12" s="91">
        <v>7.5699558174309361640288212600</v>
      </c>
      <c r="AB12" s="421">
        <v>3.7418369615604412658694510800</v>
      </c>
    </row>
    <row r="13" ht="18" customHeight="1">
      <c r="A13" s="58"/>
      <c r="B13" s="1043" t="s">
        <v>47</v>
      </c>
      <c r="C13" s="1043"/>
      <c r="D13" s="420">
        <v>66.666666666666666666666666730</v>
      </c>
      <c r="E13" s="91">
        <v>61.471442400774443368828654460</v>
      </c>
      <c r="F13" s="421">
        <v>49.072772491349480968858131540</v>
      </c>
      <c r="G13" s="420">
        <v>3.2196969696969696969696969700</v>
      </c>
      <c r="H13" s="91">
        <v>13.964181994191674733785091980</v>
      </c>
      <c r="I13" s="421">
        <v>13.505622837370242214532871990</v>
      </c>
      <c r="J13" s="420">
        <v>0</v>
      </c>
      <c r="K13" s="91">
        <v>0</v>
      </c>
      <c r="L13" s="421">
        <v>7.2069636678200692041522491400</v>
      </c>
      <c r="M13" s="420">
        <v>69.886363636363636363636363640</v>
      </c>
      <c r="N13" s="91">
        <v>75.435624394966118102613746370</v>
      </c>
      <c r="O13" s="421">
        <v>69.793468858131487889273356400</v>
      </c>
      <c r="P13" s="184"/>
      <c r="Q13" s="420">
        <v>13.183279742794387981927407020</v>
      </c>
      <c r="R13" s="91">
        <v>-2.4577572964178281787914362400</v>
      </c>
      <c r="S13" s="421">
        <v>-2.6283997753698486924235162700</v>
      </c>
      <c r="T13" s="420">
        <v>-84.25925925922427983539086877</v>
      </c>
      <c r="U13" s="91">
        <v>71.726190476208875425170070180</v>
      </c>
      <c r="V13" s="421">
        <v>26.146689441093977007643470590</v>
      </c>
      <c r="W13" s="420">
        <v>0</v>
      </c>
      <c r="X13" s="91">
        <v>-100</v>
      </c>
      <c r="Y13" s="421">
        <v>0.6344438859403443454039879800</v>
      </c>
      <c r="Z13" s="420">
        <v>-11.933174224387393555516294560</v>
      </c>
      <c r="AA13" s="91">
        <v>5.3040540539813373356465074800</v>
      </c>
      <c r="AB13" s="421">
        <v>2.2386783789034238406417772200</v>
      </c>
    </row>
    <row r="14" ht="18" customHeight="1">
      <c r="A14" s="58"/>
      <c r="B14" s="1043" t="s">
        <v>48</v>
      </c>
      <c r="C14" s="1043"/>
      <c r="D14" s="420">
        <v>73.106060606060606060606060680</v>
      </c>
      <c r="E14" s="91">
        <v>64.278799612778315585672797740</v>
      </c>
      <c r="F14" s="421">
        <v>50.843425605536332179930795900</v>
      </c>
      <c r="G14" s="420">
        <v>5.3030303030303030303030303100</v>
      </c>
      <c r="H14" s="91">
        <v>11.544046466602129719264278810</v>
      </c>
      <c r="I14" s="421">
        <v>13.797577854671280276816609010</v>
      </c>
      <c r="J14" s="420">
        <v>0</v>
      </c>
      <c r="K14" s="91">
        <v>0</v>
      </c>
      <c r="L14" s="421">
        <v>6.9312283737024221453287197300</v>
      </c>
      <c r="M14" s="420">
        <v>78.409090909090909090909090910</v>
      </c>
      <c r="N14" s="91">
        <v>75.822846079380445304937076480</v>
      </c>
      <c r="O14" s="421">
        <v>71.577638408304498269896193770</v>
      </c>
      <c r="P14" s="5"/>
      <c r="Q14" s="420">
        <v>27.392739273846668627258816760</v>
      </c>
      <c r="R14" s="91">
        <v>-3.6983321246997110390446903200</v>
      </c>
      <c r="S14" s="421">
        <v>-5.3702485702123109806906233200</v>
      </c>
      <c r="T14" s="420">
        <v>-70.212765957396106835672163550</v>
      </c>
      <c r="U14" s="91">
        <v>36.676217764840902784049690940</v>
      </c>
      <c r="V14" s="421">
        <v>16.246918860101338670093825960</v>
      </c>
      <c r="W14" s="420">
        <v>0</v>
      </c>
      <c r="X14" s="91">
        <v>-100</v>
      </c>
      <c r="Y14" s="421">
        <v>-9.422929876168352665449035380</v>
      </c>
      <c r="Z14" s="420">
        <v>4.2821158690092266304589211700</v>
      </c>
      <c r="AA14" s="91">
        <v>0.2239283429954110756215504400</v>
      </c>
      <c r="AB14" s="421">
        <v>-2.2870368772136672888334937400</v>
      </c>
    </row>
    <row r="15" ht="18" customHeight="1">
      <c r="A15" s="58"/>
      <c r="B15" s="1043" t="s">
        <v>49</v>
      </c>
      <c r="C15" s="1043"/>
      <c r="D15" s="420">
        <v>89.01515151515151515151515160</v>
      </c>
      <c r="E15" s="91">
        <v>74.056147144240077444336882940</v>
      </c>
      <c r="F15" s="421">
        <v>55.011894463667820069204152300</v>
      </c>
      <c r="G15" s="420">
        <v>3.2196969696969696969696969700</v>
      </c>
      <c r="H15" s="91">
        <v>9.728944820909970958373668930</v>
      </c>
      <c r="I15" s="421">
        <v>14.995134083044982698961937730</v>
      </c>
      <c r="J15" s="420">
        <v>0</v>
      </c>
      <c r="K15" s="91">
        <v>0</v>
      </c>
      <c r="L15" s="421">
        <v>7.4718858131487889273356401500</v>
      </c>
      <c r="M15" s="420">
        <v>92.23484848484848484848484848</v>
      </c>
      <c r="N15" s="91">
        <v>83.78509196515004840271055179</v>
      </c>
      <c r="O15" s="421">
        <v>77.489727508650519031141868510</v>
      </c>
      <c r="P15" s="184"/>
      <c r="Q15" s="420">
        <v>41.141141141100451803154517720</v>
      </c>
      <c r="R15" s="91">
        <v>3.065005052254312639613516100</v>
      </c>
      <c r="S15" s="421">
        <v>0.1508180650471753895832844100</v>
      </c>
      <c r="T15" s="420">
        <v>-83.96226415097728729085076498</v>
      </c>
      <c r="U15" s="91">
        <v>9.239130435144760160681729960</v>
      </c>
      <c r="V15" s="421">
        <v>29.359771523594843284152035100</v>
      </c>
      <c r="W15" s="420">
        <v>0</v>
      </c>
      <c r="X15" s="91">
        <v>-100</v>
      </c>
      <c r="Y15" s="421">
        <v>-2.831792262332795850687600400</v>
      </c>
      <c r="Z15" s="420">
        <v>10.933940774540032482189303700</v>
      </c>
      <c r="AA15" s="91">
        <v>2.8520499108280949369971274800</v>
      </c>
      <c r="AB15" s="421">
        <v>4.4188212541883539254871628900</v>
      </c>
    </row>
    <row r="16" ht="18" customHeight="1">
      <c r="A16" s="58"/>
      <c r="B16" s="1044" t="s">
        <v>75</v>
      </c>
      <c r="C16" s="1044"/>
      <c r="D16" s="430">
        <v>74.724517906336088154269972510</v>
      </c>
      <c r="E16" s="431">
        <v>63.895978174777787556103141840</v>
      </c>
      <c r="F16" s="432">
        <v>50.095843818810946838628499580</v>
      </c>
      <c r="G16" s="430">
        <v>2.134986225895316804407713500</v>
      </c>
      <c r="H16" s="431">
        <v>12.347091437120478746809821360</v>
      </c>
      <c r="I16" s="432">
        <v>12.26850031456432840515885500</v>
      </c>
      <c r="J16" s="430">
        <v>0</v>
      </c>
      <c r="K16" s="431">
        <v>0</v>
      </c>
      <c r="L16" s="432">
        <v>7.0924425920100660585089650900</v>
      </c>
      <c r="M16" s="430">
        <v>76.859504132231404958677685950</v>
      </c>
      <c r="N16" s="431">
        <v>76.243069611898266302912963130</v>
      </c>
      <c r="O16" s="432">
        <v>69.460718779490405787983642650</v>
      </c>
      <c r="P16" s="5"/>
      <c r="Q16" s="430">
        <v>21.558898847555053673513600350</v>
      </c>
      <c r="R16" s="431">
        <v>-0.7947713609296692903022225900</v>
      </c>
      <c r="S16" s="432">
        <v>-1.8013899816614996402275980400</v>
      </c>
      <c r="T16" s="430">
        <v>-86.73053403997904734570456922</v>
      </c>
      <c r="U16" s="431">
        <v>48.637877105865907495131605990</v>
      </c>
      <c r="V16" s="432">
        <v>28.483411673678037175292351610</v>
      </c>
      <c r="W16" s="430">
        <v>0</v>
      </c>
      <c r="X16" s="431">
        <v>-100</v>
      </c>
      <c r="Y16" s="432">
        <v>-3.0065481342024053819021506900</v>
      </c>
      <c r="Z16" s="629">
        <v>-0.9048625792459705904911620800</v>
      </c>
      <c r="AA16" s="214">
        <v>3.8972868327335377662956432100</v>
      </c>
      <c r="AB16" s="630">
        <v>2.3357733813485372421581024100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91.28787878787878787878787888</v>
      </c>
      <c r="E18" s="480">
        <v>79.42884801548886737657308817</v>
      </c>
      <c r="F18" s="481">
        <v>61.686310553633217993079584840</v>
      </c>
      <c r="G18" s="479">
        <v>0.1893939393939393939393939400</v>
      </c>
      <c r="H18" s="480">
        <v>11.423039690222652468538238150</v>
      </c>
      <c r="I18" s="481">
        <v>15.189770761245674740484429080</v>
      </c>
      <c r="J18" s="479">
        <v>0</v>
      </c>
      <c r="K18" s="480">
        <v>0</v>
      </c>
      <c r="L18" s="481">
        <v>7.671929065743944636678200700</v>
      </c>
      <c r="M18" s="479">
        <v>91.47727272727272727272727273</v>
      </c>
      <c r="N18" s="480">
        <v>90.85188770571151984511132623</v>
      </c>
      <c r="O18" s="481">
        <v>84.55612024221453287197231834</v>
      </c>
      <c r="P18" s="184"/>
      <c r="Q18" s="479">
        <v>27.513227513243705383387925260</v>
      </c>
      <c r="R18" s="480">
        <v>11.103588354765666649400489910</v>
      </c>
      <c r="S18" s="481">
        <v>2.4607104056533212012633874500</v>
      </c>
      <c r="T18" s="479">
        <v>-97.56097560977132659131459854</v>
      </c>
      <c r="U18" s="480">
        <v>75.464684015297787482208309980</v>
      </c>
      <c r="V18" s="481">
        <v>32.749390531515560909901223240</v>
      </c>
      <c r="W18" s="479">
        <v>0</v>
      </c>
      <c r="X18" s="480">
        <v>-100</v>
      </c>
      <c r="Y18" s="481">
        <v>0.748148697715210425677267500</v>
      </c>
      <c r="Z18" s="479">
        <v>15.274463007102679980177858340</v>
      </c>
      <c r="AA18" s="480">
        <v>15.294840294863098856618517140</v>
      </c>
      <c r="AB18" s="481">
        <v>6.6789400046907302007359708200</v>
      </c>
    </row>
    <row r="19" ht="18" customHeight="1">
      <c r="A19" s="58"/>
      <c r="B19" s="1046" t="s">
        <v>51</v>
      </c>
      <c r="C19" s="1046"/>
      <c r="D19" s="271">
        <v>93.18181818181818181818181827</v>
      </c>
      <c r="E19" s="92">
        <v>77.516940948693126815101645770</v>
      </c>
      <c r="F19" s="272">
        <v>65.122188581314878892733564080</v>
      </c>
      <c r="G19" s="271">
        <v>0</v>
      </c>
      <c r="H19" s="92">
        <v>16.045498547918683446272991300</v>
      </c>
      <c r="I19" s="272">
        <v>13.024437716262975778546712820</v>
      </c>
      <c r="J19" s="271">
        <v>0</v>
      </c>
      <c r="K19" s="92">
        <v>0</v>
      </c>
      <c r="L19" s="272">
        <v>7.6800389273356401384083045100</v>
      </c>
      <c r="M19" s="271">
        <v>93.18181818181818181818181818</v>
      </c>
      <c r="N19" s="92">
        <v>93.56243949661181026137463698</v>
      </c>
      <c r="O19" s="272">
        <v>85.83207179930795847750865052</v>
      </c>
      <c r="P19" s="5"/>
      <c r="Q19" s="271">
        <v>17.142857142790204081632691420</v>
      </c>
      <c r="R19" s="92">
        <v>3.2426508510064135659933543100</v>
      </c>
      <c r="S19" s="272">
        <v>2.8493417761080566570920804500</v>
      </c>
      <c r="T19" s="271">
        <v>-100</v>
      </c>
      <c r="U19" s="92">
        <v>105.64516129160594933163371967</v>
      </c>
      <c r="V19" s="272">
        <v>34.358413729216819169830331960</v>
      </c>
      <c r="W19" s="271">
        <v>0</v>
      </c>
      <c r="X19" s="92">
        <v>-100</v>
      </c>
      <c r="Y19" s="272">
        <v>3.9644784309334816739622874400</v>
      </c>
      <c r="Z19" s="271">
        <v>14.953271028045977814656302500</v>
      </c>
      <c r="AA19" s="92">
        <v>11.941162844611549954500566920</v>
      </c>
      <c r="AB19" s="272">
        <v>6.7491121722399262817675225900</v>
      </c>
    </row>
    <row r="20" ht="18" customHeight="1">
      <c r="A20" s="58"/>
      <c r="B20" s="1047" t="s">
        <v>76</v>
      </c>
      <c r="C20" s="1047"/>
      <c r="D20" s="273">
        <v>92.23484848484848484848484857</v>
      </c>
      <c r="E20" s="274">
        <v>78.472894482090997095837366970</v>
      </c>
      <c r="F20" s="275">
        <v>63.404249567474048442906574460</v>
      </c>
      <c r="G20" s="273">
        <v>0.0946969696969696969696969700</v>
      </c>
      <c r="H20" s="274">
        <v>13.734269119070667957405614730</v>
      </c>
      <c r="I20" s="275">
        <v>14.107104238754325259515570950</v>
      </c>
      <c r="J20" s="273">
        <v>0</v>
      </c>
      <c r="K20" s="274">
        <v>0</v>
      </c>
      <c r="L20" s="275">
        <v>7.675983996539792387543252600</v>
      </c>
      <c r="M20" s="273">
        <v>92.32954545454545454545454545</v>
      </c>
      <c r="N20" s="274">
        <v>92.20716360116166505324298161</v>
      </c>
      <c r="O20" s="275">
        <v>85.19409602076124567474048443</v>
      </c>
      <c r="P20" s="184"/>
      <c r="Q20" s="273">
        <v>21.345514950167725521793357820</v>
      </c>
      <c r="R20" s="274">
        <v>6.7860802108004211697265900900</v>
      </c>
      <c r="S20" s="275">
        <v>2.3732396885086392807748846600</v>
      </c>
      <c r="T20" s="273">
        <v>-97.79411764704377162629747514</v>
      </c>
      <c r="U20" s="274">
        <v>90.01116071342981579839352395</v>
      </c>
      <c r="V20" s="275">
        <v>34.725800098907569791584269750</v>
      </c>
      <c r="W20" s="273">
        <v>0</v>
      </c>
      <c r="X20" s="274">
        <v>-100</v>
      </c>
      <c r="Y20" s="275">
        <v>2.5048253909273547908993305500</v>
      </c>
      <c r="Z20" s="273">
        <v>14.976415094383009967960144530</v>
      </c>
      <c r="AA20" s="274">
        <v>13.198204146328553925994045980</v>
      </c>
      <c r="AB20" s="275">
        <v>6.6294508527192016848767252200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79.39393939393939393939393939</v>
      </c>
      <c r="E22" s="469">
        <v>67.812197483059051306873184900</v>
      </c>
      <c r="F22" s="470">
        <v>53.717718045148384175866652260</v>
      </c>
      <c r="G22" s="468">
        <v>1.5909090909090909090909090900</v>
      </c>
      <c r="H22" s="469">
        <v>12.713778638270409809616005160</v>
      </c>
      <c r="I22" s="470">
        <v>12.723158539299489125469626160</v>
      </c>
      <c r="J22" s="468">
        <v>0</v>
      </c>
      <c r="K22" s="469">
        <v>0</v>
      </c>
      <c r="L22" s="470">
        <v>7.2128863913306734114664897500</v>
      </c>
      <c r="M22" s="468">
        <v>80.98484848484848484848484848</v>
      </c>
      <c r="N22" s="469">
        <v>80.52597612132946111648919006</v>
      </c>
      <c r="O22" s="470">
        <v>73.653762975778546712802768170</v>
      </c>
      <c r="P22" s="184"/>
      <c r="Q22" s="468">
        <v>20.229445506607563219987702510</v>
      </c>
      <c r="R22" s="469">
        <v>0.675481460148183582668780500</v>
      </c>
      <c r="S22" s="470">
        <v>-1.0733657012864113766303553500</v>
      </c>
      <c r="T22" s="468">
        <v>-87.06365503082207202459002535</v>
      </c>
      <c r="U22" s="469">
        <v>63.553341635904110105990882670</v>
      </c>
      <c r="V22" s="470">
        <v>29.482266190360183556844958950</v>
      </c>
      <c r="W22" s="468">
        <v>0</v>
      </c>
      <c r="X22" s="469">
        <v>-100</v>
      </c>
      <c r="Y22" s="470">
        <v>-1.9345512409487445775243339800</v>
      </c>
      <c r="Z22" s="468">
        <v>3.384912959425038067410200200</v>
      </c>
      <c r="AA22" s="469">
        <v>6.2050474528598598451777848400</v>
      </c>
      <c r="AB22" s="470">
        <v>3.0383164734435755807656964200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156.66743327219019071730412704</v>
      </c>
      <c r="E25" s="455">
        <v>169.65993927655370965359448432</v>
      </c>
      <c r="F25" s="456">
        <v>167.18298471628626545174992826</v>
      </c>
      <c r="G25" s="454">
        <v>0</v>
      </c>
      <c r="H25" s="455">
        <v>231.11474363353824333898018044</v>
      </c>
      <c r="I25" s="456">
        <v>200.9314220182840409842549746</v>
      </c>
      <c r="J25" s="454">
        <v>0</v>
      </c>
      <c r="K25" s="455">
        <v>0</v>
      </c>
      <c r="L25" s="456">
        <v>149.98001461012582783399867227</v>
      </c>
      <c r="M25" s="454">
        <v>156.66743327219019071730412704</v>
      </c>
      <c r="N25" s="455">
        <v>180.32885307862420149703262687</v>
      </c>
      <c r="O25" s="456">
        <v>169.73540839315533409093908153</v>
      </c>
      <c r="P25" s="5"/>
      <c r="Q25" s="427">
        <v>1.0873495136296490650053947800</v>
      </c>
      <c r="R25" s="428">
        <v>5.1863238579499392735374692900</v>
      </c>
      <c r="S25" s="429">
        <v>-1.2040726667601613305052074200</v>
      </c>
      <c r="T25" s="427">
        <v>-100</v>
      </c>
      <c r="U25" s="428">
        <v>25.551596899017537367044570450</v>
      </c>
      <c r="V25" s="429">
        <v>6.0839867471936268987117117400</v>
      </c>
      <c r="W25" s="427">
        <v>0</v>
      </c>
      <c r="X25" s="428">
        <v>-100</v>
      </c>
      <c r="Y25" s="429">
        <v>1.5725025878081763197455025600</v>
      </c>
      <c r="Z25" s="427">
        <v>-0.3742373997994905901615990500</v>
      </c>
      <c r="AA25" s="428">
        <v>10.173947074445635398758732250</v>
      </c>
      <c r="AB25" s="429">
        <v>0.7029914869493516654018046300</v>
      </c>
    </row>
    <row r="26" ht="18" customHeight="1">
      <c r="A26" s="58"/>
      <c r="B26" s="1043" t="s">
        <v>46</v>
      </c>
      <c r="C26" s="1043"/>
      <c r="D26" s="439">
        <v>150.01681041119292249019906836</v>
      </c>
      <c r="E26" s="95">
        <v>162.53891732787449178769574781</v>
      </c>
      <c r="F26" s="440">
        <v>167.10994568975966293752734571</v>
      </c>
      <c r="G26" s="439">
        <v>0</v>
      </c>
      <c r="H26" s="95">
        <v>223.3564176967992846589542561</v>
      </c>
      <c r="I26" s="440">
        <v>202.96610283446310363249114478</v>
      </c>
      <c r="J26" s="439">
        <v>0</v>
      </c>
      <c r="K26" s="95">
        <v>0</v>
      </c>
      <c r="L26" s="440">
        <v>147.6719460281858520782616757</v>
      </c>
      <c r="M26" s="439">
        <v>150.01681041119292249019906836</v>
      </c>
      <c r="N26" s="95">
        <v>173.56333826002898600477491882</v>
      </c>
      <c r="O26" s="440">
        <v>171.46343790290323738132276418</v>
      </c>
      <c r="P26" s="5"/>
      <c r="Q26" s="420">
        <v>0.321542439802997445287852300</v>
      </c>
      <c r="R26" s="91">
        <v>4.4307599081301684879833247200</v>
      </c>
      <c r="S26" s="421">
        <v>0.8064910196504316607200768800</v>
      </c>
      <c r="T26" s="420">
        <v>-100</v>
      </c>
      <c r="U26" s="91">
        <v>39.194353575620903303720385770</v>
      </c>
      <c r="V26" s="421">
        <v>5.0518417358948918100747676900</v>
      </c>
      <c r="W26" s="420">
        <v>0</v>
      </c>
      <c r="X26" s="91">
        <v>-100</v>
      </c>
      <c r="Y26" s="421">
        <v>-0.0521661875397853729024791400</v>
      </c>
      <c r="Z26" s="420">
        <v>-0.9801822274939826611313229700</v>
      </c>
      <c r="AA26" s="91">
        <v>10.966655655629285194579192780</v>
      </c>
      <c r="AB26" s="421">
        <v>2.2342597971100556794959006200</v>
      </c>
    </row>
    <row r="27" ht="18" customHeight="1">
      <c r="A27" s="58"/>
      <c r="B27" s="1043" t="s">
        <v>47</v>
      </c>
      <c r="C27" s="1043"/>
      <c r="D27" s="439">
        <v>164.46319508070877979928046596</v>
      </c>
      <c r="E27" s="95">
        <v>172.39635141344609858001133772</v>
      </c>
      <c r="F27" s="440">
        <v>172.5969957723030559428626272</v>
      </c>
      <c r="G27" s="439">
        <v>209.20990733540438458293856897</v>
      </c>
      <c r="H27" s="95">
        <v>224.00360510044634685895802976</v>
      </c>
      <c r="I27" s="440">
        <v>198.83013948735015438519513759</v>
      </c>
      <c r="J27" s="439">
        <v>0</v>
      </c>
      <c r="K27" s="95">
        <v>0</v>
      </c>
      <c r="L27" s="440">
        <v>155.38779504639377924049598137</v>
      </c>
      <c r="M27" s="439">
        <v>166.52469672929909221478774984</v>
      </c>
      <c r="N27" s="95">
        <v>181.94957097629471688509707442</v>
      </c>
      <c r="O27" s="440">
        <v>175.87622986780945701814170212</v>
      </c>
      <c r="P27" s="93"/>
      <c r="Q27" s="420">
        <v>12.283334377906337275173302420</v>
      </c>
      <c r="R27" s="91">
        <v>6.9859900787637792403386121900</v>
      </c>
      <c r="S27" s="421">
        <v>1.2262822943062132200355103800</v>
      </c>
      <c r="T27" s="420">
        <v>33.285259660056027053155378480</v>
      </c>
      <c r="U27" s="91">
        <v>44.160791443292790735320268620</v>
      </c>
      <c r="V27" s="421">
        <v>-1.2772408737271896735250467700</v>
      </c>
      <c r="W27" s="420">
        <v>0</v>
      </c>
      <c r="X27" s="91">
        <v>-100</v>
      </c>
      <c r="Y27" s="421">
        <v>9.108061294154870437533760110</v>
      </c>
      <c r="Z27" s="420">
        <v>11.629615936085874882681791200</v>
      </c>
      <c r="AA27" s="91">
        <v>13.307666904347820792782714040</v>
      </c>
      <c r="AB27" s="421">
        <v>2.0134799678469498579085423100</v>
      </c>
    </row>
    <row r="28" ht="18" customHeight="1">
      <c r="A28" s="58"/>
      <c r="B28" s="1043" t="s">
        <v>48</v>
      </c>
      <c r="C28" s="1043"/>
      <c r="D28" s="439">
        <v>151.55360744900744657699751525</v>
      </c>
      <c r="E28" s="95">
        <v>169.52971366995975038493863861</v>
      </c>
      <c r="F28" s="440">
        <v>171.30621522118339020093673892</v>
      </c>
      <c r="G28" s="439">
        <v>201.84242116737526790483636121</v>
      </c>
      <c r="H28" s="95">
        <v>210.36446591224936642161888472</v>
      </c>
      <c r="I28" s="440">
        <v>195.37736947899063507029605523</v>
      </c>
      <c r="J28" s="439">
        <v>0</v>
      </c>
      <c r="K28" s="95">
        <v>0</v>
      </c>
      <c r="L28" s="440">
        <v>153.77938263731889093575712142</v>
      </c>
      <c r="M28" s="439">
        <v>154.95478325604681613540207488</v>
      </c>
      <c r="N28" s="95">
        <v>175.74681447416407430753566298</v>
      </c>
      <c r="O28" s="440">
        <v>174.23611023426508953309504157</v>
      </c>
      <c r="P28" s="5"/>
      <c r="Q28" s="420">
        <v>4.408958995353813095307522500</v>
      </c>
      <c r="R28" s="91">
        <v>1.4313901657735466731251664300</v>
      </c>
      <c r="S28" s="421">
        <v>-1.3167246333735680817421533200</v>
      </c>
      <c r="T28" s="420">
        <v>26.832342602171134156466916550</v>
      </c>
      <c r="U28" s="91">
        <v>32.180162234717064277273784310</v>
      </c>
      <c r="V28" s="421">
        <v>-4.5372639412579321981855051900</v>
      </c>
      <c r="W28" s="420">
        <v>0</v>
      </c>
      <c r="X28" s="91">
        <v>-100</v>
      </c>
      <c r="Y28" s="421">
        <v>6.0273917524352697788600920200</v>
      </c>
      <c r="Z28" s="420">
        <v>4.3707714422934691370522168200</v>
      </c>
      <c r="AA28" s="91">
        <v>5.7215358010608536469851607700</v>
      </c>
      <c r="AB28" s="421">
        <v>-0.7977368400891739985296744600</v>
      </c>
    </row>
    <row r="29" ht="18" customHeight="1">
      <c r="A29" s="58"/>
      <c r="B29" s="1043" t="s">
        <v>49</v>
      </c>
      <c r="C29" s="1043"/>
      <c r="D29" s="439">
        <v>154.20373474505424879729576057</v>
      </c>
      <c r="E29" s="95">
        <v>177.87179135090134989702874342</v>
      </c>
      <c r="F29" s="440">
        <v>179.998560743449060316148609</v>
      </c>
      <c r="G29" s="439">
        <v>215.10890248919440212701360998</v>
      </c>
      <c r="H29" s="95">
        <v>203.03534613355670480405227577</v>
      </c>
      <c r="I29" s="440">
        <v>200.21975504786755471522279746</v>
      </c>
      <c r="J29" s="439">
        <v>0</v>
      </c>
      <c r="K29" s="95">
        <v>0</v>
      </c>
      <c r="L29" s="440">
        <v>143.8571190353338617206615652</v>
      </c>
      <c r="M29" s="439">
        <v>156.3297878285252603098321126</v>
      </c>
      <c r="N29" s="95">
        <v>180.79372925460656441829490749</v>
      </c>
      <c r="O29" s="440">
        <v>180.40156181382775151700239374</v>
      </c>
      <c r="P29" s="93"/>
      <c r="Q29" s="420">
        <v>-6.5588170247399639482681111700</v>
      </c>
      <c r="R29" s="91">
        <v>-2.8916353645110342424452894600</v>
      </c>
      <c r="S29" s="421">
        <v>0.3794209890541530708759214900</v>
      </c>
      <c r="T29" s="420">
        <v>29.977945891511643457740881630</v>
      </c>
      <c r="U29" s="91">
        <v>19.829591355606318422964552980</v>
      </c>
      <c r="V29" s="421">
        <v>6.8362490302509833436773193700</v>
      </c>
      <c r="W29" s="420">
        <v>0</v>
      </c>
      <c r="X29" s="91">
        <v>-100</v>
      </c>
      <c r="Y29" s="421">
        <v>0.6385066633996656249487099200</v>
      </c>
      <c r="Z29" s="420">
        <v>-5.3354572705027706705964413900</v>
      </c>
      <c r="AA29" s="91">
        <v>-0.4242415394342145125524867600</v>
      </c>
      <c r="AB29" s="421">
        <v>2.029685673410106328624314900</v>
      </c>
    </row>
    <row r="30" ht="18" customHeight="1">
      <c r="A30" s="58"/>
      <c r="B30" s="1044" t="s">
        <v>75</v>
      </c>
      <c r="C30" s="1044"/>
      <c r="D30" s="457">
        <v>155.08505899143413660130379064</v>
      </c>
      <c r="E30" s="458">
        <v>170.37896822342692980244239369</v>
      </c>
      <c r="F30" s="459">
        <v>171.45149289724876818597618619</v>
      </c>
      <c r="G30" s="457">
        <v>207.50012193072075605491298639</v>
      </c>
      <c r="H30" s="458">
        <v>220.27192860439975877170566206</v>
      </c>
      <c r="I30" s="459">
        <v>199.65278315258530208554898563</v>
      </c>
      <c r="J30" s="457">
        <v>0</v>
      </c>
      <c r="K30" s="458">
        <v>0</v>
      </c>
      <c r="L30" s="459">
        <v>149.97868261726727163892489164</v>
      </c>
      <c r="M30" s="457">
        <v>156.54103296196987603057071275</v>
      </c>
      <c r="N30" s="458">
        <v>178.45882317979616614386056944</v>
      </c>
      <c r="O30" s="459">
        <v>174.23031106979192662802907716</v>
      </c>
      <c r="P30" s="5"/>
      <c r="Q30" s="430">
        <v>1.6162184654877403973879691200</v>
      </c>
      <c r="R30" s="431">
        <v>2.5579795301056432146496087400</v>
      </c>
      <c r="S30" s="432">
        <v>-0.2076121829116208233994503700</v>
      </c>
      <c r="T30" s="430">
        <v>28.062440388575945212193690790</v>
      </c>
      <c r="U30" s="431">
        <v>32.592432467722024233676494800</v>
      </c>
      <c r="V30" s="432">
        <v>1.9720930793086095865083011600</v>
      </c>
      <c r="W30" s="430">
        <v>0</v>
      </c>
      <c r="X30" s="431">
        <v>-100</v>
      </c>
      <c r="Y30" s="432">
        <v>3.2699049107019298986073063700</v>
      </c>
      <c r="Z30" s="430">
        <v>1.2746093125732749719860323300</v>
      </c>
      <c r="AA30" s="431">
        <v>7.4109734385710825351176688900</v>
      </c>
      <c r="AB30" s="432">
        <v>1.1085018953602622437038505700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214.21306272969459522295570784</v>
      </c>
      <c r="E32" s="494">
        <v>213.32000117933521487249608427</v>
      </c>
      <c r="F32" s="495">
        <v>209.80176081690107985423042895</v>
      </c>
      <c r="G32" s="493">
        <v>257.16114516967769551051884968</v>
      </c>
      <c r="H32" s="494">
        <v>211.88016318453745822221411263</v>
      </c>
      <c r="I32" s="495">
        <v>205.24797073846302004757963237</v>
      </c>
      <c r="J32" s="493">
        <v>0</v>
      </c>
      <c r="K32" s="494">
        <v>0</v>
      </c>
      <c r="L32" s="495">
        <v>146.08717218093952801785272166</v>
      </c>
      <c r="M32" s="493">
        <v>214.30198215503617514073534166</v>
      </c>
      <c r="N32" s="494">
        <v>213.13896667386250812264709901</v>
      </c>
      <c r="O32" s="495">
        <v>203.18265041432896931985358023</v>
      </c>
      <c r="P32" s="93"/>
      <c r="Q32" s="479">
        <v>4.5519561656329130049600107700</v>
      </c>
      <c r="R32" s="480">
        <v>-1.9601805361866578618819851900</v>
      </c>
      <c r="S32" s="481">
        <v>3.8010936989861878941022825500</v>
      </c>
      <c r="T32" s="479">
        <v>25.044362425878161613648625020</v>
      </c>
      <c r="U32" s="480">
        <v>2.6948655245645922912574263900</v>
      </c>
      <c r="V32" s="481">
        <v>6.6363744228587986656841600900</v>
      </c>
      <c r="W32" s="479">
        <v>0</v>
      </c>
      <c r="X32" s="480">
        <v>-100</v>
      </c>
      <c r="Y32" s="481">
        <v>4.209171254992563944214384500</v>
      </c>
      <c r="Z32" s="479">
        <v>4.5569441635025178380001638600</v>
      </c>
      <c r="AA32" s="480">
        <v>-1.3822855786416020310912666500</v>
      </c>
      <c r="AB32" s="481">
        <v>4.3156844712884171220834713800</v>
      </c>
    </row>
    <row r="33" ht="18" customHeight="1">
      <c r="A33" s="58"/>
      <c r="B33" s="1046" t="s">
        <v>51</v>
      </c>
      <c r="C33" s="1046"/>
      <c r="D33" s="276">
        <v>220.41576635772513029835568925</v>
      </c>
      <c r="E33" s="94">
        <v>226.64310505359623509953363295</v>
      </c>
      <c r="F33" s="277">
        <v>209.59794898823695075901702364</v>
      </c>
      <c r="G33" s="276">
        <v>0</v>
      </c>
      <c r="H33" s="94">
        <v>230.50766875312704782670358712</v>
      </c>
      <c r="I33" s="277">
        <v>208.55123020919497341503361577</v>
      </c>
      <c r="J33" s="276">
        <v>0</v>
      </c>
      <c r="K33" s="94">
        <v>0</v>
      </c>
      <c r="L33" s="277">
        <v>147.77734544545582119662884973</v>
      </c>
      <c r="M33" s="276">
        <v>220.41576635772513029835568925</v>
      </c>
      <c r="N33" s="94">
        <v>227.30585873512466987400690755</v>
      </c>
      <c r="O33" s="277">
        <v>203.89436101808036010575964922</v>
      </c>
      <c r="P33" s="5"/>
      <c r="Q33" s="271">
        <v>4.6370155713489213716592991900</v>
      </c>
      <c r="R33" s="92">
        <v>3.6895609309445799597120907600</v>
      </c>
      <c r="S33" s="272">
        <v>1.9336821731403594015846449100</v>
      </c>
      <c r="T33" s="271">
        <v>-100</v>
      </c>
      <c r="U33" s="92">
        <v>6.4144359674556791256569222600</v>
      </c>
      <c r="V33" s="272">
        <v>6.7464688790209134885015287100</v>
      </c>
      <c r="W33" s="271">
        <v>0</v>
      </c>
      <c r="X33" s="92">
        <v>-100</v>
      </c>
      <c r="Y33" s="272">
        <v>2.0134414869405812609467225500</v>
      </c>
      <c r="Z33" s="271">
        <v>4.5647251602284842031089401100</v>
      </c>
      <c r="AA33" s="92">
        <v>4.2915252677321538734463458800</v>
      </c>
      <c r="AB33" s="272">
        <v>2.5691521958870084501672604600</v>
      </c>
    </row>
    <row r="34" ht="18" customHeight="1">
      <c r="A34" s="58"/>
      <c r="B34" s="1047" t="s">
        <v>76</v>
      </c>
      <c r="C34" s="1047"/>
      <c r="D34" s="443">
        <v>217.34625593810427002490313171</v>
      </c>
      <c r="E34" s="444">
        <v>219.9004023681182600208694487</v>
      </c>
      <c r="F34" s="445">
        <v>209.69709376041897898011904449</v>
      </c>
      <c r="G34" s="443">
        <v>257.16114516967769551051884968</v>
      </c>
      <c r="H34" s="444">
        <v>222.76125234046247840527712724</v>
      </c>
      <c r="I34" s="445">
        <v>206.77284418197998386135689519</v>
      </c>
      <c r="J34" s="443">
        <v>0</v>
      </c>
      <c r="K34" s="444">
        <v>0</v>
      </c>
      <c r="L34" s="445">
        <v>146.93270524036738308404447723</v>
      </c>
      <c r="M34" s="633">
        <v>217.38709172193152482027299398</v>
      </c>
      <c r="N34" s="634">
        <v>220.32652634693856026579106487</v>
      </c>
      <c r="O34" s="635">
        <v>203.54117053775766055963310739</v>
      </c>
      <c r="P34" s="93"/>
      <c r="Q34" s="273">
        <v>4.3748219192198436460917319800</v>
      </c>
      <c r="R34" s="274">
        <v>0.8028608116714880648294840800</v>
      </c>
      <c r="S34" s="275">
        <v>2.7380358059564926470201551300</v>
      </c>
      <c r="T34" s="273">
        <v>23.538676359391846878386055610</v>
      </c>
      <c r="U34" s="274">
        <v>4.8323391327553188664429447400</v>
      </c>
      <c r="V34" s="275">
        <v>6.6036690197658268016858101200</v>
      </c>
      <c r="W34" s="273">
        <v>0</v>
      </c>
      <c r="X34" s="274">
        <v>-100</v>
      </c>
      <c r="Y34" s="275">
        <v>2.9314305400794638583619929400</v>
      </c>
      <c r="Z34" s="273">
        <v>4.3964109803964505047223131400</v>
      </c>
      <c r="AA34" s="274">
        <v>1.4547322472566347114792401400</v>
      </c>
      <c r="AB34" s="275">
        <v>3.3104620396234056971152710800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174.32251908396946564885496183</v>
      </c>
      <c r="E36" s="483">
        <v>185.48190881404602283042888276</v>
      </c>
      <c r="F36" s="484">
        <v>183.20283888796255426092472599</v>
      </c>
      <c r="G36" s="482">
        <v>210.82539682539682539682539683</v>
      </c>
      <c r="H36" s="483">
        <v>221.60960565300071832957792617</v>
      </c>
      <c r="I36" s="484">
        <v>202.02706606107452828708996065</v>
      </c>
      <c r="J36" s="482">
        <v>0</v>
      </c>
      <c r="K36" s="483">
        <v>0</v>
      </c>
      <c r="L36" s="484">
        <v>150.75703619113191338186018465</v>
      </c>
      <c r="M36" s="482">
        <v>175.03960087309011537262238853</v>
      </c>
      <c r="N36" s="483">
        <v>191.18590102183931075936686035</v>
      </c>
      <c r="O36" s="484">
        <v>183.27718319508674056130563508</v>
      </c>
      <c r="P36" s="93"/>
      <c r="Q36" s="468">
        <v>1.3352067268687220370950639400</v>
      </c>
      <c r="R36" s="469">
        <v>1.2795832396581760881193220900</v>
      </c>
      <c r="S36" s="470">
        <v>0.5550161805526614433419646800</v>
      </c>
      <c r="T36" s="468">
        <v>26.546168380650674076757550470</v>
      </c>
      <c r="U36" s="469">
        <v>23.885232984424054571895522400</v>
      </c>
      <c r="V36" s="470">
        <v>2.0118084753953446175288982400</v>
      </c>
      <c r="W36" s="468">
        <v>0</v>
      </c>
      <c r="X36" s="469">
        <v>-100</v>
      </c>
      <c r="Y36" s="470">
        <v>3.5653546609235521685819290500</v>
      </c>
      <c r="Z36" s="468">
        <v>2.2584314520629771120486298800</v>
      </c>
      <c r="AA36" s="469">
        <v>4.7281210519811651492261397600</v>
      </c>
      <c r="AB36" s="470">
        <v>1.4812029870946824107259439800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119.63694904421796382048678804</v>
      </c>
      <c r="E39" s="455">
        <v>107.5772122227905903418241891</v>
      </c>
      <c r="F39" s="456">
        <v>83.67464998462398445825797131</v>
      </c>
      <c r="G39" s="454">
        <v>0</v>
      </c>
      <c r="H39" s="455">
        <v>30.785468271030844417660864336</v>
      </c>
      <c r="I39" s="456">
        <v>17.242558014025758534289008217</v>
      </c>
      <c r="J39" s="454">
        <v>0</v>
      </c>
      <c r="K39" s="455">
        <v>0</v>
      </c>
      <c r="L39" s="456">
        <v>10.680886421088761917330398535</v>
      </c>
      <c r="M39" s="454">
        <v>119.63694904421796382048678792</v>
      </c>
      <c r="N39" s="455">
        <v>138.3626804938214347594850533</v>
      </c>
      <c r="O39" s="456">
        <v>111.59809441973850490987737796</v>
      </c>
      <c r="P39" s="5"/>
      <c r="Q39" s="427">
        <v>16.853266410261162842921243540</v>
      </c>
      <c r="R39" s="428">
        <v>3.6669306754904242064516708100</v>
      </c>
      <c r="S39" s="429">
        <v>-0.2995057846128668500806506400</v>
      </c>
      <c r="T39" s="427">
        <v>-100</v>
      </c>
      <c r="U39" s="428">
        <v>124.94661111045461925253782144</v>
      </c>
      <c r="V39" s="429">
        <v>60.568643206455938822136292190</v>
      </c>
      <c r="W39" s="427">
        <v>0</v>
      </c>
      <c r="X39" s="428">
        <v>-100</v>
      </c>
      <c r="Y39" s="429">
        <v>-0.4699926923830121921747228100</v>
      </c>
      <c r="Z39" s="427">
        <v>3.5286275267913710312032145800</v>
      </c>
      <c r="AA39" s="428">
        <v>16.400787058411172306380312910</v>
      </c>
      <c r="AB39" s="429">
        <v>5.8847941932667919621869665300</v>
      </c>
    </row>
    <row r="40" ht="18" customHeight="1">
      <c r="A40" s="58"/>
      <c r="B40" s="1043" t="s">
        <v>46</v>
      </c>
      <c r="C40" s="1043"/>
      <c r="D40" s="439">
        <v>104.10257449746417954622905057</v>
      </c>
      <c r="E40" s="95">
        <v>94.09319705911805042501651238</v>
      </c>
      <c r="F40" s="440">
        <v>77.588309342851431738879208231</v>
      </c>
      <c r="G40" s="439">
        <v>0</v>
      </c>
      <c r="H40" s="95">
        <v>28.627676382435842486781745921</v>
      </c>
      <c r="I40" s="440">
        <v>23.465760937565738581732215853</v>
      </c>
      <c r="J40" s="439">
        <v>0</v>
      </c>
      <c r="K40" s="95">
        <v>0</v>
      </c>
      <c r="L40" s="440">
        <v>10.037476781284345438624058114</v>
      </c>
      <c r="M40" s="439">
        <v>104.10257449746417954622905047</v>
      </c>
      <c r="N40" s="95">
        <v>122.72087344155389291179825818</v>
      </c>
      <c r="O40" s="440">
        <v>111.09154706170151575923548209</v>
      </c>
      <c r="P40" s="5"/>
      <c r="Q40" s="420">
        <v>14.510321339413174853572437480</v>
      </c>
      <c r="R40" s="91">
        <v>7.7646150561704272749625609300</v>
      </c>
      <c r="S40" s="421">
        <v>0.0555148000206288910867237500</v>
      </c>
      <c r="T40" s="420">
        <v>-100</v>
      </c>
      <c r="U40" s="91">
        <v>101.96528672213556050343998152</v>
      </c>
      <c r="V40" s="421">
        <v>36.826459845842737949565109340</v>
      </c>
      <c r="W40" s="420">
        <v>0</v>
      </c>
      <c r="X40" s="91">
        <v>-100</v>
      </c>
      <c r="Y40" s="421">
        <v>-0.1154380013621587551985569800</v>
      </c>
      <c r="Z40" s="420">
        <v>-11.510094556482928433683533070</v>
      </c>
      <c r="AA40" s="91">
        <v>19.366782460776778354951623980</v>
      </c>
      <c r="AB40" s="421">
        <v>6.0596991176815082639472763700</v>
      </c>
    </row>
    <row r="41" ht="18" customHeight="1">
      <c r="A41" s="58"/>
      <c r="B41" s="1043" t="s">
        <v>47</v>
      </c>
      <c r="C41" s="1043"/>
      <c r="D41" s="439">
        <v>109.64213005380585319952031075</v>
      </c>
      <c r="E41" s="95">
        <v>105.97452386015321645528286502</v>
      </c>
      <c r="F41" s="440">
        <v>84.69813106224636068692650505</v>
      </c>
      <c r="G41" s="439">
        <v>6.7359250467838532914961281742</v>
      </c>
      <c r="H41" s="95">
        <v>31.28027108977675269545469102</v>
      </c>
      <c r="I41" s="440">
        <v>26.853248726178670288398435023</v>
      </c>
      <c r="J41" s="439">
        <v>0</v>
      </c>
      <c r="K41" s="95">
        <v>0</v>
      </c>
      <c r="L41" s="440">
        <v>11.198741933220312917797423409</v>
      </c>
      <c r="M41" s="439">
        <v>116.37805510058970649101643881</v>
      </c>
      <c r="N41" s="95">
        <v>137.2547949499299691507375559</v>
      </c>
      <c r="O41" s="440">
        <v>122.75012172164534389312236336</v>
      </c>
      <c r="P41" s="93"/>
      <c r="Q41" s="420">
        <v>27.085960453510520716495315670</v>
      </c>
      <c r="R41" s="91">
        <v>4.3565341013421606625549798200</v>
      </c>
      <c r="S41" s="421">
        <v>-1.4343490820414476600215206600</v>
      </c>
      <c r="T41" s="420">
        <v>-79.019912831300843398749161500</v>
      </c>
      <c r="U41" s="91">
        <v>147.56183530637254212272136517</v>
      </c>
      <c r="V41" s="421">
        <v>24.535492363190327568358476630</v>
      </c>
      <c r="W41" s="420">
        <v>0</v>
      </c>
      <c r="X41" s="91">
        <v>-100</v>
      </c>
      <c r="Y41" s="421">
        <v>9.800290717634551889025577610</v>
      </c>
      <c r="Z41" s="420">
        <v>-1.6913406195166072926974415400</v>
      </c>
      <c r="AA41" s="91">
        <v>19.317566804351484108360363550</v>
      </c>
      <c r="AB41" s="421">
        <v>4.2972336874010895076564100400</v>
      </c>
    </row>
    <row r="42" ht="18" customHeight="1">
      <c r="A42" s="58"/>
      <c r="B42" s="1043" t="s">
        <v>48</v>
      </c>
      <c r="C42" s="1043"/>
      <c r="D42" s="439">
        <v>110.7948721123425651112140927</v>
      </c>
      <c r="E42" s="95">
        <v>108.97166493403027517482987042</v>
      </c>
      <c r="F42" s="440">
        <v>87.09794809364233355588284464</v>
      </c>
      <c r="G42" s="439">
        <v>10.703764758875961176771625226</v>
      </c>
      <c r="H42" s="95">
        <v>24.284571694129464613531512127</v>
      </c>
      <c r="I42" s="440">
        <v>26.957344664272496793868703149</v>
      </c>
      <c r="J42" s="439">
        <v>0</v>
      </c>
      <c r="K42" s="95">
        <v>0</v>
      </c>
      <c r="L42" s="440">
        <v>10.658800202262263093622438898</v>
      </c>
      <c r="M42" s="439">
        <v>121.4986368712185262879857178</v>
      </c>
      <c r="N42" s="95">
        <v>133.25623662815973978836138241</v>
      </c>
      <c r="O42" s="440">
        <v>124.71409296017709344337398656</v>
      </c>
      <c r="P42" s="5"/>
      <c r="Q42" s="420">
        <v>33.009432911533832154138364620</v>
      </c>
      <c r="R42" s="91">
        <v>-2.3198795213011569954655906100</v>
      </c>
      <c r="S42" s="421">
        <v>-6.6162618177239803148201845700</v>
      </c>
      <c r="T42" s="420">
        <v>-62.220153267432324335073557560</v>
      </c>
      <c r="U42" s="91">
        <v>80.65884637871722822487906798</v>
      </c>
      <c r="V42" s="421">
        <v>10.972489327611297526974557260</v>
      </c>
      <c r="W42" s="420">
        <v>0</v>
      </c>
      <c r="X42" s="91">
        <v>-100</v>
      </c>
      <c r="Y42" s="421">
        <v>-3.9634950215660429549905575700</v>
      </c>
      <c r="Z42" s="420">
        <v>8.840048808836347669306576320</v>
      </c>
      <c r="AA42" s="91">
        <v>5.9582762842980240747586447200</v>
      </c>
      <c r="AB42" s="421">
        <v>-3.0665291816351423281353827700</v>
      </c>
    </row>
    <row r="43" ht="18" customHeight="1">
      <c r="A43" s="58"/>
      <c r="B43" s="1043" t="s">
        <v>49</v>
      </c>
      <c r="C43" s="1043"/>
      <c r="D43" s="439">
        <v>137.26468812533238055819887791</v>
      </c>
      <c r="E43" s="95">
        <v>131.72499553091919910089737546</v>
      </c>
      <c r="F43" s="440">
        <v>99.02061827230721176020826656</v>
      </c>
      <c r="G43" s="439">
        <v>6.9258548149930015836349079038</v>
      </c>
      <c r="H43" s="95">
        <v>19.753196792277297998845356955</v>
      </c>
      <c r="I43" s="440">
        <v>30.023220730171964911476558677</v>
      </c>
      <c r="J43" s="439">
        <v>0</v>
      </c>
      <c r="K43" s="95">
        <v>0</v>
      </c>
      <c r="L43" s="440">
        <v>10.748839668405676735399777428</v>
      </c>
      <c r="M43" s="439">
        <v>144.19054294032538214183378568</v>
      </c>
      <c r="N43" s="95">
        <v>151.47819232319649709974273227</v>
      </c>
      <c r="O43" s="440">
        <v>139.79267867088485340708460252</v>
      </c>
      <c r="P43" s="93"/>
      <c r="Q43" s="420">
        <v>31.883951947002517378049936590</v>
      </c>
      <c r="R43" s="91">
        <v>0.0847409176998020018786980500</v>
      </c>
      <c r="S43" s="421">
        <v>0.530811289517689669979912600</v>
      </c>
      <c r="T43" s="420">
        <v>-79.154480375902475491978757840</v>
      </c>
      <c r="U43" s="91">
        <v>30.900803600196919081510424710</v>
      </c>
      <c r="V43" s="421">
        <v>38.203127649793182552891087360</v>
      </c>
      <c r="W43" s="420">
        <v>0</v>
      </c>
      <c r="X43" s="91">
        <v>-100</v>
      </c>
      <c r="Y43" s="421">
        <v>-2.2113667814305426108113768100</v>
      </c>
      <c r="Z43" s="420">
        <v>5.0151077659921547607312659700</v>
      </c>
      <c r="AA43" s="91">
        <v>2.4157087910207614583233525400</v>
      </c>
      <c r="AB43" s="421">
        <v>6.5381951094992261553927899800</v>
      </c>
    </row>
    <row r="44" ht="18" customHeight="1">
      <c r="A44" s="58"/>
      <c r="B44" s="1044" t="s">
        <v>75</v>
      </c>
      <c r="C44" s="1044"/>
      <c r="D44" s="457">
        <v>115.88656267610608692315055991</v>
      </c>
      <c r="E44" s="458">
        <v>108.86530835045245303446563413</v>
      </c>
      <c r="F44" s="459">
        <v>85.8900721068254865908071074</v>
      </c>
      <c r="G44" s="457">
        <v>4.4300990219368756458004838728</v>
      </c>
      <c r="H44" s="458">
        <v>27.197176435093977079706331441</v>
      </c>
      <c r="I44" s="459">
        <v>24.494402329111364252503677628</v>
      </c>
      <c r="J44" s="457">
        <v>0</v>
      </c>
      <c r="K44" s="458">
        <v>0</v>
      </c>
      <c r="L44" s="459">
        <v>10.637151964882661262138674645</v>
      </c>
      <c r="M44" s="457">
        <v>120.31666169804296256895104368</v>
      </c>
      <c r="N44" s="458">
        <v>136.06248478554643011417196544</v>
      </c>
      <c r="O44" s="459">
        <v>121.02162640081951210544945955</v>
      </c>
      <c r="P44" s="5"/>
      <c r="Q44" s="430">
        <v>23.523556217172705833278903730</v>
      </c>
      <c r="R44" s="431">
        <v>1.7428780805041210081899836100</v>
      </c>
      <c r="S44" s="432">
        <v>-2.0052622594645931951599085900</v>
      </c>
      <c r="T44" s="430">
        <v>-83.00679806504968098752228643</v>
      </c>
      <c r="U44" s="431">
        <v>97.08257682291205294453954078</v>
      </c>
      <c r="V44" s="432">
        <v>31.017224143722773296552105430</v>
      </c>
      <c r="W44" s="430">
        <v>0</v>
      </c>
      <c r="X44" s="431">
        <v>-100</v>
      </c>
      <c r="Y44" s="432">
        <v>0.1650455123787768305056582200</v>
      </c>
      <c r="Z44" s="430">
        <v>0.3582132705810395775636564800</v>
      </c>
      <c r="AA44" s="431">
        <v>11.597087163402223583234596970</v>
      </c>
      <c r="AB44" s="432">
        <v>3.4701673689224818860808694600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195.55056105248635397247093046</v>
      </c>
      <c r="E46" s="494">
        <v>169.43761952337322730191968762</v>
      </c>
      <c r="F46" s="495">
        <v>129.41896572450437232898151392</v>
      </c>
      <c r="G46" s="493">
        <v>0.4870476234274198778608311552</v>
      </c>
      <c r="H46" s="494">
        <v>24.203155136278238209313906403</v>
      </c>
      <c r="I46" s="495">
        <v>31.176696247281134019446095248</v>
      </c>
      <c r="J46" s="493">
        <v>0</v>
      </c>
      <c r="K46" s="494">
        <v>0</v>
      </c>
      <c r="L46" s="495">
        <v>11.207704223872901722390409399</v>
      </c>
      <c r="M46" s="493">
        <v>196.0376086759137738503317614</v>
      </c>
      <c r="N46" s="494">
        <v>193.64077465965146551123359383</v>
      </c>
      <c r="O46" s="495">
        <v>171.80336619565840807081801839</v>
      </c>
      <c r="P46" s="93"/>
      <c r="Q46" s="479">
        <v>33.317573735073301728402824710</v>
      </c>
      <c r="R46" s="480">
        <v>8.925757440836283945269434950</v>
      </c>
      <c r="S46" s="481">
        <v>6.3553380128709522389764893600</v>
      </c>
      <c r="T46" s="479">
        <v>-96.95013750180853695727882399</v>
      </c>
      <c r="U46" s="480">
        <v>80.19322129263514889114432392</v>
      </c>
      <c r="V46" s="481">
        <v>41.559137131055130917034688990</v>
      </c>
      <c r="W46" s="479">
        <v>0</v>
      </c>
      <c r="X46" s="480">
        <v>-100</v>
      </c>
      <c r="Y46" s="481">
        <v>4.9888108127154356447057034400</v>
      </c>
      <c r="Z46" s="479">
        <v>20.527455921213124261988331150</v>
      </c>
      <c r="AA46" s="480">
        <v>13.701136344545981135568429380</v>
      </c>
      <c r="AB46" s="481">
        <v>11.282866452649477931131079460</v>
      </c>
    </row>
    <row r="47" ht="18" customHeight="1">
      <c r="A47" s="58"/>
      <c r="B47" s="1046" t="s">
        <v>51</v>
      </c>
      <c r="C47" s="1046"/>
      <c r="D47" s="276">
        <v>205.38741865151659868710416518</v>
      </c>
      <c r="E47" s="94">
        <v>175.68680190868072144816220403</v>
      </c>
      <c r="F47" s="277">
        <v>136.49477160268782828137759798</v>
      </c>
      <c r="G47" s="276">
        <v>0</v>
      </c>
      <c r="H47" s="94">
        <v>36.986104642624209271322477833</v>
      </c>
      <c r="I47" s="277">
        <v>27.162625085096815038755189278</v>
      </c>
      <c r="J47" s="276">
        <v>0</v>
      </c>
      <c r="K47" s="94">
        <v>0</v>
      </c>
      <c r="L47" s="277">
        <v>11.349357655994268707277859064</v>
      </c>
      <c r="M47" s="276">
        <v>205.38741865151659868710416498</v>
      </c>
      <c r="N47" s="94">
        <v>212.67290655130493071948468166</v>
      </c>
      <c r="O47" s="277">
        <v>175.00675434377891202741064615</v>
      </c>
      <c r="P47" s="5"/>
      <c r="Q47" s="271">
        <v>22.574789669241249016744572210</v>
      </c>
      <c r="R47" s="92">
        <v>7.0518513607811014154940694300</v>
      </c>
      <c r="S47" s="272">
        <v>4.8381211631811737248651230100</v>
      </c>
      <c r="T47" s="271">
        <v>-100</v>
      </c>
      <c r="U47" s="92">
        <v>118.83613848156706489039552867</v>
      </c>
      <c r="V47" s="272">
        <v>43.422862298076635595069680620</v>
      </c>
      <c r="W47" s="271">
        <v>0</v>
      </c>
      <c r="X47" s="92">
        <v>-100</v>
      </c>
      <c r="Y47" s="272">
        <v>6.0577423718622036267268826600</v>
      </c>
      <c r="Z47" s="271">
        <v>20.200571913180097439930941600</v>
      </c>
      <c r="AA47" s="92">
        <v>16.745146132996151915913734090</v>
      </c>
      <c r="AB47" s="272">
        <v>9.491659331716443262611657460</v>
      </c>
    </row>
    <row r="48" ht="18" customHeight="1">
      <c r="A48" s="58"/>
      <c r="B48" s="1047" t="s">
        <v>76</v>
      </c>
      <c r="C48" s="1047"/>
      <c r="D48" s="443">
        <v>200.46898985200147632978754781</v>
      </c>
      <c r="E48" s="444">
        <v>172.56221071602697437504094581</v>
      </c>
      <c r="F48" s="445">
        <v>132.95686866359610030517955595</v>
      </c>
      <c r="G48" s="443">
        <v>0.2435238117137099389304155776</v>
      </c>
      <c r="H48" s="444">
        <v>30.594629889451223740318192118</v>
      </c>
      <c r="I48" s="445">
        <v>29.169660666188974529100642263</v>
      </c>
      <c r="J48" s="443">
        <v>0</v>
      </c>
      <c r="K48" s="444">
        <v>0</v>
      </c>
      <c r="L48" s="445">
        <v>11.278530939933585214834134232</v>
      </c>
      <c r="M48" s="443">
        <v>200.71251366371518626871796319</v>
      </c>
      <c r="N48" s="444">
        <v>203.15684060547819811535913774</v>
      </c>
      <c r="O48" s="445">
        <v>173.40506026971866004911433227</v>
      </c>
      <c r="P48" s="93"/>
      <c r="Q48" s="273">
        <v>26.654165136178390453828888870</v>
      </c>
      <c r="R48" s="274">
        <v>7.6434238011327428914300601800</v>
      </c>
      <c r="S48" s="275">
        <v>5.1762556468027822001008028200</v>
      </c>
      <c r="T48" s="273">
        <v>-97.27488213914038012881667358</v>
      </c>
      <c r="U48" s="274">
        <v>99.19314439030654183840893497</v>
      </c>
      <c r="V48" s="275">
        <v>43.622646021180387674241007840</v>
      </c>
      <c r="W48" s="273">
        <v>0</v>
      </c>
      <c r="X48" s="274">
        <v>-100</v>
      </c>
      <c r="Y48" s="275">
        <v>5.509683148004951012411663900</v>
      </c>
      <c r="Z48" s="273">
        <v>20.031250832365517228836193210</v>
      </c>
      <c r="AA48" s="274">
        <v>14.844934925333758809559391890</v>
      </c>
      <c r="AB48" s="275">
        <v>10.159378346260789273330361210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138.40151515151515151515151515</v>
      </c>
      <c r="E50" s="483">
        <v>125.77935830032840173544572349</v>
      </c>
      <c r="F50" s="484">
        <v>98.41238444454318236571189188</v>
      </c>
      <c r="G50" s="482">
        <v>3.354040404040404040404040404</v>
      </c>
      <c r="H50" s="483">
        <v>28.17495470386649984570948787</v>
      </c>
      <c r="I50" s="484">
        <v>25.704223907245823894271112781</v>
      </c>
      <c r="J50" s="482">
        <v>0</v>
      </c>
      <c r="K50" s="483">
        <v>0</v>
      </c>
      <c r="L50" s="484">
        <v>10.873933747403611963777087616</v>
      </c>
      <c r="M50" s="482">
        <v>141.75555555555555555555555556</v>
      </c>
      <c r="N50" s="483">
        <v>153.95431300419490158115521136</v>
      </c>
      <c r="O50" s="484">
        <v>134.99054209919261822376009227</v>
      </c>
      <c r="P50" s="93"/>
      <c r="Q50" s="468">
        <v>21.834757150793843581867358760</v>
      </c>
      <c r="R50" s="469">
        <v>1.9637080473589830800864761200</v>
      </c>
      <c r="S50" s="470">
        <v>-0.524306874140440983146985100</v>
      </c>
      <c r="T50" s="468">
        <v>-83.62955111298651254380122838</v>
      </c>
      <c r="U50" s="469">
        <v>102.61843833919190522411561657</v>
      </c>
      <c r="V50" s="470">
        <v>32.087201395455436561798858240</v>
      </c>
      <c r="W50" s="468">
        <v>0</v>
      </c>
      <c r="X50" s="469">
        <v>-100</v>
      </c>
      <c r="Y50" s="470">
        <v>1.5618298069133483593331677300</v>
      </c>
      <c r="Z50" s="468">
        <v>5.7197903503226135601375834500</v>
      </c>
      <c r="AA50" s="469">
        <v>11.226550659756230681314416100</v>
      </c>
      <c r="AB50" s="470">
        <v>4.5645230948590274594695957300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191</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58</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77.534965034965034965034965090</v>
      </c>
      <c r="E11" s="428">
        <v>74.435922257800282969692456690</v>
      </c>
      <c r="F11" s="429">
        <v>54.269690436905091672588149860</v>
      </c>
      <c r="G11" s="427">
        <v>8.537296037296037296037296040</v>
      </c>
      <c r="H11" s="428">
        <v>9.740114677191153473825303460</v>
      </c>
      <c r="I11" s="429">
        <v>12.002344505867286515478154760</v>
      </c>
      <c r="J11" s="427">
        <v>0</v>
      </c>
      <c r="K11" s="428">
        <v>0.2717998361754412093231067100</v>
      </c>
      <c r="L11" s="429">
        <v>7.7087674081567928444396269700</v>
      </c>
      <c r="M11" s="427">
        <v>86.07226107226107226107226107</v>
      </c>
      <c r="N11" s="428">
        <v>84.43294362945863429890535408</v>
      </c>
      <c r="O11" s="429">
        <v>73.979196524992673419164729640</v>
      </c>
      <c r="P11" s="5"/>
      <c r="Q11" s="427">
        <v>-2.1691176470844322015570866500</v>
      </c>
      <c r="R11" s="428">
        <v>4.0603958375240330734987346400</v>
      </c>
      <c r="S11" s="429">
        <v>-1.5197923461365282332646436500</v>
      </c>
      <c r="T11" s="427">
        <v>36.915887851153148746618860680</v>
      </c>
      <c r="U11" s="428">
        <v>8.376593748606363638709331870</v>
      </c>
      <c r="V11" s="429">
        <v>14.570781136958073906405179230</v>
      </c>
      <c r="W11" s="427">
        <v>0</v>
      </c>
      <c r="X11" s="428">
        <v>-68.291383364469443181483463010</v>
      </c>
      <c r="Y11" s="429">
        <v>7.7132756845870250036479624500</v>
      </c>
      <c r="Z11" s="427">
        <v>0.6816632583627284931060022400</v>
      </c>
      <c r="AA11" s="428">
        <v>3.7603117176154664993478236200</v>
      </c>
      <c r="AB11" s="429">
        <v>1.7016349227719883807547240700</v>
      </c>
    </row>
    <row r="12" ht="18" customHeight="1">
      <c r="A12" s="58"/>
      <c r="B12" s="1043" t="s">
        <v>46</v>
      </c>
      <c r="C12" s="1043"/>
      <c r="D12" s="420">
        <v>69.638694638694638694638694690</v>
      </c>
      <c r="E12" s="91">
        <v>67.506888078040062551195174680</v>
      </c>
      <c r="F12" s="421">
        <v>49.668196215871180643374161500</v>
      </c>
      <c r="G12" s="420">
        <v>14.656177156177156177156177170</v>
      </c>
      <c r="H12" s="91">
        <v>12.819271725370466899992553440</v>
      </c>
      <c r="I12" s="421">
        <v>16.961536454256040916444861970</v>
      </c>
      <c r="J12" s="420">
        <v>0</v>
      </c>
      <c r="K12" s="91">
        <v>0.2941395487378062402263757500</v>
      </c>
      <c r="L12" s="421">
        <v>7.5807027897211081804787770100</v>
      </c>
      <c r="M12" s="420">
        <v>84.29487179487179487179487179</v>
      </c>
      <c r="N12" s="91">
        <v>80.61657606672127485293022563</v>
      </c>
      <c r="O12" s="421">
        <v>74.212041285784827353639002300</v>
      </c>
      <c r="P12" s="5"/>
      <c r="Q12" s="420">
        <v>-5.831363278109454960719946300</v>
      </c>
      <c r="R12" s="91">
        <v>3.6424017218451455038474633500</v>
      </c>
      <c r="S12" s="421">
        <v>-2.4569594028643264357652738600</v>
      </c>
      <c r="T12" s="420">
        <v>13.033707865172603459159197320</v>
      </c>
      <c r="U12" s="91">
        <v>10.689552294660714678316622430</v>
      </c>
      <c r="V12" s="421">
        <v>14.398152449454368686275585830</v>
      </c>
      <c r="W12" s="420">
        <v>0</v>
      </c>
      <c r="X12" s="91">
        <v>-67.528552950319581132017913670</v>
      </c>
      <c r="Y12" s="421">
        <v>10.459065492898490485965389760</v>
      </c>
      <c r="Z12" s="420">
        <v>-2.9845741113214009745933665800</v>
      </c>
      <c r="AA12" s="91">
        <v>3.8626097441723535393001178600</v>
      </c>
      <c r="AB12" s="421">
        <v>2.2109621812765646049547991400</v>
      </c>
    </row>
    <row r="13" ht="18" customHeight="1">
      <c r="A13" s="58"/>
      <c r="B13" s="1043" t="s">
        <v>47</v>
      </c>
      <c r="C13" s="1043"/>
      <c r="D13" s="420">
        <v>66.666666666666666666666666710</v>
      </c>
      <c r="E13" s="91">
        <v>68.011616650532429816069699960</v>
      </c>
      <c r="F13" s="421">
        <v>51.173524911083962590635984250</v>
      </c>
      <c r="G13" s="420">
        <v>17.575757575757575757575757590</v>
      </c>
      <c r="H13" s="91">
        <v>14.656340755082284607938044540</v>
      </c>
      <c r="I13" s="421">
        <v>20.083975099339957387015131380</v>
      </c>
      <c r="J13" s="420">
        <v>0</v>
      </c>
      <c r="K13" s="91">
        <v>0.2439496611810261374636979700</v>
      </c>
      <c r="L13" s="421">
        <v>7.8358691255998965947138217100</v>
      </c>
      <c r="M13" s="420">
        <v>84.24242424242424242424242424</v>
      </c>
      <c r="N13" s="91">
        <v>82.90803484995159728944820910</v>
      </c>
      <c r="O13" s="421">
        <v>79.093786092822922616987653910</v>
      </c>
      <c r="P13" s="184"/>
      <c r="Q13" s="420">
        <v>-6.7264573991566771903717844500</v>
      </c>
      <c r="R13" s="91">
        <v>3.6075450329441405197362227200</v>
      </c>
      <c r="S13" s="421">
        <v>-2.8220335546856193324066598600</v>
      </c>
      <c r="T13" s="420">
        <v>8.684684684877379693207061960</v>
      </c>
      <c r="U13" s="91">
        <v>5.4542752862260701761293750100</v>
      </c>
      <c r="V13" s="421">
        <v>13.639488933346384195341235300</v>
      </c>
      <c r="W13" s="420">
        <v>0</v>
      </c>
      <c r="X13" s="91">
        <v>-64.386659127946807670895434210</v>
      </c>
      <c r="Y13" s="421">
        <v>11.188677292057040855116688550</v>
      </c>
      <c r="Z13" s="420">
        <v>-3.946843853861444531517294800</v>
      </c>
      <c r="AA13" s="91">
        <v>3.34586547442112001322561800</v>
      </c>
      <c r="AB13" s="421">
        <v>2.2122660163873042336646224100</v>
      </c>
    </row>
    <row r="14" ht="18" customHeight="1">
      <c r="A14" s="58"/>
      <c r="B14" s="1043" t="s">
        <v>48</v>
      </c>
      <c r="C14" s="1043"/>
      <c r="D14" s="420">
        <v>70.279720279720279720279720330</v>
      </c>
      <c r="E14" s="91">
        <v>69.975426316181398466006404110</v>
      </c>
      <c r="F14" s="421">
        <v>53.062091463976691153779872520</v>
      </c>
      <c r="G14" s="420">
        <v>18.065268065268065268065268080</v>
      </c>
      <c r="H14" s="91">
        <v>13.426167249981383572864695820</v>
      </c>
      <c r="I14" s="421">
        <v>19.897081985740564846765176220</v>
      </c>
      <c r="J14" s="420">
        <v>0</v>
      </c>
      <c r="K14" s="91">
        <v>0.2494601236130761784198376600</v>
      </c>
      <c r="L14" s="421">
        <v>7.5541341541125124739999759600</v>
      </c>
      <c r="M14" s="420">
        <v>88.34498834498834498834498834</v>
      </c>
      <c r="N14" s="91">
        <v>83.63616054806761486335542483</v>
      </c>
      <c r="O14" s="421">
        <v>80.51491068816402758908139260</v>
      </c>
      <c r="P14" s="5"/>
      <c r="Q14" s="420">
        <v>-1.7915309446644346359112407700</v>
      </c>
      <c r="R14" s="91">
        <v>4.4432486855736959429716212200</v>
      </c>
      <c r="S14" s="421">
        <v>-2.8043489899141716386819325200</v>
      </c>
      <c r="T14" s="420">
        <v>16.760828625446497919925477760</v>
      </c>
      <c r="U14" s="91">
        <v>1.1811008893241806863592438800</v>
      </c>
      <c r="V14" s="421">
        <v>10.264878441975378674168963100</v>
      </c>
      <c r="W14" s="420">
        <v>0</v>
      </c>
      <c r="X14" s="91">
        <v>-54.353039496825599035403082500</v>
      </c>
      <c r="Y14" s="421">
        <v>5.2150710643787878384073210500</v>
      </c>
      <c r="Z14" s="420">
        <v>1.4725568942868383843271528900</v>
      </c>
      <c r="AA14" s="91">
        <v>3.4904994617661416040541293700</v>
      </c>
      <c r="AB14" s="421">
        <v>0.8738234030560432076190228700</v>
      </c>
    </row>
    <row r="15" ht="18" customHeight="1">
      <c r="A15" s="58"/>
      <c r="B15" s="1043" t="s">
        <v>49</v>
      </c>
      <c r="C15" s="1043"/>
      <c r="D15" s="420">
        <v>78.817016317016317016317016370</v>
      </c>
      <c r="E15" s="91">
        <v>76.725742795442698637277533760</v>
      </c>
      <c r="F15" s="421">
        <v>56.875513434450700274499589300</v>
      </c>
      <c r="G15" s="420">
        <v>12.296037296037296037296037300</v>
      </c>
      <c r="H15" s="91">
        <v>10.194355499292575768858440700</v>
      </c>
      <c r="I15" s="421">
        <v>17.040613917329539762367508880</v>
      </c>
      <c r="J15" s="420">
        <v>0</v>
      </c>
      <c r="K15" s="91">
        <v>0.2047806984883461166132995800</v>
      </c>
      <c r="L15" s="421">
        <v>7.8963713959406119136829028900</v>
      </c>
      <c r="M15" s="420">
        <v>91.11305361305361305361305361</v>
      </c>
      <c r="N15" s="91">
        <v>87.09881599523419465336212674</v>
      </c>
      <c r="O15" s="421">
        <v>81.81450239435773107054839808</v>
      </c>
      <c r="P15" s="184"/>
      <c r="Q15" s="420">
        <v>4.3998456195044914699682879300</v>
      </c>
      <c r="R15" s="91">
        <v>5.3923122399998666621071482500</v>
      </c>
      <c r="S15" s="421">
        <v>-1.9820208239513939841594009100</v>
      </c>
      <c r="T15" s="420">
        <v>-11.899791231881388243600500680</v>
      </c>
      <c r="U15" s="91">
        <v>-8.484404396529965761245729630</v>
      </c>
      <c r="V15" s="421">
        <v>7.1888674247145328410563139100</v>
      </c>
      <c r="W15" s="420">
        <v>0</v>
      </c>
      <c r="X15" s="91">
        <v>-71.244590255747171299347135780</v>
      </c>
      <c r="Y15" s="421">
        <v>13.134697906235419655884503550</v>
      </c>
      <c r="Z15" s="420">
        <v>1.8235102571905551465633832500</v>
      </c>
      <c r="AA15" s="91">
        <v>2.887983223598842668787782600</v>
      </c>
      <c r="AB15" s="421">
        <v>1.1274472416837507978903879200</v>
      </c>
    </row>
    <row r="16" ht="18" customHeight="1">
      <c r="A16" s="58"/>
      <c r="B16" s="1044" t="s">
        <v>75</v>
      </c>
      <c r="C16" s="1044"/>
      <c r="D16" s="430">
        <v>72.633309842612168193563542420</v>
      </c>
      <c r="E16" s="431">
        <v>71.356851797654157004885296860</v>
      </c>
      <c r="F16" s="432">
        <v>53.024978922190346161090242150</v>
      </c>
      <c r="G16" s="430">
        <v>14.200140944326990838618745600</v>
      </c>
      <c r="H16" s="431">
        <v>12.147954704068078975213309630</v>
      </c>
      <c r="I16" s="432">
        <v>17.176373776052213149804823130</v>
      </c>
      <c r="J16" s="430">
        <v>0</v>
      </c>
      <c r="K16" s="431">
        <v>0.2528947822628454790367485400</v>
      </c>
      <c r="L16" s="432">
        <v>7.7142762450053876740687569100</v>
      </c>
      <c r="M16" s="430">
        <v>86.83345078693915903218228800</v>
      </c>
      <c r="N16" s="431">
        <v>83.74494398042879548541540032</v>
      </c>
      <c r="O16" s="432">
        <v>77.916437296446560174216281370</v>
      </c>
      <c r="P16" s="5"/>
      <c r="Q16" s="430">
        <v>-2.305408614238191546876382100</v>
      </c>
      <c r="R16" s="431">
        <v>4.2917176554805452445997943300</v>
      </c>
      <c r="S16" s="432">
        <v>-2.2761681772481723797584885800</v>
      </c>
      <c r="T16" s="430">
        <v>9.5658357033016085040622100</v>
      </c>
      <c r="U16" s="431">
        <v>3.1644990907491462338740171300</v>
      </c>
      <c r="V16" s="432">
        <v>11.656944243104364926104597020</v>
      </c>
      <c r="W16" s="430">
        <v>0</v>
      </c>
      <c r="X16" s="431">
        <v>-65.886801723236546526293599750</v>
      </c>
      <c r="Y16" s="432">
        <v>9.495421337266262377794615990</v>
      </c>
      <c r="Z16" s="629">
        <v>-0.5630953951654053010106655600</v>
      </c>
      <c r="AA16" s="214">
        <v>3.4706491619855332332399195300</v>
      </c>
      <c r="AB16" s="630">
        <v>1.6011769638695900406283571500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83.65384615384615384615384621</v>
      </c>
      <c r="E18" s="480">
        <v>82.93245960235311638990244999</v>
      </c>
      <c r="F18" s="481">
        <v>63.915526257789176300867579050</v>
      </c>
      <c r="G18" s="479">
        <v>7.1386946386946386946386946400</v>
      </c>
      <c r="H18" s="480">
        <v>8.813016605853004691339638100</v>
      </c>
      <c r="I18" s="481">
        <v>15.009717686188863731992225860</v>
      </c>
      <c r="J18" s="479">
        <v>0</v>
      </c>
      <c r="K18" s="480">
        <v>0.1563779879365552163228833100</v>
      </c>
      <c r="L18" s="481">
        <v>7.979723096034783305616221530</v>
      </c>
      <c r="M18" s="479">
        <v>90.79254079254079254079254079</v>
      </c>
      <c r="N18" s="480">
        <v>91.87951448358031126666170229</v>
      </c>
      <c r="O18" s="481">
        <v>86.90456631068544751447634695</v>
      </c>
      <c r="P18" s="184"/>
      <c r="Q18" s="479">
        <v>0.7015082427164831184661898600</v>
      </c>
      <c r="R18" s="480">
        <v>5.7355900724327234627060348600</v>
      </c>
      <c r="S18" s="481">
        <v>-1.4202238438224919839360829800</v>
      </c>
      <c r="T18" s="479">
        <v>-14.634146341760856632955537070</v>
      </c>
      <c r="U18" s="480">
        <v>-5.8222811666433854843112465500</v>
      </c>
      <c r="V18" s="481">
        <v>8.044866097873846290598264230</v>
      </c>
      <c r="W18" s="479">
        <v>0</v>
      </c>
      <c r="X18" s="480">
        <v>-77.417736037524928549091610490</v>
      </c>
      <c r="Y18" s="481">
        <v>9.861189016933931541309451480</v>
      </c>
      <c r="Z18" s="479">
        <v>-0.7327174259275245777540382800</v>
      </c>
      <c r="AA18" s="480">
        <v>3.8313528454569576447165612700</v>
      </c>
      <c r="AB18" s="481">
        <v>1.0629431258399492711062253400</v>
      </c>
    </row>
    <row r="19" ht="18" customHeight="1">
      <c r="A19" s="58"/>
      <c r="B19" s="1046" t="s">
        <v>51</v>
      </c>
      <c r="C19" s="1046"/>
      <c r="D19" s="271">
        <v>86.65501165501165501165501172</v>
      </c>
      <c r="E19" s="92">
        <v>84.55208876312458113038945573</v>
      </c>
      <c r="F19" s="272">
        <v>66.459729391772740389239796140</v>
      </c>
      <c r="G19" s="271">
        <v>6.1480186480186480186480186500</v>
      </c>
      <c r="H19" s="92">
        <v>9.553950405838111549631394750</v>
      </c>
      <c r="I19" s="272">
        <v>14.010548590849337907595626680</v>
      </c>
      <c r="J19" s="271">
        <v>0</v>
      </c>
      <c r="K19" s="92">
        <v>0.1414848462283118623873706200</v>
      </c>
      <c r="L19" s="272">
        <v>8.063339638975279746064317560</v>
      </c>
      <c r="M19" s="271">
        <v>92.80303030303030303030303030</v>
      </c>
      <c r="N19" s="92">
        <v>94.22146101720157867302107380</v>
      </c>
      <c r="O19" s="272">
        <v>88.53522075090576805925165924</v>
      </c>
      <c r="P19" s="5"/>
      <c r="Q19" s="271">
        <v>1.2942779291382009666713718200</v>
      </c>
      <c r="R19" s="92">
        <v>3.3799901669182160139728621300</v>
      </c>
      <c r="S19" s="272">
        <v>-1.409589423468507877138456900</v>
      </c>
      <c r="T19" s="271">
        <v>8.762886597565883728346475570</v>
      </c>
      <c r="U19" s="92">
        <v>10.301956261687852911612096890</v>
      </c>
      <c r="V19" s="272">
        <v>13.633458023381994521225118550</v>
      </c>
      <c r="W19" s="271">
        <v>0</v>
      </c>
      <c r="X19" s="92">
        <v>-76.810792337008316270679517560</v>
      </c>
      <c r="Y19" s="272">
        <v>11.203101221531470487444166880</v>
      </c>
      <c r="Z19" s="271">
        <v>1.7246885978962059278634719600</v>
      </c>
      <c r="AA19" s="92">
        <v>3.4666054019479569121878348300</v>
      </c>
      <c r="AB19" s="272">
        <v>1.7749029567576196663118372600</v>
      </c>
    </row>
    <row r="20" ht="18" customHeight="1">
      <c r="A20" s="58"/>
      <c r="B20" s="1047" t="s">
        <v>76</v>
      </c>
      <c r="C20" s="1047"/>
      <c r="D20" s="273">
        <v>85.15442890442890442890442896</v>
      </c>
      <c r="E20" s="274">
        <v>83.74227418273884876014595286</v>
      </c>
      <c r="F20" s="275">
        <v>65.187543707432217161566714880</v>
      </c>
      <c r="G20" s="273">
        <v>6.6433566433566433566433566500</v>
      </c>
      <c r="H20" s="274">
        <v>9.183483505845558120485516430</v>
      </c>
      <c r="I20" s="275">
        <v>14.510166173403038129913015960</v>
      </c>
      <c r="J20" s="273">
        <v>0</v>
      </c>
      <c r="K20" s="274">
        <v>0.1489314170824335393551269600</v>
      </c>
      <c r="L20" s="275">
        <v>8.021528602945154561502994650</v>
      </c>
      <c r="M20" s="273">
        <v>91.79778554778554778554778555</v>
      </c>
      <c r="N20" s="274">
        <v>93.05048775039094496984138804</v>
      </c>
      <c r="O20" s="275">
        <v>87.71983961751864015533295796</v>
      </c>
      <c r="P20" s="184"/>
      <c r="Q20" s="273">
        <v>1.0022464144256420000030691800</v>
      </c>
      <c r="R20" s="274">
        <v>4.5331356771544725305156464400</v>
      </c>
      <c r="S20" s="275">
        <v>-1.4146647144007814315255984100</v>
      </c>
      <c r="T20" s="273">
        <v>-5.197505197833162892621217400</v>
      </c>
      <c r="U20" s="274">
        <v>1.9283389842913643384029985100</v>
      </c>
      <c r="V20" s="275">
        <v>10.671992414175317963762883130</v>
      </c>
      <c r="W20" s="273">
        <v>0</v>
      </c>
      <c r="X20" s="274">
        <v>-77.133449191054300798506150330</v>
      </c>
      <c r="Y20" s="275">
        <v>10.531518037703740622135018700</v>
      </c>
      <c r="Z20" s="273">
        <v>0.4944178627881393435742722800</v>
      </c>
      <c r="AA20" s="274">
        <v>3.6463632474449708063939644800</v>
      </c>
      <c r="AB20" s="275">
        <v>1.4210012422368573218942917900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76.226351916959651766281600540</v>
      </c>
      <c r="E22" s="469">
        <v>74.915094692816609884849684180</v>
      </c>
      <c r="F22" s="470">
        <v>56.505331092863228178053619770</v>
      </c>
      <c r="G22" s="468">
        <v>12.033316591327641051397957480</v>
      </c>
      <c r="H22" s="469">
        <v>11.280773159761035015750937300</v>
      </c>
      <c r="I22" s="470">
        <v>16.421892976867615248433303900</v>
      </c>
      <c r="J22" s="468">
        <v>0</v>
      </c>
      <c r="K22" s="469">
        <v>0.2230268541447160820011445500</v>
      </c>
      <c r="L22" s="470">
        <v>7.8069909129318450663765550700</v>
      </c>
      <c r="M22" s="468">
        <v>88.25966850828729281767955801</v>
      </c>
      <c r="N22" s="469">
        <v>86.41889470672236098260176603</v>
      </c>
      <c r="O22" s="470">
        <v>80.73421498266268849286347875</v>
      </c>
      <c r="P22" s="184"/>
      <c r="Q22" s="468">
        <v>-1.4443852078575857955408027600</v>
      </c>
      <c r="R22" s="469">
        <v>4.3929197854769568128486755600</v>
      </c>
      <c r="S22" s="470">
        <v>-1.9571561531532178490262959500</v>
      </c>
      <c r="T22" s="468">
        <v>7.5477670350983396639043433200</v>
      </c>
      <c r="U22" s="469">
        <v>2.6853704724592197522656995200</v>
      </c>
      <c r="V22" s="470">
        <v>11.375461645716837393755487810</v>
      </c>
      <c r="W22" s="468">
        <v>0</v>
      </c>
      <c r="X22" s="469">
        <v>-68.614881523072354246007372550</v>
      </c>
      <c r="Y22" s="470">
        <v>9.760302083121281934887270580</v>
      </c>
      <c r="Z22" s="468">
        <v>-0.307946953635871630961060700</v>
      </c>
      <c r="AA22" s="469">
        <v>3.5465274561060707667006372200</v>
      </c>
      <c r="AB22" s="470">
        <v>1.5643623824147288793860822400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234.07395689368080807645051299</v>
      </c>
      <c r="E25" s="455">
        <v>252.41029333744897461548582042</v>
      </c>
      <c r="F25" s="456">
        <v>239.23704122146024772637065476</v>
      </c>
      <c r="G25" s="454">
        <v>309.2647159576272453618633427</v>
      </c>
      <c r="H25" s="455">
        <v>280.4861259835135821592845085</v>
      </c>
      <c r="I25" s="456">
        <v>279.37525016075375492320474409</v>
      </c>
      <c r="J25" s="454">
        <v>0</v>
      </c>
      <c r="K25" s="455">
        <v>165.36510854625173815708165301</v>
      </c>
      <c r="L25" s="456">
        <v>164.75119755011286550308618061</v>
      </c>
      <c r="M25" s="454">
        <v>241.53194349007089139555205635</v>
      </c>
      <c r="N25" s="455">
        <v>255.41341195480124391793216724</v>
      </c>
      <c r="O25" s="456">
        <v>237.99267437505907662093235145</v>
      </c>
      <c r="P25" s="5"/>
      <c r="Q25" s="427">
        <v>-0.9155104497131004798868805900</v>
      </c>
      <c r="R25" s="428">
        <v>3.6735254410824522081654268900</v>
      </c>
      <c r="S25" s="429">
        <v>0.1451632528064447404967322900</v>
      </c>
      <c r="T25" s="427">
        <v>-3.817557056807665578342153600</v>
      </c>
      <c r="U25" s="428">
        <v>-3.1978324864797408578418396100</v>
      </c>
      <c r="V25" s="429">
        <v>-4.1262889852627377577615353500</v>
      </c>
      <c r="W25" s="427">
        <v>0</v>
      </c>
      <c r="X25" s="428">
        <v>0.1286648384547273600863148300</v>
      </c>
      <c r="Y25" s="429">
        <v>7.4490718404209908272143394600</v>
      </c>
      <c r="Z25" s="427">
        <v>-0.3821721525792397748738089900</v>
      </c>
      <c r="AA25" s="428">
        <v>3.0823051047453358752934246100</v>
      </c>
      <c r="AB25" s="429">
        <v>-0.015248490429739243584102200</v>
      </c>
    </row>
    <row r="26" ht="18" customHeight="1">
      <c r="A26" s="58"/>
      <c r="B26" s="1043" t="s">
        <v>46</v>
      </c>
      <c r="C26" s="1043"/>
      <c r="D26" s="439">
        <v>227.12940000715855749500051822</v>
      </c>
      <c r="E26" s="95">
        <v>245.31065677615428340475414833</v>
      </c>
      <c r="F26" s="440">
        <v>236.5366505789086736220872709</v>
      </c>
      <c r="G26" s="439">
        <v>286.55394756126243417402748843</v>
      </c>
      <c r="H26" s="95">
        <v>273.55786009212035676450045362</v>
      </c>
      <c r="I26" s="440">
        <v>280.80742599805242947376726821</v>
      </c>
      <c r="J26" s="439">
        <v>0</v>
      </c>
      <c r="K26" s="95">
        <v>160.59681083868997672243146954</v>
      </c>
      <c r="L26" s="440">
        <v>163.26094513346181226243598942</v>
      </c>
      <c r="M26" s="439">
        <v>237.46142469423572651316524896</v>
      </c>
      <c r="N26" s="95">
        <v>249.50463598567708336009812543</v>
      </c>
      <c r="O26" s="440">
        <v>239.16478459022625946944331578</v>
      </c>
      <c r="P26" s="5"/>
      <c r="Q26" s="420">
        <v>-1.2640445003020831482402597900</v>
      </c>
      <c r="R26" s="91">
        <v>3.3626619252693262617430828400</v>
      </c>
      <c r="S26" s="421">
        <v>-0.5099233880186051451245645500</v>
      </c>
      <c r="T26" s="420">
        <v>5.453900731920961620685597900</v>
      </c>
      <c r="U26" s="91">
        <v>0.9219520914684029655944846800</v>
      </c>
      <c r="V26" s="421">
        <v>-0.8783139776121491528684689400</v>
      </c>
      <c r="W26" s="420">
        <v>0</v>
      </c>
      <c r="X26" s="91">
        <v>-2.2218783741491623529909553400</v>
      </c>
      <c r="Y26" s="421">
        <v>2.845453018546050742080444300</v>
      </c>
      <c r="Z26" s="420">
        <v>0.4759180744405613362739416300</v>
      </c>
      <c r="AA26" s="91">
        <v>3.3004949248322947215870537200</v>
      </c>
      <c r="AB26" s="421">
        <v>-0.1770558433351702523337338400</v>
      </c>
    </row>
    <row r="27" ht="18" customHeight="1">
      <c r="A27" s="58"/>
      <c r="B27" s="1043" t="s">
        <v>47</v>
      </c>
      <c r="C27" s="1043"/>
      <c r="D27" s="439">
        <v>237.39465631128448646189811722</v>
      </c>
      <c r="E27" s="95">
        <v>257.35937760466591747978404995</v>
      </c>
      <c r="F27" s="440">
        <v>252.6234367366603552692183449</v>
      </c>
      <c r="G27" s="439">
        <v>285.106178180682270913069075</v>
      </c>
      <c r="H27" s="95">
        <v>282.17881102296427442477766277</v>
      </c>
      <c r="I27" s="440">
        <v>282.23078289643568303668766355</v>
      </c>
      <c r="J27" s="439">
        <v>0</v>
      </c>
      <c r="K27" s="95">
        <v>171.36844749722498522047906498</v>
      </c>
      <c r="L27" s="440">
        <v>157.22167402078406228601477281</v>
      </c>
      <c r="M27" s="439">
        <v>247.34885871569121846969637458</v>
      </c>
      <c r="N27" s="95">
        <v>261.50591379022918721132131558</v>
      </c>
      <c r="O27" s="440">
        <v>250.68867214159284172636145608</v>
      </c>
      <c r="P27" s="93"/>
      <c r="Q27" s="420">
        <v>2.5304791383153182018729321200</v>
      </c>
      <c r="R27" s="91">
        <v>6.7303520675263536336991939400</v>
      </c>
      <c r="S27" s="421">
        <v>3.6186904156874103445337269500</v>
      </c>
      <c r="T27" s="420">
        <v>7.5435631231256723297418113300</v>
      </c>
      <c r="U27" s="91">
        <v>1.2231190793499032738805417800</v>
      </c>
      <c r="V27" s="421">
        <v>0.1357674633612264727881594100</v>
      </c>
      <c r="W27" s="420">
        <v>0</v>
      </c>
      <c r="X27" s="91">
        <v>3.4122953627580648775599697800</v>
      </c>
      <c r="Y27" s="421">
        <v>4.8074348610080664021880819300</v>
      </c>
      <c r="Z27" s="420">
        <v>4.1153150472077247085856057300</v>
      </c>
      <c r="AA27" s="91">
        <v>5.8599785714439676945175121500</v>
      </c>
      <c r="AB27" s="421">
        <v>2.7649731660016706365526873900</v>
      </c>
    </row>
    <row r="28" ht="18" customHeight="1">
      <c r="A28" s="58"/>
      <c r="B28" s="1043" t="s">
        <v>48</v>
      </c>
      <c r="C28" s="1043"/>
      <c r="D28" s="439">
        <v>231.95122046590997646709169181</v>
      </c>
      <c r="E28" s="95">
        <v>253.12394298725940779490742796</v>
      </c>
      <c r="F28" s="440">
        <v>250.93890481839360258521876172</v>
      </c>
      <c r="G28" s="439">
        <v>286.44796313206115055450293318</v>
      </c>
      <c r="H28" s="95">
        <v>284.82995232322421042104757798</v>
      </c>
      <c r="I28" s="440">
        <v>280.33884246368655903239750128</v>
      </c>
      <c r="J28" s="439">
        <v>0</v>
      </c>
      <c r="K28" s="95">
        <v>165.35957924765847826686981125</v>
      </c>
      <c r="L28" s="440">
        <v>159.30229155142548930907015822</v>
      </c>
      <c r="M28" s="439">
        <v>243.09501349131028251398976887</v>
      </c>
      <c r="N28" s="95">
        <v>257.99702997772750438141245802</v>
      </c>
      <c r="O28" s="440">
        <v>249.60170434645484632429599906</v>
      </c>
      <c r="P28" s="5"/>
      <c r="Q28" s="420">
        <v>0.0054141844891718025866899300</v>
      </c>
      <c r="R28" s="91">
        <v>6.08660843183492110322764100</v>
      </c>
      <c r="S28" s="421">
        <v>2.9393348427563528213642563100</v>
      </c>
      <c r="T28" s="420">
        <v>6.63323226599104113334170800</v>
      </c>
      <c r="U28" s="91">
        <v>-0.2351189574640801493513402300</v>
      </c>
      <c r="V28" s="421">
        <v>1.2152083048642790522885098800</v>
      </c>
      <c r="W28" s="420">
        <v>0</v>
      </c>
      <c r="X28" s="91">
        <v>-1.4845846754637352161849291500</v>
      </c>
      <c r="Y28" s="421">
        <v>2.8775320029787309198676003700</v>
      </c>
      <c r="Z28" s="420">
        <v>1.9773668694861930650442734900</v>
      </c>
      <c r="AA28" s="91">
        <v>4.9472412222451502465738216200</v>
      </c>
      <c r="AB28" s="421">
        <v>2.5985081354049991471900632500</v>
      </c>
    </row>
    <row r="29" ht="18" customHeight="1">
      <c r="A29" s="58"/>
      <c r="B29" s="1043" t="s">
        <v>49</v>
      </c>
      <c r="C29" s="1043"/>
      <c r="D29" s="439">
        <v>243.34405184073698691349799475</v>
      </c>
      <c r="E29" s="95">
        <v>252.85679900876242968973841443</v>
      </c>
      <c r="F29" s="440">
        <v>254.31939077126001028569107263</v>
      </c>
      <c r="G29" s="439">
        <v>289.96101525597511303032962559</v>
      </c>
      <c r="H29" s="95">
        <v>298.65725546233518457580383543</v>
      </c>
      <c r="I29" s="440">
        <v>279.70709099677553761054541696</v>
      </c>
      <c r="J29" s="439">
        <v>0</v>
      </c>
      <c r="K29" s="95">
        <v>168.35350830010886956854906325</v>
      </c>
      <c r="L29" s="440">
        <v>159.57273342358216599122735505</v>
      </c>
      <c r="M29" s="439">
        <v>249.63518025814360322987245852</v>
      </c>
      <c r="N29" s="95">
        <v>258.09443276133660119742062182</v>
      </c>
      <c r="O29" s="440">
        <v>250.45647705679504125142582573</v>
      </c>
      <c r="P29" s="93"/>
      <c r="Q29" s="420">
        <v>-7.0343180862259018093367136600</v>
      </c>
      <c r="R29" s="91">
        <v>-2.5243886584721244501956562300</v>
      </c>
      <c r="S29" s="421">
        <v>0.3787441598337606731733162200</v>
      </c>
      <c r="T29" s="420">
        <v>1.4274497088415811482405887700</v>
      </c>
      <c r="U29" s="91">
        <v>-3.6279211273898662188066797400</v>
      </c>
      <c r="V29" s="421">
        <v>1.561867206126542751231248200</v>
      </c>
      <c r="W29" s="420">
        <v>0</v>
      </c>
      <c r="X29" s="91">
        <v>-0.7318941099337049804230805700</v>
      </c>
      <c r="Y29" s="421">
        <v>3.1687633945145579956671807600</v>
      </c>
      <c r="Z29" s="420">
        <v>-5.9521678407502976351629976700</v>
      </c>
      <c r="AA29" s="91">
        <v>-2.7182520895264649330802330700</v>
      </c>
      <c r="AB29" s="421">
        <v>0.5125992990786754215250567900</v>
      </c>
    </row>
    <row r="30" ht="18" customHeight="1">
      <c r="A30" s="58"/>
      <c r="B30" s="1044" t="s">
        <v>75</v>
      </c>
      <c r="C30" s="1044"/>
      <c r="D30" s="457">
        <v>234.93615080764778992240452359</v>
      </c>
      <c r="E30" s="458">
        <v>252.20854000857317522982128921</v>
      </c>
      <c r="F30" s="459">
        <v>246.85758992545208893390085984</v>
      </c>
      <c r="G30" s="457">
        <v>289.5260820196835878629994914</v>
      </c>
      <c r="H30" s="458">
        <v>283.44938171024103880117959339</v>
      </c>
      <c r="I30" s="459">
        <v>280.59888558479529801657126939</v>
      </c>
      <c r="J30" s="457">
        <v>0</v>
      </c>
      <c r="K30" s="458">
        <v>165.85622533696488126284778543</v>
      </c>
      <c r="L30" s="459">
        <v>160.82808122798984780499951481</v>
      </c>
      <c r="M30" s="457">
        <v>243.86340994945101996571296617</v>
      </c>
      <c r="N30" s="458">
        <v>256.51795576363978267457903251</v>
      </c>
      <c r="O30" s="459">
        <v>245.77563802379072889302243318</v>
      </c>
      <c r="P30" s="5"/>
      <c r="Q30" s="430">
        <v>-1.475680370832395889677599500</v>
      </c>
      <c r="R30" s="431">
        <v>3.2437516770002362711190565700</v>
      </c>
      <c r="S30" s="432">
        <v>1.2942646511764353531909116300</v>
      </c>
      <c r="T30" s="430">
        <v>4.4548229610050963867522230900</v>
      </c>
      <c r="U30" s="431">
        <v>-1.0061817826256438526636523700</v>
      </c>
      <c r="V30" s="432">
        <v>-0.1267006739615726164460961700</v>
      </c>
      <c r="W30" s="430">
        <v>0</v>
      </c>
      <c r="X30" s="431">
        <v>-0.2580468529989692595400045500</v>
      </c>
      <c r="Y30" s="432">
        <v>4.2340079084931764164371392300</v>
      </c>
      <c r="Z30" s="430">
        <v>-0.1191691486273934760100058600</v>
      </c>
      <c r="AA30" s="431">
        <v>2.7280959729187546991315067300</v>
      </c>
      <c r="AB30" s="432">
        <v>1.1582951080839066111336050500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309.13701854155673677631572713</v>
      </c>
      <c r="E32" s="494">
        <v>303.2916803153737733975225179</v>
      </c>
      <c r="F32" s="495">
        <v>289.44038064289083351091341528</v>
      </c>
      <c r="G32" s="493">
        <v>361.19279311499764695618054445</v>
      </c>
      <c r="H32" s="494">
        <v>306.08904403667147259508103783</v>
      </c>
      <c r="I32" s="495">
        <v>278.55301923207377205800278303</v>
      </c>
      <c r="J32" s="493">
        <v>0</v>
      </c>
      <c r="K32" s="494">
        <v>169.30454600389361695741562139</v>
      </c>
      <c r="L32" s="495">
        <v>161.35463922070800680101401994</v>
      </c>
      <c r="M32" s="493">
        <v>313.22997899421816905939238963</v>
      </c>
      <c r="N32" s="494">
        <v>303.40569945745432330514993057</v>
      </c>
      <c r="O32" s="495">
        <v>275.80025753662776050167759044</v>
      </c>
      <c r="P32" s="93"/>
      <c r="Q32" s="479">
        <v>-6.1899525351037299660238376400</v>
      </c>
      <c r="R32" s="480">
        <v>-3.6909492197234523672486743600</v>
      </c>
      <c r="S32" s="481">
        <v>0.9078816358970804006459198800</v>
      </c>
      <c r="T32" s="479">
        <v>3.0997846333750315294408402100</v>
      </c>
      <c r="U32" s="480">
        <v>-13.807754505897789930033499360</v>
      </c>
      <c r="V32" s="481">
        <v>0.0438783083980174187141837200</v>
      </c>
      <c r="W32" s="479">
        <v>0</v>
      </c>
      <c r="X32" s="480">
        <v>-2.0349468052396637632628996400</v>
      </c>
      <c r="Y32" s="481">
        <v>1.8067656527175078302659614400</v>
      </c>
      <c r="Z32" s="479">
        <v>-5.4633185731279708441558246500</v>
      </c>
      <c r="AA32" s="480">
        <v>-4.6060101498577273459620341500</v>
      </c>
      <c r="AB32" s="481">
        <v>0.4219524157184715279561515200</v>
      </c>
    </row>
    <row r="33" ht="18" customHeight="1">
      <c r="A33" s="58"/>
      <c r="B33" s="1046" t="s">
        <v>51</v>
      </c>
      <c r="C33" s="1046"/>
      <c r="D33" s="276">
        <v>317.9404604834912720972973732</v>
      </c>
      <c r="E33" s="94">
        <v>314.21680779992537431083340575</v>
      </c>
      <c r="F33" s="277">
        <v>293.42927842139590643196211097</v>
      </c>
      <c r="G33" s="276">
        <v>357.92927233900644919686733441</v>
      </c>
      <c r="H33" s="94">
        <v>301.69314607477958146313827457</v>
      </c>
      <c r="I33" s="277">
        <v>281.9092224930975735085993437</v>
      </c>
      <c r="J33" s="276">
        <v>0</v>
      </c>
      <c r="K33" s="94">
        <v>169.70005086486153435433644589</v>
      </c>
      <c r="L33" s="277">
        <v>162.27129303297049897237281342</v>
      </c>
      <c r="M33" s="276">
        <v>320.58964079793827441064408022</v>
      </c>
      <c r="N33" s="94">
        <v>312.8168301228662953277718094</v>
      </c>
      <c r="O33" s="277">
        <v>279.6557306667633048790838707</v>
      </c>
      <c r="P33" s="5"/>
      <c r="Q33" s="271">
        <v>-3.9530923247627411896635901500</v>
      </c>
      <c r="R33" s="92">
        <v>-1.6640920676718496716371075200</v>
      </c>
      <c r="S33" s="272">
        <v>0.3196328984021257175893362500</v>
      </c>
      <c r="T33" s="271">
        <v>-7.8941344000824685176568644500</v>
      </c>
      <c r="U33" s="92">
        <v>-12.175488443898215229820098650</v>
      </c>
      <c r="V33" s="272">
        <v>0.6578399802377120089661880600</v>
      </c>
      <c r="W33" s="271">
        <v>0</v>
      </c>
      <c r="X33" s="92">
        <v>2.9251536252956007975471216800</v>
      </c>
      <c r="Y33" s="272">
        <v>4.368292623250098386815424100</v>
      </c>
      <c r="Z33" s="271">
        <v>-4.1551813042030419260546464900</v>
      </c>
      <c r="AA33" s="92">
        <v>-2.4822161906479941068587226400</v>
      </c>
      <c r="AB33" s="272">
        <v>0.1239340288435622727319601400</v>
      </c>
    </row>
    <row r="34" ht="18" customHeight="1">
      <c r="A34" s="58"/>
      <c r="B34" s="1047" t="s">
        <v>76</v>
      </c>
      <c r="C34" s="1047"/>
      <c r="D34" s="443">
        <v>313.61630619516038229292811642</v>
      </c>
      <c r="E34" s="444">
        <v>308.80706879650402938623774266</v>
      </c>
      <c r="F34" s="445">
        <v>291.47361829937563082660551194</v>
      </c>
      <c r="G34" s="443">
        <v>359.68269907172101816842816004</v>
      </c>
      <c r="H34" s="444">
        <v>303.80242855517652172450225605</v>
      </c>
      <c r="I34" s="445">
        <v>280.17323291449526584525323968</v>
      </c>
      <c r="J34" s="443">
        <v>0</v>
      </c>
      <c r="K34" s="444">
        <v>169.49241081285337772095301304</v>
      </c>
      <c r="L34" s="445">
        <v>161.81532462360841347556356944</v>
      </c>
      <c r="M34" s="633">
        <v>316.95010640968373572241994629</v>
      </c>
      <c r="N34" s="634">
        <v>308.17048093553517807586135776</v>
      </c>
      <c r="O34" s="635">
        <v>277.74578431149166812079281877</v>
      </c>
      <c r="P34" s="93"/>
      <c r="Q34" s="273">
        <v>-5.048660895689943526809423500</v>
      </c>
      <c r="R34" s="274">
        <v>-2.6683235771914766944224443800</v>
      </c>
      <c r="S34" s="275">
        <v>0.605290059055804192945189700</v>
      </c>
      <c r="T34" s="273">
        <v>-1.6641878805832580906119571800</v>
      </c>
      <c r="U34" s="274">
        <v>-13.086344423809584984001719590</v>
      </c>
      <c r="V34" s="275">
        <v>0.3485849435660447645950493300</v>
      </c>
      <c r="W34" s="273">
        <v>0</v>
      </c>
      <c r="X34" s="274">
        <v>0.2318416660500018733354891200</v>
      </c>
      <c r="Y34" s="275">
        <v>3.0757610575648092330866013400</v>
      </c>
      <c r="Z34" s="273">
        <v>-4.7934688755745080678008118900</v>
      </c>
      <c r="AA34" s="274">
        <v>-3.5269467499243171565018549100</v>
      </c>
      <c r="AB34" s="275">
        <v>0.2733392922962393031271071300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259.88309905556775752251262904</v>
      </c>
      <c r="E36" s="483">
        <v>270.42550655300847137682801257</v>
      </c>
      <c r="F36" s="484">
        <v>261.46790961973453253784272232</v>
      </c>
      <c r="G36" s="482">
        <v>302.56556521739130434782608696</v>
      </c>
      <c r="H36" s="483">
        <v>288.33642198015171023636948937</v>
      </c>
      <c r="I36" s="484">
        <v>280.98220284516299550027292995</v>
      </c>
      <c r="J36" s="482">
        <v>0</v>
      </c>
      <c r="K36" s="483">
        <v>166.18704846088856947438413101</v>
      </c>
      <c r="L36" s="484">
        <v>161.40719591187851268629048508</v>
      </c>
      <c r="M36" s="482">
        <v>265.70242329397258974723763456</v>
      </c>
      <c r="N36" s="483">
        <v>272.49451008788216363411313281</v>
      </c>
      <c r="O36" s="484">
        <v>255.76138918239029607058492829</v>
      </c>
      <c r="P36" s="93"/>
      <c r="Q36" s="468">
        <v>-2.5099109778945299420949491200</v>
      </c>
      <c r="R36" s="469">
        <v>1.0369832784778304156296468500</v>
      </c>
      <c r="S36" s="470">
        <v>1.1714163429063615385292939300</v>
      </c>
      <c r="T36" s="468">
        <v>2.5882737900102606906545510200</v>
      </c>
      <c r="U36" s="469">
        <v>-4.0877650537721751074782037200</v>
      </c>
      <c r="V36" s="470">
        <v>-0.2707089611632043868488600</v>
      </c>
      <c r="W36" s="468">
        <v>0</v>
      </c>
      <c r="X36" s="469">
        <v>-0.6209514916069007064298483600</v>
      </c>
      <c r="Y36" s="470">
        <v>3.8472627000753874593178698700</v>
      </c>
      <c r="Z36" s="468">
        <v>-1.6491714208803589545875536500</v>
      </c>
      <c r="AA36" s="469">
        <v>0.5012258654574712396212613600</v>
      </c>
      <c r="AB36" s="470">
        <v>0.8738896971911422633772487300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181.48916063347454262570944507</v>
      </c>
      <c r="E39" s="455">
        <v>187.88392971934916600315706777</v>
      </c>
      <c r="F39" s="456">
        <v>129.83320168129750417774179877</v>
      </c>
      <c r="G39" s="454">
        <v>26.402844340205356320229009171</v>
      </c>
      <c r="H39" s="455">
        <v>27.319670324405075989600427242</v>
      </c>
      <c r="I39" s="456">
        <v>33.531579988422215842834010758</v>
      </c>
      <c r="J39" s="454">
        <v>0</v>
      </c>
      <c r="K39" s="455">
        <v>0.4494620941200527546901094899</v>
      </c>
      <c r="L39" s="456">
        <v>12.700286621291113132003953716</v>
      </c>
      <c r="M39" s="454">
        <v>207.8920049736798989459384541</v>
      </c>
      <c r="N39" s="455">
        <v>215.65306213787429474744760431</v>
      </c>
      <c r="O39" s="456">
        <v>176.06506829101083315257976309</v>
      </c>
      <c r="P39" s="5"/>
      <c r="Q39" s="427">
        <v>-3.0647695980382022467283204200</v>
      </c>
      <c r="R39" s="428">
        <v>7.8830809527547352521555067900</v>
      </c>
      <c r="S39" s="429">
        <v>-1.3768352733245176597591955500</v>
      </c>
      <c r="T39" s="427">
        <v>31.689045712024349068367882360</v>
      </c>
      <c r="U39" s="428">
        <v>4.910891826472151669278596800</v>
      </c>
      <c r="V39" s="429">
        <v>9.843259614677238924934799530</v>
      </c>
      <c r="W39" s="427">
        <v>0</v>
      </c>
      <c r="X39" s="428">
        <v>-68.250585524468253669186679170</v>
      </c>
      <c r="Y39" s="429">
        <v>15.736914972482106262924561170</v>
      </c>
      <c r="Z39" s="427">
        <v>0.2968859786083825372426526500</v>
      </c>
      <c r="AA39" s="428">
        <v>6.9585211023665938464189131700</v>
      </c>
      <c r="AB39" s="429">
        <v>1.6861269586655569479401995500</v>
      </c>
    </row>
    <row r="40" ht="18" customHeight="1">
      <c r="A40" s="58"/>
      <c r="B40" s="1043" t="s">
        <v>46</v>
      </c>
      <c r="C40" s="1043"/>
      <c r="D40" s="439">
        <v>158.16994930568442669377949852</v>
      </c>
      <c r="E40" s="95">
        <v>165.6015905133834727981084767</v>
      </c>
      <c r="F40" s="440">
        <v>117.48348773198195493460128218</v>
      </c>
      <c r="G40" s="439">
        <v>41.997854202597612001613003141</v>
      </c>
      <c r="H40" s="95">
        <v>35.068125411317685171649976268</v>
      </c>
      <c r="I40" s="440">
        <v>47.629253926917718062196316608</v>
      </c>
      <c r="J40" s="439">
        <v>0</v>
      </c>
      <c r="K40" s="95">
        <v>0.4723787346882309986250683634</v>
      </c>
      <c r="L40" s="440">
        <v>12.376327022257387405312789966</v>
      </c>
      <c r="M40" s="439">
        <v>200.16780350828203869539250152</v>
      </c>
      <c r="N40" s="95">
        <v>201.14209465938938896838352118</v>
      </c>
      <c r="O40" s="440">
        <v>177.48906868115706040211038859</v>
      </c>
      <c r="P40" s="5"/>
      <c r="Q40" s="420">
        <v>-7.0216967516354136845682769400</v>
      </c>
      <c r="R40" s="91">
        <v>7.1275453028849886817408290500</v>
      </c>
      <c r="S40" s="421">
        <v>-2.9543541803523516832803778300</v>
      </c>
      <c r="T40" s="420">
        <v>19.198454085870051002390865790</v>
      </c>
      <c r="U40" s="91">
        <v>11.710056937402444785150164380</v>
      </c>
      <c r="V40" s="421">
        <v>13.393377486409465315110869800</v>
      </c>
      <c r="W40" s="420">
        <v>0</v>
      </c>
      <c r="X40" s="91">
        <v>-68.250029012137558211784552300</v>
      </c>
      <c r="Y40" s="421">
        <v>13.602126306100364565701206550</v>
      </c>
      <c r="Z40" s="420">
        <v>-2.5228601645580995221169840700</v>
      </c>
      <c r="AA40" s="91">
        <v>7.2905899076172692674088544700</v>
      </c>
      <c r="AB40" s="421">
        <v>2.0299917001760838769744701700</v>
      </c>
    </row>
    <row r="41" ht="18" customHeight="1">
      <c r="A41" s="58"/>
      <c r="B41" s="1043" t="s">
        <v>47</v>
      </c>
      <c r="C41" s="1043"/>
      <c r="D41" s="439">
        <v>158.26310420752299097459874492</v>
      </c>
      <c r="E41" s="95">
        <v>175.03427331068159437037471664</v>
      </c>
      <c r="F41" s="440">
        <v>129.27631732967132155519230763</v>
      </c>
      <c r="G41" s="439">
        <v>50.109570710544156705933352611</v>
      </c>
      <c r="H41" s="95">
        <v>41.357088082165335089943212179</v>
      </c>
      <c r="I41" s="440">
        <v>56.683160159592357934525988461</v>
      </c>
      <c r="J41" s="439">
        <v>0</v>
      </c>
      <c r="K41" s="95">
        <v>0.4180527470406650171883903622</v>
      </c>
      <c r="L41" s="440">
        <v>12.319684613345931888193349656</v>
      </c>
      <c r="M41" s="439">
        <v>208.37267491806714768053209737</v>
      </c>
      <c r="N41" s="95">
        <v>216.80941413988759447750631899</v>
      </c>
      <c r="O41" s="440">
        <v>198.27916210260961137791164555</v>
      </c>
      <c r="P41" s="93"/>
      <c r="Q41" s="420">
        <v>-4.3661898620240529554324527600</v>
      </c>
      <c r="R41" s="91">
        <v>10.580697582092475231017608530</v>
      </c>
      <c r="S41" s="421">
        <v>0.6945362031968747543755868900</v>
      </c>
      <c r="T41" s="420">
        <v>16.883382479002983078870148590</v>
      </c>
      <c r="U41" s="91">
        <v>6.7441066472745346079761659300</v>
      </c>
      <c r="V41" s="421">
        <v>13.793774384809729030313594950</v>
      </c>
      <c r="W41" s="420">
        <v>0</v>
      </c>
      <c r="X41" s="91">
        <v>-63.171426750533795503070542170</v>
      </c>
      <c r="Y41" s="421">
        <v>16.534000525970094940363598210</v>
      </c>
      <c r="Z41" s="420">
        <v>0.0060461343829283765147379400</v>
      </c>
      <c r="AA41" s="91">
        <v>9.401911045647940222338660280</v>
      </c>
      <c r="AB41" s="421">
        <v>5.0384077441464079855190873500</v>
      </c>
    </row>
    <row r="42" ht="18" customHeight="1">
      <c r="A42" s="58"/>
      <c r="B42" s="1043" t="s">
        <v>48</v>
      </c>
      <c r="C42" s="1043"/>
      <c r="D42" s="439">
        <v>163.01466892883882961498402129</v>
      </c>
      <c r="E42" s="95">
        <v>177.12455821366271911897722113</v>
      </c>
      <c r="F42" s="440">
        <v>133.15343119343742553586285647</v>
      </c>
      <c r="G42" s="439">
        <v>51.747592407307084307631648805</v>
      </c>
      <c r="H42" s="95">
        <v>38.241745776958317923088002349</v>
      </c>
      <c r="I42" s="440">
        <v>55.779249322875799423216022663</v>
      </c>
      <c r="J42" s="439">
        <v>0</v>
      </c>
      <c r="K42" s="95">
        <v>0.4125062107972715036071292488</v>
      </c>
      <c r="L42" s="440">
        <v>12.033908814370124311121250947</v>
      </c>
      <c r="M42" s="439">
        <v>214.76226133614591392261566993</v>
      </c>
      <c r="N42" s="95">
        <v>215.77881020141830854567235254</v>
      </c>
      <c r="O42" s="440">
        <v>200.96658933068334927020012989</v>
      </c>
      <c r="P42" s="5"/>
      <c r="Q42" s="420">
        <v>-1.7862137568946201331222094700</v>
      </c>
      <c r="R42" s="91">
        <v>10.800300266529938714685323200</v>
      </c>
      <c r="S42" s="421">
        <v>0.0525566457765896913826570100</v>
      </c>
      <c r="T42" s="420">
        <v>24.505845583589342968911082520</v>
      </c>
      <c r="U42" s="91">
        <v>0.9432049397129887355831933800</v>
      </c>
      <c r="V42" s="421">
        <v>11.604826402259224151983050630</v>
      </c>
      <c r="W42" s="420">
        <v>0</v>
      </c>
      <c r="X42" s="91">
        <v>-55.030707276814113481028800160</v>
      </c>
      <c r="Y42" s="421">
        <v>8.242668405840496007825793490</v>
      </c>
      <c r="Z42" s="420">
        <v>3.4790416159279015932993345300</v>
      </c>
      <c r="AA42" s="91">
        <v>8.610424112332243009719918670</v>
      </c>
      <c r="AB42" s="421">
        <v>3.4950379106706824659374284600</v>
      </c>
    </row>
    <row r="43" ht="18" customHeight="1">
      <c r="A43" s="58"/>
      <c r="B43" s="1043" t="s">
        <v>49</v>
      </c>
      <c r="C43" s="1043"/>
      <c r="D43" s="439">
        <v>191.79652104580231631731121103</v>
      </c>
      <c r="E43" s="95">
        <v>194.00625724825256491981679614</v>
      </c>
      <c r="F43" s="440">
        <v>144.64545926452116155341975985</v>
      </c>
      <c r="G43" s="439">
        <v>35.653714579843093735081323453</v>
      </c>
      <c r="H43" s="95">
        <v>30.446182346260843524035702662</v>
      </c>
      <c r="I43" s="440">
        <v>47.66380547615413236631001752</v>
      </c>
      <c r="J43" s="439">
        <v>0</v>
      </c>
      <c r="K43" s="95">
        <v>0.3447554902265986978282150006</v>
      </c>
      <c r="L43" s="440">
        <v>12.600455677780306481224368487</v>
      </c>
      <c r="M43" s="439">
        <v>227.45023562564541005239253432</v>
      </c>
      <c r="N43" s="95">
        <v>224.79719508474000714168071361</v>
      </c>
      <c r="O43" s="440">
        <v>204.90972041845560040095414568</v>
      </c>
      <c r="P43" s="93"/>
      <c r="Q43" s="420">
        <v>-2.9439716029546747062823324400</v>
      </c>
      <c r="R43" s="91">
        <v>2.7318006628976240943770974800</v>
      </c>
      <c r="S43" s="421">
        <v>-1.6107834522056443275505262200</v>
      </c>
      <c r="T43" s="420">
        <v>-10.642205058128856089768934430</v>
      </c>
      <c r="U43" s="91">
        <v>-11.804518024526630965314943630</v>
      </c>
      <c r="V43" s="421">
        <v>8.863015193840616395973035380</v>
      </c>
      <c r="W43" s="420">
        <v>0</v>
      </c>
      <c r="X43" s="91">
        <v>-71.455049406144784642256432860</v>
      </c>
      <c r="Y43" s="421">
        <v>16.719668799085083474546857150</v>
      </c>
      <c r="Z43" s="420">
        <v>-4.2371959745872055406831899700</v>
      </c>
      <c r="AA43" s="91">
        <v>0.0912284697366562489298025900</v>
      </c>
      <c r="AB43" s="421">
        <v>1.6458258273917033546445034900</v>
      </c>
    </row>
    <row r="44" ht="18" customHeight="1">
      <c r="A44" s="58"/>
      <c r="B44" s="1044" t="s">
        <v>75</v>
      </c>
      <c r="C44" s="1044"/>
      <c r="D44" s="457">
        <v>170.64190234842540907683222624</v>
      </c>
      <c r="E44" s="458">
        <v>179.96807411494485157442570941</v>
      </c>
      <c r="F44" s="459">
        <v>130.89618502579804961619261585</v>
      </c>
      <c r="G44" s="457">
        <v>41.113111717382835062998165983</v>
      </c>
      <c r="H44" s="458">
        <v>34.433302499121111357103156006</v>
      </c>
      <c r="I44" s="459">
        <v>48.19671339948153332828044907</v>
      </c>
      <c r="J44" s="457">
        <v>0</v>
      </c>
      <c r="K44" s="458">
        <v>0.4194417399352916918854521993</v>
      </c>
      <c r="L44" s="459">
        <v>12.406722465468790013060331202</v>
      </c>
      <c r="M44" s="457">
        <v>211.75501406580824413983039217</v>
      </c>
      <c r="N44" s="458">
        <v>214.82081835400125462341431754</v>
      </c>
      <c r="O44" s="459">
        <v>191.49962089074837295753339601</v>
      </c>
      <c r="P44" s="5"/>
      <c r="Q44" s="430">
        <v>-3.7470685226776466689103059400</v>
      </c>
      <c r="R44" s="431">
        <v>7.6746819958998230672949031700</v>
      </c>
      <c r="S44" s="432">
        <v>-1.0113631661073785657127608700</v>
      </c>
      <c r="T44" s="430">
        <v>14.446799709965466089588269600</v>
      </c>
      <c r="U44" s="431">
        <v>2.1264766945153878005197787500</v>
      </c>
      <c r="V44" s="432">
        <v>11.515474142463525335494901910</v>
      </c>
      <c r="W44" s="430">
        <v>0</v>
      </c>
      <c r="X44" s="431">
        <v>-65.974829759431379057486701210</v>
      </c>
      <c r="Y44" s="432">
        <v>14.131466136167343338321444830</v>
      </c>
      <c r="Z44" s="430">
        <v>-0.6815935077715122520191300</v>
      </c>
      <c r="AA44" s="431">
        <v>6.2934277749592479478771139600</v>
      </c>
      <c r="AB44" s="432">
        <v>2.778018426455100969419386300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258.60500589534073172634104116</v>
      </c>
      <c r="E46" s="494">
        <v>251.52725025484531345060751245</v>
      </c>
      <c r="F46" s="495">
        <v>184.99734249045183098568862511</v>
      </c>
      <c r="G46" s="493">
        <v>25.784450557451755100310091333</v>
      </c>
      <c r="H46" s="494">
        <v>26.975678279648573074411974725</v>
      </c>
      <c r="I46" s="495">
        <v>41.810021793089643976856087081</v>
      </c>
      <c r="J46" s="493">
        <v>0</v>
      </c>
      <c r="K46" s="494">
        <v>0.2647550425260083368907385548</v>
      </c>
      <c r="L46" s="495">
        <v>12.875653412418435710707857028</v>
      </c>
      <c r="M46" s="493">
        <v>284.38945645279248682665113231</v>
      </c>
      <c r="N46" s="494">
        <v>278.76768357701989486191022551</v>
      </c>
      <c r="O46" s="495">
        <v>239.68301769595991067325256899</v>
      </c>
      <c r="P46" s="93"/>
      <c r="Q46" s="479">
        <v>-5.5318673196608861622420344800</v>
      </c>
      <c r="R46" s="480">
        <v>1.8329431356315347463385669400</v>
      </c>
      <c r="S46" s="481">
        <v>-0.5252361593851637499423539900</v>
      </c>
      <c r="T46" s="479">
        <v>-11.987988727682747790317498810</v>
      </c>
      <c r="U46" s="480">
        <v>-18.826109382772552070536358400</v>
      </c>
      <c r="V46" s="481">
        <v>8.092274357675726502292813830</v>
      </c>
      <c r="W46" s="479">
        <v>0</v>
      </c>
      <c r="X46" s="480">
        <v>-77.877273097132899249361415270</v>
      </c>
      <c r="Y46" s="481">
        <v>11.846123245959086605038674650</v>
      </c>
      <c r="Z46" s="479">
        <v>-6.1560053118418154872786185600</v>
      </c>
      <c r="AA46" s="480">
        <v>-0.9511298053344012473360762100</v>
      </c>
      <c r="AB46" s="481">
        <v>1.4893806557560716473471522100</v>
      </c>
    </row>
    <row r="47" ht="18" customHeight="1">
      <c r="A47" s="58"/>
      <c r="B47" s="1046" t="s">
        <v>51</v>
      </c>
      <c r="C47" s="1046"/>
      <c r="D47" s="276">
        <v>275.51134308796708718454615051</v>
      </c>
      <c r="E47" s="94">
        <v>265.67687423964946478608667128</v>
      </c>
      <c r="F47" s="277">
        <v>195.01230439509112260765060236</v>
      </c>
      <c r="G47" s="276">
        <v>22.005558410119568991998545342</v>
      </c>
      <c r="H47" s="94">
        <v>28.823613553797170527753846646</v>
      </c>
      <c r="I47" s="277">
        <v>39.497028599481006824175253559</v>
      </c>
      <c r="J47" s="276">
        <v>0</v>
      </c>
      <c r="K47" s="94">
        <v>0.2400998560155163565963506199</v>
      </c>
      <c r="L47" s="277">
        <v>13.08448549380524170711295904</v>
      </c>
      <c r="M47" s="276">
        <v>297.51690149808665617654469566</v>
      </c>
      <c r="N47" s="94">
        <v>294.7405876494621516704368683</v>
      </c>
      <c r="O47" s="277">
        <v>247.59381848837737113893881473</v>
      </c>
      <c r="P47" s="5"/>
      <c r="Q47" s="271">
        <v>-2.7099783970741924920102571600</v>
      </c>
      <c r="R47" s="92">
        <v>1.6596519509337408787497200400</v>
      </c>
      <c r="S47" s="272">
        <v>-1.0944620366258265454364371900</v>
      </c>
      <c r="T47" s="271">
        <v>0.1769981522928238317101360900</v>
      </c>
      <c r="U47" s="92">
        <v>-3.1278456760219830906563212600</v>
      </c>
      <c r="V47" s="272">
        <v>14.380984341682360911349947060</v>
      </c>
      <c r="W47" s="271">
        <v>0</v>
      </c>
      <c r="X47" s="92">
        <v>-76.132472391149671253303700480</v>
      </c>
      <c r="Y47" s="272">
        <v>16.060778089401168403914482620</v>
      </c>
      <c r="Z47" s="271">
        <v>-2.5021566445045547839669604800</v>
      </c>
      <c r="AA47" s="92">
        <v>0.8983405707541265255341709900</v>
      </c>
      <c r="AB47" s="272">
        <v>1.9010366944114371839602938700</v>
      </c>
    </row>
    <row r="48" ht="18" customHeight="1">
      <c r="A48" s="58"/>
      <c r="B48" s="1047" t="s">
        <v>76</v>
      </c>
      <c r="C48" s="1047"/>
      <c r="D48" s="443">
        <v>267.05817449165390945544359582</v>
      </c>
      <c r="E48" s="444">
        <v>258.60206224724738911834709191</v>
      </c>
      <c r="F48" s="445">
        <v>190.00449232453963845292979568</v>
      </c>
      <c r="G48" s="443">
        <v>23.89500448378566204615431834</v>
      </c>
      <c r="H48" s="444">
        <v>27.899645916722871801082910684</v>
      </c>
      <c r="I48" s="445">
        <v>40.653601669288799036819778333</v>
      </c>
      <c r="J48" s="443">
        <v>0</v>
      </c>
      <c r="K48" s="444">
        <v>0.2524274492707623467435445873</v>
      </c>
      <c r="L48" s="445">
        <v>12.98006254863130265331166744</v>
      </c>
      <c r="M48" s="443">
        <v>290.95317897543957150159791399</v>
      </c>
      <c r="N48" s="444">
        <v>286.75413561324102326617354689</v>
      </c>
      <c r="O48" s="445">
        <v>243.63815654245974014306124122</v>
      </c>
      <c r="P48" s="93"/>
      <c r="Q48" s="273">
        <v>-4.0970145040899317311910233500</v>
      </c>
      <c r="R48" s="274">
        <v>1.7438533718300404855084962800</v>
      </c>
      <c r="S48" s="275">
        <v>-0.8179374803021928866854020700</v>
      </c>
      <c r="T48" s="273">
        <v>-6.7751968266180594619922093600</v>
      </c>
      <c r="U48" s="274">
        <v>-11.410354520226388234445098710</v>
      </c>
      <c r="V48" s="275">
        <v>11.057778316171403409532363930</v>
      </c>
      <c r="W48" s="273">
        <v>0</v>
      </c>
      <c r="X48" s="274">
        <v>-77.080434997429866027695092480</v>
      </c>
      <c r="Y48" s="275">
        <v>13.931203425749258100491798580</v>
      </c>
      <c r="Z48" s="273">
        <v>-4.3227507791172500881482230500</v>
      </c>
      <c r="AA48" s="274">
        <v>-0.0091887925183366471393236500</v>
      </c>
      <c r="AB48" s="275">
        <v>1.6982246892587736322350479300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198.09940565879792399129415704</v>
      </c>
      <c r="E50" s="483">
        <v>202.58952430771528292439911938</v>
      </c>
      <c r="F50" s="484">
        <v>147.74330803221938045437182007</v>
      </c>
      <c r="G50" s="482">
        <v>36.408672358948602042524694458</v>
      </c>
      <c r="H50" s="483">
        <v>32.526577700552271570256161423</v>
      </c>
      <c r="I50" s="484">
        <v>46.142596635277738551078947176</v>
      </c>
      <c r="J50" s="482">
        <v>0</v>
      </c>
      <c r="K50" s="483">
        <v>0.3706417461782745822702645977</v>
      </c>
      <c r="L50" s="484">
        <v>12.601045117658456005781045852</v>
      </c>
      <c r="M50" s="482">
        <v>234.5080780177465260338188515</v>
      </c>
      <c r="N50" s="483">
        <v>235.4867437544458290769255454</v>
      </c>
      <c r="O50" s="484">
        <v>206.4869497851555750112318131</v>
      </c>
      <c r="P50" s="93"/>
      <c r="Q50" s="468">
        <v>-3.9180434028188123609225863600</v>
      </c>
      <c r="R50" s="469">
        <v>5.4754569075038439292252695500</v>
      </c>
      <c r="S50" s="470">
        <v>-0.808666257196259739083479600</v>
      </c>
      <c r="T50" s="468">
        <v>10.331397700833287898700035440</v>
      </c>
      <c r="U50" s="469">
        <v>-1.512166217134392286982866500</v>
      </c>
      <c r="V50" s="470">
        <v>11.073958290344112002451646450</v>
      </c>
      <c r="W50" s="468">
        <v>0</v>
      </c>
      <c r="X50" s="469">
        <v>-68.809767886299125096571074880</v>
      </c>
      <c r="Y50" s="470">
        <v>13.983069243575553213804394090</v>
      </c>
      <c r="Z50" s="468">
        <v>-1.9520398013762315556109819400</v>
      </c>
      <c r="AA50" s="469">
        <v>4.0655294345175762418432505200</v>
      </c>
      <c r="AB50" s="470">
        <v>2.451922881244997114521987800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1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193</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44</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78.554778554778554778554778620</v>
      </c>
      <c r="E11" s="428">
        <v>70.139250874972075359297043780</v>
      </c>
      <c r="F11" s="429">
        <v>51.955909032007256705973824080</v>
      </c>
      <c r="G11" s="427">
        <v>4.3123543123543123543123543200</v>
      </c>
      <c r="H11" s="428">
        <v>10.983692009829473527440613610</v>
      </c>
      <c r="I11" s="429">
        <v>10.395879227679149928728780620</v>
      </c>
      <c r="J11" s="427">
        <v>0</v>
      </c>
      <c r="K11" s="428">
        <v>0</v>
      </c>
      <c r="L11" s="429">
        <v>7.1303615394583387326681352900</v>
      </c>
      <c r="M11" s="427">
        <v>82.86713286713286713286713287</v>
      </c>
      <c r="N11" s="428">
        <v>81.11549631394742720976990096</v>
      </c>
      <c r="O11" s="429">
        <v>69.482149799144745367370739920</v>
      </c>
      <c r="P11" s="5"/>
      <c r="Q11" s="427">
        <v>3.295019157021633857400844400</v>
      </c>
      <c r="R11" s="428">
        <v>0.1701584600747038222282933500</v>
      </c>
      <c r="S11" s="429">
        <v>-0.9220616583967300691754540200</v>
      </c>
      <c r="T11" s="427">
        <v>-26.732673267564670130378601730</v>
      </c>
      <c r="U11" s="428">
        <v>23.741610738436805000338089780</v>
      </c>
      <c r="V11" s="429">
        <v>12.503287583205001186671869980</v>
      </c>
      <c r="W11" s="427">
        <v>0</v>
      </c>
      <c r="X11" s="428">
        <v>-100</v>
      </c>
      <c r="Y11" s="429">
        <v>4.6091221539646390125529071100</v>
      </c>
      <c r="Z11" s="427">
        <v>1.1379800853879257561072493500</v>
      </c>
      <c r="AA11" s="428">
        <v>1.5948517067617347045288751300</v>
      </c>
      <c r="AB11" s="429">
        <v>1.4407227079526093152766078700</v>
      </c>
    </row>
    <row r="12" ht="18" customHeight="1">
      <c r="A12" s="58"/>
      <c r="B12" s="1043" t="s">
        <v>46</v>
      </c>
      <c r="C12" s="1043"/>
      <c r="D12" s="420">
        <v>71.911421911421911421911421970</v>
      </c>
      <c r="E12" s="91">
        <v>63.630947948469729689477995440</v>
      </c>
      <c r="F12" s="421">
        <v>47.446384605416612673318647190</v>
      </c>
      <c r="G12" s="420">
        <v>5.8857808857808857808857808900</v>
      </c>
      <c r="H12" s="91">
        <v>12.577258172611512398540472120</v>
      </c>
      <c r="I12" s="421">
        <v>13.595794998056239471297136210</v>
      </c>
      <c r="J12" s="420">
        <v>0</v>
      </c>
      <c r="K12" s="91">
        <v>0</v>
      </c>
      <c r="L12" s="421">
        <v>6.7602371387845017493844758400</v>
      </c>
      <c r="M12" s="420">
        <v>77.797202797202797202797202800</v>
      </c>
      <c r="N12" s="91">
        <v>76.208206121081242088018467500</v>
      </c>
      <c r="O12" s="421">
        <v>67.804846442918232473759232860</v>
      </c>
      <c r="P12" s="5"/>
      <c r="Q12" s="420">
        <v>-7.4962518740299611813283644400</v>
      </c>
      <c r="R12" s="91">
        <v>0.0234109796889475498552088900</v>
      </c>
      <c r="S12" s="421">
        <v>-2.5380009443364090168934326900</v>
      </c>
      <c r="T12" s="420">
        <v>-15.126050419777219122941495030</v>
      </c>
      <c r="U12" s="91">
        <v>23.645680820279378131103860570</v>
      </c>
      <c r="V12" s="421">
        <v>5.2226197128711727262509964100</v>
      </c>
      <c r="W12" s="420">
        <v>0</v>
      </c>
      <c r="X12" s="91">
        <v>-100</v>
      </c>
      <c r="Y12" s="421">
        <v>5.8979861990308723448687563200</v>
      </c>
      <c r="Z12" s="420">
        <v>-8.121128699286703495485267440</v>
      </c>
      <c r="AA12" s="91">
        <v>1.8916766228568621363491676800</v>
      </c>
      <c r="AB12" s="421">
        <v>-0.2661975180297679610113496700</v>
      </c>
    </row>
    <row r="13" ht="18" customHeight="1">
      <c r="A13" s="58"/>
      <c r="B13" s="1043" t="s">
        <v>47</v>
      </c>
      <c r="C13" s="1043"/>
      <c r="D13" s="420">
        <v>69.580419580419580419580419640</v>
      </c>
      <c r="E13" s="91">
        <v>65.537270087124878993223620590</v>
      </c>
      <c r="F13" s="421">
        <v>49.871230775441004319218504070</v>
      </c>
      <c r="G13" s="420">
        <v>9.557109557109557109557109570</v>
      </c>
      <c r="H13" s="91">
        <v>12.778315585672797676669893530</v>
      </c>
      <c r="I13" s="421">
        <v>15.239979009405401041456424350</v>
      </c>
      <c r="J13" s="420">
        <v>0</v>
      </c>
      <c r="K13" s="91">
        <v>0</v>
      </c>
      <c r="L13" s="421">
        <v>7.028619868405118475759899900</v>
      </c>
      <c r="M13" s="420">
        <v>79.137529137529137529137529140</v>
      </c>
      <c r="N13" s="91">
        <v>78.323032243651798346861270380</v>
      </c>
      <c r="O13" s="421">
        <v>72.143866306059015864045533440</v>
      </c>
      <c r="P13" s="184"/>
      <c r="Q13" s="420">
        <v>-9.270516717352805314067673840</v>
      </c>
      <c r="R13" s="91">
        <v>0.8826226500944937821135444400</v>
      </c>
      <c r="S13" s="421">
        <v>-2.4140374419700487229404104100</v>
      </c>
      <c r="T13" s="420">
        <v>8.609271523595982632342289350</v>
      </c>
      <c r="U13" s="91">
        <v>13.717693836670588529789627260</v>
      </c>
      <c r="V13" s="421">
        <v>0.4881756319930668837331623600</v>
      </c>
      <c r="W13" s="420">
        <v>0</v>
      </c>
      <c r="X13" s="91">
        <v>-100</v>
      </c>
      <c r="Y13" s="421">
        <v>5.5516997939277514148597499600</v>
      </c>
      <c r="Z13" s="420">
        <v>-7.4301295160077283049167562300</v>
      </c>
      <c r="AA13" s="91">
        <v>1.8396591788895877607952740400</v>
      </c>
      <c r="AB13" s="421">
        <v>-1.0798746231632206560344564300</v>
      </c>
    </row>
    <row r="14" ht="18" customHeight="1">
      <c r="A14" s="58"/>
      <c r="B14" s="1043" t="s">
        <v>48</v>
      </c>
      <c r="C14" s="1043"/>
      <c r="D14" s="420">
        <v>73.368298368298368298368298430</v>
      </c>
      <c r="E14" s="91">
        <v>67.346786804676446496388413200</v>
      </c>
      <c r="F14" s="421">
        <v>51.216243490897347919105477790</v>
      </c>
      <c r="G14" s="420">
        <v>11.946386946386946386946386960</v>
      </c>
      <c r="H14" s="91">
        <v>12.271948767592523642862461850</v>
      </c>
      <c r="I14" s="421">
        <v>16.612440963952690429096193450</v>
      </c>
      <c r="J14" s="420">
        <v>0</v>
      </c>
      <c r="K14" s="91">
        <v>0</v>
      </c>
      <c r="L14" s="421">
        <v>6.7081096354902514834699067600</v>
      </c>
      <c r="M14" s="420">
        <v>85.31468531468531468531468531</v>
      </c>
      <c r="N14" s="91">
        <v>79.61128900141484846228311862</v>
      </c>
      <c r="O14" s="421">
        <v>74.538408751463286642715860010</v>
      </c>
      <c r="P14" s="5"/>
      <c r="Q14" s="420">
        <v>-2.327385570274327197790415100</v>
      </c>
      <c r="R14" s="91">
        <v>0.7800312012298457287076896900</v>
      </c>
      <c r="S14" s="421">
        <v>-4.8744642273817561414094677600</v>
      </c>
      <c r="T14" s="420">
        <v>45.390070921688848649464919400</v>
      </c>
      <c r="U14" s="91">
        <v>14.285714286176817911632543750</v>
      </c>
      <c r="V14" s="421">
        <v>14.986525403949643164841701790</v>
      </c>
      <c r="W14" s="420">
        <v>0</v>
      </c>
      <c r="X14" s="91">
        <v>-100</v>
      </c>
      <c r="Y14" s="421">
        <v>-1.8025772754928593406972900300</v>
      </c>
      <c r="Z14" s="420">
        <v>2.377622377663328671328687700</v>
      </c>
      <c r="AA14" s="91">
        <v>1.86755597904676088638592700</v>
      </c>
      <c r="AB14" s="421">
        <v>-0.7731996691172833578526262500</v>
      </c>
    </row>
    <row r="15" ht="18" customHeight="1">
      <c r="A15" s="58"/>
      <c r="B15" s="1043" t="s">
        <v>49</v>
      </c>
      <c r="C15" s="1043"/>
      <c r="D15" s="420">
        <v>80.53613053613053613053613061</v>
      </c>
      <c r="E15" s="91">
        <v>75.664606448730359669372254150</v>
      </c>
      <c r="F15" s="421">
        <v>55.228386242745639311975849790</v>
      </c>
      <c r="G15" s="420">
        <v>9.731934731934731934731934740</v>
      </c>
      <c r="H15" s="91">
        <v>9.606076401816963288405689190</v>
      </c>
      <c r="I15" s="421">
        <v>15.639554124189812012171989910</v>
      </c>
      <c r="J15" s="420">
        <v>0</v>
      </c>
      <c r="K15" s="91">
        <v>0</v>
      </c>
      <c r="L15" s="421">
        <v>7.2022987949084275693956784700</v>
      </c>
      <c r="M15" s="420">
        <v>90.26806526806526806526806527</v>
      </c>
      <c r="N15" s="91">
        <v>85.26323627969320128081018691</v>
      </c>
      <c r="O15" s="421">
        <v>78.074274967511764373521886170</v>
      </c>
      <c r="P15" s="184"/>
      <c r="Q15" s="420">
        <v>6.6358024691012445701874827200</v>
      </c>
      <c r="R15" s="91">
        <v>4.6554743021465954327050872900</v>
      </c>
      <c r="S15" s="421">
        <v>-2.2458681132218191973420555100</v>
      </c>
      <c r="T15" s="420">
        <v>-11.640211640323843117493768590</v>
      </c>
      <c r="U15" s="91">
        <v>1.4948859164794034570128131600</v>
      </c>
      <c r="V15" s="421">
        <v>8.664019610502398976350168460</v>
      </c>
      <c r="W15" s="420">
        <v>0</v>
      </c>
      <c r="X15" s="91">
        <v>-100</v>
      </c>
      <c r="Y15" s="421">
        <v>8.652937296487418016527284560</v>
      </c>
      <c r="Z15" s="420">
        <v>4.3097643097179498690610007800</v>
      </c>
      <c r="AA15" s="91">
        <v>3.3673377268286295829885937700</v>
      </c>
      <c r="AB15" s="421">
        <v>0.7169086345514077829113345900</v>
      </c>
    </row>
    <row r="16" ht="18" customHeight="1">
      <c r="A16" s="58"/>
      <c r="B16" s="1044" t="s">
        <v>75</v>
      </c>
      <c r="C16" s="1044"/>
      <c r="D16" s="430">
        <v>74.790209790209790209790209840</v>
      </c>
      <c r="E16" s="431">
        <v>68.463772432794698041551865430</v>
      </c>
      <c r="F16" s="432">
        <v>51.145635462724208450203293160</v>
      </c>
      <c r="G16" s="430">
        <v>8.286713286713286713286713290</v>
      </c>
      <c r="H16" s="431">
        <v>11.643458187504654106783826060</v>
      </c>
      <c r="I16" s="432">
        <v>14.299709812226685958630055060</v>
      </c>
      <c r="J16" s="430">
        <v>0</v>
      </c>
      <c r="K16" s="431">
        <v>0</v>
      </c>
      <c r="L16" s="432">
        <v>6.9659615400160047852691309800</v>
      </c>
      <c r="M16" s="430">
        <v>83.07692307692307692307692308</v>
      </c>
      <c r="N16" s="431">
        <v>80.10425199195770347754858887</v>
      </c>
      <c r="O16" s="432">
        <v>72.413731782431919038419567870</v>
      </c>
      <c r="P16" s="5"/>
      <c r="Q16" s="430">
        <v>-1.8807339449847344499621147900</v>
      </c>
      <c r="R16" s="431">
        <v>1.3604392212143280939485416800</v>
      </c>
      <c r="S16" s="432">
        <v>-2.6035833930236039057841197500</v>
      </c>
      <c r="T16" s="430">
        <v>1.426533523080587951593531200</v>
      </c>
      <c r="U16" s="431">
        <v>15.309734513148652074033603580</v>
      </c>
      <c r="V16" s="432">
        <v>8.053646137153694864399778420</v>
      </c>
      <c r="W16" s="430">
        <v>0</v>
      </c>
      <c r="X16" s="431">
        <v>-100</v>
      </c>
      <c r="Y16" s="432">
        <v>4.53518551387528666181465700</v>
      </c>
      <c r="Z16" s="629">
        <v>-1.5605579339410681792316973900</v>
      </c>
      <c r="AA16" s="214">
        <v>2.1266091976296318017457405700</v>
      </c>
      <c r="AB16" s="630">
        <v>0.0044659075981984617555106700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82.28438228438228438228438236</v>
      </c>
      <c r="E18" s="480">
        <v>81.81547397423486484473899777</v>
      </c>
      <c r="F18" s="481">
        <v>63.159551541274184565464803800</v>
      </c>
      <c r="G18" s="479">
        <v>6.0606060606060606060606060700</v>
      </c>
      <c r="H18" s="480">
        <v>10.090103507334872291309851820</v>
      </c>
      <c r="I18" s="481">
        <v>14.587823167138855929809267840</v>
      </c>
      <c r="J18" s="479">
        <v>0</v>
      </c>
      <c r="K18" s="480">
        <v>0</v>
      </c>
      <c r="L18" s="481">
        <v>7.3241801260785690647423945300</v>
      </c>
      <c r="M18" s="479">
        <v>88.34498834498834498834498834</v>
      </c>
      <c r="N18" s="480">
        <v>91.90557748156973713604884950</v>
      </c>
      <c r="O18" s="481">
        <v>85.07074767335803246402079247</v>
      </c>
      <c r="P18" s="184"/>
      <c r="Q18" s="479">
        <v>4.2066420664258937650631122400</v>
      </c>
      <c r="R18" s="480">
        <v>6.0009647852956851197569615800</v>
      </c>
      <c r="S18" s="481">
        <v>-2.2087902521220323091346030900</v>
      </c>
      <c r="T18" s="479">
        <v>-36.969696969797818181818020360</v>
      </c>
      <c r="U18" s="480">
        <v>20.551601423959454667495926770</v>
      </c>
      <c r="V18" s="481">
        <v>18.889059730840174755560551630</v>
      </c>
      <c r="W18" s="479">
        <v>0</v>
      </c>
      <c r="X18" s="480">
        <v>-100</v>
      </c>
      <c r="Y18" s="481">
        <v>5.9117270662114301065275513600</v>
      </c>
      <c r="Z18" s="479">
        <v>-0.2631578947497029085872559600</v>
      </c>
      <c r="AA18" s="480">
        <v>6.3232253618740803206847812500</v>
      </c>
      <c r="AB18" s="481">
        <v>1.5528007379322143085909015500</v>
      </c>
    </row>
    <row r="19" ht="18" customHeight="1">
      <c r="A19" s="58"/>
      <c r="B19" s="1046" t="s">
        <v>51</v>
      </c>
      <c r="C19" s="1046"/>
      <c r="D19" s="271">
        <v>87.23776223776223776223776231</v>
      </c>
      <c r="E19" s="92">
        <v>82.64204333904237098815995242</v>
      </c>
      <c r="F19" s="272">
        <v>66.295372545221202508656803220</v>
      </c>
      <c r="G19" s="271">
        <v>4.3706293706293706293706293700</v>
      </c>
      <c r="H19" s="92">
        <v>12.003872216844143272023233310</v>
      </c>
      <c r="I19" s="272">
        <v>13.066324430346029977964501070</v>
      </c>
      <c r="J19" s="271">
        <v>0</v>
      </c>
      <c r="K19" s="92">
        <v>0</v>
      </c>
      <c r="L19" s="272">
        <v>7.4307253957107457361713118900</v>
      </c>
      <c r="M19" s="271">
        <v>91.60839160839160839160839161</v>
      </c>
      <c r="N19" s="92">
        <v>94.64591555588651426018318564</v>
      </c>
      <c r="O19" s="272">
        <v>86.79484385467870951077963694</v>
      </c>
      <c r="P19" s="5"/>
      <c r="Q19" s="271">
        <v>7.1581961345167112879680612900</v>
      </c>
      <c r="R19" s="92">
        <v>2.5598373532317291449528547100</v>
      </c>
      <c r="S19" s="272">
        <v>-0.3480862090364730944813798700</v>
      </c>
      <c r="T19" s="271">
        <v>-31.192660550660718794713656620</v>
      </c>
      <c r="U19" s="92">
        <v>52.651515150592881944450016600</v>
      </c>
      <c r="V19" s="272">
        <v>21.136437801258831622866465230</v>
      </c>
      <c r="W19" s="271">
        <v>0</v>
      </c>
      <c r="X19" s="92">
        <v>-100</v>
      </c>
      <c r="Y19" s="272">
        <v>8.005858378766949440642028900</v>
      </c>
      <c r="Z19" s="271">
        <v>4.3824701195668259233980606300</v>
      </c>
      <c r="AA19" s="92">
        <v>6.1023457717952929229791912600</v>
      </c>
      <c r="AB19" s="272">
        <v>3.0879346786246479832003555700</v>
      </c>
    </row>
    <row r="20" ht="18" customHeight="1">
      <c r="A20" s="58"/>
      <c r="B20" s="1047" t="s">
        <v>76</v>
      </c>
      <c r="C20" s="1047"/>
      <c r="D20" s="273">
        <v>84.76107226107226107226107233</v>
      </c>
      <c r="E20" s="274">
        <v>82.22875865663861791644947510</v>
      </c>
      <c r="F20" s="275">
        <v>64.727462043247693537060803520</v>
      </c>
      <c r="G20" s="273">
        <v>5.2156177156177156177156177200</v>
      </c>
      <c r="H20" s="274">
        <v>11.046987862089507781666542570</v>
      </c>
      <c r="I20" s="275">
        <v>13.827073798742442953886884450</v>
      </c>
      <c r="J20" s="273">
        <v>0</v>
      </c>
      <c r="K20" s="274">
        <v>0</v>
      </c>
      <c r="L20" s="275">
        <v>7.3774527608946574004568532100</v>
      </c>
      <c r="M20" s="273">
        <v>89.97668997668997668997668998</v>
      </c>
      <c r="N20" s="274">
        <v>93.27574651872812569811601757</v>
      </c>
      <c r="O20" s="275">
        <v>85.93279576401837098740021470</v>
      </c>
      <c r="P20" s="184"/>
      <c r="Q20" s="273">
        <v>5.7049418604389973254123916100</v>
      </c>
      <c r="R20" s="274">
        <v>4.2433682620742872671802571600</v>
      </c>
      <c r="S20" s="275">
        <v>-1.2642666050624652585842753500</v>
      </c>
      <c r="T20" s="273">
        <v>-34.671532846854568703713273420</v>
      </c>
      <c r="U20" s="274">
        <v>36.100917431069045955727744790</v>
      </c>
      <c r="V20" s="275">
        <v>19.938328763437280066171889810</v>
      </c>
      <c r="W20" s="273">
        <v>0</v>
      </c>
      <c r="X20" s="274">
        <v>-100</v>
      </c>
      <c r="Y20" s="275">
        <v>6.956028045448474831293600300</v>
      </c>
      <c r="Z20" s="273">
        <v>2.0489094513783906736462186800</v>
      </c>
      <c r="AA20" s="274">
        <v>6.2110484588774962866716303200</v>
      </c>
      <c r="AB20" s="275">
        <v>2.3223806851432425989399209200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77.630702630702630702630702630</v>
      </c>
      <c r="E22" s="469">
        <v>72.388115272916821803559460870</v>
      </c>
      <c r="F22" s="470">
        <v>55.018148020879624024611330280</v>
      </c>
      <c r="G22" s="468">
        <v>7.4092574092574092574092574100</v>
      </c>
      <c r="H22" s="469">
        <v>11.483676052891928980989968410</v>
      </c>
      <c r="I22" s="470">
        <v>14.169572016725877466803559590</v>
      </c>
      <c r="J22" s="468">
        <v>0</v>
      </c>
      <c r="K22" s="469">
        <v>0</v>
      </c>
      <c r="L22" s="470">
        <v>7.0916460824364678349635704900</v>
      </c>
      <c r="M22" s="468">
        <v>85.03996003996003996003996004</v>
      </c>
      <c r="N22" s="469">
        <v>83.87179132580875078454942927</v>
      </c>
      <c r="O22" s="470">
        <v>76.279366120041969326378460360</v>
      </c>
      <c r="P22" s="184"/>
      <c r="Q22" s="468">
        <v>0.2795999569229811599791620900</v>
      </c>
      <c r="R22" s="469">
        <v>2.2018293507105933907621874100</v>
      </c>
      <c r="S22" s="470">
        <v>-2.1439130267425225041273390300</v>
      </c>
      <c r="T22" s="468">
        <v>-7.867494824497254478348378700</v>
      </c>
      <c r="U22" s="469">
        <v>21.020179372498584540711401800</v>
      </c>
      <c r="V22" s="470">
        <v>11.288057686396981127259450540</v>
      </c>
      <c r="W22" s="468">
        <v>0</v>
      </c>
      <c r="X22" s="469">
        <v>-100</v>
      </c>
      <c r="Y22" s="470">
        <v>4.8982583209129663309896458600</v>
      </c>
      <c r="Z22" s="468">
        <v>-0.487092060387239336349522300</v>
      </c>
      <c r="AA22" s="469">
        <v>3.3966322194620292176839367800</v>
      </c>
      <c r="AB22" s="470">
        <v>0.7435602143675239314698692200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194.19920308161031482017364042</v>
      </c>
      <c r="E25" s="455">
        <v>208.15194085017437153493860629</v>
      </c>
      <c r="F25" s="456">
        <v>201.96287314743317741901336805</v>
      </c>
      <c r="G25" s="454">
        <v>309.94614827444684633879023824</v>
      </c>
      <c r="H25" s="455">
        <v>249.82263092800442968519182677</v>
      </c>
      <c r="I25" s="456">
        <v>252.99273740719528254067876377</v>
      </c>
      <c r="J25" s="454">
        <v>0</v>
      </c>
      <c r="K25" s="455">
        <v>0</v>
      </c>
      <c r="L25" s="456">
        <v>158.98290121909829240743380007</v>
      </c>
      <c r="M25" s="454">
        <v>200.22260247983106259259110051</v>
      </c>
      <c r="N25" s="455">
        <v>213.81359694176066641634487076</v>
      </c>
      <c r="O25" s="456">
        <v>205.18726340726516508321766107</v>
      </c>
      <c r="P25" s="5"/>
      <c r="Q25" s="427">
        <v>-1.5649270016433778984783009400</v>
      </c>
      <c r="R25" s="428">
        <v>4.0875968264585307707893861600</v>
      </c>
      <c r="S25" s="429">
        <v>0.516460370742006445173545100</v>
      </c>
      <c r="T25" s="427">
        <v>-0.3572765251095111343874970100</v>
      </c>
      <c r="U25" s="428">
        <v>-2.0098664380899243789109184600</v>
      </c>
      <c r="V25" s="429">
        <v>-5.3937117973890154787069881400</v>
      </c>
      <c r="W25" s="427">
        <v>0</v>
      </c>
      <c r="X25" s="428">
        <v>-100</v>
      </c>
      <c r="Y25" s="429">
        <v>3.5671954815051552495952460900</v>
      </c>
      <c r="Z25" s="427">
        <v>-2.5487880911452735233308088200</v>
      </c>
      <c r="AA25" s="428">
        <v>3.9546397052998331232000909400</v>
      </c>
      <c r="AB25" s="429">
        <v>0.0040377518272340298163015900</v>
      </c>
    </row>
    <row r="26" ht="18" customHeight="1">
      <c r="A26" s="58"/>
      <c r="B26" s="1043" t="s">
        <v>46</v>
      </c>
      <c r="C26" s="1043"/>
      <c r="D26" s="439">
        <v>187.01758561020073638351660635</v>
      </c>
      <c r="E26" s="95">
        <v>202.80123636078594053640730618</v>
      </c>
      <c r="F26" s="440">
        <v>197.06365873499862780457976719</v>
      </c>
      <c r="G26" s="439">
        <v>227.82709842310276892552115388</v>
      </c>
      <c r="H26" s="95">
        <v>239.71562164996494973462381746</v>
      </c>
      <c r="I26" s="440">
        <v>242.30469580577070821910800228</v>
      </c>
      <c r="J26" s="439">
        <v>0</v>
      </c>
      <c r="K26" s="95">
        <v>0</v>
      </c>
      <c r="L26" s="440">
        <v>156.29439151973557988804074352</v>
      </c>
      <c r="M26" s="439">
        <v>190.10504687919182648594541482</v>
      </c>
      <c r="N26" s="95">
        <v>208.89351667673506566204612655</v>
      </c>
      <c r="O26" s="440">
        <v>202.06328875034795003434470404</v>
      </c>
      <c r="P26" s="5"/>
      <c r="Q26" s="420">
        <v>2.6644393455687575492784394300</v>
      </c>
      <c r="R26" s="91">
        <v>7.2601174332263188020978423100</v>
      </c>
      <c r="S26" s="421">
        <v>-0.3886050461358412887800822900</v>
      </c>
      <c r="T26" s="420">
        <v>25.026614687614093206657653490</v>
      </c>
      <c r="U26" s="91">
        <v>9.999969582307615015942936500</v>
      </c>
      <c r="V26" s="421">
        <v>-3.1699666326059688310788050400</v>
      </c>
      <c r="W26" s="420">
        <v>0</v>
      </c>
      <c r="X26" s="91">
        <v>-100</v>
      </c>
      <c r="Y26" s="421">
        <v>2.4600155854930889100454716800</v>
      </c>
      <c r="Z26" s="420">
        <v>4.3565545080079234753597570700</v>
      </c>
      <c r="AA26" s="91">
        <v>8.410112359628535135562763140</v>
      </c>
      <c r="AB26" s="421">
        <v>-0.7264171933621744343461390400</v>
      </c>
    </row>
    <row r="27" ht="18" customHeight="1">
      <c r="A27" s="58"/>
      <c r="B27" s="1043" t="s">
        <v>47</v>
      </c>
      <c r="C27" s="1043"/>
      <c r="D27" s="439">
        <v>198.58981794264406497289192139</v>
      </c>
      <c r="E27" s="95">
        <v>207.85146441352434828734169198</v>
      </c>
      <c r="F27" s="440">
        <v>209.40698155532095403291661828</v>
      </c>
      <c r="G27" s="439">
        <v>221.88718816994063015596981665</v>
      </c>
      <c r="H27" s="95">
        <v>241.15454294407325355210099658</v>
      </c>
      <c r="I27" s="440">
        <v>239.28874481624901061076012697</v>
      </c>
      <c r="J27" s="439">
        <v>0</v>
      </c>
      <c r="K27" s="95">
        <v>0</v>
      </c>
      <c r="L27" s="440">
        <v>151.20275027954884196705273614</v>
      </c>
      <c r="M27" s="439">
        <v>201.40334424402597711576730784</v>
      </c>
      <c r="N27" s="95">
        <v>213.26506312944071994412431463</v>
      </c>
      <c r="O27" s="440">
        <v>210.03706596218625669967702127</v>
      </c>
      <c r="P27" s="93"/>
      <c r="Q27" s="420">
        <v>10.252255674283829953319561960</v>
      </c>
      <c r="R27" s="91">
        <v>8.039082756243798733692960150</v>
      </c>
      <c r="S27" s="421">
        <v>3.5877416742348298883003033300</v>
      </c>
      <c r="T27" s="420">
        <v>22.654387109038189570903706830</v>
      </c>
      <c r="U27" s="91">
        <v>9.534155036260060164165235390</v>
      </c>
      <c r="V27" s="421">
        <v>-3.6240608690759831122159709600</v>
      </c>
      <c r="W27" s="420">
        <v>0</v>
      </c>
      <c r="X27" s="91">
        <v>-100</v>
      </c>
      <c r="Y27" s="421">
        <v>3.3748311480619577828249008700</v>
      </c>
      <c r="Z27" s="420">
        <v>11.764359438462753349444074540</v>
      </c>
      <c r="AA27" s="91">
        <v>8.698709592638549428099029860</v>
      </c>
      <c r="AB27" s="421">
        <v>1.6439100842242650492570126500</v>
      </c>
    </row>
    <row r="28" ht="18" customHeight="1">
      <c r="A28" s="58"/>
      <c r="B28" s="1043" t="s">
        <v>48</v>
      </c>
      <c r="C28" s="1043"/>
      <c r="D28" s="439">
        <v>187.45235093295501952666274026</v>
      </c>
      <c r="E28" s="95">
        <v>204.83490937757525682680629642</v>
      </c>
      <c r="F28" s="440">
        <v>204.47853966024916318657781447</v>
      </c>
      <c r="G28" s="439">
        <v>227.04679384827042617649768039</v>
      </c>
      <c r="H28" s="95">
        <v>236.39631843438100535215793799</v>
      </c>
      <c r="I28" s="440">
        <v>241.59649451150730140656678148</v>
      </c>
      <c r="J28" s="439">
        <v>0</v>
      </c>
      <c r="K28" s="95">
        <v>0</v>
      </c>
      <c r="L28" s="440">
        <v>155.53392569449452858714168531</v>
      </c>
      <c r="M28" s="439">
        <v>192.99665475647937633213826126</v>
      </c>
      <c r="N28" s="95">
        <v>209.71920804327476564979818788</v>
      </c>
      <c r="O28" s="440">
        <v>208.34183428103791352981029273</v>
      </c>
      <c r="P28" s="5"/>
      <c r="Q28" s="420">
        <v>3.6147359504901315956567861100</v>
      </c>
      <c r="R28" s="91">
        <v>5.6061983835121913935922097500</v>
      </c>
      <c r="S28" s="421">
        <v>0.4141455878973279191489922800</v>
      </c>
      <c r="T28" s="420">
        <v>18.389872723149669544308229660</v>
      </c>
      <c r="U28" s="91">
        <v>3.8358816199982138525562588100</v>
      </c>
      <c r="V28" s="421">
        <v>0.8244956701204548918934562400</v>
      </c>
      <c r="W28" s="420">
        <v>0</v>
      </c>
      <c r="X28" s="91">
        <v>-100</v>
      </c>
      <c r="Y28" s="421">
        <v>2.9594218321780340183941674900</v>
      </c>
      <c r="Z28" s="420">
        <v>6.0513016899485961731306610800</v>
      </c>
      <c r="AA28" s="91">
        <v>5.7006658242426897853493926900</v>
      </c>
      <c r="AB28" s="421">
        <v>1.247248034237196359216826500</v>
      </c>
    </row>
    <row r="29" ht="18" customHeight="1">
      <c r="A29" s="58"/>
      <c r="B29" s="1043" t="s">
        <v>49</v>
      </c>
      <c r="C29" s="1043"/>
      <c r="D29" s="439">
        <v>197.19669735953269387756311572</v>
      </c>
      <c r="E29" s="95">
        <v>209.86920548857118438408793434</v>
      </c>
      <c r="F29" s="440">
        <v>212.14507002582321454090174954</v>
      </c>
      <c r="G29" s="439">
        <v>252.05404489287055576100508264</v>
      </c>
      <c r="H29" s="95">
        <v>239.69717247937833716916944328</v>
      </c>
      <c r="I29" s="440">
        <v>248.7439951039545482590540245</v>
      </c>
      <c r="J29" s="439">
        <v>0</v>
      </c>
      <c r="K29" s="95">
        <v>0</v>
      </c>
      <c r="L29" s="440">
        <v>154.96291287631641809123784867</v>
      </c>
      <c r="M29" s="439">
        <v>203.11094980502489719230476096</v>
      </c>
      <c r="N29" s="95">
        <v>213.24806545570042440829223429</v>
      </c>
      <c r="O29" s="440">
        <v>214.1904519638414975573280109</v>
      </c>
      <c r="P29" s="93"/>
      <c r="Q29" s="420">
        <v>-6.5802624170563889082652194700</v>
      </c>
      <c r="R29" s="91">
        <v>-3.6475548122666940966206154500</v>
      </c>
      <c r="S29" s="421">
        <v>-1.473226747301293308864039700</v>
      </c>
      <c r="T29" s="420">
        <v>-0.9395900365393522418489446300</v>
      </c>
      <c r="U29" s="91">
        <v>-5.7309467995591569429914595300</v>
      </c>
      <c r="V29" s="421">
        <v>4.8209690895742650634552419900</v>
      </c>
      <c r="W29" s="420">
        <v>0</v>
      </c>
      <c r="X29" s="91">
        <v>-100</v>
      </c>
      <c r="Y29" s="421">
        <v>3.3374963720977810074652287400</v>
      </c>
      <c r="Z29" s="420">
        <v>-6.2298195920455409305978226300</v>
      </c>
      <c r="AA29" s="91">
        <v>-3.7622454879817609763867712900</v>
      </c>
      <c r="AB29" s="421">
        <v>0.1777622602540942313226030500</v>
      </c>
    </row>
    <row r="30" ht="18" customHeight="1">
      <c r="A30" s="58"/>
      <c r="B30" s="1044" t="s">
        <v>75</v>
      </c>
      <c r="C30" s="1044"/>
      <c r="D30" s="457">
        <v>192.95696035467975365051381166</v>
      </c>
      <c r="E30" s="458">
        <v>206.82680772795950584982456039</v>
      </c>
      <c r="F30" s="459">
        <v>205.21579001246550750131527335</v>
      </c>
      <c r="G30" s="457">
        <v>240.46929537119202505541074174</v>
      </c>
      <c r="H30" s="458">
        <v>241.23557771244371818258221364</v>
      </c>
      <c r="I30" s="459">
        <v>244.45787094212828470460010403</v>
      </c>
      <c r="J30" s="457">
        <v>0</v>
      </c>
      <c r="K30" s="458">
        <v>0</v>
      </c>
      <c r="L30" s="459">
        <v>155.39259097386462685382255262</v>
      </c>
      <c r="M30" s="457">
        <v>197.69619579193287163155782363</v>
      </c>
      <c r="N30" s="458">
        <v>211.83594425705915057204221896</v>
      </c>
      <c r="O30" s="459">
        <v>208.16531677413373239366316019</v>
      </c>
      <c r="P30" s="5"/>
      <c r="Q30" s="430">
        <v>1.4197609147286692997353568700</v>
      </c>
      <c r="R30" s="431">
        <v>3.8854353858139606340195282100</v>
      </c>
      <c r="S30" s="432">
        <v>0.475877136299521452615504100</v>
      </c>
      <c r="T30" s="430">
        <v>8.370489059843943457984627500</v>
      </c>
      <c r="U30" s="431">
        <v>3.1731720478467037925023403400</v>
      </c>
      <c r="V30" s="432">
        <v>-1.0518048578083094460924086100</v>
      </c>
      <c r="W30" s="430">
        <v>0</v>
      </c>
      <c r="X30" s="431">
        <v>-100</v>
      </c>
      <c r="Y30" s="432">
        <v>3.1360085626456175993659249300</v>
      </c>
      <c r="Z30" s="430">
        <v>2.2643278159730638437320265500</v>
      </c>
      <c r="AA30" s="431">
        <v>4.2299613546326430867925292200</v>
      </c>
      <c r="AB30" s="432">
        <v>0.4960145074487672523938808700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272.73644338446652118575886378</v>
      </c>
      <c r="E32" s="494">
        <v>268.94670329572250809149767418</v>
      </c>
      <c r="F32" s="495">
        <v>248.54348764731309976963302695</v>
      </c>
      <c r="G32" s="493">
        <v>361.62031938402974154344229037</v>
      </c>
      <c r="H32" s="494">
        <v>262.63615583156809450075405759</v>
      </c>
      <c r="I32" s="495">
        <v>255.84635846815945055937293997</v>
      </c>
      <c r="J32" s="493">
        <v>0</v>
      </c>
      <c r="K32" s="494">
        <v>0</v>
      </c>
      <c r="L32" s="495">
        <v>155.28602185564566805211920623</v>
      </c>
      <c r="M32" s="493">
        <v>278.83401799129671572216986402</v>
      </c>
      <c r="N32" s="494">
        <v>268.25388269825619546668341393</v>
      </c>
      <c r="O32" s="495">
        <v>241.76911583877581750309304568</v>
      </c>
      <c r="P32" s="93"/>
      <c r="Q32" s="479">
        <v>-1.4923398580873192545682386700</v>
      </c>
      <c r="R32" s="480">
        <v>-0.4847361150674138178049060100</v>
      </c>
      <c r="S32" s="481">
        <v>0.6052290791972328830047694700</v>
      </c>
      <c r="T32" s="479">
        <v>8.752899004059004319898061880</v>
      </c>
      <c r="U32" s="480">
        <v>-13.489288376169228280770301780</v>
      </c>
      <c r="V32" s="481">
        <v>4.8148477189743995811593256100</v>
      </c>
      <c r="W32" s="479">
        <v>0</v>
      </c>
      <c r="X32" s="480">
        <v>-100</v>
      </c>
      <c r="Y32" s="481">
        <v>2.2820103516595779296126506600</v>
      </c>
      <c r="Z32" s="479">
        <v>-1.4403584649064075647561685700</v>
      </c>
      <c r="AA32" s="480">
        <v>-1.5463002311421704776480804300</v>
      </c>
      <c r="AB32" s="481">
        <v>1.2606627649148730075581297800</v>
      </c>
    </row>
    <row r="33" ht="18" customHeight="1">
      <c r="A33" s="58"/>
      <c r="B33" s="1046" t="s">
        <v>51</v>
      </c>
      <c r="C33" s="1046"/>
      <c r="D33" s="276">
        <v>282.00680871036567774790627025</v>
      </c>
      <c r="E33" s="94">
        <v>278.91570016215639710644147837</v>
      </c>
      <c r="F33" s="277">
        <v>252.33957654929793077310063982</v>
      </c>
      <c r="G33" s="276">
        <v>390.99936641172333849107510056</v>
      </c>
      <c r="H33" s="94">
        <v>267.24742650640624553042369257</v>
      </c>
      <c r="I33" s="277">
        <v>262.44359739515111554639796134</v>
      </c>
      <c r="J33" s="276">
        <v>0</v>
      </c>
      <c r="K33" s="94">
        <v>0</v>
      </c>
      <c r="L33" s="277">
        <v>156.36993481086834602591849044</v>
      </c>
      <c r="M33" s="276">
        <v>287.20683531825487911924066101</v>
      </c>
      <c r="N33" s="94">
        <v>277.43582155215881690655629577</v>
      </c>
      <c r="O33" s="277">
        <v>245.63741948648851492218563738</v>
      </c>
      <c r="P33" s="5"/>
      <c r="Q33" s="271">
        <v>1.0862754062342749979859018700</v>
      </c>
      <c r="R33" s="92">
        <v>3.1070787988846423790125397600</v>
      </c>
      <c r="S33" s="272">
        <v>1.2106507663951531155647075600</v>
      </c>
      <c r="T33" s="271">
        <v>0.0024988103558802459809942400</v>
      </c>
      <c r="U33" s="92">
        <v>-11.017999759129600979213654580</v>
      </c>
      <c r="V33" s="272">
        <v>5.9342711522087403084692836500</v>
      </c>
      <c r="W33" s="271">
        <v>0</v>
      </c>
      <c r="X33" s="92">
        <v>-100</v>
      </c>
      <c r="Y33" s="272">
        <v>2.8638285237764673377435412200</v>
      </c>
      <c r="Z33" s="271">
        <v>0.0429415926201015674900019700</v>
      </c>
      <c r="AA33" s="92">
        <v>1.9055643581110607394054857700</v>
      </c>
      <c r="AB33" s="272">
        <v>1.855425024194354567356132800</v>
      </c>
    </row>
    <row r="34" ht="18" customHeight="1">
      <c r="A34" s="58"/>
      <c r="B34" s="1047" t="s">
        <v>76</v>
      </c>
      <c r="C34" s="1047"/>
      <c r="D34" s="443">
        <v>277.50706452330152887690175394</v>
      </c>
      <c r="E34" s="444">
        <v>273.95625399636472227704652358</v>
      </c>
      <c r="F34" s="445">
        <v>250.48750893308292643230181926</v>
      </c>
      <c r="G34" s="443">
        <v>373.92997595987901400753424994</v>
      </c>
      <c r="H34" s="444">
        <v>265.14150410519097938778723979</v>
      </c>
      <c r="I34" s="445">
        <v>258.96349176112057465995263834</v>
      </c>
      <c r="J34" s="443">
        <v>0</v>
      </c>
      <c r="K34" s="444">
        <v>0</v>
      </c>
      <c r="L34" s="445">
        <v>155.83189180453953968378201862</v>
      </c>
      <c r="M34" s="633">
        <v>283.09634598286997765876160395</v>
      </c>
      <c r="N34" s="634">
        <v>272.91229092247391534935882222</v>
      </c>
      <c r="O34" s="635">
        <v>243.72267040487950641930076797</v>
      </c>
      <c r="P34" s="93"/>
      <c r="Q34" s="273">
        <v>-0.1551890457696413526231160300</v>
      </c>
      <c r="R34" s="274">
        <v>1.3202560265137505287058909700</v>
      </c>
      <c r="S34" s="275">
        <v>0.921137119123361534811414500</v>
      </c>
      <c r="T34" s="273">
        <v>5.1023071687218563786280420100</v>
      </c>
      <c r="U34" s="274">
        <v>-12.208887450124358805353685940</v>
      </c>
      <c r="V34" s="275">
        <v>5.3554130048404572401263191700</v>
      </c>
      <c r="W34" s="273">
        <v>0</v>
      </c>
      <c r="X34" s="274">
        <v>-100</v>
      </c>
      <c r="Y34" s="275">
        <v>2.5758692847249654765027471500</v>
      </c>
      <c r="Z34" s="273">
        <v>-0.6632718299106143362492482200</v>
      </c>
      <c r="AA34" s="274">
        <v>0.2043329387876118749506383800</v>
      </c>
      <c r="AB34" s="275">
        <v>1.5664711957954412396822543100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219.24739946380697050938337802</v>
      </c>
      <c r="E36" s="483">
        <v>228.60600764857362541502649866</v>
      </c>
      <c r="F36" s="484">
        <v>219.73795447720721330442029911</v>
      </c>
      <c r="G36" s="482">
        <v>268.42471910112359550561797753</v>
      </c>
      <c r="H36" s="483">
        <v>247.78636475567489683961943916</v>
      </c>
      <c r="I36" s="484">
        <v>250.85767517373621271297943015</v>
      </c>
      <c r="J36" s="482">
        <v>0</v>
      </c>
      <c r="K36" s="483">
        <v>0</v>
      </c>
      <c r="L36" s="484">
        <v>156.33866956617351599075147203</v>
      </c>
      <c r="M36" s="482">
        <v>223.53206069505628976994615761</v>
      </c>
      <c r="N36" s="483">
        <v>231.23217079729078409984526014</v>
      </c>
      <c r="O36" s="484">
        <v>219.62452711986490003692248095</v>
      </c>
      <c r="P36" s="93"/>
      <c r="Q36" s="468">
        <v>1.5070643149539297136425872400</v>
      </c>
      <c r="R36" s="469">
        <v>3.0453284689853521476416427500</v>
      </c>
      <c r="S36" s="470">
        <v>0.7000202052781954950297175700</v>
      </c>
      <c r="T36" s="468">
        <v>2.2151138453210968561162234800</v>
      </c>
      <c r="U36" s="469">
        <v>-0.9458717020497330229192715700</v>
      </c>
      <c r="V36" s="470">
        <v>0.6163536113335564924621592700</v>
      </c>
      <c r="W36" s="468">
        <v>0</v>
      </c>
      <c r="X36" s="469">
        <v>-100</v>
      </c>
      <c r="Y36" s="470">
        <v>2.7849205557143327163370170500</v>
      </c>
      <c r="Z36" s="468">
        <v>1.4307192909344184198899066800</v>
      </c>
      <c r="AA36" s="469">
        <v>2.943008932440530983122025400</v>
      </c>
      <c r="AB36" s="470">
        <v>0.9585220471163341101593378200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152.55275393590367387971682256</v>
      </c>
      <c r="E39" s="455">
        <v>145.99621199402728464424653619</v>
      </c>
      <c r="F39" s="456">
        <v>104.9316466509085927546903475</v>
      </c>
      <c r="G39" s="454">
        <v>13.365976091089199667290488141</v>
      </c>
      <c r="H39" s="455">
        <v>27.439748351984997675601902214</v>
      </c>
      <c r="I39" s="456">
        <v>26.300819435651472776760339307</v>
      </c>
      <c r="J39" s="454">
        <v>0</v>
      </c>
      <c r="K39" s="455">
        <v>0</v>
      </c>
      <c r="L39" s="456">
        <v>11.336055642841626979032065385</v>
      </c>
      <c r="M39" s="454">
        <v>165.91873002699287354700731056</v>
      </c>
      <c r="N39" s="455">
        <v>173.43596034601228231984843825</v>
      </c>
      <c r="O39" s="456">
        <v>142.56852172940169251048275205</v>
      </c>
      <c r="P39" s="5"/>
      <c r="Q39" s="427">
        <v>1.6785275109576431362679646700</v>
      </c>
      <c r="R39" s="428">
        <v>4.2647106783086022448414791100</v>
      </c>
      <c r="S39" s="429">
        <v>-0.410363370789201286796358300</v>
      </c>
      <c r="T39" s="427">
        <v>-26.994440226490980813559792410</v>
      </c>
      <c r="U39" s="428">
        <v>21.254569633852405773934223360</v>
      </c>
      <c r="V39" s="429">
        <v>6.43518448867692750035467800</v>
      </c>
      <c r="W39" s="427">
        <v>0</v>
      </c>
      <c r="X39" s="428">
        <v>-100</v>
      </c>
      <c r="Y39" s="429">
        <v>8.340734032701162755937043330</v>
      </c>
      <c r="Z39" s="427">
        <v>-1.439812706663006868676258600</v>
      </c>
      <c r="AA39" s="428">
        <v>5.6125620508745413044780862100</v>
      </c>
      <c r="AB39" s="429">
        <v>1.4448186326247541238770714200</v>
      </c>
    </row>
    <row r="40" ht="18" customHeight="1">
      <c r="A40" s="58"/>
      <c r="B40" s="1043" t="s">
        <v>46</v>
      </c>
      <c r="C40" s="1043"/>
      <c r="D40" s="439">
        <v>134.48700503670612394945191867</v>
      </c>
      <c r="E40" s="95">
        <v>129.04434914758476892423862037</v>
      </c>
      <c r="F40" s="440">
        <v>93.49958144091311886642879772</v>
      </c>
      <c r="G40" s="439">
        <v>13.409403811616188613914706621</v>
      </c>
      <c r="H40" s="95">
        <v>30.149652614996708623261570339</v>
      </c>
      <c r="I40" s="440">
        <v>32.943249712416360623251960268</v>
      </c>
      <c r="J40" s="439">
        <v>0</v>
      </c>
      <c r="K40" s="95">
        <v>0</v>
      </c>
      <c r="L40" s="440">
        <v>10.565871501354419506653136642</v>
      </c>
      <c r="M40" s="439">
        <v>147.89640884832231256336662516</v>
      </c>
      <c r="N40" s="95">
        <v>159.19400176258147754750019057</v>
      </c>
      <c r="O40" s="440">
        <v>137.0087026546838989963338945</v>
      </c>
      <c r="P40" s="5"/>
      <c r="Q40" s="420">
        <v>-5.0315456128518592981549458900</v>
      </c>
      <c r="R40" s="91">
        <v>7.2852280775838230486096544900</v>
      </c>
      <c r="S40" s="421">
        <v>-2.9167431907771071375230539400</v>
      </c>
      <c r="T40" s="420">
        <v>6.1150259115682870737974015900</v>
      </c>
      <c r="U40" s="91">
        <v>36.010211291645402697310496110</v>
      </c>
      <c r="V40" s="421">
        <v>1.8870977781725398673915729300</v>
      </c>
      <c r="W40" s="420">
        <v>0</v>
      </c>
      <c r="X40" s="91">
        <v>-100</v>
      </c>
      <c r="Y40" s="421">
        <v>8.503093164652907417699293660</v>
      </c>
      <c r="Z40" s="420">
        <v>-4.1183755897140960922652636900</v>
      </c>
      <c r="AA40" s="91">
        <v>10.460881111921835114749326600</v>
      </c>
      <c r="AB40" s="421">
        <v>-0.9906810068145741665831675400</v>
      </c>
    </row>
    <row r="41" ht="18" customHeight="1">
      <c r="A41" s="58"/>
      <c r="B41" s="1043" t="s">
        <v>47</v>
      </c>
      <c r="C41" s="1043"/>
      <c r="D41" s="439">
        <v>138.17962856848310814547374962</v>
      </c>
      <c r="E41" s="95">
        <v>136.22017561273570550874184473</v>
      </c>
      <c r="F41" s="440">
        <v>104.43383903133929111109157772</v>
      </c>
      <c r="G41" s="439">
        <v>21.206001666591062555698747064</v>
      </c>
      <c r="H41" s="95">
        <v>30.815488546580512554576313242</v>
      </c>
      <c r="I41" s="440">
        <v>36.467554481866003901823105168</v>
      </c>
      <c r="J41" s="439">
        <v>0</v>
      </c>
      <c r="K41" s="95">
        <v>0</v>
      </c>
      <c r="L41" s="440">
        <v>10.627466547723345724499746677</v>
      </c>
      <c r="M41" s="439">
        <v>159.38563023507417070117249653</v>
      </c>
      <c r="N41" s="95">
        <v>167.03566415931621806331815782</v>
      </c>
      <c r="O41" s="440">
        <v>151.5288600609286407374144294</v>
      </c>
      <c r="P41" s="93"/>
      <c r="Q41" s="420">
        <v>0.0313018807776096333398269100</v>
      </c>
      <c r="R41" s="91">
        <v>8.992660171644610739428587140</v>
      </c>
      <c r="S41" s="421">
        <v>1.0870948048948526414111927200</v>
      </c>
      <c r="T41" s="420">
        <v>33.214036330269549363571940810</v>
      </c>
      <c r="U41" s="91">
        <v>24.559715070829173969942563960</v>
      </c>
      <c r="V41" s="421">
        <v>-3.1535770192130890165313765200</v>
      </c>
      <c r="W41" s="420">
        <v>0</v>
      </c>
      <c r="X41" s="91">
        <v>-100</v>
      </c>
      <c r="Y41" s="421">
        <v>9.113891436703206718200746010</v>
      </c>
      <c r="Z41" s="420">
        <v>3.4601227793836215396236929600</v>
      </c>
      <c r="AA41" s="91">
        <v>10.698395381008861107987658280</v>
      </c>
      <c r="AB41" s="421">
        <v>0.546283293338250988934217100</v>
      </c>
    </row>
    <row r="42" ht="18" customHeight="1">
      <c r="A42" s="58"/>
      <c r="B42" s="1043" t="s">
        <v>48</v>
      </c>
      <c r="C42" s="1043"/>
      <c r="D42" s="439">
        <v>137.53060013088016875528460967</v>
      </c>
      <c r="E42" s="95">
        <v>137.94972972006781016766968103</v>
      </c>
      <c r="F42" s="440">
        <v>104.72622675902431407898365144</v>
      </c>
      <c r="G42" s="439">
        <v>27.123888542479858605001179791</v>
      </c>
      <c r="H42" s="95">
        <v>29.010435086742117567976489849</v>
      </c>
      <c r="I42" s="440">
        <v>40.135075021703352367843415555</v>
      </c>
      <c r="J42" s="439">
        <v>0</v>
      </c>
      <c r="K42" s="95">
        <v>0</v>
      </c>
      <c r="L42" s="440">
        <v>10.43338625596863551471812267</v>
      </c>
      <c r="M42" s="439">
        <v>164.65448867336002736028578933</v>
      </c>
      <c r="N42" s="95">
        <v>166.96016480680992773564617072</v>
      </c>
      <c r="O42" s="440">
        <v>155.2946880366963019615451895</v>
      </c>
      <c r="P42" s="5"/>
      <c r="Q42" s="420">
        <v>1.2032215373309405311253008700</v>
      </c>
      <c r="R42" s="91">
        <v>6.4299596813656075412659864100</v>
      </c>
      <c r="S42" s="421">
        <v>-4.4805060181357506900218345100</v>
      </c>
      <c r="T42" s="420">
        <v>72.127119916368695313882428050</v>
      </c>
      <c r="U42" s="91">
        <v>18.669578994514656893237048750</v>
      </c>
      <c r="V42" s="421">
        <v>15.934584326916165259394024550</v>
      </c>
      <c r="W42" s="420">
        <v>0</v>
      </c>
      <c r="X42" s="91">
        <v>-100</v>
      </c>
      <c r="Y42" s="421">
        <v>1.1034986907249836639374769800</v>
      </c>
      <c r="Z42" s="420">
        <v>8.572801170748293277163858250</v>
      </c>
      <c r="AA42" s="91">
        <v>7.674684928727260403928451100</v>
      </c>
      <c r="AB42" s="421">
        <v>0.46440464740759018271424400</v>
      </c>
    </row>
    <row r="43" ht="18" customHeight="1">
      <c r="A43" s="58"/>
      <c r="B43" s="1043" t="s">
        <v>49</v>
      </c>
      <c r="C43" s="1043"/>
      <c r="D43" s="439">
        <v>158.81458959841152851910968891</v>
      </c>
      <c r="E43" s="95">
        <v>158.79670839000460231787307341</v>
      </c>
      <c r="F43" s="440">
        <v>117.16429866880485110728075827</v>
      </c>
      <c r="G43" s="439">
        <v>24.529735138175631009375203285</v>
      </c>
      <c r="H43" s="95">
        <v>23.02549352136406694081678324</v>
      </c>
      <c r="I43" s="440">
        <v>38.902451744955027621598266084</v>
      </c>
      <c r="J43" s="439">
        <v>0</v>
      </c>
      <c r="K43" s="95">
        <v>0</v>
      </c>
      <c r="L43" s="440">
        <v>11.160892006645933914716285485</v>
      </c>
      <c r="M43" s="439">
        <v>183.34432473658715952848489203</v>
      </c>
      <c r="N43" s="95">
        <v>181.82220191136866925868985647</v>
      </c>
      <c r="O43" s="440">
        <v>167.22764242040581264359530967</v>
      </c>
      <c r="P43" s="93"/>
      <c r="Q43" s="420">
        <v>-0.3811131638248429217014047900</v>
      </c>
      <c r="R43" s="91">
        <v>0.8381085129397675094333859500</v>
      </c>
      <c r="S43" s="421">
        <v>-3.6860081307232523526622438800</v>
      </c>
      <c r="T43" s="420">
        <v>-12.470431408022822836231008460</v>
      </c>
      <c r="U43" s="91">
        <v>-4.3217319995939554825978024400</v>
      </c>
      <c r="V43" s="421">
        <v>13.902678407507994313833401230</v>
      </c>
      <c r="W43" s="420">
        <v>0</v>
      </c>
      <c r="X43" s="91">
        <v>-100</v>
      </c>
      <c r="Y43" s="421">
        <v>12.279225136267195996168335720</v>
      </c>
      <c r="Z43" s="420">
        <v>-2.1885458236138865737178393800</v>
      </c>
      <c r="AA43" s="91">
        <v>-0.5215952728357759038803144900</v>
      </c>
      <c r="AB43" s="421">
        <v>0.8959452878080828475114135400</v>
      </c>
    </row>
    <row r="44" ht="18" customHeight="1">
      <c r="A44" s="58"/>
      <c r="B44" s="1044" t="s">
        <v>75</v>
      </c>
      <c r="C44" s="1044"/>
      <c r="D44" s="457">
        <v>144.31291545407692064980735784</v>
      </c>
      <c r="E44" s="458">
        <v>141.60143497288403431255395115</v>
      </c>
      <c r="F44" s="459">
        <v>104.95891987172520291753269549</v>
      </c>
      <c r="G44" s="457">
        <v>19.927001049990388090256064977</v>
      </c>
      <c r="H44" s="458">
        <v>28.088163624333680672446611781</v>
      </c>
      <c r="I44" s="459">
        <v>34.956766157871966837722782609</v>
      </c>
      <c r="J44" s="457">
        <v>0</v>
      </c>
      <c r="K44" s="458">
        <v>0</v>
      </c>
      <c r="L44" s="459">
        <v>10.824588123273791608811297078</v>
      </c>
      <c r="M44" s="457">
        <v>164.2399165040673087400634227</v>
      </c>
      <c r="N44" s="458">
        <v>169.6895985972177149850005628</v>
      </c>
      <c r="O44" s="459">
        <v>150.74027415287096136406677502</v>
      </c>
      <c r="P44" s="5"/>
      <c r="Q44" s="430">
        <v>-0.487674955678274738404359100</v>
      </c>
      <c r="R44" s="431">
        <v>5.2987335938881618393147296300</v>
      </c>
      <c r="S44" s="432">
        <v>-2.1400961147021552058309904800</v>
      </c>
      <c r="T44" s="430">
        <v>9.91643041604489338540729500</v>
      </c>
      <c r="U44" s="431">
        <v>18.968710777322892586250502450</v>
      </c>
      <c r="V44" s="432">
        <v>6.9171326378173392399449201900</v>
      </c>
      <c r="W44" s="430">
        <v>0</v>
      </c>
      <c r="X44" s="431">
        <v>-100</v>
      </c>
      <c r="Y44" s="432">
        <v>7.8134178827986007178337356600</v>
      </c>
      <c r="Z44" s="430">
        <v>0.6684337346292344123244941100</v>
      </c>
      <c r="AA44" s="431">
        <v>6.4465252994139172930157051500</v>
      </c>
      <c r="AB44" s="432">
        <v>0.5005025665407483868417768900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224.41949770330228899434237529</v>
      </c>
      <c r="E46" s="494">
        <v>220.04002003947451011998547539</v>
      </c>
      <c r="F46" s="495">
        <v>156.97895218308515343224297766</v>
      </c>
      <c r="G46" s="493">
        <v>21.91638299297149948748135095</v>
      </c>
      <c r="H46" s="494">
        <v>26.500259971090533029154944403</v>
      </c>
      <c r="I46" s="495">
        <v>37.322414352899288487134232096</v>
      </c>
      <c r="J46" s="493">
        <v>0</v>
      </c>
      <c r="K46" s="494">
        <v>0</v>
      </c>
      <c r="L46" s="495">
        <v>11.373427951329223203500897391</v>
      </c>
      <c r="M46" s="493">
        <v>246.33588069627378848182372603</v>
      </c>
      <c r="N46" s="494">
        <v>246.54028001056504314914041959</v>
      </c>
      <c r="O46" s="495">
        <v>205.67479448731366512287810696</v>
      </c>
      <c r="P46" s="93"/>
      <c r="Q46" s="479">
        <v>2.651524812054495363393720800</v>
      </c>
      <c r="R46" s="480">
        <v>5.4871398267052271872693482200</v>
      </c>
      <c r="S46" s="481">
        <v>-1.6169294138214477307325656200</v>
      </c>
      <c r="T46" s="479">
        <v>-31.452718203432113158283646300</v>
      </c>
      <c r="U46" s="480">
        <v>4.2900482655175654664998665700</v>
      </c>
      <c r="V46" s="481">
        <v>24.613386911778898893506176430</v>
      </c>
      <c r="W46" s="479">
        <v>0</v>
      </c>
      <c r="X46" s="480">
        <v>-100</v>
      </c>
      <c r="Y46" s="481">
        <v>8.328643642211646674476651630</v>
      </c>
      <c r="Z46" s="479">
        <v>-1.6997259426177196918976423600</v>
      </c>
      <c r="AA46" s="480">
        <v>4.6791490822636942148498283700</v>
      </c>
      <c r="AB46" s="481">
        <v>2.8330390836200763166708418400</v>
      </c>
    </row>
    <row r="47" ht="18" customHeight="1">
      <c r="A47" s="58"/>
      <c r="B47" s="1046" t="s">
        <v>51</v>
      </c>
      <c r="C47" s="1046"/>
      <c r="D47" s="276">
        <v>246.01642927704977831504410661</v>
      </c>
      <c r="E47" s="94">
        <v>230.5016338074027623119582642</v>
      </c>
      <c r="F47" s="277">
        <v>167.28946235239070026166426916</v>
      </c>
      <c r="G47" s="276">
        <v>17.089133147365530528456079585</v>
      </c>
      <c r="H47" s="94">
        <v>32.08003958063346993782433486</v>
      </c>
      <c r="I47" s="277">
        <v>34.291731882321607368292210106</v>
      </c>
      <c r="J47" s="276">
        <v>0</v>
      </c>
      <c r="K47" s="94">
        <v>0</v>
      </c>
      <c r="L47" s="277">
        <v>11.61942045724753205248650527</v>
      </c>
      <c r="M47" s="276">
        <v>263.10556242441530884350018596</v>
      </c>
      <c r="N47" s="94">
        <v>262.5816733880362322497825988</v>
      </c>
      <c r="O47" s="277">
        <v>213.20061469195983968244298434</v>
      </c>
      <c r="P47" s="5"/>
      <c r="Q47" s="271">
        <v>8.322229264936635200288598140</v>
      </c>
      <c r="R47" s="92">
        <v>5.7464523158558818450577904100</v>
      </c>
      <c r="S47" s="272">
        <v>0.8583504489916248003783877100</v>
      </c>
      <c r="T47" s="271">
        <v>-31.190941185432904656513349560</v>
      </c>
      <c r="U47" s="92">
        <v>35.8323715800576883203295900</v>
      </c>
      <c r="V47" s="272">
        <v>28.325002484059122014756428560</v>
      </c>
      <c r="W47" s="271">
        <v>0</v>
      </c>
      <c r="X47" s="92">
        <v>-100</v>
      </c>
      <c r="Y47" s="272">
        <v>11.098960958624604675592602040</v>
      </c>
      <c r="Z47" s="271">
        <v>4.4272936145936691800073532300</v>
      </c>
      <c r="AA47" s="92">
        <v>8.124194255910260218466820090</v>
      </c>
      <c r="AB47" s="272">
        <v>5.0006540155992997885440705500</v>
      </c>
    </row>
    <row r="48" ht="18" customHeight="1">
      <c r="A48" s="58"/>
      <c r="B48" s="1047" t="s">
        <v>76</v>
      </c>
      <c r="C48" s="1047"/>
      <c r="D48" s="443">
        <v>235.21796349017603365469324093</v>
      </c>
      <c r="E48" s="444">
        <v>225.2708269234386362159718698</v>
      </c>
      <c r="F48" s="445">
        <v>162.13420726773792684695362343</v>
      </c>
      <c r="G48" s="443">
        <v>19.502758070168515007968715266</v>
      </c>
      <c r="H48" s="444">
        <v>29.290149775862001483489639632</v>
      </c>
      <c r="I48" s="445">
        <v>35.807073117610447927713221103</v>
      </c>
      <c r="J48" s="443">
        <v>0</v>
      </c>
      <c r="K48" s="444">
        <v>0</v>
      </c>
      <c r="L48" s="445">
        <v>11.496424204288377627993701331</v>
      </c>
      <c r="M48" s="443">
        <v>254.720721560344548662661956</v>
      </c>
      <c r="N48" s="444">
        <v>254.5609766993006376994615092</v>
      </c>
      <c r="O48" s="445">
        <v>209.43770458963675240266054564</v>
      </c>
      <c r="P48" s="93"/>
      <c r="Q48" s="273">
        <v>5.5408993698601751303806654800</v>
      </c>
      <c r="R48" s="274">
        <v>5.6196476137720705553360552100</v>
      </c>
      <c r="S48" s="275">
        <v>-0.3547751149229774824623334800</v>
      </c>
      <c r="T48" s="273">
        <v>-31.338273783975216107045395900</v>
      </c>
      <c r="U48" s="274">
        <v>19.484509603631618241906858700</v>
      </c>
      <c r="V48" s="275">
        <v>26.361521619181869007718395200</v>
      </c>
      <c r="W48" s="273">
        <v>0</v>
      </c>
      <c r="X48" s="274">
        <v>-100</v>
      </c>
      <c r="Y48" s="275">
        <v>9.711075518843188738381690960</v>
      </c>
      <c r="Z48" s="273">
        <v>1.3720477822832116038154149800</v>
      </c>
      <c r="AA48" s="274">
        <v>6.428072615544703716058343300</v>
      </c>
      <c r="AB48" s="275">
        <v>3.9252313053727501874048959900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170.2032967032967032967032967</v>
      </c>
      <c r="E50" s="483">
        <v>165.48358033746252235158780203</v>
      </c>
      <c r="F50" s="484">
        <v>120.89575305232294961671411627</v>
      </c>
      <c r="G50" s="482">
        <v>19.888278388278388278388278388</v>
      </c>
      <c r="H50" s="483">
        <v>28.454983431778884837544459706</v>
      </c>
      <c r="I50" s="484">
        <v>35.545458943226825116069986164</v>
      </c>
      <c r="J50" s="482">
        <v>0</v>
      </c>
      <c r="K50" s="483">
        <v>0</v>
      </c>
      <c r="L50" s="484">
        <v>11.08698513562283855034609828</v>
      </c>
      <c r="M50" s="482">
        <v>190.09157509157509157509157509</v>
      </c>
      <c r="N50" s="483">
        <v>193.93856376924140718913226174</v>
      </c>
      <c r="O50" s="484">
        <v>167.52819713117261328313020072</v>
      </c>
      <c r="P50" s="93"/>
      <c r="Q50" s="468">
        <v>1.790878023128191857096575800</v>
      </c>
      <c r="R50" s="469">
        <v>5.3142107557356095743802967900</v>
      </c>
      <c r="S50" s="470">
        <v>-1.4589006459368528980205168700</v>
      </c>
      <c r="T50" s="468">
        <v>-5.8266549458268553472435118100</v>
      </c>
      <c r="U50" s="469">
        <v>19.875483741876139852193812900</v>
      </c>
      <c r="V50" s="470">
        <v>11.973985648899386359391070470</v>
      </c>
      <c r="W50" s="468">
        <v>0</v>
      </c>
      <c r="X50" s="469">
        <v>-100</v>
      </c>
      <c r="Y50" s="470">
        <v>7.8195914797556229868596565600</v>
      </c>
      <c r="Z50" s="468">
        <v>0.9366583104551106031407906300</v>
      </c>
      <c r="AA50" s="469">
        <v>6.4396043415708369105770989200</v>
      </c>
      <c r="AB50" s="470">
        <v>1.709209450095147924972013900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2">
    <pageSetUpPr fitToPage="1"/>
  </sheetPr>
  <dimension ref="A1:AD94"/>
  <sheetViews>
    <sheetView showGridLines="0" zoomScale="85" workbookViewId="0"/>
  </sheetViews>
  <sheetFormatPr defaultRowHeight="12.75"/>
  <cols>
    <col min="1" max="1" width="2.7109375" customWidth="1"/>
    <col min="2" max="2" width="6.7109375" customWidth="1"/>
    <col min="3" max="3" width="6.140625" style="26" customWidth="1"/>
    <col min="4" max="15" width="7.42578125" customWidth="1"/>
    <col min="16" max="16" width="1.42578125" customWidth="1"/>
    <col min="17" max="28" width="7.42578125" customWidth="1"/>
    <col min="29" max="29" width="3.5703125" customWidth="1"/>
    <col min="30" max="42" width="9.140625" style="236" customWidth="1"/>
  </cols>
  <sheetData>
    <row r="1" ht="30">
      <c r="A1" s="628"/>
      <c r="B1" s="656" t="s">
        <v>195</v>
      </c>
      <c r="Y1" s="5"/>
      <c r="AB1" s="685"/>
      <c r="AD1" s="236"/>
    </row>
    <row r="2" ht="15" customHeight="1">
      <c r="A2" s="11"/>
      <c r="B2" s="11" t="s">
        <v>208</v>
      </c>
    </row>
    <row r="3" ht="17.1" customHeight="1">
      <c r="A3" s="11"/>
      <c r="B3" s="11" t="s">
        <v>209</v>
      </c>
      <c r="R3" s="1040" t="s">
        <v>294</v>
      </c>
      <c r="S3" s="1040"/>
      <c r="T3" s="1040"/>
      <c r="U3" s="1040"/>
      <c r="V3" s="1040"/>
      <c r="W3" s="1040"/>
      <c r="X3" s="1040"/>
      <c r="Y3" s="1040"/>
      <c r="Z3" s="1040"/>
      <c r="AA3" s="1040"/>
      <c r="AB3" s="1040"/>
    </row>
    <row r="4" ht="19.5" customHeight="1">
      <c r="A4" s="4"/>
      <c r="B4" s="211" t="s">
        <v>210</v>
      </c>
      <c r="C4" s="5"/>
      <c r="D4" s="5"/>
      <c r="E4" s="5"/>
      <c r="F4" s="5"/>
      <c r="G4" s="5"/>
      <c r="H4" s="212"/>
      <c r="I4" s="212"/>
      <c r="J4" s="212"/>
      <c r="K4" s="212"/>
      <c r="L4" s="212"/>
      <c r="M4" s="212"/>
      <c r="N4" s="212"/>
      <c r="O4" s="212"/>
      <c r="P4" s="212"/>
      <c r="Q4" s="212"/>
      <c r="R4" s="212"/>
      <c r="S4" s="212"/>
      <c r="T4" s="212"/>
      <c r="U4" s="4"/>
      <c r="V4" s="4"/>
    </row>
    <row r="5" ht="12.75" customHeight="1"/>
    <row r="6" ht="15.75">
      <c r="D6" s="978" t="s">
        <v>45</v>
      </c>
      <c r="E6" s="978"/>
      <c r="F6" s="978"/>
      <c r="G6" s="978"/>
      <c r="H6" s="978"/>
      <c r="I6" s="978"/>
      <c r="J6" s="978"/>
      <c r="K6" s="978"/>
      <c r="L6" s="978"/>
      <c r="M6" s="978"/>
      <c r="N6" s="978"/>
      <c r="O6" s="978"/>
      <c r="Q6" s="960" t="s">
        <v>70</v>
      </c>
      <c r="R6" s="960"/>
      <c r="S6" s="960"/>
      <c r="T6" s="960"/>
      <c r="U6" s="960"/>
      <c r="V6" s="960"/>
      <c r="W6" s="960"/>
      <c r="X6" s="960"/>
      <c r="Y6" s="960"/>
      <c r="Z6" s="960"/>
      <c r="AA6" s="960"/>
      <c r="AB6" s="960"/>
    </row>
    <row r="7" ht="15.75">
      <c r="D7" s="283" t="s">
        <v>11</v>
      </c>
      <c r="E7" s="283"/>
      <c r="F7" s="283"/>
      <c r="G7" s="283" t="s">
        <v>13</v>
      </c>
      <c r="H7" s="283"/>
      <c r="I7" s="283"/>
      <c r="J7" s="283" t="s">
        <v>14</v>
      </c>
      <c r="K7" s="283"/>
      <c r="L7" s="283"/>
      <c r="M7" s="283" t="s">
        <v>12</v>
      </c>
      <c r="N7" s="283"/>
      <c r="O7" s="283"/>
      <c r="Q7" s="283" t="s">
        <v>11</v>
      </c>
      <c r="R7" s="283"/>
      <c r="S7" s="283"/>
      <c r="T7" s="283" t="s">
        <v>13</v>
      </c>
      <c r="U7" s="283"/>
      <c r="V7" s="283"/>
      <c r="W7" s="283" t="s">
        <v>14</v>
      </c>
      <c r="X7" s="283"/>
      <c r="Y7" s="283"/>
      <c r="Z7" s="283" t="s">
        <v>12</v>
      </c>
      <c r="AA7" s="283"/>
      <c r="AB7" s="283"/>
    </row>
    <row r="8" ht="27" customHeight="1">
      <c r="A8" s="57"/>
      <c r="B8" s="1041"/>
      <c r="C8" s="1041"/>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row>
    <row r="9" ht="6" customHeight="1">
      <c r="A9" s="112"/>
      <c r="B9" s="114"/>
      <c r="C9" s="114"/>
      <c r="D9" s="113"/>
      <c r="E9" s="113"/>
      <c r="F9" s="113"/>
      <c r="G9" s="113"/>
      <c r="H9" s="113"/>
      <c r="I9" s="113"/>
      <c r="J9" s="113"/>
      <c r="K9" s="113"/>
      <c r="L9" s="113"/>
      <c r="M9" s="113"/>
      <c r="N9" s="113"/>
      <c r="O9" s="113"/>
      <c r="P9" s="115"/>
      <c r="Q9" s="113"/>
      <c r="R9" s="113"/>
      <c r="S9" s="113"/>
      <c r="T9" s="113"/>
      <c r="U9" s="113"/>
      <c r="V9" s="113"/>
      <c r="W9" s="113"/>
      <c r="X9" s="113"/>
      <c r="Y9" s="113"/>
      <c r="Z9" s="113"/>
      <c r="AA9" s="113"/>
      <c r="AB9" s="113"/>
      <c r="AC9" s="9"/>
    </row>
    <row r="10" ht="18" customHeight="1">
      <c r="A10" s="112"/>
      <c r="B10" s="973" t="s">
        <v>22</v>
      </c>
      <c r="C10" s="973"/>
      <c r="D10" s="973"/>
      <c r="E10" s="973"/>
      <c r="F10" s="973"/>
      <c r="G10" s="973"/>
      <c r="H10" s="973"/>
      <c r="I10" s="973"/>
      <c r="J10" s="973"/>
      <c r="K10" s="973"/>
      <c r="L10" s="973"/>
      <c r="M10" s="973"/>
      <c r="N10" s="973"/>
      <c r="O10" s="973"/>
      <c r="P10" s="411"/>
      <c r="Q10" s="971"/>
      <c r="R10" s="971"/>
      <c r="S10" s="971"/>
      <c r="T10" s="971"/>
      <c r="U10" s="971"/>
      <c r="V10" s="971"/>
      <c r="W10" s="971"/>
      <c r="X10" s="971"/>
      <c r="Y10" s="971"/>
      <c r="Z10" s="971"/>
      <c r="AA10" s="971"/>
      <c r="AB10" s="971"/>
      <c r="AC10" s="9"/>
    </row>
    <row r="11" ht="18" customHeight="1">
      <c r="A11" s="58"/>
      <c r="B11" s="1042" t="s">
        <v>43</v>
      </c>
      <c r="C11" s="1042"/>
      <c r="D11" s="427">
        <v>73.789061150150522509264096420</v>
      </c>
      <c r="E11" s="428">
        <v>68.977585821729093752327053450</v>
      </c>
      <c r="F11" s="429">
        <v>54.037545387013364849066124180</v>
      </c>
      <c r="G11" s="427">
        <v>8.223346539201915630151660830</v>
      </c>
      <c r="H11" s="428">
        <v>9.654479112368754188696105450</v>
      </c>
      <c r="I11" s="429">
        <v>9.787830882177138751991614570</v>
      </c>
      <c r="J11" s="427">
        <v>0</v>
      </c>
      <c r="K11" s="428">
        <v>0.6292352371732817037754114200</v>
      </c>
      <c r="L11" s="429">
        <v>7.4433123828815074838139829400</v>
      </c>
      <c r="M11" s="427">
        <v>82.53205128205128205128205128</v>
      </c>
      <c r="N11" s="428">
        <v>79.25571524313053838707275300</v>
      </c>
      <c r="O11" s="429">
        <v>71.267380347063018489345157270</v>
      </c>
      <c r="P11" s="5"/>
      <c r="Q11" s="427">
        <v>-3.4530941016331814392576405400</v>
      </c>
      <c r="R11" s="428">
        <v>3.4389446214111398239886690500</v>
      </c>
      <c r="S11" s="429">
        <v>0.2855481822890547145111931100</v>
      </c>
      <c r="T11" s="427">
        <v>74.247069322137543196480535950</v>
      </c>
      <c r="U11" s="428">
        <v>27.311634895968794053022088060</v>
      </c>
      <c r="V11" s="429">
        <v>14.218303454784424802544599200</v>
      </c>
      <c r="W11" s="427">
        <v>0</v>
      </c>
      <c r="X11" s="428">
        <v>-22.958868097784144631339299890</v>
      </c>
      <c r="Y11" s="429">
        <v>6.2312036760454460905751547300</v>
      </c>
      <c r="Z11" s="427">
        <v>0.5387830000789066722558602300</v>
      </c>
      <c r="AA11" s="428">
        <v>5.5653803017112180410710478700</v>
      </c>
      <c r="AB11" s="429">
        <v>2.6007909751260543003127877100</v>
      </c>
    </row>
    <row r="12" ht="18" customHeight="1">
      <c r="A12" s="58"/>
      <c r="B12" s="1043" t="s">
        <v>46</v>
      </c>
      <c r="C12" s="1043"/>
      <c r="D12" s="420">
        <v>65.482646155890497155732210910</v>
      </c>
      <c r="E12" s="91">
        <v>61.420299914153683172295384440</v>
      </c>
      <c r="F12" s="421">
        <v>48.639522237919661424036854450</v>
      </c>
      <c r="G12" s="420">
        <v>12.042459807985054647852094170</v>
      </c>
      <c r="H12" s="91">
        <v>10.920747410911614824015050510</v>
      </c>
      <c r="I12" s="421">
        <v>13.142910487502245179067554170</v>
      </c>
      <c r="J12" s="420">
        <v>0</v>
      </c>
      <c r="K12" s="91">
        <v>0.6009242177939323092659226700</v>
      </c>
      <c r="L12" s="421">
        <v>7.2971143762204515218577602300</v>
      </c>
      <c r="M12" s="420">
        <v>78.216123499142367066895368780</v>
      </c>
      <c r="N12" s="91">
        <v>72.941971542859230305576357560</v>
      </c>
      <c r="O12" s="421">
        <v>69.081237509562412159237141890</v>
      </c>
      <c r="P12" s="5"/>
      <c r="Q12" s="420">
        <v>-2.0654825605443769694133922900</v>
      </c>
      <c r="R12" s="91">
        <v>7.4589822808151764859152089500</v>
      </c>
      <c r="S12" s="421">
        <v>0.7992421608415193725646040600</v>
      </c>
      <c r="T12" s="420">
        <v>21.912821360139748602477971620</v>
      </c>
      <c r="U12" s="91">
        <v>15.991841734212484239729108160</v>
      </c>
      <c r="V12" s="421">
        <v>8.250161601365546652098922380</v>
      </c>
      <c r="W12" s="420">
        <v>0</v>
      </c>
      <c r="X12" s="91">
        <v>-29.861385749692287341939896310</v>
      </c>
      <c r="Y12" s="421">
        <v>8.608385071383483349044670410</v>
      </c>
      <c r="Z12" s="420">
        <v>1.1064918452711553500675090700</v>
      </c>
      <c r="AA12" s="91">
        <v>8.188136423849532734882361540</v>
      </c>
      <c r="AB12" s="421">
        <v>2.9333544437096206727733118200</v>
      </c>
    </row>
    <row r="13" ht="18" customHeight="1">
      <c r="A13" s="58"/>
      <c r="B13" s="1043" t="s">
        <v>47</v>
      </c>
      <c r="C13" s="1043"/>
      <c r="D13" s="420">
        <v>64.081351153148431421542636980</v>
      </c>
      <c r="E13" s="91">
        <v>61.395115049519696179909151890</v>
      </c>
      <c r="F13" s="421">
        <v>50.099380515711014900630279540</v>
      </c>
      <c r="G13" s="420">
        <v>13.593906484568145760074432070</v>
      </c>
      <c r="H13" s="91">
        <v>11.663191600268076550748380380</v>
      </c>
      <c r="I13" s="421">
        <v>15.417470912865627347799324030</v>
      </c>
      <c r="J13" s="420">
        <v>0</v>
      </c>
      <c r="K13" s="91">
        <v>0.4933353190855610991138580700</v>
      </c>
      <c r="L13" s="421">
        <v>7.4416324595031147869528598200</v>
      </c>
      <c r="M13" s="420">
        <v>78.117715617715617715617715620</v>
      </c>
      <c r="N13" s="91">
        <v>73.549780326159803410529451190</v>
      </c>
      <c r="O13" s="421">
        <v>72.959182646130798365775521670</v>
      </c>
      <c r="P13" s="184"/>
      <c r="Q13" s="420">
        <v>-0.6845336416674423550277542100</v>
      </c>
      <c r="R13" s="91">
        <v>8.406191445336533966216820750</v>
      </c>
      <c r="S13" s="421">
        <v>0.6792318267276841779035325500</v>
      </c>
      <c r="T13" s="420">
        <v>11.930134623322743828486293320</v>
      </c>
      <c r="U13" s="91">
        <v>5.8509565117009508901550415500</v>
      </c>
      <c r="V13" s="421">
        <v>8.287748801879639816884908430</v>
      </c>
      <c r="W13" s="420">
        <v>0</v>
      </c>
      <c r="X13" s="91">
        <v>-20.151938902888437674010606580</v>
      </c>
      <c r="Y13" s="421">
        <v>9.572470668049088238972075480</v>
      </c>
      <c r="Z13" s="420">
        <v>0.9032743696092068033410763700</v>
      </c>
      <c r="AA13" s="91">
        <v>7.750186820014805937107005400</v>
      </c>
      <c r="AB13" s="421">
        <v>3.0630216875360233541336676500</v>
      </c>
    </row>
    <row r="14" ht="18" customHeight="1">
      <c r="A14" s="58"/>
      <c r="B14" s="1043" t="s">
        <v>48</v>
      </c>
      <c r="C14" s="1043"/>
      <c r="D14" s="420">
        <v>67.078562182614756546848551270</v>
      </c>
      <c r="E14" s="91">
        <v>63.822697147963362871397721410</v>
      </c>
      <c r="F14" s="421">
        <v>51.817483544297870718028345730</v>
      </c>
      <c r="G14" s="420">
        <v>13.398386936174449865578014550</v>
      </c>
      <c r="H14" s="91">
        <v>10.490356690743912428326755540</v>
      </c>
      <c r="I14" s="421">
        <v>15.648219847816486359888554920</v>
      </c>
      <c r="J14" s="420">
        <v>0</v>
      </c>
      <c r="K14" s="91">
        <v>0.4803038200908481644202844600</v>
      </c>
      <c r="L14" s="421">
        <v>7.3383380086345763532556729300</v>
      </c>
      <c r="M14" s="420">
        <v>81.20629370629370629370629371</v>
      </c>
      <c r="N14" s="91">
        <v>74.780326159803410529451187730</v>
      </c>
      <c r="O14" s="421">
        <v>74.804795672374937315092109050</v>
      </c>
      <c r="P14" s="5"/>
      <c r="Q14" s="420">
        <v>1.1004022669107989295854354800</v>
      </c>
      <c r="R14" s="91">
        <v>8.305554832062159097734726870</v>
      </c>
      <c r="S14" s="421">
        <v>-0.2136070504479814941007092100</v>
      </c>
      <c r="T14" s="420">
        <v>9.655676881987275050843968760</v>
      </c>
      <c r="U14" s="91">
        <v>-3.5680670829507587269082882700</v>
      </c>
      <c r="V14" s="421">
        <v>4.7904865920382682191286967300</v>
      </c>
      <c r="W14" s="420">
        <v>0</v>
      </c>
      <c r="X14" s="91">
        <v>-12.178959097455708914174298550</v>
      </c>
      <c r="Y14" s="421">
        <v>4.7517324209626432733590763600</v>
      </c>
      <c r="Z14" s="420">
        <v>2.4067609773835040406228983300</v>
      </c>
      <c r="AA14" s="91">
        <v>6.3085562315744857902681191200</v>
      </c>
      <c r="AB14" s="421">
        <v>1.269922358476327826792368800</v>
      </c>
    </row>
    <row r="15" ht="18" customHeight="1">
      <c r="A15" s="58"/>
      <c r="B15" s="1043" t="s">
        <v>49</v>
      </c>
      <c r="C15" s="1043"/>
      <c r="D15" s="420">
        <v>75.295620727297120937692481310</v>
      </c>
      <c r="E15" s="91">
        <v>71.245066646809144389008861480</v>
      </c>
      <c r="F15" s="421">
        <v>56.350814300895497766429165520</v>
      </c>
      <c r="G15" s="420">
        <v>10.154371243121494681164634880</v>
      </c>
      <c r="H15" s="91">
        <v>8.327127857621565269193536380</v>
      </c>
      <c r="I15" s="421">
        <v>13.828584999005809674833943430</v>
      </c>
      <c r="J15" s="420">
        <v>0</v>
      </c>
      <c r="K15" s="91">
        <v>0.4002531834090401370169037200</v>
      </c>
      <c r="L15" s="421">
        <v>7.4724017934515090737584007700</v>
      </c>
      <c r="M15" s="420">
        <v>86.02855477855477855477855478</v>
      </c>
      <c r="N15" s="91">
        <v>79.95941618884503686052572790</v>
      </c>
      <c r="O15" s="421">
        <v>77.654156656712089877141861780</v>
      </c>
      <c r="P15" s="184"/>
      <c r="Q15" s="420">
        <v>2.479935810389917669609978900</v>
      </c>
      <c r="R15" s="91">
        <v>5.1411601510256096164327727100</v>
      </c>
      <c r="S15" s="421">
        <v>0.7154959402423243743260946300</v>
      </c>
      <c r="T15" s="420">
        <v>0.9924784022277905778638694600</v>
      </c>
      <c r="U15" s="91">
        <v>-7.602712992059554965714333600</v>
      </c>
      <c r="V15" s="421">
        <v>2.2695812328007713973393427300</v>
      </c>
      <c r="W15" s="420">
        <v>0</v>
      </c>
      <c r="X15" s="91">
        <v>-46.561811649223309644366789190</v>
      </c>
      <c r="Y15" s="421">
        <v>8.540302677409011207509455230</v>
      </c>
      <c r="Z15" s="420">
        <v>2.0566885585555510285085787200</v>
      </c>
      <c r="AA15" s="91">
        <v>3.1446027922741456921203927500</v>
      </c>
      <c r="AB15" s="421">
        <v>1.6998445387235128040985665500</v>
      </c>
    </row>
    <row r="16" ht="18" customHeight="1">
      <c r="A16" s="58"/>
      <c r="B16" s="1044" t="s">
        <v>75</v>
      </c>
      <c r="C16" s="1044"/>
      <c r="D16" s="430">
        <v>69.107210125516761672368079700</v>
      </c>
      <c r="E16" s="431">
        <v>65.357011716794071502486897910</v>
      </c>
      <c r="F16" s="432">
        <v>52.175538655056911806789216270</v>
      </c>
      <c r="G16" s="430">
        <v>11.495060694145362337582017220</v>
      </c>
      <c r="H16" s="431">
        <v>10.213899181419293580057341450</v>
      </c>
      <c r="I16" s="432">
        <v>13.563704270030230760094278360</v>
      </c>
      <c r="J16" s="430">
        <v>0</v>
      </c>
      <c r="K16" s="431">
        <v>0.5211173051744537540845582400</v>
      </c>
      <c r="L16" s="432">
        <v>7.3981798587019717282152052800</v>
      </c>
      <c r="M16" s="430">
        <v>81.20863810518982932776036224</v>
      </c>
      <c r="N16" s="431">
        <v>76.085351967449640781416326360</v>
      </c>
      <c r="O16" s="432">
        <v>73.138263293991881311124915130</v>
      </c>
      <c r="P16" s="5"/>
      <c r="Q16" s="430">
        <v>-0.6861562752529601653747199100</v>
      </c>
      <c r="R16" s="431">
        <v>6.3538632496079636552786402800</v>
      </c>
      <c r="S16" s="432">
        <v>0.4098479825482509116720091800</v>
      </c>
      <c r="T16" s="430">
        <v>17.766511958704065735824501970</v>
      </c>
      <c r="U16" s="431">
        <v>6.6842644503077520233822260300</v>
      </c>
      <c r="V16" s="432">
        <v>7.1020198556346657438928853900</v>
      </c>
      <c r="W16" s="430">
        <v>0</v>
      </c>
      <c r="X16" s="431">
        <v>-27.404048559532333982564225400</v>
      </c>
      <c r="Y16" s="432">
        <v>7.5025449060770701587593962700</v>
      </c>
      <c r="Z16" s="629">
        <v>1.3842585881585422353351447900</v>
      </c>
      <c r="AA16" s="214">
        <v>6.0620393838132871754355768500</v>
      </c>
      <c r="AB16" s="630">
        <v>2.2788420925361784257233173300</v>
      </c>
    </row>
    <row r="17" ht="6" customHeight="1">
      <c r="A17" s="58"/>
      <c r="B17" s="631"/>
      <c r="C17" s="631"/>
      <c r="D17" s="91"/>
      <c r="E17" s="91"/>
      <c r="F17" s="91"/>
      <c r="G17" s="91"/>
      <c r="H17" s="91"/>
      <c r="I17" s="91"/>
      <c r="J17" s="91"/>
      <c r="K17" s="91"/>
      <c r="L17" s="91"/>
      <c r="M17" s="91"/>
      <c r="N17" s="91"/>
      <c r="O17" s="91"/>
      <c r="P17" s="5"/>
      <c r="Q17" s="91"/>
      <c r="R17" s="91"/>
      <c r="S17" s="91"/>
      <c r="T17" s="91"/>
      <c r="U17" s="91"/>
      <c r="V17" s="91"/>
      <c r="W17" s="91"/>
      <c r="X17" s="91"/>
      <c r="Y17" s="91"/>
      <c r="Z17" s="632"/>
      <c r="AA17" s="632"/>
      <c r="AB17" s="632"/>
      <c r="AC17" s="4"/>
    </row>
    <row r="18" ht="18" customHeight="1">
      <c r="A18" s="58"/>
      <c r="B18" s="1045" t="s">
        <v>50</v>
      </c>
      <c r="C18" s="1045"/>
      <c r="D18" s="479">
        <v>80.20346472267861985356282607</v>
      </c>
      <c r="E18" s="480">
        <v>76.993819346191079008116762300</v>
      </c>
      <c r="F18" s="481">
        <v>63.482355196555065391911399970</v>
      </c>
      <c r="G18" s="479">
        <v>6.2595710571232592639857072300</v>
      </c>
      <c r="H18" s="480">
        <v>7.9138431752178121974830590600</v>
      </c>
      <c r="I18" s="481">
        <v>13.180189446248475252902820540</v>
      </c>
      <c r="J18" s="479">
        <v>0</v>
      </c>
      <c r="K18" s="480">
        <v>0.3239258321542929480974011500</v>
      </c>
      <c r="L18" s="481">
        <v>7.6756132501348069192351896900</v>
      </c>
      <c r="M18" s="479">
        <v>87.13578088578088578088578089</v>
      </c>
      <c r="N18" s="480">
        <v>85.22228013999553205748752699</v>
      </c>
      <c r="O18" s="481">
        <v>84.33706811361728934249216582</v>
      </c>
      <c r="P18" s="184"/>
      <c r="Q18" s="479">
        <v>-0.4702800152328452308647844600</v>
      </c>
      <c r="R18" s="480">
        <v>2.0997452530194017888687672200</v>
      </c>
      <c r="S18" s="481">
        <v>0.8268190192762462923903626500</v>
      </c>
      <c r="T18" s="479">
        <v>3.8125784552863826571883547700</v>
      </c>
      <c r="U18" s="480">
        <v>-2.5350772892287024292740824800</v>
      </c>
      <c r="V18" s="481">
        <v>5.6439949001068478699229072400</v>
      </c>
      <c r="W18" s="479">
        <v>0</v>
      </c>
      <c r="X18" s="480">
        <v>-54.571083363917753371223047730</v>
      </c>
      <c r="Y18" s="481">
        <v>8.667210379003487584541806920</v>
      </c>
      <c r="Z18" s="479">
        <v>-0.92761305280510493390805100</v>
      </c>
      <c r="AA18" s="480">
        <v>1.1594432256680093077200733800</v>
      </c>
      <c r="AB18" s="481">
        <v>2.2259534704559109584216091600</v>
      </c>
    </row>
    <row r="19" ht="18" customHeight="1">
      <c r="A19" s="58"/>
      <c r="B19" s="1046" t="s">
        <v>51</v>
      </c>
      <c r="C19" s="1046"/>
      <c r="D19" s="271">
        <v>82.93570243583403786948268442</v>
      </c>
      <c r="E19" s="92">
        <v>78.686052572790230099039392430</v>
      </c>
      <c r="F19" s="272">
        <v>65.686535748002231401069033340</v>
      </c>
      <c r="G19" s="271">
        <v>4.972961763626792579240377100</v>
      </c>
      <c r="H19" s="92">
        <v>8.861419316404795591630054370</v>
      </c>
      <c r="I19" s="272">
        <v>11.698051684515123998917508760</v>
      </c>
      <c r="J19" s="271">
        <v>0</v>
      </c>
      <c r="K19" s="92">
        <v>0.3686052572790230099039392400</v>
      </c>
      <c r="L19" s="272">
        <v>7.7075223791726912591501602400</v>
      </c>
      <c r="M19" s="271">
        <v>88.59265734265734265734265734</v>
      </c>
      <c r="N19" s="92">
        <v>87.90304564747933576587981235</v>
      </c>
      <c r="O19" s="272">
        <v>85.09323146038468041253713559</v>
      </c>
      <c r="P19" s="5"/>
      <c r="Q19" s="271">
        <v>-1.3839273122197713353043853300</v>
      </c>
      <c r="R19" s="92">
        <v>-0.1540343339989752042526739600</v>
      </c>
      <c r="S19" s="272">
        <v>-0.5589390929219739594719678400</v>
      </c>
      <c r="T19" s="271">
        <v>30.725138462812565398109374170</v>
      </c>
      <c r="U19" s="92">
        <v>11.290535116544178283975664290</v>
      </c>
      <c r="V19" s="272">
        <v>6.0345256683535619589669881900</v>
      </c>
      <c r="W19" s="271">
        <v>0</v>
      </c>
      <c r="X19" s="92">
        <v>-35.486380328886962154412018300</v>
      </c>
      <c r="Y19" s="272">
        <v>7.5649622983581843567136762100</v>
      </c>
      <c r="Z19" s="271">
        <v>-0.658081300052049716962179100</v>
      </c>
      <c r="AA19" s="92">
        <v>0.6383438008786815316430911300</v>
      </c>
      <c r="AB19" s="272">
        <v>0.9973513674111975924724546100</v>
      </c>
    </row>
    <row r="20" ht="18" customHeight="1">
      <c r="A20" s="58"/>
      <c r="B20" s="1047" t="s">
        <v>76</v>
      </c>
      <c r="C20" s="1047"/>
      <c r="D20" s="273">
        <v>81.56958357925632886152275522</v>
      </c>
      <c r="E20" s="274">
        <v>77.839935959490654553578077350</v>
      </c>
      <c r="F20" s="275">
        <v>64.584408872193626967864689180</v>
      </c>
      <c r="G20" s="273">
        <v>5.6162664103750259216130421600</v>
      </c>
      <c r="H20" s="274">
        <v>8.387631245811303894556556710</v>
      </c>
      <c r="I20" s="275">
        <v>12.439145176055393172885261560</v>
      </c>
      <c r="J20" s="273">
        <v>0</v>
      </c>
      <c r="K20" s="274">
        <v>0.3462655447166579790006701900</v>
      </c>
      <c r="L20" s="275">
        <v>7.6915672848074826481208075700</v>
      </c>
      <c r="M20" s="273">
        <v>87.86421911421911421911421911</v>
      </c>
      <c r="N20" s="274">
        <v>86.56266289373743391168366967</v>
      </c>
      <c r="O20" s="275">
        <v>84.71513723106525281048698335</v>
      </c>
      <c r="P20" s="184"/>
      <c r="Q20" s="273">
        <v>-0.9567148628015429582776428900</v>
      </c>
      <c r="R20" s="274">
        <v>0.9268038957129754011908821500</v>
      </c>
      <c r="S20" s="275">
        <v>0.0951013610628013727304716300</v>
      </c>
      <c r="T20" s="273">
        <v>14.466647172849818475081842640</v>
      </c>
      <c r="U20" s="274">
        <v>4.3198709358919952857844442200</v>
      </c>
      <c r="V20" s="275">
        <v>5.8875281200017584139226448800</v>
      </c>
      <c r="W20" s="273">
        <v>0</v>
      </c>
      <c r="X20" s="274">
        <v>-46.024468926084681436953341900</v>
      </c>
      <c r="Y20" s="275">
        <v>8.104966994423058576022925110</v>
      </c>
      <c r="Z20" s="273">
        <v>-0.798462290365773772706644800</v>
      </c>
      <c r="AA20" s="274">
        <v>0.8767835204516688740282354900</v>
      </c>
      <c r="AB20" s="275">
        <v>1.5953236293394171093671302400</v>
      </c>
    </row>
    <row r="21" ht="6" customHeight="1">
      <c r="A21" s="58"/>
      <c r="B21" s="631"/>
      <c r="C21" s="631"/>
      <c r="D21" s="91"/>
      <c r="E21" s="91"/>
      <c r="F21" s="91"/>
      <c r="G21" s="91"/>
      <c r="H21" s="91"/>
      <c r="I21" s="91"/>
      <c r="J21" s="91"/>
      <c r="K21" s="91"/>
      <c r="L21" s="91"/>
      <c r="M21" s="91"/>
      <c r="N21" s="91"/>
      <c r="O21" s="91"/>
      <c r="P21" s="5"/>
      <c r="Q21" s="91"/>
      <c r="R21" s="91"/>
      <c r="S21" s="91"/>
      <c r="T21" s="91"/>
      <c r="U21" s="91"/>
      <c r="V21" s="91"/>
      <c r="W21" s="91"/>
      <c r="X21" s="91"/>
      <c r="Y21" s="91"/>
      <c r="Z21" s="91"/>
      <c r="AA21" s="91"/>
      <c r="AB21" s="91"/>
    </row>
    <row r="22" ht="18" customHeight="1">
      <c r="A22" s="58"/>
      <c r="B22" s="982" t="s">
        <v>12</v>
      </c>
      <c r="C22" s="982"/>
      <c r="D22" s="468">
        <v>73.167289331672893316728933170</v>
      </c>
      <c r="E22" s="469">
        <v>68.828919624978450848042010900</v>
      </c>
      <c r="F22" s="470">
        <v>55.694611645036624253109228290</v>
      </c>
      <c r="G22" s="468">
        <v>9.939809049398090493980904940</v>
      </c>
      <c r="H22" s="469">
        <v>9.746847193305838825604370830</v>
      </c>
      <c r="I22" s="470">
        <v>13.242737153270157476454713200</v>
      </c>
      <c r="J22" s="468">
        <v>0</v>
      </c>
      <c r="K22" s="469">
        <v>0.493044596798790595287034700</v>
      </c>
      <c r="L22" s="470">
        <v>7.5011841350690872484100918700</v>
      </c>
      <c r="M22" s="468">
        <v>83.10709838107098381070983811</v>
      </c>
      <c r="N22" s="469">
        <v>79.068811415083080268933416440</v>
      </c>
      <c r="O22" s="470">
        <v>76.438532933375868977974033370</v>
      </c>
      <c r="P22" s="184"/>
      <c r="Q22" s="468">
        <v>-1.0813465176641613819765712900</v>
      </c>
      <c r="R22" s="469">
        <v>4.2560672028920118040306630100</v>
      </c>
      <c r="S22" s="470">
        <v>0.2690449843454857761720438100</v>
      </c>
      <c r="T22" s="468">
        <v>16.245958556393686864423016120</v>
      </c>
      <c r="U22" s="469">
        <v>7.542885973689960572371372500</v>
      </c>
      <c r="V22" s="470">
        <v>6.8252529346489621040990081300</v>
      </c>
      <c r="W22" s="468">
        <v>0</v>
      </c>
      <c r="X22" s="469">
        <v>-28.873555331309442186532160150</v>
      </c>
      <c r="Y22" s="470">
        <v>7.5304192937046889056496965800</v>
      </c>
      <c r="Z22" s="468">
        <v>0.7141458131607088665892572900</v>
      </c>
      <c r="AA22" s="469">
        <v>4.3461211756042670645481073800</v>
      </c>
      <c r="AB22" s="470">
        <v>2.0300357189406490598010280900</v>
      </c>
    </row>
    <row r="23" ht="15" customHeight="1">
      <c r="B23" s="43"/>
      <c r="C23"/>
      <c r="D23" s="56"/>
      <c r="E23" s="56"/>
      <c r="F23" s="56"/>
      <c r="G23" s="56"/>
      <c r="H23" s="56"/>
      <c r="I23" s="56"/>
      <c r="J23" s="56"/>
      <c r="K23" s="56"/>
      <c r="L23" s="56"/>
      <c r="M23" s="56"/>
      <c r="N23" s="56"/>
      <c r="O23" s="56"/>
      <c r="P23" s="5"/>
      <c r="Q23" s="5"/>
      <c r="R23" s="5"/>
      <c r="S23" s="5"/>
      <c r="T23" s="5"/>
      <c r="U23" s="5"/>
      <c r="V23" s="5"/>
      <c r="W23" s="5"/>
      <c r="X23" s="5"/>
      <c r="Y23" s="5"/>
      <c r="Z23" s="5"/>
      <c r="AA23" s="5"/>
      <c r="AB23" s="5"/>
    </row>
    <row r="24" ht="18" customHeight="1">
      <c r="A24" s="112"/>
      <c r="B24" s="1037" t="s">
        <v>9</v>
      </c>
      <c r="C24" s="1037"/>
      <c r="D24" s="1037"/>
      <c r="E24" s="1037"/>
      <c r="F24" s="1037"/>
      <c r="G24" s="1037"/>
      <c r="H24" s="1037"/>
      <c r="I24" s="1037"/>
      <c r="J24" s="1037"/>
      <c r="K24" s="1037"/>
      <c r="L24" s="1037"/>
      <c r="M24" s="1037"/>
      <c r="N24" s="1037"/>
      <c r="O24" s="1037"/>
      <c r="P24" s="411"/>
      <c r="Q24" s="1038"/>
      <c r="R24" s="1038"/>
      <c r="S24" s="1038"/>
      <c r="T24" s="1038"/>
      <c r="U24" s="1038"/>
      <c r="V24" s="1038"/>
      <c r="W24" s="1038"/>
      <c r="X24" s="1038"/>
      <c r="Y24" s="1038"/>
      <c r="Z24" s="1038"/>
      <c r="AA24" s="1038"/>
      <c r="AB24" s="1038"/>
      <c r="AC24" s="9"/>
    </row>
    <row r="25" ht="18" customHeight="1">
      <c r="A25" s="58"/>
      <c r="B25" s="1042" t="s">
        <v>43</v>
      </c>
      <c r="C25" s="1042"/>
      <c r="D25" s="454">
        <v>206.70322810924137840578462596</v>
      </c>
      <c r="E25" s="455">
        <v>221.72209331540818993108899374</v>
      </c>
      <c r="F25" s="456">
        <v>213.49343510756778531083531457</v>
      </c>
      <c r="G25" s="454">
        <v>259.59476552651968718402657283</v>
      </c>
      <c r="H25" s="455">
        <v>250.79957956608165440388790866</v>
      </c>
      <c r="I25" s="456">
        <v>256.94973808472735914354016748</v>
      </c>
      <c r="J25" s="454">
        <v>0</v>
      </c>
      <c r="K25" s="455">
        <v>170.71559026120826984135425998</v>
      </c>
      <c r="L25" s="456">
        <v>155.80666251252923934085464048</v>
      </c>
      <c r="M25" s="454">
        <v>211.76898740848853608131905793</v>
      </c>
      <c r="N25" s="455">
        <v>224.87481480423019538843045663</v>
      </c>
      <c r="O25" s="456">
        <v>213.43979678003109787719539399</v>
      </c>
      <c r="P25" s="5"/>
      <c r="Q25" s="427">
        <v>-2.3441419751198682070499568900</v>
      </c>
      <c r="R25" s="428">
        <v>1.8521700323466723249391315500</v>
      </c>
      <c r="S25" s="429">
        <v>-1.38623398514286958612144400</v>
      </c>
      <c r="T25" s="427">
        <v>-13.269829415520881830686770340</v>
      </c>
      <c r="U25" s="428">
        <v>-9.849372928888276107225065230</v>
      </c>
      <c r="V25" s="429">
        <v>-2.0667090790884751807238237500</v>
      </c>
      <c r="W25" s="427">
        <v>0</v>
      </c>
      <c r="X25" s="428">
        <v>2.4460499619039554783212150700</v>
      </c>
      <c r="Y25" s="429">
        <v>7.206761840313406297162448300</v>
      </c>
      <c r="Z25" s="427">
        <v>-2.3036228117313713422535287500</v>
      </c>
      <c r="AA25" s="428">
        <v>0.7172332987897387807968744100</v>
      </c>
      <c r="AB25" s="429">
        <v>-0.7132057203995605988082110600</v>
      </c>
    </row>
    <row r="26" ht="18" customHeight="1">
      <c r="A26" s="58"/>
      <c r="B26" s="1043" t="s">
        <v>46</v>
      </c>
      <c r="C26" s="1043"/>
      <c r="D26" s="439">
        <v>200.65361336957641736359110186</v>
      </c>
      <c r="E26" s="95">
        <v>212.60629382404654020398411154</v>
      </c>
      <c r="F26" s="440">
        <v>211.67216456145656402888203223</v>
      </c>
      <c r="G26" s="439">
        <v>252.82269017390666599237010482</v>
      </c>
      <c r="H26" s="95">
        <v>248.11693096249697852298263914</v>
      </c>
      <c r="I26" s="440">
        <v>258.10443505733539740343209197</v>
      </c>
      <c r="J26" s="439">
        <v>0</v>
      </c>
      <c r="K26" s="95">
        <v>170.00707175404287642033151796</v>
      </c>
      <c r="L26" s="440">
        <v>155.40991769655669144553755702</v>
      </c>
      <c r="M26" s="439">
        <v>208.75736250767596256360246016</v>
      </c>
      <c r="N26" s="95">
        <v>217.57193687875453983649871013</v>
      </c>
      <c r="O26" s="440">
        <v>214.55694031256351223762100277</v>
      </c>
      <c r="P26" s="5"/>
      <c r="Q26" s="420">
        <v>-1.2410543396209677189932879500</v>
      </c>
      <c r="R26" s="91">
        <v>2.6569132105095797555125794600</v>
      </c>
      <c r="S26" s="421">
        <v>0.0879150406971383145507247900</v>
      </c>
      <c r="T26" s="420">
        <v>-0.6021361181365081253916942500</v>
      </c>
      <c r="U26" s="91">
        <v>-5.5056187949662768624057137900</v>
      </c>
      <c r="V26" s="421">
        <v>0.0318349905593184124805671100</v>
      </c>
      <c r="W26" s="420">
        <v>0</v>
      </c>
      <c r="X26" s="91">
        <v>2.7140038050374744083555519700</v>
      </c>
      <c r="Y26" s="421">
        <v>3.3945012260604813966661647100</v>
      </c>
      <c r="Z26" s="420">
        <v>0.1354599154689230095670922300</v>
      </c>
      <c r="AA26" s="91">
        <v>1.5030377086728721356685987300</v>
      </c>
      <c r="AB26" s="421">
        <v>0.3614016172475165803414567400</v>
      </c>
    </row>
    <row r="27" ht="18" customHeight="1">
      <c r="A27" s="58"/>
      <c r="B27" s="1043" t="s">
        <v>47</v>
      </c>
      <c r="C27" s="1043"/>
      <c r="D27" s="439">
        <v>206.79629131534330476295042027</v>
      </c>
      <c r="E27" s="95">
        <v>223.84560893624395919368955877</v>
      </c>
      <c r="F27" s="440">
        <v>223.56655519618800568682740784</v>
      </c>
      <c r="G27" s="439">
        <v>258.00581537588837218743418386</v>
      </c>
      <c r="H27" s="95">
        <v>257.77452695767990496154441737</v>
      </c>
      <c r="I27" s="440">
        <v>258.97857810432185519438817365</v>
      </c>
      <c r="J27" s="439">
        <v>0</v>
      </c>
      <c r="K27" s="95">
        <v>178.09343394175804520017513819</v>
      </c>
      <c r="L27" s="440">
        <v>151.71146407449401192859613578</v>
      </c>
      <c r="M27" s="439">
        <v>214.73962590805599934182570371</v>
      </c>
      <c r="N27" s="95">
        <v>228.92468635448061194722107282</v>
      </c>
      <c r="O27" s="440">
        <v>223.7175920064510456578321904</v>
      </c>
      <c r="P27" s="93"/>
      <c r="Q27" s="420">
        <v>0.1032079150333256001809933400</v>
      </c>
      <c r="R27" s="91">
        <v>4.5056313259087562331703039700</v>
      </c>
      <c r="S27" s="421">
        <v>2.6812637639491305189634098500</v>
      </c>
      <c r="T27" s="420">
        <v>4.1765012371206017330605026800</v>
      </c>
      <c r="U27" s="91">
        <v>-6.0165394402009687489256824700</v>
      </c>
      <c r="V27" s="421">
        <v>-0.0646608498818702528146969100</v>
      </c>
      <c r="W27" s="420">
        <v>0</v>
      </c>
      <c r="X27" s="91">
        <v>7.5373641808079285384769831200</v>
      </c>
      <c r="Y27" s="421">
        <v>5.165016696265875747872364700</v>
      </c>
      <c r="Z27" s="420">
        <v>1.4252747426877046771331231800</v>
      </c>
      <c r="AA27" s="91">
        <v>2.4295704309995633122725254100</v>
      </c>
      <c r="AB27" s="421">
        <v>2.1499983933411661931541159200</v>
      </c>
    </row>
    <row r="28" ht="18" customHeight="1">
      <c r="A28" s="58"/>
      <c r="B28" s="1043" t="s">
        <v>48</v>
      </c>
      <c r="C28" s="1043"/>
      <c r="D28" s="439">
        <v>203.36778004793965491169311761</v>
      </c>
      <c r="E28" s="95">
        <v>216.74076720504244916583717714</v>
      </c>
      <c r="F28" s="440">
        <v>220.27257103911200030559917064</v>
      </c>
      <c r="G28" s="439">
        <v>258.27651753575472363284533192</v>
      </c>
      <c r="H28" s="95">
        <v>264.51969111246299174857932791</v>
      </c>
      <c r="I28" s="440">
        <v>256.99413915954440756893680759</v>
      </c>
      <c r="J28" s="439">
        <v>0</v>
      </c>
      <c r="K28" s="95">
        <v>217.13290972889169720948796838</v>
      </c>
      <c r="L28" s="440">
        <v>151.75032934154649094637924138</v>
      </c>
      <c r="M28" s="439">
        <v>212.50938542804234306620141595</v>
      </c>
      <c r="N28" s="95">
        <v>223.48359362242658022693341512</v>
      </c>
      <c r="O28" s="440">
        <v>221.22927101739039847866423333</v>
      </c>
      <c r="P28" s="5"/>
      <c r="Q28" s="420">
        <v>-2.5148119539574378776739452300</v>
      </c>
      <c r="R28" s="91">
        <v>-0.5026282451644127653903130200</v>
      </c>
      <c r="S28" s="421">
        <v>0.1747346855903594288681728600</v>
      </c>
      <c r="T28" s="420">
        <v>-6.4192456693273730231294519800</v>
      </c>
      <c r="U28" s="91">
        <v>-4.123735859108018089241626800</v>
      </c>
      <c r="V28" s="421">
        <v>1.0071857392948336738226101300</v>
      </c>
      <c r="W28" s="420">
        <v>0</v>
      </c>
      <c r="X28" s="91">
        <v>29.901239108778508763800017940</v>
      </c>
      <c r="Y28" s="421">
        <v>3.584288554742052292113496700</v>
      </c>
      <c r="Z28" s="420">
        <v>-2.3646875439921787781302662300</v>
      </c>
      <c r="AA28" s="91">
        <v>-1.3149727689335791232460965900</v>
      </c>
      <c r="AB28" s="421">
        <v>0.5992567624967871326979921400</v>
      </c>
    </row>
    <row r="29" ht="18" customHeight="1">
      <c r="A29" s="58"/>
      <c r="B29" s="1043" t="s">
        <v>49</v>
      </c>
      <c r="C29" s="1043"/>
      <c r="D29" s="439">
        <v>213.72038211706755641103018217</v>
      </c>
      <c r="E29" s="95">
        <v>221.69344533750496811543877465</v>
      </c>
      <c r="F29" s="440">
        <v>224.88474126054092182158091485</v>
      </c>
      <c r="G29" s="439">
        <v>268.26728467837139933930554547</v>
      </c>
      <c r="H29" s="95">
        <v>271.58038468234156653480878457</v>
      </c>
      <c r="I29" s="440">
        <v>255.42454177588679936264541278</v>
      </c>
      <c r="J29" s="439">
        <v>0</v>
      </c>
      <c r="K29" s="95">
        <v>223.49325326741262536985400905</v>
      </c>
      <c r="L29" s="440">
        <v>154.76911785823099014475438133</v>
      </c>
      <c r="M29" s="439">
        <v>219.52215668797494137441483209</v>
      </c>
      <c r="N29" s="95">
        <v>226.93390755053252942521850977</v>
      </c>
      <c r="O29" s="440">
        <v>223.56867190237000597628878272</v>
      </c>
      <c r="P29" s="93"/>
      <c r="Q29" s="420">
        <v>-6.8151157807323231432809339900</v>
      </c>
      <c r="R29" s="91">
        <v>-4.1646273733666203105443200200</v>
      </c>
      <c r="S29" s="421">
        <v>-1.0909973516012065794951992800</v>
      </c>
      <c r="T29" s="420">
        <v>-15.377762656315479286909182500</v>
      </c>
      <c r="U29" s="91">
        <v>-6.3776110511742592649765027800</v>
      </c>
      <c r="V29" s="421">
        <v>1.4971220805320480921952493200</v>
      </c>
      <c r="W29" s="420">
        <v>0</v>
      </c>
      <c r="X29" s="91">
        <v>30.908817996466987759580719990</v>
      </c>
      <c r="Y29" s="421">
        <v>5.4717958735709138249449956300</v>
      </c>
      <c r="Z29" s="420">
        <v>-7.8364384036517964706100581900</v>
      </c>
      <c r="AA29" s="91">
        <v>-4.4824939834132165487608289300</v>
      </c>
      <c r="AB29" s="421">
        <v>-0.3699818143698147044503831400</v>
      </c>
    </row>
    <row r="30" ht="18" customHeight="1">
      <c r="A30" s="58"/>
      <c r="B30" s="1044" t="s">
        <v>75</v>
      </c>
      <c r="C30" s="1044"/>
      <c r="D30" s="457">
        <v>206.39978369450340358877431633</v>
      </c>
      <c r="E30" s="458">
        <v>219.40454941070019581947216078</v>
      </c>
      <c r="F30" s="459">
        <v>218.86939231415435865278094393</v>
      </c>
      <c r="G30" s="457">
        <v>258.96892118038041964216442687</v>
      </c>
      <c r="H30" s="458">
        <v>257.98687927036009457930844197</v>
      </c>
      <c r="I30" s="459">
        <v>257.33679410402205449217369303</v>
      </c>
      <c r="J30" s="457">
        <v>0</v>
      </c>
      <c r="K30" s="458">
        <v>188.5411361369979757019784546</v>
      </c>
      <c r="L30" s="459">
        <v>153.89580754738290903125157195</v>
      </c>
      <c r="M30" s="457">
        <v>213.53317338796507046917223621</v>
      </c>
      <c r="N30" s="458">
        <v>224.39180852619018917172648646</v>
      </c>
      <c r="O30" s="459">
        <v>219.42762431241803535365497083</v>
      </c>
      <c r="P30" s="5"/>
      <c r="Q30" s="430">
        <v>-2.7513380821723446207995740400</v>
      </c>
      <c r="R30" s="431">
        <v>0.5942723141676651449000234100</v>
      </c>
      <c r="S30" s="432">
        <v>0.0273128091104008182813246400</v>
      </c>
      <c r="T30" s="430">
        <v>-5.9559106503741344662223851100</v>
      </c>
      <c r="U30" s="431">
        <v>-6.5074420418892850526860298600</v>
      </c>
      <c r="V30" s="432">
        <v>0.2577317602777567919867376700</v>
      </c>
      <c r="W30" s="430">
        <v>0</v>
      </c>
      <c r="X30" s="431">
        <v>12.816329737742182848628624540</v>
      </c>
      <c r="Y30" s="432">
        <v>4.9719856743261209264524401300</v>
      </c>
      <c r="Z30" s="430">
        <v>-2.4364006073098873086435102400</v>
      </c>
      <c r="AA30" s="431">
        <v>-0.4236570809549405440570198600</v>
      </c>
      <c r="AB30" s="432">
        <v>0.3937025732719823903017030700</v>
      </c>
    </row>
    <row r="31" ht="6" customHeight="1">
      <c r="A31" s="58"/>
      <c r="B31" s="631"/>
      <c r="C31" s="631"/>
      <c r="D31" s="95"/>
      <c r="E31" s="95"/>
      <c r="F31" s="95"/>
      <c r="G31" s="95"/>
      <c r="H31" s="95"/>
      <c r="I31" s="95"/>
      <c r="J31" s="95"/>
      <c r="K31" s="95"/>
      <c r="L31" s="95"/>
      <c r="M31" s="95"/>
      <c r="N31" s="95"/>
      <c r="O31" s="95"/>
      <c r="P31" s="5"/>
      <c r="Q31" s="91"/>
      <c r="R31" s="91"/>
      <c r="S31" s="91"/>
      <c r="T31" s="91"/>
      <c r="U31" s="91"/>
      <c r="V31" s="91"/>
      <c r="W31" s="91"/>
      <c r="X31" s="91"/>
      <c r="Y31" s="91"/>
      <c r="Z31" s="91"/>
      <c r="AA31" s="91"/>
      <c r="AB31" s="91"/>
    </row>
    <row r="32" ht="18" customHeight="1">
      <c r="A32" s="58"/>
      <c r="B32" s="1045" t="s">
        <v>50</v>
      </c>
      <c r="C32" s="1045"/>
      <c r="D32" s="493">
        <v>275.10910521244949021172511157</v>
      </c>
      <c r="E32" s="494">
        <v>272.46056630116554833356959174</v>
      </c>
      <c r="F32" s="495">
        <v>256.66942584149449864581793759</v>
      </c>
      <c r="G32" s="493">
        <v>329.81290123948721291804330266</v>
      </c>
      <c r="H32" s="494">
        <v>279.9904671578764235741917455</v>
      </c>
      <c r="I32" s="495">
        <v>252.61624582234413129390252734</v>
      </c>
      <c r="J32" s="493">
        <v>0</v>
      </c>
      <c r="K32" s="494">
        <v>196.10094367114029610981297495</v>
      </c>
      <c r="L32" s="495">
        <v>154.71583330803960400141159729</v>
      </c>
      <c r="M32" s="493">
        <v>279.06943687600196202778192092</v>
      </c>
      <c r="N32" s="494">
        <v>272.89932153371741526752518116</v>
      </c>
      <c r="O32" s="495">
        <v>246.75956544539890959223800973</v>
      </c>
      <c r="P32" s="93"/>
      <c r="Q32" s="479">
        <v>-6.8107087698460683964188764400</v>
      </c>
      <c r="R32" s="480">
        <v>-2.8419607174018702023167281200</v>
      </c>
      <c r="S32" s="481">
        <v>-0.2879623562134967308053505400</v>
      </c>
      <c r="T32" s="479">
        <v>-10.260120112682107759506599880</v>
      </c>
      <c r="U32" s="480">
        <v>-13.064294804659620913511188130</v>
      </c>
      <c r="V32" s="481">
        <v>0.2408850012879417846496619400</v>
      </c>
      <c r="W32" s="479">
        <v>0</v>
      </c>
      <c r="X32" s="480">
        <v>13.398108615877192674077146350</v>
      </c>
      <c r="Y32" s="481">
        <v>2.15256795160016493070888600</v>
      </c>
      <c r="Z32" s="479">
        <v>-6.9923970459576217028650671300</v>
      </c>
      <c r="AA32" s="480">
        <v>-3.7505677935615329329728830300</v>
      </c>
      <c r="AB32" s="481">
        <v>-0.3089585654818912360090790100</v>
      </c>
    </row>
    <row r="33" ht="18" customHeight="1">
      <c r="A33" s="58"/>
      <c r="B33" s="1046" t="s">
        <v>51</v>
      </c>
      <c r="C33" s="1046"/>
      <c r="D33" s="276">
        <v>279.07650891570912810384413066</v>
      </c>
      <c r="E33" s="94">
        <v>278.85033047912563362587811276</v>
      </c>
      <c r="F33" s="277">
        <v>259.09445887326962514824194106</v>
      </c>
      <c r="G33" s="276">
        <v>316.51639926372748719064455951</v>
      </c>
      <c r="H33" s="94">
        <v>274.19439863298563818407410943</v>
      </c>
      <c r="I33" s="277">
        <v>257.01554271481234940974093014</v>
      </c>
      <c r="J33" s="276">
        <v>0</v>
      </c>
      <c r="K33" s="94">
        <v>183.50837952888243605509500701</v>
      </c>
      <c r="L33" s="277">
        <v>154.76280869688253870351839691</v>
      </c>
      <c r="M33" s="276">
        <v>281.19447015230151677772331952</v>
      </c>
      <c r="N33" s="94">
        <v>278.02251080098550376043228771</v>
      </c>
      <c r="O33" s="277">
        <v>249.35431815833709257770124932</v>
      </c>
      <c r="P33" s="5"/>
      <c r="Q33" s="271">
        <v>-5.2340222231478262818957347500</v>
      </c>
      <c r="R33" s="92">
        <v>-0.7333074469322996722310246200</v>
      </c>
      <c r="S33" s="272">
        <v>-0.339486075823094773047747300</v>
      </c>
      <c r="T33" s="271">
        <v>-18.695120052851938996218967810</v>
      </c>
      <c r="U33" s="92">
        <v>-12.690145644086629530899899760</v>
      </c>
      <c r="V33" s="272">
        <v>2.3508972046327836457274780400</v>
      </c>
      <c r="W33" s="271">
        <v>0</v>
      </c>
      <c r="X33" s="92">
        <v>9.265924437615804051232573160</v>
      </c>
      <c r="Y33" s="272">
        <v>5.3645005886685121133480534500</v>
      </c>
      <c r="Z33" s="271">
        <v>-5.826840905352683075123742100</v>
      </c>
      <c r="AA33" s="92">
        <v>-1.8234572401339600880098168200</v>
      </c>
      <c r="AB33" s="272">
        <v>0.0619759917281531944426062400</v>
      </c>
    </row>
    <row r="34" ht="18" customHeight="1">
      <c r="A34" s="58"/>
      <c r="B34" s="1047" t="s">
        <v>76</v>
      </c>
      <c r="C34" s="1047"/>
      <c r="D34" s="443">
        <v>277.1260298952674381591851747</v>
      </c>
      <c r="E34" s="444">
        <v>275.69017661518454893207487437</v>
      </c>
      <c r="F34" s="445">
        <v>257.90259288345955909435068726</v>
      </c>
      <c r="G34" s="443">
        <v>323.92616162602344760243819631</v>
      </c>
      <c r="H34" s="444">
        <v>276.92873303530621622129418166</v>
      </c>
      <c r="I34" s="445">
        <v>254.68477595917697410634215108</v>
      </c>
      <c r="J34" s="443">
        <v>0</v>
      </c>
      <c r="K34" s="444">
        <v>189.39844985348691898391470169</v>
      </c>
      <c r="L34" s="445">
        <v>154.73936894280294952735397171</v>
      </c>
      <c r="M34" s="633">
        <v>280.14076230737135287792233253</v>
      </c>
      <c r="N34" s="634">
        <v>275.50058127415640836892833568</v>
      </c>
      <c r="O34" s="635">
        <v>248.06268887682392703239973054</v>
      </c>
      <c r="P34" s="93"/>
      <c r="Q34" s="273">
        <v>-6.0085146156551142440966755900</v>
      </c>
      <c r="R34" s="274">
        <v>-1.7770107019382216888931627800</v>
      </c>
      <c r="S34" s="275">
        <v>-0.3222883015316845332951251500</v>
      </c>
      <c r="T34" s="273">
        <v>-13.858939986399537037576877050</v>
      </c>
      <c r="U34" s="274">
        <v>-12.931299549612075749820196960</v>
      </c>
      <c r="V34" s="275">
        <v>1.2324647973162284293205015400</v>
      </c>
      <c r="W34" s="273">
        <v>0</v>
      </c>
      <c r="X34" s="274">
        <v>10.960231836289962213475780290</v>
      </c>
      <c r="Y34" s="275">
        <v>3.7600410146162978848306453300</v>
      </c>
      <c r="Z34" s="273">
        <v>-6.4043458814998961714515017600</v>
      </c>
      <c r="AA34" s="274">
        <v>-2.7719602063249012300012889300</v>
      </c>
      <c r="AB34" s="275">
        <v>-0.1272021756294906779771788800</v>
      </c>
    </row>
    <row r="35" ht="6" customHeight="1">
      <c r="A35" s="58"/>
      <c r="B35" s="631"/>
      <c r="C35" s="631"/>
      <c r="D35" s="95"/>
      <c r="E35" s="95"/>
      <c r="F35" s="95"/>
      <c r="G35" s="95"/>
      <c r="H35" s="95"/>
      <c r="I35" s="95"/>
      <c r="J35" s="95"/>
      <c r="K35" s="95"/>
      <c r="L35" s="95"/>
      <c r="M35" s="636"/>
      <c r="N35" s="636"/>
      <c r="O35" s="636"/>
      <c r="P35" s="93"/>
      <c r="Q35" s="91"/>
      <c r="R35" s="91"/>
      <c r="S35" s="91"/>
      <c r="T35" s="91"/>
      <c r="U35" s="91"/>
      <c r="V35" s="91"/>
      <c r="W35" s="91"/>
      <c r="X35" s="91"/>
      <c r="Y35" s="91"/>
      <c r="Z35" s="91"/>
      <c r="AA35" s="91"/>
      <c r="AB35" s="91"/>
    </row>
    <row r="36" ht="18" customHeight="1">
      <c r="A36" s="58"/>
      <c r="B36" s="982" t="s">
        <v>12</v>
      </c>
      <c r="C36" s="982"/>
      <c r="D36" s="482">
        <v>228.53741631680472029955747192</v>
      </c>
      <c r="E36" s="483">
        <v>237.56363588665783797476093143</v>
      </c>
      <c r="F36" s="484">
        <v>231.52535568576433660347575225</v>
      </c>
      <c r="G36" s="482">
        <v>270.80559615786176654833994571</v>
      </c>
      <c r="H36" s="483">
        <v>262.50709066569690531283176471</v>
      </c>
      <c r="I36" s="484">
        <v>257.37684800521588660538732365</v>
      </c>
      <c r="J36" s="482">
        <v>0</v>
      </c>
      <c r="K36" s="483">
        <v>189.6664751338048681524339789</v>
      </c>
      <c r="L36" s="484">
        <v>154.80794182505319107145900717</v>
      </c>
      <c r="M36" s="482">
        <v>233.59279238780250243500412078</v>
      </c>
      <c r="N36" s="483">
        <v>240.3397571153039832285115304</v>
      </c>
      <c r="O36" s="484">
        <v>228.47549430063792471234838638</v>
      </c>
      <c r="P36" s="93"/>
      <c r="Q36" s="468">
        <v>-4.1852389509713810936399883300</v>
      </c>
      <c r="R36" s="469">
        <v>-0.6663958095710813488572481400</v>
      </c>
      <c r="S36" s="470">
        <v>-0.1498597614881248743496575400</v>
      </c>
      <c r="T36" s="468">
        <v>-6.0411986864036754796478282900</v>
      </c>
      <c r="U36" s="469">
        <v>-8.428257720450627315827104760</v>
      </c>
      <c r="V36" s="470">
        <v>0.4411677390396976471780052500</v>
      </c>
      <c r="W36" s="468">
        <v>0</v>
      </c>
      <c r="X36" s="469">
        <v>13.244404437549427584197723330</v>
      </c>
      <c r="Y36" s="470">
        <v>4.6355459583016952609163669800</v>
      </c>
      <c r="Z36" s="468">
        <v>-4.135515224912910255468430800</v>
      </c>
      <c r="AA36" s="469">
        <v>-1.5744413931280540464516884800</v>
      </c>
      <c r="AB36" s="470">
        <v>0.1683410693979413045892955300</v>
      </c>
    </row>
    <row r="37" ht="15" customHeight="1">
      <c r="B37" s="43"/>
      <c r="C37"/>
      <c r="D37" s="56"/>
      <c r="E37" s="56"/>
      <c r="F37" s="56"/>
      <c r="G37" s="56"/>
      <c r="H37" s="56"/>
      <c r="I37" s="56"/>
      <c r="J37" s="56"/>
      <c r="K37" s="56"/>
      <c r="L37" s="56"/>
      <c r="M37" s="56"/>
      <c r="N37" s="56"/>
      <c r="O37" s="56"/>
      <c r="P37" s="5"/>
      <c r="Q37" s="5"/>
      <c r="R37" s="5"/>
      <c r="S37" s="5"/>
      <c r="T37" s="5"/>
      <c r="U37" s="5"/>
      <c r="V37" s="5"/>
      <c r="W37" s="5"/>
      <c r="X37" s="5"/>
      <c r="Y37" s="5"/>
      <c r="Z37" s="5"/>
      <c r="AA37" s="5"/>
      <c r="AB37" s="5"/>
    </row>
    <row r="38" ht="18" customHeight="1">
      <c r="A38" s="112"/>
      <c r="B38" s="1037" t="s">
        <v>10</v>
      </c>
      <c r="C38" s="1037"/>
      <c r="D38" s="1037"/>
      <c r="E38" s="1037"/>
      <c r="F38" s="1037"/>
      <c r="G38" s="1037"/>
      <c r="H38" s="1037"/>
      <c r="I38" s="1037"/>
      <c r="J38" s="1037"/>
      <c r="K38" s="1037"/>
      <c r="L38" s="1037"/>
      <c r="M38" s="1037"/>
      <c r="N38" s="1037"/>
      <c r="O38" s="1037"/>
      <c r="P38" s="411"/>
      <c r="Q38" s="1038"/>
      <c r="R38" s="1038"/>
      <c r="S38" s="1038"/>
      <c r="T38" s="1038"/>
      <c r="U38" s="1038"/>
      <c r="V38" s="1038"/>
      <c r="W38" s="1038"/>
      <c r="X38" s="1038"/>
      <c r="Y38" s="1038"/>
      <c r="Z38" s="1038"/>
      <c r="AA38" s="1038"/>
      <c r="AB38" s="1038"/>
      <c r="AC38" s="9"/>
    </row>
    <row r="39" ht="18" customHeight="1">
      <c r="A39" s="58"/>
      <c r="B39" s="1042" t="s">
        <v>43</v>
      </c>
      <c r="C39" s="1042"/>
      <c r="D39" s="454">
        <v>152.52437138886324439862723199</v>
      </c>
      <c r="E39" s="455">
        <v>152.93854720236995035607099194</v>
      </c>
      <c r="F39" s="456">
        <v>115.36661189454586733450156235</v>
      </c>
      <c r="G39" s="454">
        <v>21.34737716687438422985487437</v>
      </c>
      <c r="H39" s="455">
        <v>24.213393023116007516169534132</v>
      </c>
      <c r="I39" s="456">
        <v>25.149805815930217343043483632</v>
      </c>
      <c r="J39" s="454">
        <v>0</v>
      </c>
      <c r="K39" s="455">
        <v>1.0742026492718816592147170289</v>
      </c>
      <c r="L39" s="456">
        <v>11.597176604149488563556989352</v>
      </c>
      <c r="M39" s="454">
        <v>174.77728928745448090044761993</v>
      </c>
      <c r="N39" s="455">
        <v>178.22614287475783953145524294</v>
      </c>
      <c r="O39" s="456">
        <v>152.11295178322312800461283364</v>
      </c>
      <c r="P39" s="5"/>
      <c r="Q39" s="427">
        <v>-5.7162906484613637904848782300</v>
      </c>
      <c r="R39" s="428">
        <v>5.3548097554851130115803477300</v>
      </c>
      <c r="S39" s="429">
        <v>-1.1046441687669459704054814400</v>
      </c>
      <c r="T39" s="427">
        <v>51.124780460935461103410420540</v>
      </c>
      <c r="U39" s="428">
        <v>14.772237193743157543293097230</v>
      </c>
      <c r="V39" s="429">
        <v>11.857743407335193013786456830</v>
      </c>
      <c r="W39" s="427">
        <v>0</v>
      </c>
      <c r="X39" s="428">
        <v>-21.074403522292820757958577820</v>
      </c>
      <c r="Y39" s="429">
        <v>13.887033524845106560040684550</v>
      </c>
      <c r="Z39" s="427">
        <v>-1.7772513397960154366844097700</v>
      </c>
      <c r="AA39" s="428">
        <v>6.3225303612569935227831683500</v>
      </c>
      <c r="AB39" s="429">
        <v>1.8690362647548188002214921300</v>
      </c>
    </row>
    <row r="40" ht="18" customHeight="1">
      <c r="A40" s="58"/>
      <c r="B40" s="1043" t="s">
        <v>46</v>
      </c>
      <c r="C40" s="1043"/>
      <c r="D40" s="439">
        <v>131.39329564180831252445632632</v>
      </c>
      <c r="E40" s="95">
        <v>130.58342330309618454107606943</v>
      </c>
      <c r="F40" s="440">
        <v>102.95632955335556623481974458</v>
      </c>
      <c r="G40" s="439">
        <v>30.44607084965929031420767497</v>
      </c>
      <c r="H40" s="95">
        <v>27.096223314120247576922194025</v>
      </c>
      <c r="I40" s="440">
        <v>33.922434863858955490133815339</v>
      </c>
      <c r="J40" s="439">
        <v>0</v>
      </c>
      <c r="K40" s="95">
        <v>1.0216136661323513916654015499</v>
      </c>
      <c r="L40" s="440">
        <v>11.340439446307809917142235141</v>
      </c>
      <c r="M40" s="439">
        <v>163.28191647255615596741461721</v>
      </c>
      <c r="N40" s="95">
        <v>158.70126028334878350966366489</v>
      </c>
      <c r="O40" s="440">
        <v>148.21858953057206117614827956</v>
      </c>
      <c r="P40" s="5"/>
      <c r="Q40" s="420">
        <v>-3.2809031391134898158142572400</v>
      </c>
      <c r="R40" s="91">
        <v>10.314074176962569676171679130</v>
      </c>
      <c r="S40" s="421">
        <v>0.8878598555695294454986325700</v>
      </c>
      <c r="T40" s="420">
        <v>21.178740229775999051846612110</v>
      </c>
      <c r="U40" s="91">
        <v>9.605773095010104190851292820</v>
      </c>
      <c r="V40" s="421">
        <v>8.284623030433596659034280660</v>
      </c>
      <c r="W40" s="420">
        <v>0</v>
      </c>
      <c r="X40" s="91">
        <v>-27.957821087871300952720661260</v>
      </c>
      <c r="Y40" s="421">
        <v>12.295098034376549185008322060</v>
      </c>
      <c r="Z40" s="420">
        <v>1.2434506136325816612349501700</v>
      </c>
      <c r="AA40" s="91">
        <v>9.814244910635030761202352090</v>
      </c>
      <c r="AB40" s="421">
        <v>3.3053572513266610360752576500</v>
      </c>
    </row>
    <row r="41" ht="18" customHeight="1">
      <c r="A41" s="58"/>
      <c r="B41" s="1043" t="s">
        <v>47</v>
      </c>
      <c r="C41" s="1043"/>
      <c r="D41" s="439">
        <v>132.51785760947293636751804986</v>
      </c>
      <c r="E41" s="95">
        <v>137.43026913970492088481435634</v>
      </c>
      <c r="F41" s="440">
        <v>112.0054591936053252641042175</v>
      </c>
      <c r="G41" s="439">
        <v>35.073069266945807500193245066</v>
      </c>
      <c r="H41" s="95">
        <v>30.064736975758891290938933953</v>
      </c>
      <c r="I41" s="440">
        <v>39.927946949786812436466399895</v>
      </c>
      <c r="J41" s="439">
        <v>0</v>
      </c>
      <c r="K41" s="95">
        <v>0.8785978106070050260266291545</v>
      </c>
      <c r="L41" s="440">
        <v>11.28980955535495314095119696</v>
      </c>
      <c r="M41" s="439">
        <v>167.74969028540155426440405351</v>
      </c>
      <c r="N41" s="95">
        <v>168.3736039260708172017799193</v>
      </c>
      <c r="O41" s="440">
        <v>163.22252656351233345837142707</v>
      </c>
      <c r="P41" s="93"/>
      <c r="Q41" s="420">
        <v>-0.582032219529134312810452700</v>
      </c>
      <c r="R41" s="91">
        <v>13.290574766301393393868363420</v>
      </c>
      <c r="S41" s="421">
        <v>3.3787075875872998847199984800</v>
      </c>
      <c r="T41" s="420">
        <v>16.604898080943960026507089820</v>
      </c>
      <c r="U41" s="91">
        <v>-0.5176080351049664417589318700</v>
      </c>
      <c r="V41" s="421">
        <v>8.217729023355558039551323240</v>
      </c>
      <c r="W41" s="420">
        <v>0</v>
      </c>
      <c r="X41" s="91">
        <v>-14.133499747670503426212451470</v>
      </c>
      <c r="Y41" s="421">
        <v>15.231907072137644458262359530</v>
      </c>
      <c r="Z41" s="420">
        <v>2.3414232537509268047213808700</v>
      </c>
      <c r="AA41" s="91">
        <v>10.368053498283737392078782450</v>
      </c>
      <c r="AB41" s="421">
        <v>5.2788749978754994212847380400</v>
      </c>
    </row>
    <row r="42" ht="18" customHeight="1">
      <c r="A42" s="58"/>
      <c r="B42" s="1043" t="s">
        <v>48</v>
      </c>
      <c r="C42" s="1043"/>
      <c r="D42" s="439">
        <v>136.41618279886040757180155594</v>
      </c>
      <c r="E42" s="95">
        <v>138.32980344944653892233963717</v>
      </c>
      <c r="F42" s="440">
        <v>114.1397032507936980510567808</v>
      </c>
      <c r="G42" s="439">
        <v>34.60488718471687305788675484</v>
      </c>
      <c r="H42" s="95">
        <v>27.749059114951391736228395899</v>
      </c>
      <c r="I42" s="440">
        <v>40.215007891688949071931631131</v>
      </c>
      <c r="J42" s="439">
        <v>0</v>
      </c>
      <c r="K42" s="95">
        <v>1.0428976601022797282010554749</v>
      </c>
      <c r="L42" s="440">
        <v>11.135952096298853986097485925</v>
      </c>
      <c r="M42" s="439">
        <v>172.57099568413578383610237362</v>
      </c>
      <c r="N42" s="95">
        <v>167.12176022450021038676908839</v>
      </c>
      <c r="O42" s="440">
        <v>165.49010415204347425746182518</v>
      </c>
      <c r="P42" s="5"/>
      <c r="Q42" s="420">
        <v>-1.4420827347784612045621493800</v>
      </c>
      <c r="R42" s="91">
        <v>7.7611805223897156036365179200</v>
      </c>
      <c r="S42" s="421">
        <v>-0.0392456105338357111768012600</v>
      </c>
      <c r="T42" s="420">
        <v>2.6166095928274024595346487300</v>
      </c>
      <c r="U42" s="91">
        <v>-7.5446652804466462785661651900</v>
      </c>
      <c r="V42" s="421">
        <v>5.8459214293496825862479596700</v>
      </c>
      <c r="W42" s="420">
        <v>0</v>
      </c>
      <c r="X42" s="91">
        <v>14.080620337264864050327332950</v>
      </c>
      <c r="Y42" s="421">
        <v>8.506336776736702334073359840</v>
      </c>
      <c r="Z42" s="420">
        <v>-0.0148389436386336894530976900</v>
      </c>
      <c r="AA42" s="91">
        <v>4.9106276661179753248207141300</v>
      </c>
      <c r="AB42" s="421">
        <v>1.8767892166379506478836217700</v>
      </c>
    </row>
    <row r="43" ht="18" customHeight="1">
      <c r="A43" s="58"/>
      <c r="B43" s="1043" t="s">
        <v>49</v>
      </c>
      <c r="C43" s="1043"/>
      <c r="D43" s="439">
        <v>160.92208833579732841300224443</v>
      </c>
      <c r="E43" s="95">
        <v>157.9456428823128142411542541</v>
      </c>
      <c r="F43" s="440">
        <v>126.7243829387767318662153906</v>
      </c>
      <c r="G43" s="439">
        <v>27.240856010083420897436145047</v>
      </c>
      <c r="H43" s="95">
        <v>22.614845868719074895937889911</v>
      </c>
      <c r="I43" s="440">
        <v>35.32159986779960947120728019</v>
      </c>
      <c r="J43" s="439">
        <v>0</v>
      </c>
      <c r="K43" s="95">
        <v>0.8945388609072476441752664381</v>
      </c>
      <c r="L43" s="440">
        <v>11.564970338547532316164026059</v>
      </c>
      <c r="M43" s="439">
        <v>188.85173881737937482749411182</v>
      </c>
      <c r="N43" s="95">
        <v>181.45502761193913678126741032</v>
      </c>
      <c r="O43" s="440">
        <v>173.61036671439706969866113218</v>
      </c>
      <c r="P43" s="93"/>
      <c r="Q43" s="420">
        <v>-4.504190467072727555770321400</v>
      </c>
      <c r="R43" s="91">
        <v>0.7624226146522209830211942500</v>
      </c>
      <c r="S43" s="421">
        <v>-0.3833074531120358976309318700</v>
      </c>
      <c r="T43" s="420">
        <v>-14.537905226817623244028420440</v>
      </c>
      <c r="U43" s="91">
        <v>-13.495452578978062271095415620</v>
      </c>
      <c r="V43" s="421">
        <v>3.8006817152726426643076929200</v>
      </c>
      <c r="W43" s="420">
        <v>0</v>
      </c>
      <c r="X43" s="91">
        <v>-30.044699273346748700510583330</v>
      </c>
      <c r="Y43" s="421">
        <v>14.479406481124437850341957660</v>
      </c>
      <c r="Z43" s="420">
        <v>-5.9409209771262482875927941800</v>
      </c>
      <c r="AA43" s="91">
        <v>-1.4788478220612988035418816100</v>
      </c>
      <c r="AB43" s="421">
        <v>1.3235736086639357209388820700</v>
      </c>
    </row>
    <row r="44" ht="18" customHeight="1">
      <c r="A44" s="58"/>
      <c r="B44" s="1044" t="s">
        <v>75</v>
      </c>
      <c r="C44" s="1044"/>
      <c r="D44" s="457">
        <v>142.63713221637255016735487256</v>
      </c>
      <c r="E44" s="458">
        <v>143.39625706553056494139751768</v>
      </c>
      <c r="F44" s="459">
        <v>114.19628439095976896092362192</v>
      </c>
      <c r="G44" s="457">
        <v>29.768634668658193735397431155</v>
      </c>
      <c r="H44" s="458">
        <v>26.350519749964490898157714491</v>
      </c>
      <c r="I44" s="459">
        <v>34.904401730246142515756583992</v>
      </c>
      <c r="J44" s="457">
        <v>0</v>
      </c>
      <c r="K44" s="458">
        <v>0.9825204877824220488673755672</v>
      </c>
      <c r="L44" s="459">
        <v>11.385488637357231241975626848</v>
      </c>
      <c r="M44" s="457">
        <v>173.40738201116007028870604971</v>
      </c>
      <c r="N44" s="458">
        <v>170.72929730327747788842260769</v>
      </c>
      <c r="O44" s="459">
        <v>160.48555360936764518877426131</v>
      </c>
      <c r="P44" s="5"/>
      <c r="Q44" s="430">
        <v>-3.4186158784442568038960273800</v>
      </c>
      <c r="R44" s="431">
        <v>6.985894813899039084835928800</v>
      </c>
      <c r="S44" s="432">
        <v>0.4372727327466446753771103300</v>
      </c>
      <c r="T44" s="430">
        <v>10.752443730520264185482558960</v>
      </c>
      <c r="U44" s="431">
        <v>-0.258152226725739588920199600</v>
      </c>
      <c r="V44" s="432">
        <v>7.3780557770380818018762214500</v>
      </c>
      <c r="W44" s="430">
        <v>0</v>
      </c>
      <c r="X44" s="431">
        <v>-18.099912045614157080381130330</v>
      </c>
      <c r="Y44" s="432">
        <v>12.847556037615983309089422860</v>
      </c>
      <c r="Z44" s="430">
        <v>-1.0858681037113697366994120300</v>
      </c>
      <c r="AA44" s="431">
        <v>5.6127000436883476626975238100</v>
      </c>
      <c r="AB44" s="432">
        <v>2.6815165257183248884750348200</v>
      </c>
    </row>
    <row r="45" ht="6" customHeight="1">
      <c r="A45" s="58"/>
      <c r="B45" s="631"/>
      <c r="C45" s="631"/>
      <c r="D45" s="95"/>
      <c r="E45" s="95"/>
      <c r="F45" s="95"/>
      <c r="G45" s="95"/>
      <c r="H45" s="95"/>
      <c r="I45" s="95"/>
      <c r="J45" s="95"/>
      <c r="K45" s="95"/>
      <c r="L45" s="95"/>
      <c r="M45" s="95"/>
      <c r="N45" s="95"/>
      <c r="O45" s="95"/>
      <c r="P45" s="5"/>
      <c r="Q45" s="91"/>
      <c r="R45" s="91"/>
      <c r="S45" s="91"/>
      <c r="T45" s="91"/>
      <c r="U45" s="91"/>
      <c r="V45" s="91"/>
      <c r="W45" s="91"/>
      <c r="X45" s="91"/>
      <c r="Y45" s="91"/>
      <c r="Z45" s="91"/>
      <c r="AA45" s="91"/>
      <c r="AB45" s="91"/>
    </row>
    <row r="46" ht="18" customHeight="1">
      <c r="A46" s="58"/>
      <c r="B46" s="1045" t="s">
        <v>50</v>
      </c>
      <c r="C46" s="1045"/>
      <c r="D46" s="493">
        <v>220.6470341479437350409605188</v>
      </c>
      <c r="E46" s="494">
        <v>209.77779620752857152393646558</v>
      </c>
      <c r="F46" s="495">
        <v>162.93979659365603273960138468</v>
      </c>
      <c r="G46" s="493">
        <v>20.644872908645460789631503106</v>
      </c>
      <c r="H46" s="494">
        <v>22.158006476434073211219917923</v>
      </c>
      <c r="I46" s="495">
        <v>33.295299771385705958280004562</v>
      </c>
      <c r="J46" s="493">
        <v>0</v>
      </c>
      <c r="K46" s="494">
        <v>0.6352216136491624752980016694</v>
      </c>
      <c r="L46" s="495">
        <v>11.875389001448368808431498402</v>
      </c>
      <c r="M46" s="493">
        <v>243.16933303545567233219167672</v>
      </c>
      <c r="N46" s="494">
        <v>232.57102429761180721045438497</v>
      </c>
      <c r="O46" s="495">
        <v>208.10978278655211070643948935</v>
      </c>
      <c r="P46" s="93"/>
      <c r="Q46" s="479">
        <v>-7.2489593828675768753042660100</v>
      </c>
      <c r="R46" s="480">
        <v>-0.8018893996154348310199581200</v>
      </c>
      <c r="S46" s="481">
        <v>0.5364757354618177582119680900</v>
      </c>
      <c r="T46" s="479">
        <v>-6.8387167864219241817145209700</v>
      </c>
      <c r="U46" s="480">
        <v>-15.268182122944455938739377710</v>
      </c>
      <c r="V46" s="481">
        <v>5.8984754383344218206028696400</v>
      </c>
      <c r="W46" s="479">
        <v>0</v>
      </c>
      <c r="X46" s="480">
        <v>-48.484467773201743301748547310</v>
      </c>
      <c r="Y46" s="481">
        <v>11.006345922840911235756756470</v>
      </c>
      <c r="Z46" s="479">
        <v>-7.855147711109854667646882700</v>
      </c>
      <c r="AA46" s="480">
        <v>-2.6346102721028919070645032500</v>
      </c>
      <c r="AB46" s="481">
        <v>1.9101176310331885701841841700</v>
      </c>
    </row>
    <row r="47" ht="18" customHeight="1">
      <c r="A47" s="58"/>
      <c r="B47" s="1046" t="s">
        <v>51</v>
      </c>
      <c r="C47" s="1046"/>
      <c r="D47" s="276">
        <v>231.45406300264637122352436024</v>
      </c>
      <c r="E47" s="94">
        <v>219.41631764020409480350342919</v>
      </c>
      <c r="F47" s="277">
        <v>170.19017434888319177595064488</v>
      </c>
      <c r="G47" s="276">
        <v>15.740239510993482769175364337</v>
      </c>
      <c r="H47" s="94">
        <v>24.297515404963356127712278689</v>
      </c>
      <c r="I47" s="277">
        <v>30.065811024015794099038242167</v>
      </c>
      <c r="J47" s="276">
        <v>0</v>
      </c>
      <c r="K47" s="94">
        <v>0.6764215344910030966361756538</v>
      </c>
      <c r="L47" s="277">
        <v>11.928378114948441788951817055</v>
      </c>
      <c r="M47" s="276">
        <v>249.11765340852935948795680449</v>
      </c>
      <c r="N47" s="94">
        <v>244.39025457965845402785188326</v>
      </c>
      <c r="O47" s="277">
        <v>212.18364710693780869394845715</v>
      </c>
      <c r="P47" s="5"/>
      <c r="Q47" s="271">
        <v>-6.5455144723554126268477337100</v>
      </c>
      <c r="R47" s="92">
        <v>-0.886212235656980252639412200</v>
      </c>
      <c r="S47" s="272">
        <v>-0.8965276484279156557522600200</v>
      </c>
      <c r="T47" s="271">
        <v>6.2859168886414360588764873100</v>
      </c>
      <c r="U47" s="92">
        <v>-2.8323958784649850219744452600</v>
      </c>
      <c r="V47" s="272">
        <v>8.527288368054036136833533300</v>
      </c>
      <c r="W47" s="271">
        <v>0</v>
      </c>
      <c r="X47" s="92">
        <v>-29.508597078680350245300729760</v>
      </c>
      <c r="Y47" s="272">
        <v>13.335285334242019975851945290</v>
      </c>
      <c r="Z47" s="271">
        <v>-6.4465768549670161853082669100</v>
      </c>
      <c r="AA47" s="92">
        <v>-1.1967533655509107305922280800</v>
      </c>
      <c r="AB47" s="272">
        <v>1.059945477551666706685131600</v>
      </c>
    </row>
    <row r="48" ht="18" customHeight="1">
      <c r="A48" s="58"/>
      <c r="B48" s="1047" t="s">
        <v>76</v>
      </c>
      <c r="C48" s="1047"/>
      <c r="D48" s="443">
        <v>226.05054857529505313224243945</v>
      </c>
      <c r="E48" s="444">
        <v>214.59705692386633316371994735</v>
      </c>
      <c r="F48" s="445">
        <v>166.56486507984246507490856452</v>
      </c>
      <c r="G48" s="443">
        <v>18.192556209819471779403433717</v>
      </c>
      <c r="H48" s="444">
        <v>23.2277609406987146694660983</v>
      </c>
      <c r="I48" s="445">
        <v>31.68060902287344828211133677</v>
      </c>
      <c r="J48" s="443">
        <v>0</v>
      </c>
      <c r="K48" s="444">
        <v>0.6558215740700827859670886614</v>
      </c>
      <c r="L48" s="445">
        <v>11.90188267832218189245776246</v>
      </c>
      <c r="M48" s="443">
        <v>246.1434932219925159100742406</v>
      </c>
      <c r="N48" s="444">
        <v>238.48063943863513061915313412</v>
      </c>
      <c r="O48" s="445">
        <v>210.14664730107183021600244661</v>
      </c>
      <c r="P48" s="93"/>
      <c r="Q48" s="273">
        <v>-6.9077451261308337561781692700</v>
      </c>
      <c r="R48" s="274">
        <v>-0.8666762106718932830337973400</v>
      </c>
      <c r="S48" s="275">
        <v>-0.2274934409945726698675150200</v>
      </c>
      <c r="T48" s="273">
        <v>-1.3972167627756711945249122900</v>
      </c>
      <c r="U48" s="274">
        <v>-9.170044064494816854271010320</v>
      </c>
      <c r="V48" s="275">
        <v>7.1925546285562473107178727300</v>
      </c>
      <c r="W48" s="273">
        <v>0</v>
      </c>
      <c r="X48" s="274">
        <v>-40.108625583123847344870371540</v>
      </c>
      <c r="Y48" s="275">
        <v>12.169758093147248190433596650</v>
      </c>
      <c r="Z48" s="273">
        <v>-7.1516718851082649560377773900</v>
      </c>
      <c r="AA48" s="274">
        <v>-1.9194807761135161261839688100</v>
      </c>
      <c r="AB48" s="275">
        <v>1.4660921672893911785523788900</v>
      </c>
    </row>
    <row r="49" ht="6" customHeight="1">
      <c r="A49" s="58"/>
      <c r="B49" s="631"/>
      <c r="C49" s="631"/>
      <c r="D49" s="95"/>
      <c r="E49" s="95"/>
      <c r="F49" s="95"/>
      <c r="G49" s="95"/>
      <c r="H49" s="95"/>
      <c r="I49" s="95"/>
      <c r="J49" s="95"/>
      <c r="K49" s="95"/>
      <c r="L49" s="95"/>
      <c r="M49" s="95"/>
      <c r="N49" s="95"/>
      <c r="O49" s="95"/>
      <c r="P49" s="5"/>
      <c r="Q49" s="91"/>
      <c r="R49" s="91"/>
      <c r="S49" s="91"/>
      <c r="T49" s="91"/>
      <c r="U49" s="91"/>
      <c r="V49" s="91"/>
      <c r="W49" s="91"/>
      <c r="X49" s="91"/>
      <c r="Y49" s="91"/>
      <c r="Z49" s="91"/>
      <c r="AA49" s="91"/>
      <c r="AB49" s="91"/>
    </row>
    <row r="50" ht="18" customHeight="1">
      <c r="A50" s="58"/>
      <c r="B50" s="982" t="s">
        <v>12</v>
      </c>
      <c r="C50" s="982"/>
      <c r="D50" s="482">
        <v>167.21463262764632627646326276</v>
      </c>
      <c r="E50" s="483">
        <v>163.51248400260418644951678945</v>
      </c>
      <c r="F50" s="484">
        <v>128.9471477089761682534947992</v>
      </c>
      <c r="G50" s="482">
        <v>26.917559153175591531755915318</v>
      </c>
      <c r="H50" s="483">
        <v>25.586164998778292432591779106</v>
      </c>
      <c r="I50" s="484">
        <v>34.083739474702386390899551703</v>
      </c>
      <c r="J50" s="482">
        <v>0</v>
      </c>
      <c r="K50" s="483">
        <v>0.9351403075859466373917563335</v>
      </c>
      <c r="L50" s="484">
        <v>11.612428772007871971290744564</v>
      </c>
      <c r="M50" s="482">
        <v>194.13219178082191780821917808</v>
      </c>
      <c r="N50" s="483">
        <v>190.03378930896842551950032489</v>
      </c>
      <c r="O50" s="484">
        <v>174.64331595568642661568509546</v>
      </c>
      <c r="P50" s="93"/>
      <c r="Q50" s="468">
        <v>-5.221328532959007839124007100</v>
      </c>
      <c r="R50" s="469">
        <v>3.5613091398670015038157582800</v>
      </c>
      <c r="S50" s="470">
        <v>0.1187820327855388723862214800</v>
      </c>
      <c r="T50" s="468">
        <v>9.223309234624104111632013830</v>
      </c>
      <c r="U50" s="469">
        <v>-1.5211056159818766524103646500</v>
      </c>
      <c r="V50" s="470">
        <v>7.2965314879855065823605636100</v>
      </c>
      <c r="W50" s="468">
        <v>0</v>
      </c>
      <c r="X50" s="469">
        <v>-19.453281337526780136093615520</v>
      </c>
      <c r="Y50" s="470">
        <v>12.515041299019148128699579360</v>
      </c>
      <c r="Z50" s="468">
        <v>-3.4509030205954224526483721600</v>
      </c>
      <c r="AA50" s="469">
        <v>2.7032526517266356721912302800</v>
      </c>
      <c r="AB50" s="470">
        <v>2.2017941722187513416703451900</v>
      </c>
    </row>
    <row r="51" ht="15" customHeight="1">
      <c r="B51" s="43"/>
      <c r="C51"/>
      <c r="D51" s="56"/>
      <c r="E51" s="56"/>
      <c r="F51" s="56"/>
      <c r="G51" s="56"/>
      <c r="H51" s="56"/>
      <c r="I51" s="56"/>
      <c r="J51" s="56"/>
      <c r="K51" s="56"/>
      <c r="L51" s="56"/>
      <c r="M51" s="56"/>
      <c r="N51" s="56"/>
      <c r="O51" s="56"/>
      <c r="P51" s="5"/>
      <c r="Q51" s="5"/>
      <c r="R51" s="5"/>
      <c r="S51" s="5"/>
      <c r="T51" s="5"/>
      <c r="U51" s="5"/>
      <c r="V51" s="5"/>
      <c r="W51" s="5"/>
      <c r="X51" s="5"/>
      <c r="Y51" s="5"/>
      <c r="Z51" s="5"/>
      <c r="AA51" s="5"/>
      <c r="AB51" s="5"/>
    </row>
    <row r="52" ht="39.95" customHeight="1">
      <c r="B52" s="1048" t="s">
        <v>126</v>
      </c>
      <c r="C52" s="1048"/>
      <c r="D52" s="1048"/>
      <c r="E52" s="1048"/>
      <c r="F52" s="1048"/>
      <c r="G52" s="1048"/>
      <c r="H52" s="1048"/>
      <c r="I52" s="1048"/>
      <c r="J52" s="1048"/>
      <c r="K52" s="1048"/>
      <c r="L52" s="1048"/>
      <c r="M52" s="1048"/>
      <c r="N52" s="1048"/>
      <c r="O52" s="1048"/>
      <c r="P52" s="1048"/>
      <c r="Q52" s="1048"/>
      <c r="R52" s="1048"/>
      <c r="S52" s="1048"/>
      <c r="T52" s="1048"/>
      <c r="U52" s="1048"/>
      <c r="V52" s="1048"/>
      <c r="W52" s="1048"/>
      <c r="X52" s="1048"/>
      <c r="Y52" s="1048"/>
      <c r="Z52" s="1048"/>
      <c r="AA52" s="1048"/>
      <c r="AB52" s="1048"/>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row r="87" s="236" customFormat="1"/>
    <row r="88" s="236" customFormat="1"/>
    <row r="89" s="236" customFormat="1"/>
    <row r="90" s="236" customFormat="1"/>
    <row r="91" s="236" customFormat="1"/>
    <row r="92" s="236" customFormat="1"/>
    <row r="93" s="236" customFormat="1"/>
    <row r="94" s="236" customFormat="1"/>
  </sheetData>
  <mergeCells count="49">
    <mergeCell ref="B52:AB52"/>
    <mergeCell ref="R3:AB3"/>
    <mergeCell ref="Q6:AB6"/>
    <mergeCell ref="D6:O6"/>
    <mergeCell ref="Q7:S7"/>
    <mergeCell ref="T7:V7"/>
    <mergeCell ref="W7:Y7"/>
    <mergeCell ref="Z7:AB7"/>
    <mergeCell ref="D7:F7"/>
    <mergeCell ref="M7:O7"/>
    <mergeCell ref="J7:L7"/>
    <mergeCell ref="G7:I7"/>
    <mergeCell ref="B8:C8"/>
    <mergeCell ref="B18:C18"/>
    <mergeCell ref="B10:O10"/>
    <mergeCell ref="B15:C15"/>
    <mergeCell ref="B22:C22"/>
    <mergeCell ref="B33:C33"/>
    <mergeCell ref="B34:C34"/>
    <mergeCell ref="B32:C32"/>
    <mergeCell ref="B19:C19"/>
    <mergeCell ref="B25:C25"/>
    <mergeCell ref="B26:C26"/>
    <mergeCell ref="B24:O24"/>
    <mergeCell ref="B50:C50"/>
    <mergeCell ref="B44:C44"/>
    <mergeCell ref="B46:C46"/>
    <mergeCell ref="B47:C47"/>
    <mergeCell ref="B48:C48"/>
    <mergeCell ref="Q10:AB10"/>
    <mergeCell ref="B11:C11"/>
    <mergeCell ref="B12:C12"/>
    <mergeCell ref="B13:C13"/>
    <mergeCell ref="B20:C20"/>
    <mergeCell ref="B16:C16"/>
    <mergeCell ref="B14:C14"/>
    <mergeCell ref="B43:C43"/>
    <mergeCell ref="B41:C41"/>
    <mergeCell ref="B27:C27"/>
    <mergeCell ref="Q24:AB24"/>
    <mergeCell ref="B36:C36"/>
    <mergeCell ref="B39:C39"/>
    <mergeCell ref="B40:C40"/>
    <mergeCell ref="B42:C42"/>
    <mergeCell ref="Q38:AB38"/>
    <mergeCell ref="B28:C28"/>
    <mergeCell ref="B29:C29"/>
    <mergeCell ref="B30:C30"/>
    <mergeCell ref="B38:O38"/>
  </mergeCells>
  <phoneticPr fontId="0" type="noConversion"/>
  <printOptions horizontalCentered="1" verticalCentered="1"/>
  <pageMargins left="0.25" right="0.25" top="0.25" bottom="0.25" header="0" footer="0"/>
  <pageSetup scale="67" fitToWidth="1" fitToHeight="1" orientation="landscape" r:id="rId1"/>
  <headerFooter alignWithMargins="0">
    <oddHeader/>
    <oddFooter/>
  </headerFooter>
  <rowBreaks count="1" manualBreakCount="1">
    <brk id="54" max="16383" man="1"/>
  </rowBreaks>
  <colBreaks count="1" manualBreakCount="1">
    <brk id="30" max="1048575" man="1"/>
  </colBreaks>
  <drawing r:id="rId59"/>
</worksheet>
</file>

<file path=xl/worksheets/sheet1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4">
    <pageSetUpPr fitToPage="1"/>
  </sheetPr>
  <dimension ref="A1:AI86"/>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236" customWidth="1"/>
  </cols>
  <sheetData>
    <row r="1" ht="39.95" customHeight="1">
      <c r="B1" s="656" t="s">
        <v>197</v>
      </c>
      <c r="AD1" s="5"/>
      <c r="AG1" s="685"/>
      <c r="AI1" s="236"/>
    </row>
    <row r="2" ht="21" customHeight="1">
      <c r="B2" s="11" t="s">
        <v>208</v>
      </c>
    </row>
    <row r="3" ht="21" customHeight="1">
      <c r="B3" s="11" t="s">
        <v>209</v>
      </c>
      <c r="U3" s="1040" t="s">
        <v>294</v>
      </c>
      <c r="V3" s="1040"/>
      <c r="W3" s="1040"/>
      <c r="X3" s="1040"/>
      <c r="Y3" s="1040"/>
      <c r="Z3" s="1040"/>
      <c r="AA3" s="1040"/>
      <c r="AB3" s="1040"/>
      <c r="AC3" s="1040"/>
      <c r="AD3" s="1040"/>
      <c r="AE3" s="1040"/>
      <c r="AF3" s="1040"/>
      <c r="AG3" s="1040"/>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60" t="s">
        <v>91</v>
      </c>
      <c r="E6" s="960"/>
      <c r="F6" s="960"/>
      <c r="G6" s="960"/>
      <c r="H6" s="960"/>
      <c r="I6" s="960"/>
      <c r="J6" s="960"/>
      <c r="K6" s="960"/>
      <c r="L6" s="960"/>
      <c r="M6" s="960"/>
      <c r="N6" s="960"/>
      <c r="O6" s="960"/>
      <c r="Q6" s="960" t="s">
        <v>70</v>
      </c>
      <c r="R6" s="960"/>
      <c r="S6" s="960"/>
      <c r="T6" s="960"/>
      <c r="U6" s="960"/>
      <c r="V6" s="960"/>
      <c r="W6" s="960"/>
      <c r="X6" s="960"/>
      <c r="Y6" s="960"/>
      <c r="Z6" s="960"/>
      <c r="AA6" s="960"/>
      <c r="AB6" s="960"/>
      <c r="AD6" s="960" t="s">
        <v>77</v>
      </c>
      <c r="AE6" s="960"/>
      <c r="AF6" s="960"/>
      <c r="AG6" s="960"/>
    </row>
    <row r="7" ht="24.95" customHeight="1">
      <c r="D7" s="283" t="s">
        <v>20</v>
      </c>
      <c r="E7" s="283"/>
      <c r="F7" s="283"/>
      <c r="G7" s="283" t="s">
        <v>18</v>
      </c>
      <c r="H7" s="283"/>
      <c r="I7" s="283"/>
      <c r="J7" s="283" t="s">
        <v>17</v>
      </c>
      <c r="K7" s="283"/>
      <c r="L7" s="283"/>
      <c r="M7" s="283" t="s">
        <v>101</v>
      </c>
      <c r="N7" s="283"/>
      <c r="O7" s="283"/>
      <c r="Q7" s="283" t="s">
        <v>20</v>
      </c>
      <c r="R7" s="283"/>
      <c r="S7" s="283"/>
      <c r="T7" s="283" t="s">
        <v>18</v>
      </c>
      <c r="U7" s="283"/>
      <c r="V7" s="283"/>
      <c r="W7" s="283" t="s">
        <v>17</v>
      </c>
      <c r="X7" s="283"/>
      <c r="Y7" s="283"/>
      <c r="Z7" s="283" t="s">
        <v>101</v>
      </c>
      <c r="AA7" s="283"/>
      <c r="AB7" s="283"/>
      <c r="AD7" s="283" t="s">
        <v>78</v>
      </c>
      <c r="AE7" s="283"/>
      <c r="AF7" s="283"/>
      <c r="AG7" s="283"/>
    </row>
    <row r="8" ht="30"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218</v>
      </c>
      <c r="D9" s="434">
        <v>287.56403940886699507389162562</v>
      </c>
      <c r="E9" s="435">
        <v>290.93106122915238748000913867</v>
      </c>
      <c r="F9" s="436">
        <v>262.26147907794812700090541647</v>
      </c>
      <c r="G9" s="434">
        <v>10.08073344280240831964969896</v>
      </c>
      <c r="H9" s="435">
        <v>63.976020450275392963466358135</v>
      </c>
      <c r="I9" s="436">
        <v>77.49678020355628207408146771</v>
      </c>
      <c r="J9" s="434">
        <v>24.448549534756431308155446086</v>
      </c>
      <c r="K9" s="435">
        <v>40.671315678836858624270766974</v>
      </c>
      <c r="L9" s="436">
        <v>26.894018432451542877387965008</v>
      </c>
      <c r="M9" s="434">
        <v>322.09332238642583470169677066</v>
      </c>
      <c r="N9" s="435">
        <v>395.57839735826463906774626379</v>
      </c>
      <c r="O9" s="436">
        <v>366.65227771395595195237484918</v>
      </c>
      <c r="P9" s="5"/>
      <c r="Q9" s="415">
        <v>2.2539092647899099129884983200</v>
      </c>
      <c r="R9" s="416">
        <v>1.2563433706687696834658433200</v>
      </c>
      <c r="S9" s="417">
        <v>1.0599541073309790584166684500</v>
      </c>
      <c r="T9" s="415">
        <v>-85.66458310402761563078109825</v>
      </c>
      <c r="U9" s="416">
        <v>-4.9508363495421008797959501800</v>
      </c>
      <c r="V9" s="417">
        <v>6.498547818368685711788606200</v>
      </c>
      <c r="W9" s="415">
        <v>-9.311568000731576587861591130</v>
      </c>
      <c r="X9" s="416">
        <v>47.963541128009590367430861960</v>
      </c>
      <c r="Y9" s="417">
        <v>0.0823398092455083448655104500</v>
      </c>
      <c r="Z9" s="415">
        <v>-14.903765625560515109504504900</v>
      </c>
      <c r="AA9" s="416">
        <v>3.5228319944911751059453210800</v>
      </c>
      <c r="AB9" s="417">
        <v>2.088728161924442439350445400</v>
      </c>
      <c r="AC9" s="5"/>
      <c r="AD9" s="427" t="s">
        <v>306</v>
      </c>
      <c r="AE9" s="428" t="s">
        <v>348</v>
      </c>
      <c r="AF9" s="428" t="s">
        <v>349</v>
      </c>
      <c r="AG9" s="429" t="s">
        <v>350</v>
      </c>
    </row>
    <row r="10" ht="20.1" customHeight="1">
      <c r="A10" s="58"/>
      <c r="B10" s="286"/>
      <c r="C10" s="287" t="s">
        <v>220</v>
      </c>
      <c r="D10" s="276">
        <v>351.08152937868990722518976666</v>
      </c>
      <c r="E10" s="94">
        <v>351.09296445849681916879356977</v>
      </c>
      <c r="F10" s="277">
        <v>311.18307987266351468455483865</v>
      </c>
      <c r="G10" s="276">
        <v>1.5971324149564239527691875176</v>
      </c>
      <c r="H10" s="94">
        <v>58.223365607222450629412927742</v>
      </c>
      <c r="I10" s="277">
        <v>82.003987754123313698075201</v>
      </c>
      <c r="J10" s="276">
        <v>28.768906381782400899634523475</v>
      </c>
      <c r="K10" s="94">
        <v>43.340077526919733056779335742</v>
      </c>
      <c r="L10" s="277">
        <v>33.152290555647179455284032633</v>
      </c>
      <c r="M10" s="276">
        <v>381.44756817542873207759347765</v>
      </c>
      <c r="N10" s="94">
        <v>452.65640759263900285498583326</v>
      </c>
      <c r="O10" s="277">
        <v>426.3393581824340078379140723</v>
      </c>
      <c r="P10" s="5"/>
      <c r="Q10" s="271">
        <v>1.2162344522410634697652324300</v>
      </c>
      <c r="R10" s="92">
        <v>-0.125911455332120287384815800</v>
      </c>
      <c r="S10" s="272">
        <v>1.4481062129723104466315736300</v>
      </c>
      <c r="T10" s="271">
        <v>-97.71976183799763624064906960</v>
      </c>
      <c r="U10" s="92">
        <v>-8.673528861786581360092582700</v>
      </c>
      <c r="V10" s="272">
        <v>-8.311110771033007212509915790</v>
      </c>
      <c r="W10" s="271">
        <v>11.535786227052958321737458750</v>
      </c>
      <c r="X10" s="92">
        <v>49.892431612323334606259188410</v>
      </c>
      <c r="Y10" s="272">
        <v>9.329554079875586968135635650</v>
      </c>
      <c r="Z10" s="271">
        <v>-13.835840319820974019285658360</v>
      </c>
      <c r="AA10" s="92">
        <v>1.9031174065977783680857076800</v>
      </c>
      <c r="AB10" s="272">
        <v>-0.0380450928040758960494165700</v>
      </c>
      <c r="AC10" s="5"/>
      <c r="AD10" s="271" t="s">
        <v>308</v>
      </c>
      <c r="AE10" s="92" t="s">
        <v>349</v>
      </c>
      <c r="AF10" s="92" t="s">
        <v>350</v>
      </c>
      <c r="AG10" s="272" t="s">
        <v>350</v>
      </c>
    </row>
    <row r="11" ht="20.1" customHeight="1">
      <c r="A11" s="58"/>
      <c r="B11" s="288"/>
      <c r="C11" s="289" t="s">
        <v>221</v>
      </c>
      <c r="D11" s="439">
        <v>312.21697864487213287635117321</v>
      </c>
      <c r="E11" s="95">
        <v>306.62572766621727098559568581</v>
      </c>
      <c r="F11" s="442">
        <v>288.59078956573267436740505418</v>
      </c>
      <c r="G11" s="439">
        <v>1.9446348536778275771157395202</v>
      </c>
      <c r="H11" s="95">
        <v>74.554288997687501638894431951</v>
      </c>
      <c r="I11" s="442">
        <v>69.481032851916974497698096882</v>
      </c>
      <c r="J11" s="439">
        <v>27.4500395465330872660163459</v>
      </c>
      <c r="K11" s="95">
        <v>38.642675101324152586451482688</v>
      </c>
      <c r="L11" s="442">
        <v>34.590275107075657046139601415</v>
      </c>
      <c r="M11" s="439">
        <v>341.61165304508304771948325863</v>
      </c>
      <c r="N11" s="95">
        <v>419.82269176522892521094160045</v>
      </c>
      <c r="O11" s="442">
        <v>392.66209752472530591124275247</v>
      </c>
      <c r="P11" s="5"/>
      <c r="Q11" s="497">
        <v>-0.7483064832101831910544914300</v>
      </c>
      <c r="R11" s="216">
        <v>-5.7824374355353639202196454400</v>
      </c>
      <c r="S11" s="498">
        <v>-1.7721720742611521912362134800</v>
      </c>
      <c r="T11" s="497">
        <v>-97.22311385655712862348603374</v>
      </c>
      <c r="U11" s="216">
        <v>-14.314601426963464884844964850</v>
      </c>
      <c r="V11" s="498">
        <v>-11.267030511446347616543554150</v>
      </c>
      <c r="W11" s="497">
        <v>11.702981237332160617785598220</v>
      </c>
      <c r="X11" s="216">
        <v>4.2791856583789662620688344300</v>
      </c>
      <c r="Y11" s="498">
        <v>9.297495316356970360022996040</v>
      </c>
      <c r="Z11" s="497">
        <v>-16.511968235284747110404937690</v>
      </c>
      <c r="AA11" s="216">
        <v>-6.604497871937180357546667700</v>
      </c>
      <c r="AB11" s="498">
        <v>-2.7459211222529439720361967800</v>
      </c>
      <c r="AC11" s="5"/>
      <c r="AD11" s="420" t="s">
        <v>309</v>
      </c>
      <c r="AE11" s="91" t="s">
        <v>350</v>
      </c>
      <c r="AF11" s="91" t="s">
        <v>349</v>
      </c>
      <c r="AG11" s="421" t="s">
        <v>348</v>
      </c>
    </row>
    <row r="12" ht="20.1" customHeight="1">
      <c r="A12" s="58"/>
      <c r="B12" s="286"/>
      <c r="C12" s="287" t="s">
        <v>223</v>
      </c>
      <c r="D12" s="276">
        <v>258.44718309859154929577464789</v>
      </c>
      <c r="E12" s="94">
        <v>260.33531763188834528008495466</v>
      </c>
      <c r="F12" s="277">
        <v>246.16857816113941881293149923</v>
      </c>
      <c r="G12" s="276">
        <v>1.6015709642470205850487540628</v>
      </c>
      <c r="H12" s="94">
        <v>49.414744035143851708686620387</v>
      </c>
      <c r="I12" s="277">
        <v>70.4609438390072272725640896</v>
      </c>
      <c r="J12" s="276">
        <v>30.944474539544962080173347779</v>
      </c>
      <c r="K12" s="94">
        <v>32.215647869646015420262055746</v>
      </c>
      <c r="L12" s="277">
        <v>26.978529619425726184953670762</v>
      </c>
      <c r="M12" s="276">
        <v>290.99322860238353196099674973</v>
      </c>
      <c r="N12" s="94">
        <v>341.96570953667821240903363081</v>
      </c>
      <c r="O12" s="277">
        <v>343.60805161957237227044925959</v>
      </c>
      <c r="P12" s="5"/>
      <c r="Q12" s="271">
        <v>-1.9665363402226929105900365600</v>
      </c>
      <c r="R12" s="92">
        <v>-3.6979371982706977611119482500</v>
      </c>
      <c r="S12" s="272">
        <v>1.9197628238996176653635393800</v>
      </c>
      <c r="T12" s="271">
        <v>-96.90871768993620394092057659</v>
      </c>
      <c r="U12" s="92">
        <v>-25.643292540771831687105084810</v>
      </c>
      <c r="V12" s="272">
        <v>-4.6381634541964973233896142600</v>
      </c>
      <c r="W12" s="271">
        <v>30.139255871221181903394012900</v>
      </c>
      <c r="X12" s="92">
        <v>-4.3511980135814931415125040100</v>
      </c>
      <c r="Y12" s="272">
        <v>-17.727238843927373980497498550</v>
      </c>
      <c r="Z12" s="271">
        <v>-14.216666708400527261518078930</v>
      </c>
      <c r="AA12" s="92">
        <v>-7.6939755818873567660069777200</v>
      </c>
      <c r="AB12" s="272">
        <v>-1.3219700156015381997193778600</v>
      </c>
      <c r="AC12" s="5"/>
      <c r="AD12" s="271" t="s">
        <v>309</v>
      </c>
      <c r="AE12" s="92" t="s">
        <v>350</v>
      </c>
      <c r="AF12" s="92" t="s">
        <v>349</v>
      </c>
      <c r="AG12" s="272" t="s">
        <v>348</v>
      </c>
    </row>
    <row r="13" ht="20.1" customHeight="1">
      <c r="A13" s="58"/>
      <c r="B13" s="288"/>
      <c r="C13" s="289" t="s">
        <v>224</v>
      </c>
      <c r="D13" s="439">
        <v>223.86142322097378277153558052</v>
      </c>
      <c r="E13" s="95">
        <v>226.39446339245111414279217827</v>
      </c>
      <c r="F13" s="442">
        <v>221.39125745754933455713630106</v>
      </c>
      <c r="G13" s="439">
        <v>1.6505329876116392970325554595</v>
      </c>
      <c r="H13" s="95">
        <v>50.671074286750451994276567716</v>
      </c>
      <c r="I13" s="442">
        <v>58.629616297789918376653757774</v>
      </c>
      <c r="J13" s="439">
        <v>32.153846153846153846153846154</v>
      </c>
      <c r="K13" s="95">
        <v>48.210619251026278811645267148</v>
      </c>
      <c r="L13" s="442">
        <v>35.649366587680285301384370344</v>
      </c>
      <c r="M13" s="439">
        <v>257.66580236243157591472198214</v>
      </c>
      <c r="N13" s="95">
        <v>325.27615693022784494871401311</v>
      </c>
      <c r="O13" s="442">
        <v>315.67024034301953823517442917</v>
      </c>
      <c r="P13" s="5"/>
      <c r="Q13" s="420">
        <v>-14.640373994918915216975929880</v>
      </c>
      <c r="R13" s="91">
        <v>-11.711556150417320748299806930</v>
      </c>
      <c r="S13" s="498">
        <v>-3.1478549181622566336311016400</v>
      </c>
      <c r="T13" s="420">
        <v>-97.00837170651709822409818890</v>
      </c>
      <c r="U13" s="91">
        <v>-13.881779595560528933281500670</v>
      </c>
      <c r="V13" s="498">
        <v>-20.326684984651921142296478730</v>
      </c>
      <c r="W13" s="420">
        <v>27.366691560945458616414269320</v>
      </c>
      <c r="X13" s="91">
        <v>1.7274673951591746165793241500</v>
      </c>
      <c r="Y13" s="498">
        <v>-5.0146099485176066112051438500</v>
      </c>
      <c r="Z13" s="420">
        <v>-24.807226439588587370676808170</v>
      </c>
      <c r="AA13" s="91">
        <v>-10.307452836666721953818065480</v>
      </c>
      <c r="AB13" s="498">
        <v>-7.0753991085286874609103232100</v>
      </c>
      <c r="AC13" s="5"/>
      <c r="AD13" s="420" t="s">
        <v>306</v>
      </c>
      <c r="AE13" s="91" t="s">
        <v>349</v>
      </c>
      <c r="AF13" s="91" t="s">
        <v>349</v>
      </c>
      <c r="AG13" s="421" t="s">
        <v>349</v>
      </c>
    </row>
    <row r="14" ht="20.1" customHeight="1">
      <c r="A14" s="58"/>
      <c r="B14" s="286"/>
      <c r="C14" s="287" t="s">
        <v>225</v>
      </c>
      <c r="D14" s="276">
        <v>171.17375886524822695035460993</v>
      </c>
      <c r="E14" s="94">
        <v>182.55450312805890113631527428</v>
      </c>
      <c r="F14" s="277">
        <v>180.60209950248756218905472637</v>
      </c>
      <c r="G14" s="276">
        <v>1.7485493230174081237911025145</v>
      </c>
      <c r="H14" s="94">
        <v>47.01022974520729709888789404</v>
      </c>
      <c r="I14" s="277">
        <v>60.307279672805082787709242174</v>
      </c>
      <c r="J14" s="276">
        <v>30.392972275950999355254674404</v>
      </c>
      <c r="K14" s="94">
        <v>45.515143615499137529651674395</v>
      </c>
      <c r="L14" s="277">
        <v>34.002614970482845668566797091</v>
      </c>
      <c r="M14" s="276">
        <v>203.31528046421663442940038685</v>
      </c>
      <c r="N14" s="94">
        <v>275.07987648876533576485484272</v>
      </c>
      <c r="O14" s="277">
        <v>274.91199414577549064533076563</v>
      </c>
      <c r="P14" s="5"/>
      <c r="Q14" s="271">
        <v>-7.6972330895483458723735015600</v>
      </c>
      <c r="R14" s="92">
        <v>-6.9081094469811955956403575100</v>
      </c>
      <c r="S14" s="272">
        <v>-1.0435431884297427996602429200</v>
      </c>
      <c r="T14" s="271">
        <v>-96.11179576814149528057776846</v>
      </c>
      <c r="U14" s="92">
        <v>5.781854274025456291090022900</v>
      </c>
      <c r="V14" s="272">
        <v>4.3225736433916597358900009400</v>
      </c>
      <c r="W14" s="271">
        <v>14.124140328095088044540718430</v>
      </c>
      <c r="X14" s="92">
        <v>-4.8776210457524878925785860800</v>
      </c>
      <c r="Y14" s="272">
        <v>11.081856039754375858955554800</v>
      </c>
      <c r="Z14" s="271">
        <v>-20.904461038826765467130961450</v>
      </c>
      <c r="AA14" s="92">
        <v>-4.6157085345656236544414406700</v>
      </c>
      <c r="AB14" s="272">
        <v>1.4714302129332968623500205400</v>
      </c>
      <c r="AC14" s="5"/>
      <c r="AD14" s="271" t="s">
        <v>308</v>
      </c>
      <c r="AE14" s="92" t="s">
        <v>349</v>
      </c>
      <c r="AF14" s="92" t="s">
        <v>349</v>
      </c>
      <c r="AG14" s="272" t="s">
        <v>349</v>
      </c>
    </row>
    <row r="15" ht="20.1" customHeight="1">
      <c r="A15" s="58"/>
      <c r="B15" s="288"/>
      <c r="C15" s="289" t="s">
        <v>228</v>
      </c>
      <c r="D15" s="439">
        <v>179.42672413793103448275862069</v>
      </c>
      <c r="E15" s="95">
        <v>176.53903921398139292235457787</v>
      </c>
      <c r="F15" s="442">
        <v>173.8978017178628621342262338</v>
      </c>
      <c r="G15" s="439">
        <v>1.4353448275862068965517241379</v>
      </c>
      <c r="H15" s="95">
        <v>30.646403052994231568472455467</v>
      </c>
      <c r="I15" s="442">
        <v>43.565441644875285117015308032</v>
      </c>
      <c r="J15" s="439">
        <v>34.589190981432360742705570292</v>
      </c>
      <c r="K15" s="95">
        <v>35.987844559526405616916671461</v>
      </c>
      <c r="L15" s="442">
        <v>30.197348352022241941761508082</v>
      </c>
      <c r="M15" s="439">
        <v>215.45125994694960212201591512</v>
      </c>
      <c r="N15" s="95">
        <v>243.17328682650203010774370479</v>
      </c>
      <c r="O15" s="442">
        <v>247.66059171476038919300304992</v>
      </c>
      <c r="P15" s="5"/>
      <c r="Q15" s="420">
        <v>-3.2597745184463937248828842200</v>
      </c>
      <c r="R15" s="91">
        <v>-8.208340852159040342009341700</v>
      </c>
      <c r="S15" s="498">
        <v>-2.302148495598473646750172400</v>
      </c>
      <c r="T15" s="420">
        <v>-96.47079811389401117997552617</v>
      </c>
      <c r="U15" s="91">
        <v>-35.009882947871992915915405010</v>
      </c>
      <c r="V15" s="498">
        <v>-19.964737384341650228373684030</v>
      </c>
      <c r="W15" s="420">
        <v>43.307062453450204784587874310</v>
      </c>
      <c r="X15" s="91">
        <v>12.224174918049485796690565070</v>
      </c>
      <c r="Y15" s="498">
        <v>-14.944401356949826623943735900</v>
      </c>
      <c r="Z15" s="420">
        <v>-13.915791879173910206471438630</v>
      </c>
      <c r="AA15" s="91">
        <v>-10.449605667864479166543573170</v>
      </c>
      <c r="AB15" s="498">
        <v>-7.5656715551936902781593722500</v>
      </c>
      <c r="AC15" s="5"/>
      <c r="AD15" s="420" t="s">
        <v>311</v>
      </c>
      <c r="AE15" s="91" t="s">
        <v>347</v>
      </c>
      <c r="AF15" s="91" t="s">
        <v>345</v>
      </c>
      <c r="AG15" s="421" t="s">
        <v>347</v>
      </c>
    </row>
    <row r="16" ht="20.1" customHeight="1">
      <c r="A16" s="58"/>
      <c r="B16" s="286"/>
      <c r="C16" s="287" t="s">
        <v>229</v>
      </c>
      <c r="D16" s="276">
        <v>158.6950495049504950495049505</v>
      </c>
      <c r="E16" s="94">
        <v>155.84656705089891371377069399</v>
      </c>
      <c r="F16" s="277">
        <v>158.95021520383365378046281024</v>
      </c>
      <c r="G16" s="276">
        <v>2.0617161716171617161716171617</v>
      </c>
      <c r="H16" s="94">
        <v>18.171246254133928882777457926</v>
      </c>
      <c r="I16" s="277">
        <v>44.118463982054810505522926167</v>
      </c>
      <c r="J16" s="276">
        <v>33.763036303630363036303630363</v>
      </c>
      <c r="K16" s="94">
        <v>38.746227423312710626298260066</v>
      </c>
      <c r="L16" s="277">
        <v>31.09202518818755524667331757</v>
      </c>
      <c r="M16" s="276">
        <v>194.51980198019801980198019802</v>
      </c>
      <c r="N16" s="94">
        <v>212.76404072834555322284641198</v>
      </c>
      <c r="O16" s="277">
        <v>234.16070437407601953265905398</v>
      </c>
      <c r="P16" s="5"/>
      <c r="Q16" s="271">
        <v>-6.1624018703361361635951644900</v>
      </c>
      <c r="R16" s="92">
        <v>-8.094180666139139824587082700</v>
      </c>
      <c r="S16" s="272">
        <v>-3.7095948434937817878632261400</v>
      </c>
      <c r="T16" s="271">
        <v>-94.87603751791198694117344580</v>
      </c>
      <c r="U16" s="92">
        <v>-55.954193107514279826497727280</v>
      </c>
      <c r="V16" s="272">
        <v>-17.928547403954575362350582720</v>
      </c>
      <c r="W16" s="271">
        <v>5.0833142932717773073853384800</v>
      </c>
      <c r="X16" s="92">
        <v>22.120998359399165499415377250</v>
      </c>
      <c r="Y16" s="272">
        <v>-0.4704699527657811430380945100</v>
      </c>
      <c r="Z16" s="271">
        <v>-19.447905437836203143963646980</v>
      </c>
      <c r="AA16" s="92">
        <v>-12.282184644495686766712136010</v>
      </c>
      <c r="AB16" s="272">
        <v>-6.3615408269389344117415794700</v>
      </c>
      <c r="AC16" s="5"/>
      <c r="AD16" s="271" t="s">
        <v>311</v>
      </c>
      <c r="AE16" s="92" t="s">
        <v>347</v>
      </c>
      <c r="AF16" s="92" t="s">
        <v>347</v>
      </c>
      <c r="AG16" s="272" t="s">
        <v>347</v>
      </c>
    </row>
    <row r="17" ht="20.1" customHeight="1">
      <c r="A17" s="58"/>
      <c r="B17" s="288"/>
      <c r="C17" s="289" t="s">
        <v>230</v>
      </c>
      <c r="D17" s="439">
        <v>160.40228571428571428571428571</v>
      </c>
      <c r="E17" s="95">
        <v>161.98218213058419243986254295</v>
      </c>
      <c r="F17" s="442">
        <v>162.81919161254648553120900329</v>
      </c>
      <c r="G17" s="439">
        <v>1.9954285714285714285714285714</v>
      </c>
      <c r="H17" s="95">
        <v>28.855431776458155455711326049</v>
      </c>
      <c r="I17" s="442">
        <v>64.575361582057398140492349474</v>
      </c>
      <c r="J17" s="439">
        <v>29.04152380952380952380952381</v>
      </c>
      <c r="K17" s="95">
        <v>32.70114813591061780190039178</v>
      </c>
      <c r="L17" s="442">
        <v>35.406984939269717498212964511</v>
      </c>
      <c r="M17" s="439">
        <v>191.4392380952380952380952381</v>
      </c>
      <c r="N17" s="95">
        <v>223.53876204295296569747426078</v>
      </c>
      <c r="O17" s="442">
        <v>262.80153813387360116991431727</v>
      </c>
      <c r="P17" s="5"/>
      <c r="Q17" s="420">
        <v>-1.1041850725666247487794883100</v>
      </c>
      <c r="R17" s="91">
        <v>-2.6175421872479386935034218200</v>
      </c>
      <c r="S17" s="498">
        <v>-1.3728932955123756165335647100</v>
      </c>
      <c r="T17" s="420">
        <v>-95.19030916930368217411600093</v>
      </c>
      <c r="U17" s="91">
        <v>-45.051397900263313097256987530</v>
      </c>
      <c r="V17" s="498">
        <v>8.019777368172920943146260130</v>
      </c>
      <c r="W17" s="420">
        <v>6.7808707260250585684231832600</v>
      </c>
      <c r="X17" s="91">
        <v>41.382751941831951422441516160</v>
      </c>
      <c r="Y17" s="498">
        <v>29.212911035028747798568330180</v>
      </c>
      <c r="Z17" s="420">
        <v>-17.082142151923682360732453770</v>
      </c>
      <c r="AA17" s="91">
        <v>-7.6206373623712333897790408700</v>
      </c>
      <c r="AB17" s="498">
        <v>4.1752274613678411050270828200</v>
      </c>
      <c r="AC17" s="5"/>
      <c r="AD17" s="420" t="s">
        <v>306</v>
      </c>
      <c r="AE17" s="91" t="s">
        <v>346</v>
      </c>
      <c r="AF17" s="91" t="s">
        <v>347</v>
      </c>
      <c r="AG17" s="421" t="s">
        <v>347</v>
      </c>
    </row>
    <row r="18" ht="20.1" customHeight="1">
      <c r="A18" s="58"/>
      <c r="B18" s="286"/>
      <c r="C18" s="287" t="s">
        <v>231</v>
      </c>
      <c r="D18" s="276">
        <v>192.31705011030570438071225969</v>
      </c>
      <c r="E18" s="94">
        <v>216.41734819037747257493305691</v>
      </c>
      <c r="F18" s="277">
        <v>210.12431479262039019981531328</v>
      </c>
      <c r="G18" s="276">
        <v>1.395524739993696816892530728</v>
      </c>
      <c r="H18" s="94">
        <v>26.989200910217999365570875819</v>
      </c>
      <c r="I18" s="277">
        <v>75.407166772780787282150145726</v>
      </c>
      <c r="J18" s="276">
        <v>32.615505830444374409076583675</v>
      </c>
      <c r="K18" s="94">
        <v>24.234167419612547639781649527</v>
      </c>
      <c r="L18" s="277">
        <v>31.652990151889218813423452719</v>
      </c>
      <c r="M18" s="276">
        <v>226.32808068074377560668137409</v>
      </c>
      <c r="N18" s="94">
        <v>267.64071652020801958028558226</v>
      </c>
      <c r="O18" s="277">
        <v>317.18447171729039629538891172</v>
      </c>
      <c r="P18" s="5"/>
      <c r="Q18" s="271">
        <v>3.8954704505473957463029178900</v>
      </c>
      <c r="R18" s="92">
        <v>16.331773086982474074370555520</v>
      </c>
      <c r="S18" s="272">
        <v>7.1579045417705663183482047100</v>
      </c>
      <c r="T18" s="271">
        <v>-96.15174544248699990817190358</v>
      </c>
      <c r="U18" s="92">
        <v>-37.627011540935101071840942550</v>
      </c>
      <c r="V18" s="272">
        <v>4.4829238291758618889863146200</v>
      </c>
      <c r="W18" s="271">
        <v>38.707717309168464351164667800</v>
      </c>
      <c r="X18" s="92">
        <v>-10.599899139019194285736109310</v>
      </c>
      <c r="Y18" s="272">
        <v>17.831439422863877281963628450</v>
      </c>
      <c r="Z18" s="271">
        <v>-7.5774180603287878354116013700</v>
      </c>
      <c r="AA18" s="92">
        <v>4.3788463707409803022676088700</v>
      </c>
      <c r="AB18" s="272">
        <v>7.4752786795865664128971340900</v>
      </c>
      <c r="AC18" s="5"/>
      <c r="AD18" s="271" t="s">
        <v>308</v>
      </c>
      <c r="AE18" s="92" t="s">
        <v>346</v>
      </c>
      <c r="AF18" s="92" t="s">
        <v>346</v>
      </c>
      <c r="AG18" s="272" t="s">
        <v>345</v>
      </c>
    </row>
    <row r="19" ht="20.1" customHeight="1">
      <c r="A19" s="58"/>
      <c r="B19" s="288"/>
      <c r="C19" s="289" t="s">
        <v>232</v>
      </c>
      <c r="D19" s="439">
        <v>197.74146757679180887372013652</v>
      </c>
      <c r="E19" s="95">
        <v>196.79732713254191653408395546</v>
      </c>
      <c r="F19" s="442">
        <v>209.24806261518509248936315442</v>
      </c>
      <c r="G19" s="439">
        <v>1.3060295790671217292377701934</v>
      </c>
      <c r="H19" s="95">
        <v>28.712551438324353125607490026</v>
      </c>
      <c r="I19" s="442">
        <v>83.80505571681050601687112318</v>
      </c>
      <c r="J19" s="439">
        <v>33.148464163822525597269624573</v>
      </c>
      <c r="K19" s="95">
        <v>24.233157390372276703291789605</v>
      </c>
      <c r="L19" s="442">
        <v>29.210486968285718097960521359</v>
      </c>
      <c r="M19" s="439">
        <v>232.19596131968145620022753129</v>
      </c>
      <c r="N19" s="95">
        <v>249.74303596123854636298323509</v>
      </c>
      <c r="O19" s="442">
        <v>322.26360530028131660419479896</v>
      </c>
      <c r="P19" s="5"/>
      <c r="Q19" s="420">
        <v>-13.506194806365047538624903530</v>
      </c>
      <c r="R19" s="91">
        <v>-5.4592461481077522928095363800</v>
      </c>
      <c r="S19" s="498">
        <v>0.5253238980791246156061058300</v>
      </c>
      <c r="T19" s="420">
        <v>-96.93333725682000677408468703</v>
      </c>
      <c r="U19" s="91">
        <v>-28.801232444131490108504975060</v>
      </c>
      <c r="V19" s="498">
        <v>4.3378749445849925375107742200</v>
      </c>
      <c r="W19" s="420">
        <v>20.299152508986107631623018920</v>
      </c>
      <c r="X19" s="91">
        <v>-5.4691031823580991068231783600</v>
      </c>
      <c r="Y19" s="498">
        <v>-16.940241408541253029329527070</v>
      </c>
      <c r="Z19" s="420">
        <v>-22.280683648900971564514451910</v>
      </c>
      <c r="AA19" s="91">
        <v>-8.894088860387739116901211420</v>
      </c>
      <c r="AB19" s="498">
        <v>-0.4263479366372863743937203800</v>
      </c>
      <c r="AC19" s="5"/>
      <c r="AD19" s="420" t="s">
        <v>306</v>
      </c>
      <c r="AE19" s="91" t="s">
        <v>346</v>
      </c>
      <c r="AF19" s="91" t="s">
        <v>347</v>
      </c>
      <c r="AG19" s="421" t="s">
        <v>351</v>
      </c>
    </row>
    <row r="20" ht="20.1" customHeight="1">
      <c r="A20" s="58"/>
      <c r="B20" s="286"/>
      <c r="C20" s="287" t="s">
        <v>234</v>
      </c>
      <c r="D20" s="276">
        <v>278.76683361157484696716750139</v>
      </c>
      <c r="E20" s="94">
        <v>283.66124221466508731038172024</v>
      </c>
      <c r="F20" s="277">
        <v>260.93638756263391426113070032</v>
      </c>
      <c r="G20" s="276">
        <v>1.4961046188091263216471897607</v>
      </c>
      <c r="H20" s="94">
        <v>29.766025473080806121594820305</v>
      </c>
      <c r="I20" s="277">
        <v>73.153912815680429566115740025</v>
      </c>
      <c r="J20" s="276">
        <v>35.466332776850306065664997218</v>
      </c>
      <c r="K20" s="94">
        <v>25.547372202625375878879467635</v>
      </c>
      <c r="L20" s="277">
        <v>27.934373348398940663593016486</v>
      </c>
      <c r="M20" s="276">
        <v>315.72927100723427935447968837</v>
      </c>
      <c r="N20" s="94">
        <v>338.97463989037126931085600815</v>
      </c>
      <c r="O20" s="277">
        <v>362.02467372671328449083945684</v>
      </c>
      <c r="P20" s="5"/>
      <c r="Q20" s="271">
        <v>-16.007339721233494521939845730</v>
      </c>
      <c r="R20" s="92">
        <v>-11.044620532183612222994690910</v>
      </c>
      <c r="S20" s="272">
        <v>-0.3799271983661195603791773900</v>
      </c>
      <c r="T20" s="271">
        <v>-97.64883895321865778361590932</v>
      </c>
      <c r="U20" s="92">
        <v>-37.548178437823788555772684450</v>
      </c>
      <c r="V20" s="272">
        <v>2.8274377883630604472537034600</v>
      </c>
      <c r="W20" s="271">
        <v>59.646720728248411819777972880</v>
      </c>
      <c r="X20" s="92">
        <v>-22.785397183812973706208221150</v>
      </c>
      <c r="Y20" s="272">
        <v>-3.8366148795650143008834993900</v>
      </c>
      <c r="Z20" s="271">
        <v>-24.420099738231700298847014060</v>
      </c>
      <c r="AA20" s="92">
        <v>-15.177655226981917134481880840</v>
      </c>
      <c r="AB20" s="272">
        <v>-0.0270999291442348866078345600</v>
      </c>
      <c r="AC20" s="5"/>
      <c r="AD20" s="271" t="s">
        <v>306</v>
      </c>
      <c r="AE20" s="92" t="s">
        <v>346</v>
      </c>
      <c r="AF20" s="92" t="s">
        <v>346</v>
      </c>
      <c r="AG20" s="272" t="s">
        <v>351</v>
      </c>
    </row>
    <row r="21" ht="20.1" customHeight="1">
      <c r="A21" s="58"/>
      <c r="B21" s="288">
        <v>2025</v>
      </c>
      <c r="C21" s="289" t="s">
        <v>218</v>
      </c>
      <c r="D21" s="439">
        <v>280.59288217848476678349959558</v>
      </c>
      <c r="E21" s="95">
        <v>279.67381493564693650736743984</v>
      </c>
      <c r="F21" s="442">
        <v>265.3634050754380730430855825</v>
      </c>
      <c r="G21" s="439">
        <v>1.8312213534645456996495012133</v>
      </c>
      <c r="H21" s="95">
        <v>78.708086741804549138668848949</v>
      </c>
      <c r="I21" s="442">
        <v>80.54387634332262595945097347</v>
      </c>
      <c r="J21" s="439">
        <v>29.510919385279050957131302238</v>
      </c>
      <c r="K21" s="95">
        <v>26.970442235026631019818842162</v>
      </c>
      <c r="L21" s="442">
        <v>21.910426937750593588038600564</v>
      </c>
      <c r="M21" s="439">
        <v>311.93502291722836344028039903</v>
      </c>
      <c r="N21" s="95">
        <v>385.35234391247811666585513094</v>
      </c>
      <c r="O21" s="442">
        <v>367.81770835651129259057515652</v>
      </c>
      <c r="P21" s="5"/>
      <c r="Q21" s="420">
        <v>-2.4242103584108571590060360400</v>
      </c>
      <c r="R21" s="91">
        <v>-3.8693861858512351675854676600</v>
      </c>
      <c r="S21" s="498">
        <v>1.1827608112500205838928470600</v>
      </c>
      <c r="T21" s="420">
        <v>-81.83444325896281103430843300</v>
      </c>
      <c r="U21" s="91">
        <v>23.027481527940937586224974600</v>
      </c>
      <c r="V21" s="498">
        <v>3.9319003082673588913224920700</v>
      </c>
      <c r="W21" s="420">
        <v>20.706217533573054121054827420</v>
      </c>
      <c r="X21" s="91">
        <v>-33.686821326301413704590475160</v>
      </c>
      <c r="Y21" s="498">
        <v>-18.530482929717187446422337230</v>
      </c>
      <c r="Z21" s="420">
        <v>-3.1538373394109701784613877200</v>
      </c>
      <c r="AA21" s="91">
        <v>-2.5850889518012556231277134600</v>
      </c>
      <c r="AB21" s="498">
        <v>0.3178571942270502315178634100</v>
      </c>
      <c r="AC21" s="5"/>
      <c r="AD21" s="420" t="s">
        <v>309</v>
      </c>
      <c r="AE21" s="91" t="s">
        <v>347</v>
      </c>
      <c r="AF21" s="91" t="s">
        <v>347</v>
      </c>
      <c r="AG21" s="421" t="s">
        <v>347</v>
      </c>
    </row>
    <row r="22" ht="20.1" customHeight="1">
      <c r="A22" s="58"/>
      <c r="B22" s="286"/>
      <c r="C22" s="287" t="s">
        <v>220</v>
      </c>
      <c r="D22" s="276">
        <v>341.18622300058377116170461179</v>
      </c>
      <c r="E22" s="94">
        <v>356.70795393055764316849541562</v>
      </c>
      <c r="F22" s="277">
        <v>314.89288578879514884789336872</v>
      </c>
      <c r="G22" s="276">
        <v>1.6272621132516053706946876824</v>
      </c>
      <c r="H22" s="94">
        <v>94.05036661807559136480938404</v>
      </c>
      <c r="I22" s="277">
        <v>96.20042089142558544485768454</v>
      </c>
      <c r="J22" s="276">
        <v>27.328079392877991827203736135</v>
      </c>
      <c r="K22" s="94">
        <v>37.122039739871476319459746026</v>
      </c>
      <c r="L22" s="277">
        <v>32.75726376279225357475161237</v>
      </c>
      <c r="M22" s="276">
        <v>370.14156450671336835960303561</v>
      </c>
      <c r="N22" s="94">
        <v>487.88036028850471085276454567</v>
      </c>
      <c r="O22" s="277">
        <v>443.85057044301298786750266561</v>
      </c>
      <c r="P22" s="5"/>
      <c r="Q22" s="271">
        <v>-2.8185209274972965284833102800</v>
      </c>
      <c r="R22" s="92">
        <v>1.599288519129909224921061600</v>
      </c>
      <c r="S22" s="272">
        <v>1.1921618352812662128694209900</v>
      </c>
      <c r="T22" s="271">
        <v>1.8864871796873129454759505600</v>
      </c>
      <c r="U22" s="92">
        <v>61.533716983281302690638567700</v>
      </c>
      <c r="V22" s="272">
        <v>17.311881441540991774213448390</v>
      </c>
      <c r="W22" s="271">
        <v>-5.0082786248472582973069316100</v>
      </c>
      <c r="X22" s="92">
        <v>-14.347085058094687993838457960</v>
      </c>
      <c r="Y22" s="272">
        <v>-1.1915520351308561733181953100</v>
      </c>
      <c r="Z22" s="271">
        <v>-2.9639731936861693816517984200</v>
      </c>
      <c r="AA22" s="92">
        <v>7.7816092084588332543887973300</v>
      </c>
      <c r="AB22" s="272">
        <v>4.1073412352235135313158155400</v>
      </c>
      <c r="AC22" s="5"/>
      <c r="AD22" s="271" t="s">
        <v>306</v>
      </c>
      <c r="AE22" s="92" t="s">
        <v>345</v>
      </c>
      <c r="AF22" s="92" t="s">
        <v>345</v>
      </c>
      <c r="AG22" s="272" t="s">
        <v>347</v>
      </c>
    </row>
    <row r="23" ht="20.1" customHeight="1">
      <c r="A23" s="58"/>
      <c r="B23" s="288"/>
      <c r="C23" s="289" t="s">
        <v>221</v>
      </c>
      <c r="D23" s="439">
        <v>296.99331014182499331014182499</v>
      </c>
      <c r="E23" s="95">
        <v>301.25039280274855665356143521</v>
      </c>
      <c r="F23" s="442">
        <v>284.89120344919660106491589049</v>
      </c>
      <c r="G23" s="439">
        <v>1.4112924805994112924805994113</v>
      </c>
      <c r="H23" s="95">
        <v>88.014798742448163989304862</v>
      </c>
      <c r="I23" s="442">
        <v>72.778868720759429141134415584</v>
      </c>
      <c r="J23" s="439">
        <v>30.204977254482204977254482205</v>
      </c>
      <c r="K23" s="95">
        <v>33.524143611205323131119901326</v>
      </c>
      <c r="L23" s="442">
        <v>23.054070839649677957660501306</v>
      </c>
      <c r="M23" s="439">
        <v>328.60957987690660957987690661</v>
      </c>
      <c r="N23" s="95">
        <v>422.78933515640204377398619854</v>
      </c>
      <c r="O23" s="442">
        <v>380.7241430096057081637108074</v>
      </c>
      <c r="P23" s="5"/>
      <c r="Q23" s="420">
        <v>-4.8759899506905570964352785100</v>
      </c>
      <c r="R23" s="91">
        <v>-1.7530606137861855073220900800</v>
      </c>
      <c r="S23" s="498">
        <v>-1.2819487836292012307065414200</v>
      </c>
      <c r="T23" s="420">
        <v>-27.426350612086054863832999740</v>
      </c>
      <c r="U23" s="91">
        <v>18.054641692261890859460661600</v>
      </c>
      <c r="V23" s="498">
        <v>4.746382909835008110199027400</v>
      </c>
      <c r="W23" s="420">
        <v>10.036188484593537039968512550</v>
      </c>
      <c r="X23" s="91">
        <v>-13.245800081585142297303045210</v>
      </c>
      <c r="Y23" s="498">
        <v>-33.351004673225049634082037610</v>
      </c>
      <c r="Z23" s="420">
        <v>-3.8060976703499164212630887900</v>
      </c>
      <c r="AA23" s="91">
        <v>0.7066419822921909014885414500</v>
      </c>
      <c r="AB23" s="498">
        <v>-3.0402614844544162426140332500</v>
      </c>
      <c r="AC23" s="5"/>
      <c r="AD23" s="420" t="s">
        <v>306</v>
      </c>
      <c r="AE23" s="91" t="s">
        <v>345</v>
      </c>
      <c r="AF23" s="91" t="s">
        <v>347</v>
      </c>
      <c r="AG23" s="421" t="s">
        <v>345</v>
      </c>
    </row>
    <row r="24" ht="20.1" customHeight="1">
      <c r="A24" s="59"/>
      <c r="B24" s="286"/>
      <c r="C24" s="287" t="s">
        <v>223</v>
      </c>
      <c r="D24" s="276">
        <v>266.56623235613463626492942454</v>
      </c>
      <c r="E24" s="94">
        <v>267.43824847027972027972027973</v>
      </c>
      <c r="F24" s="277">
        <v>250.6363606309429845404918446</v>
      </c>
      <c r="G24" s="276">
        <v>1.4402823018458197611292073833</v>
      </c>
      <c r="H24" s="94">
        <v>71.513619291114857879899152457</v>
      </c>
      <c r="I24" s="277">
        <v>80.83370919431387095962250627</v>
      </c>
      <c r="J24" s="276">
        <v>40.041802388707926167209554832</v>
      </c>
      <c r="K24" s="94">
        <v>35.676128278743458225224139348</v>
      </c>
      <c r="L24" s="277">
        <v>24.393963975865329576484624984</v>
      </c>
      <c r="M24" s="276">
        <v>308.04831704668838219326818675</v>
      </c>
      <c r="N24" s="94">
        <v>374.62799604013803638484357155</v>
      </c>
      <c r="O24" s="277">
        <v>355.86403380112218507659897585</v>
      </c>
      <c r="P24" s="93"/>
      <c r="Q24" s="271">
        <v>3.1414733022789974030718427700</v>
      </c>
      <c r="R24" s="92">
        <v>2.7283777333749540338101515400</v>
      </c>
      <c r="S24" s="272">
        <v>1.8149280071476610312860330500</v>
      </c>
      <c r="T24" s="271">
        <v>-10.070653499562254293695356240</v>
      </c>
      <c r="U24" s="92">
        <v>44.721217700364309217247548470</v>
      </c>
      <c r="V24" s="272">
        <v>14.721297771734594376304698980</v>
      </c>
      <c r="W24" s="271">
        <v>29.398876486318647793206793520</v>
      </c>
      <c r="X24" s="92">
        <v>10.741613588373334425751632990</v>
      </c>
      <c r="Y24" s="272">
        <v>-9.580083421878315561241639340</v>
      </c>
      <c r="Z24" s="271">
        <v>5.8609915172946118502405303300</v>
      </c>
      <c r="AA24" s="92">
        <v>9.551333830426847774068095100</v>
      </c>
      <c r="AB24" s="272">
        <v>3.5668495321205338624560191200</v>
      </c>
      <c r="AC24" s="93"/>
      <c r="AD24" s="271" t="s">
        <v>311</v>
      </c>
      <c r="AE24" s="92" t="s">
        <v>345</v>
      </c>
      <c r="AF24" s="92" t="s">
        <v>347</v>
      </c>
      <c r="AG24" s="272" t="s">
        <v>346</v>
      </c>
    </row>
    <row r="25" ht="20.1" customHeight="1">
      <c r="A25" s="60"/>
      <c r="B25" s="288"/>
      <c r="C25" s="289" t="s">
        <v>224</v>
      </c>
      <c r="D25" s="439">
        <v>222.62274368231046931407942238</v>
      </c>
      <c r="E25" s="95">
        <v>231.43195868487760584162536414</v>
      </c>
      <c r="F25" s="442">
        <v>219.26528119638994555083165511</v>
      </c>
      <c r="G25" s="439">
        <v>1.5604693140794223826714801444</v>
      </c>
      <c r="H25" s="95">
        <v>79.3745935189414711797576139</v>
      </c>
      <c r="I25" s="442">
        <v>79.26377327501018080305170122</v>
      </c>
      <c r="J25" s="439">
        <v>31.240673886883273164861612515</v>
      </c>
      <c r="K25" s="95">
        <v>32.895100001329622232365999064</v>
      </c>
      <c r="L25" s="442">
        <v>29.13728684950423641200875502</v>
      </c>
      <c r="M25" s="439">
        <v>255.42388688327316486161251504</v>
      </c>
      <c r="N25" s="95">
        <v>343.7016522051486992537489771</v>
      </c>
      <c r="O25" s="442">
        <v>327.66634132090436276589211135</v>
      </c>
      <c r="P25" s="93"/>
      <c r="Q25" s="420">
        <v>-0.5533242489335396102514076700</v>
      </c>
      <c r="R25" s="91">
        <v>2.2250965049635962429183830700</v>
      </c>
      <c r="S25" s="498">
        <v>-0.9602801327952950019294891400</v>
      </c>
      <c r="T25" s="420">
        <v>-5.4566418361342187650391105500</v>
      </c>
      <c r="U25" s="91">
        <v>56.646754852045524561194517920</v>
      </c>
      <c r="V25" s="498">
        <v>35.194084969620465812912631100</v>
      </c>
      <c r="W25" s="420">
        <v>-2.8400094425680595486733123600</v>
      </c>
      <c r="X25" s="91">
        <v>-31.767937204732541151888804090</v>
      </c>
      <c r="Y25" s="498">
        <v>-18.267027892839498637292768370</v>
      </c>
      <c r="Z25" s="420">
        <v>-0.8700865456618265146839415200</v>
      </c>
      <c r="AA25" s="91">
        <v>5.6645698992633416544683259900</v>
      </c>
      <c r="AB25" s="498">
        <v>3.8002001597837275436018060700</v>
      </c>
      <c r="AC25" s="93"/>
      <c r="AD25" s="420" t="s">
        <v>308</v>
      </c>
      <c r="AE25" s="91" t="s">
        <v>345</v>
      </c>
      <c r="AF25" s="91" t="s">
        <v>347</v>
      </c>
      <c r="AG25" s="421" t="s">
        <v>345</v>
      </c>
    </row>
    <row r="26" ht="20.1" customHeight="1">
      <c r="A26" s="60"/>
      <c r="B26" s="290"/>
      <c r="C26" s="291" t="s">
        <v>225</v>
      </c>
      <c r="D26" s="443">
        <v>175.03960087309011537262238853</v>
      </c>
      <c r="E26" s="444">
        <v>191.18590102183931075936686035</v>
      </c>
      <c r="F26" s="445">
        <v>183.27718319508674056130563508</v>
      </c>
      <c r="G26" s="443">
        <v>2.0271281571562207670720299345</v>
      </c>
      <c r="H26" s="444">
        <v>61.230134241634942897214986977</v>
      </c>
      <c r="I26" s="445">
        <v>68.165657544710571732895621938</v>
      </c>
      <c r="J26" s="443">
        <v>34.54973495478640473963205488</v>
      </c>
      <c r="K26" s="444">
        <v>34.037507513524343818873973152</v>
      </c>
      <c r="L26" s="445">
        <v>22.619227486258871815996702764</v>
      </c>
      <c r="M26" s="443">
        <v>211.61646398503274087932647334</v>
      </c>
      <c r="N26" s="444">
        <v>286.45354277699859747545582048</v>
      </c>
      <c r="O26" s="445">
        <v>274.06206822605618411019795978</v>
      </c>
      <c r="P26" s="184"/>
      <c r="Q26" s="273">
        <v>2.2584314520629771120486298800</v>
      </c>
      <c r="R26" s="274">
        <v>4.7281210519811651492261397600</v>
      </c>
      <c r="S26" s="275">
        <v>1.4812029870946824107259439800</v>
      </c>
      <c r="T26" s="273">
        <v>15.931997484535400038699962630</v>
      </c>
      <c r="U26" s="274">
        <v>30.248532231193514735614062140</v>
      </c>
      <c r="V26" s="275">
        <v>13.030562669293943926546523850</v>
      </c>
      <c r="W26" s="273">
        <v>13.676723161652795302382208120</v>
      </c>
      <c r="X26" s="274">
        <v>-25.217180899033773765300812790</v>
      </c>
      <c r="Y26" s="275">
        <v>-33.477976603026359242946676930</v>
      </c>
      <c r="Z26" s="273">
        <v>4.0829117722385963477978187800</v>
      </c>
      <c r="AA26" s="274">
        <v>4.1346776919400286908857557600</v>
      </c>
      <c r="AB26" s="275">
        <v>-0.3091629095284421703731018500</v>
      </c>
      <c r="AC26" s="184"/>
      <c r="AD26" s="273" t="s">
        <v>308</v>
      </c>
      <c r="AE26" s="274" t="s">
        <v>306</v>
      </c>
      <c r="AF26" s="274" t="s">
        <v>306</v>
      </c>
      <c r="AG26" s="275" t="s">
        <v>306</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73" t="s">
        <v>58</v>
      </c>
      <c r="C28" s="973"/>
      <c r="D28" s="973"/>
      <c r="E28" s="973"/>
      <c r="F28" s="973"/>
      <c r="G28" s="973"/>
      <c r="H28" s="973"/>
      <c r="I28" s="973"/>
      <c r="J28" s="973"/>
      <c r="K28" s="973"/>
      <c r="L28" s="973"/>
      <c r="M28" s="973"/>
      <c r="N28" s="973"/>
      <c r="O28" s="973"/>
      <c r="P28" s="411"/>
      <c r="Q28" s="971"/>
      <c r="R28" s="971"/>
      <c r="S28" s="971"/>
      <c r="T28" s="971"/>
      <c r="U28" s="971"/>
      <c r="V28" s="971"/>
      <c r="W28" s="971"/>
      <c r="X28" s="971"/>
      <c r="Y28" s="971"/>
      <c r="Z28" s="971"/>
      <c r="AA28" s="971"/>
      <c r="AB28" s="971"/>
      <c r="AC28" s="411"/>
      <c r="AD28" s="971"/>
      <c r="AE28" s="971"/>
      <c r="AF28" s="971"/>
      <c r="AG28" s="971"/>
      <c r="AH28" s="9"/>
    </row>
    <row r="29" ht="20.1" customHeight="1">
      <c r="A29" s="58"/>
      <c r="B29" s="284">
        <v>2023</v>
      </c>
      <c r="C29" s="285"/>
      <c r="D29" s="454">
        <v>276.78283330963552775013033793</v>
      </c>
      <c r="E29" s="455">
        <v>284.22777362153942241110100338</v>
      </c>
      <c r="F29" s="436">
        <v>254.17932881116731297482544105</v>
      </c>
      <c r="G29" s="454">
        <v>60.837243471254561827574766577</v>
      </c>
      <c r="H29" s="455">
        <v>65.539906888773500839993087643</v>
      </c>
      <c r="I29" s="436">
        <v>74.616757289603236672181340355</v>
      </c>
      <c r="J29" s="454">
        <v>25.513531446988008910374899284</v>
      </c>
      <c r="K29" s="455">
        <v>36.521584084799195841284926594</v>
      </c>
      <c r="L29" s="436">
        <v>31.560095054368843897056280723</v>
      </c>
      <c r="M29" s="454">
        <v>363.13360822787809848808000379</v>
      </c>
      <c r="N29" s="455">
        <v>386.28926459511211909237901762</v>
      </c>
      <c r="O29" s="436">
        <v>360.35618115513939354406306212</v>
      </c>
      <c r="P29" s="217"/>
      <c r="Q29" s="427">
        <v>-10.870454309913328024215601190</v>
      </c>
      <c r="R29" s="428">
        <v>-12.705994210270527244191079270</v>
      </c>
      <c r="S29" s="417">
        <v>-3.411901241489186722677137600</v>
      </c>
      <c r="T29" s="427">
        <v>-10.689962731776066204537743490</v>
      </c>
      <c r="U29" s="428">
        <v>5.0241243201917073163581726100</v>
      </c>
      <c r="V29" s="417">
        <v>20.545581615557474830007032540</v>
      </c>
      <c r="W29" s="427">
        <v>13.019537090798581235165663730</v>
      </c>
      <c r="X29" s="428">
        <v>38.431566554019133777309391310</v>
      </c>
      <c r="Y29" s="417">
        <v>15.227981795709008579350782290</v>
      </c>
      <c r="Z29" s="427">
        <v>-9.495698349148899214607358700</v>
      </c>
      <c r="AA29" s="428">
        <v>-6.7801724415211646203629077600</v>
      </c>
      <c r="AB29" s="417">
        <v>2.2442249394719905929553317200</v>
      </c>
      <c r="AC29" s="5"/>
      <c r="AD29" s="427" t="s">
        <v>306</v>
      </c>
      <c r="AE29" s="428" t="s">
        <v>352</v>
      </c>
      <c r="AF29" s="428" t="s">
        <v>350</v>
      </c>
      <c r="AG29" s="429" t="s">
        <v>353</v>
      </c>
    </row>
    <row r="30" ht="20.1" customHeight="1">
      <c r="A30" s="58"/>
      <c r="B30" s="286">
        <v>2024</v>
      </c>
      <c r="C30" s="287"/>
      <c r="D30" s="276">
        <v>270.15778833043396492547839579</v>
      </c>
      <c r="E30" s="94">
        <v>271.13550878742932645111433067</v>
      </c>
      <c r="F30" s="277">
        <v>253.54567961060418337397591472</v>
      </c>
      <c r="G30" s="276">
        <v>3.1481498895105552682307583807</v>
      </c>
      <c r="H30" s="94">
        <v>57.687354915296729159741432546</v>
      </c>
      <c r="I30" s="277">
        <v>69.96883092470235490574826048</v>
      </c>
      <c r="J30" s="276">
        <v>28.958390145281865626028492172</v>
      </c>
      <c r="K30" s="94">
        <v>41.313912924796505167096034185</v>
      </c>
      <c r="L30" s="277">
        <v>31.814328519491144228055035364</v>
      </c>
      <c r="M30" s="276">
        <v>302.26432836522638581973764634</v>
      </c>
      <c r="N30" s="94">
        <v>370.1367766275225607779517974</v>
      </c>
      <c r="O30" s="277">
        <v>355.32883905479768250777921057</v>
      </c>
      <c r="P30" s="217"/>
      <c r="Q30" s="271">
        <v>-2.3935895517607776715943349500</v>
      </c>
      <c r="R30" s="92">
        <v>-4.6062580961934284588872711800</v>
      </c>
      <c r="S30" s="272">
        <v>-0.2492921842068755598165365900</v>
      </c>
      <c r="T30" s="271">
        <v>-94.82529169653175270617554302</v>
      </c>
      <c r="U30" s="92">
        <v>-11.981329156946330214937422250</v>
      </c>
      <c r="V30" s="272">
        <v>-6.2290650702740574087641858600</v>
      </c>
      <c r="W30" s="271">
        <v>13.502084983562431046899879880</v>
      </c>
      <c r="X30" s="92">
        <v>13.121908482581496941279777950</v>
      </c>
      <c r="Y30" s="272">
        <v>0.8055535468220963802035923300</v>
      </c>
      <c r="Z30" s="271">
        <v>-16.762227038063769289157896800</v>
      </c>
      <c r="AA30" s="92">
        <v>-4.1814488384781092917625000800</v>
      </c>
      <c r="AB30" s="272">
        <v>-1.3951036122614785368710620800</v>
      </c>
      <c r="AC30" s="5"/>
      <c r="AD30" s="271" t="s">
        <v>306</v>
      </c>
      <c r="AE30" s="92" t="s">
        <v>350</v>
      </c>
      <c r="AF30" s="92" t="s">
        <v>354</v>
      </c>
      <c r="AG30" s="272" t="s">
        <v>350</v>
      </c>
    </row>
    <row r="31" ht="20.1" customHeight="1">
      <c r="A31" s="58"/>
      <c r="B31" s="425">
        <v>2025</v>
      </c>
      <c r="C31" s="426"/>
      <c r="D31" s="457">
        <v>265.70242329397258974723763456</v>
      </c>
      <c r="E31" s="458">
        <v>272.49451008788216363411313281</v>
      </c>
      <c r="F31" s="499">
        <v>255.76138918239029607058492829</v>
      </c>
      <c r="G31" s="457">
        <v>1.6424811495234030445298050932</v>
      </c>
      <c r="H31" s="458">
        <v>79.048277295339228265490322583</v>
      </c>
      <c r="I31" s="499">
        <v>79.84248572534270672054543955</v>
      </c>
      <c r="J31" s="457">
        <v>32.158059467918622848200312989</v>
      </c>
      <c r="K31" s="458">
        <v>33.327426535156214067741042152</v>
      </c>
      <c r="L31" s="499">
        <v>25.599104148282166267843407072</v>
      </c>
      <c r="M31" s="457">
        <v>299.50296391141461563996775264</v>
      </c>
      <c r="N31" s="458">
        <v>384.87021391837760596734449755</v>
      </c>
      <c r="O31" s="499">
        <v>361.20297905601516905897377491</v>
      </c>
      <c r="P31" s="496"/>
      <c r="Q31" s="430">
        <v>-1.6491714208803589545875536500</v>
      </c>
      <c r="R31" s="431">
        <v>0.5012258654574712396212613600</v>
      </c>
      <c r="S31" s="500">
        <v>0.8738896971911422633772487300</v>
      </c>
      <c r="T31" s="430">
        <v>-47.827098226753505901333129860</v>
      </c>
      <c r="U31" s="431">
        <v>37.028777643562619450290035410</v>
      </c>
      <c r="V31" s="500">
        <v>14.111504608771682480947146960</v>
      </c>
      <c r="W31" s="430">
        <v>11.049196127837703941593884060</v>
      </c>
      <c r="X31" s="431">
        <v>-19.331227241004425839533248950</v>
      </c>
      <c r="Y31" s="500">
        <v>-19.535928182197300617638745090</v>
      </c>
      <c r="Z31" s="430">
        <v>-0.9135594890473033609283512600</v>
      </c>
      <c r="AA31" s="431">
        <v>3.9805386065986931844183183300</v>
      </c>
      <c r="AB31" s="500">
        <v>1.653155993991593678177746100</v>
      </c>
      <c r="AC31" s="184"/>
      <c r="AD31" s="430" t="s">
        <v>306</v>
      </c>
      <c r="AE31" s="431" t="s">
        <v>345</v>
      </c>
      <c r="AF31" s="431" t="s">
        <v>347</v>
      </c>
      <c r="AG31" s="432" t="s">
        <v>345</v>
      </c>
    </row>
    <row r="32" ht="21" customHeight="1"/>
    <row r="33" ht="24.95" customHeight="1">
      <c r="A33" s="112"/>
      <c r="B33" s="972" t="s">
        <v>44</v>
      </c>
      <c r="C33" s="972"/>
      <c r="D33" s="972"/>
      <c r="E33" s="972"/>
      <c r="F33" s="972"/>
      <c r="G33" s="972"/>
      <c r="H33" s="972"/>
      <c r="I33" s="972"/>
      <c r="J33" s="972"/>
      <c r="K33" s="972"/>
      <c r="L33" s="972"/>
      <c r="M33" s="972"/>
      <c r="N33" s="972"/>
      <c r="O33" s="972"/>
      <c r="P33" s="411"/>
      <c r="Q33" s="971"/>
      <c r="R33" s="971"/>
      <c r="S33" s="971"/>
      <c r="T33" s="971"/>
      <c r="U33" s="971"/>
      <c r="V33" s="971"/>
      <c r="W33" s="971"/>
      <c r="X33" s="971"/>
      <c r="Y33" s="971"/>
      <c r="Z33" s="971"/>
      <c r="AA33" s="971"/>
      <c r="AB33" s="971"/>
      <c r="AC33" s="411"/>
      <c r="AD33" s="971"/>
      <c r="AE33" s="971"/>
      <c r="AF33" s="971"/>
      <c r="AG33" s="971"/>
      <c r="AH33" s="9"/>
    </row>
    <row r="34" ht="20.1" customHeight="1">
      <c r="A34" s="58"/>
      <c r="B34" s="284">
        <v>2023</v>
      </c>
      <c r="C34" s="285"/>
      <c r="D34" s="454">
        <v>236.63155267099350973539690464</v>
      </c>
      <c r="E34" s="455">
        <v>242.18836517735384254439344839</v>
      </c>
      <c r="F34" s="436">
        <v>218.56490158462316234938044683</v>
      </c>
      <c r="G34" s="454">
        <v>50.54717923115327009485771343</v>
      </c>
      <c r="H34" s="455">
        <v>56.961850695090079627872016754</v>
      </c>
      <c r="I34" s="436">
        <v>68.70108221267476637098285686</v>
      </c>
      <c r="J34" s="454">
        <v>25.210783824263604593110334498</v>
      </c>
      <c r="K34" s="455">
        <v>42.685059300014184870107025781</v>
      </c>
      <c r="L34" s="436">
        <v>33.673157079180083187482212878</v>
      </c>
      <c r="M34" s="454">
        <v>312.38951572641038442336495257</v>
      </c>
      <c r="N34" s="455">
        <v>341.83527517245810704237249093</v>
      </c>
      <c r="O34" s="436">
        <v>320.93914087647801190784551657</v>
      </c>
      <c r="P34" s="5"/>
      <c r="Q34" s="427">
        <v>-20.537297093412308947401377760</v>
      </c>
      <c r="R34" s="428">
        <v>-20.784066199399332586660726110</v>
      </c>
      <c r="S34" s="417">
        <v>-10.137325584819149726733417530</v>
      </c>
      <c r="T34" s="427">
        <v>-25.603608774642430642875901500</v>
      </c>
      <c r="U34" s="428">
        <v>-24.028059071599823821132666370</v>
      </c>
      <c r="V34" s="417">
        <v>7.6922757556507352562678470400</v>
      </c>
      <c r="W34" s="427">
        <v>11.210651283243269761642467130</v>
      </c>
      <c r="X34" s="428">
        <v>34.803762910204324026095876260</v>
      </c>
      <c r="Y34" s="417">
        <v>24.944234792738406694681250650</v>
      </c>
      <c r="Z34" s="427">
        <v>-19.570550662372980620778204720</v>
      </c>
      <c r="AA34" s="428">
        <v>-17.105513316066465592360310280</v>
      </c>
      <c r="AB34" s="417">
        <v>-3.9004922358323341433620412800</v>
      </c>
      <c r="AC34" s="5"/>
      <c r="AD34" s="427" t="s">
        <v>309</v>
      </c>
      <c r="AE34" s="428" t="s">
        <v>353</v>
      </c>
      <c r="AF34" s="428" t="s">
        <v>354</v>
      </c>
      <c r="AG34" s="429" t="s">
        <v>353</v>
      </c>
    </row>
    <row r="35" ht="20.1" customHeight="1">
      <c r="A35" s="58"/>
      <c r="B35" s="286">
        <v>2024</v>
      </c>
      <c r="C35" s="287"/>
      <c r="D35" s="276">
        <v>220.37905504140282513395031661</v>
      </c>
      <c r="E35" s="94">
        <v>224.62153884488275717358233226</v>
      </c>
      <c r="F35" s="277">
        <v>217.53936435140666222846857509</v>
      </c>
      <c r="G35" s="276">
        <v>1.6625426205552849488553336581</v>
      </c>
      <c r="H35" s="94">
        <v>49.108564137026500618481863229</v>
      </c>
      <c r="I35" s="277">
        <v>63.342979047729083780265155943</v>
      </c>
      <c r="J35" s="276">
        <v>31.186751095957135898684851437</v>
      </c>
      <c r="K35" s="94">
        <v>41.849146746425289414073995785</v>
      </c>
      <c r="L35" s="277">
        <v>32.065839656757674812312215265</v>
      </c>
      <c r="M35" s="276">
        <v>253.2283487579152459814905017</v>
      </c>
      <c r="N35" s="94">
        <v>315.57924972833454720613819128</v>
      </c>
      <c r="O35" s="277">
        <v>312.94818305589342082104594629</v>
      </c>
      <c r="P35" s="5"/>
      <c r="Q35" s="271">
        <v>-6.8682715581018852089454383700</v>
      </c>
      <c r="R35" s="92">
        <v>-7.2533733483232187914940825500</v>
      </c>
      <c r="S35" s="272">
        <v>-0.4692140530149954944530463500</v>
      </c>
      <c r="T35" s="271">
        <v>-96.71090920236932109557844162</v>
      </c>
      <c r="U35" s="92">
        <v>-13.786923111241290153462236420</v>
      </c>
      <c r="V35" s="272">
        <v>-7.7991539469234498732183958600</v>
      </c>
      <c r="W35" s="271">
        <v>23.704012192976963039885532710</v>
      </c>
      <c r="X35" s="92">
        <v>-1.9583258575318661579697142800</v>
      </c>
      <c r="Y35" s="272">
        <v>-4.7732899492075529119987259500</v>
      </c>
      <c r="Z35" s="271">
        <v>-18.938269048792232238678920870</v>
      </c>
      <c r="AA35" s="92">
        <v>-7.680899939573497907171085500</v>
      </c>
      <c r="AB35" s="272">
        <v>-2.4898670192681686487564450700</v>
      </c>
      <c r="AC35" s="5"/>
      <c r="AD35" s="271" t="s">
        <v>306</v>
      </c>
      <c r="AE35" s="92" t="s">
        <v>349</v>
      </c>
      <c r="AF35" s="92" t="s">
        <v>349</v>
      </c>
      <c r="AG35" s="272" t="s">
        <v>350</v>
      </c>
    </row>
    <row r="36" ht="20.1" customHeight="1">
      <c r="A36" s="58"/>
      <c r="B36" s="425">
        <v>2025</v>
      </c>
      <c r="C36" s="426"/>
      <c r="D36" s="457">
        <v>223.53206069505628976994615761</v>
      </c>
      <c r="E36" s="458">
        <v>231.23217079729078409984526014</v>
      </c>
      <c r="F36" s="499">
        <v>219.62452711986490003692248095</v>
      </c>
      <c r="G36" s="457">
        <v>1.6636319138521781693587860989</v>
      </c>
      <c r="H36" s="458">
        <v>70.894013502397092446953205436</v>
      </c>
      <c r="I36" s="499">
        <v>76.406910875406747094759056329</v>
      </c>
      <c r="J36" s="457">
        <v>35.453646598139990210474791973</v>
      </c>
      <c r="K36" s="458">
        <v>34.225161286577251138421395845</v>
      </c>
      <c r="L36" s="499">
        <v>25.384880362034225067757978024</v>
      </c>
      <c r="M36" s="457">
        <v>260.64933920704845814977973568</v>
      </c>
      <c r="N36" s="458">
        <v>336.35134558626512768521986142</v>
      </c>
      <c r="O36" s="499">
        <v>321.4163183573058721994395153</v>
      </c>
      <c r="P36" s="184"/>
      <c r="Q36" s="430">
        <v>1.4307192909344184198899066800</v>
      </c>
      <c r="R36" s="431">
        <v>2.943008932440530983122025400</v>
      </c>
      <c r="S36" s="500">
        <v>0.9585220471163341101593378200</v>
      </c>
      <c r="T36" s="430">
        <v>0.0655197189341859425643466100</v>
      </c>
      <c r="U36" s="431">
        <v>44.361812951039270266647188400</v>
      </c>
      <c r="V36" s="500">
        <v>20.624119711624301711977051810</v>
      </c>
      <c r="W36" s="430">
        <v>13.681757003175814907509954020</v>
      </c>
      <c r="X36" s="431">
        <v>-18.217779937122825423710761490</v>
      </c>
      <c r="Y36" s="500">
        <v>-20.835129740159435088771113440</v>
      </c>
      <c r="Z36" s="430">
        <v>2.9305527937724407244399064800</v>
      </c>
      <c r="AA36" s="431">
        <v>6.5822121941949599718129654200</v>
      </c>
      <c r="AB36" s="500">
        <v>2.7059225008803650799427684200</v>
      </c>
      <c r="AC36" s="184"/>
      <c r="AD36" s="430" t="s">
        <v>308</v>
      </c>
      <c r="AE36" s="431" t="s">
        <v>345</v>
      </c>
      <c r="AF36" s="431" t="s">
        <v>347</v>
      </c>
      <c r="AG36" s="432" t="s">
        <v>345</v>
      </c>
    </row>
    <row r="37" ht="21" customHeight="1"/>
    <row r="38" ht="24.95" customHeight="1">
      <c r="A38" s="112"/>
      <c r="B38" s="972" t="s">
        <v>45</v>
      </c>
      <c r="C38" s="972"/>
      <c r="D38" s="972"/>
      <c r="E38" s="972"/>
      <c r="F38" s="972"/>
      <c r="G38" s="972"/>
      <c r="H38" s="972"/>
      <c r="I38" s="972"/>
      <c r="J38" s="972"/>
      <c r="K38" s="972"/>
      <c r="L38" s="972"/>
      <c r="M38" s="972"/>
      <c r="N38" s="972"/>
      <c r="O38" s="972"/>
      <c r="P38" s="411"/>
      <c r="Q38" s="971"/>
      <c r="R38" s="971"/>
      <c r="S38" s="971"/>
      <c r="T38" s="971"/>
      <c r="U38" s="971"/>
      <c r="V38" s="971"/>
      <c r="W38" s="971"/>
      <c r="X38" s="971"/>
      <c r="Y38" s="971"/>
      <c r="Z38" s="971"/>
      <c r="AA38" s="971"/>
      <c r="AB38" s="971"/>
      <c r="AC38" s="411"/>
      <c r="AD38" s="971"/>
      <c r="AE38" s="971"/>
      <c r="AF38" s="971"/>
      <c r="AG38" s="971"/>
      <c r="AH38" s="9"/>
    </row>
    <row r="39" ht="20.1" customHeight="1">
      <c r="A39" s="58"/>
      <c r="B39" s="284">
        <v>2023</v>
      </c>
      <c r="C39" s="285"/>
      <c r="D39" s="454">
        <v>257.61914284303559966424727201</v>
      </c>
      <c r="E39" s="455">
        <v>257.05928598314952597048528662</v>
      </c>
      <c r="F39" s="436">
        <v>229.93839088595301829763856969</v>
      </c>
      <c r="G39" s="454">
        <v>56.174295166148224954327753913</v>
      </c>
      <c r="H39" s="455">
        <v>59.370885061162251277364105862</v>
      </c>
      <c r="I39" s="436">
        <v>134.63022792601559778079620704</v>
      </c>
      <c r="J39" s="454">
        <v>25.511874783982619858786352639</v>
      </c>
      <c r="K39" s="455">
        <v>33.916080322430594189862584923</v>
      </c>
      <c r="L39" s="436">
        <v>30.357912600052141387667908146</v>
      </c>
      <c r="M39" s="454">
        <v>339.30531279316644447736137856</v>
      </c>
      <c r="N39" s="455">
        <v>350.34625136674237143771197738</v>
      </c>
      <c r="O39" s="436">
        <v>394.92653141202075746610268487</v>
      </c>
      <c r="P39" s="5"/>
      <c r="Q39" s="427">
        <v>-7.7582633061749369608052678600</v>
      </c>
      <c r="R39" s="428">
        <v>-10.020455246144347814167734690</v>
      </c>
      <c r="S39" s="417">
        <v>-1.392613952547878632795400800</v>
      </c>
      <c r="T39" s="427">
        <v>-1.3629242641504279480417783700</v>
      </c>
      <c r="U39" s="428">
        <v>1.4042055727303815115364798800</v>
      </c>
      <c r="V39" s="417">
        <v>150.31750937711387867252799270</v>
      </c>
      <c r="W39" s="427">
        <v>10.878536954821792538066506450</v>
      </c>
      <c r="X39" s="428">
        <v>21.608216768934221203733991600</v>
      </c>
      <c r="Y39" s="417">
        <v>16.670449289332372345675490940</v>
      </c>
      <c r="Z39" s="427">
        <v>-5.5507833713524473490080088100</v>
      </c>
      <c r="AA39" s="428">
        <v>-5.8524671952206086372641995600</v>
      </c>
      <c r="AB39" s="417">
        <v>26.17873204988570670281406300</v>
      </c>
      <c r="AC39" s="5"/>
      <c r="AD39" s="427" t="s">
        <v>309</v>
      </c>
      <c r="AE39" s="428" t="s">
        <v>219</v>
      </c>
      <c r="AF39" s="428" t="s">
        <v>237</v>
      </c>
      <c r="AG39" s="429" t="s">
        <v>236</v>
      </c>
    </row>
    <row r="40" ht="20.1" customHeight="1">
      <c r="A40" s="58"/>
      <c r="B40" s="286">
        <v>2024</v>
      </c>
      <c r="C40" s="287"/>
      <c r="D40" s="276">
        <v>243.6697938092610244318466864</v>
      </c>
      <c r="E40" s="94">
        <v>244.18429574296187978112739921</v>
      </c>
      <c r="F40" s="277">
        <v>228.09152259229951482307427923</v>
      </c>
      <c r="G40" s="276">
        <v>22.447474038027391762404053579</v>
      </c>
      <c r="H40" s="94">
        <v>52.028672860453308081328538669</v>
      </c>
      <c r="I40" s="277">
        <v>68.046416174522406799221572777</v>
      </c>
      <c r="J40" s="276">
        <v>27.549265037876887573370792154</v>
      </c>
      <c r="K40" s="94">
        <v>35.705616918289341668145502914</v>
      </c>
      <c r="L40" s="277">
        <v>31.403361898057692355528461439</v>
      </c>
      <c r="M40" s="276">
        <v>293.66653288516530376762153213</v>
      </c>
      <c r="N40" s="94">
        <v>331.9185855217045295306014408</v>
      </c>
      <c r="O40" s="277">
        <v>327.54130066487961397782431344</v>
      </c>
      <c r="P40" s="5"/>
      <c r="Q40" s="271">
        <v>-5.4147175865110622540094706200</v>
      </c>
      <c r="R40" s="92">
        <v>-5.0085684284459454552752338900</v>
      </c>
      <c r="S40" s="272">
        <v>-0.8032013647586734364643825300</v>
      </c>
      <c r="T40" s="271">
        <v>-60.039598233225420225048704980</v>
      </c>
      <c r="U40" s="92">
        <v>-12.366688138770844965076239330</v>
      </c>
      <c r="V40" s="272">
        <v>-49.456806823557953307641514710</v>
      </c>
      <c r="W40" s="271">
        <v>7.986046776752977235727373950</v>
      </c>
      <c r="X40" s="92">
        <v>5.2763661923144923119758524600</v>
      </c>
      <c r="Y40" s="272">
        <v>3.4437456610710731470627870700</v>
      </c>
      <c r="Z40" s="271">
        <v>-13.450652903820178741933993090</v>
      </c>
      <c r="AA40" s="92">
        <v>-5.2598438753402339043513616700</v>
      </c>
      <c r="AB40" s="272">
        <v>-17.062725693863792646399049060</v>
      </c>
      <c r="AC40" s="5"/>
      <c r="AD40" s="271" t="s">
        <v>306</v>
      </c>
      <c r="AE40" s="92" t="s">
        <v>353</v>
      </c>
      <c r="AF40" s="92" t="s">
        <v>349</v>
      </c>
      <c r="AG40" s="272" t="s">
        <v>348</v>
      </c>
    </row>
    <row r="41" ht="20.1" customHeight="1">
      <c r="A41" s="58"/>
      <c r="B41" s="425">
        <v>2025</v>
      </c>
      <c r="C41" s="426"/>
      <c r="D41" s="457">
        <v>233.59279238780250243500412078</v>
      </c>
      <c r="E41" s="458">
        <v>240.3397571153039832285115304</v>
      </c>
      <c r="F41" s="499">
        <v>228.47549430063792471234838638</v>
      </c>
      <c r="G41" s="457">
        <v>1.6194900227267051272445743113</v>
      </c>
      <c r="H41" s="458">
        <v>55.365253487741283227329581806</v>
      </c>
      <c r="I41" s="499">
        <v>72.531444763692584339399578498</v>
      </c>
      <c r="J41" s="457">
        <v>32.678479558452586099248270523</v>
      </c>
      <c r="K41" s="458">
        <v>31.739770098990810259880761036</v>
      </c>
      <c r="L41" s="499">
        <v>28.036323358886019465451286379</v>
      </c>
      <c r="M41" s="457">
        <v>267.89076196898179366149696561</v>
      </c>
      <c r="N41" s="458">
        <v>327.44478070203607671572187324</v>
      </c>
      <c r="O41" s="499">
        <v>329.04326242321652851719925124</v>
      </c>
      <c r="P41" s="184"/>
      <c r="Q41" s="430">
        <v>-4.135515224912910255468430800</v>
      </c>
      <c r="R41" s="431">
        <v>-1.5744413931280540464516884800</v>
      </c>
      <c r="S41" s="500">
        <v>0.1683410693979413045892955300</v>
      </c>
      <c r="T41" s="430">
        <v>-92.78542423087263032367840660</v>
      </c>
      <c r="U41" s="431">
        <v>6.4129650898214711869175177900</v>
      </c>
      <c r="V41" s="500">
        <v>6.5911312326736801808694914700</v>
      </c>
      <c r="W41" s="430">
        <v>18.618335238694161328017946680</v>
      </c>
      <c r="X41" s="431">
        <v>-11.107067071222053206103836360</v>
      </c>
      <c r="Y41" s="500">
        <v>-10.721904712430476190782913180</v>
      </c>
      <c r="Z41" s="430">
        <v>-8.777224514818806432231426310</v>
      </c>
      <c r="AA41" s="431">
        <v>-1.3478621007715270612379448700</v>
      </c>
      <c r="AB41" s="500">
        <v>0.4585564492989393050008056400</v>
      </c>
      <c r="AC41" s="184"/>
      <c r="AD41" s="430" t="s">
        <v>306</v>
      </c>
      <c r="AE41" s="431" t="s">
        <v>345</v>
      </c>
      <c r="AF41" s="431" t="s">
        <v>347</v>
      </c>
      <c r="AG41" s="432" t="s">
        <v>345</v>
      </c>
    </row>
    <row r="42" ht="14.1" customHeight="1"/>
    <row r="43" ht="20.1" customHeight="1">
      <c r="B43" s="7" t="s">
        <v>102</v>
      </c>
    </row>
    <row r="44" ht="14.1" customHeight="1">
      <c r="B44" s="7"/>
    </row>
    <row r="45" ht="24" customHeight="1">
      <c r="B45" s="1048" t="s">
        <v>126</v>
      </c>
      <c r="C45" s="1048"/>
      <c r="D45" s="1048"/>
      <c r="E45" s="1048"/>
      <c r="F45" s="1048"/>
      <c r="G45" s="1048"/>
      <c r="H45" s="1048"/>
      <c r="I45" s="1048"/>
      <c r="J45" s="1048"/>
      <c r="K45" s="1048"/>
      <c r="L45" s="1048"/>
      <c r="M45" s="1048"/>
      <c r="N45" s="1048"/>
      <c r="O45" s="1048"/>
      <c r="P45" s="1048"/>
      <c r="Q45" s="1048"/>
      <c r="R45" s="1048"/>
      <c r="S45" s="1048"/>
      <c r="T45" s="1048"/>
      <c r="U45" s="1048"/>
      <c r="V45" s="1048"/>
      <c r="W45" s="1048"/>
      <c r="X45" s="1048"/>
      <c r="Y45" s="1048"/>
      <c r="Z45" s="1048"/>
      <c r="AA45" s="1048"/>
      <c r="AB45" s="1048"/>
      <c r="AC45" s="1048"/>
      <c r="AD45" s="1048"/>
      <c r="AE45" s="1048"/>
      <c r="AF45" s="1048"/>
      <c r="AG45" s="1048"/>
    </row>
    <row r="46" ht="14.1" customHeight="1"/>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row>
    <row r="50">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row>
    <row r="5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row>
    <row r="52">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row>
    <row r="53">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row>
    <row r="54">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row>
    <row r="5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row>
    <row r="56">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row>
    <row r="57">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row>
    <row r="58">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row>
    <row r="59">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row>
    <row r="60">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row>
    <row r="6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row>
    <row r="62">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row>
    <row r="63">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row>
    <row r="64">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row>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row r="83" s="236" customFormat="1"/>
    <row r="84" s="236" customFormat="1"/>
    <row r="85" s="236" customFormat="1"/>
    <row r="86" s="236" customFormat="1"/>
  </sheetData>
  <mergeCells count="24">
    <mergeCell ref="U3:AG3"/>
    <mergeCell ref="AD6:AG6"/>
    <mergeCell ref="Q6:AB6"/>
    <mergeCell ref="Q7:S7"/>
    <mergeCell ref="AD7:AG7"/>
    <mergeCell ref="M7:O7"/>
    <mergeCell ref="T7:V7"/>
    <mergeCell ref="W7:Y7"/>
    <mergeCell ref="D6:O6"/>
    <mergeCell ref="Z7:AB7"/>
    <mergeCell ref="D7:F7"/>
    <mergeCell ref="G7:I7"/>
    <mergeCell ref="J7:L7"/>
    <mergeCell ref="B45:AG45"/>
    <mergeCell ref="B33:O33"/>
    <mergeCell ref="Q28:AB28"/>
    <mergeCell ref="B38:O38"/>
    <mergeCell ref="B28:O28"/>
    <mergeCell ref="Q33:AB33"/>
    <mergeCell ref="B8:C8"/>
    <mergeCell ref="AD38:AG38"/>
    <mergeCell ref="AD33:AG33"/>
    <mergeCell ref="AD28:AG28"/>
    <mergeCell ref="Q38:AB38"/>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7" max="16383" man="1"/>
  </rowBreaks>
  <colBreaks count="1" manualBreakCount="1">
    <brk id="35" max="1048575" man="1"/>
  </colBreaks>
  <drawing r:id="rId129"/>
</worksheet>
</file>

<file path=xl/worksheets/sheet1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5">
    <pageSetUpPr fitToPage="1"/>
  </sheetPr>
  <dimension ref="A1:AW78"/>
  <sheetViews>
    <sheetView showGridLines="0" zoomScale="75" workbookViewId="0"/>
  </sheetViews>
  <sheetFormatPr defaultRowHeight="12.75"/>
  <cols>
    <col min="1" max="1" width="1.7109375" customWidth="1"/>
    <col min="2" max="2" width="6.7109375" customWidth="1"/>
    <col min="3" max="3" width="6.7109375" style="26"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236" customWidth="1"/>
  </cols>
  <sheetData>
    <row r="1" ht="39.95" customHeight="1">
      <c r="B1" s="656" t="s">
        <v>199</v>
      </c>
      <c r="AD1" s="5"/>
      <c r="AG1" s="685"/>
      <c r="AI1" s="236"/>
    </row>
    <row r="2" ht="21" customHeight="1">
      <c r="B2" s="11" t="s">
        <v>208</v>
      </c>
    </row>
    <row r="3" ht="21" customHeight="1">
      <c r="B3" s="11" t="s">
        <v>209</v>
      </c>
      <c r="U3" s="1040" t="s">
        <v>294</v>
      </c>
      <c r="V3" s="1040"/>
      <c r="W3" s="1040"/>
      <c r="X3" s="1040"/>
      <c r="Y3" s="1040"/>
      <c r="Z3" s="1040"/>
      <c r="AA3" s="1040"/>
      <c r="AB3" s="1040"/>
      <c r="AC3" s="1040"/>
      <c r="AD3" s="1040"/>
      <c r="AE3" s="1040"/>
      <c r="AF3" s="1040"/>
      <c r="AG3" s="1040"/>
    </row>
    <row r="4" ht="21" customHeight="1">
      <c r="A4" s="4"/>
      <c r="B4" s="211" t="s">
        <v>210</v>
      </c>
      <c r="C4" s="5"/>
      <c r="D4" s="5"/>
      <c r="E4" s="5"/>
      <c r="F4" s="5"/>
      <c r="G4" s="5"/>
      <c r="H4" s="212"/>
      <c r="I4" s="212"/>
      <c r="J4" s="212"/>
      <c r="K4" s="212"/>
      <c r="L4" s="212"/>
      <c r="M4" s="212"/>
      <c r="N4" s="212"/>
      <c r="O4" s="212"/>
      <c r="P4" s="212"/>
      <c r="Q4" s="212"/>
      <c r="R4" s="212"/>
      <c r="S4" s="212"/>
      <c r="T4" s="212"/>
      <c r="U4" s="212"/>
      <c r="V4" s="212"/>
      <c r="W4" s="212"/>
      <c r="X4" s="4"/>
      <c r="Y4" s="4"/>
      <c r="AC4" s="212"/>
    </row>
    <row r="5" ht="24.95" customHeight="1"/>
    <row r="6" ht="24.95" customHeight="1">
      <c r="D6" s="960" t="s">
        <v>92</v>
      </c>
      <c r="E6" s="960"/>
      <c r="F6" s="960"/>
      <c r="G6" s="960"/>
      <c r="H6" s="960"/>
      <c r="I6" s="960"/>
      <c r="J6" s="960"/>
      <c r="K6" s="960"/>
      <c r="L6" s="960"/>
      <c r="M6" s="960"/>
      <c r="N6" s="960"/>
      <c r="O6" s="960"/>
      <c r="Q6" s="960" t="s">
        <v>70</v>
      </c>
      <c r="R6" s="960"/>
      <c r="S6" s="960"/>
      <c r="T6" s="960"/>
      <c r="U6" s="960"/>
      <c r="V6" s="960"/>
      <c r="W6" s="960"/>
      <c r="X6" s="960"/>
      <c r="Y6" s="960"/>
      <c r="Z6" s="960"/>
      <c r="AA6" s="960"/>
      <c r="AB6" s="960"/>
      <c r="AD6" s="960" t="s">
        <v>77</v>
      </c>
      <c r="AE6" s="960"/>
      <c r="AF6" s="960"/>
      <c r="AG6" s="960"/>
    </row>
    <row r="7" ht="24.95" customHeight="1">
      <c r="D7" s="283" t="s">
        <v>20</v>
      </c>
      <c r="E7" s="283"/>
      <c r="F7" s="283"/>
      <c r="G7" s="283" t="s">
        <v>18</v>
      </c>
      <c r="H7" s="283"/>
      <c r="I7" s="283"/>
      <c r="J7" s="283" t="s">
        <v>17</v>
      </c>
      <c r="K7" s="283"/>
      <c r="L7" s="283"/>
      <c r="M7" s="283" t="s">
        <v>103</v>
      </c>
      <c r="N7" s="283"/>
      <c r="O7" s="283"/>
      <c r="Q7" s="283" t="s">
        <v>20</v>
      </c>
      <c r="R7" s="283"/>
      <c r="S7" s="283"/>
      <c r="T7" s="283" t="s">
        <v>18</v>
      </c>
      <c r="U7" s="283"/>
      <c r="V7" s="283"/>
      <c r="W7" s="283" t="s">
        <v>17</v>
      </c>
      <c r="X7" s="283"/>
      <c r="Y7" s="283"/>
      <c r="Z7" s="283" t="s">
        <v>103</v>
      </c>
      <c r="AA7" s="283"/>
      <c r="AB7" s="283"/>
      <c r="AD7" s="283" t="s">
        <v>78</v>
      </c>
      <c r="AE7" s="283"/>
      <c r="AF7" s="283"/>
      <c r="AG7" s="283"/>
    </row>
    <row r="8" ht="30" customHeight="1">
      <c r="A8" s="57"/>
      <c r="B8" s="944" t="s">
        <v>42</v>
      </c>
      <c r="C8" s="944"/>
      <c r="D8" s="412" t="s">
        <v>25</v>
      </c>
      <c r="E8" s="413" t="s">
        <v>15</v>
      </c>
      <c r="F8" s="414" t="s">
        <v>26</v>
      </c>
      <c r="G8" s="412" t="s">
        <v>25</v>
      </c>
      <c r="H8" s="413" t="s">
        <v>15</v>
      </c>
      <c r="I8" s="414" t="s">
        <v>26</v>
      </c>
      <c r="J8" s="412" t="s">
        <v>25</v>
      </c>
      <c r="K8" s="413" t="s">
        <v>15</v>
      </c>
      <c r="L8" s="414" t="s">
        <v>26</v>
      </c>
      <c r="M8" s="412" t="s">
        <v>25</v>
      </c>
      <c r="N8" s="413" t="s">
        <v>15</v>
      </c>
      <c r="O8" s="414" t="s">
        <v>26</v>
      </c>
      <c r="P8" s="63"/>
      <c r="Q8" s="412" t="s">
        <v>25</v>
      </c>
      <c r="R8" s="413" t="s">
        <v>15</v>
      </c>
      <c r="S8" s="414" t="s">
        <v>26</v>
      </c>
      <c r="T8" s="412" t="s">
        <v>25</v>
      </c>
      <c r="U8" s="413" t="s">
        <v>15</v>
      </c>
      <c r="V8" s="414" t="s">
        <v>26</v>
      </c>
      <c r="W8" s="412" t="s">
        <v>25</v>
      </c>
      <c r="X8" s="413" t="s">
        <v>15</v>
      </c>
      <c r="Y8" s="414" t="s">
        <v>26</v>
      </c>
      <c r="Z8" s="412" t="s">
        <v>25</v>
      </c>
      <c r="AA8" s="413" t="s">
        <v>15</v>
      </c>
      <c r="AB8" s="414" t="s">
        <v>26</v>
      </c>
      <c r="AC8" s="63"/>
      <c r="AD8" s="412" t="s">
        <v>20</v>
      </c>
      <c r="AE8" s="413" t="s">
        <v>18</v>
      </c>
      <c r="AF8" s="413" t="s">
        <v>17</v>
      </c>
      <c r="AG8" s="414" t="s">
        <v>12</v>
      </c>
    </row>
    <row r="9" ht="20.1" customHeight="1">
      <c r="A9" s="57"/>
      <c r="B9" s="284">
        <v>2024</v>
      </c>
      <c r="C9" s="285" t="s">
        <v>218</v>
      </c>
      <c r="D9" s="434">
        <v>256.78372434017595307917888563</v>
      </c>
      <c r="E9" s="435">
        <v>238.59199731443025325547262905</v>
      </c>
      <c r="F9" s="436">
        <v>211.6919451000961622519451001</v>
      </c>
      <c r="G9" s="434">
        <v>9.0017106549364613880742913</v>
      </c>
      <c r="H9" s="435">
        <v>52.46660990741443243938898596</v>
      </c>
      <c r="I9" s="436">
        <v>62.553769611775530238679770735</v>
      </c>
      <c r="J9" s="434">
        <v>21.831622678396871945259042033</v>
      </c>
      <c r="K9" s="435">
        <v>33.354466863117558666914370368</v>
      </c>
      <c r="L9" s="436">
        <v>21.708285538309596982309978588</v>
      </c>
      <c r="M9" s="434">
        <v>287.61705767350928641251221896</v>
      </c>
      <c r="N9" s="435">
        <v>324.41307408496224436177598539</v>
      </c>
      <c r="O9" s="436">
        <v>295.95400025018128947293484941</v>
      </c>
      <c r="P9" s="5"/>
      <c r="Q9" s="415">
        <v>-3.2783369263201432682346229400</v>
      </c>
      <c r="R9" s="416">
        <v>-2.4971917427407654540122811400</v>
      </c>
      <c r="S9" s="417">
        <v>3.0893743056782696523614474800</v>
      </c>
      <c r="T9" s="415">
        <v>-86.44017257627917299664969985</v>
      </c>
      <c r="U9" s="416">
        <v>-8.474273611676233239095431720</v>
      </c>
      <c r="V9" s="417">
        <v>8.637182314634723418794780880</v>
      </c>
      <c r="W9" s="415">
        <v>-14.218086843079073210726156530</v>
      </c>
      <c r="X9" s="416">
        <v>42.478587508200546213815639530</v>
      </c>
      <c r="Y9" s="417">
        <v>2.0921281940034360352305984300</v>
      </c>
      <c r="Z9" s="415">
        <v>-19.507729639091613509582487250</v>
      </c>
      <c r="AA9" s="416">
        <v>-0.314721012031697446716605300</v>
      </c>
      <c r="AB9" s="417">
        <v>4.1388075310050789465484767900</v>
      </c>
      <c r="AC9" s="5"/>
      <c r="AD9" s="427" t="s">
        <v>307</v>
      </c>
      <c r="AE9" s="428" t="s">
        <v>348</v>
      </c>
      <c r="AF9" s="428" t="s">
        <v>350</v>
      </c>
      <c r="AG9" s="429" t="s">
        <v>348</v>
      </c>
    </row>
    <row r="10" ht="20.1" customHeight="1">
      <c r="A10" s="58"/>
      <c r="B10" s="286"/>
      <c r="C10" s="287" t="s">
        <v>220</v>
      </c>
      <c r="D10" s="276">
        <v>326.2270114942528735632183908</v>
      </c>
      <c r="E10" s="94">
        <v>307.65902493574111921681302724</v>
      </c>
      <c r="F10" s="277">
        <v>268.31499032133178474641889276</v>
      </c>
      <c r="G10" s="276">
        <v>1.4840647857889237199582027168</v>
      </c>
      <c r="H10" s="94">
        <v>51.020515090135728063820547428</v>
      </c>
      <c r="I10" s="277">
        <v>70.707247931223701342989603337</v>
      </c>
      <c r="J10" s="276">
        <v>26.732236154649947753396029258</v>
      </c>
      <c r="K10" s="94">
        <v>37.978448281175334851447372186</v>
      </c>
      <c r="L10" s="277">
        <v>28.585283374688628984678644584</v>
      </c>
      <c r="M10" s="276">
        <v>354.44331243469174503657262278</v>
      </c>
      <c r="N10" s="94">
        <v>396.65798830705218213208094686</v>
      </c>
      <c r="O10" s="277">
        <v>367.60752162724411507408714069</v>
      </c>
      <c r="P10" s="5"/>
      <c r="Q10" s="271">
        <v>0.147349829674445464388405100</v>
      </c>
      <c r="R10" s="92">
        <v>2.1998459626171330759658884400</v>
      </c>
      <c r="S10" s="272">
        <v>4.8868137559302797158944771400</v>
      </c>
      <c r="T10" s="271">
        <v>-97.74384208085957784193357584</v>
      </c>
      <c r="U10" s="92">
        <v>-6.5468189131696895356294120700</v>
      </c>
      <c r="V10" s="272">
        <v>-5.2032038147090485058471163300</v>
      </c>
      <c r="W10" s="271">
        <v>10.357922938538882239121706560</v>
      </c>
      <c r="X10" s="92">
        <v>53.382960936269208891711219550</v>
      </c>
      <c r="Y10" s="272">
        <v>13.035412930550917453917220310</v>
      </c>
      <c r="Z10" s="271">
        <v>-14.745768907809910209038668100</v>
      </c>
      <c r="AA10" s="92">
        <v>4.276124606722550147595388200</v>
      </c>
      <c r="AB10" s="272">
        <v>3.3502875353692958599700120200</v>
      </c>
      <c r="AC10" s="5"/>
      <c r="AD10" s="271" t="s">
        <v>307</v>
      </c>
      <c r="AE10" s="92" t="s">
        <v>349</v>
      </c>
      <c r="AF10" s="92" t="s">
        <v>350</v>
      </c>
      <c r="AG10" s="272" t="s">
        <v>350</v>
      </c>
    </row>
    <row r="11" ht="20.1" customHeight="1">
      <c r="A11" s="58"/>
      <c r="B11" s="288"/>
      <c r="C11" s="289" t="s">
        <v>221</v>
      </c>
      <c r="D11" s="439">
        <v>289.40347018572825024437927664</v>
      </c>
      <c r="E11" s="95">
        <v>269.88579333603972145020766324</v>
      </c>
      <c r="F11" s="442">
        <v>240.74114937162512401006498299</v>
      </c>
      <c r="G11" s="439">
        <v>1.8025415444770283479960899316</v>
      </c>
      <c r="H11" s="95">
        <v>65.621184451451142028975375789</v>
      </c>
      <c r="I11" s="442">
        <v>57.960767678929061854888902186</v>
      </c>
      <c r="J11" s="439">
        <v>25.444281524926686217008797654</v>
      </c>
      <c r="K11" s="95">
        <v>34.012504774878136489452002967</v>
      </c>
      <c r="L11" s="442">
        <v>28.85505320141683581860801876</v>
      </c>
      <c r="M11" s="439">
        <v>316.65029325513196480938416422</v>
      </c>
      <c r="N11" s="95">
        <v>369.519482562368999968635042</v>
      </c>
      <c r="O11" s="442">
        <v>327.55697025197102168356190394</v>
      </c>
      <c r="P11" s="5"/>
      <c r="Q11" s="497">
        <v>0.3897796024556957236371573900</v>
      </c>
      <c r="R11" s="216">
        <v>-1.8728072112419145321247059400</v>
      </c>
      <c r="S11" s="498">
        <v>-2.1421170164987621609912828800</v>
      </c>
      <c r="T11" s="497">
        <v>-97.19127222877891310850808158</v>
      </c>
      <c r="U11" s="216">
        <v>-10.759019909877875466905978010</v>
      </c>
      <c r="V11" s="498">
        <v>-11.601215985905351167565785770</v>
      </c>
      <c r="W11" s="497">
        <v>12.983842088504146205395801940</v>
      </c>
      <c r="X11" s="216">
        <v>8.606330671437703203882414090</v>
      </c>
      <c r="Y11" s="498">
        <v>8.885859872161345473960658280</v>
      </c>
      <c r="Z11" s="497">
        <v>-15.554638804373036809548545340</v>
      </c>
      <c r="AA11" s="216">
        <v>-2.7289796777474609167554968700</v>
      </c>
      <c r="AB11" s="498">
        <v>-3.1121987378083661893385471900</v>
      </c>
      <c r="AC11" s="5"/>
      <c r="AD11" s="420" t="s">
        <v>307</v>
      </c>
      <c r="AE11" s="91" t="s">
        <v>350</v>
      </c>
      <c r="AF11" s="91" t="s">
        <v>349</v>
      </c>
      <c r="AG11" s="421" t="s">
        <v>353</v>
      </c>
    </row>
    <row r="12" ht="20.1" customHeight="1">
      <c r="A12" s="58"/>
      <c r="B12" s="286"/>
      <c r="C12" s="287" t="s">
        <v>223</v>
      </c>
      <c r="D12" s="276">
        <v>240.95631313131313131313131313</v>
      </c>
      <c r="E12" s="94">
        <v>221.49923588254275572765408196</v>
      </c>
      <c r="F12" s="277">
        <v>199.93547669491525423728813559</v>
      </c>
      <c r="G12" s="276">
        <v>1.4931818181818181818181818182</v>
      </c>
      <c r="H12" s="94">
        <v>42.04319315826518031632591545</v>
      </c>
      <c r="I12" s="277">
        <v>57.227622225627578952743684241</v>
      </c>
      <c r="J12" s="276">
        <v>28.850252525252525252525252525</v>
      </c>
      <c r="K12" s="94">
        <v>27.409809208743352326106796512</v>
      </c>
      <c r="L12" s="277">
        <v>21.91167215686211204538687754</v>
      </c>
      <c r="M12" s="276">
        <v>271.29974747474747474747474747</v>
      </c>
      <c r="N12" s="94">
        <v>290.95223824955128837008679393</v>
      </c>
      <c r="O12" s="277">
        <v>279.07477107740494523541869737</v>
      </c>
      <c r="P12" s="5"/>
      <c r="Q12" s="271">
        <v>4.9100138643372400464617334400</v>
      </c>
      <c r="R12" s="92">
        <v>5.2124177464720894248325341900</v>
      </c>
      <c r="S12" s="272">
        <v>5.3365298945783269507908601200</v>
      </c>
      <c r="T12" s="271">
        <v>-96.69187991630624143676571833</v>
      </c>
      <c r="U12" s="92">
        <v>-18.763433099492778377663296060</v>
      </c>
      <c r="V12" s="272">
        <v>-1.4412448793047199225039634300</v>
      </c>
      <c r="W12" s="271">
        <v>39.267864543677571827516486550</v>
      </c>
      <c r="X12" s="92">
        <v>4.4987139297309278798841150900</v>
      </c>
      <c r="Y12" s="272">
        <v>-14.969119581112359903549864080</v>
      </c>
      <c r="Z12" s="271">
        <v>-8.199401010858267615247754460</v>
      </c>
      <c r="AA12" s="92">
        <v>0.846645638208885388526904500</v>
      </c>
      <c r="AB12" s="272">
        <v>1.9861209189528653022001403300</v>
      </c>
      <c r="AC12" s="5"/>
      <c r="AD12" s="271" t="s">
        <v>307</v>
      </c>
      <c r="AE12" s="92" t="s">
        <v>350</v>
      </c>
      <c r="AF12" s="92" t="s">
        <v>350</v>
      </c>
      <c r="AG12" s="272" t="s">
        <v>353</v>
      </c>
    </row>
    <row r="13" ht="20.1" customHeight="1">
      <c r="A13" s="58"/>
      <c r="B13" s="288"/>
      <c r="C13" s="289" t="s">
        <v>224</v>
      </c>
      <c r="D13" s="439">
        <v>189.88831867057673509286412512</v>
      </c>
      <c r="E13" s="95">
        <v>186.55644692876994660088061706</v>
      </c>
      <c r="F13" s="442">
        <v>164.84812397484964461454346638</v>
      </c>
      <c r="G13" s="439">
        <v>1.4000488758553274682306940371</v>
      </c>
      <c r="H13" s="95">
        <v>41.75462349807235197279986475</v>
      </c>
      <c r="I13" s="442">
        <v>43.65566358422779939267650977</v>
      </c>
      <c r="J13" s="439">
        <v>27.274193548387096774193548387</v>
      </c>
      <c r="K13" s="95">
        <v>39.727128026608420362917131733</v>
      </c>
      <c r="L13" s="442">
        <v>26.544549547073312490335067995</v>
      </c>
      <c r="M13" s="439">
        <v>218.56256109481915933528836755</v>
      </c>
      <c r="N13" s="95">
        <v>268.03819845345071893659761353</v>
      </c>
      <c r="O13" s="442">
        <v>235.04833710615075649755504414</v>
      </c>
      <c r="P13" s="5"/>
      <c r="Q13" s="420">
        <v>-6.2987786642600053603046342500</v>
      </c>
      <c r="R13" s="91">
        <v>3.9883706615847279645439470600</v>
      </c>
      <c r="S13" s="498">
        <v>0.6753369836010753859390410900</v>
      </c>
      <c r="T13" s="420">
        <v>-96.71602093400406323081746163</v>
      </c>
      <c r="U13" s="91">
        <v>1.4322263896597707750341794500</v>
      </c>
      <c r="V13" s="498">
        <v>-17.181619147489758899630371650</v>
      </c>
      <c r="W13" s="420">
        <v>39.813341684762048437267417540</v>
      </c>
      <c r="X13" s="91">
        <v>19.817193787892798991116222580</v>
      </c>
      <c r="Y13" s="498">
        <v>-1.2651073050277434515414395300</v>
      </c>
      <c r="Z13" s="420">
        <v>-17.459166025257985333263527350</v>
      </c>
      <c r="AA13" s="91">
        <v>5.6421591923719524180652095300</v>
      </c>
      <c r="AB13" s="498">
        <v>-3.4072451269688767142143693200</v>
      </c>
      <c r="AC13" s="5"/>
      <c r="AD13" s="420" t="s">
        <v>311</v>
      </c>
      <c r="AE13" s="91" t="s">
        <v>349</v>
      </c>
      <c r="AF13" s="91" t="s">
        <v>350</v>
      </c>
      <c r="AG13" s="421" t="s">
        <v>350</v>
      </c>
    </row>
    <row r="14" ht="20.1" customHeight="1">
      <c r="A14" s="58"/>
      <c r="B14" s="286"/>
      <c r="C14" s="287" t="s">
        <v>225</v>
      </c>
      <c r="D14" s="276">
        <v>134.08611111111111111111111111</v>
      </c>
      <c r="E14" s="94">
        <v>138.41507454017424975798644724</v>
      </c>
      <c r="F14" s="277">
        <v>129.09784131725879298694832675</v>
      </c>
      <c r="G14" s="276">
        <v>1.3696969696969696969696969697</v>
      </c>
      <c r="H14" s="94">
        <v>35.643735667090540817443331601</v>
      </c>
      <c r="I14" s="277">
        <v>43.108799083302470359292854216</v>
      </c>
      <c r="J14" s="276">
        <v>23.807828282828282828282828283</v>
      </c>
      <c r="K14" s="94">
        <v>34.510142934281485464156998816</v>
      </c>
      <c r="L14" s="277">
        <v>24.305720719325196413037185587</v>
      </c>
      <c r="M14" s="276">
        <v>159.26363636363636363636363636</v>
      </c>
      <c r="N14" s="94">
        <v>208.56895314154627603958677766</v>
      </c>
      <c r="O14" s="277">
        <v>196.51236111988645975927836656</v>
      </c>
      <c r="P14" s="5"/>
      <c r="Q14" s="271">
        <v>-15.861538949083926065805710980</v>
      </c>
      <c r="R14" s="92">
        <v>0.9917425700284491095360454300</v>
      </c>
      <c r="S14" s="272">
        <v>0.1552729517098109466447989900</v>
      </c>
      <c r="T14" s="271">
        <v>-96.45571274545020188650938414</v>
      </c>
      <c r="U14" s="92">
        <v>14.758586724996190058280631350</v>
      </c>
      <c r="V14" s="272">
        <v>5.5863980473915810362869626100</v>
      </c>
      <c r="W14" s="271">
        <v>4.0297041720734076257641736100</v>
      </c>
      <c r="X14" s="92">
        <v>3.1945398351208084865671243400</v>
      </c>
      <c r="Y14" s="272">
        <v>12.427566326768109680091828600</v>
      </c>
      <c r="Z14" s="271">
        <v>-27.900569539346813689338027720</v>
      </c>
      <c r="AA14" s="92">
        <v>3.4786784506869536690285858100</v>
      </c>
      <c r="AB14" s="272">
        <v>2.7007142052993431295355043600</v>
      </c>
      <c r="AC14" s="5"/>
      <c r="AD14" s="271" t="s">
        <v>306</v>
      </c>
      <c r="AE14" s="92" t="s">
        <v>349</v>
      </c>
      <c r="AF14" s="92" t="s">
        <v>349</v>
      </c>
      <c r="AG14" s="272" t="s">
        <v>349</v>
      </c>
    </row>
    <row r="15" ht="20.1" customHeight="1">
      <c r="A15" s="58"/>
      <c r="B15" s="288"/>
      <c r="C15" s="289" t="s">
        <v>228</v>
      </c>
      <c r="D15" s="439">
        <v>132.24608993157380254154447703</v>
      </c>
      <c r="E15" s="95">
        <v>126.80732535989757361896137151</v>
      </c>
      <c r="F15" s="442">
        <v>125.82997998525229116190877489</v>
      </c>
      <c r="G15" s="439">
        <v>1.0579178885630498533724340176</v>
      </c>
      <c r="H15" s="95">
        <v>22.013195610185595182774987372</v>
      </c>
      <c r="I15" s="442">
        <v>31.523334947713929576401364255</v>
      </c>
      <c r="J15" s="439">
        <v>25.493890518084066471163245357</v>
      </c>
      <c r="K15" s="95">
        <v>25.84993287818837654187044552</v>
      </c>
      <c r="L15" s="442">
        <v>21.850372467085302843986073846</v>
      </c>
      <c r="M15" s="439">
        <v>158.7978983382209188660801564</v>
      </c>
      <c r="N15" s="95">
        <v>174.6704538482715453436068044</v>
      </c>
      <c r="O15" s="442">
        <v>179.20368740005152358229621299</v>
      </c>
      <c r="P15" s="5"/>
      <c r="Q15" s="420">
        <v>-13.473155381894249131028395710</v>
      </c>
      <c r="R15" s="91">
        <v>-2.5571467731906610172259625900</v>
      </c>
      <c r="S15" s="498">
        <v>2.0009235048031201805008812400</v>
      </c>
      <c r="T15" s="420">
        <v>-96.84339475430192981016822315</v>
      </c>
      <c r="U15" s="91">
        <v>-31.008737657625091821655266210</v>
      </c>
      <c r="V15" s="498">
        <v>-16.439608711476722312759899550</v>
      </c>
      <c r="W15" s="420">
        <v>28.177372585380878150292396130</v>
      </c>
      <c r="X15" s="91">
        <v>19.133305864574052529398152550</v>
      </c>
      <c r="Y15" s="498">
        <v>-11.198153518703746491720091780</v>
      </c>
      <c r="Z15" s="420">
        <v>-23.004160233552504387634586730</v>
      </c>
      <c r="AA15" s="91">
        <v>-4.9363960481766153275121259100</v>
      </c>
      <c r="AB15" s="498">
        <v>-3.4944298187498411992745434100</v>
      </c>
      <c r="AC15" s="5"/>
      <c r="AD15" s="420" t="s">
        <v>311</v>
      </c>
      <c r="AE15" s="91" t="s">
        <v>347</v>
      </c>
      <c r="AF15" s="91" t="s">
        <v>347</v>
      </c>
      <c r="AG15" s="421" t="s">
        <v>347</v>
      </c>
    </row>
    <row r="16" ht="20.1" customHeight="1">
      <c r="A16" s="58"/>
      <c r="B16" s="286"/>
      <c r="C16" s="287" t="s">
        <v>229</v>
      </c>
      <c r="D16" s="276">
        <v>117.50879765395894428152492669</v>
      </c>
      <c r="E16" s="94">
        <v>102.59505605346157449333291697</v>
      </c>
      <c r="F16" s="277">
        <v>110.3236509463359119914375906</v>
      </c>
      <c r="G16" s="276">
        <v>1.5266373411534701857282502444</v>
      </c>
      <c r="H16" s="94">
        <v>11.962278433731922517497785671</v>
      </c>
      <c r="I16" s="277">
        <v>30.62160069681563682382290267</v>
      </c>
      <c r="J16" s="276">
        <v>25.000488758553274682306940371</v>
      </c>
      <c r="K16" s="94">
        <v>25.506955010800213993473241748</v>
      </c>
      <c r="L16" s="277">
        <v>21.580252217195845457515782143</v>
      </c>
      <c r="M16" s="276">
        <v>144.0359237536656891495601173</v>
      </c>
      <c r="N16" s="94">
        <v>140.06428949799371100430394439</v>
      </c>
      <c r="O16" s="277">
        <v>162.52550386034739427277627542</v>
      </c>
      <c r="P16" s="5"/>
      <c r="Q16" s="271">
        <v>-4.6519375141507881124224555800</v>
      </c>
      <c r="R16" s="92">
        <v>0.215516338738898625676708100</v>
      </c>
      <c r="S16" s="272">
        <v>3.7530871462379422597005585300</v>
      </c>
      <c r="T16" s="271">
        <v>-94.79355924857757762358402934</v>
      </c>
      <c r="U16" s="92">
        <v>-51.971775973789263262192002140</v>
      </c>
      <c r="V16" s="272">
        <v>-11.567860166750326717674789940</v>
      </c>
      <c r="W16" s="271">
        <v>6.7747962133797594196434235700</v>
      </c>
      <c r="X16" s="92">
        <v>33.162611411426697453066050840</v>
      </c>
      <c r="Y16" s="272">
        <v>7.2432501229115232126793223400</v>
      </c>
      <c r="Z16" s="271">
        <v>-18.151292245702268662146338020</v>
      </c>
      <c r="AA16" s="92">
        <v>-4.3511474934646154869360337600</v>
      </c>
      <c r="AB16" s="272">
        <v>0.8956105130728982343266844600</v>
      </c>
      <c r="AC16" s="5"/>
      <c r="AD16" s="271" t="s">
        <v>307</v>
      </c>
      <c r="AE16" s="92" t="s">
        <v>347</v>
      </c>
      <c r="AF16" s="92" t="s">
        <v>346</v>
      </c>
      <c r="AG16" s="272" t="s">
        <v>347</v>
      </c>
    </row>
    <row r="17" ht="20.1" customHeight="1">
      <c r="A17" s="58"/>
      <c r="B17" s="288"/>
      <c r="C17" s="289" t="s">
        <v>230</v>
      </c>
      <c r="D17" s="439">
        <v>106.32727272727272727272727273</v>
      </c>
      <c r="E17" s="95">
        <v>97.34611681187479832203936754</v>
      </c>
      <c r="F17" s="442">
        <v>107.35079348059189363070984345</v>
      </c>
      <c r="G17" s="439">
        <v>1.3227272727272727272727272727</v>
      </c>
      <c r="H17" s="95">
        <v>17.341192688117350345503960515</v>
      </c>
      <c r="I17" s="442">
        <v>42.576162161683465599342561077</v>
      </c>
      <c r="J17" s="439">
        <v>19.251010101010101010101010101</v>
      </c>
      <c r="K17" s="95">
        <v>19.652345365705045044936847259</v>
      </c>
      <c r="L17" s="442">
        <v>23.34471686256103977419884449</v>
      </c>
      <c r="M17" s="439">
        <v>126.9010101010101010101010101</v>
      </c>
      <c r="N17" s="95">
        <v>134.33965486569719371248017531</v>
      </c>
      <c r="O17" s="442">
        <v>173.27167250483639900425124902</v>
      </c>
      <c r="P17" s="5"/>
      <c r="Q17" s="420">
        <v>-2.9889707830734737770673180900</v>
      </c>
      <c r="R17" s="91">
        <v>0.0248673232141538976535149800</v>
      </c>
      <c r="S17" s="498">
        <v>1.5794993895512896340290318200</v>
      </c>
      <c r="T17" s="420">
        <v>-95.28197368065399129325385013</v>
      </c>
      <c r="U17" s="91">
        <v>-43.560403402459025409864043520</v>
      </c>
      <c r="V17" s="498">
        <v>11.253338720630800410632914930</v>
      </c>
      <c r="W17" s="420">
        <v>4.7458092881969249952482350600</v>
      </c>
      <c r="X17" s="91">
        <v>45.219080749989679692791679190</v>
      </c>
      <c r="Y17" s="498">
        <v>33.080886747758564283092415100</v>
      </c>
      <c r="Z17" s="420">
        <v>-18.662415227501874395544194730</v>
      </c>
      <c r="AA17" s="91">
        <v>-5.1139835780319336610946852700</v>
      </c>
      <c r="AB17" s="498">
        <v>7.2937025926226069076775461200</v>
      </c>
      <c r="AC17" s="5"/>
      <c r="AD17" s="420" t="s">
        <v>311</v>
      </c>
      <c r="AE17" s="91" t="s">
        <v>346</v>
      </c>
      <c r="AF17" s="91" t="s">
        <v>347</v>
      </c>
      <c r="AG17" s="421" t="s">
        <v>346</v>
      </c>
    </row>
    <row r="18" ht="20.1" customHeight="1">
      <c r="A18" s="58"/>
      <c r="B18" s="286"/>
      <c r="C18" s="287" t="s">
        <v>231</v>
      </c>
      <c r="D18" s="276">
        <v>149.12561094819159335288367546</v>
      </c>
      <c r="E18" s="94">
        <v>156.47900821284701620710114605</v>
      </c>
      <c r="F18" s="277">
        <v>147.96921890240949686274238515</v>
      </c>
      <c r="G18" s="276">
        <v>1.0821114369501466275659824047</v>
      </c>
      <c r="H18" s="94">
        <v>19.514347746157060778516318232</v>
      </c>
      <c r="I18" s="277">
        <v>53.101610720417061289625202756</v>
      </c>
      <c r="J18" s="276">
        <v>25.290566959921798631476050831</v>
      </c>
      <c r="K18" s="94">
        <v>17.522340581260622928879377734</v>
      </c>
      <c r="L18" s="277">
        <v>22.289986921900003043130387789</v>
      </c>
      <c r="M18" s="276">
        <v>175.4982893450635386119257087</v>
      </c>
      <c r="N18" s="94">
        <v>193.51569654026469991449684202</v>
      </c>
      <c r="O18" s="277">
        <v>223.36081654472656119549797569</v>
      </c>
      <c r="P18" s="5"/>
      <c r="Q18" s="271">
        <v>3.6667697294080710262708322400</v>
      </c>
      <c r="R18" s="92">
        <v>26.161399253208062618355112310</v>
      </c>
      <c r="S18" s="272">
        <v>8.477888464873991805894284450</v>
      </c>
      <c r="T18" s="271">
        <v>-96.16021644307830658256942318</v>
      </c>
      <c r="U18" s="92">
        <v>-32.356713124907876188799225350</v>
      </c>
      <c r="V18" s="272">
        <v>5.769957018943117965725088300</v>
      </c>
      <c r="W18" s="271">
        <v>38.402385855898884238985081030</v>
      </c>
      <c r="X18" s="92">
        <v>-3.0459046679444275696173533300</v>
      </c>
      <c r="Y18" s="272">
        <v>19.282901229261469042840972690</v>
      </c>
      <c r="Z18" s="271">
        <v>-7.7808639954105722382333580700</v>
      </c>
      <c r="AA18" s="92">
        <v>13.198492218633190778014175630</v>
      </c>
      <c r="AB18" s="272">
        <v>8.799172055404349116383840870</v>
      </c>
      <c r="AC18" s="5"/>
      <c r="AD18" s="271" t="s">
        <v>309</v>
      </c>
      <c r="AE18" s="92" t="s">
        <v>346</v>
      </c>
      <c r="AF18" s="92" t="s">
        <v>355</v>
      </c>
      <c r="AG18" s="272" t="s">
        <v>347</v>
      </c>
    </row>
    <row r="19" ht="20.1" customHeight="1">
      <c r="A19" s="58"/>
      <c r="B19" s="288"/>
      <c r="C19" s="289" t="s">
        <v>232</v>
      </c>
      <c r="D19" s="439">
        <v>175.57045454545454545454545455</v>
      </c>
      <c r="E19" s="95">
        <v>155.66611423039690222652468538</v>
      </c>
      <c r="F19" s="442">
        <v>159.69753420851566298534416892</v>
      </c>
      <c r="G19" s="439">
        <v>1.1595959595959595959595959596</v>
      </c>
      <c r="H19" s="95">
        <v>22.711544801795574965086040754</v>
      </c>
      <c r="I19" s="442">
        <v>63.959783354336642181487510155</v>
      </c>
      <c r="J19" s="439">
        <v>29.431818181818181818181818182</v>
      </c>
      <c r="K19" s="95">
        <v>19.168357118754295541393728253</v>
      </c>
      <c r="L19" s="442">
        <v>22.293361685474848859544746722</v>
      </c>
      <c r="M19" s="439">
        <v>206.16186868686868686868686869</v>
      </c>
      <c r="N19" s="95">
        <v>197.54601615094677273300445439</v>
      </c>
      <c r="O19" s="442">
        <v>245.9506792483271540263764258</v>
      </c>
      <c r="P19" s="5"/>
      <c r="Q19" s="420">
        <v>3.2989874527243521923216165700</v>
      </c>
      <c r="R19" s="91">
        <v>-3.5349026318512018266172778100</v>
      </c>
      <c r="S19" s="498">
        <v>0.5949151185025492688104223500</v>
      </c>
      <c r="T19" s="420">
        <v>-96.33750468579688304520888864</v>
      </c>
      <c r="U19" s="91">
        <v>-27.352006780743490786396829260</v>
      </c>
      <c r="V19" s="498">
        <v>4.410105500840655384068512600</v>
      </c>
      <c r="W19" s="420">
        <v>43.672493281397947057964828010</v>
      </c>
      <c r="X19" s="91">
        <v>-3.5449603026392243966478453900</v>
      </c>
      <c r="Y19" s="498">
        <v>-16.882741171261689232739680110</v>
      </c>
      <c r="Z19" s="420">
        <v>-7.1803273469791903202404257600</v>
      </c>
      <c r="AA19" s="91">
        <v>-7.0396603494199678419821408200</v>
      </c>
      <c r="AB19" s="498">
        <v>-0.3574155353626723408011816200</v>
      </c>
      <c r="AC19" s="5"/>
      <c r="AD19" s="420" t="s">
        <v>305</v>
      </c>
      <c r="AE19" s="91" t="s">
        <v>346</v>
      </c>
      <c r="AF19" s="91" t="s">
        <v>351</v>
      </c>
      <c r="AG19" s="421" t="s">
        <v>355</v>
      </c>
    </row>
    <row r="20" ht="20.1" customHeight="1">
      <c r="A20" s="58"/>
      <c r="B20" s="286"/>
      <c r="C20" s="287" t="s">
        <v>234</v>
      </c>
      <c r="D20" s="276">
        <v>244.84066471163245356793743891</v>
      </c>
      <c r="E20" s="94">
        <v>231.82395059800768197857789714</v>
      </c>
      <c r="F20" s="277">
        <v>204.03590239140400579134662001</v>
      </c>
      <c r="G20" s="276">
        <v>1.3140273704789833822091886608</v>
      </c>
      <c r="H20" s="94">
        <v>24.326473242856627330614184872</v>
      </c>
      <c r="I20" s="277">
        <v>57.201775322449727769406495919</v>
      </c>
      <c r="J20" s="276">
        <v>31.150048875855327468230694037</v>
      </c>
      <c r="K20" s="94">
        <v>20.87875208178211635781015356</v>
      </c>
      <c r="L20" s="277">
        <v>21.842929332770254508618076075</v>
      </c>
      <c r="M20" s="276">
        <v>277.3047409579667644183773216</v>
      </c>
      <c r="N20" s="94">
        <v>277.02917592264642566700223555</v>
      </c>
      <c r="O20" s="277">
        <v>283.08060704662398806937119201</v>
      </c>
      <c r="P20" s="5"/>
      <c r="Q20" s="271">
        <v>-12.323665105465448187067301180</v>
      </c>
      <c r="R20" s="92">
        <v>-7.4517497097351775836731192700</v>
      </c>
      <c r="S20" s="272">
        <v>0.5420355991136406813385753900</v>
      </c>
      <c r="T20" s="271">
        <v>-97.54572384486321164544920840</v>
      </c>
      <c r="U20" s="92">
        <v>-35.025775308970366131597101180</v>
      </c>
      <c r="V20" s="272">
        <v>3.779084073503783843097514300</v>
      </c>
      <c r="W20" s="271">
        <v>66.64836314226018764390636100</v>
      </c>
      <c r="X20" s="92">
        <v>-19.666731452975005934697209940</v>
      </c>
      <c r="Y20" s="272">
        <v>-2.9466429985419388954963969400</v>
      </c>
      <c r="Z20" s="271">
        <v>-21.105384391295162601499688820</v>
      </c>
      <c r="AA20" s="92">
        <v>-11.751715958871986419741198970</v>
      </c>
      <c r="AB20" s="272">
        <v>0.8981282104466932526473620700</v>
      </c>
      <c r="AC20" s="5"/>
      <c r="AD20" s="271" t="s">
        <v>307</v>
      </c>
      <c r="AE20" s="92" t="s">
        <v>346</v>
      </c>
      <c r="AF20" s="92" t="s">
        <v>346</v>
      </c>
      <c r="AG20" s="272" t="s">
        <v>351</v>
      </c>
    </row>
    <row r="21" ht="20.1" customHeight="1">
      <c r="A21" s="58"/>
      <c r="B21" s="288">
        <v>2025</v>
      </c>
      <c r="C21" s="289" t="s">
        <v>218</v>
      </c>
      <c r="D21" s="439">
        <v>254.33015640273704789833822092</v>
      </c>
      <c r="E21" s="95">
        <v>243.60433813196764825281828686</v>
      </c>
      <c r="F21" s="442">
        <v>219.18865605829497845243883756</v>
      </c>
      <c r="G21" s="439">
        <v>1.6598240469208211143695014663</v>
      </c>
      <c r="H21" s="95">
        <v>68.557120303817702561436786182</v>
      </c>
      <c r="I21" s="442">
        <v>66.52878155674698782150197338</v>
      </c>
      <c r="J21" s="439">
        <v>26.748778103616813294232649071</v>
      </c>
      <c r="K21" s="95">
        <v>23.49206961438958932753979841</v>
      </c>
      <c r="L21" s="442">
        <v>18.097887433965306496633510403</v>
      </c>
      <c r="M21" s="439">
        <v>282.73875855327468230694037146</v>
      </c>
      <c r="N21" s="95">
        <v>335.65352805017494014179487144</v>
      </c>
      <c r="O21" s="442">
        <v>303.81532504900727277057432134</v>
      </c>
      <c r="P21" s="5"/>
      <c r="Q21" s="420">
        <v>-0.955499786354193472357622200</v>
      </c>
      <c r="R21" s="91">
        <v>2.1008000578337641689586647400</v>
      </c>
      <c r="S21" s="498">
        <v>3.5413302828551680789275257100</v>
      </c>
      <c r="T21" s="420">
        <v>-81.56101533859777123628393613</v>
      </c>
      <c r="U21" s="91">
        <v>30.668096194544224674673546150</v>
      </c>
      <c r="V21" s="498">
        <v>6.3545522030332615822788855800</v>
      </c>
      <c r="W21" s="420">
        <v>22.523087255817223982572625950</v>
      </c>
      <c r="X21" s="91">
        <v>-29.568445177641759709881649830</v>
      </c>
      <c r="Y21" s="498">
        <v>-16.63142903646101476969206500</v>
      </c>
      <c r="Z21" s="420">
        <v>-1.6961091110816918031132048800</v>
      </c>
      <c r="AA21" s="91">
        <v>3.4648584977280571678581680200</v>
      </c>
      <c r="AB21" s="498">
        <v>2.6562657683833622178038306900</v>
      </c>
      <c r="AC21" s="5"/>
      <c r="AD21" s="420" t="s">
        <v>307</v>
      </c>
      <c r="AE21" s="91" t="s">
        <v>347</v>
      </c>
      <c r="AF21" s="91" t="s">
        <v>347</v>
      </c>
      <c r="AG21" s="421" t="s">
        <v>351</v>
      </c>
    </row>
    <row r="22" ht="20.1" customHeight="1">
      <c r="A22" s="58"/>
      <c r="B22" s="286"/>
      <c r="C22" s="287" t="s">
        <v>220</v>
      </c>
      <c r="D22" s="276">
        <v>316.26190476190476190476190476</v>
      </c>
      <c r="E22" s="94">
        <v>328.1949961969298852164292629</v>
      </c>
      <c r="F22" s="277">
        <v>277.43088011129034645040031966</v>
      </c>
      <c r="G22" s="276">
        <v>1.5083874458874458874458874459</v>
      </c>
      <c r="H22" s="94">
        <v>86.53258043286639598258564957</v>
      </c>
      <c r="I22" s="277">
        <v>84.75570150824422916783278167</v>
      </c>
      <c r="J22" s="276">
        <v>25.331709956709956709956709957</v>
      </c>
      <c r="K22" s="94">
        <v>34.154740753611524264052785272</v>
      </c>
      <c r="L22" s="277">
        <v>28.860215412565880893808093347</v>
      </c>
      <c r="M22" s="276">
        <v>343.10200216450216450216450216</v>
      </c>
      <c r="N22" s="94">
        <v>448.88231738340780546306769773</v>
      </c>
      <c r="O22" s="277">
        <v>391.04679703210045651204119467</v>
      </c>
      <c r="P22" s="5"/>
      <c r="Q22" s="271">
        <v>-3.0546540848195071602992651500</v>
      </c>
      <c r="R22" s="92">
        <v>6.6749126782553686076810081900</v>
      </c>
      <c r="S22" s="272">
        <v>3.3974582557144172507059322500</v>
      </c>
      <c r="T22" s="271">
        <v>1.6389217182546726691483394100</v>
      </c>
      <c r="U22" s="92">
        <v>69.603502199171530317034433610</v>
      </c>
      <c r="V22" s="272">
        <v>19.868477402364382249270225670</v>
      </c>
      <c r="W22" s="271">
        <v>-5.2390910726300953341769190400</v>
      </c>
      <c r="X22" s="92">
        <v>-10.068098357460481678367531630</v>
      </c>
      <c r="Y22" s="272">
        <v>0.9617957403536367112510888600</v>
      </c>
      <c r="Z22" s="271">
        <v>-3.1997529286963974416287640800</v>
      </c>
      <c r="AA22" s="92">
        <v>13.166085296604377854403792650</v>
      </c>
      <c r="AB22" s="272">
        <v>6.3761686107910526088392279400</v>
      </c>
      <c r="AC22" s="5"/>
      <c r="AD22" s="271" t="s">
        <v>309</v>
      </c>
      <c r="AE22" s="92" t="s">
        <v>345</v>
      </c>
      <c r="AF22" s="92" t="s">
        <v>345</v>
      </c>
      <c r="AG22" s="272" t="s">
        <v>345</v>
      </c>
    </row>
    <row r="23" ht="20.1" customHeight="1">
      <c r="A23" s="58"/>
      <c r="B23" s="288"/>
      <c r="C23" s="289" t="s">
        <v>221</v>
      </c>
      <c r="D23" s="439">
        <v>271.2277614858260019550342131</v>
      </c>
      <c r="E23" s="95">
        <v>265.59667551447397183274521438</v>
      </c>
      <c r="F23" s="442">
        <v>242.45403568337438135562068286</v>
      </c>
      <c r="G23" s="439">
        <v>1.2888563049853372434017595308</v>
      </c>
      <c r="H23" s="95">
        <v>77.598033066718889982513948371</v>
      </c>
      <c r="I23" s="442">
        <v>61.937786144967007751273778661</v>
      </c>
      <c r="J23" s="439">
        <v>27.584555229716520039100684262</v>
      </c>
      <c r="K23" s="95">
        <v>29.556479610753517408141278896</v>
      </c>
      <c r="L23" s="442">
        <v>19.619954727736001129922786988</v>
      </c>
      <c r="M23" s="439">
        <v>300.10117302052785923753665689</v>
      </c>
      <c r="N23" s="95">
        <v>372.75118819194637922340044165</v>
      </c>
      <c r="O23" s="442">
        <v>324.01177655607739023681724852</v>
      </c>
      <c r="P23" s="5"/>
      <c r="Q23" s="420">
        <v>-6.2804045467081948954270206200</v>
      </c>
      <c r="R23" s="91">
        <v>-1.5892343826287294202337856200</v>
      </c>
      <c r="S23" s="498">
        <v>0.7115054141119959665808963300</v>
      </c>
      <c r="T23" s="420">
        <v>-28.497830803514263002232871380</v>
      </c>
      <c r="U23" s="91">
        <v>18.251497158011321944591596810</v>
      </c>
      <c r="V23" s="498">
        <v>6.8615696881371689551840102900</v>
      </c>
      <c r="W23" s="420">
        <v>8.411609904260920761074408770</v>
      </c>
      <c r="X23" s="91">
        <v>-13.101137930408666086807274160</v>
      </c>
      <c r="Y23" s="498">
        <v>-32.005134106687167683279796080</v>
      </c>
      <c r="Z23" s="420">
        <v>-5.2263081977441367944725224500</v>
      </c>
      <c r="AA23" s="91">
        <v>0.8745697539778968750093532600</v>
      </c>
      <c r="AB23" s="498">
        <v>-1.0823136180540378810093938800</v>
      </c>
      <c r="AC23" s="5"/>
      <c r="AD23" s="420" t="s">
        <v>307</v>
      </c>
      <c r="AE23" s="91" t="s">
        <v>345</v>
      </c>
      <c r="AF23" s="91" t="s">
        <v>347</v>
      </c>
      <c r="AG23" s="421" t="s">
        <v>347</v>
      </c>
    </row>
    <row r="24" ht="20.1" customHeight="1">
      <c r="A24" s="59"/>
      <c r="B24" s="286"/>
      <c r="C24" s="287" t="s">
        <v>223</v>
      </c>
      <c r="D24" s="276">
        <v>247.98737373737373737373737374</v>
      </c>
      <c r="E24" s="94">
        <v>236.94045014520813165537270087</v>
      </c>
      <c r="F24" s="277">
        <v>209.69726860975694084292777374</v>
      </c>
      <c r="G24" s="276">
        <v>1.3398989898989898989898989899</v>
      </c>
      <c r="H24" s="94">
        <v>63.358435987636319391755764111</v>
      </c>
      <c r="I24" s="277">
        <v>67.630283120023616816741594662</v>
      </c>
      <c r="J24" s="276">
        <v>37.251010101010101010101010101</v>
      </c>
      <c r="K24" s="94">
        <v>31.60773727077058370544543304</v>
      </c>
      <c r="L24" s="277">
        <v>20.409439410253858549337153636</v>
      </c>
      <c r="M24" s="276">
        <v>286.57828282828282828282828283</v>
      </c>
      <c r="N24" s="94">
        <v>331.90662340361503475257389803</v>
      </c>
      <c r="O24" s="277">
        <v>297.73699114003441620900652204</v>
      </c>
      <c r="P24" s="93"/>
      <c r="Q24" s="271">
        <v>2.9179814858149940578076020500</v>
      </c>
      <c r="R24" s="92">
        <v>6.9712268763307712876541737300</v>
      </c>
      <c r="S24" s="272">
        <v>4.8824711232981229439887483500</v>
      </c>
      <c r="T24" s="271">
        <v>-10.265516659303379469056343090</v>
      </c>
      <c r="U24" s="92">
        <v>50.698439457442468108034366220</v>
      </c>
      <c r="V24" s="272">
        <v>18.177691977861221832154196810</v>
      </c>
      <c r="W24" s="271">
        <v>29.118488887898375660534413200</v>
      </c>
      <c r="X24" s="92">
        <v>15.315422409938344101208836960</v>
      </c>
      <c r="Y24" s="272">
        <v>-6.8558562572920176195210968800</v>
      </c>
      <c r="Z24" s="271">
        <v>5.6316069203151856356475321800</v>
      </c>
      <c r="AA24" s="92">
        <v>14.075982161333773029058054730</v>
      </c>
      <c r="AB24" s="272">
        <v>6.6871756234312353073545103500</v>
      </c>
      <c r="AC24" s="93"/>
      <c r="AD24" s="271" t="s">
        <v>307</v>
      </c>
      <c r="AE24" s="92" t="s">
        <v>345</v>
      </c>
      <c r="AF24" s="92" t="s">
        <v>347</v>
      </c>
      <c r="AG24" s="272" t="s">
        <v>346</v>
      </c>
    </row>
    <row r="25" ht="20.1" customHeight="1">
      <c r="A25" s="60"/>
      <c r="B25" s="288"/>
      <c r="C25" s="289" t="s">
        <v>224</v>
      </c>
      <c r="D25" s="439">
        <v>180.84017595307917888563049853</v>
      </c>
      <c r="E25" s="95">
        <v>191.01827124254442119726446616</v>
      </c>
      <c r="F25" s="442">
        <v>156.95243211858100554930808838</v>
      </c>
      <c r="G25" s="439">
        <v>1.2675953079178885630498533724</v>
      </c>
      <c r="H25" s="95">
        <v>65.513845713991257057495346882</v>
      </c>
      <c r="I25" s="442">
        <v>56.737856201073101720933626978</v>
      </c>
      <c r="J25" s="439">
        <v>25.377321603128054740957966764</v>
      </c>
      <c r="K25" s="95">
        <v>27.150809984546833376750014718</v>
      </c>
      <c r="L25" s="442">
        <v>20.856781390166254871788031971</v>
      </c>
      <c r="M25" s="439">
        <v>207.48509286412512218963831867</v>
      </c>
      <c r="N25" s="95">
        <v>283.68292694108251163150982775</v>
      </c>
      <c r="O25" s="442">
        <v>234.54706970982036214202974732</v>
      </c>
      <c r="P25" s="93"/>
      <c r="Q25" s="420">
        <v>-4.7649812167838871871079262500</v>
      </c>
      <c r="R25" s="91">
        <v>2.3916752206624593115112967300</v>
      </c>
      <c r="S25" s="498">
        <v>-4.7896765009142554324259728800</v>
      </c>
      <c r="T25" s="420">
        <v>-9.460638857837422799229764200</v>
      </c>
      <c r="U25" s="91">
        <v>56.902015215087247395685425310</v>
      </c>
      <c r="V25" s="498">
        <v>29.966770729852910760129613240</v>
      </c>
      <c r="W25" s="420">
        <v>-6.9548232174337650783481129800</v>
      </c>
      <c r="X25" s="91">
        <v>-31.656751108795155865056426480</v>
      </c>
      <c r="Y25" s="498">
        <v>-21.427254385468129013289448610</v>
      </c>
      <c r="Z25" s="420">
        <v>-5.0683283427805837896480760500</v>
      </c>
      <c r="AA25" s="91">
        <v>5.8367533351021988503375015100</v>
      </c>
      <c r="AB25" s="498">
        <v>-0.2132614093556229845755433100</v>
      </c>
      <c r="AC25" s="93"/>
      <c r="AD25" s="420" t="s">
        <v>308</v>
      </c>
      <c r="AE25" s="91" t="s">
        <v>345</v>
      </c>
      <c r="AF25" s="91" t="s">
        <v>345</v>
      </c>
      <c r="AG25" s="421" t="s">
        <v>356</v>
      </c>
    </row>
    <row r="26" ht="20.1" customHeight="1">
      <c r="A26" s="60"/>
      <c r="B26" s="290"/>
      <c r="C26" s="291" t="s">
        <v>225</v>
      </c>
      <c r="D26" s="443">
        <v>141.75555555555555555555555556</v>
      </c>
      <c r="E26" s="444">
        <v>153.95431300419490158115521136</v>
      </c>
      <c r="F26" s="445">
        <v>134.99054209919261822376009227</v>
      </c>
      <c r="G26" s="443">
        <v>1.6416666666666666666666666667</v>
      </c>
      <c r="H26" s="444">
        <v>49.306163278476928041303646338</v>
      </c>
      <c r="I26" s="445">
        <v>50.206571838862030639989027772</v>
      </c>
      <c r="J26" s="443">
        <v>27.980050505050505050505050505</v>
      </c>
      <c r="K26" s="444">
        <v>27.409035172636334301387544369</v>
      </c>
      <c r="L26" s="445">
        <v>16.659912199681261394318938244</v>
      </c>
      <c r="M26" s="443">
        <v>171.37727272727272727272727273</v>
      </c>
      <c r="N26" s="444">
        <v>230.66951145530816392384640207</v>
      </c>
      <c r="O26" s="445">
        <v>201.85702613773591025806805829</v>
      </c>
      <c r="P26" s="453"/>
      <c r="Q26" s="273">
        <v>5.7197903503226135601375834500</v>
      </c>
      <c r="R26" s="274">
        <v>11.226550659756230681314416100</v>
      </c>
      <c r="S26" s="275">
        <v>4.5645230948590274594695957300</v>
      </c>
      <c r="T26" s="273">
        <v>19.856194690000318153340707260</v>
      </c>
      <c r="U26" s="274">
        <v>38.330515462742777627952224370</v>
      </c>
      <c r="V26" s="275">
        <v>16.464788874881115354693733600</v>
      </c>
      <c r="W26" s="273">
        <v>17.524581296080386439240562620</v>
      </c>
      <c r="X26" s="274">
        <v>-20.576871487268743759618788830</v>
      </c>
      <c r="Y26" s="275">
        <v>-31.456827007592377185572337130</v>
      </c>
      <c r="Z26" s="273">
        <v>7.6060277413340044586429211700</v>
      </c>
      <c r="AA26" s="274">
        <v>10.596283857652784144372490810</v>
      </c>
      <c r="AB26" s="275">
        <v>2.7197602162924080682809876900</v>
      </c>
      <c r="AC26" s="453"/>
      <c r="AD26" s="273" t="s">
        <v>308</v>
      </c>
      <c r="AE26" s="274" t="s">
        <v>306</v>
      </c>
      <c r="AF26" s="274" t="s">
        <v>306</v>
      </c>
      <c r="AG26" s="275" t="s">
        <v>306</v>
      </c>
    </row>
    <row r="27" ht="21" customHeight="1">
      <c r="A27" s="112"/>
      <c r="B27" s="114"/>
      <c r="C27" s="114"/>
      <c r="D27" s="113"/>
      <c r="E27" s="113"/>
      <c r="F27" s="113"/>
      <c r="G27" s="113"/>
      <c r="H27" s="113"/>
      <c r="I27" s="113"/>
      <c r="J27" s="113"/>
      <c r="K27" s="113"/>
      <c r="L27" s="113"/>
      <c r="M27" s="113"/>
      <c r="N27" s="113"/>
      <c r="O27" s="113"/>
      <c r="P27" s="115"/>
      <c r="Q27" s="113"/>
      <c r="R27" s="113"/>
      <c r="S27" s="113"/>
      <c r="T27" s="113"/>
      <c r="U27" s="113"/>
      <c r="V27" s="113"/>
      <c r="W27" s="113"/>
      <c r="X27" s="113"/>
      <c r="Y27" s="113"/>
      <c r="Z27" s="113"/>
      <c r="AA27" s="113"/>
      <c r="AB27" s="113"/>
      <c r="AC27" s="115"/>
      <c r="AD27" s="113"/>
      <c r="AE27" s="113"/>
      <c r="AF27" s="113"/>
      <c r="AG27" s="113"/>
      <c r="AH27" s="9"/>
    </row>
    <row r="28" ht="24.95" customHeight="1">
      <c r="A28" s="112"/>
      <c r="B28" s="973" t="s">
        <v>58</v>
      </c>
      <c r="C28" s="973"/>
      <c r="D28" s="973"/>
      <c r="E28" s="973"/>
      <c r="F28" s="973"/>
      <c r="G28" s="973"/>
      <c r="H28" s="973"/>
      <c r="I28" s="973"/>
      <c r="J28" s="973"/>
      <c r="K28" s="973"/>
      <c r="L28" s="973"/>
      <c r="M28" s="973"/>
      <c r="N28" s="973"/>
      <c r="O28" s="973"/>
      <c r="P28" s="501"/>
      <c r="Q28" s="971"/>
      <c r="R28" s="971"/>
      <c r="S28" s="971"/>
      <c r="T28" s="971"/>
      <c r="U28" s="971"/>
      <c r="V28" s="971"/>
      <c r="W28" s="971"/>
      <c r="X28" s="971"/>
      <c r="Y28" s="971"/>
      <c r="Z28" s="971"/>
      <c r="AA28" s="971"/>
      <c r="AB28" s="971"/>
      <c r="AC28" s="501"/>
      <c r="AD28" s="971"/>
      <c r="AE28" s="971"/>
      <c r="AF28" s="971"/>
      <c r="AG28" s="971"/>
      <c r="AH28" s="9"/>
    </row>
    <row r="29" ht="20.1" customHeight="1">
      <c r="A29" s="58"/>
      <c r="B29" s="284">
        <v>2023</v>
      </c>
      <c r="C29" s="285"/>
      <c r="D29" s="454">
        <v>244.42662816005357441821530219</v>
      </c>
      <c r="E29" s="455">
        <v>223.92174009081525139993474994</v>
      </c>
      <c r="F29" s="436">
        <v>197.73457925627520506365817829</v>
      </c>
      <c r="G29" s="454">
        <v>53.725305541603884145320609409</v>
      </c>
      <c r="H29" s="455">
        <v>51.633975838918529524223614083</v>
      </c>
      <c r="I29" s="436">
        <v>58.046864696414582517054831522</v>
      </c>
      <c r="J29" s="454">
        <v>22.530972710530721580445337351</v>
      </c>
      <c r="K29" s="455">
        <v>28.772616253999728013204859831</v>
      </c>
      <c r="L29" s="436">
        <v>24.551650781562294070633091523</v>
      </c>
      <c r="M29" s="454">
        <v>320.68290641218818014398124895</v>
      </c>
      <c r="N29" s="455">
        <v>304.32833218373350893736322385</v>
      </c>
      <c r="O29" s="436">
        <v>280.33309473425208165134610133</v>
      </c>
      <c r="P29" s="5"/>
      <c r="Q29" s="427">
        <v>-12.776239122684775657125947130</v>
      </c>
      <c r="R29" s="428">
        <v>-12.531824826570026301860234860</v>
      </c>
      <c r="S29" s="417">
        <v>-2.1718593148999697355030003900</v>
      </c>
      <c r="T29" s="427">
        <v>-12.599606849545548202481945480</v>
      </c>
      <c r="U29" s="428">
        <v>5.2336689140977639232686281700</v>
      </c>
      <c r="V29" s="417">
        <v>22.093200599417466665018604900</v>
      </c>
      <c r="W29" s="427">
        <v>10.602931960595454375092465920</v>
      </c>
      <c r="X29" s="428">
        <v>38.707765823167780880261649340</v>
      </c>
      <c r="Y29" s="417">
        <v>16.707331015625674332096978440</v>
      </c>
      <c r="Z29" s="427">
        <v>-11.430878454034193191449744430</v>
      </c>
      <c r="AA29" s="428">
        <v>-6.5941798322110055705497738900</v>
      </c>
      <c r="AB29" s="417">
        <v>3.5568827856073935013026960400</v>
      </c>
      <c r="AC29" s="5"/>
      <c r="AD29" s="427" t="s">
        <v>305</v>
      </c>
      <c r="AE29" s="428" t="s">
        <v>352</v>
      </c>
      <c r="AF29" s="428" t="s">
        <v>350</v>
      </c>
      <c r="AG29" s="429" t="s">
        <v>352</v>
      </c>
    </row>
    <row r="30" ht="20.1" customHeight="1">
      <c r="A30" s="58"/>
      <c r="B30" s="286">
        <v>2024</v>
      </c>
      <c r="C30" s="287"/>
      <c r="D30" s="276">
        <v>239.17690642690642690642690643</v>
      </c>
      <c r="E30" s="94">
        <v>226.28697997700938708918988303</v>
      </c>
      <c r="F30" s="277">
        <v>201.54521650561380871694162631</v>
      </c>
      <c r="G30" s="276">
        <v>2.7871295371295371295371295371</v>
      </c>
      <c r="H30" s="94">
        <v>48.145288623478164306498031828</v>
      </c>
      <c r="I30" s="277">
        <v>55.618708230491307371495774743</v>
      </c>
      <c r="J30" s="276">
        <v>25.637529137529137529137529138</v>
      </c>
      <c r="K30" s="94">
        <v>34.480177932410950777050988609</v>
      </c>
      <c r="L30" s="277">
        <v>25.289430051772780964200289479</v>
      </c>
      <c r="M30" s="276">
        <v>267.6015651015651015651015651</v>
      </c>
      <c r="N30" s="94">
        <v>308.91244653289850217273890347</v>
      </c>
      <c r="O30" s="277">
        <v>282.45335478787789705263769054</v>
      </c>
      <c r="P30" s="5"/>
      <c r="Q30" s="271">
        <v>-2.1477699760907364650351534100</v>
      </c>
      <c r="R30" s="92">
        <v>1.0562797007786225316411411300</v>
      </c>
      <c r="S30" s="272">
        <v>1.9271476256940013270455345600</v>
      </c>
      <c r="T30" s="271">
        <v>-94.81225930865774788020748871</v>
      </c>
      <c r="U30" s="92">
        <v>-6.7565728936053164395090026700</v>
      </c>
      <c r="V30" s="272">
        <v>-4.1830966730220040785993001300</v>
      </c>
      <c r="W30" s="271">
        <v>13.787937462555285487382549450</v>
      </c>
      <c r="X30" s="92">
        <v>19.836783794791269373216409660</v>
      </c>
      <c r="Y30" s="272">
        <v>3.0050088148276472966476721900</v>
      </c>
      <c r="Z30" s="271">
        <v>-16.552594556569567718935002030</v>
      </c>
      <c r="AA30" s="92">
        <v>1.5063054814204479007789326300</v>
      </c>
      <c r="AB30" s="272">
        <v>0.7563359779506168353231642100</v>
      </c>
      <c r="AC30" s="5"/>
      <c r="AD30" s="271" t="s">
        <v>305</v>
      </c>
      <c r="AE30" s="92" t="s">
        <v>350</v>
      </c>
      <c r="AF30" s="92" t="s">
        <v>354</v>
      </c>
      <c r="AG30" s="272" t="s">
        <v>348</v>
      </c>
    </row>
    <row r="31" ht="20.1" customHeight="1">
      <c r="A31" s="58"/>
      <c r="B31" s="425">
        <v>2025</v>
      </c>
      <c r="C31" s="426"/>
      <c r="D31" s="457">
        <v>234.5080780177465260338188515</v>
      </c>
      <c r="E31" s="458">
        <v>235.4867437544458290769255454</v>
      </c>
      <c r="F31" s="499">
        <v>206.4869497851555750112318131</v>
      </c>
      <c r="G31" s="457">
        <v>1.4496484178804620793571069814</v>
      </c>
      <c r="H31" s="458">
        <v>68.312647523337126232867453178</v>
      </c>
      <c r="I31" s="499">
        <v>64.460204072999949865340928877</v>
      </c>
      <c r="J31" s="457">
        <v>28.38259668508287292817679558</v>
      </c>
      <c r="K31" s="458">
        <v>28.801193645876897033612326865</v>
      </c>
      <c r="L31" s="499">
        <v>20.667235776709846492114185557</v>
      </c>
      <c r="M31" s="457">
        <v>264.34032312070986104135275406</v>
      </c>
      <c r="N31" s="458">
        <v>332.60058492365985234340532544</v>
      </c>
      <c r="O31" s="499">
        <v>291.61438963486537136868692753</v>
      </c>
      <c r="P31" s="453"/>
      <c r="Q31" s="430">
        <v>-1.9520398013762315556109819400</v>
      </c>
      <c r="R31" s="431">
        <v>4.0655294345175762418432505200</v>
      </c>
      <c r="S31" s="500">
        <v>2.451922881244997114521987800</v>
      </c>
      <c r="T31" s="430">
        <v>-47.987763088011440264639611490</v>
      </c>
      <c r="U31" s="431">
        <v>41.888540865436455457221802060</v>
      </c>
      <c r="V31" s="500">
        <v>15.896622060796946263483804300</v>
      </c>
      <c r="W31" s="430">
        <v>10.707223511518760641240034090</v>
      </c>
      <c r="X31" s="431">
        <v>-16.47028706654883574955641500</v>
      </c>
      <c r="Y31" s="500">
        <v>-18.277178511427798249965360820</v>
      </c>
      <c r="Z31" s="430">
        <v>-1.2186931640896594546942025300</v>
      </c>
      <c r="AA31" s="431">
        <v>7.6682369573079025757063581100</v>
      </c>
      <c r="AB31" s="500">
        <v>3.2433797268382879606124474200</v>
      </c>
      <c r="AC31" s="453"/>
      <c r="AD31" s="430" t="s">
        <v>309</v>
      </c>
      <c r="AE31" s="431" t="s">
        <v>345</v>
      </c>
      <c r="AF31" s="431" t="s">
        <v>347</v>
      </c>
      <c r="AG31" s="432" t="s">
        <v>345</v>
      </c>
    </row>
    <row r="32" ht="21" customHeight="1"/>
    <row r="33" ht="24.95" customHeight="1">
      <c r="A33" s="112"/>
      <c r="B33" s="972" t="s">
        <v>44</v>
      </c>
      <c r="C33" s="972"/>
      <c r="D33" s="972"/>
      <c r="E33" s="972"/>
      <c r="F33" s="972"/>
      <c r="G33" s="972"/>
      <c r="H33" s="972"/>
      <c r="I33" s="972"/>
      <c r="J33" s="972"/>
      <c r="K33" s="972"/>
      <c r="L33" s="972"/>
      <c r="M33" s="972"/>
      <c r="N33" s="972"/>
      <c r="O33" s="972"/>
      <c r="P33" s="501"/>
      <c r="Q33" s="971"/>
      <c r="R33" s="971"/>
      <c r="S33" s="971"/>
      <c r="T33" s="971"/>
      <c r="U33" s="971"/>
      <c r="V33" s="971"/>
      <c r="W33" s="971"/>
      <c r="X33" s="971"/>
      <c r="Y33" s="971"/>
      <c r="Z33" s="971"/>
      <c r="AA33" s="971"/>
      <c r="AB33" s="971"/>
      <c r="AC33" s="501"/>
      <c r="AD33" s="971"/>
      <c r="AE33" s="971"/>
      <c r="AF33" s="971"/>
      <c r="AG33" s="971"/>
      <c r="AH33" s="9"/>
    </row>
    <row r="34" ht="20.1" customHeight="1">
      <c r="A34" s="58"/>
      <c r="B34" s="284">
        <v>2023</v>
      </c>
      <c r="C34" s="285"/>
      <c r="D34" s="454">
        <v>197.29145854145854145854145854</v>
      </c>
      <c r="E34" s="455">
        <v>175.70205142389072689169494591</v>
      </c>
      <c r="F34" s="436">
        <v>160.8476334203912679249002119</v>
      </c>
      <c r="G34" s="454">
        <v>42.143689643689643689643689644</v>
      </c>
      <c r="H34" s="455">
        <v>41.324503812144911974958117577</v>
      </c>
      <c r="I34" s="436">
        <v>50.55892509369816499281592824</v>
      </c>
      <c r="J34" s="454">
        <v>21.019480519480519480519480519</v>
      </c>
      <c r="K34" s="455">
        <v>30.96702221294072918509716538</v>
      </c>
      <c r="L34" s="436">
        <v>24.780957906373490333333538139</v>
      </c>
      <c r="M34" s="454">
        <v>260.4546287046287046287046287</v>
      </c>
      <c r="N34" s="455">
        <v>247.99357744897636805175022887</v>
      </c>
      <c r="O34" s="436">
        <v>236.18751642046292325104967828</v>
      </c>
      <c r="P34" s="5"/>
      <c r="Q34" s="427">
        <v>-23.316730621577094592165362270</v>
      </c>
      <c r="R34" s="428">
        <v>-25.968008624348405146630830560</v>
      </c>
      <c r="S34" s="417">
        <v>-13.145240932564762320567209020</v>
      </c>
      <c r="T34" s="427">
        <v>-28.205833674866644406970378430</v>
      </c>
      <c r="U34" s="428">
        <v>-28.999712485191803515281657180</v>
      </c>
      <c r="V34" s="417">
        <v>4.0875616606380261866376799900</v>
      </c>
      <c r="W34" s="427">
        <v>7.3207431680885808377296508600</v>
      </c>
      <c r="X34" s="428">
        <v>25.982116657087093392838076560</v>
      </c>
      <c r="Y34" s="417">
        <v>20.762056999109779478564246780</v>
      </c>
      <c r="Z34" s="427">
        <v>-22.383798890292959191448573200</v>
      </c>
      <c r="AA34" s="428">
        <v>-22.530182643281595801660874850</v>
      </c>
      <c r="AB34" s="417">
        <v>-7.1171690841076345956998137800</v>
      </c>
      <c r="AC34" s="5"/>
      <c r="AD34" s="427" t="s">
        <v>307</v>
      </c>
      <c r="AE34" s="428" t="s">
        <v>352</v>
      </c>
      <c r="AF34" s="428" t="s">
        <v>348</v>
      </c>
      <c r="AG34" s="429" t="s">
        <v>352</v>
      </c>
    </row>
    <row r="35" ht="20.1" customHeight="1">
      <c r="A35" s="58"/>
      <c r="B35" s="286">
        <v>2024</v>
      </c>
      <c r="C35" s="287"/>
      <c r="D35" s="276">
        <v>188.32758907758907758907758908</v>
      </c>
      <c r="E35" s="94">
        <v>182.20526557663053306809357148</v>
      </c>
      <c r="F35" s="277">
        <v>164.71290853295683931717676161</v>
      </c>
      <c r="G35" s="276">
        <v>1.4207459207459207459207459207</v>
      </c>
      <c r="H35" s="94">
        <v>39.83517794726279719966893647</v>
      </c>
      <c r="I35" s="277">
        <v>47.961003955310753665588629188</v>
      </c>
      <c r="J35" s="276">
        <v>26.651015651015651015651015651</v>
      </c>
      <c r="K35" s="94">
        <v>33.946588275995672142399394984</v>
      </c>
      <c r="L35" s="277">
        <v>24.279089580698384278038276644</v>
      </c>
      <c r="M35" s="276">
        <v>216.39935064935064935064935065</v>
      </c>
      <c r="N35" s="94">
        <v>255.98703179988900241016190294</v>
      </c>
      <c r="O35" s="277">
        <v>236.95300206896597726080366743</v>
      </c>
      <c r="P35" s="5"/>
      <c r="Q35" s="271">
        <v>-4.5434655560749398611959224200</v>
      </c>
      <c r="R35" s="92">
        <v>3.7012738895352069910406618100</v>
      </c>
      <c r="S35" s="272">
        <v>2.4030662002059731967027766500</v>
      </c>
      <c r="T35" s="271">
        <v>-96.62880508859692111618627609</v>
      </c>
      <c r="U35" s="92">
        <v>-3.6039776100133633292880495900</v>
      </c>
      <c r="V35" s="272">
        <v>-5.1384026333126407790462839200</v>
      </c>
      <c r="W35" s="271">
        <v>26.791980545338476891995559340</v>
      </c>
      <c r="X35" s="92">
        <v>9.621739031318509557432704170</v>
      </c>
      <c r="Y35" s="272">
        <v>-2.0252176190977742403551954900</v>
      </c>
      <c r="Z35" s="271">
        <v>-16.914761037023286982055304190</v>
      </c>
      <c r="AA35" s="92">
        <v>3.2232505507255969929430762800</v>
      </c>
      <c r="AB35" s="272">
        <v>0.3241008077256434520092656900</v>
      </c>
      <c r="AC35" s="5"/>
      <c r="AD35" s="271" t="s">
        <v>311</v>
      </c>
      <c r="AE35" s="92" t="s">
        <v>349</v>
      </c>
      <c r="AF35" s="92" t="s">
        <v>349</v>
      </c>
      <c r="AG35" s="272" t="s">
        <v>350</v>
      </c>
    </row>
    <row r="36" ht="20.1" customHeight="1">
      <c r="A36" s="58"/>
      <c r="B36" s="425">
        <v>2025</v>
      </c>
      <c r="C36" s="426"/>
      <c r="D36" s="457">
        <v>190.09157509157509157509157509</v>
      </c>
      <c r="E36" s="458">
        <v>193.93856376924140718913226174</v>
      </c>
      <c r="F36" s="499">
        <v>167.52819713117261328313020072</v>
      </c>
      <c r="G36" s="457">
        <v>1.4147519147519147519147519148</v>
      </c>
      <c r="H36" s="458">
        <v>59.460079067221169140375143591</v>
      </c>
      <c r="I36" s="499">
        <v>58.282707287665677121394722693</v>
      </c>
      <c r="J36" s="457">
        <v>30.1497668997668997668997669</v>
      </c>
      <c r="K36" s="458">
        <v>28.705255855199553570156481083</v>
      </c>
      <c r="L36" s="499">
        <v>19.363425830490721882429849967</v>
      </c>
      <c r="M36" s="457">
        <v>221.65609390609390609390609391</v>
      </c>
      <c r="N36" s="458">
        <v>282.10389869166212989966388641</v>
      </c>
      <c r="O36" s="499">
        <v>245.17433024932901228695477338</v>
      </c>
      <c r="P36" s="453"/>
      <c r="Q36" s="430">
        <v>0.9366583104551106031407906300</v>
      </c>
      <c r="R36" s="431">
        <v>6.4396043415708369105770989200</v>
      </c>
      <c r="S36" s="500">
        <v>1.709209450095147924972013900</v>
      </c>
      <c r="T36" s="430">
        <v>-0.4218914769174215011524463600</v>
      </c>
      <c r="U36" s="431">
        <v>49.265252802143766916530180320</v>
      </c>
      <c r="V36" s="500">
        <v>21.521032674765479736443574320</v>
      </c>
      <c r="W36" s="430">
        <v>13.128022190912711219659051860</v>
      </c>
      <c r="X36" s="431">
        <v>-15.439938700720719313099548070</v>
      </c>
      <c r="Y36" s="500">
        <v>-20.246491261010260166201331720</v>
      </c>
      <c r="Z36" s="430">
        <v>2.4291862433592201776628802600</v>
      </c>
      <c r="AA36" s="431">
        <v>10.202417953803678705577963610</v>
      </c>
      <c r="AB36" s="500">
        <v>3.4696028784370439420865463700</v>
      </c>
      <c r="AC36" s="453"/>
      <c r="AD36" s="430" t="s">
        <v>306</v>
      </c>
      <c r="AE36" s="431" t="s">
        <v>345</v>
      </c>
      <c r="AF36" s="431" t="s">
        <v>347</v>
      </c>
      <c r="AG36" s="432" t="s">
        <v>345</v>
      </c>
    </row>
    <row r="37" ht="21" customHeight="1"/>
    <row r="38" ht="24.95" customHeight="1">
      <c r="A38" s="112"/>
      <c r="B38" s="972" t="s">
        <v>45</v>
      </c>
      <c r="C38" s="972"/>
      <c r="D38" s="972"/>
      <c r="E38" s="972"/>
      <c r="F38" s="972"/>
      <c r="G38" s="972"/>
      <c r="H38" s="972"/>
      <c r="I38" s="972"/>
      <c r="J38" s="972"/>
      <c r="K38" s="972"/>
      <c r="L38" s="972"/>
      <c r="M38" s="972"/>
      <c r="N38" s="972"/>
      <c r="O38" s="972"/>
      <c r="P38" s="501"/>
      <c r="Q38" s="971"/>
      <c r="R38" s="971"/>
      <c r="S38" s="971"/>
      <c r="T38" s="971"/>
      <c r="U38" s="971"/>
      <c r="V38" s="971"/>
      <c r="W38" s="971"/>
      <c r="X38" s="971"/>
      <c r="Y38" s="971"/>
      <c r="Z38" s="971"/>
      <c r="AA38" s="971"/>
      <c r="AB38" s="971"/>
      <c r="AC38" s="501"/>
      <c r="AD38" s="971"/>
      <c r="AE38" s="971"/>
      <c r="AF38" s="971"/>
      <c r="AG38" s="971"/>
      <c r="AH38" s="9"/>
    </row>
    <row r="39" ht="20.1" customHeight="1">
      <c r="A39" s="58"/>
      <c r="B39" s="284">
        <v>2023</v>
      </c>
      <c r="C39" s="285"/>
      <c r="D39" s="454">
        <v>216.58615608136156081361560814</v>
      </c>
      <c r="E39" s="455">
        <v>193.78840851711591297245117695</v>
      </c>
      <c r="F39" s="436">
        <v>171.70381949427200310729350495</v>
      </c>
      <c r="G39" s="454">
        <v>47.226982150269821502698215027</v>
      </c>
      <c r="H39" s="455">
        <v>44.757726935448788465348915213</v>
      </c>
      <c r="I39" s="436">
        <v>100.53355712029327359120836251</v>
      </c>
      <c r="J39" s="454">
        <v>21.448401826484018264840182648</v>
      </c>
      <c r="K39" s="455">
        <v>25.56819997256715584492592396</v>
      </c>
      <c r="L39" s="436">
        <v>22.669418209017637555189596604</v>
      </c>
      <c r="M39" s="454">
        <v>285.26154005811540058115400581</v>
      </c>
      <c r="N39" s="455">
        <v>264.11433542513185728272601611</v>
      </c>
      <c r="O39" s="436">
        <v>294.90679482358291425369146407</v>
      </c>
      <c r="P39" s="5"/>
      <c r="Q39" s="427">
        <v>-7.1300510409279076674125020700</v>
      </c>
      <c r="R39" s="428">
        <v>-6.9487869451489313752759433100</v>
      </c>
      <c r="S39" s="417">
        <v>3.0219323416607280103926329400</v>
      </c>
      <c r="T39" s="427">
        <v>-0.691156548183403891499155500</v>
      </c>
      <c r="U39" s="428">
        <v>4.8658821648092699994125084100</v>
      </c>
      <c r="V39" s="417">
        <v>161.52395422585555594434908663</v>
      </c>
      <c r="W39" s="427">
        <v>11.633675131871226203805742550</v>
      </c>
      <c r="X39" s="428">
        <v>25.759605905438305753621241740</v>
      </c>
      <c r="Y39" s="417">
        <v>21.893659438371165459765541280</v>
      </c>
      <c r="Z39" s="427">
        <v>-4.9075370660101900987392624900</v>
      </c>
      <c r="AA39" s="428">
        <v>-2.6385145915763047071587474500</v>
      </c>
      <c r="AB39" s="417">
        <v>31.827617760260333729521111790</v>
      </c>
      <c r="AC39" s="5"/>
      <c r="AD39" s="427" t="s">
        <v>305</v>
      </c>
      <c r="AE39" s="428" t="s">
        <v>219</v>
      </c>
      <c r="AF39" s="428" t="s">
        <v>238</v>
      </c>
      <c r="AG39" s="429" t="s">
        <v>219</v>
      </c>
    </row>
    <row r="40" ht="20.1" customHeight="1">
      <c r="A40" s="58"/>
      <c r="B40" s="286">
        <v>2024</v>
      </c>
      <c r="C40" s="287"/>
      <c r="D40" s="276">
        <v>201.070955456201357840702103</v>
      </c>
      <c r="E40" s="94">
        <v>185.03190931385212940690660266</v>
      </c>
      <c r="F40" s="277">
        <v>170.88087089876182144048365433</v>
      </c>
      <c r="G40" s="276">
        <v>18.523161947342275211127670144</v>
      </c>
      <c r="H40" s="94">
        <v>39.424995162543960703109233654</v>
      </c>
      <c r="I40" s="277">
        <v>50.97879450007469546893722008</v>
      </c>
      <c r="J40" s="276">
        <v>22.733047690014903129657228018</v>
      </c>
      <c r="K40" s="94">
        <v>27.056115347296989295727660693</v>
      </c>
      <c r="L40" s="277">
        <v>23.526669335628606511128219071</v>
      </c>
      <c r="M40" s="276">
        <v>242.32716509355853618148700116</v>
      </c>
      <c r="N40" s="94">
        <v>251.51301982369307940574349701</v>
      </c>
      <c r="O40" s="277">
        <v>245.38633473446512342054909348</v>
      </c>
      <c r="P40" s="5"/>
      <c r="Q40" s="271">
        <v>-7.1635237015645329917690432400</v>
      </c>
      <c r="R40" s="92">
        <v>-4.5185877061760337927215577300</v>
      </c>
      <c r="S40" s="272">
        <v>-0.4792838027493603520410093200</v>
      </c>
      <c r="T40" s="271">
        <v>-60.778434056209093357670118620</v>
      </c>
      <c r="U40" s="92">
        <v>-11.914661753383747100420597710</v>
      </c>
      <c r="V40" s="272">
        <v>-49.291762909500271387924684130</v>
      </c>
      <c r="W40" s="271">
        <v>5.9894712618060579473041327600</v>
      </c>
      <c r="X40" s="92">
        <v>5.8193982223680368921414209900</v>
      </c>
      <c r="Y40" s="272">
        <v>3.7815312185130040146422845100</v>
      </c>
      <c r="Z40" s="271">
        <v>-15.050881011087895673237595030</v>
      </c>
      <c r="AA40" s="92">
        <v>-4.7711592712772377660065157900</v>
      </c>
      <c r="AB40" s="272">
        <v>-16.791902037644060311955521040</v>
      </c>
      <c r="AC40" s="5"/>
      <c r="AD40" s="271" t="s">
        <v>305</v>
      </c>
      <c r="AE40" s="92" t="s">
        <v>353</v>
      </c>
      <c r="AF40" s="92" t="s">
        <v>350</v>
      </c>
      <c r="AG40" s="272" t="s">
        <v>352</v>
      </c>
    </row>
    <row r="41" ht="20.1" customHeight="1">
      <c r="A41" s="58"/>
      <c r="B41" s="425">
        <v>2025</v>
      </c>
      <c r="C41" s="426"/>
      <c r="D41" s="457">
        <v>194.13219178082191780821917808</v>
      </c>
      <c r="E41" s="458">
        <v>190.03378930896842551950032489</v>
      </c>
      <c r="F41" s="499">
        <v>174.64331595568642661568509546</v>
      </c>
      <c r="G41" s="457">
        <v>1.3459111664591116645911166459</v>
      </c>
      <c r="H41" s="458">
        <v>43.77664786970486297961153596</v>
      </c>
      <c r="I41" s="499">
        <v>55.441972292748483307293839161</v>
      </c>
      <c r="J41" s="457">
        <v>27.158136156081361560813615608</v>
      </c>
      <c r="K41" s="458">
        <v>25.096258963151972068922680009</v>
      </c>
      <c r="L41" s="499">
        <v>21.43055426398984161310231216</v>
      </c>
      <c r="M41" s="457">
        <v>222.63623910336239103362391034</v>
      </c>
      <c r="N41" s="458">
        <v>258.90669614182526056803454086</v>
      </c>
      <c r="O41" s="499">
        <v>251.51584251242475153608124677</v>
      </c>
      <c r="P41" s="453"/>
      <c r="Q41" s="430">
        <v>-3.4509030205954224526483721600</v>
      </c>
      <c r="R41" s="431">
        <v>2.7032526517266356721912302800</v>
      </c>
      <c r="S41" s="500">
        <v>2.2017941722187513416703451900</v>
      </c>
      <c r="T41" s="430">
        <v>-92.73390164007448890058910571</v>
      </c>
      <c r="U41" s="431">
        <v>11.037801499450882728086209080</v>
      </c>
      <c r="V41" s="500">
        <v>8.754969269898542496966931260</v>
      </c>
      <c r="W41" s="430">
        <v>19.465443113586155331791395230</v>
      </c>
      <c r="X41" s="431">
        <v>-7.2436724895305677660582760700</v>
      </c>
      <c r="Y41" s="500">
        <v>-8.909527488612111366532347160</v>
      </c>
      <c r="Z41" s="430">
        <v>-8.125760883073879389386220300</v>
      </c>
      <c r="AA41" s="431">
        <v>2.9396793546942083834707365200</v>
      </c>
      <c r="AB41" s="500">
        <v>2.4979010280082135647215456300</v>
      </c>
      <c r="AC41" s="453"/>
      <c r="AD41" s="430" t="s">
        <v>307</v>
      </c>
      <c r="AE41" s="431" t="s">
        <v>345</v>
      </c>
      <c r="AF41" s="431" t="s">
        <v>347</v>
      </c>
      <c r="AG41" s="432" t="s">
        <v>347</v>
      </c>
    </row>
    <row r="42" ht="12.75" customHeight="1"/>
    <row r="43" ht="20.1" customHeight="1">
      <c r="B43" s="7" t="s">
        <v>104</v>
      </c>
    </row>
    <row r="44" ht="14.1" customHeight="1">
      <c r="B44" s="7"/>
      <c r="AW44" s="236"/>
    </row>
    <row r="45" ht="24" customHeight="1">
      <c r="B45" s="1048" t="s">
        <v>126</v>
      </c>
      <c r="C45" s="1048"/>
      <c r="D45" s="1048"/>
      <c r="E45" s="1048"/>
      <c r="F45" s="1048"/>
      <c r="G45" s="1048"/>
      <c r="H45" s="1048"/>
      <c r="I45" s="1048"/>
      <c r="J45" s="1048"/>
      <c r="K45" s="1048"/>
      <c r="L45" s="1048"/>
      <c r="M45" s="1048"/>
      <c r="N45" s="1048"/>
      <c r="O45" s="1048"/>
      <c r="P45" s="1048"/>
      <c r="Q45" s="1048"/>
      <c r="R45" s="1048"/>
      <c r="S45" s="1048"/>
      <c r="T45" s="1048"/>
      <c r="U45" s="1048"/>
      <c r="V45" s="1048"/>
      <c r="W45" s="1048"/>
      <c r="X45" s="1048"/>
      <c r="Y45" s="1048"/>
      <c r="Z45" s="1048"/>
      <c r="AA45" s="1048"/>
      <c r="AB45" s="1048"/>
      <c r="AC45" s="1048"/>
      <c r="AD45" s="1048"/>
      <c r="AE45" s="1048"/>
      <c r="AF45" s="1048"/>
      <c r="AG45" s="1048"/>
      <c r="AW45" s="236"/>
    </row>
    <row r="46" ht="14.1" customHeight="1">
      <c r="A46"/>
      <c r="AW46" s="236"/>
    </row>
    <row r="47">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row>
    <row r="48">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row>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sheetData>
  <mergeCells count="24">
    <mergeCell ref="D6:O6"/>
    <mergeCell ref="D7:F7"/>
    <mergeCell ref="G7:I7"/>
    <mergeCell ref="J7:L7"/>
    <mergeCell ref="M7:O7"/>
    <mergeCell ref="B45:AG45"/>
    <mergeCell ref="AD38:AG38"/>
    <mergeCell ref="AD33:AG33"/>
    <mergeCell ref="AD28:AG28"/>
    <mergeCell ref="B28:O28"/>
    <mergeCell ref="B8:C8"/>
    <mergeCell ref="Q7:S7"/>
    <mergeCell ref="Q38:AB38"/>
    <mergeCell ref="Z7:AB7"/>
    <mergeCell ref="T7:V7"/>
    <mergeCell ref="W7:Y7"/>
    <mergeCell ref="B38:O38"/>
    <mergeCell ref="B33:O33"/>
    <mergeCell ref="U3:AG3"/>
    <mergeCell ref="Q6:AB6"/>
    <mergeCell ref="Q28:AB28"/>
    <mergeCell ref="Q33:AB33"/>
    <mergeCell ref="AD6:AG6"/>
    <mergeCell ref="AD7:AG7"/>
  </mergeCells>
  <phoneticPr fontId="0" type="noConversion"/>
  <printOptions horizontalCentered="1" verticalCentered="1"/>
  <pageMargins left="0.25" right="0.25" top="0.25" bottom="0.25" header="0" footer="0"/>
  <pageSetup scale="59" fitToWidth="1" fitToHeight="1" orientation="landscape" r:id="rId1"/>
  <headerFooter alignWithMargins="0">
    <oddHeader/>
    <oddFooter/>
  </headerFooter>
  <rowBreaks count="1" manualBreakCount="1">
    <brk id="46" max="16383" man="1"/>
  </rowBreaks>
  <colBreaks count="1" manualBreakCount="1">
    <brk id="35" max="1048575" man="1"/>
  </colBreaks>
  <drawing r:id="rId133"/>
</worksheet>
</file>

<file path=xl/worksheets/sheet1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7">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201</v>
      </c>
      <c r="D1" s="6"/>
      <c r="E1" s="6"/>
      <c r="AS1" s="236"/>
    </row>
    <row r="2" ht="15" customHeight="1">
      <c r="B2" s="0"/>
      <c r="C2" s="1049" t="s">
        <v>208</v>
      </c>
      <c r="D2" s="1049"/>
      <c r="E2" s="1049"/>
      <c r="F2" s="1049"/>
      <c r="G2" s="1049"/>
      <c r="H2" s="1049"/>
      <c r="I2" s="1049"/>
      <c r="J2" s="1049"/>
      <c r="K2" s="1049"/>
      <c r="L2" s="1049"/>
      <c r="M2" s="1049"/>
      <c r="N2" s="1049"/>
      <c r="O2" s="1049"/>
      <c r="P2" s="1049"/>
      <c r="Q2" s="1049"/>
      <c r="R2" s="1049"/>
      <c r="S2" s="1049"/>
      <c r="T2" s="1049"/>
      <c r="U2" s="1049"/>
      <c r="V2" s="1049"/>
      <c r="W2" s="1049"/>
      <c r="X2" s="1049"/>
      <c r="Y2" s="1049"/>
      <c r="Z2" s="1049"/>
      <c r="AA2" s="1049"/>
      <c r="AB2" s="1049"/>
      <c r="AC2" s="1049"/>
      <c r="AD2" s="1049"/>
      <c r="AE2" s="1049"/>
      <c r="AF2" s="1049"/>
      <c r="AG2" s="1049"/>
      <c r="AH2" s="1049"/>
      <c r="AI2" s="1049"/>
      <c r="AJ2" s="1049"/>
      <c r="AK2" s="1049"/>
      <c r="AL2" s="1049"/>
      <c r="AM2" s="1049"/>
      <c r="AN2" s="1049"/>
      <c r="AO2" s="1049"/>
      <c r="AP2" s="1049"/>
      <c r="AQ2" s="0"/>
    </row>
    <row r="3" ht="15" customHeight="1">
      <c r="B3" s="0"/>
      <c r="C3" s="1049" t="s">
        <v>209</v>
      </c>
      <c r="D3" s="1049"/>
      <c r="E3" s="1049"/>
      <c r="F3" s="1049"/>
      <c r="G3" s="1049"/>
      <c r="H3" s="1049"/>
      <c r="I3" s="1049"/>
      <c r="J3" s="1049"/>
      <c r="K3" s="1049"/>
      <c r="L3" s="1049"/>
      <c r="M3" s="1049"/>
      <c r="N3" s="1049"/>
      <c r="O3" s="1049"/>
      <c r="P3" s="1049"/>
      <c r="Q3" s="1049"/>
      <c r="R3" s="1049"/>
      <c r="S3" s="1049"/>
      <c r="T3" s="1049"/>
      <c r="U3" s="1049"/>
      <c r="V3" s="1049"/>
      <c r="W3" s="1049"/>
      <c r="X3" s="1049"/>
      <c r="Y3" s="1049"/>
      <c r="Z3" s="1049"/>
      <c r="AA3" s="1049"/>
      <c r="AB3" s="1049"/>
      <c r="AC3" s="1049"/>
      <c r="AD3" s="1049"/>
      <c r="AE3" s="1049"/>
      <c r="AF3" s="1049"/>
      <c r="AG3" s="1049"/>
      <c r="AH3" s="1049"/>
      <c r="AI3" s="1049"/>
      <c r="AJ3" s="1049"/>
      <c r="AK3" s="1049"/>
      <c r="AL3" s="1049"/>
      <c r="AM3" s="1049"/>
      <c r="AN3" s="1049"/>
      <c r="AO3" s="1049"/>
      <c r="AP3" s="1049"/>
      <c r="AQ3" s="0"/>
    </row>
    <row r="4" ht="15" customHeight="1">
      <c r="B4" s="0"/>
      <c r="C4" s="1049" t="s">
        <v>241</v>
      </c>
      <c r="D4" s="1049"/>
      <c r="E4" s="1049"/>
      <c r="F4" s="1049"/>
      <c r="G4" s="1049"/>
      <c r="H4" s="1049"/>
      <c r="I4" s="1049"/>
      <c r="J4" s="1049"/>
      <c r="K4" s="1049"/>
      <c r="L4" s="1049"/>
      <c r="M4" s="1049"/>
      <c r="N4" s="1049"/>
      <c r="O4" s="1049"/>
      <c r="P4" s="1049"/>
      <c r="Q4" s="1049"/>
      <c r="R4" s="1049"/>
      <c r="S4" s="1049"/>
      <c r="T4" s="1049"/>
      <c r="U4" s="1049"/>
      <c r="V4" s="1049"/>
      <c r="W4" s="1049"/>
      <c r="X4" s="1049"/>
      <c r="Y4" s="1049"/>
      <c r="Z4" s="1049"/>
      <c r="AA4" s="1049"/>
      <c r="AB4" s="1049"/>
      <c r="AC4" s="1049"/>
      <c r="AD4" s="1049"/>
      <c r="AE4" s="1049"/>
      <c r="AF4" s="1049"/>
      <c r="AG4" s="1049"/>
      <c r="AH4" s="1049"/>
      <c r="AI4" s="1049"/>
      <c r="AJ4" s="1049"/>
      <c r="AK4" s="1049"/>
      <c r="AL4" s="1049"/>
      <c r="AM4" s="1049"/>
      <c r="AN4" s="1049"/>
      <c r="AO4" s="1049"/>
      <c r="AP4" s="1049"/>
      <c r="AQ4" s="0"/>
    </row>
    <row r="5" ht="12.75" customHeight="1">
      <c r="C5" s="67"/>
      <c r="D5" s="67"/>
      <c r="E5" s="67"/>
    </row>
    <row r="6" ht="18" customHeight="1">
      <c r="B6" s="68"/>
      <c r="C6" s="68" t="s">
        <v>7</v>
      </c>
      <c r="D6" s="69"/>
      <c r="E6" s="69"/>
      <c r="F6" s="69"/>
      <c r="H6" s="1050" t="s">
        <v>243</v>
      </c>
      <c r="I6" s="1050"/>
      <c r="J6" s="1050"/>
      <c r="K6" s="1050"/>
      <c r="L6" s="1050"/>
      <c r="M6" s="1050"/>
      <c r="N6" s="1050"/>
      <c r="O6" s="1050"/>
      <c r="P6" s="1050"/>
      <c r="Q6" s="1050"/>
      <c r="R6" s="1050"/>
      <c r="S6" s="1050"/>
      <c r="T6" s="1050"/>
      <c r="U6" s="1050"/>
      <c r="Z6" s="1050" t="s">
        <v>244</v>
      </c>
      <c r="AA6" s="1050"/>
      <c r="AB6" s="1050"/>
      <c r="AC6" s="1050"/>
      <c r="AD6" s="1050"/>
      <c r="AE6" s="1050"/>
      <c r="AF6" s="1050"/>
      <c r="AG6" s="1050"/>
      <c r="AH6" s="1050"/>
      <c r="AI6" s="1050"/>
      <c r="AJ6" s="1050"/>
      <c r="AK6" s="1050"/>
      <c r="AL6" s="1050"/>
      <c r="AM6" s="1050"/>
    </row>
    <row r="7" ht="15" customHeight="1">
      <c r="D7" s="93" t="s">
        <v>246</v>
      </c>
      <c r="E7" s="71"/>
      <c r="F7" s="71"/>
      <c r="H7" s="1051" t="s">
        <v>0</v>
      </c>
      <c r="I7" s="1051"/>
      <c r="J7" s="1051" t="s">
        <v>1</v>
      </c>
      <c r="K7" s="1051"/>
      <c r="L7" s="1051" t="s">
        <v>2</v>
      </c>
      <c r="M7" s="1051"/>
      <c r="N7" s="1051" t="s">
        <v>3</v>
      </c>
      <c r="O7" s="1051"/>
      <c r="P7" s="1051" t="s">
        <v>4</v>
      </c>
      <c r="Q7" s="1051"/>
      <c r="R7" s="1051" t="s">
        <v>5</v>
      </c>
      <c r="S7" s="1051"/>
      <c r="T7" s="1051" t="s">
        <v>6</v>
      </c>
      <c r="U7" s="1051"/>
      <c r="Z7" s="1051" t="s">
        <v>0</v>
      </c>
      <c r="AA7" s="1051"/>
      <c r="AB7" s="1051" t="s">
        <v>1</v>
      </c>
      <c r="AC7" s="1051"/>
      <c r="AD7" s="1051" t="s">
        <v>2</v>
      </c>
      <c r="AE7" s="1051"/>
      <c r="AF7" s="1051" t="s">
        <v>3</v>
      </c>
      <c r="AG7" s="1051"/>
      <c r="AH7" s="1051" t="s">
        <v>4</v>
      </c>
      <c r="AI7" s="1051"/>
      <c r="AJ7" s="1051" t="s">
        <v>5</v>
      </c>
      <c r="AK7" s="1051"/>
      <c r="AL7" s="1051" t="s">
        <v>6</v>
      </c>
      <c r="AM7" s="1051"/>
    </row>
    <row r="8" ht="15" customHeight="1">
      <c r="D8" s="175" t="s">
        <v>248</v>
      </c>
      <c r="E8" s="71"/>
      <c r="F8" s="71"/>
      <c r="G8" s="71"/>
      <c r="H8" s="1052">
        <v>1</v>
      </c>
      <c r="I8" s="1052"/>
      <c r="J8" s="1053">
        <v>2</v>
      </c>
      <c r="K8" s="1053"/>
      <c r="L8" s="1053">
        <v>3</v>
      </c>
      <c r="M8" s="1053"/>
      <c r="N8" s="1053">
        <v>4</v>
      </c>
      <c r="O8" s="1053"/>
      <c r="P8" s="1053">
        <v>5</v>
      </c>
      <c r="Q8" s="1053"/>
      <c r="R8" s="1053">
        <v>6</v>
      </c>
      <c r="S8" s="1053"/>
      <c r="T8" s="1054">
        <v>7</v>
      </c>
      <c r="U8" s="1054"/>
      <c r="Z8" s="1052"/>
      <c r="AA8" s="1052"/>
      <c r="AB8" s="1053"/>
      <c r="AC8" s="1053"/>
      <c r="AD8" s="1053"/>
      <c r="AE8" s="1053"/>
      <c r="AF8" s="1053"/>
      <c r="AG8" s="1053"/>
      <c r="AH8" s="1053"/>
      <c r="AI8" s="1053"/>
      <c r="AJ8" s="1053"/>
      <c r="AK8" s="1053"/>
      <c r="AL8" s="1054">
        <v>1</v>
      </c>
      <c r="AM8" s="1054"/>
    </row>
    <row r="9" ht="15" customHeight="1">
      <c r="D9" s="175"/>
      <c r="H9" s="1055">
        <v>8</v>
      </c>
      <c r="I9" s="1055"/>
      <c r="J9" s="1056">
        <v>9</v>
      </c>
      <c r="K9" s="1056"/>
      <c r="L9" s="1056">
        <v>10</v>
      </c>
      <c r="M9" s="1056"/>
      <c r="N9" s="1056">
        <v>11</v>
      </c>
      <c r="O9" s="1056"/>
      <c r="P9" s="1056">
        <v>12</v>
      </c>
      <c r="Q9" s="1056"/>
      <c r="R9" s="1056">
        <v>13</v>
      </c>
      <c r="S9" s="1056"/>
      <c r="T9" s="1057">
        <v>14</v>
      </c>
      <c r="U9" s="1057"/>
      <c r="Z9" s="1055">
        <v>2</v>
      </c>
      <c r="AA9" s="1055"/>
      <c r="AB9" s="1056">
        <v>3</v>
      </c>
      <c r="AC9" s="1056"/>
      <c r="AD9" s="1056">
        <v>4</v>
      </c>
      <c r="AE9" s="1056"/>
      <c r="AF9" s="1056">
        <v>5</v>
      </c>
      <c r="AG9" s="1056"/>
      <c r="AH9" s="1056">
        <v>6</v>
      </c>
      <c r="AI9" s="1056"/>
      <c r="AJ9" s="1056">
        <v>7</v>
      </c>
      <c r="AK9" s="1056"/>
      <c r="AL9" s="1057">
        <v>8</v>
      </c>
      <c r="AM9" s="1057"/>
    </row>
    <row r="10" ht="15" customHeight="1">
      <c r="H10" s="1058">
        <v>15</v>
      </c>
      <c r="I10" s="1058"/>
      <c r="J10" s="1059">
        <v>16</v>
      </c>
      <c r="K10" s="1059"/>
      <c r="L10" s="1059">
        <v>17</v>
      </c>
      <c r="M10" s="1059"/>
      <c r="N10" s="1059">
        <v>18</v>
      </c>
      <c r="O10" s="1059"/>
      <c r="P10" s="1059">
        <v>19</v>
      </c>
      <c r="Q10" s="1059"/>
      <c r="R10" s="1059">
        <v>20</v>
      </c>
      <c r="S10" s="1059"/>
      <c r="T10" s="1060">
        <v>21</v>
      </c>
      <c r="U10" s="1060"/>
      <c r="Z10" s="1058">
        <v>9</v>
      </c>
      <c r="AA10" s="1058"/>
      <c r="AB10" s="1059">
        <v>10</v>
      </c>
      <c r="AC10" s="1059"/>
      <c r="AD10" s="1059">
        <v>11</v>
      </c>
      <c r="AE10" s="1059"/>
      <c r="AF10" s="1059">
        <v>12</v>
      </c>
      <c r="AG10" s="1059"/>
      <c r="AH10" s="1059">
        <v>13</v>
      </c>
      <c r="AI10" s="1059"/>
      <c r="AJ10" s="1059">
        <v>14</v>
      </c>
      <c r="AK10" s="1059"/>
      <c r="AL10" s="1060">
        <v>15</v>
      </c>
      <c r="AM10" s="1060"/>
    </row>
    <row r="11" ht="15" customHeight="1">
      <c r="H11" s="1055">
        <v>22</v>
      </c>
      <c r="I11" s="1055"/>
      <c r="J11" s="1056">
        <v>23</v>
      </c>
      <c r="K11" s="1056"/>
      <c r="L11" s="1056">
        <v>24</v>
      </c>
      <c r="M11" s="1056"/>
      <c r="N11" s="1056">
        <v>25</v>
      </c>
      <c r="O11" s="1056"/>
      <c r="P11" s="1056">
        <v>26</v>
      </c>
      <c r="Q11" s="1056"/>
      <c r="R11" s="1056">
        <v>27</v>
      </c>
      <c r="S11" s="1056"/>
      <c r="T11" s="1057">
        <v>28</v>
      </c>
      <c r="U11" s="1057"/>
      <c r="Z11" s="1055">
        <v>16</v>
      </c>
      <c r="AA11" s="1055"/>
      <c r="AB11" s="1056">
        <v>17</v>
      </c>
      <c r="AC11" s="1056"/>
      <c r="AD11" s="1056">
        <v>18</v>
      </c>
      <c r="AE11" s="1056"/>
      <c r="AF11" s="1056">
        <v>19</v>
      </c>
      <c r="AG11" s="1056"/>
      <c r="AH11" s="1056">
        <v>20</v>
      </c>
      <c r="AI11" s="1056"/>
      <c r="AJ11" s="1056">
        <v>21</v>
      </c>
      <c r="AK11" s="1056"/>
      <c r="AL11" s="1057">
        <v>22</v>
      </c>
      <c r="AM11" s="1057"/>
      <c r="AN11" t="s">
        <v>27</v>
      </c>
    </row>
    <row r="12" ht="15" customHeight="1">
      <c r="A12" s="68"/>
      <c r="H12" s="1058">
        <v>29</v>
      </c>
      <c r="I12" s="1058"/>
      <c r="J12" s="1059">
        <v>30</v>
      </c>
      <c r="K12" s="1059"/>
      <c r="L12" s="1059"/>
      <c r="M12" s="1059"/>
      <c r="N12" s="1059"/>
      <c r="O12" s="1059"/>
      <c r="P12" s="1059"/>
      <c r="Q12" s="1059"/>
      <c r="R12" s="1059"/>
      <c r="S12" s="1059"/>
      <c r="T12" s="1060"/>
      <c r="U12" s="1060"/>
      <c r="Z12" s="1058">
        <v>23</v>
      </c>
      <c r="AA12" s="1058"/>
      <c r="AB12" s="1059">
        <v>24</v>
      </c>
      <c r="AC12" s="1059"/>
      <c r="AD12" s="1059">
        <v>25</v>
      </c>
      <c r="AE12" s="1059"/>
      <c r="AF12" s="1059">
        <v>26</v>
      </c>
      <c r="AG12" s="1059"/>
      <c r="AH12" s="1059">
        <v>27</v>
      </c>
      <c r="AI12" s="1059"/>
      <c r="AJ12" s="1059">
        <v>28</v>
      </c>
      <c r="AK12" s="1059"/>
      <c r="AL12" s="1060">
        <v>29</v>
      </c>
      <c r="AM12" s="1060"/>
    </row>
    <row r="13" ht="15" customHeight="1">
      <c r="C13" s="72"/>
      <c r="D13" s="73"/>
      <c r="E13" s="73"/>
      <c r="F13" s="73"/>
      <c r="G13" s="73"/>
      <c r="H13" s="1061" t="s">
        <v>27</v>
      </c>
      <c r="I13" s="1061"/>
      <c r="J13" s="1062" t="s">
        <v>27</v>
      </c>
      <c r="K13" s="1062"/>
      <c r="L13" s="1062" t="s">
        <v>27</v>
      </c>
      <c r="M13" s="1062"/>
      <c r="N13" s="1062" t="s">
        <v>27</v>
      </c>
      <c r="O13" s="1062"/>
      <c r="P13" s="1062" t="s">
        <v>27</v>
      </c>
      <c r="Q13" s="1062"/>
      <c r="R13" s="1062" t="s">
        <v>27</v>
      </c>
      <c r="S13" s="1062"/>
      <c r="T13" s="1063" t="s">
        <v>27</v>
      </c>
      <c r="U13" s="1063"/>
      <c r="Z13" s="1061" t="n">
        <v>30</v>
      </c>
      <c r="AA13" s="1061"/>
      <c r="AB13" s="1062" t="s">
        <v>27</v>
      </c>
      <c r="AC13" s="1062"/>
      <c r="AD13" s="1062" t="s">
        <v>27</v>
      </c>
      <c r="AE13" s="1062"/>
      <c r="AF13" s="1062" t="s">
        <v>27</v>
      </c>
      <c r="AG13" s="1062"/>
      <c r="AH13" s="1062" t="s">
        <v>27</v>
      </c>
      <c r="AI13" s="1062"/>
      <c r="AJ13" s="1062" t="s">
        <v>27</v>
      </c>
      <c r="AK13" s="1062"/>
      <c r="AL13" s="1063" t="s">
        <v>27</v>
      </c>
      <c r="AM13" s="1063"/>
    </row>
    <row r="14" ht="15" customHeight="1">
      <c r="A14" s="68"/>
      <c r="C14" s="68" t="s">
        <v>8</v>
      </c>
      <c r="F14" s="64"/>
    </row>
    <row r="15" ht="15" customHeight="1">
      <c r="D15" s="70" t="s">
        <v>250</v>
      </c>
      <c r="F15" s="64"/>
      <c r="P15" s="1064"/>
      <c r="Q15" s="1064"/>
      <c r="R15" s="1064"/>
      <c r="S15" s="1064"/>
      <c r="T15" s="1064"/>
      <c r="U15" s="1064"/>
      <c r="V15" s="1064"/>
      <c r="W15" s="0"/>
      <c r="X15" s="1064"/>
      <c r="Y15" s="1064"/>
      <c r="Z15" s="1064"/>
      <c r="AA15" s="1064"/>
      <c r="AB15" s="1064"/>
      <c r="AC15" s="1064"/>
      <c r="AD15" s="1064"/>
      <c r="AE15" s="0"/>
      <c r="AF15" s="1064"/>
      <c r="AG15" s="1064"/>
      <c r="AH15" s="1064"/>
      <c r="AI15" s="1064"/>
      <c r="AJ15" s="1064"/>
      <c r="AK15" s="1064"/>
      <c r="AL15" s="1064"/>
      <c r="AM15" s="0"/>
      <c r="AN15" s="0"/>
    </row>
    <row r="16" ht="15" customHeight="1">
      <c r="C16" s="70"/>
      <c r="D16" s="73" t="s">
        <v>252</v>
      </c>
      <c r="F16" s="64"/>
      <c r="P16" s="21"/>
      <c r="Q16" s="21"/>
      <c r="R16" s="21"/>
      <c r="S16" s="21"/>
      <c r="T16" s="21"/>
      <c r="U16" s="21"/>
      <c r="V16" s="21"/>
      <c r="W16" s="0"/>
      <c r="X16" s="21"/>
      <c r="Y16" s="21"/>
      <c r="Z16" s="21"/>
      <c r="AA16" s="21"/>
      <c r="AB16" s="21"/>
      <c r="AC16" s="21"/>
      <c r="AD16" s="21"/>
      <c r="AE16" s="0"/>
      <c r="AF16" s="21"/>
      <c r="AG16" s="21"/>
      <c r="AH16" s="21"/>
      <c r="AI16" s="21"/>
      <c r="AJ16" s="21"/>
      <c r="AK16" s="21"/>
      <c r="AL16" s="21"/>
      <c r="AM16" s="0"/>
      <c r="AN16" s="0"/>
    </row>
    <row r="17" ht="15" customHeight="1">
      <c r="C17" s="70"/>
      <c r="D17" s="73"/>
      <c r="F17" s="64"/>
      <c r="P17" s="21"/>
      <c r="Q17" s="21"/>
      <c r="R17" s="21"/>
      <c r="S17" s="21"/>
      <c r="T17" s="21"/>
      <c r="U17" s="21"/>
      <c r="V17" s="21"/>
      <c r="W17" s="0"/>
      <c r="X17" s="21"/>
      <c r="Y17" s="21"/>
      <c r="Z17" s="21"/>
      <c r="AA17" s="21"/>
      <c r="AB17" s="21"/>
      <c r="AC17" s="21"/>
      <c r="AD17" s="21"/>
      <c r="AE17" s="0"/>
      <c r="AF17" s="21"/>
      <c r="AG17" s="21"/>
      <c r="AH17" s="21"/>
      <c r="AI17" s="21"/>
      <c r="AJ17" s="21"/>
      <c r="AK17" s="21"/>
      <c r="AL17" s="21"/>
      <c r="AM17" s="0"/>
      <c r="AN17" s="0"/>
    </row>
    <row r="18" ht="15" customHeight="1">
      <c r="C18" s="70"/>
      <c r="D18" s="71"/>
      <c r="F18" s="64"/>
      <c r="P18" s="21"/>
      <c r="Q18" s="21"/>
      <c r="R18" s="21"/>
      <c r="S18" s="21"/>
      <c r="T18" s="21"/>
      <c r="U18" s="21"/>
      <c r="V18" s="21"/>
      <c r="W18" s="0"/>
      <c r="X18" s="21"/>
      <c r="Y18" s="21"/>
      <c r="Z18" s="21"/>
      <c r="AA18" s="21"/>
      <c r="AB18" s="21"/>
      <c r="AC18" s="21"/>
      <c r="AD18" s="21"/>
      <c r="AE18" s="0"/>
      <c r="AF18" s="21"/>
      <c r="AG18" s="21"/>
      <c r="AH18" s="21"/>
      <c r="AI18" s="21"/>
      <c r="AJ18" s="21"/>
      <c r="AK18" s="21"/>
      <c r="AL18" s="21"/>
      <c r="AM18" s="0"/>
      <c r="AN18" s="0"/>
    </row>
    <row r="19" ht="15" customHeight="1">
      <c r="C19" s="74"/>
      <c r="D19" s="71"/>
      <c r="F19" s="64"/>
      <c r="P19" s="21"/>
      <c r="Q19" s="21"/>
      <c r="R19" s="21"/>
      <c r="S19" s="21"/>
      <c r="T19" s="21"/>
      <c r="U19" s="21"/>
      <c r="V19" s="21"/>
      <c r="W19" s="0"/>
      <c r="X19" s="21"/>
      <c r="Y19" s="21"/>
      <c r="Z19" s="21"/>
      <c r="AA19" s="21"/>
      <c r="AB19" s="21"/>
      <c r="AC19" s="21"/>
      <c r="AD19" s="21"/>
      <c r="AE19" s="0"/>
      <c r="AF19" s="21"/>
      <c r="AG19" s="21"/>
      <c r="AH19" s="21"/>
      <c r="AI19" s="21"/>
      <c r="AJ19" s="21"/>
      <c r="AK19" s="21"/>
      <c r="AL19" s="21"/>
      <c r="AM19" s="0"/>
      <c r="AN19" s="0"/>
    </row>
    <row r="20" ht="15" customHeight="1">
      <c r="C20" s="74"/>
      <c r="D20" s="71"/>
      <c r="F20" s="64"/>
      <c r="P20" s="21"/>
      <c r="Q20" s="21"/>
      <c r="R20" s="21"/>
      <c r="S20" s="21"/>
      <c r="T20" s="21"/>
      <c r="U20" s="21"/>
      <c r="V20" s="21"/>
      <c r="W20" s="0"/>
      <c r="X20" s="21"/>
      <c r="Y20" s="21"/>
      <c r="Z20" s="21"/>
      <c r="AA20" s="21"/>
      <c r="AB20" s="21"/>
      <c r="AC20" s="21"/>
      <c r="AD20" s="21"/>
      <c r="AE20" s="0"/>
      <c r="AF20" s="21"/>
      <c r="AG20" s="21"/>
      <c r="AH20" s="21"/>
      <c r="AI20" s="21"/>
      <c r="AJ20" s="21"/>
      <c r="AK20" s="21"/>
      <c r="AL20" s="21"/>
      <c r="AM20" s="0"/>
      <c r="AN20" s="0"/>
    </row>
    <row r="21" ht="30" customHeight="1">
      <c r="R21" s="993">
        <v>2023</v>
      </c>
      <c r="S21" s="993"/>
      <c r="T21" s="993"/>
      <c r="U21" s="993"/>
      <c r="V21" s="993"/>
      <c r="W21" s="993"/>
      <c r="X21" s="995">
        <v>2024</v>
      </c>
      <c r="Y21" s="995"/>
      <c r="Z21" s="995"/>
      <c r="AA21" s="995"/>
      <c r="AB21" s="995"/>
      <c r="AC21" s="995"/>
      <c r="AD21" s="995"/>
      <c r="AE21" s="995"/>
      <c r="AF21" s="995"/>
      <c r="AG21" s="995"/>
      <c r="AH21" s="995"/>
      <c r="AI21" s="995"/>
      <c r="AJ21" s="995">
        <v>2025</v>
      </c>
      <c r="AK21" s="995"/>
      <c r="AL21" s="995"/>
      <c r="AM21" s="995"/>
      <c r="AN21" s="995"/>
      <c r="AO21" s="995"/>
    </row>
    <row r="22" s="5" customFormat="1" ht="30" customHeight="1">
      <c r="B22" s="76"/>
      <c r="C22" s="77" t="s">
        <v>71</v>
      </c>
      <c r="D22" s="77" t="s">
        <v>21</v>
      </c>
      <c r="E22" s="177" t="s">
        <v>95</v>
      </c>
      <c r="F22" s="10" t="s">
        <v>60</v>
      </c>
      <c r="G22" s="10" t="s">
        <v>61</v>
      </c>
      <c r="H22" s="1065" t="s">
        <v>34</v>
      </c>
      <c r="I22" s="1065"/>
      <c r="J22" s="1065"/>
      <c r="K22" s="1065"/>
      <c r="L22" s="1065" t="s">
        <v>62</v>
      </c>
      <c r="M22" s="1065"/>
      <c r="N22" s="1065"/>
      <c r="O22" s="1065"/>
      <c r="R22" s="617" t="s">
        <v>228</v>
      </c>
      <c r="S22" s="618" t="s">
        <v>229</v>
      </c>
      <c r="T22" s="618" t="s">
        <v>230</v>
      </c>
      <c r="U22" s="618" t="s">
        <v>231</v>
      </c>
      <c r="V22" s="618" t="s">
        <v>232</v>
      </c>
      <c r="W22" s="1015" t="s">
        <v>234</v>
      </c>
      <c r="X22" s="618" t="s">
        <v>218</v>
      </c>
      <c r="Y22" s="618" t="s">
        <v>220</v>
      </c>
      <c r="Z22" s="618" t="s">
        <v>221</v>
      </c>
      <c r="AA22" s="618" t="s">
        <v>223</v>
      </c>
      <c r="AB22" s="618" t="s">
        <v>224</v>
      </c>
      <c r="AC22" s="618" t="s">
        <v>225</v>
      </c>
      <c r="AD22" s="618" t="s">
        <v>228</v>
      </c>
      <c r="AE22" s="618" t="s">
        <v>229</v>
      </c>
      <c r="AF22" s="618" t="s">
        <v>230</v>
      </c>
      <c r="AG22" s="618" t="s">
        <v>231</v>
      </c>
      <c r="AH22" s="618" t="s">
        <v>232</v>
      </c>
      <c r="AI22" s="1015" t="s">
        <v>234</v>
      </c>
      <c r="AJ22" s="618" t="s">
        <v>218</v>
      </c>
      <c r="AK22" s="618" t="s">
        <v>220</v>
      </c>
      <c r="AL22" s="618" t="s">
        <v>221</v>
      </c>
      <c r="AM22" s="618" t="s">
        <v>223</v>
      </c>
      <c r="AN22" s="618" t="s">
        <v>224</v>
      </c>
      <c r="AO22" s="1015" t="s">
        <v>225</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21"/>
      <c r="C23" s="1016">
        <v>56387</v>
      </c>
      <c r="D23" s="1016" t="s">
        <v>213</v>
      </c>
      <c r="E23" s="1016" t="s">
        <v>253</v>
      </c>
      <c r="F23" s="1016" t="s">
        <v>254</v>
      </c>
      <c r="G23" s="1016" t="s">
        <v>255</v>
      </c>
      <c r="H23" s="1017" t="s">
        <v>256</v>
      </c>
      <c r="I23" s="1017"/>
      <c r="J23" s="1017"/>
      <c r="K23" s="1017"/>
      <c r="L23" s="1017" t="s">
        <v>257</v>
      </c>
      <c r="M23" s="1017"/>
      <c r="N23" s="1017"/>
      <c r="O23" s="1017"/>
      <c r="P23" s="80"/>
      <c r="Q23" s="4"/>
      <c r="R23" s="1066" t="s">
        <v>299</v>
      </c>
      <c r="S23" s="1067" t="s">
        <v>299</v>
      </c>
      <c r="T23" s="1067" t="s">
        <v>299</v>
      </c>
      <c r="U23" s="1067" t="s">
        <v>299</v>
      </c>
      <c r="V23" s="1067" t="s">
        <v>299</v>
      </c>
      <c r="W23" s="1067" t="s">
        <v>299</v>
      </c>
      <c r="X23" s="1067" t="s">
        <v>299</v>
      </c>
      <c r="Y23" s="1067" t="s">
        <v>299</v>
      </c>
      <c r="Z23" s="1067" t="s">
        <v>299</v>
      </c>
      <c r="AA23" s="1067" t="s">
        <v>299</v>
      </c>
      <c r="AB23" s="1067" t="s">
        <v>299</v>
      </c>
      <c r="AC23" s="1067" t="s">
        <v>299</v>
      </c>
      <c r="AD23" s="1067" t="s">
        <v>299</v>
      </c>
      <c r="AE23" s="1067" t="s">
        <v>299</v>
      </c>
      <c r="AF23" s="1067" t="s">
        <v>299</v>
      </c>
      <c r="AG23" s="1067" t="s">
        <v>299</v>
      </c>
      <c r="AH23" s="1067" t="s">
        <v>299</v>
      </c>
      <c r="AI23" s="1067" t="s">
        <v>299</v>
      </c>
      <c r="AJ23" s="1067" t="s">
        <v>299</v>
      </c>
      <c r="AK23" s="1067" t="s">
        <v>299</v>
      </c>
      <c r="AL23" s="1067" t="s">
        <v>299</v>
      </c>
      <c r="AM23" s="1067" t="s">
        <v>299</v>
      </c>
      <c r="AN23" s="1067" t="s">
        <v>299</v>
      </c>
      <c r="AO23" s="1068" t="s">
        <v>299</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21"/>
      <c r="C24" s="1021">
        <v>26819</v>
      </c>
      <c r="D24" s="1021" t="s">
        <v>314</v>
      </c>
      <c r="E24" s="1021" t="s">
        <v>253</v>
      </c>
      <c r="F24" s="1021" t="s">
        <v>315</v>
      </c>
      <c r="G24" s="1021" t="s">
        <v>316</v>
      </c>
      <c r="H24" s="1023" t="s">
        <v>256</v>
      </c>
      <c r="I24" s="1023"/>
      <c r="J24" s="1023"/>
      <c r="K24" s="1023"/>
      <c r="L24" s="1023" t="s">
        <v>317</v>
      </c>
      <c r="M24" s="1023"/>
      <c r="N24" s="1023"/>
      <c r="O24" s="1023"/>
      <c r="P24" s="80"/>
      <c r="Q24" s="4"/>
      <c r="R24" s="1069" t="s">
        <v>299</v>
      </c>
      <c r="S24" s="1070" t="s">
        <v>299</v>
      </c>
      <c r="T24" s="1070" t="s">
        <v>299</v>
      </c>
      <c r="U24" s="1070" t="s">
        <v>299</v>
      </c>
      <c r="V24" s="1070" t="s">
        <v>299</v>
      </c>
      <c r="W24" s="1070" t="s">
        <v>299</v>
      </c>
      <c r="X24" s="1070" t="s">
        <v>299</v>
      </c>
      <c r="Y24" s="1070" t="s">
        <v>299</v>
      </c>
      <c r="Z24" s="1070" t="s">
        <v>299</v>
      </c>
      <c r="AA24" s="1070" t="s">
        <v>299</v>
      </c>
      <c r="AB24" s="1070" t="s">
        <v>299</v>
      </c>
      <c r="AC24" s="1070" t="s">
        <v>299</v>
      </c>
      <c r="AD24" s="1070" t="s">
        <v>299</v>
      </c>
      <c r="AE24" s="1070" t="s">
        <v>299</v>
      </c>
      <c r="AF24" s="1070" t="s">
        <v>299</v>
      </c>
      <c r="AG24" s="1070" t="s">
        <v>299</v>
      </c>
      <c r="AH24" s="1070" t="s">
        <v>299</v>
      </c>
      <c r="AI24" s="1070" t="s">
        <v>299</v>
      </c>
      <c r="AJ24" s="1070" t="s">
        <v>299</v>
      </c>
      <c r="AK24" s="1070" t="s">
        <v>299</v>
      </c>
      <c r="AL24" s="1070" t="s">
        <v>299</v>
      </c>
      <c r="AM24" s="1070" t="s">
        <v>299</v>
      </c>
      <c r="AN24" s="1070" t="s">
        <v>299</v>
      </c>
      <c r="AO24" s="1071" t="s">
        <v>299</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21"/>
      <c r="C25" s="1016">
        <v>31851</v>
      </c>
      <c r="D25" s="1016" t="s">
        <v>318</v>
      </c>
      <c r="E25" s="1016" t="s">
        <v>253</v>
      </c>
      <c r="F25" s="1016" t="s">
        <v>319</v>
      </c>
      <c r="G25" s="1016" t="s">
        <v>320</v>
      </c>
      <c r="H25" s="1017" t="s">
        <v>321</v>
      </c>
      <c r="I25" s="1017"/>
      <c r="J25" s="1017"/>
      <c r="K25" s="1017"/>
      <c r="L25" s="1017" t="s">
        <v>322</v>
      </c>
      <c r="M25" s="1017"/>
      <c r="N25" s="1017"/>
      <c r="O25" s="1017"/>
      <c r="P25" s="80"/>
      <c r="Q25" s="4"/>
      <c r="R25" s="1066" t="s">
        <v>299</v>
      </c>
      <c r="S25" s="1067" t="s">
        <v>299</v>
      </c>
      <c r="T25" s="1067" t="s">
        <v>299</v>
      </c>
      <c r="U25" s="1067" t="s">
        <v>299</v>
      </c>
      <c r="V25" s="1067" t="s">
        <v>299</v>
      </c>
      <c r="W25" s="1067" t="s">
        <v>299</v>
      </c>
      <c r="X25" s="1067" t="s">
        <v>299</v>
      </c>
      <c r="Y25" s="1067" t="s">
        <v>299</v>
      </c>
      <c r="Z25" s="1067" t="s">
        <v>299</v>
      </c>
      <c r="AA25" s="1067" t="s">
        <v>299</v>
      </c>
      <c r="AB25" s="1067" t="s">
        <v>299</v>
      </c>
      <c r="AC25" s="1067" t="s">
        <v>299</v>
      </c>
      <c r="AD25" s="1067" t="s">
        <v>299</v>
      </c>
      <c r="AE25" s="1067" t="s">
        <v>299</v>
      </c>
      <c r="AF25" s="1067" t="s">
        <v>299</v>
      </c>
      <c r="AG25" s="1067" t="s">
        <v>299</v>
      </c>
      <c r="AH25" s="1067" t="s">
        <v>299</v>
      </c>
      <c r="AI25" s="1067" t="s">
        <v>299</v>
      </c>
      <c r="AJ25" s="1067" t="s">
        <v>299</v>
      </c>
      <c r="AK25" s="1067" t="s">
        <v>299</v>
      </c>
      <c r="AL25" s="1067" t="s">
        <v>299</v>
      </c>
      <c r="AM25" s="1067" t="s">
        <v>299</v>
      </c>
      <c r="AN25" s="1067" t="s">
        <v>299</v>
      </c>
      <c r="AO25" s="1068" t="s">
        <v>299</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21"/>
      <c r="C26" s="1021">
        <v>33931</v>
      </c>
      <c r="D26" s="1021" t="s">
        <v>259</v>
      </c>
      <c r="E26" s="1021" t="s">
        <v>253</v>
      </c>
      <c r="F26" s="1022" t="s">
        <v>260</v>
      </c>
      <c r="G26" s="1021" t="s">
        <v>261</v>
      </c>
      <c r="H26" s="1023" t="s">
        <v>262</v>
      </c>
      <c r="I26" s="1023"/>
      <c r="J26" s="1023"/>
      <c r="K26" s="1023"/>
      <c r="L26" s="1023" t="s">
        <v>263</v>
      </c>
      <c r="M26" s="1023"/>
      <c r="N26" s="1023"/>
      <c r="O26" s="1023"/>
      <c r="P26" s="80"/>
      <c r="Q26" s="4"/>
      <c r="R26" s="1069" t="s">
        <v>299</v>
      </c>
      <c r="S26" s="1070" t="s">
        <v>299</v>
      </c>
      <c r="T26" s="1070" t="s">
        <v>299</v>
      </c>
      <c r="U26" s="1070" t="s">
        <v>299</v>
      </c>
      <c r="V26" s="1070" t="s">
        <v>299</v>
      </c>
      <c r="W26" s="1070" t="s">
        <v>299</v>
      </c>
      <c r="X26" s="1070" t="s">
        <v>299</v>
      </c>
      <c r="Y26" s="1070" t="s">
        <v>299</v>
      </c>
      <c r="Z26" s="1070" t="s">
        <v>299</v>
      </c>
      <c r="AA26" s="1070" t="s">
        <v>299</v>
      </c>
      <c r="AB26" s="1070" t="s">
        <v>299</v>
      </c>
      <c r="AC26" s="1070" t="s">
        <v>299</v>
      </c>
      <c r="AD26" s="1070" t="s">
        <v>299</v>
      </c>
      <c r="AE26" s="1070" t="s">
        <v>299</v>
      </c>
      <c r="AF26" s="1070" t="s">
        <v>299</v>
      </c>
      <c r="AG26" s="1070" t="s">
        <v>299</v>
      </c>
      <c r="AH26" s="1070" t="s">
        <v>299</v>
      </c>
      <c r="AI26" s="1070" t="s">
        <v>299</v>
      </c>
      <c r="AJ26" s="1070" t="s">
        <v>299</v>
      </c>
      <c r="AK26" s="1070" t="s">
        <v>299</v>
      </c>
      <c r="AL26" s="1070" t="s">
        <v>299</v>
      </c>
      <c r="AM26" s="1070" t="s">
        <v>299</v>
      </c>
      <c r="AN26" s="1070" t="s">
        <v>299</v>
      </c>
      <c r="AO26" s="1071" t="s">
        <v>299</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21"/>
      <c r="C27" s="1016">
        <v>62556</v>
      </c>
      <c r="D27" s="1016" t="s">
        <v>323</v>
      </c>
      <c r="E27" s="1016" t="s">
        <v>253</v>
      </c>
      <c r="F27" s="1027" t="s">
        <v>260</v>
      </c>
      <c r="G27" s="1016" t="s">
        <v>324</v>
      </c>
      <c r="H27" s="1017" t="s">
        <v>325</v>
      </c>
      <c r="I27" s="1017"/>
      <c r="J27" s="1017"/>
      <c r="K27" s="1017"/>
      <c r="L27" s="1017" t="s">
        <v>326</v>
      </c>
      <c r="M27" s="1017"/>
      <c r="N27" s="1017"/>
      <c r="O27" s="1017"/>
      <c r="P27" s="80"/>
      <c r="Q27" s="4"/>
      <c r="R27" s="1066" t="s">
        <v>300</v>
      </c>
      <c r="S27" s="1067" t="s">
        <v>300</v>
      </c>
      <c r="T27" s="1067" t="s">
        <v>300</v>
      </c>
      <c r="U27" s="1067" t="s">
        <v>300</v>
      </c>
      <c r="V27" s="1067" t="s">
        <v>300</v>
      </c>
      <c r="W27" s="1067" t="s">
        <v>300</v>
      </c>
      <c r="X27" s="1067" t="s">
        <v>300</v>
      </c>
      <c r="Y27" s="1067" t="s">
        <v>300</v>
      </c>
      <c r="Z27" s="1067" t="s">
        <v>300</v>
      </c>
      <c r="AA27" s="1067" t="s">
        <v>300</v>
      </c>
      <c r="AB27" s="1067" t="s">
        <v>300</v>
      </c>
      <c r="AC27" s="1067" t="s">
        <v>300</v>
      </c>
      <c r="AD27" s="1067" t="s">
        <v>300</v>
      </c>
      <c r="AE27" s="1067" t="s">
        <v>300</v>
      </c>
      <c r="AF27" s="1067" t="s">
        <v>300</v>
      </c>
      <c r="AG27" s="1067" t="s">
        <v>300</v>
      </c>
      <c r="AH27" s="1067" t="s">
        <v>300</v>
      </c>
      <c r="AI27" s="1067" t="s">
        <v>300</v>
      </c>
      <c r="AJ27" s="1067" t="s">
        <v>300</v>
      </c>
      <c r="AK27" s="1067" t="s">
        <v>300</v>
      </c>
      <c r="AL27" s="1067" t="s">
        <v>300</v>
      </c>
      <c r="AM27" s="1067" t="s">
        <v>300</v>
      </c>
      <c r="AN27" s="1067" t="s">
        <v>300</v>
      </c>
      <c r="AO27" s="1068" t="s">
        <v>299</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21"/>
      <c r="C28" s="1021">
        <v>64036</v>
      </c>
      <c r="D28" s="1021" t="s">
        <v>327</v>
      </c>
      <c r="E28" s="1021" t="s">
        <v>253</v>
      </c>
      <c r="F28" s="1022" t="s">
        <v>260</v>
      </c>
      <c r="G28" s="1021" t="s">
        <v>328</v>
      </c>
      <c r="H28" s="1023" t="s">
        <v>329</v>
      </c>
      <c r="I28" s="1023"/>
      <c r="J28" s="1023"/>
      <c r="K28" s="1023"/>
      <c r="L28" s="1023" t="s">
        <v>330</v>
      </c>
      <c r="M28" s="1023"/>
      <c r="N28" s="1023"/>
      <c r="O28" s="1023"/>
      <c r="P28" s="80"/>
      <c r="Q28" s="4"/>
      <c r="R28" s="1069" t="s">
        <v>299</v>
      </c>
      <c r="S28" s="1070" t="s">
        <v>299</v>
      </c>
      <c r="T28" s="1070" t="s">
        <v>299</v>
      </c>
      <c r="U28" s="1070" t="s">
        <v>299</v>
      </c>
      <c r="V28" s="1070" t="s">
        <v>299</v>
      </c>
      <c r="W28" s="1070" t="s">
        <v>299</v>
      </c>
      <c r="X28" s="1070" t="s">
        <v>299</v>
      </c>
      <c r="Y28" s="1070" t="s">
        <v>299</v>
      </c>
      <c r="Z28" s="1070" t="s">
        <v>299</v>
      </c>
      <c r="AA28" s="1070" t="s">
        <v>299</v>
      </c>
      <c r="AB28" s="1070" t="s">
        <v>299</v>
      </c>
      <c r="AC28" s="1070" t="s">
        <v>299</v>
      </c>
      <c r="AD28" s="1070" t="s">
        <v>299</v>
      </c>
      <c r="AE28" s="1070" t="s">
        <v>299</v>
      </c>
      <c r="AF28" s="1070" t="s">
        <v>299</v>
      </c>
      <c r="AG28" s="1070" t="s">
        <v>299</v>
      </c>
      <c r="AH28" s="1070" t="s">
        <v>299</v>
      </c>
      <c r="AI28" s="1070" t="s">
        <v>299</v>
      </c>
      <c r="AJ28" s="1070" t="s">
        <v>299</v>
      </c>
      <c r="AK28" s="1070" t="s">
        <v>299</v>
      </c>
      <c r="AL28" s="1070" t="s">
        <v>299</v>
      </c>
      <c r="AM28" s="1070" t="s">
        <v>299</v>
      </c>
      <c r="AN28" s="1070" t="s">
        <v>299</v>
      </c>
      <c r="AO28" s="1071" t="s">
        <v>299</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21"/>
      <c r="C29" s="1016">
        <v>67528</v>
      </c>
      <c r="D29" s="1016" t="s">
        <v>331</v>
      </c>
      <c r="E29" s="1016" t="s">
        <v>253</v>
      </c>
      <c r="F29" s="1027" t="s">
        <v>260</v>
      </c>
      <c r="G29" s="1016" t="s">
        <v>332</v>
      </c>
      <c r="H29" s="1017" t="s">
        <v>333</v>
      </c>
      <c r="I29" s="1017"/>
      <c r="J29" s="1017"/>
      <c r="K29" s="1017"/>
      <c r="L29" s="1017" t="s">
        <v>334</v>
      </c>
      <c r="M29" s="1017"/>
      <c r="N29" s="1017"/>
      <c r="O29" s="1017"/>
      <c r="P29" s="80"/>
      <c r="Q29" s="4"/>
      <c r="R29" s="1066" t="s">
        <v>299</v>
      </c>
      <c r="S29" s="1067" t="s">
        <v>299</v>
      </c>
      <c r="T29" s="1067" t="s">
        <v>299</v>
      </c>
      <c r="U29" s="1067" t="s">
        <v>299</v>
      </c>
      <c r="V29" s="1067" t="s">
        <v>299</v>
      </c>
      <c r="W29" s="1067" t="s">
        <v>299</v>
      </c>
      <c r="X29" s="1067" t="s">
        <v>299</v>
      </c>
      <c r="Y29" s="1067" t="s">
        <v>299</v>
      </c>
      <c r="Z29" s="1067" t="s">
        <v>299</v>
      </c>
      <c r="AA29" s="1067" t="s">
        <v>299</v>
      </c>
      <c r="AB29" s="1067" t="s">
        <v>299</v>
      </c>
      <c r="AC29" s="1067" t="s">
        <v>299</v>
      </c>
      <c r="AD29" s="1067" t="s">
        <v>299</v>
      </c>
      <c r="AE29" s="1067" t="s">
        <v>299</v>
      </c>
      <c r="AF29" s="1067" t="s">
        <v>299</v>
      </c>
      <c r="AG29" s="1067" t="s">
        <v>299</v>
      </c>
      <c r="AH29" s="1067" t="s">
        <v>299</v>
      </c>
      <c r="AI29" s="1067" t="s">
        <v>299</v>
      </c>
      <c r="AJ29" s="1067" t="s">
        <v>299</v>
      </c>
      <c r="AK29" s="1067" t="s">
        <v>299</v>
      </c>
      <c r="AL29" s="1067" t="s">
        <v>299</v>
      </c>
      <c r="AM29" s="1067" t="s">
        <v>299</v>
      </c>
      <c r="AN29" s="1067" t="s">
        <v>299</v>
      </c>
      <c r="AO29" s="1068" t="s">
        <v>299</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21"/>
      <c r="C30" s="1021">
        <v>68331</v>
      </c>
      <c r="D30" s="1021" t="s">
        <v>335</v>
      </c>
      <c r="E30" s="1021" t="s">
        <v>253</v>
      </c>
      <c r="F30" s="1021" t="s">
        <v>336</v>
      </c>
      <c r="G30" s="1021" t="s">
        <v>337</v>
      </c>
      <c r="H30" s="1023" t="s">
        <v>338</v>
      </c>
      <c r="I30" s="1023"/>
      <c r="J30" s="1023"/>
      <c r="K30" s="1023"/>
      <c r="L30" s="1023" t="s">
        <v>339</v>
      </c>
      <c r="M30" s="1023"/>
      <c r="N30" s="1023"/>
      <c r="O30" s="1023"/>
      <c r="P30" s="80"/>
      <c r="Q30" s="4"/>
      <c r="R30" s="1069" t="s">
        <v>299</v>
      </c>
      <c r="S30" s="1070" t="s">
        <v>299</v>
      </c>
      <c r="T30" s="1070" t="s">
        <v>299</v>
      </c>
      <c r="U30" s="1070" t="s">
        <v>299</v>
      </c>
      <c r="V30" s="1070" t="s">
        <v>299</v>
      </c>
      <c r="W30" s="1070" t="s">
        <v>299</v>
      </c>
      <c r="X30" s="1070" t="s">
        <v>299</v>
      </c>
      <c r="Y30" s="1070" t="s">
        <v>299</v>
      </c>
      <c r="Z30" s="1070" t="s">
        <v>299</v>
      </c>
      <c r="AA30" s="1070" t="s">
        <v>299</v>
      </c>
      <c r="AB30" s="1070" t="s">
        <v>299</v>
      </c>
      <c r="AC30" s="1070" t="s">
        <v>299</v>
      </c>
      <c r="AD30" s="1070" t="s">
        <v>299</v>
      </c>
      <c r="AE30" s="1070" t="s">
        <v>299</v>
      </c>
      <c r="AF30" s="1070" t="s">
        <v>299</v>
      </c>
      <c r="AG30" s="1070" t="s">
        <v>299</v>
      </c>
      <c r="AH30" s="1070" t="s">
        <v>299</v>
      </c>
      <c r="AI30" s="1070" t="s">
        <v>299</v>
      </c>
      <c r="AJ30" s="1070" t="s">
        <v>299</v>
      </c>
      <c r="AK30" s="1070" t="s">
        <v>299</v>
      </c>
      <c r="AL30" s="1070" t="s">
        <v>299</v>
      </c>
      <c r="AM30" s="1070" t="s">
        <v>299</v>
      </c>
      <c r="AN30" s="1070" t="s">
        <v>299</v>
      </c>
      <c r="AO30" s="1071" t="s">
        <v>299</v>
      </c>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21"/>
      <c r="C31" s="1016">
        <v>70610</v>
      </c>
      <c r="D31" s="1016" t="s">
        <v>340</v>
      </c>
      <c r="E31" s="1016" t="s">
        <v>253</v>
      </c>
      <c r="F31" s="1016" t="s">
        <v>341</v>
      </c>
      <c r="G31" s="1016" t="s">
        <v>342</v>
      </c>
      <c r="H31" s="1017" t="s">
        <v>343</v>
      </c>
      <c r="I31" s="1017"/>
      <c r="J31" s="1017"/>
      <c r="K31" s="1017"/>
      <c r="L31" s="1017" t="s">
        <v>344</v>
      </c>
      <c r="M31" s="1017"/>
      <c r="N31" s="1017"/>
      <c r="O31" s="1017"/>
      <c r="P31" s="80"/>
      <c r="Q31" s="4"/>
      <c r="R31" s="1066" t="s">
        <v>300</v>
      </c>
      <c r="S31" s="1067" t="s">
        <v>300</v>
      </c>
      <c r="T31" s="1067" t="s">
        <v>300</v>
      </c>
      <c r="U31" s="1067" t="s">
        <v>300</v>
      </c>
      <c r="V31" s="1067" t="s">
        <v>300</v>
      </c>
      <c r="W31" s="1067" t="s">
        <v>300</v>
      </c>
      <c r="X31" s="1067" t="s">
        <v>300</v>
      </c>
      <c r="Y31" s="1067" t="s">
        <v>300</v>
      </c>
      <c r="Z31" s="1067" t="s">
        <v>300</v>
      </c>
      <c r="AA31" s="1067" t="s">
        <v>300</v>
      </c>
      <c r="AB31" s="1067" t="s">
        <v>300</v>
      </c>
      <c r="AC31" s="1067" t="s">
        <v>300</v>
      </c>
      <c r="AD31" s="1067" t="s">
        <v>299</v>
      </c>
      <c r="AE31" s="1067" t="s">
        <v>299</v>
      </c>
      <c r="AF31" s="1067" t="s">
        <v>299</v>
      </c>
      <c r="AG31" s="1067" t="s">
        <v>299</v>
      </c>
      <c r="AH31" s="1067" t="s">
        <v>299</v>
      </c>
      <c r="AI31" s="1067" t="s">
        <v>299</v>
      </c>
      <c r="AJ31" s="1067" t="s">
        <v>299</v>
      </c>
      <c r="AK31" s="1067" t="s">
        <v>299</v>
      </c>
      <c r="AL31" s="1067" t="s">
        <v>299</v>
      </c>
      <c r="AM31" s="1067" t="s">
        <v>299</v>
      </c>
      <c r="AN31" s="1067" t="s">
        <v>299</v>
      </c>
      <c r="AO31" s="1068" t="s">
        <v>299</v>
      </c>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21"/>
      <c r="C32" s="181"/>
      <c r="D32" s="181"/>
      <c r="E32" s="181"/>
      <c r="F32" s="201"/>
      <c r="G32" s="181"/>
      <c r="H32" s="997">
        <v>1165</v>
      </c>
      <c r="I32" s="997"/>
      <c r="J32" s="997"/>
      <c r="K32" s="997"/>
      <c r="L32" s="1072"/>
      <c r="M32" s="1072"/>
      <c r="N32" s="1072"/>
      <c r="O32" s="1072"/>
      <c r="P32" s="80"/>
      <c r="Q32" s="4"/>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21"/>
      <c r="C33" s="181"/>
      <c r="D33" s="181"/>
      <c r="E33" s="181"/>
      <c r="F33" s="201"/>
      <c r="G33" s="181"/>
      <c r="H33" s="996"/>
      <c r="I33" s="996"/>
      <c r="J33" s="996"/>
      <c r="K33" s="996"/>
      <c r="L33" s="1072"/>
      <c r="M33" s="1072"/>
      <c r="N33" s="1072"/>
      <c r="O33" s="1072"/>
      <c r="P33" s="80"/>
      <c r="Q33" s="4"/>
      <c r="R33" s="182"/>
      <c r="S33" s="182"/>
      <c r="T33" s="182"/>
      <c r="U33" s="182"/>
      <c r="V33" s="182"/>
      <c r="W33" s="182"/>
      <c r="X33" s="1028" t="s">
        <v>281</v>
      </c>
      <c r="Y33" s="182"/>
      <c r="Z33" s="182"/>
      <c r="AA33" s="182"/>
      <c r="AB33" s="182"/>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21"/>
      <c r="C34" s="181"/>
      <c r="D34" s="181"/>
      <c r="E34" s="181"/>
      <c r="F34" s="201"/>
      <c r="G34" s="181"/>
      <c r="H34" s="996"/>
      <c r="I34" s="996"/>
      <c r="J34" s="996"/>
      <c r="K34" s="996"/>
      <c r="L34" s="1072"/>
      <c r="M34" s="1072"/>
      <c r="N34" s="1072"/>
      <c r="O34" s="1072"/>
      <c r="P34" s="80"/>
      <c r="Q34" s="4"/>
      <c r="R34" s="182"/>
      <c r="S34" s="182"/>
      <c r="T34" s="182"/>
      <c r="U34" s="182"/>
      <c r="V34" s="182"/>
      <c r="W34" s="182"/>
      <c r="X34" s="182"/>
      <c r="Y34" s="182"/>
      <c r="Z34" s="182"/>
      <c r="AA34" s="1073" t="s">
        <v>300</v>
      </c>
      <c r="AB34" s="1028" t="s">
        <v>301</v>
      </c>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21"/>
      <c r="C35" s="181"/>
      <c r="D35" s="181"/>
      <c r="E35" s="181"/>
      <c r="F35" s="201"/>
      <c r="G35" s="181"/>
      <c r="H35" s="996"/>
      <c r="I35" s="996"/>
      <c r="J35" s="996"/>
      <c r="K35" s="996"/>
      <c r="L35" s="1072"/>
      <c r="M35" s="1072"/>
      <c r="N35" s="1072"/>
      <c r="O35" s="1072"/>
      <c r="P35" s="80"/>
      <c r="Q35" s="4"/>
      <c r="R35" s="182"/>
      <c r="S35" s="182"/>
      <c r="T35" s="182"/>
      <c r="U35" s="182"/>
      <c r="V35" s="182"/>
      <c r="W35" s="182"/>
      <c r="X35" s="182"/>
      <c r="Y35" s="182"/>
      <c r="Z35" s="182"/>
      <c r="AA35" s="1073" t="s">
        <v>302</v>
      </c>
      <c r="AB35" s="1028" t="s">
        <v>303</v>
      </c>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21"/>
      <c r="C36" s="181"/>
      <c r="D36" s="181"/>
      <c r="E36" s="181"/>
      <c r="F36" s="201"/>
      <c r="G36" s="181"/>
      <c r="H36" s="996"/>
      <c r="I36" s="996"/>
      <c r="J36" s="996"/>
      <c r="K36" s="996"/>
      <c r="L36" s="1072"/>
      <c r="M36" s="1072"/>
      <c r="N36" s="1072"/>
      <c r="O36" s="1072"/>
      <c r="P36" s="80"/>
      <c r="Q36" s="4"/>
      <c r="R36" s="182"/>
      <c r="S36" s="182"/>
      <c r="T36" s="182"/>
      <c r="U36" s="182"/>
      <c r="V36" s="182"/>
      <c r="W36" s="182"/>
      <c r="X36" s="182"/>
      <c r="Y36" s="182"/>
      <c r="Z36" s="182"/>
      <c r="AA36" s="1074" t="s">
        <v>299</v>
      </c>
      <c r="AB36" s="1028" t="s">
        <v>304</v>
      </c>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21"/>
      <c r="C37" s="181"/>
      <c r="D37" s="181"/>
      <c r="E37" s="181"/>
      <c r="F37" s="201"/>
      <c r="G37" s="181"/>
      <c r="H37" s="996"/>
      <c r="I37" s="996"/>
      <c r="J37" s="996"/>
      <c r="K37" s="996"/>
      <c r="L37" s="1072"/>
      <c r="M37" s="1072"/>
      <c r="N37" s="1072"/>
      <c r="O37" s="1072"/>
      <c r="P37" s="80"/>
      <c r="Q37" s="4"/>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21"/>
      <c r="C38" s="181"/>
      <c r="D38" s="181"/>
      <c r="E38" s="181"/>
      <c r="F38" s="201"/>
      <c r="G38" s="181"/>
      <c r="H38" s="996"/>
      <c r="I38" s="996"/>
      <c r="J38" s="996"/>
      <c r="K38" s="996"/>
      <c r="L38" s="1072"/>
      <c r="M38" s="1072"/>
      <c r="N38" s="1072"/>
      <c r="O38" s="1072"/>
      <c r="P38" s="80"/>
      <c r="Q38" s="4"/>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1"/>
      <c r="E39" s="181"/>
      <c r="F39" s="201"/>
      <c r="G39" s="181"/>
      <c r="H39" s="996"/>
      <c r="I39" s="996"/>
      <c r="J39" s="996"/>
      <c r="K39" s="996"/>
      <c r="L39" s="1072"/>
      <c r="M39" s="1072"/>
      <c r="N39" s="1072"/>
      <c r="O39" s="1072"/>
      <c r="P39" s="80"/>
      <c r="Q39" s="4"/>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4"/>
      <c r="AQ39" s="79"/>
      <c r="AR39" s="79"/>
    </row>
    <row r="40" ht="18" customHeight="1">
      <c r="C40" s="181"/>
      <c r="D40" s="181"/>
      <c r="E40" s="181"/>
      <c r="F40" s="201"/>
      <c r="G40" s="181"/>
      <c r="H40" s="996"/>
      <c r="I40" s="996"/>
      <c r="J40" s="996"/>
      <c r="K40" s="996"/>
      <c r="L40" s="1072"/>
      <c r="M40" s="1072"/>
      <c r="N40" s="1072"/>
      <c r="O40" s="1072"/>
      <c r="P40" s="80"/>
      <c r="Q40" s="4"/>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4"/>
      <c r="AQ40" s="79"/>
      <c r="AR40" s="79"/>
    </row>
    <row r="41" ht="18" customHeight="1">
      <c r="C41" s="181"/>
      <c r="D41" s="181"/>
      <c r="E41" s="181"/>
      <c r="F41" s="201"/>
      <c r="G41" s="181"/>
      <c r="H41" s="996"/>
      <c r="I41" s="996"/>
      <c r="J41" s="996"/>
      <c r="K41" s="996"/>
      <c r="L41" s="1072"/>
      <c r="M41" s="1072"/>
      <c r="N41" s="1072"/>
      <c r="O41" s="1072"/>
      <c r="P41" s="80"/>
      <c r="Q41" s="4"/>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4"/>
      <c r="AQ41" s="79"/>
      <c r="AR41" s="79"/>
    </row>
    <row r="42" ht="18" customHeight="1">
      <c r="C42" s="181"/>
      <c r="D42" s="181"/>
      <c r="E42" s="181"/>
      <c r="F42" s="201"/>
      <c r="G42" s="181"/>
      <c r="H42" s="996"/>
      <c r="I42" s="996"/>
      <c r="J42" s="996"/>
      <c r="K42" s="996"/>
      <c r="L42" s="1072"/>
      <c r="M42" s="1072"/>
      <c r="N42" s="1072"/>
      <c r="O42" s="1072"/>
      <c r="P42" s="80"/>
      <c r="Q42" s="4"/>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4"/>
      <c r="AQ42" s="79"/>
      <c r="AR42" s="79"/>
    </row>
    <row r="43" ht="18" customHeight="1">
      <c r="C43" s="181"/>
      <c r="D43" s="181"/>
      <c r="E43" s="181"/>
      <c r="F43" s="201"/>
      <c r="G43" s="181"/>
      <c r="H43" s="996"/>
      <c r="I43" s="996"/>
      <c r="J43" s="996"/>
      <c r="K43" s="996"/>
      <c r="L43" s="1072"/>
      <c r="M43" s="1072"/>
      <c r="N43" s="1072"/>
      <c r="O43" s="1072"/>
      <c r="P43" s="80"/>
      <c r="Q43" s="4"/>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4"/>
      <c r="AQ43" s="79"/>
      <c r="AR43" s="79"/>
    </row>
    <row r="44" ht="18" customHeight="1">
      <c r="C44" s="181"/>
      <c r="D44" s="181"/>
      <c r="E44" s="181"/>
      <c r="F44" s="201"/>
      <c r="G44" s="181"/>
      <c r="H44" s="996"/>
      <c r="I44" s="996"/>
      <c r="J44" s="996"/>
      <c r="K44" s="996"/>
      <c r="L44" s="1072"/>
      <c r="M44" s="1072"/>
      <c r="N44" s="1072"/>
      <c r="O44" s="1072"/>
      <c r="P44" s="80"/>
      <c r="Q44" s="4"/>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4"/>
      <c r="AQ44" s="79"/>
      <c r="AR44" s="79"/>
    </row>
    <row r="45" ht="18" customHeight="1">
      <c r="C45" s="181"/>
      <c r="D45" s="181"/>
      <c r="E45" s="181"/>
      <c r="F45" s="201"/>
      <c r="G45" s="181"/>
      <c r="H45" s="996"/>
      <c r="I45" s="996"/>
      <c r="J45" s="996"/>
      <c r="K45" s="996"/>
      <c r="L45" s="1072"/>
      <c r="M45" s="1072"/>
      <c r="N45" s="1072"/>
      <c r="O45" s="1072"/>
      <c r="P45" s="80"/>
      <c r="Q45" s="4"/>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4"/>
      <c r="AQ45" s="79"/>
      <c r="AR45" s="79"/>
    </row>
    <row r="46" ht="18" customHeight="1">
      <c r="C46" s="181"/>
      <c r="D46" s="181"/>
      <c r="E46" s="181"/>
      <c r="F46" s="201"/>
      <c r="G46" s="181"/>
      <c r="H46" s="996"/>
      <c r="I46" s="996"/>
      <c r="J46" s="996"/>
      <c r="K46" s="996"/>
      <c r="L46" s="1072"/>
      <c r="M46" s="1072"/>
      <c r="N46" s="1072"/>
      <c r="O46" s="1072"/>
      <c r="P46" s="80"/>
      <c r="Q46" s="4"/>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4"/>
      <c r="AQ46" s="79"/>
      <c r="AR46" s="79"/>
    </row>
    <row r="47" ht="0" hidden="1" customHeight="1">
      <c r="C47" s="181"/>
      <c r="D47" s="181"/>
      <c r="E47" s="181"/>
      <c r="F47" s="201"/>
      <c r="G47" s="181"/>
      <c r="H47" s="996"/>
      <c r="I47" s="996"/>
      <c r="J47" s="996"/>
      <c r="K47" s="996"/>
      <c r="L47" s="1072"/>
      <c r="M47" s="1072"/>
      <c r="N47" s="1072"/>
      <c r="O47" s="1072"/>
      <c r="P47" s="80"/>
      <c r="Q47" s="4"/>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4"/>
      <c r="AQ47" s="79"/>
      <c r="AR47" s="79"/>
    </row>
    <row r="48" ht="0" hidden="1" customHeight="1">
      <c r="C48" s="181"/>
      <c r="D48" s="181"/>
      <c r="E48" s="181"/>
      <c r="F48" s="201"/>
      <c r="G48" s="181"/>
      <c r="H48" s="996"/>
      <c r="I48" s="996"/>
      <c r="J48" s="996"/>
      <c r="K48" s="996"/>
      <c r="L48" s="1072"/>
      <c r="M48" s="1072"/>
      <c r="N48" s="1072"/>
      <c r="O48" s="1072"/>
      <c r="P48" s="80"/>
      <c r="Q48" s="4"/>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4"/>
      <c r="AQ48" s="79"/>
      <c r="AR48" s="79"/>
    </row>
    <row r="49" ht="0" hidden="1" customHeight="1">
      <c r="C49" s="181"/>
      <c r="D49" s="181"/>
      <c r="E49" s="181"/>
      <c r="F49" s="201"/>
      <c r="G49" s="181"/>
      <c r="H49" s="996"/>
      <c r="I49" s="996"/>
      <c r="J49" s="996"/>
      <c r="K49" s="996"/>
      <c r="L49" s="1072"/>
      <c r="M49" s="1072"/>
      <c r="N49" s="1072"/>
      <c r="O49" s="1072"/>
      <c r="P49" s="80"/>
      <c r="Q49" s="4"/>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4"/>
      <c r="AQ49" s="79"/>
      <c r="AR49" s="79"/>
    </row>
    <row r="50" ht="0" hidden="1" customHeight="1">
      <c r="C50" s="181"/>
      <c r="D50" s="181"/>
      <c r="E50" s="181"/>
      <c r="F50" s="201"/>
      <c r="G50" s="181"/>
      <c r="H50" s="996"/>
      <c r="I50" s="996"/>
      <c r="J50" s="996"/>
      <c r="K50" s="996"/>
      <c r="L50" s="1072"/>
      <c r="M50" s="1072"/>
      <c r="N50" s="1072"/>
      <c r="O50" s="1072"/>
      <c r="P50" s="80"/>
      <c r="Q50" s="4"/>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4"/>
      <c r="AQ50" s="79"/>
      <c r="AR50" s="79"/>
    </row>
    <row r="51" ht="0" hidden="1" customHeight="1">
      <c r="C51" s="181"/>
      <c r="D51" s="181"/>
      <c r="E51" s="181"/>
      <c r="F51" s="201"/>
      <c r="G51" s="181"/>
      <c r="H51" s="996"/>
      <c r="I51" s="996"/>
      <c r="J51" s="996"/>
      <c r="K51" s="996"/>
      <c r="L51" s="1072"/>
      <c r="M51" s="1072"/>
      <c r="N51" s="1072"/>
      <c r="O51" s="1072"/>
      <c r="P51" s="80"/>
      <c r="Q51" s="4"/>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4"/>
      <c r="AQ51" s="79"/>
      <c r="AR51" s="79"/>
    </row>
    <row r="52" s="0" customFormat="1" ht="0" hidden="1" customHeight="1">
      <c r="B52" s="21"/>
      <c r="C52" s="181"/>
      <c r="D52" s="181"/>
      <c r="E52" s="181"/>
      <c r="F52" s="201"/>
      <c r="G52" s="181"/>
      <c r="H52" s="996"/>
      <c r="I52" s="996"/>
      <c r="J52" s="996"/>
      <c r="K52" s="996"/>
      <c r="L52" s="1072"/>
      <c r="M52" s="1072"/>
      <c r="N52" s="1072"/>
      <c r="O52" s="1072"/>
      <c r="P52" s="80"/>
      <c r="Q52" s="4"/>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21"/>
      <c r="C53" s="181"/>
      <c r="D53" s="181"/>
      <c r="E53" s="181"/>
      <c r="F53" s="201"/>
      <c r="G53" s="181"/>
      <c r="H53" s="996"/>
      <c r="I53" s="996"/>
      <c r="J53" s="996"/>
      <c r="K53" s="996"/>
      <c r="L53" s="1072"/>
      <c r="M53" s="1072"/>
      <c r="N53" s="1072"/>
      <c r="O53" s="1072"/>
      <c r="P53" s="80"/>
      <c r="Q53" s="4"/>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21"/>
      <c r="C54" s="181"/>
      <c r="D54" s="181"/>
      <c r="E54" s="181"/>
      <c r="F54" s="201"/>
      <c r="G54" s="181"/>
      <c r="H54" s="996"/>
      <c r="I54" s="996"/>
      <c r="J54" s="996"/>
      <c r="K54" s="996"/>
      <c r="L54" s="1072"/>
      <c r="M54" s="1072"/>
      <c r="N54" s="1072"/>
      <c r="O54" s="1072"/>
      <c r="P54" s="80"/>
      <c r="Q54" s="4"/>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21"/>
      <c r="C55" s="181"/>
      <c r="D55" s="181"/>
      <c r="E55" s="181"/>
      <c r="F55" s="201"/>
      <c r="G55" s="181"/>
      <c r="H55" s="996"/>
      <c r="I55" s="996"/>
      <c r="J55" s="996"/>
      <c r="K55" s="996"/>
      <c r="L55" s="1072"/>
      <c r="M55" s="1072"/>
      <c r="N55" s="1072"/>
      <c r="O55" s="1072"/>
      <c r="P55" s="80"/>
      <c r="Q55" s="4"/>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21"/>
      <c r="C56" s="181"/>
      <c r="D56" s="181"/>
      <c r="E56" s="181"/>
      <c r="F56" s="201"/>
      <c r="G56" s="181"/>
      <c r="H56" s="996"/>
      <c r="I56" s="996"/>
      <c r="J56" s="996"/>
      <c r="K56" s="996"/>
      <c r="L56" s="1072"/>
      <c r="M56" s="1072"/>
      <c r="N56" s="1072"/>
      <c r="O56" s="1072"/>
      <c r="P56" s="80"/>
      <c r="Q56" s="4"/>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21"/>
      <c r="C57" s="181"/>
      <c r="D57" s="181"/>
      <c r="E57" s="181"/>
      <c r="F57" s="201"/>
      <c r="G57" s="181"/>
      <c r="H57" s="996"/>
      <c r="I57" s="996"/>
      <c r="J57" s="996"/>
      <c r="K57" s="996"/>
      <c r="L57" s="1072"/>
      <c r="M57" s="1072"/>
      <c r="N57" s="1072"/>
      <c r="O57" s="1072"/>
      <c r="P57" s="80"/>
      <c r="Q57" s="4"/>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21"/>
      <c r="C58" s="181"/>
      <c r="D58" s="181"/>
      <c r="E58" s="181"/>
      <c r="F58" s="201"/>
      <c r="G58" s="181"/>
      <c r="H58" s="996"/>
      <c r="I58" s="996"/>
      <c r="J58" s="996"/>
      <c r="K58" s="996"/>
      <c r="L58" s="1072"/>
      <c r="M58" s="1072"/>
      <c r="N58" s="1072"/>
      <c r="O58" s="1072"/>
      <c r="P58" s="80"/>
      <c r="Q58" s="4"/>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1"/>
      <c r="E59" s="181"/>
      <c r="F59" s="201"/>
      <c r="G59" s="181"/>
      <c r="H59" s="996"/>
      <c r="I59" s="996"/>
      <c r="J59" s="996"/>
      <c r="K59" s="996"/>
      <c r="L59" s="1072"/>
      <c r="M59" s="1072"/>
      <c r="N59" s="1072"/>
      <c r="O59" s="1072"/>
      <c r="P59" s="80"/>
      <c r="Q59" s="4"/>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4"/>
      <c r="AQ59" s="79"/>
      <c r="AR59" s="79"/>
    </row>
    <row r="60" ht="0" hidden="1" customHeight="1">
      <c r="C60" s="181"/>
      <c r="D60" s="181"/>
      <c r="E60" s="181"/>
      <c r="F60" s="201"/>
      <c r="G60" s="181"/>
      <c r="H60" s="996"/>
      <c r="I60" s="996"/>
      <c r="J60" s="996"/>
      <c r="K60" s="996"/>
      <c r="L60" s="1072"/>
      <c r="M60" s="1072"/>
      <c r="N60" s="1072"/>
      <c r="O60" s="1072"/>
      <c r="P60" s="80"/>
      <c r="Q60" s="4"/>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4"/>
      <c r="AQ60" s="79"/>
      <c r="AR60" s="79"/>
    </row>
    <row r="61" ht="0" hidden="1" customHeight="1">
      <c r="C61" s="181"/>
      <c r="D61" s="181"/>
      <c r="E61" s="181"/>
      <c r="F61" s="201"/>
      <c r="G61" s="181"/>
      <c r="H61" s="996"/>
      <c r="I61" s="996"/>
      <c r="J61" s="996"/>
      <c r="K61" s="996"/>
      <c r="L61" s="1072"/>
      <c r="M61" s="1072"/>
      <c r="N61" s="1072"/>
      <c r="O61" s="1072"/>
      <c r="P61" s="80"/>
      <c r="Q61" s="4"/>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4"/>
      <c r="AQ61" s="79"/>
      <c r="AR61" s="79"/>
    </row>
    <row r="62" ht="0" hidden="1" customHeight="1">
      <c r="C62" s="181"/>
      <c r="D62" s="181"/>
      <c r="E62" s="181"/>
      <c r="F62" s="201"/>
      <c r="G62" s="181"/>
      <c r="H62" s="996"/>
      <c r="I62" s="996"/>
      <c r="J62" s="996"/>
      <c r="K62" s="996"/>
      <c r="L62" s="1072"/>
      <c r="M62" s="1072"/>
      <c r="N62" s="1072"/>
      <c r="O62" s="1072"/>
      <c r="P62" s="80"/>
      <c r="Q62" s="4"/>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4"/>
      <c r="AQ62" s="79"/>
      <c r="AR62" s="79"/>
    </row>
    <row r="63" ht="0" hidden="1" customHeight="1">
      <c r="C63" s="181"/>
      <c r="D63" s="181"/>
      <c r="E63" s="181"/>
      <c r="F63" s="201"/>
      <c r="G63" s="181"/>
      <c r="H63" s="996"/>
      <c r="I63" s="996"/>
      <c r="J63" s="996"/>
      <c r="K63" s="996"/>
      <c r="L63" s="1072"/>
      <c r="M63" s="1072"/>
      <c r="N63" s="1072"/>
      <c r="O63" s="1072"/>
      <c r="P63" s="80"/>
      <c r="Q63" s="4"/>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4"/>
      <c r="AQ63" s="79"/>
      <c r="AR63" s="79"/>
    </row>
    <row r="64" ht="0" hidden="1" customHeight="1">
      <c r="C64" s="181"/>
      <c r="D64" s="181"/>
      <c r="E64" s="181"/>
      <c r="F64" s="201"/>
      <c r="G64" s="181"/>
      <c r="H64" s="996"/>
      <c r="I64" s="996"/>
      <c r="J64" s="996"/>
      <c r="K64" s="996"/>
      <c r="L64" s="1072"/>
      <c r="M64" s="1072"/>
      <c r="N64" s="1072"/>
      <c r="O64" s="1072"/>
      <c r="P64" s="80"/>
      <c r="Q64" s="4"/>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4"/>
      <c r="AQ64" s="79"/>
      <c r="AR64" s="79"/>
    </row>
    <row r="65" ht="0" hidden="1" customHeight="1">
      <c r="C65" s="181"/>
      <c r="D65" s="181"/>
      <c r="E65" s="181"/>
      <c r="F65" s="201"/>
      <c r="G65" s="181"/>
      <c r="H65" s="996"/>
      <c r="I65" s="996"/>
      <c r="J65" s="996"/>
      <c r="K65" s="996"/>
      <c r="L65" s="1072"/>
      <c r="M65" s="1072"/>
      <c r="N65" s="1072"/>
      <c r="O65" s="1072"/>
      <c r="P65" s="80"/>
      <c r="Q65" s="4"/>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4"/>
      <c r="AQ65" s="79"/>
      <c r="AR65" s="79"/>
    </row>
    <row r="66" ht="0" hidden="1" customHeight="1">
      <c r="C66" s="181"/>
      <c r="D66" s="181"/>
      <c r="E66" s="181"/>
      <c r="F66" s="201"/>
      <c r="G66" s="181"/>
      <c r="H66" s="996"/>
      <c r="I66" s="996"/>
      <c r="J66" s="996"/>
      <c r="K66" s="996"/>
      <c r="L66" s="1072"/>
      <c r="M66" s="1072"/>
      <c r="N66" s="1072"/>
      <c r="O66" s="1072"/>
      <c r="P66" s="80"/>
      <c r="Q66" s="4"/>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4"/>
      <c r="AQ66" s="79"/>
      <c r="AR66" s="79"/>
    </row>
    <row r="67" ht="0" hidden="1" customHeight="1">
      <c r="C67" s="181"/>
      <c r="D67" s="181"/>
      <c r="E67" s="181"/>
      <c r="F67" s="201"/>
      <c r="G67" s="181"/>
      <c r="H67" s="996"/>
      <c r="I67" s="996"/>
      <c r="J67" s="996"/>
      <c r="K67" s="996"/>
      <c r="L67" s="1072"/>
      <c r="M67" s="1072"/>
      <c r="N67" s="1072"/>
      <c r="O67" s="1072"/>
      <c r="P67" s="80"/>
      <c r="Q67" s="4"/>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4"/>
      <c r="AQ67" s="79"/>
      <c r="AR67" s="79"/>
    </row>
    <row r="68" ht="0" hidden="1" customHeight="1">
      <c r="C68" s="181"/>
      <c r="D68" s="181"/>
      <c r="E68" s="181"/>
      <c r="F68" s="201"/>
      <c r="G68" s="181"/>
      <c r="H68" s="996"/>
      <c r="I68" s="996"/>
      <c r="J68" s="996"/>
      <c r="K68" s="996"/>
      <c r="L68" s="1072"/>
      <c r="M68" s="1072"/>
      <c r="N68" s="1072"/>
      <c r="O68" s="1072"/>
      <c r="P68" s="80"/>
      <c r="Q68" s="4"/>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4"/>
      <c r="AQ68" s="79"/>
      <c r="AR68" s="79"/>
    </row>
    <row r="69" ht="0" hidden="1" customHeight="1">
      <c r="C69" s="181"/>
      <c r="D69" s="181"/>
      <c r="E69" s="181"/>
      <c r="F69" s="201"/>
      <c r="G69" s="181"/>
      <c r="H69" s="996"/>
      <c r="I69" s="996"/>
      <c r="J69" s="996"/>
      <c r="K69" s="996"/>
      <c r="L69" s="1072"/>
      <c r="M69" s="1072"/>
      <c r="N69" s="1072"/>
      <c r="O69" s="1072"/>
      <c r="P69" s="80"/>
      <c r="Q69" s="4"/>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4"/>
      <c r="AQ69" s="79"/>
      <c r="AR69" s="79"/>
    </row>
    <row r="70" ht="0" hidden="1" customHeight="1">
      <c r="C70" s="181"/>
      <c r="D70" s="181"/>
      <c r="E70" s="181"/>
      <c r="F70" s="201"/>
      <c r="G70" s="181"/>
      <c r="H70" s="996"/>
      <c r="I70" s="996"/>
      <c r="J70" s="996"/>
      <c r="K70" s="996"/>
      <c r="L70" s="1072"/>
      <c r="M70" s="1072"/>
      <c r="N70" s="1072"/>
      <c r="O70" s="1072"/>
      <c r="P70" s="80"/>
      <c r="Q70" s="4"/>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4"/>
      <c r="AQ70" s="79"/>
      <c r="AR70" s="79"/>
    </row>
    <row r="71" ht="0" hidden="1" customHeight="1">
      <c r="C71" s="181"/>
      <c r="D71" s="181"/>
      <c r="E71" s="181"/>
      <c r="F71" s="201"/>
      <c r="G71" s="181"/>
      <c r="H71" s="996"/>
      <c r="I71" s="996"/>
      <c r="J71" s="996"/>
      <c r="K71" s="996"/>
      <c r="L71" s="1072"/>
      <c r="M71" s="1072"/>
      <c r="N71" s="1072"/>
      <c r="O71" s="1072"/>
      <c r="P71" s="80"/>
      <c r="Q71" s="4"/>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4"/>
      <c r="AQ71" s="79"/>
      <c r="AR71" s="79"/>
    </row>
    <row r="72" ht="0" hidden="1" customHeight="1">
      <c r="C72" s="181"/>
      <c r="D72" s="181"/>
      <c r="E72" s="181"/>
      <c r="F72" s="201"/>
      <c r="G72" s="181"/>
      <c r="H72" s="996"/>
      <c r="I72" s="996"/>
      <c r="J72" s="996"/>
      <c r="K72" s="996"/>
      <c r="L72" s="1072"/>
      <c r="M72" s="1072"/>
      <c r="N72" s="1072"/>
      <c r="O72" s="1072"/>
      <c r="P72" s="80"/>
      <c r="Q72" s="4"/>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4"/>
      <c r="AQ72" s="79"/>
      <c r="AR72" s="79"/>
    </row>
    <row r="73" ht="0" hidden="1" customHeight="1">
      <c r="C73" s="181"/>
      <c r="D73" s="181"/>
      <c r="E73" s="181"/>
      <c r="F73" s="201"/>
      <c r="G73" s="181"/>
      <c r="H73" s="996"/>
      <c r="I73" s="996"/>
      <c r="J73" s="996"/>
      <c r="K73" s="996"/>
      <c r="L73" s="1072"/>
      <c r="M73" s="1072"/>
      <c r="N73" s="1072"/>
      <c r="O73" s="1072"/>
      <c r="P73" s="80"/>
      <c r="Q73" s="4"/>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4"/>
      <c r="AQ73" s="79"/>
      <c r="AR73" s="79"/>
    </row>
    <row r="74" ht="0" hidden="1" customHeight="1">
      <c r="C74" s="181"/>
      <c r="D74" s="181"/>
      <c r="E74" s="181"/>
      <c r="F74" s="201"/>
      <c r="G74" s="181"/>
      <c r="H74" s="996"/>
      <c r="I74" s="996"/>
      <c r="J74" s="996"/>
      <c r="K74" s="996"/>
      <c r="L74" s="1072"/>
      <c r="M74" s="1072"/>
      <c r="N74" s="1072"/>
      <c r="O74" s="1072"/>
      <c r="P74" s="80"/>
      <c r="Q74" s="4"/>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4"/>
      <c r="AQ74" s="79"/>
      <c r="AR74" s="79"/>
    </row>
    <row r="75" ht="0" hidden="1" customHeight="1">
      <c r="C75" s="181"/>
      <c r="D75" s="181"/>
      <c r="E75" s="181"/>
      <c r="F75" s="201"/>
      <c r="G75" s="181"/>
      <c r="H75" s="996"/>
      <c r="I75" s="996"/>
      <c r="J75" s="996"/>
      <c r="K75" s="996"/>
      <c r="L75" s="1072"/>
      <c r="M75" s="1072"/>
      <c r="N75" s="1072"/>
      <c r="O75" s="1072"/>
      <c r="P75" s="80"/>
      <c r="Q75" s="4"/>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4"/>
      <c r="AQ75" s="79"/>
      <c r="AR75" s="79"/>
    </row>
    <row r="76" ht="0" hidden="1" customHeight="1">
      <c r="C76" s="181"/>
      <c r="D76" s="181"/>
      <c r="E76" s="181"/>
      <c r="F76" s="201"/>
      <c r="G76" s="181"/>
      <c r="H76" s="996"/>
      <c r="I76" s="996"/>
      <c r="J76" s="996"/>
      <c r="K76" s="996"/>
      <c r="L76" s="1072"/>
      <c r="M76" s="1072"/>
      <c r="N76" s="1072"/>
      <c r="O76" s="1072"/>
      <c r="P76" s="80"/>
      <c r="Q76" s="4"/>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4"/>
      <c r="AQ76" s="79"/>
      <c r="AR76" s="79"/>
    </row>
    <row r="77" ht="0" hidden="1" customHeight="1">
      <c r="C77" s="181"/>
      <c r="D77" s="181"/>
      <c r="E77" s="181"/>
      <c r="F77" s="201"/>
      <c r="G77" s="181"/>
      <c r="H77" s="996"/>
      <c r="I77" s="996"/>
      <c r="J77" s="996"/>
      <c r="K77" s="996"/>
      <c r="L77" s="1072"/>
      <c r="M77" s="1072"/>
      <c r="N77" s="1072"/>
      <c r="O77" s="1072"/>
      <c r="P77" s="80"/>
      <c r="Q77" s="4"/>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4"/>
      <c r="AQ77" s="79"/>
      <c r="AR77" s="79"/>
    </row>
    <row r="78" ht="0" hidden="1" customHeight="1">
      <c r="C78" s="181"/>
      <c r="D78" s="181"/>
      <c r="E78" s="181"/>
      <c r="F78" s="201"/>
      <c r="G78" s="181"/>
      <c r="H78" s="996"/>
      <c r="I78" s="996"/>
      <c r="J78" s="996"/>
      <c r="K78" s="996"/>
      <c r="L78" s="1072"/>
      <c r="M78" s="1072"/>
      <c r="N78" s="1072"/>
      <c r="O78" s="1072"/>
      <c r="P78" s="80"/>
      <c r="Q78" s="4"/>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4"/>
      <c r="AQ78" s="79"/>
      <c r="AR78" s="79"/>
    </row>
    <row r="79" ht="0" hidden="1" customHeight="1">
      <c r="C79" s="181"/>
      <c r="D79" s="181"/>
      <c r="E79" s="181"/>
      <c r="F79" s="201"/>
      <c r="G79" s="181"/>
      <c r="H79" s="996"/>
      <c r="I79" s="996"/>
      <c r="J79" s="996"/>
      <c r="K79" s="996"/>
      <c r="L79" s="1072"/>
      <c r="M79" s="1072"/>
      <c r="N79" s="1072"/>
      <c r="O79" s="1072"/>
      <c r="P79" s="80"/>
      <c r="Q79" s="4"/>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4"/>
      <c r="AQ79" s="79"/>
      <c r="AR79" s="79"/>
    </row>
    <row r="80" ht="0" hidden="1" customHeight="1">
      <c r="C80" s="181"/>
      <c r="D80" s="181"/>
      <c r="E80" s="181"/>
      <c r="F80" s="201"/>
      <c r="G80" s="181"/>
      <c r="H80" s="996"/>
      <c r="I80" s="996"/>
      <c r="J80" s="996"/>
      <c r="K80" s="996"/>
      <c r="L80" s="1072"/>
      <c r="M80" s="1072"/>
      <c r="N80" s="1072"/>
      <c r="O80" s="1072"/>
      <c r="P80" s="80"/>
      <c r="Q80" s="4"/>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4"/>
      <c r="AQ80" s="79"/>
      <c r="AR80" s="79"/>
    </row>
    <row r="81" ht="0" hidden="1" customHeight="1">
      <c r="C81" s="181"/>
      <c r="D81" s="181"/>
      <c r="E81" s="181"/>
      <c r="F81" s="201"/>
      <c r="G81" s="181"/>
      <c r="H81" s="996"/>
      <c r="I81" s="996"/>
      <c r="J81" s="996"/>
      <c r="K81" s="996"/>
      <c r="L81" s="1072"/>
      <c r="M81" s="1072"/>
      <c r="N81" s="1072"/>
      <c r="O81" s="1072"/>
      <c r="P81" s="80"/>
      <c r="Q81" s="4"/>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4"/>
      <c r="AQ81" s="79"/>
      <c r="AR81" s="79"/>
    </row>
    <row r="82" ht="0" hidden="1" customHeight="1">
      <c r="C82" s="181"/>
      <c r="D82" s="181"/>
      <c r="E82" s="181"/>
      <c r="F82" s="201"/>
      <c r="G82" s="181"/>
      <c r="H82" s="996"/>
      <c r="I82" s="996"/>
      <c r="J82" s="996"/>
      <c r="K82" s="996"/>
      <c r="L82" s="1072"/>
      <c r="M82" s="1072"/>
      <c r="N82" s="1072"/>
      <c r="O82" s="1072"/>
      <c r="P82" s="80"/>
      <c r="Q82" s="4"/>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4"/>
      <c r="AQ82" s="79"/>
      <c r="AR82" s="79"/>
    </row>
    <row r="83" ht="0" hidden="1" customHeight="1">
      <c r="C83" s="181"/>
      <c r="D83" s="181"/>
      <c r="E83" s="181"/>
      <c r="F83" s="201"/>
      <c r="G83" s="181"/>
      <c r="H83" s="996"/>
      <c r="I83" s="996"/>
      <c r="J83" s="996"/>
      <c r="K83" s="996"/>
      <c r="L83" s="1072"/>
      <c r="M83" s="1072"/>
      <c r="N83" s="1072"/>
      <c r="O83" s="1072"/>
      <c r="P83" s="80"/>
      <c r="Q83" s="4"/>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4"/>
      <c r="AQ83" s="79"/>
      <c r="AR83" s="79"/>
    </row>
    <row r="84" ht="0" hidden="1" customHeight="1">
      <c r="C84" s="181"/>
      <c r="D84" s="181"/>
      <c r="E84" s="181"/>
      <c r="F84" s="201"/>
      <c r="G84" s="181"/>
      <c r="H84" s="996"/>
      <c r="I84" s="996"/>
      <c r="J84" s="996"/>
      <c r="K84" s="996"/>
      <c r="L84" s="1072"/>
      <c r="M84" s="1072"/>
      <c r="N84" s="1072"/>
      <c r="O84" s="1072"/>
      <c r="P84" s="80"/>
      <c r="Q84" s="4"/>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4"/>
      <c r="AQ84" s="79"/>
      <c r="AR84" s="79"/>
    </row>
    <row r="85" ht="0" hidden="1" customHeight="1">
      <c r="C85" s="181"/>
      <c r="D85" s="181"/>
      <c r="E85" s="181"/>
      <c r="F85" s="201"/>
      <c r="G85" s="181"/>
      <c r="H85" s="996"/>
      <c r="I85" s="996"/>
      <c r="J85" s="996"/>
      <c r="K85" s="996"/>
      <c r="L85" s="1072"/>
      <c r="M85" s="1072"/>
      <c r="N85" s="1072"/>
      <c r="O85" s="1072"/>
      <c r="P85" s="80"/>
      <c r="Q85" s="4"/>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4"/>
      <c r="AQ85" s="79"/>
      <c r="AR85" s="79"/>
    </row>
    <row r="86" ht="0" hidden="1" customHeight="1">
      <c r="C86" s="181"/>
      <c r="D86" s="181"/>
      <c r="E86" s="181"/>
      <c r="F86" s="201"/>
      <c r="G86" s="181"/>
      <c r="H86" s="996"/>
      <c r="I86" s="996"/>
      <c r="J86" s="996"/>
      <c r="K86" s="996"/>
      <c r="L86" s="1072"/>
      <c r="M86" s="1072"/>
      <c r="N86" s="1072"/>
      <c r="O86" s="1072"/>
      <c r="P86" s="80"/>
      <c r="Q86" s="4"/>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4"/>
      <c r="AQ86" s="79"/>
      <c r="AR86" s="79"/>
    </row>
    <row r="87" ht="0" hidden="1" customHeight="1">
      <c r="C87" s="181"/>
      <c r="D87" s="181"/>
      <c r="E87" s="181"/>
      <c r="F87" s="201"/>
      <c r="G87" s="181"/>
      <c r="H87" s="996"/>
      <c r="I87" s="996"/>
      <c r="J87" s="996"/>
      <c r="K87" s="996"/>
      <c r="L87" s="1072"/>
      <c r="M87" s="1072"/>
      <c r="N87" s="1072"/>
      <c r="O87" s="1072"/>
      <c r="P87" s="80"/>
      <c r="Q87" s="4"/>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4"/>
      <c r="AQ87" s="79"/>
      <c r="AR87" s="79"/>
    </row>
    <row r="88" ht="0" hidden="1" customHeight="1">
      <c r="C88" s="181"/>
      <c r="D88" s="181"/>
      <c r="E88" s="181"/>
      <c r="F88" s="201"/>
      <c r="G88" s="181"/>
      <c r="H88" s="996"/>
      <c r="I88" s="996"/>
      <c r="J88" s="996"/>
      <c r="K88" s="996"/>
      <c r="L88" s="1072"/>
      <c r="M88" s="1072"/>
      <c r="N88" s="1072"/>
      <c r="O88" s="1072"/>
      <c r="P88" s="80"/>
      <c r="Q88" s="4"/>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4"/>
      <c r="AQ88" s="79"/>
      <c r="AR88" s="79"/>
    </row>
    <row r="89" ht="0" hidden="1" customHeight="1">
      <c r="C89" s="181"/>
      <c r="D89" s="181"/>
      <c r="E89" s="181"/>
      <c r="F89" s="201"/>
      <c r="G89" s="181"/>
      <c r="H89" s="996"/>
      <c r="I89" s="996"/>
      <c r="J89" s="996"/>
      <c r="K89" s="996"/>
      <c r="L89" s="1072"/>
      <c r="M89" s="1072"/>
      <c r="N89" s="1072"/>
      <c r="O89" s="1072"/>
      <c r="P89" s="80"/>
      <c r="Q89" s="4"/>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4"/>
      <c r="AQ89" s="79"/>
      <c r="AR89" s="79"/>
    </row>
    <row r="90" ht="0" hidden="1" customHeight="1">
      <c r="C90" s="181"/>
      <c r="D90" s="181"/>
      <c r="E90" s="181"/>
      <c r="F90" s="201"/>
      <c r="G90" s="181"/>
      <c r="H90" s="996"/>
      <c r="I90" s="996"/>
      <c r="J90" s="996"/>
      <c r="K90" s="996"/>
      <c r="L90" s="1072"/>
      <c r="M90" s="1072"/>
      <c r="N90" s="1072"/>
      <c r="O90" s="1072"/>
      <c r="P90" s="80"/>
      <c r="Q90" s="4"/>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4"/>
      <c r="AQ90" s="79"/>
      <c r="AR90" s="79"/>
    </row>
    <row r="91" ht="0" hidden="1" customHeight="1">
      <c r="C91" s="181"/>
      <c r="D91" s="181"/>
      <c r="E91" s="181"/>
      <c r="F91" s="201"/>
      <c r="G91" s="181"/>
      <c r="H91" s="996"/>
      <c r="I91" s="996"/>
      <c r="J91" s="996"/>
      <c r="K91" s="996"/>
      <c r="L91" s="1072"/>
      <c r="M91" s="1072"/>
      <c r="N91" s="1072"/>
      <c r="O91" s="1072"/>
      <c r="P91" s="80"/>
      <c r="Q91" s="4"/>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4"/>
      <c r="AQ91" s="79"/>
      <c r="AR91" s="79"/>
    </row>
    <row r="92" ht="0" hidden="1" customHeight="1">
      <c r="C92" s="181"/>
      <c r="D92" s="181"/>
      <c r="E92" s="181"/>
      <c r="F92" s="201"/>
      <c r="G92" s="181"/>
      <c r="H92" s="996"/>
      <c r="I92" s="996"/>
      <c r="J92" s="996"/>
      <c r="K92" s="996"/>
      <c r="L92" s="1072"/>
      <c r="M92" s="1072"/>
      <c r="N92" s="1072"/>
      <c r="O92" s="1072"/>
      <c r="P92" s="80"/>
      <c r="Q92" s="4"/>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4"/>
      <c r="AQ92" s="79"/>
      <c r="AR92" s="79"/>
    </row>
    <row r="93" ht="0" hidden="1" customHeight="1">
      <c r="C93" s="181"/>
      <c r="D93" s="181"/>
      <c r="E93" s="181"/>
      <c r="F93" s="201"/>
      <c r="G93" s="181"/>
      <c r="H93" s="996"/>
      <c r="I93" s="996"/>
      <c r="J93" s="996"/>
      <c r="K93" s="996"/>
      <c r="L93" s="1072"/>
      <c r="M93" s="1072"/>
      <c r="N93" s="1072"/>
      <c r="O93" s="1072"/>
      <c r="P93" s="80"/>
      <c r="Q93" s="4"/>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4"/>
      <c r="AQ93" s="79"/>
      <c r="AR93" s="79"/>
    </row>
    <row r="94" ht="0" hidden="1" customHeight="1">
      <c r="C94" s="181"/>
      <c r="D94" s="181"/>
      <c r="E94" s="181"/>
      <c r="F94" s="201"/>
      <c r="G94" s="181"/>
      <c r="H94" s="996"/>
      <c r="I94" s="996"/>
      <c r="J94" s="996"/>
      <c r="K94" s="996"/>
      <c r="L94" s="1072"/>
      <c r="M94" s="1072"/>
      <c r="N94" s="1072"/>
      <c r="O94" s="1072"/>
      <c r="P94" s="80"/>
      <c r="Q94" s="4"/>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4"/>
      <c r="AQ94" s="79"/>
      <c r="AR94" s="79"/>
    </row>
    <row r="95" ht="0" hidden="1" customHeight="1">
      <c r="C95" s="181"/>
      <c r="D95" s="181"/>
      <c r="E95" s="181"/>
      <c r="F95" s="201"/>
      <c r="G95" s="181"/>
      <c r="H95" s="996"/>
      <c r="I95" s="996"/>
      <c r="J95" s="996"/>
      <c r="K95" s="996"/>
      <c r="L95" s="1072"/>
      <c r="M95" s="1072"/>
      <c r="N95" s="1072"/>
      <c r="O95" s="1072"/>
      <c r="P95" s="80"/>
      <c r="Q95" s="4"/>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4"/>
      <c r="AQ95" s="79"/>
      <c r="AR95" s="79"/>
    </row>
    <row r="96" ht="0" hidden="1" customHeight="1">
      <c r="C96" s="181"/>
      <c r="D96" s="181"/>
      <c r="E96" s="181"/>
      <c r="F96" s="201"/>
      <c r="G96" s="181"/>
      <c r="H96" s="996"/>
      <c r="I96" s="996"/>
      <c r="J96" s="996"/>
      <c r="K96" s="996"/>
      <c r="L96" s="1072"/>
      <c r="M96" s="1072"/>
      <c r="N96" s="1072"/>
      <c r="O96" s="1072"/>
      <c r="P96" s="80"/>
      <c r="Q96" s="4"/>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4"/>
      <c r="AQ96" s="79"/>
      <c r="AR96" s="79"/>
    </row>
    <row r="97" ht="0" hidden="1" customHeight="1">
      <c r="C97" s="181"/>
      <c r="D97" s="181"/>
      <c r="E97" s="181"/>
      <c r="F97" s="201"/>
      <c r="G97" s="181"/>
      <c r="H97" s="996"/>
      <c r="I97" s="996"/>
      <c r="J97" s="996"/>
      <c r="K97" s="996"/>
      <c r="L97" s="1072"/>
      <c r="M97" s="1072"/>
      <c r="N97" s="1072"/>
      <c r="O97" s="1072"/>
      <c r="P97" s="80"/>
      <c r="Q97" s="4"/>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4"/>
      <c r="AQ97" s="79"/>
      <c r="AR97" s="79"/>
    </row>
    <row r="98" ht="0" hidden="1" customHeight="1">
      <c r="C98" s="181"/>
      <c r="D98" s="181"/>
      <c r="E98" s="181"/>
      <c r="F98" s="201"/>
      <c r="G98" s="181"/>
      <c r="H98" s="996"/>
      <c r="I98" s="996"/>
      <c r="J98" s="996"/>
      <c r="K98" s="996"/>
      <c r="L98" s="1072"/>
      <c r="M98" s="1072"/>
      <c r="N98" s="1072"/>
      <c r="O98" s="1072"/>
      <c r="P98" s="80"/>
      <c r="Q98" s="4"/>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4"/>
      <c r="AQ98" s="79"/>
      <c r="AR98" s="79"/>
    </row>
    <row r="99" ht="0" hidden="1" customHeight="1">
      <c r="C99" s="181"/>
      <c r="D99" s="181"/>
      <c r="E99" s="181"/>
      <c r="F99" s="201"/>
      <c r="G99" s="181"/>
      <c r="H99" s="996"/>
      <c r="I99" s="996"/>
      <c r="J99" s="996"/>
      <c r="K99" s="996"/>
      <c r="L99" s="1072"/>
      <c r="M99" s="1072"/>
      <c r="N99" s="1072"/>
      <c r="O99" s="1072"/>
      <c r="P99" s="80"/>
      <c r="Q99" s="4"/>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4"/>
      <c r="AQ99" s="79"/>
      <c r="AR99" s="79"/>
    </row>
    <row r="100" ht="0" hidden="1" customHeight="1">
      <c r="C100" s="181"/>
      <c r="D100" s="181"/>
      <c r="E100" s="181"/>
      <c r="F100" s="201"/>
      <c r="G100" s="181"/>
      <c r="H100" s="996"/>
      <c r="I100" s="996"/>
      <c r="J100" s="996"/>
      <c r="K100" s="996"/>
      <c r="L100" s="1072"/>
      <c r="M100" s="1072"/>
      <c r="N100" s="1072"/>
      <c r="O100" s="1072"/>
      <c r="P100" s="80"/>
      <c r="Q100" s="4"/>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4"/>
      <c r="AQ100" s="48"/>
      <c r="AR100" s="48"/>
    </row>
    <row r="101" ht="0" hidden="1" customHeight="1">
      <c r="C101" s="181"/>
      <c r="D101" s="181"/>
      <c r="E101" s="181"/>
      <c r="F101" s="201"/>
      <c r="G101" s="181"/>
      <c r="H101" s="996"/>
      <c r="I101" s="996"/>
      <c r="J101" s="996"/>
      <c r="K101" s="996"/>
      <c r="L101" s="1072"/>
      <c r="M101" s="1072"/>
      <c r="N101" s="1072"/>
      <c r="O101" s="1072"/>
      <c r="P101" s="80"/>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79"/>
      <c r="AR101" s="79"/>
    </row>
    <row r="102" ht="18" customHeight="1">
      <c r="C102" s="181"/>
      <c r="D102" s="181"/>
      <c r="E102" s="181"/>
      <c r="F102" s="201"/>
      <c r="G102" s="181"/>
      <c r="H102" s="996"/>
      <c r="I102" s="996"/>
      <c r="J102" s="996"/>
      <c r="K102" s="996"/>
      <c r="L102" s="1072"/>
      <c r="M102" s="1072"/>
      <c r="N102" s="1072"/>
      <c r="O102" s="1072"/>
      <c r="P102" s="80"/>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79"/>
      <c r="AR102" s="79"/>
    </row>
    <row r="103" ht="18" customHeight="1">
      <c r="C103" s="181"/>
      <c r="D103" s="181"/>
      <c r="E103" s="181"/>
      <c r="F103" s="201"/>
      <c r="G103" s="181"/>
      <c r="H103" s="996"/>
      <c r="I103" s="996"/>
      <c r="J103" s="996"/>
      <c r="K103" s="996"/>
      <c r="L103" s="1072"/>
      <c r="M103" s="1072"/>
      <c r="N103" s="1072"/>
      <c r="O103" s="1072"/>
      <c r="P103" s="80"/>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row>
    <row r="104" ht="9" customHeight="1">
      <c r="E104" s="81"/>
      <c r="F104" s="202"/>
      <c r="R104" s="0"/>
      <c r="S104" s="0"/>
      <c r="T104" s="0"/>
      <c r="U104" s="0"/>
      <c r="V104" s="0"/>
      <c r="W104" s="0"/>
      <c r="X104" s="0"/>
      <c r="Y104" s="0"/>
      <c r="Z104" s="87"/>
      <c r="AA104" s="0"/>
      <c r="AB104" s="0"/>
      <c r="AC104" s="5"/>
      <c r="AD104" s="5"/>
      <c r="AE104" s="5"/>
      <c r="AF104" s="67"/>
      <c r="AG104" s="0"/>
      <c r="AH104" s="0"/>
      <c r="AI104" s="0"/>
      <c r="AJ104" s="5"/>
      <c r="AK104" s="0"/>
      <c r="AL104" s="0"/>
      <c r="AM104" s="0"/>
      <c r="AN104" s="0"/>
      <c r="AO104" s="0"/>
      <c r="AP104" s="0"/>
    </row>
    <row r="105" ht="39.95" customHeight="1">
      <c r="B105" s="0"/>
      <c r="C105" s="1075" t="s">
        <v>126</v>
      </c>
      <c r="D105" s="1075"/>
      <c r="E105" s="1075"/>
      <c r="F105" s="1075"/>
      <c r="G105" s="1075"/>
      <c r="H105" s="1075"/>
      <c r="I105" s="1075"/>
      <c r="J105" s="1075"/>
      <c r="K105" s="1075"/>
      <c r="L105" s="1075"/>
      <c r="M105" s="1075"/>
      <c r="N105" s="1075"/>
      <c r="O105" s="1075"/>
      <c r="P105" s="1075"/>
      <c r="Q105" s="1075"/>
      <c r="R105" s="1075"/>
      <c r="S105" s="1075"/>
      <c r="T105" s="1075"/>
      <c r="U105" s="1075"/>
      <c r="V105" s="1075"/>
      <c r="W105" s="1075"/>
      <c r="X105" s="1075"/>
      <c r="Y105" s="1075"/>
      <c r="Z105" s="1075"/>
      <c r="AA105" s="1075"/>
      <c r="AB105" s="1075"/>
      <c r="AC105" s="1075"/>
      <c r="AD105" s="1075"/>
      <c r="AE105" s="1075"/>
      <c r="AF105" s="1075"/>
      <c r="AG105" s="1075"/>
      <c r="AH105" s="1075"/>
      <c r="AI105" s="1075"/>
      <c r="AJ105" s="1075"/>
      <c r="AK105" s="1075"/>
      <c r="AL105" s="1075"/>
      <c r="AM105" s="1075"/>
      <c r="AN105" s="1075"/>
      <c r="AO105" s="1075"/>
      <c r="AP105" s="233"/>
    </row>
    <row r="106" s="84" customFormat="1" ht="12" customHeight="1">
      <c r="B106" s="84"/>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105:AO105"/>
    <mergeCell ref="AL9:AM9"/>
    <mergeCell ref="H43:K43"/>
    <mergeCell ref="L43:O43"/>
    <mergeCell ref="H38:K38"/>
    <mergeCell ref="L38:O38"/>
    <mergeCell ref="H39:K39"/>
    <mergeCell ref="L39:O39"/>
    <mergeCell ref="H40:K40"/>
    <mergeCell ref="L40:O40"/>
    <mergeCell ref="H41:K41"/>
    <mergeCell ref="AL10:AM10"/>
    <mergeCell ref="AH11:AI11"/>
    <mergeCell ref="AJ11:AK11"/>
    <mergeCell ref="AB10:AC10"/>
    <mergeCell ref="AD10:AE10"/>
    <mergeCell ref="AD12:AE12"/>
    <mergeCell ref="AF12:AG12"/>
    <mergeCell ref="AB12:AC12"/>
    <mergeCell ref="AF10:AG10"/>
    <mergeCell ref="AL11:AM11"/>
    <mergeCell ref="AH10:AI10"/>
    <mergeCell ref="AJ10:AK10"/>
    <mergeCell ref="Z12:AA12"/>
    <mergeCell ref="AL8:AM8"/>
    <mergeCell ref="AJ9:AK9"/>
    <mergeCell ref="AH9:AI9"/>
    <mergeCell ref="Z6:AM6"/>
    <mergeCell ref="Z7:AA7"/>
    <mergeCell ref="AB7:AC7"/>
    <mergeCell ref="AD7:AE7"/>
    <mergeCell ref="AF7:AG7"/>
    <mergeCell ref="AH7:AI7"/>
    <mergeCell ref="AJ7:AK7"/>
    <mergeCell ref="Z9:AA9"/>
    <mergeCell ref="H9:I9"/>
    <mergeCell ref="T9:U9"/>
    <mergeCell ref="R9:S9"/>
    <mergeCell ref="T11:U11"/>
    <mergeCell ref="T10:U10"/>
    <mergeCell ref="R10:S10"/>
    <mergeCell ref="Z8:AA8"/>
    <mergeCell ref="AB8:AC8"/>
    <mergeCell ref="AL7:AM7"/>
    <mergeCell ref="N9:O9"/>
    <mergeCell ref="Z10:AA10"/>
    <mergeCell ref="P9:Q9"/>
    <mergeCell ref="AD8:AE8"/>
    <mergeCell ref="AF8:AG8"/>
    <mergeCell ref="AH8:AI8"/>
    <mergeCell ref="AF11:AG11"/>
    <mergeCell ref="AB11:AC11"/>
    <mergeCell ref="AD11:AE11"/>
    <mergeCell ref="AB9:AC9"/>
    <mergeCell ref="AD9:AE9"/>
    <mergeCell ref="AF9:AG9"/>
    <mergeCell ref="N11:O11"/>
    <mergeCell ref="N10:O10"/>
    <mergeCell ref="AJ8:AK8"/>
    <mergeCell ref="R11:S11"/>
    <mergeCell ref="H23:K23"/>
    <mergeCell ref="H6:U6"/>
    <mergeCell ref="T8:U8"/>
    <mergeCell ref="R8:S8"/>
    <mergeCell ref="P8:Q8"/>
    <mergeCell ref="N8:O8"/>
    <mergeCell ref="L8:M8"/>
    <mergeCell ref="J8:K8"/>
    <mergeCell ref="H8:I8"/>
    <mergeCell ref="T7:U7"/>
    <mergeCell ref="R7:S7"/>
    <mergeCell ref="L10:M10"/>
    <mergeCell ref="H10:I10"/>
    <mergeCell ref="H11:I11"/>
    <mergeCell ref="L9:M9"/>
    <mergeCell ref="J9:K9"/>
    <mergeCell ref="J11:K11"/>
    <mergeCell ref="J7:K7"/>
    <mergeCell ref="H7:I7"/>
    <mergeCell ref="P7:Q7"/>
    <mergeCell ref="N7:O7"/>
    <mergeCell ref="L7:M7"/>
    <mergeCell ref="J10:K10"/>
    <mergeCell ref="L12:M12"/>
    <mergeCell ref="P12:Q12"/>
    <mergeCell ref="L11:M11"/>
    <mergeCell ref="H12:I12"/>
    <mergeCell ref="H13:I13"/>
    <mergeCell ref="J13:K13"/>
    <mergeCell ref="N12:O12"/>
    <mergeCell ref="L13:M13"/>
    <mergeCell ref="P11:Q11"/>
    <mergeCell ref="AJ13:AK13"/>
    <mergeCell ref="H37:K37"/>
    <mergeCell ref="L37:O37"/>
    <mergeCell ref="L30:O30"/>
    <mergeCell ref="H28:K28"/>
    <mergeCell ref="H29:K29"/>
    <mergeCell ref="Z13:AA13"/>
    <mergeCell ref="H22:K22"/>
    <mergeCell ref="H35:K35"/>
    <mergeCell ref="L35:O35"/>
    <mergeCell ref="L29:O29"/>
    <mergeCell ref="L22:O22"/>
    <mergeCell ref="L23:O23"/>
    <mergeCell ref="L32:O32"/>
    <mergeCell ref="H25:K25"/>
    <mergeCell ref="L25:O25"/>
    <mergeCell ref="H26:K26"/>
    <mergeCell ref="L31:O31"/>
    <mergeCell ref="H27:K27"/>
    <mergeCell ref="L27:O27"/>
    <mergeCell ref="H30:K30"/>
    <mergeCell ref="L28:O28"/>
    <mergeCell ref="R13:S13"/>
    <mergeCell ref="L26:O26"/>
    <mergeCell ref="L46:O46"/>
    <mergeCell ref="H47:K47"/>
    <mergeCell ref="L41:O41"/>
    <mergeCell ref="H44:K44"/>
    <mergeCell ref="H48:K48"/>
    <mergeCell ref="L42:O42"/>
    <mergeCell ref="L49:O49"/>
    <mergeCell ref="H33:K33"/>
    <mergeCell ref="L33:O33"/>
    <mergeCell ref="H34:K34"/>
    <mergeCell ref="L34:O34"/>
    <mergeCell ref="L59:O59"/>
    <mergeCell ref="H63:K63"/>
    <mergeCell ref="AH12:AI12"/>
    <mergeCell ref="AJ12:AK12"/>
    <mergeCell ref="L24:O24"/>
    <mergeCell ref="AF13:AG13"/>
    <mergeCell ref="AB13:AC13"/>
    <mergeCell ref="AD13:AE13"/>
    <mergeCell ref="P15:V15"/>
    <mergeCell ref="X15:AD15"/>
    <mergeCell ref="AH13:AI13"/>
    <mergeCell ref="AF15:AL15"/>
    <mergeCell ref="AL13:AM13"/>
    <mergeCell ref="N13:O13"/>
    <mergeCell ref="P13:Q13"/>
    <mergeCell ref="L44:O44"/>
    <mergeCell ref="L48:O48"/>
    <mergeCell ref="L50:O50"/>
    <mergeCell ref="L51:O51"/>
    <mergeCell ref="H36:K36"/>
    <mergeCell ref="L36:O36"/>
    <mergeCell ref="H45:K45"/>
    <mergeCell ref="L45:O45"/>
    <mergeCell ref="H46:K46"/>
    <mergeCell ref="L53:O53"/>
    <mergeCell ref="L54:O54"/>
    <mergeCell ref="H64:K64"/>
    <mergeCell ref="H67:K67"/>
    <mergeCell ref="L67:O67"/>
    <mergeCell ref="H68:K68"/>
    <mergeCell ref="L68:O68"/>
    <mergeCell ref="H60:K60"/>
    <mergeCell ref="L61:O61"/>
    <mergeCell ref="H66:K66"/>
    <mergeCell ref="L56:O56"/>
    <mergeCell ref="L57:O57"/>
    <mergeCell ref="H56:K56"/>
    <mergeCell ref="H57:K57"/>
    <mergeCell ref="L66:O66"/>
    <mergeCell ref="L63:O63"/>
    <mergeCell ref="H62:K62"/>
    <mergeCell ref="L62:O62"/>
    <mergeCell ref="H61:K61"/>
    <mergeCell ref="L64:O64"/>
    <mergeCell ref="L58:O58"/>
    <mergeCell ref="H58:K58"/>
    <mergeCell ref="H59:K59"/>
    <mergeCell ref="L60:O60"/>
    <mergeCell ref="H72:K72"/>
    <mergeCell ref="L72:O72"/>
    <mergeCell ref="L69:O69"/>
    <mergeCell ref="L81:O81"/>
    <mergeCell ref="H70:K70"/>
    <mergeCell ref="L70:O70"/>
    <mergeCell ref="H71:K71"/>
    <mergeCell ref="L71:O71"/>
    <mergeCell ref="H65:K65"/>
    <mergeCell ref="L65:O65"/>
    <mergeCell ref="H75:K75"/>
    <mergeCell ref="L75:O75"/>
    <mergeCell ref="H73:K73"/>
    <mergeCell ref="L73:O73"/>
    <mergeCell ref="H74:K74"/>
    <mergeCell ref="L74:O74"/>
    <mergeCell ref="H80:K80"/>
    <mergeCell ref="L80:O80"/>
    <mergeCell ref="H81:K81"/>
    <mergeCell ref="H78:K78"/>
    <mergeCell ref="L78:O78"/>
    <mergeCell ref="H79:K79"/>
    <mergeCell ref="L79:O79"/>
    <mergeCell ref="H69:K69"/>
    <mergeCell ref="H103:K103"/>
    <mergeCell ref="L103:O103"/>
    <mergeCell ref="L99:O99"/>
    <mergeCell ref="H100:K100"/>
    <mergeCell ref="L100:O100"/>
    <mergeCell ref="H101:K101"/>
    <mergeCell ref="L101:O101"/>
    <mergeCell ref="H99:K99"/>
    <mergeCell ref="H102:K102"/>
    <mergeCell ref="L102:O102"/>
    <mergeCell ref="C2:AP2"/>
    <mergeCell ref="H55:K55"/>
    <mergeCell ref="L55:O55"/>
    <mergeCell ref="H31:K31"/>
    <mergeCell ref="H52:K52"/>
    <mergeCell ref="H53:K53"/>
    <mergeCell ref="H54:K54"/>
    <mergeCell ref="H24:K24"/>
    <mergeCell ref="R12:S12"/>
    <mergeCell ref="C4:AP4"/>
    <mergeCell ref="C3:AP3"/>
    <mergeCell ref="T13:U13"/>
    <mergeCell ref="T12:U12"/>
    <mergeCell ref="AL12:AM12"/>
    <mergeCell ref="P10:Q10"/>
    <mergeCell ref="J12:K12"/>
    <mergeCell ref="Z11:AA11"/>
    <mergeCell ref="H50:K50"/>
    <mergeCell ref="H51:K51"/>
    <mergeCell ref="L47:O47"/>
    <mergeCell ref="L52:O52"/>
    <mergeCell ref="H49:K49"/>
    <mergeCell ref="H42:K42"/>
    <mergeCell ref="H98:K98"/>
    <mergeCell ref="L98:O98"/>
    <mergeCell ref="H96:K96"/>
    <mergeCell ref="L96:O96"/>
    <mergeCell ref="H97:K97"/>
    <mergeCell ref="L97:O97"/>
    <mergeCell ref="H91:K91"/>
    <mergeCell ref="L91:O91"/>
    <mergeCell ref="H76:K76"/>
    <mergeCell ref="L76:O76"/>
    <mergeCell ref="H77:K77"/>
    <mergeCell ref="L77:O77"/>
    <mergeCell ref="H86:K86"/>
    <mergeCell ref="L86:O86"/>
    <mergeCell ref="H87:K87"/>
    <mergeCell ref="L87:O87"/>
    <mergeCell ref="H84:K84"/>
    <mergeCell ref="L84:O84"/>
    <mergeCell ref="H85:K85"/>
    <mergeCell ref="L85:O85"/>
    <mergeCell ref="H82:K82"/>
    <mergeCell ref="L82:O82"/>
    <mergeCell ref="H83:K83"/>
    <mergeCell ref="L83:O83"/>
    <mergeCell ref="H88:K88"/>
    <mergeCell ref="L88:O88"/>
    <mergeCell ref="H89:K89"/>
    <mergeCell ref="L89:O89"/>
    <mergeCell ref="H94:K94"/>
    <mergeCell ref="L94:O94"/>
    <mergeCell ref="H95:K95"/>
    <mergeCell ref="L95:O95"/>
    <mergeCell ref="H92:K92"/>
    <mergeCell ref="L92:O92"/>
    <mergeCell ref="H93:K93"/>
    <mergeCell ref="L93:O93"/>
    <mergeCell ref="H90:K90"/>
    <mergeCell ref="L90:O90"/>
    <mergeCell ref="R21:W21"/>
    <mergeCell ref="X21:AI21"/>
    <mergeCell ref="AJ21:AO21"/>
    <mergeCell ref="H32:K32"/>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drawing r:id="rId7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29780682</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804,836,748,808,805,837,749,809</cp:category>
  <dcterms:created xsi:type="dcterms:W3CDTF">2003-06-11T18:24:11Z</dcterms:created>
  <dc:creator>STR, Inc.</dc:creator>
  <cp:keywords>56387</cp:keywords>
  <cp:lastModifiedBy>Jim Hawkins</cp:lastModifiedBy>
  <cp:lastPrinted>2016-02-11T20:47:50Z</cp:lastPrinted>
  <dcterms:modified xsi:type="dcterms:W3CDTF">2021-08-10T14:36:44Z</dcterms:modified>
  <dc:subject>56387</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