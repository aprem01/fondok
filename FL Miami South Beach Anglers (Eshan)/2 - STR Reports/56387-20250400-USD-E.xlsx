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32"/>
    <sheet name="Glance" sheetId="57" r:id="rId33"/>
    <sheet name="Summary" sheetId="55" r:id="rId34"/>
    <sheet name="Comp" sheetId="76" r:id="rId31"/>
    <sheet name="Response" sheetId="13" r:id="rId39"/>
    <sheet name="Day of Week" sheetId="60" r:id="rId35"/>
    <sheet name="Daily by Month" sheetId="47" r:id="rId36"/>
    <sheet name="Segmentation Glance" sheetId="77" r:id="rId30"/>
    <sheet name="Segmentation Occ" sheetId="78" r:id="rId29"/>
    <sheet name="Segmentation ADR" sheetId="79" r:id="rId28"/>
    <sheet name="Segmentation RevPAR" sheetId="80" r:id="rId27"/>
    <sheet name="Segmentation Indexes" sheetId="81" r:id="rId26"/>
    <sheet name="Segmentation Ranking" sheetId="82" r:id="rId25"/>
    <sheet name="Segmentation DOW Month" sheetId="83" r:id="rId24"/>
    <sheet name="Segmentation DOW YTD" sheetId="84" r:id="rId23"/>
    <sheet name="Segmentation DOW Run 3" sheetId="85" r:id="rId22"/>
    <sheet name="Segmentation DOW Run 12" sheetId="86" r:id="rId21"/>
    <sheet name="Add Rev ADR" sheetId="65" r:id="rId37"/>
    <sheet name="Add Rev RevPAR" sheetId="66" r:id="rId38"/>
    <sheet name="Segmentation Response" sheetId="87" r:id="rId20"/>
    <sheet name="Glance_2" sheetId="88" r:id="rId19"/>
    <sheet name="Summary_2" sheetId="89" r:id="rId18"/>
    <sheet name="Comp_2" sheetId="90" r:id="rId17"/>
    <sheet name="Response_2" sheetId="91" r:id="rId16"/>
    <sheet name="Day of Week_2" sheetId="92" r:id="rId15"/>
    <sheet name="Daily by Month_2" sheetId="93" r:id="rId14"/>
    <sheet name="Segmentation Glance_2" sheetId="94" r:id="rId13"/>
    <sheet name="Segmentation Occ_2" sheetId="95" r:id="rId12"/>
    <sheet name="Segmentation ADR_2" sheetId="96" r:id="rId11"/>
    <sheet name="Segmentation RevPAR_2" sheetId="97" r:id="rId10"/>
    <sheet name="Segmentation Indexes_2" sheetId="98" r:id="rId9"/>
    <sheet name="Segmentation Ranking_2" sheetId="99" r:id="rId8"/>
    <sheet name="Segmentation DOW Month_2" sheetId="100" r:id="rId7"/>
    <sheet name="Segmentation DOW YTD_2" sheetId="101" r:id="rId6"/>
    <sheet name="Segmentation DOW Run 3_2" sheetId="102" r:id="rId5"/>
    <sheet name="Segmentation DOW Run 12_2" sheetId="103" r:id="rId4"/>
    <sheet name="Add Rev ADR_2" sheetId="104" r:id="rId3"/>
    <sheet name="Add Rev RevPAR_2" sheetId="105" r:id="rId2"/>
    <sheet name="Segmentation Response_2" sheetId="106" r:id="rId1"/>
    <sheet name="Help" sheetId="74" r:id="rId40"/>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39">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<sst xmlns="http://schemas.openxmlformats.org/spreadsheetml/2006/main" xmlns:r="http://schemas.openxmlformats.org/officeDocument/2006/relationships" xmlns:xdr="http://schemas.openxmlformats.org/drawingml/2006/spreadsheetDrawing" xmlns:s="http://schemas.openxmlformats.org/officeDocument/2006/sharedTypes" xmlns:vt="http://schemas.openxmlformats.org/officeDocument/2006/docPropsVTypes" xmlns:a="http://schemas.openxmlformats.org/drawingml/2006/main" xmlns:cdr="http://schemas.openxmlformats.org/drawingml/2006/chartDrawing" count="1023" uniqueCount="126">
  <si>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</si>
  <si>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</si>
  <si>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</si>
  <si>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</si>
  <si>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</si>
  <si>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</si>
  <si>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</si>
  <si>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</si>
  <si>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</si>
  <si>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</si>
  <si>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</si>
  <si>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</si>
  <si>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</si>
  <si>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</si>
  <si>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</si>
  <si>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</si>
  <si>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</si>
  <si>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</si>
  <si>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</si>
  <si>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</si>
  <si>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</si>
  <si>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</si>
  <si>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</si>
  <si>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</si>
  <si>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</si>
  <si>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</si>
  <si>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</si>
  <si>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</si>
  <si>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</si>
  <si>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</si>
  <si>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</si>
  <si>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</si>
  <si>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</si>
  <si>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</si>
  <si>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</si>
  <si>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</si>
  <si>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</si>
  <si>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</si>
  <si>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</si>
  <si>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</si>
  <si>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</si>
  <si>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</si>
  <si>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</si>
  <si>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</si>
  <si>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</si>
  <si>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</si>
  <si>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</si>
  <si>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</si>
  <si>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</si>
  <si>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</si>
  <si>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</si>
  <si>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</si>
  <si>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</si>
  <si>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</si>
  <si>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</si>
  <si>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</si>
  <si>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</si>
  <si>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</si>
  <si>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</si>
  <si>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</si>
  <si>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</si>
  <si>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</si>
  <si>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</si>
  <si>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</si>
  <si>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</si>
  <si>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</si>
  <si>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</si>
  <si>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</si>
  <si>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</si>
  <si>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</si>
  <si>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</si>
  <si>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</si>
  <si>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</si>
  <si>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</si>
  <si>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</si>
  <si>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</si>
  <si>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</si>
  <si>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</si>
  <si>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</si>
  <si>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</si>
  <si>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</si>
  <si>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</si>
  <si>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</si>
  <si>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</si>
  <si>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</si>
  <si>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</si>
  <si>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</si>
  <si>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</si>
  <si>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</si>
  <si>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</si>
  <si>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</si>
  <si>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</si>
  <si>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</si>
  <si>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</si>
  <si>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</si>
  <si>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</si>
  <si>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</si>
  <si>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</si>
  <si>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</si>
  <si>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</si>
  <si>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</si>
  <si>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</si>
  <si>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</si>
  <si>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</si>
  <si>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</si>
  <si>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</si>
  <si>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</si>
  <si>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</si>
  <si>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</si>
  <si>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</si>
  <si>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</si>
  <si>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</si>
  <si>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</si>
  <si>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</si>
  <si>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</si>
  <si>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</si>
  <si>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</si>
  <si>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</si>
  <si>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</si>
  <si>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</si>
  <si>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</si>
  <si>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</si>
  <si>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</si>
  <si>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</si>
  <si>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</si>
  <si>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</si>
  <si>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</si>
  <si>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</si>
  <si>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</si>
  <si>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</si>
  <si>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</si>
  <si>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</si>
  <si>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</si>
  <si>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</si>
  <si>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</si>
  <si>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</si>
  <si>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</si>
  <si>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</si>
  <si>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</si>
  <si>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</si>
  <si>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</si>
  <si>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</si>
  <si>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</si>
  <si>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</si>
  <si>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</si>
  <si>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</si>
  <si>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</si>
  <si>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</si>
  <si>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</si>
  <si>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</si>
  <si>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</si>
  <si>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</si>
  <si>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</si>
  <si>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</si>
  <si>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</si>
  <si>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</si>
  <si>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</si>
  <si>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</si>
  <si>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</si>
  <si>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</si>
  <si>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</si>
  <si>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</si>
  <si>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</si>
  <si>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</si>
  <si>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</si>
  <si>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</si>
  <si>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</si>
  <si>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</si>
  <si>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</si>
  <si>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</si>
  <si>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</si>
  <si>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</si>
  <si>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</si>
  <si>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</si>
  <si>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</si>
  <si>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</si>
  <si>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</si>
  <si>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</si>
  <si>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</si>
  <si>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</si>
  <si>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</si>
  <si>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</si>
  <si>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</si>
  <si>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</si>
  <si>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</si>
  <si>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</si>
  <si>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</si>
  <si>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</si>
  <si>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</si>
  <si>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</si>
  <si>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</si>
  <si>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</si>
  <si>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</si>
  <si>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</si>
  <si>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</si>
  <si>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</si>
  <si>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</si>
  <si>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</si>
  <si>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</si>
  <si>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</si>
  <si>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</si>
  <si>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</si>
  <si>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</si>
  <si>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Help</t>
  </si>
  <si>
    <t>Monthly STAR Report : Kimpton Angler's Hotel</t>
  </si>
  <si>
    <t>STR # 56387 / Created May 19, 2025</t>
  </si>
  <si>
    <t>For the Month of: April 2025</t>
  </si>
  <si>
    <t>Currency: US Dollar  /  Competitive Set Data Excludes Subject Property</t>
  </si>
  <si>
    <t>Kimpton Angler's Hotel        600 Washington Ave        Miami Beach, FL 33139-6207        Phone: (305) 534-9600</t>
  </si>
  <si>
    <t>STR # 56387        ChainID: 18033        MgtCo: Kimpton Hotels/IHG        Owner: KHP Capital Partners</t>
  </si>
  <si>
    <t>For the Month of: April 2025        Date Created: May 19, 2025        Monthly Competitive Set Data Excludes Subject Property</t>
  </si>
  <si>
    <t>April 2025</t>
  </si>
  <si>
    <t>April 2025 vs. 2024 Percent Change (%)</t>
  </si>
  <si>
    <t>Kimpton Angler's Hotel</t>
  </si>
  <si>
    <t>Market: Miami, FL</t>
  </si>
  <si>
    <t>Market Class: Upper Upscale Class</t>
  </si>
  <si>
    <t>Submarket: Miami Beach, FL</t>
  </si>
  <si>
    <t>Submarket Scale: Upscale Chains</t>
  </si>
  <si>
    <t>Nov</t>
  </si>
  <si>
    <t>5 of 6</t>
  </si>
  <si>
    <t>3 of 6</t>
  </si>
  <si>
    <t>2 of 6</t>
  </si>
  <si>
    <t>Dec</t>
  </si>
  <si>
    <t>4 of 6</t>
  </si>
  <si>
    <t>Jan</t>
  </si>
  <si>
    <t>Feb</t>
  </si>
  <si>
    <t>Mar</t>
  </si>
  <si>
    <t>1 of 6</t>
  </si>
  <si>
    <t>Apr</t>
  </si>
  <si>
    <t>May</t>
  </si>
  <si>
    <t>Jun</t>
  </si>
  <si>
    <t>2 of 5</t>
  </si>
  <si>
    <t>3 of 5</t>
  </si>
  <si>
    <t>Jul</t>
  </si>
  <si>
    <t>Aug</t>
  </si>
  <si>
    <t>Sep</t>
  </si>
  <si>
    <t>Oct</t>
  </si>
  <si>
    <t>1 of 5</t>
  </si>
  <si>
    <t>6 of 6</t>
  </si>
  <si>
    <t>5 of 5</t>
  </si>
  <si>
    <t>4 of 5</t>
  </si>
  <si>
    <t>For the Month of: April 2025        Date Created: May 19, 2025</t>
  </si>
  <si>
    <t>City, State</t>
  </si>
  <si>
    <t>April 2025 (This Year)</t>
  </si>
  <si>
    <t>April 2024 (Last Year)</t>
  </si>
  <si>
    <t>Sunday, Apr 13th</t>
  </si>
  <si>
    <t>Apr 13th - First Day of Passover</t>
  </si>
  <si>
    <t>Friday, Apr 18th</t>
  </si>
  <si>
    <t>Apr 18th - Good Friday</t>
  </si>
  <si>
    <t>Sunday, Apr 20th</t>
  </si>
  <si>
    <t>Apr 20th - Easter Sunday</t>
  </si>
  <si>
    <t>Tuesday, Apr 23rd</t>
  </si>
  <si>
    <t>Apr 23rd - First Day of Passover</t>
  </si>
  <si>
    <t>Miami Beach, FL</t>
  </si>
  <si>
    <t>33139-6207</t>
  </si>
  <si>
    <t>(305) 534-9600</t>
  </si>
  <si>
    <t>132</t>
  </si>
  <si>
    <t>200706</t>
  </si>
  <si>
    <t>●</t>
  </si>
  <si>
    <t>Dream South Beach</t>
  </si>
  <si>
    <t>33139</t>
  </si>
  <si>
    <t>(305) 673-4747</t>
  </si>
  <si>
    <t>107</t>
  </si>
  <si>
    <t>194906</t>
  </si>
  <si>
    <t>Closed - Blue Moon Hotel</t>
  </si>
  <si>
    <t/>
  </si>
  <si>
    <t>0</t>
  </si>
  <si>
    <t>193406</t>
  </si>
  <si>
    <t>The Tony Hotel of South Beach</t>
  </si>
  <si>
    <t>(305) 531-2222</t>
  </si>
  <si>
    <t>73</t>
  </si>
  <si>
    <t>193906</t>
  </si>
  <si>
    <t>The Betsy South Beach</t>
  </si>
  <si>
    <t>(305) 531-6100</t>
  </si>
  <si>
    <t>129</t>
  </si>
  <si>
    <t>194506</t>
  </si>
  <si>
    <t>Z Ocean Hotel, Classico A Sonesta Collection</t>
  </si>
  <si>
    <t>33139-4103</t>
  </si>
  <si>
    <t>(305) 672-4554</t>
  </si>
  <si>
    <t>35</t>
  </si>
  <si>
    <t>200612</t>
  </si>
  <si>
    <t xml:space="preserve">Data received: </t>
  </si>
  <si>
    <t>○</t>
  </si>
  <si>
    <t>= Monthly Only</t>
  </si>
  <si>
    <t>= Monthly &amp; Daily</t>
  </si>
  <si>
    <t>For the Month of: April 2025        Date Created: May 19, 2025        Daily Competitive Set Data Excludes Subject Property</t>
  </si>
  <si>
    <t>Tu</t>
  </si>
  <si>
    <t>April</t>
  </si>
  <si>
    <t>We</t>
  </si>
  <si>
    <t>Th</t>
  </si>
  <si>
    <t>Fr</t>
  </si>
  <si>
    <t>Sa</t>
  </si>
  <si>
    <t>Su</t>
  </si>
  <si>
    <t>Mo</t>
  </si>
  <si>
    <t>Market Scale: Miami, FL Upper Upscale Chains</t>
  </si>
  <si>
    <t>2 of 4</t>
  </si>
  <si>
    <t>3 of 4</t>
  </si>
  <si>
    <t>1 of 4</t>
  </si>
  <si>
    <t>4 of 4</t>
  </si>
  <si>
    <t>B</t>
  </si>
  <si>
    <t>s</t>
  </si>
  <si>
    <t>= Segmentation (Transient, Group, Contract) Only</t>
  </si>
  <si>
    <t>r</t>
  </si>
  <si>
    <t>= Additional Revenue Only</t>
  </si>
  <si>
    <t>= Both Segmentation &amp; Additional Revenue</t>
  </si>
  <si>
    <t>6 of 9</t>
  </si>
  <si>
    <t>3 of 9</t>
  </si>
  <si>
    <t>5 of 9</t>
  </si>
  <si>
    <t>2 of 9</t>
  </si>
  <si>
    <t>1 of 9</t>
  </si>
  <si>
    <t>7 of 9</t>
  </si>
  <si>
    <t>4 of 9</t>
  </si>
  <si>
    <t>9 of 9</t>
  </si>
  <si>
    <t>8 of 9</t>
  </si>
  <si>
    <t>The Gabriel South Beach, Curio Collection by Hilton</t>
  </si>
  <si>
    <t>33139-6219</t>
  </si>
  <si>
    <t>(305) 685-2000</t>
  </si>
  <si>
    <t>193706</t>
  </si>
  <si>
    <t>Kimpton Surfcomber Hotel</t>
  </si>
  <si>
    <t>33139-2006</t>
  </si>
  <si>
    <t>(305) 532-7715</t>
  </si>
  <si>
    <t>186</t>
  </si>
  <si>
    <t>194106</t>
  </si>
  <si>
    <t>Gale South Beach, Curio Collection by Hilton</t>
  </si>
  <si>
    <t>(305) 673-0199</t>
  </si>
  <si>
    <t>87</t>
  </si>
  <si>
    <t>201212</t>
  </si>
  <si>
    <t>Hyatt Centric South Beach Miami</t>
  </si>
  <si>
    <t>(305) 428-1234</t>
  </si>
  <si>
    <t>105</t>
  </si>
  <si>
    <t>201506</t>
  </si>
  <si>
    <t>Lennox Miami Beach</t>
  </si>
  <si>
    <t>(305) 531-6800</t>
  </si>
  <si>
    <t>118</t>
  </si>
  <si>
    <t>201908</t>
  </si>
  <si>
    <t>Kimpton Hotel Palomar South Beach</t>
  </si>
  <si>
    <t>33139-2412</t>
  </si>
  <si>
    <t>(786) 628-2000</t>
  </si>
  <si>
    <t>96</t>
  </si>
  <si>
    <t>202002</t>
  </si>
  <si>
    <t>MOXY Miami South Beach</t>
  </si>
  <si>
    <t>33139-5015</t>
  </si>
  <si>
    <t>(305) 600-4292</t>
  </si>
  <si>
    <t>202</t>
  </si>
  <si>
    <t>202102</t>
  </si>
  <si>
    <t>5 of 8</t>
  </si>
  <si>
    <t>3 of 8</t>
  </si>
  <si>
    <t>4 of 8</t>
  </si>
  <si>
    <t>2 of 7</t>
  </si>
  <si>
    <t>5 of 7</t>
  </si>
  <si>
    <t>3 of 7</t>
  </si>
  <si>
    <t>6 of 7</t>
  </si>
  <si>
    <t>4 of 7</t>
  </si>
  <si>
    <t>6 of 8</t>
  </si>
  <si>
    <t>7 of 7</t>
  </si>
  <si>
    <t>2 of 8</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</si>
</sst>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115">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171" fontId="108" fillId="38" borderId="60" applyNumberFormat="1" applyFont="1" applyFill="1" applyBorder="1" applyAlignment="1">
      <alignment horizontal="left"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xf numFmtId="0" fontId="88" fillId="30" borderId="59" applyFont="1" applyFill="1" applyBorder="1" applyAlignment="1">
      <alignment horizontal="left"/>
    </xf>
    <xf numFmtId="49" fontId="64" fillId="36" borderId="7" applyNumberFormat="1" applyFont="1" applyFill="1" applyBorder="1" applyAlignment="1">
      <alignment horizontal="center"/>
    </xf>
    <xf numFmtId="164" fontId="88" fillId="30" borderId="59" applyNumberFormat="1" applyFont="1" applyFill="1" applyBorder="1" applyAlignment="1">
      <alignment vertical="center"/>
    </xf>
    <xf numFmtId="0" fontId="88" fillId="30" borderId="59" applyFont="1" applyFill="1" applyBorder="1" applyAlignment="1">
      <alignment vertical="center"/>
    </xf>
    <xf numFmtId="0" fontId="45" fillId="0" borderId="59" applyFont="1" applyFill="1" applyBorder="1" applyAlignment="1">
      <alignment vertical="center"/>
    </xf>
    <xf numFmtId="0" fontId="48" fillId="36" borderId="82" applyFont="1" applyFill="1" applyBorder="1" applyAlignment="1">
      <alignment horizontal="center" vertical="center"/>
    </xf>
    <xf numFmtId="0" fontId="50" fillId="0" borderId="59" applyFont="1" applyFill="1" applyBorder="1" applyAlignment="1">
      <alignment horizontal="center"/>
    </xf>
    <xf numFmtId="0" fontId="43" fillId="0" borderId="83" applyFont="1" applyFill="1" applyBorder="1" applyAlignment="1">
      <alignment horizontal="center" vertical="center" wrapText="1"/>
    </xf>
    <xf numFmtId="0" fontId="43" fillId="30" borderId="83" applyFont="1" applyFill="1" applyBorder="1" applyAlignment="1">
      <alignment horizontal="center" vertical="center" wrapText="1"/>
    </xf>
    <xf numFmtId="0" fontId="43" fillId="0" borderId="59" applyFont="1" applyFill="1" applyBorder="1" applyAlignment="1">
      <alignment horizontal="center"/>
    </xf>
    <xf numFmtId="0" fontId="88" fillId="0" borderId="62" applyFont="1" applyFill="1" applyBorder="1"/>
    <xf numFmtId="0" fontId="88" fillId="33" borderId="72" applyFont="1" applyFill="1" applyBorder="1"/>
    <xf numFmtId="0" fontId="88" fillId="0" borderId="72" applyFont="1" applyFill="1" applyBorder="1"/>
    <xf numFmtId="0" fontId="88" fillId="33" borderId="73" applyFont="1" applyFill="1" applyBorder="1"/>
    <xf numFmtId="0" fontId="48"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48" fillId="37" borderId="59" applyFont="1" applyFill="1" applyBorder="1" applyAlignment="1">
      <alignment horizontal="center" vertical="center"/>
    </xf>
    <xf numFmtId="166" fontId="43" fillId="37" borderId="59" applyNumberFormat="1" applyFont="1" applyFill="1" applyBorder="1" applyAlignment="1">
      <alignment horizontal="center"/>
    </xf>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43" fillId="37" borderId="59" applyFont="1" applyFill="1" applyBorder="1" applyAlignment="1">
      <alignment horizontal="center"/>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1" fontId="88" fillId="37" borderId="59" applyNumberFormat="1" applyFont="1" applyFill="1" applyBorder="1"/>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7" borderId="59" applyFont="1" applyFill="1" applyBorder="1" applyAlignment="1">
      <alignment horizontal="center" vertical="center" wrapText="1"/>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3" fillId="30" borderId="59" applyFont="1" applyFill="1" applyBorder="1" applyAlignment="1">
      <alignment horizontal="right"/>
    </xf>
    <xf numFmtId="0" fontId="48"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40" Type="http://schemas.openxmlformats.org/officeDocument/2006/relationships/worksheet" Target="worksheets/sheet26.xml" />
<Relationship Id="rId34" Type="http://schemas.openxmlformats.org/officeDocument/2006/relationships/worksheet" Target="worksheets/sheet3.xml" />
<Relationship Id="rId38" Type="http://schemas.openxmlformats.org/officeDocument/2006/relationships/worksheet" Target="worksheets/sheet21.xml" />
<Relationship Id="rId35" Type="http://schemas.openxmlformats.org/officeDocument/2006/relationships/worksheet" Target="worksheets/sheet7.xml" />
<Relationship Id="rId33" Type="http://schemas.openxmlformats.org/officeDocument/2006/relationships/worksheet" Target="worksheets/sheet2.xml" />
<Relationship Id="rId37" Type="http://schemas.openxmlformats.org/officeDocument/2006/relationships/worksheet" Target="worksheets/sheet20.xml" />
<Relationship Id="rId41" Type="http://schemas.openxmlformats.org/officeDocument/2006/relationships/sharedStrings" Target="/xl/sharedStrings.xml" />
<Relationship Id="rId32" Type="http://schemas.openxmlformats.org/officeDocument/2006/relationships/worksheet" Target="worksheets/sheet1.xml" />
<Relationship Id="rId39" Type="http://schemas.openxmlformats.org/officeDocument/2006/relationships/worksheet" Target="worksheets/sheet23.xml" />
<Relationship Id="rId42" Type="http://schemas.openxmlformats.org/officeDocument/2006/relationships/styles" Target="/xl/styles.xml" />
<Relationship Id="rId36" Type="http://schemas.openxmlformats.org/officeDocument/2006/relationships/worksheet" Target="worksheets/sheet9.xml" />
<Relationship Id="rId43" Type="http://schemas.openxmlformats.org/officeDocument/2006/relationships/theme" Target="/xl/theme/theme1.xml" />
<Relationship Id="rId31" Type="http://schemas.openxmlformats.org/officeDocument/2006/relationships/worksheet" Target="worksheets/sheet28.xml" />
<Relationship Id="rId30" Type="http://schemas.openxmlformats.org/officeDocument/2006/relationships/worksheet" Target="worksheets/sheet32.xml" />
<Relationship Id="rId29" Type="http://schemas.openxmlformats.org/officeDocument/2006/relationships/worksheet" Target="worksheets/sheet36.xml" />
<Relationship Id="rId28" Type="http://schemas.openxmlformats.org/officeDocument/2006/relationships/worksheet" Target="worksheets/sheet40.xml" />
<Relationship Id="rId27" Type="http://schemas.openxmlformats.org/officeDocument/2006/relationships/worksheet" Target="worksheets/sheet44.xml" />
<Relationship Id="rId26" Type="http://schemas.openxmlformats.org/officeDocument/2006/relationships/worksheet" Target="worksheets/sheet48.xml" />
<Relationship Id="rId25" Type="http://schemas.openxmlformats.org/officeDocument/2006/relationships/worksheet" Target="worksheets/sheet52.xml" />
<Relationship Id="rId24" Type="http://schemas.openxmlformats.org/officeDocument/2006/relationships/worksheet" Target="worksheets/sheet56.xml" />
<Relationship Id="rId23" Type="http://schemas.openxmlformats.org/officeDocument/2006/relationships/worksheet" Target="worksheets/sheet59.xml" />
<Relationship Id="rId22" Type="http://schemas.openxmlformats.org/officeDocument/2006/relationships/worksheet" Target="worksheets/sheet62.xml" />
<Relationship Id="rId21" Type="http://schemas.openxmlformats.org/officeDocument/2006/relationships/worksheet" Target="worksheets/sheet65.xml" />
<Relationship Id="rId20" Type="http://schemas.openxmlformats.org/officeDocument/2006/relationships/worksheet" Target="worksheets/sheet69.xml" />
<Relationship Id="rId19" Type="http://schemas.openxmlformats.org/officeDocument/2006/relationships/worksheet" Target="worksheets/sheet73.xml" />
<Relationship Id="rId18" Type="http://schemas.openxmlformats.org/officeDocument/2006/relationships/worksheet" Target="worksheets/sheet77.xml" />
<Relationship Id="rId17" Type="http://schemas.openxmlformats.org/officeDocument/2006/relationships/worksheet" Target="worksheets/sheet80.xml" />
<Relationship Id="rId16" Type="http://schemas.openxmlformats.org/officeDocument/2006/relationships/worksheet" Target="worksheets/sheet84.xml" />
<Relationship Id="rId15" Type="http://schemas.openxmlformats.org/officeDocument/2006/relationships/worksheet" Target="worksheets/sheet88.xml" />
<Relationship Id="rId14" Type="http://schemas.openxmlformats.org/officeDocument/2006/relationships/worksheet" Target="worksheets/sheet92.xml" />
<Relationship Id="rId13" Type="http://schemas.openxmlformats.org/officeDocument/2006/relationships/worksheet" Target="worksheets/sheet95.xml" />
<Relationship Id="rId12" Type="http://schemas.openxmlformats.org/officeDocument/2006/relationships/worksheet" Target="worksheets/sheet98.xml" />
<Relationship Id="rId11" Type="http://schemas.openxmlformats.org/officeDocument/2006/relationships/worksheet" Target="worksheets/sheet101.xml" />
<Relationship Id="rId10" Type="http://schemas.openxmlformats.org/officeDocument/2006/relationships/worksheet" Target="worksheets/sheet104.xml" />
<Relationship Id="rId9" Type="http://schemas.openxmlformats.org/officeDocument/2006/relationships/worksheet" Target="worksheets/sheet107.xml" />
<Relationship Id="rId8" Type="http://schemas.openxmlformats.org/officeDocument/2006/relationships/worksheet" Target="worksheets/sheet110.xml" />
<Relationship Id="rId7" Type="http://schemas.openxmlformats.org/officeDocument/2006/relationships/worksheet" Target="worksheets/sheet113.xml" />
<Relationship Id="rId6" Type="http://schemas.openxmlformats.org/officeDocument/2006/relationships/worksheet" Target="worksheets/sheet116.xml" />
<Relationship Id="rId5" Type="http://schemas.openxmlformats.org/officeDocument/2006/relationships/worksheet" Target="worksheets/sheet119.xml" />
<Relationship Id="rId4" Type="http://schemas.openxmlformats.org/officeDocument/2006/relationships/worksheet" Target="worksheets/sheet122.xml" />
<Relationship Id="rId3" Type="http://schemas.openxmlformats.org/officeDocument/2006/relationships/worksheet" Target="worksheets/sheet126.xml" />
<Relationship Id="rId2" Type="http://schemas.openxmlformats.org/officeDocument/2006/relationships/worksheet" Target="worksheets/sheet130.xml" />
<Relationship Id="rId1" Type="http://schemas.openxmlformats.org/officeDocument/2006/relationships/worksheet" Target="worksheets/sheet133.xml" />
</Relationships>
</file>

<file path=xl/charts/chart13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93.1581602648456</v>
                </pt>
                <pt idx="0">
                  <v>102.401234567928</v>
                </pt>
                <pt idx="0">
                  <v>107.624402135926</v>
                </pt>
                <pt idx="0">
                  <v>109.195167340669</v>
                </pt>
                <pt idx="0">
                  <v>108.65356479701</v>
                </pt>
                <pt idx="0">
                  <v>112.361486388336</v>
                </pt>
                <pt idx="0">
                  <v>119.35646684595</v>
                </pt>
                <pt idx="0">
                  <v>114.927495024138</v>
                </pt>
                <pt idx="0">
                  <v>104.980349777941</v>
                </pt>
                <pt idx="0">
                  <v>107.272974274763</v>
                </pt>
                <pt idx="0">
                  <v>96.2694777780437</v>
                </pt>
                <pt idx="0">
                  <v>111.653123184376</v>
                </pt>
                <pt idx="0">
                  <v>123.372951271102</v>
                </pt>
                <pt idx="0">
                  <v>121.103980064371</v>
                </pt>
                <pt idx="0">
                  <v>115.001532276943</v>
                </pt>
                <pt idx="0">
                  <v>105.573650660584</v>
                </pt>
                <pt idx="0">
                  <v>104.370897919285</v>
                </pt>
                <pt idx="0">
                  <v>105.178870209546</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95.698000529068</v>
                </pt>
                <pt idx="0">
                  <v>86.8294226253856</v>
                </pt>
                <pt idx="0">
                  <v>87.1047088420985</v>
                </pt>
                <pt idx="0">
                  <v>91.2705673360539</v>
                </pt>
                <pt idx="0">
                  <v>87.2153093513678</v>
                </pt>
                <pt idx="0">
                  <v>83.7918482530169</v>
                </pt>
                <pt idx="0">
                  <v>80.7537444829319</v>
                </pt>
                <pt idx="0">
                  <v>76.6062704747652</v>
                </pt>
                <pt idx="0">
                  <v>76.4980949571783</v>
                </pt>
                <pt idx="0">
                  <v>76.3333109333658</v>
                </pt>
                <pt idx="0">
                  <v>83.2187731505975</v>
                </pt>
                <pt idx="0">
                  <v>72.9688194468745</v>
                </pt>
                <pt idx="0">
                  <v>72.9538163633215</v>
                </pt>
                <pt idx="0">
                  <v>63.4786804360452</v>
                </pt>
                <pt idx="0">
                  <v>75.5755014134108</v>
                </pt>
                <pt idx="0">
                  <v>76.318113458172</v>
                </pt>
                <pt idx="0">
                  <v>78.1289379174968</v>
                </pt>
                <pt idx="0">
                  <v>77.2533824777276</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89.1504967031207</v>
                </pt>
                <pt idx="0">
                  <v>88.9144007365932</v>
                </pt>
                <pt idx="0">
                  <v>93.745922123474</v>
                </pt>
                <pt idx="0">
                  <v>99.6630487354239</v>
                </pt>
                <pt idx="0">
                  <v>94.762542658942</v>
                </pt>
                <pt idx="0">
                  <v>94.1497661693258</v>
                </pt>
                <pt idx="0">
                  <v>96.3848162606144</v>
                </pt>
                <pt idx="0">
                  <v>88.0416676880804</v>
                </pt>
                <pt idx="0">
                  <v>80.3079676595695</v>
                </pt>
                <pt idx="0">
                  <v>81.885013000609</v>
                </pt>
                <pt idx="0">
                  <v>80.1142783253729</v>
                </pt>
                <pt idx="0">
                  <v>81.4719658631548</v>
                </pt>
                <pt idx="0">
                  <v>90.0052763123709</v>
                </pt>
                <pt idx="0">
                  <v>76.8752085004379</v>
                </pt>
                <pt idx="0">
                  <v>86.9129846514391</v>
                </pt>
                <pt idx="0">
                  <v>80.5718184930746</v>
                </pt>
                <pt idx="0">
                  <v>81.5438740393105</v>
                </pt>
                <pt idx="0">
                  <v>81.2542348887488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8"/>
          <min val="5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-2.26722472060541</v>
                </pt>
                <pt idx="0">
                  <v>-2.6507501934457</v>
                </pt>
                <pt idx="0">
                  <v>-4.87393386963228</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13.5834315043918</v>
                </pt>
                <pt idx="0">
                  <v>15.7626263152434</v>
                </pt>
                <pt idx="0">
                  <v>9.81361709427623</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21"/>
          <min val="-1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01"/>
          <min val="79"/>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430"/>
          <min val="229"/>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April</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126.262626262626</v>
                </pt>
                <pt idx="0">
                  <v>115.506715506685</v>
                </pt>
                <pt idx="0">
                  <v>110.822510822511</v>
                </pt>
                <pt idx="0">
                  <v>101.213974608453</v>
                </pt>
                <pt idx="0">
                  <v>99.3902993902946</v>
                </pt>
                <pt idx="0">
                  <v>97.6183237052384</v>
                </pt>
                <pt idx="0">
                  <v>112.069500465341</v>
                </pt>
                <pt idx="0">
                  <v>107.565588773697</v>
                </pt>
                <pt idx="0">
                  <v>110.091009100957</v>
                </pt>
                <pt idx="0">
                  <v>107.050300989727</v>
                </pt>
                <pt idx="0">
                  <v>102.662993572127</v>
                </pt>
                <pt idx="0">
                  <v>99.504132231446</v>
                </pt>
                <pt idx="0">
                  <v>106.805762543437</v>
                </pt>
                <pt idx="0">
                  <v>115.026123301979</v>
                </pt>
                <pt idx="0">
                  <v>110.586124401859</v>
                </pt>
                <pt idx="0">
                  <v>117.958532695378</v>
                </pt>
                <pt idx="0">
                  <v>104.729538374367</v>
                </pt>
                <pt idx="0">
                  <v>95.8110516934294</v>
                </pt>
                <pt idx="0">
                  <v>98.8230933184892</v>
                </pt>
                <pt idx="0">
                  <v>113.956772021275</v>
                </pt>
                <pt idx="0">
                  <v>115.599575521726</v>
                </pt>
                <pt idx="0">
                  <v>120.594177064837</v>
                </pt>
                <pt idx="0">
                  <v>119.898605830154</v>
                </pt>
                <pt idx="0">
                  <v>99.1531476380255</v>
                </pt>
                <pt idx="0">
                  <v>88.7512899896889</v>
                </pt>
                <pt idx="0">
                  <v>90.5098893122975</v>
                </pt>
                <pt idx="0">
                  <v>90.4998538438913</v>
                </pt>
                <pt idx="0">
                  <v>96.7519506441801</v>
                </pt>
                <pt idx="0">
                  <v>99.8729813101214</v>
                </pt>
                <pt idx="0">
                  <v>101.660568533644</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Month'!$C$38:$AF$38</f>
              <numCache>
                <formatCode>General</formatCode>
                <ptCount val="30"/>
                <pt idx="0">
                  <v>76.1578864491369</v>
                </pt>
                <pt idx="0">
                  <v>72.98399025635</v>
                </pt>
                <pt idx="0">
                  <v>73.6126174591806</v>
                </pt>
                <pt idx="0">
                  <v>74.0170116572965</v>
                </pt>
                <pt idx="0">
                  <v>80.6742436862141</v>
                </pt>
                <pt idx="0">
                  <v>86.4401299414634</v>
                </pt>
                <pt idx="0">
                  <v>97.2630204880699</v>
                </pt>
                <pt idx="0">
                  <v>100.287129992919</v>
                </pt>
                <pt idx="0">
                  <v>110.982587700306</v>
                </pt>
                <pt idx="0">
                  <v>86.8755714002415</v>
                </pt>
                <pt idx="0">
                  <v>85.5698415398207</v>
                </pt>
                <pt idx="0">
                  <v>85.0919893524777</v>
                </pt>
                <pt idx="0">
                  <v>65.6911959247411</v>
                </pt>
                <pt idx="0">
                  <v>62.2839254095395</v>
                </pt>
                <pt idx="0">
                  <v>62.2692816061158</v>
                </pt>
                <pt idx="0">
                  <v>65.6105297171128</v>
                </pt>
                <pt idx="0">
                  <v>63.758237809557</v>
                </pt>
                <pt idx="0">
                  <v>83.1933912473311</v>
                </pt>
                <pt idx="0">
                  <v>84.7156757088495</v>
                </pt>
                <pt idx="0">
                  <v>70.5651299948839</v>
                </pt>
                <pt idx="0">
                  <v>69.02071171665</v>
                </pt>
                <pt idx="0">
                  <v>68.7690915299818</v>
                </pt>
                <pt idx="0">
                  <v>63.9057229338452</v>
                </pt>
                <pt idx="0">
                  <v>63.140091009836</v>
                </pt>
                <pt idx="0">
                  <v>69.1170881153023</v>
                </pt>
                <pt idx="0">
                  <v>84.2632905391868</v>
                </pt>
                <pt idx="0">
                  <v>78.3509870203962</v>
                </pt>
                <pt idx="0">
                  <v>79.7436683405993</v>
                </pt>
                <pt idx="0">
                  <v>98.0821921844069</v>
                </pt>
                <pt idx="0">
                  <v>87.7014966143005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Month'!$C$48:$AF$48</f>
              <numCache>
                <formatCode>General</formatCode>
                <ptCount val="30"/>
                <pt idx="0">
                  <v>96.1589475368011</v>
                </pt>
                <pt idx="0">
                  <v>84.3014099908786</v>
                </pt>
                <pt idx="0">
                  <v>81.5793509504408</v>
                </pt>
                <pt idx="0">
                  <v>74.9155593847734</v>
                </pt>
                <pt idx="0">
                  <v>80.1823723305891</v>
                </pt>
                <pt idx="0">
                  <v>84.3814058575054</v>
                </pt>
                <pt idx="0">
                  <v>109.002181198534</v>
                </pt>
                <pt idx="0">
                  <v>107.874441841042</v>
                </pt>
                <pt idx="0">
                  <v>122.181850725584</v>
                </pt>
                <pt idx="0">
                  <v>93.0005606704577</v>
                </pt>
                <pt idx="0">
                  <v>87.8485609196577</v>
                </pt>
                <pt idx="0">
                  <v>84.6700456036242</v>
                </pt>
                <pt idx="0">
                  <v>70.1619827313309</v>
                </pt>
                <pt idx="0">
                  <v>71.6427848388891</v>
                </pt>
                <pt idx="0">
                  <v>68.861185221112</v>
                </pt>
                <pt idx="0">
                  <v>77.3932181479664</v>
                </pt>
                <pt idx="0">
                  <v>66.7737081335919</v>
                </pt>
                <pt idx="0">
                  <v>79.7084630934778</v>
                </pt>
                <pt idx="0">
                  <v>83.7186512611511</v>
                </pt>
                <pt idx="0">
                  <v>80.4137443148018</v>
                </pt>
                <pt idx="0">
                  <v>79.7876497665435</v>
                </pt>
                <pt idx="0">
                  <v>82.9315200055078</v>
                </pt>
                <pt idx="0">
                  <v>76.6220708433638</v>
                </pt>
                <pt idx="0">
                  <v>62.6053876577373</v>
                </pt>
                <pt idx="0">
                  <v>61.3423073056444</v>
                </pt>
                <pt idx="0">
                  <v>76.2666109979216</v>
                </pt>
                <pt idx="0">
                  <v>70.9075287387027</v>
                </pt>
                <pt idx="0">
                  <v>77.1535546347543</v>
                </pt>
                <pt idx="0">
                  <v>97.9576094688801</v>
                </pt>
                <pt idx="0">
                  <v>89.1578400706197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1"/>
          <min val="5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95.9000595364829</v>
                </pt>
                <pt idx="0">
                  <v>107.112237461044</v>
                </pt>
                <pt idx="0">
                  <v>108.884769559931</v>
                </pt>
                <pt idx="0">
                  <v>106.038702133083</v>
                </pt>
                <pt idx="0">
                  <v>105.311496788639</v>
                </pt>
                <pt idx="0">
                  <v>109.579007735844</v>
                </pt>
                <pt idx="0">
                  <v>102.937716179511</v>
                </pt>
                <pt idx="0">
                  <v>103.313188917728</v>
                </pt>
                <pt idx="0">
                  <v>102.610576682336</v>
                </pt>
                <pt idx="0">
                  <v>112.480648235517</v>
                </pt>
                <pt idx="0">
                  <v>110.301834387698</v>
                </pt>
                <pt idx="0">
                  <v>107.243365240929</v>
                </pt>
                <pt idx="0">
                  <v>112.248046491153</v>
                </pt>
                <pt idx="0">
                  <v>107.469232078479</v>
                </pt>
                <pt idx="0">
                  <v>104.061000424768</v>
                </pt>
                <pt idx="0">
                  <v>100.747953759773</v>
                </pt>
                <pt idx="0">
                  <v>103.583948077103</v>
                </pt>
                <pt idx="0">
                  <v>104.832882110017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109.827883553314</v>
                </pt>
                <pt idx="0">
                  <v>104.081125902291</v>
                </pt>
                <pt idx="0">
                  <v>98.8426736539897</v>
                </pt>
                <pt idx="0">
                  <v>99.9967430051389</v>
                </pt>
                <pt idx="0">
                  <v>101.82347744308</v>
                </pt>
                <pt idx="0">
                  <v>99.2747297790851</v>
                </pt>
                <pt idx="0">
                  <v>98.8811386402437</v>
                </pt>
                <pt idx="0">
                  <v>93.7658375620207</v>
                </pt>
                <pt idx="0">
                  <v>101.635720312509</v>
                </pt>
                <pt idx="0">
                  <v>101.827747962597</v>
                </pt>
                <pt idx="0">
                  <v>99.0246480226816</v>
                </pt>
                <pt idx="0">
                  <v>88.8639712658842</v>
                </pt>
                <pt idx="0">
                  <v>100.479752676547</v>
                </pt>
                <pt idx="0">
                  <v>98.2745585667919</v>
                </pt>
                <pt idx="0">
                  <v>100.328621127114</v>
                </pt>
                <pt idx="0">
                  <v>95.6486165337832</v>
                </pt>
                <pt idx="0">
                  <v>98.5868623701138</v>
                </pt>
                <pt idx="0">
                  <v>99.948029775333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105.325005715266</v>
                </pt>
                <pt idx="0">
                  <v>111.483622728592</v>
                </pt>
                <pt idx="0">
                  <v>107.624617435012</v>
                </pt>
                <pt idx="0">
                  <v>106.035248458073</v>
                </pt>
                <pt idx="0">
                  <v>107.231828177569</v>
                </pt>
                <pt idx="0">
                  <v>108.784263824339</v>
                </pt>
                <pt idx="0">
                  <v>101.785985848588</v>
                </pt>
                <pt idx="0">
                  <v>96.87247690075</v>
                </pt>
                <pt idx="0">
                  <v>104.288998727982</v>
                </pt>
                <pt idx="0">
                  <v>114.536510991994</v>
                </pt>
                <pt idx="0">
                  <v>109.226003264955</v>
                </pt>
                <pt idx="0">
                  <v>95.3007132722823</v>
                </pt>
                <pt idx="0">
                  <v>112.786559498488</v>
                </pt>
                <pt idx="0">
                  <v>105.614913420315</v>
                </pt>
                <pt idx="0">
                  <v>104.402966857234</v>
                </pt>
                <pt idx="0">
                  <v>96.3640239573196</v>
                </pt>
                <pt idx="0">
                  <v>102.120164328269</v>
                </pt>
                <pt idx="0">
                  <v>104.778400225713</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0"/>
          <min val="8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-2.26722472060541</v>
                </pt>
                <pt idx="0">
                  <v>-2.6507501934457</v>
                </pt>
                <pt idx="0">
                  <v>-4.87393386963228</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3.393657594645</v>
                </pt>
                <pt idx="0">
                  <v>3.79840127102795</v>
                </pt>
                <pt idx="0">
                  <v>2.19387035902008</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
          <min val="-1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02"/>
          <min val="8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46"/>
          <min val="229"/>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April</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Month_2'!$C$28:$AF$28</f>
              <numCache>
                <formatCode>General</formatCode>
                <ptCount val="30"/>
                <pt idx="0">
                  <v>129.39413981082</v>
                </pt>
                <pt idx="0">
                  <v>119.409415720954</v>
                </pt>
                <pt idx="0">
                  <v>112.55022131425</v>
                </pt>
                <pt idx="0">
                  <v>104.179372339769</v>
                </pt>
                <pt idx="0">
                  <v>97.629785080715</v>
                </pt>
                <pt idx="0">
                  <v>91.7785181659732</v>
                </pt>
                <pt idx="0">
                  <v>102.82017252824</v>
                </pt>
                <pt idx="0">
                  <v>98.8263020347091</v>
                </pt>
                <pt idx="0">
                  <v>104.343434343478</v>
                </pt>
                <pt idx="0">
                  <v>109.993366848217</v>
                </pt>
                <pt idx="0">
                  <v>102.970494417905</v>
                </pt>
                <pt idx="0">
                  <v>96.2935014204232</v>
                </pt>
                <pt idx="0">
                  <v>109.298290164219</v>
                </pt>
                <pt idx="0">
                  <v>114.610637265141</v>
                </pt>
                <pt idx="0">
                  <v>110.451064253001</v>
                </pt>
                <pt idx="0">
                  <v>107.854992229936</v>
                </pt>
                <pt idx="0">
                  <v>102.385672137227</v>
                </pt>
                <pt idx="0">
                  <v>96.662025392287</v>
                </pt>
                <pt idx="0">
                  <v>100.247307788595</v>
                </pt>
                <pt idx="0">
                  <v>120.093386697234</v>
                </pt>
                <pt idx="0">
                  <v>115.263096077007</v>
                </pt>
                <pt idx="0">
                  <v>127.546877615926</v>
                </pt>
                <pt idx="0">
                  <v>122.498921949065</v>
                </pt>
                <pt idx="0">
                  <v>97.4984130166589</v>
                </pt>
                <pt idx="0">
                  <v>89.9512365029876</v>
                </pt>
                <pt idx="0">
                  <v>92.5369907021417</v>
                </pt>
                <pt idx="0">
                  <v>93.9090909091164</v>
                </pt>
                <pt idx="0">
                  <v>96.5566108849688</v>
                </pt>
                <pt idx="0">
                  <v>99.37469937471</v>
                </pt>
                <pt idx="0">
                  <v>102.606186737347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Month_2'!$C$38:$AF$38</f>
              <numCache>
                <formatCode>General</formatCode>
                <ptCount val="30"/>
                <pt idx="0">
                  <v>105.522384170072</v>
                </pt>
                <pt idx="0">
                  <v>101.805263335606</v>
                </pt>
                <pt idx="0">
                  <v>105.509834088213</v>
                </pt>
                <pt idx="0">
                  <v>105.268365341988</v>
                </pt>
                <pt idx="0">
                  <v>102.476074031177</v>
                </pt>
                <pt idx="0">
                  <v>94.7953773754393</v>
                </pt>
                <pt idx="0">
                  <v>95.9473279074335</v>
                </pt>
                <pt idx="0">
                  <v>100.535648286936</v>
                </pt>
                <pt idx="0">
                  <v>107.525892570067</v>
                </pt>
                <pt idx="0">
                  <v>108.427193583384</v>
                </pt>
                <pt idx="0">
                  <v>112.604645648424</v>
                </pt>
                <pt idx="0">
                  <v>115.248540505198</v>
                </pt>
                <pt idx="0">
                  <v>97.2295553401652</v>
                </pt>
                <pt idx="0">
                  <v>98.6805876119924</v>
                </pt>
                <pt idx="0">
                  <v>99.7315314157825</v>
                </pt>
                <pt idx="0">
                  <v>99.6127222085876</v>
                </pt>
                <pt idx="0">
                  <v>98.2951980264238</v>
                </pt>
                <pt idx="0">
                  <v>106.639314224554</v>
                </pt>
                <pt idx="0">
                  <v>110.29408807463</v>
                </pt>
                <pt idx="0">
                  <v>99.4992308108513</v>
                </pt>
                <pt idx="0">
                  <v>99.0925138842562</v>
                </pt>
                <pt idx="0">
                  <v>106.753087791653</v>
                </pt>
                <pt idx="0">
                  <v>104.451743349153</v>
                </pt>
                <pt idx="0">
                  <v>100.935283759563</v>
                </pt>
                <pt idx="0">
                  <v>104.455778350406</v>
                </pt>
                <pt idx="0">
                  <v>104.858638038825</v>
                </pt>
                <pt idx="0">
                  <v>98.4221301227062</v>
                </pt>
                <pt idx="0">
                  <v>92.4491220298111</v>
                </pt>
                <pt idx="0">
                  <v>95.2677216372558</v>
                </pt>
                <pt idx="0">
                  <v>80.3322606509667</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Month_2'!$C$48:$AF$48</f>
              <numCache>
                <formatCode>General</formatCode>
                <ptCount val="30"/>
                <pt idx="0">
                  <v>136.539781304756</v>
                </pt>
                <pt idx="0">
                  <v>121.56507012213</v>
                </pt>
                <pt idx="0">
                  <v>118.75155177459</v>
                </pt>
                <pt idx="0">
                  <v>109.667922285599</v>
                </pt>
                <pt idx="0">
                  <v>100.047170835746</v>
                </pt>
                <pt idx="0">
                  <v>87.0017926450143</v>
                </pt>
                <pt idx="0">
                  <v>98.6532080906128</v>
                </pt>
                <pt idx="0">
                  <v>99.3556634286294</v>
                </pt>
                <pt idx="0">
                  <v>112.196209116042</v>
                </pt>
                <pt idx="0">
                  <v>119.262720801378</v>
                </pt>
                <pt idx="0">
                  <v>115.949560361674</v>
                </pt>
                <pt idx="0">
                  <v>110.976854988415</v>
                </pt>
                <pt idx="0">
                  <v>106.270241521076</v>
                </pt>
                <pt idx="0">
                  <v>113.098450319042</v>
                </pt>
                <pt idx="0">
                  <v>110.154537844582</v>
                </pt>
                <pt idx="0">
                  <v>107.437293798124</v>
                </pt>
                <pt idx="0">
                  <v>100.640199177924</v>
                </pt>
                <pt idx="0">
                  <v>103.079720993871</v>
                </pt>
                <pt idx="0">
                  <v>110.56685394481</v>
                </pt>
                <pt idx="0">
                  <v>119.491996018349</v>
                </pt>
                <pt idx="0">
                  <v>114.217099483562</v>
                </pt>
                <pt idx="0">
                  <v>136.160230236851</v>
                </pt>
                <pt idx="0">
                  <v>127.952259559758</v>
                </pt>
                <pt idx="0">
                  <v>98.4102998393998</v>
                </pt>
                <pt idx="0">
                  <v>93.9592642249872</v>
                </pt>
                <pt idx="0">
                  <v>97.0330281323632</v>
                </pt>
                <pt idx="0">
                  <v>92.4273276516199</v>
                </pt>
                <pt idx="0">
                  <v>89.2657390248873</v>
                </pt>
                <pt idx="0">
                  <v>94.6720119781295</v>
                </pt>
                <pt idx="0">
                  <v>82.4258693738231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42"/>
          <min val="7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40" Type="http://schemas.openxmlformats.org/officeDocument/2006/relationships/chart" Target="/xl/charts/chart136.xml" />
<Relationship Id="rId141" Type="http://schemas.openxmlformats.org/officeDocument/2006/relationships/chart" Target="/xl/charts/chart137.xml" />
</Relationships>
</file>

<file path=xl/drawings/_rels/drawing82.xml.rels><?xml version="1.0" encoding="utf-8" standalone="yes" ?>
<Relationships xmlns="http://schemas.openxmlformats.org/package/2006/relationships">
<Relationship Id="rId145" Type="http://schemas.openxmlformats.org/officeDocument/2006/relationships/chart" Target="/xl/charts/chart141.xml" />
<Relationship Id="rId146" Type="http://schemas.openxmlformats.org/officeDocument/2006/relationships/chart" Target="/xl/charts/chart142.xml" />
</Relationships>
</file>

<file path=xl/drawings/_rels/drawing87.xml.rels><?xml version="1.0" encoding="utf-8" standalone="yes" ?>
<Relationships xmlns="http://schemas.openxmlformats.org/package/2006/relationships">
<Relationship Id="rId142" Type="http://schemas.openxmlformats.org/officeDocument/2006/relationships/chart" Target="/xl/charts/chart138.xml" />
<Relationship Id="rId143" Type="http://schemas.openxmlformats.org/officeDocument/2006/relationships/chart" Target="/xl/charts/chart139.xml" />
</Relationships>
</file>

<file path=xl/drawings/_rels/drawing90.xml.rels><?xml version="1.0" encoding="utf-8" standalone="yes" ?>
<Relationships xmlns="http://schemas.openxmlformats.org/package/2006/relationships">
<Relationship Id="rId147" Type="http://schemas.openxmlformats.org/officeDocument/2006/relationships/chart" Target="/xl/charts/chart143.xml" />
<Relationship Id="rId148" Type="http://schemas.openxmlformats.org/officeDocument/2006/relationships/chart" Target="/xl/charts/chart144.xml" />
</Relationships>
</file>

<file path=xl/drawings/_rels/drawing91.xml.rels><?xml version="1.0" encoding="utf-8" standalone="yes" ?>
<Relationships xmlns="http://schemas.openxmlformats.org/package/2006/relationships">
<Relationship Id="rId144" Type="http://schemas.openxmlformats.org/officeDocument/2006/relationships/chart" Target="/xl/charts/chart140.xml" />
</Relationships>
</file>

<file path=xl/drawings/_rels/drawing94.xml.rels><?xml version="1.0" encoding="utf-8" standalone="yes" ?>
<Relationships xmlns="http://schemas.openxmlformats.org/package/2006/relationships">
<Relationship Id="rId149" Type="http://schemas.openxmlformats.org/officeDocument/2006/relationships/chart" Target="/xl/charts/chart14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0"/>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1"/>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6"/>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2"/>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3"/>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7"/>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8"/>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4"/>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9"/>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150" Type="http://schemas.openxmlformats.org/officeDocument/2006/relationships/hyperlink" Target="http://www.str.com/data-insights/resources/glossary" TargetMode="External" />
<Relationship Id="rId151" Type="http://schemas.openxmlformats.org/officeDocument/2006/relationships/hyperlink" Target="http://www.hotelnewsnow.com/" TargetMode="External" />
<Relationship Id="rId152" Type="http://schemas.openxmlformats.org/officeDocument/2006/relationships/hyperlink" Target="http://www.hoteldataconference.com/" TargetMode="External" />
<Relationship Id="rId153" Type="http://schemas.openxmlformats.org/officeDocument/2006/relationships/hyperlink" Target="http://www.str.com/data-insights/resources/FAQ" TargetMode="External" />
<Relationship Id="rId154"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205</v>
      </c>
      <c r="C2" s="605"/>
      <c r="D2" s="604"/>
      <c r="E2" s="604"/>
      <c r="F2" s="605"/>
      <c r="G2" s="598"/>
      <c r="H2" s="599"/>
    </row>
    <row r="3" ht="25.5" customHeight="1">
      <c r="A3" s="595"/>
      <c r="B3" s="638" t="s">
        <v>204</v>
      </c>
      <c r="C3" s="607"/>
      <c r="D3" s="606"/>
      <c r="E3" s="606"/>
      <c r="F3" s="607"/>
      <c r="G3" s="598"/>
      <c r="H3" s="599"/>
    </row>
    <row r="4" ht="15" customHeight="1">
      <c r="A4" s="595"/>
      <c r="B4" s="695" t="s">
        <v>206</v>
      </c>
      <c r="C4" s="695"/>
      <c r="D4" s="695"/>
      <c r="E4" s="695"/>
      <c r="F4" s="608"/>
      <c r="G4" s="598"/>
      <c r="H4" s="599"/>
    </row>
    <row r="5" ht="15" customHeight="1">
      <c r="A5" s="595"/>
      <c r="B5" s="695" t="s">
        <v>207</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t="str">
        <f>HYPERLINK("#'Glance_2'!A1", "Monthly Performance at a Glance - 2nd Comp")</f>
      </c>
      <c r="F7" s="605" t="str">
        <f>HYPERLINK("#'Glance_2'!A1", "21")</f>
      </c>
      <c r="G7" s="598"/>
      <c r="H7" s="599"/>
    </row>
    <row r="8" ht="15.75" customHeight="1">
      <c r="A8" s="595"/>
      <c r="B8" s="639" t="str">
        <f>HYPERLINK("#'Glance'!A1", "Monthly Performance at a Glance")</f>
      </c>
      <c r="C8" s="605" t="str">
        <f>HYPERLINK("#'Glance'!A1", "2")</f>
      </c>
      <c r="D8" s="639"/>
      <c r="E8" s="639" t="str">
        <f>HYPERLINK("#'Summary_2'!A1", "STAR Summary - 2nd Comp")</f>
      </c>
      <c r="F8" s="605" t="str">
        <f>HYPERLINK("#'Summary_2'!A1", "22")</f>
      </c>
      <c r="G8" s="598"/>
      <c r="H8" s="599"/>
    </row>
    <row r="9" ht="15.75" customHeight="1">
      <c r="A9" s="595"/>
      <c r="B9" s="639" t="str">
        <f>HYPERLINK("#'Summary'!A1", "STAR Summary")</f>
      </c>
      <c r="C9" s="605" t="str">
        <f>HYPERLINK("#'Summary'!A1", "3")</f>
      </c>
      <c r="D9" s="639"/>
      <c r="E9" s="639" t="str">
        <f>HYPERLINK("#'Comp_2'!A1", "Competitive Set Report - 2nd Comp")</f>
      </c>
      <c r="F9" s="605" t="str">
        <f>HYPERLINK("#'Comp_2'!A1", "23")</f>
      </c>
      <c r="G9" s="595"/>
      <c r="H9" s="595"/>
    </row>
    <row r="10" ht="15.75" customHeight="1">
      <c r="A10" s="595"/>
      <c r="B10" s="639" t="str">
        <f>HYPERLINK("#'Comp'!A1", "Competitive Set Report")</f>
      </c>
      <c r="C10" s="605" t="str">
        <f>HYPERLINK("#'Comp'!A1", "4")</f>
      </c>
      <c r="D10" s="639"/>
      <c r="E10" s="639" t="str">
        <f>HYPERLINK("#'Response_2'!A1", "Response Report - 2nd Comp")</f>
      </c>
      <c r="F10" s="605" t="str">
        <f>HYPERLINK("#'Response_2'!A1", "24")</f>
      </c>
      <c r="G10" s="595"/>
      <c r="H10" s="595"/>
    </row>
    <row r="11" ht="15.75" customHeight="1">
      <c r="A11" s="600"/>
      <c r="B11" s="639" t="str">
        <f>HYPERLINK("#'Response'!A1", "Response Report")</f>
      </c>
      <c r="C11" s="605" t="str">
        <f>HYPERLINK("#'Response'!A1", "5")</f>
      </c>
      <c r="D11" s="639"/>
      <c r="E11" s="639" t="str">
        <f>HYPERLINK("#'Day of Week_2'!A1", "Day of Week &amp; Weekday/Weekend - 2nd Comp")</f>
      </c>
      <c r="F11" s="605" t="str">
        <f>HYPERLINK("#'Day of Week_2'!A1", "25")</f>
      </c>
      <c r="G11" s="595"/>
      <c r="H11" s="595"/>
    </row>
    <row r="12" ht="15.75" customHeight="1">
      <c r="A12" s="595"/>
      <c r="B12" s="639" t="str">
        <f>HYPERLINK("#'Day of Week'!A1", "Day of Week &amp; Weekday/Weekend")</f>
      </c>
      <c r="C12" s="605" t="str">
        <f>HYPERLINK("#'Day of Week'!A1", "6")</f>
      </c>
      <c r="D12" s="639"/>
      <c r="E12" s="639" t="str">
        <f>HYPERLINK("#'Daily by Month_2'!A1", "Daily Data for the Month - 2nd Comp")</f>
      </c>
      <c r="F12" s="605" t="str">
        <f>HYPERLINK("#'Daily by Month_2'!A1", "26")</f>
      </c>
      <c r="G12" s="595"/>
      <c r="H12" s="595"/>
    </row>
    <row r="13" ht="15.75" customHeight="1">
      <c r="A13" s="595"/>
      <c r="B13" s="639" t="str">
        <f>HYPERLINK("#'Daily by Month'!A1", "Daily Data for the Month")</f>
      </c>
      <c r="C13" s="605" t="str">
        <f>HYPERLINK("#'Daily by Month'!A1", "7")</f>
      </c>
      <c r="D13" s="639"/>
      <c r="E13" s="639" t="str">
        <f>HYPERLINK("#'Segmentation Glance_2'!A1", "Segmentation at a Glance - 2nd Comp")</f>
      </c>
      <c r="F13" s="605" t="str">
        <f>HYPERLINK("#'Segmentation Glance_2'!A1", "27")</f>
      </c>
      <c r="G13" s="595"/>
      <c r="H13" s="595"/>
    </row>
    <row r="14" ht="15.75" customHeight="1">
      <c r="A14" s="595"/>
      <c r="B14" s="639" t="str">
        <f>HYPERLINK("#'Segmentation Glance'!A1", "Segmentation at a Glance")</f>
      </c>
      <c r="C14" s="605" t="str">
        <f>HYPERLINK("#'Segmentation Glance'!A1", "8")</f>
      </c>
      <c r="D14" s="639"/>
      <c r="E14" s="639" t="str">
        <f>HYPERLINK("#'Segmentation Occ_2'!A1", "Segmentation Occupancy Analysis - 2nd Comp")</f>
      </c>
      <c r="F14" s="605" t="str">
        <f>HYPERLINK("#'Segmentation Occ_2'!A1", "28")</f>
      </c>
      <c r="G14" s="595"/>
      <c r="H14" s="595"/>
    </row>
    <row r="15" ht="15.75" customHeight="1">
      <c r="A15" s="595"/>
      <c r="B15" s="639" t="str">
        <f>HYPERLINK("#'Segmentation Occ'!A1", "Segmentation Occupancy Analysis")</f>
      </c>
      <c r="C15" s="605" t="str">
        <f>HYPERLINK("#'Segmentation Occ'!A1", "9")</f>
      </c>
      <c r="D15" s="639"/>
      <c r="E15" s="639" t="str">
        <f>HYPERLINK("#'Segmentation ADR_2'!A1", "Segmentation ADR Analysis - 2nd Comp")</f>
      </c>
      <c r="F15" s="605" t="str">
        <f>HYPERLINK("#'Segmentation ADR_2'!A1", "29")</f>
      </c>
      <c r="G15" s="595"/>
      <c r="H15" s="595"/>
    </row>
    <row r="16" ht="15.75" customHeight="1">
      <c r="A16" s="595"/>
      <c r="B16" s="639" t="str">
        <f>HYPERLINK("#'Segmentation ADR'!A1", "Segmentation ADR Analysis")</f>
      </c>
      <c r="C16" s="605" t="str">
        <f>HYPERLINK("#'Segmentation ADR'!A1", "10")</f>
      </c>
      <c r="D16" s="639"/>
      <c r="E16" s="639" t="str">
        <f>HYPERLINK("#'Segmentation RevPAR_2'!A1", "Segmentation RevPAR Analysis - 2nd Comp")</f>
      </c>
      <c r="F16" s="605" t="str">
        <f>HYPERLINK("#'Segmentation RevPAR_2'!A1", "30")</f>
      </c>
      <c r="G16" s="595"/>
      <c r="H16" s="595"/>
    </row>
    <row r="17" ht="15.75" customHeight="1">
      <c r="A17" s="595"/>
      <c r="B17" s="639" t="str">
        <f>HYPERLINK("#'Segmentation RevPAR'!A1", "Segmentation RevPAR Analysis")</f>
      </c>
      <c r="C17" s="605" t="str">
        <f>HYPERLINK("#'Segmentation RevPAR'!A1", "11")</f>
      </c>
      <c r="D17" s="639"/>
      <c r="E17" s="639" t="str">
        <f>HYPERLINK("#'Segmentation Indexes_2'!A1", "Segmentation Index Analysis - 2nd Comp")</f>
      </c>
      <c r="F17" s="605" t="str">
        <f>HYPERLINK("#'Segmentation Indexes_2'!A1", "31")</f>
      </c>
      <c r="G17" s="595"/>
      <c r="H17" s="595"/>
    </row>
    <row r="18" ht="15.75" customHeight="1">
      <c r="A18" s="595"/>
      <c r="B18" s="639" t="str">
        <f>HYPERLINK("#'Segmentation Indexes'!A1", "Segmentation Index Analysis")</f>
      </c>
      <c r="C18" s="605" t="str">
        <f>HYPERLINK("#'Segmentation Indexes'!A1", "12")</f>
      </c>
      <c r="D18" s="639"/>
      <c r="E18" s="639" t="str">
        <f>HYPERLINK("#'Segmentation Ranking_2'!A1", "Segmentation Ranking Analysis - 2nd Comp")</f>
      </c>
      <c r="F18" s="605" t="str">
        <f>HYPERLINK("#'Segmentation Ranking_2'!A1", "32")</f>
      </c>
      <c r="G18" s="595"/>
      <c r="H18" s="595"/>
    </row>
    <row r="19" ht="15.75" customHeight="1">
      <c r="A19" s="595"/>
      <c r="B19" s="639" t="str">
        <f>HYPERLINK("#'Segmentation Ranking'!A1", "Segmentation Ranking Analysis")</f>
      </c>
      <c r="C19" s="605" t="str">
        <f>HYPERLINK("#'Segmentation Ranking'!A1", "13")</f>
      </c>
      <c r="D19" s="639"/>
      <c r="E19" s="639" t="str">
        <f>HYPERLINK("#'Segmentation DOW Month_2'!A1", "Segmentation Day Of Week - Current Month - 2nd Comp")</f>
      </c>
      <c r="F19" s="605" t="str">
        <f>HYPERLINK("#'Segmentation DOW Month_2'!A1", "33")</f>
      </c>
      <c r="G19" s="595"/>
      <c r="H19" s="595"/>
    </row>
    <row r="20" ht="15.75" customHeight="1">
      <c r="A20" s="595"/>
      <c r="B20" s="639" t="str">
        <f>HYPERLINK("#'Segmentation DOW Month'!A1", "Segmentation Day Of Week - Current Month")</f>
      </c>
      <c r="C20" s="605" t="str">
        <f>HYPERLINK("#'Segmentation DOW Month'!A1", "14")</f>
      </c>
      <c r="D20" s="639"/>
      <c r="E20" s="639" t="str">
        <f>HYPERLINK("#'Segmentation DOW YTD_2'!A1", "Segmentation Day Of Week - Year to Date - 2nd Comp")</f>
      </c>
      <c r="F20" s="605" t="str">
        <f>HYPERLINK("#'Segmentation DOW YTD_2'!A1", "34")</f>
      </c>
      <c r="G20" s="595"/>
      <c r="H20" s="595"/>
    </row>
    <row r="21" ht="15.75" customHeight="1">
      <c r="A21" s="595"/>
      <c r="B21" s="639" t="str">
        <f>HYPERLINK("#'Segmentation DOW YTD'!A1", "Segmentation Day Of Week - Year to Date")</f>
      </c>
      <c r="C21" s="605" t="str">
        <f>HYPERLINK("#'Segmentation DOW YTD'!A1", "15")</f>
      </c>
      <c r="D21" s="639"/>
      <c r="E21" s="639" t="str">
        <f>HYPERLINK("#'Segmentation DOW Run 3_2'!A1", "Segmentation Day Of Week - Running 3 Month - 2nd Comp")</f>
      </c>
      <c r="F21" s="605" t="str">
        <f>HYPERLINK("#'Segmentation DOW Run 3_2'!A1", "35")</f>
      </c>
      <c r="G21" s="595"/>
      <c r="H21" s="595"/>
    </row>
    <row r="22" ht="15.75" customHeight="1">
      <c r="A22" s="595"/>
      <c r="B22" s="639" t="str">
        <f>HYPERLINK("#'Segmentation DOW Run 3'!A1", "Segmentation Day Of Week - Running 3 Month")</f>
      </c>
      <c r="C22" s="605" t="str">
        <f>HYPERLINK("#'Segmentation DOW Run 3'!A1", "16")</f>
      </c>
      <c r="D22" s="639"/>
      <c r="E22" s="639" t="str">
        <f>HYPERLINK("#'Segmentation DOW Run 12_2'!A1", "Segmentation Day Of Week - Running 12 Month - 2nd Comp")</f>
      </c>
      <c r="F22" s="605" t="str">
        <f>HYPERLINK("#'Segmentation DOW Run 12_2'!A1", "36")</f>
      </c>
      <c r="G22" s="595"/>
      <c r="H22" s="595"/>
    </row>
    <row r="23" ht="15.75" customHeight="1">
      <c r="A23" s="595"/>
      <c r="B23" s="639" t="str">
        <f>HYPERLINK("#'Segmentation DOW Run 12'!A1", "Segmentation Day Of Week - Running 12 Month")</f>
      </c>
      <c r="C23" s="605" t="str">
        <f>HYPERLINK("#'Segmentation DOW Run 12'!A1", "17")</f>
      </c>
      <c r="D23" s="639"/>
      <c r="E23" s="639" t="str">
        <f>HYPERLINK("#'Add Rev ADR_2'!A1", "Additional Revenue ADR Analysis (TrevPOR) - 2nd Comp")</f>
      </c>
      <c r="F23" s="605" t="str">
        <f>HYPERLINK("#'Add Rev ADR_2'!A1", "37")</f>
      </c>
      <c r="G23" s="595"/>
      <c r="H23" s="595"/>
    </row>
    <row r="24" ht="15.75" customHeight="1">
      <c r="A24" s="595"/>
      <c r="B24" s="639" t="str">
        <f>HYPERLINK("#'Add Rev ADR'!A1", "Additional Revenue ADR Analysis (TrevPOR)")</f>
      </c>
      <c r="C24" s="605" t="str">
        <f>HYPERLINK("#'Add Rev ADR'!A1", "18")</f>
      </c>
      <c r="D24" s="639"/>
      <c r="E24" s="639" t="str">
        <f>HYPERLINK("#'Add Rev RevPAR_2'!A1", "Additional Revenue RevPAR Analysis (TrevPAR) - 2nd Comp")</f>
      </c>
      <c r="F24" s="605" t="str">
        <f>HYPERLINK("#'Add Rev RevPAR_2'!A1", "38")</f>
      </c>
      <c r="G24" s="595"/>
      <c r="H24" s="595"/>
    </row>
    <row r="25" ht="15.75" customHeight="1">
      <c r="A25" s="595"/>
      <c r="B25" s="639" t="str">
        <f>HYPERLINK("#'Add Rev RevPAR'!A1", "Additional Revenue RevPAR Analysis (TrevPAR)")</f>
      </c>
      <c r="C25" s="605" t="str">
        <f>HYPERLINK("#'Add Rev RevPAR'!A1", "19")</f>
      </c>
      <c r="D25" s="639"/>
      <c r="E25" s="639" t="str">
        <f>HYPERLINK("#'Segmentation Response_2'!A1", "Segmentation Response Report - 2nd Comp")</f>
      </c>
      <c r="F25" s="605" t="str">
        <f>HYPERLINK("#'Segmentation Response_2'!A1", "39")</f>
      </c>
      <c r="G25" s="595"/>
      <c r="H25" s="595"/>
    </row>
    <row r="26" ht="15.75" customHeight="1">
      <c r="A26" s="595"/>
      <c r="B26" s="639" t="str">
        <f>HYPERLINK("#'Segmentation Response'!A1", "Segmentation Response Report")</f>
      </c>
      <c r="C26" s="605" t="str">
        <f>HYPERLINK("#'Segmentation Response'!A1", "20")</f>
      </c>
      <c r="D26" s="639"/>
      <c r="E26" s="639" t="str">
        <f>HYPERLINK("#'Help'!A1", "Help")</f>
      </c>
      <c r="F26" s="605" t="str">
        <f>HYPERLINK("#'Help'!A1", "40")</f>
      </c>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127</v>
      </c>
      <c r="C1" s="12"/>
      <c r="D1" s="12"/>
      <c r="E1" s="12"/>
      <c r="F1" s="12"/>
      <c r="G1" s="12"/>
      <c r="H1" s="12"/>
      <c r="I1" s="104"/>
      <c r="J1" s="12"/>
      <c r="K1" s="12"/>
      <c r="L1" s="12"/>
      <c r="M1" s="13"/>
      <c r="N1" s="51"/>
      <c r="O1" s="2"/>
      <c r="P1" s="2"/>
      <c r="Q1" s="2"/>
      <c r="R1" s="22"/>
      <c r="S1" s="51"/>
      <c r="T1" s="2"/>
      <c r="U1" s="2"/>
      <c r="V1" s="236"/>
    </row>
    <row r="2" ht="21.75" customHeight="1">
      <c r="B2" s="935" t="s">
        <v>208</v>
      </c>
      <c r="C2" s="935"/>
      <c r="D2" s="935"/>
      <c r="E2" s="935"/>
      <c r="F2" s="935"/>
      <c r="G2" s="935"/>
      <c r="H2" s="935"/>
      <c r="I2" s="935"/>
      <c r="J2" s="935"/>
      <c r="K2" s="935"/>
      <c r="L2" s="935"/>
      <c r="M2" s="935"/>
      <c r="N2" s="935"/>
      <c r="O2" s="935"/>
      <c r="P2" s="935"/>
      <c r="Q2" s="935"/>
      <c r="R2" s="935"/>
      <c r="S2" s="935"/>
      <c r="T2" s="2"/>
      <c r="U2" s="2"/>
    </row>
    <row r="3" ht="19.5" customHeight="1">
      <c r="A3"/>
      <c r="B3" s="115" t="s">
        <v>209</v>
      </c>
      <c r="C3" s="115"/>
      <c r="D3" s="115"/>
      <c r="E3" s="115"/>
      <c r="F3" s="115"/>
      <c r="G3" s="115"/>
      <c r="H3" s="115"/>
      <c r="I3" s="115"/>
      <c r="J3" s="115"/>
      <c r="K3" s="115"/>
      <c r="L3" s="115"/>
      <c r="M3" s="115"/>
      <c r="N3" s="115"/>
      <c r="O3" s="115"/>
      <c r="P3" s="115"/>
      <c r="Q3" s="115"/>
      <c r="R3" s="115"/>
      <c r="S3" s="115"/>
      <c r="T3" s="2"/>
      <c r="U3" s="2"/>
    </row>
    <row r="4" ht="18.75" customHeight="1">
      <c r="A4"/>
      <c r="B4" s="936" t="s">
        <v>210</v>
      </c>
      <c r="C4" s="936"/>
      <c r="D4" s="936"/>
      <c r="E4" s="936"/>
      <c r="F4" s="936"/>
      <c r="G4" s="936"/>
      <c r="H4" s="936"/>
      <c r="I4" s="936"/>
      <c r="J4" s="936"/>
      <c r="K4" s="936"/>
      <c r="L4" s="936"/>
      <c r="M4" s="936"/>
      <c r="N4" s="936"/>
      <c r="O4" s="936"/>
      <c r="P4" s="93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699" t="s">
        <v>211</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93.03030303030303030303030303</v>
      </c>
      <c r="H11" s="193">
        <v>88.44961240310077519379844961</v>
      </c>
      <c r="I11" s="193">
        <v>105.17887020954597798388359892</v>
      </c>
      <c r="J11" s="194"/>
      <c r="K11" s="194"/>
      <c r="L11" s="195">
        <v>266.56623235613463626492942454</v>
      </c>
      <c r="M11" s="195">
        <v>345.0544478527607361963190184</v>
      </c>
      <c r="N11" s="193">
        <v>77.253382477727577437907543950</v>
      </c>
      <c r="O11" s="194"/>
      <c r="P11" s="193"/>
      <c r="Q11" s="195">
        <v>247.98737373737373737373737374</v>
      </c>
      <c r="R11" s="195">
        <v>305.19932170542635658914728682</v>
      </c>
      <c r="S11" s="193">
        <v>81.25423488874877427020996552</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91.89393939393939393939393939</v>
      </c>
      <c r="H13" s="196">
        <v>85.56443798449612403100775194</v>
      </c>
      <c r="I13" s="196">
        <v>107.39735053315722505187646914</v>
      </c>
      <c r="J13" s="197"/>
      <c r="K13" s="197"/>
      <c r="L13" s="198">
        <v>295.51504534212695795548227535</v>
      </c>
      <c r="M13" s="198">
        <v>384.98361824410407406358823363</v>
      </c>
      <c r="N13" s="196">
        <v>76.760420791399692961396509300</v>
      </c>
      <c r="O13" s="197"/>
      <c r="P13" s="196"/>
      <c r="Q13" s="198">
        <v>271.56041666666666666666666667</v>
      </c>
      <c r="R13" s="198">
        <v>329.40906928294573643410852713</v>
      </c>
      <c r="S13" s="196">
        <v>82.43865818808033565481082644</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92.33060946544092611508341845</v>
      </c>
      <c r="H15" s="193">
        <v>87.91481578259733472694016201</v>
      </c>
      <c r="I15" s="193">
        <v>105.02280945882945814113819046</v>
      </c>
      <c r="J15" s="194"/>
      <c r="K15" s="194"/>
      <c r="L15" s="195">
        <v>300.6174979256937402046648843</v>
      </c>
      <c r="M15" s="195">
        <v>389.26440332887501857631148759</v>
      </c>
      <c r="N15" s="193">
        <v>77.227071202730526330424357660</v>
      </c>
      <c r="O15" s="194"/>
      <c r="P15" s="193"/>
      <c r="Q15" s="195">
        <v>277.5619679945522642151855635</v>
      </c>
      <c r="R15" s="195">
        <v>342.2210830938071596550823099</v>
      </c>
      <c r="S15" s="193">
        <v>81.10603983988759653518219915</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83.19427148194271481942714819</v>
      </c>
      <c r="H17" s="196">
        <v>75.151112327481721859483129370</v>
      </c>
      <c r="I17" s="196">
        <v>110.70264817823526288700380406</v>
      </c>
      <c r="J17" s="197"/>
      <c r="K17" s="197"/>
      <c r="L17" s="198">
        <v>233.51403338073497492702642018</v>
      </c>
      <c r="M17" s="198">
        <v>309.51111427887666871299697212</v>
      </c>
      <c r="N17" s="196">
        <v>75.44608985198374179540569400</v>
      </c>
      <c r="O17" s="197"/>
      <c r="P17" s="196"/>
      <c r="Q17" s="198">
        <v>194.27029887920298879202988792</v>
      </c>
      <c r="R17" s="198">
        <v>232.60104515775892403331117801</v>
      </c>
      <c r="S17" s="196">
        <v>83.52081941308867969968748479</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699" t="s">
        <v>212</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-0.2166847237021124999853212200</v>
      </c>
      <c r="H25" s="193">
        <v>6.5974715155337728883242966900</v>
      </c>
      <c r="I25" s="193">
        <v>-6.3924182650381304969332110500</v>
      </c>
      <c r="J25" s="193"/>
      <c r="K25" s="193"/>
      <c r="L25" s="193">
        <v>3.1414733022789974030718427700</v>
      </c>
      <c r="M25" s="193">
        <v>11.871019783866345980813828870</v>
      </c>
      <c r="N25" s="193">
        <v>-7.8032241937548212946595451300</v>
      </c>
      <c r="O25" s="193"/>
      <c r="P25" s="193"/>
      <c r="Q25" s="193">
        <v>2.9179814858149940578076020500</v>
      </c>
      <c r="R25" s="193">
        <v>19.251678448214861897846108940</v>
      </c>
      <c r="S25" s="193">
        <v>-13.696827730153356284114824340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-0.1272455089315015104521240300</v>
      </c>
      <c r="H27" s="196">
        <v>1.7750779150699031677970229300</v>
      </c>
      <c r="I27" s="196">
        <v>-1.8691446501588958732691132500</v>
      </c>
      <c r="J27" s="196"/>
      <c r="K27" s="196"/>
      <c r="L27" s="196">
        <v>-2.1427057084118084790466402400</v>
      </c>
      <c r="M27" s="196">
        <v>11.602401915282305293948711590</v>
      </c>
      <c r="N27" s="196">
        <v>-12.316139606183791746182716950</v>
      </c>
      <c r="O27" s="196"/>
      <c r="P27" s="196"/>
      <c r="Q27" s="196">
        <v>-2.2672247206054097056218913500</v>
      </c>
      <c r="R27" s="196">
        <v>13.583431504391752612173727730</v>
      </c>
      <c r="S27" s="196">
        <v>-13.955077791777043001957565410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-0.662231439071906933634007200</v>
      </c>
      <c r="H29" s="193">
        <v>4.0955334932223450347859062100</v>
      </c>
      <c r="I29" s="193">
        <v>-4.5705754826429608833405292900</v>
      </c>
      <c r="J29" s="193"/>
      <c r="K29" s="193"/>
      <c r="L29" s="193">
        <v>-2.0017751386503318450104802400</v>
      </c>
      <c r="M29" s="193">
        <v>11.208062853985146011449326740</v>
      </c>
      <c r="N29" s="193">
        <v>-11.878489431071405282896985470</v>
      </c>
      <c r="O29" s="193"/>
      <c r="P29" s="193"/>
      <c r="Q29" s="193">
        <v>-2.6507501934456976538941246900</v>
      </c>
      <c r="R29" s="193">
        <v>15.762626315243402120864947170</v>
      </c>
      <c r="S29" s="193">
        <v>-15.906149587954510279136629180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0.8400231781380110902781393600</v>
      </c>
      <c r="H31" s="196">
        <v>1.6936868725307222215008985100</v>
      </c>
      <c r="I31" s="196">
        <v>-0.8394461058563857406287529300</v>
      </c>
      <c r="J31" s="196"/>
      <c r="K31" s="196"/>
      <c r="L31" s="196">
        <v>-5.6663583245345749399431431500</v>
      </c>
      <c r="M31" s="196">
        <v>7.984694499234245296711305760</v>
      </c>
      <c r="N31" s="196">
        <v>-12.641655270719953742010925120</v>
      </c>
      <c r="O31" s="196"/>
      <c r="P31" s="196"/>
      <c r="Q31" s="196">
        <v>-4.8739338696322805484475928800</v>
      </c>
      <c r="R31" s="196">
        <v>9.813617094276229376496691150</v>
      </c>
      <c r="S31" s="196">
        <v>-13.374981493725399136576290140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208</v>
      </c>
      <c r="C2" s="948"/>
      <c r="D2" s="948"/>
      <c r="E2" s="948"/>
      <c r="F2" s="948"/>
      <c r="G2" s="948"/>
      <c r="H2" s="948"/>
      <c r="I2" s="948"/>
      <c r="J2" s="948"/>
      <c r="K2" s="948"/>
      <c r="L2" s="948"/>
      <c r="M2" s="948"/>
      <c r="N2" s="948"/>
      <c r="O2" s="948"/>
      <c r="P2" s="948"/>
      <c r="Q2" s="948"/>
      <c r="R2" s="948"/>
      <c r="S2" s="948"/>
      <c r="T2" s="948"/>
      <c r="U2" s="2"/>
    </row>
    <row r="3" ht="18" customHeight="1">
      <c r="B3" s="947" t="s">
        <v>209</v>
      </c>
      <c r="C3" s="947"/>
      <c r="D3" s="947"/>
      <c r="E3" s="947"/>
      <c r="F3" s="947"/>
      <c r="G3" s="947"/>
      <c r="H3" s="947"/>
      <c r="I3" s="947"/>
      <c r="J3" s="947"/>
      <c r="K3" s="947"/>
      <c r="L3" s="947"/>
      <c r="M3" s="947"/>
      <c r="N3" s="947"/>
      <c r="O3" s="947"/>
      <c r="P3" s="947"/>
      <c r="Q3" s="947"/>
      <c r="R3" s="947"/>
      <c r="S3" s="947"/>
      <c r="T3" s="947"/>
      <c r="U3" s="2"/>
    </row>
    <row r="4" ht="18" customHeight="1">
      <c r="B4" s="947" t="s">
        <v>210</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163"/>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163"/>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163"/>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213</v>
      </c>
      <c r="C8" s="347"/>
      <c r="D8" s="345"/>
      <c r="E8" s="238">
        <v>93.03030303030303030303030303</v>
      </c>
      <c r="F8" s="239">
        <v>-0.2166847237021124999853212200</v>
      </c>
      <c r="G8" s="238">
        <v>91.89393939393939393939393939</v>
      </c>
      <c r="H8" s="239">
        <v>-0.1272455089315015104521240300</v>
      </c>
      <c r="I8" s="238">
        <v>92.33060946544092611508341845</v>
      </c>
      <c r="J8" s="239">
        <v>-0.662231439071906933634007200</v>
      </c>
      <c r="K8" s="238">
        <v>83.19427148194271481942714819</v>
      </c>
      <c r="L8" s="239">
        <v>0.8400231781380110902781393600</v>
      </c>
      <c r="M8" s="540"/>
      <c r="N8" s="156">
        <v>0</v>
      </c>
      <c r="O8" s="156"/>
      <c r="P8" s="156">
        <v>-0.8264462809917355371900826400</v>
      </c>
      <c r="Q8" s="156"/>
      <c r="R8" s="156">
        <v>-1.1111111111111111111111111100</v>
      </c>
      <c r="S8" s="156"/>
      <c r="T8" s="243">
        <v>-0.2732240437158469945355191300</v>
      </c>
    </row>
    <row r="9" ht="20.1" customHeight="1">
      <c r="B9" s="708" t="s">
        <v>214</v>
      </c>
      <c r="C9" s="950"/>
      <c r="D9" s="345"/>
      <c r="E9" s="240">
        <v>80.43913276641385122194131617</v>
      </c>
      <c r="F9" s="241">
        <v>2.2851528997290032841199540100</v>
      </c>
      <c r="G9" s="240">
        <v>82.10419161065173048497489220</v>
      </c>
      <c r="H9" s="241">
        <v>1.1719189886902155669852113800</v>
      </c>
      <c r="I9" s="240">
        <v>83.06127679776527427220021093</v>
      </c>
      <c r="J9" s="241">
        <v>1.2577766748895213838745444400</v>
      </c>
      <c r="K9" s="240">
        <v>74.217805142959330698710688220</v>
      </c>
      <c r="L9" s="241">
        <v>1.8155870985280834024950111100</v>
      </c>
      <c r="M9" s="540"/>
      <c r="N9" s="121">
        <v>0.5298747708753716054897490800</v>
      </c>
      <c r="O9" s="121"/>
      <c r="P9" s="121">
        <v>-0.0053990973168783823334388100</v>
      </c>
      <c r="Q9" s="121"/>
      <c r="R9" s="121">
        <v>0.0856416022129335186173575900</v>
      </c>
      <c r="S9" s="121"/>
      <c r="T9" s="241">
        <v>-0.6388641649824143671762483800</v>
      </c>
    </row>
    <row r="10" ht="20.1" customHeight="1">
      <c r="B10" s="706" t="s">
        <v>215</v>
      </c>
      <c r="C10" s="949"/>
      <c r="D10" s="345"/>
      <c r="E10" s="242">
        <v>82.17066294198287680091047826</v>
      </c>
      <c r="F10" s="243">
        <v>1.3643148997062918127312185700</v>
      </c>
      <c r="G10" s="242">
        <v>84.33425987550405199076067807</v>
      </c>
      <c r="H10" s="243">
        <v>2.4065747506552869877010120100</v>
      </c>
      <c r="I10" s="242">
        <v>85.10304897715618043392095843</v>
      </c>
      <c r="J10" s="243">
        <v>2.4022030704509949497876218100</v>
      </c>
      <c r="K10" s="242">
        <v>75.728868489437074448967940720</v>
      </c>
      <c r="L10" s="243">
        <v>2.8028633147259779891518322800</v>
      </c>
      <c r="M10" s="540"/>
      <c r="N10" s="156">
        <v>2.9559798673803627067188623500</v>
      </c>
      <c r="O10" s="156"/>
      <c r="P10" s="156">
        <v>2.1975493873468367091772943200</v>
      </c>
      <c r="Q10" s="156"/>
      <c r="R10" s="156">
        <v>2.2425195435349087968370922800</v>
      </c>
      <c r="S10" s="156"/>
      <c r="T10" s="243">
        <v>2.0476183247187186962549142700</v>
      </c>
    </row>
    <row r="11" ht="20.1" customHeight="1">
      <c r="B11" s="708" t="s">
        <v>216</v>
      </c>
      <c r="C11" s="950"/>
      <c r="D11" s="345"/>
      <c r="E11" s="240">
        <v>81.58203931281953574037026452</v>
      </c>
      <c r="F11" s="241">
        <v>3.568486829443617897008153100</v>
      </c>
      <c r="G11" s="240">
        <v>81.23308357376015972818407915</v>
      </c>
      <c r="H11" s="241">
        <v>1.5482622943434094197882016400</v>
      </c>
      <c r="I11" s="240">
        <v>82.89087791382007954561788398</v>
      </c>
      <c r="J11" s="241">
        <v>2.2589420668902830240016368700</v>
      </c>
      <c r="K11" s="240">
        <v>72.367042108481441453342092640</v>
      </c>
      <c r="L11" s="241">
        <v>2.2655986228516886340665971800</v>
      </c>
      <c r="M11" s="540"/>
      <c r="N11" s="121">
        <v>0.9763840123130200567553268200</v>
      </c>
      <c r="O11" s="121"/>
      <c r="P11" s="121">
        <v>-0.1391260455156694257895836900</v>
      </c>
      <c r="Q11" s="121"/>
      <c r="R11" s="121">
        <v>0.0713341999275470411490186900</v>
      </c>
      <c r="S11" s="121"/>
      <c r="T11" s="241">
        <v>-1.913944358100842956635145500</v>
      </c>
    </row>
    <row r="12" ht="20.1" customHeight="1">
      <c r="B12" s="706" t="s">
        <v>217</v>
      </c>
      <c r="C12" s="949"/>
      <c r="D12" s="345"/>
      <c r="E12" s="242">
        <v>83.74064263503397443279972360</v>
      </c>
      <c r="F12" s="243">
        <v>3.3127613516961993087153476100</v>
      </c>
      <c r="G12" s="242">
        <v>82.65647745889753836879493316</v>
      </c>
      <c r="H12" s="243">
        <v>1.868299928570905026136818500</v>
      </c>
      <c r="I12" s="242">
        <v>84.68378429829029486368149989</v>
      </c>
      <c r="J12" s="243">
        <v>3.0762765621922460332896395800</v>
      </c>
      <c r="K12" s="242">
        <v>73.311586056013579816535818160</v>
      </c>
      <c r="L12" s="243">
        <v>0.8743951284615393910424752700</v>
      </c>
      <c r="M12" s="540"/>
      <c r="N12" s="156">
        <v>4.7785688427657777241462531700</v>
      </c>
      <c r="O12" s="156"/>
      <c r="P12" s="156">
        <v>2.9274145640636178310786277800</v>
      </c>
      <c r="Q12" s="156"/>
      <c r="R12" s="156">
        <v>2.8414051462768068320713684800</v>
      </c>
      <c r="S12" s="156"/>
      <c r="T12" s="243">
        <v>3.5915353569513862399739936600</v>
      </c>
    </row>
    <row r="13" ht="20.1" customHeight="1">
      <c r="B13" s="734" t="s">
        <v>74</v>
      </c>
      <c r="C13" s="946"/>
      <c r="D13" s="345"/>
      <c r="E13" s="244">
        <v>88.44961240310077519379844961</v>
      </c>
      <c r="F13" s="245">
        <v>6.5974715155337728883242966900</v>
      </c>
      <c r="G13" s="244">
        <v>85.56443798449612403100775194</v>
      </c>
      <c r="H13" s="245">
        <v>1.7750779150699031677970229300</v>
      </c>
      <c r="I13" s="244">
        <v>87.91481578259733472694016201</v>
      </c>
      <c r="J13" s="245">
        <v>4.0955334932223450347859062100</v>
      </c>
      <c r="K13" s="244">
        <v>75.151112327481721859483129370</v>
      </c>
      <c r="L13" s="245">
        <v>1.6936868725307222215008985100</v>
      </c>
      <c r="M13" s="540"/>
      <c r="N13" s="250">
        <v>-17.899761336515513126491646780</v>
      </c>
      <c r="O13" s="250"/>
      <c r="P13" s="250">
        <v>-17.899761336515513126491646780</v>
      </c>
      <c r="Q13" s="250"/>
      <c r="R13" s="250">
        <v>-17.899761336515513126491646780</v>
      </c>
      <c r="S13" s="250"/>
      <c r="T13" s="245">
        <v>-17.043980280228334198235599380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719" t="s">
        <v>90</v>
      </c>
      <c r="F15" s="719"/>
      <c r="G15" s="719"/>
      <c r="H15" s="719"/>
      <c r="I15" s="719"/>
      <c r="J15" s="719"/>
      <c r="K15" s="719"/>
      <c r="L15" s="942"/>
      <c r="M15" s="537"/>
      <c r="N15" s="719" t="s">
        <v>29</v>
      </c>
      <c r="O15" s="719"/>
      <c r="P15" s="719"/>
      <c r="Q15" s="719"/>
      <c r="R15" s="719"/>
      <c r="S15" s="719"/>
      <c r="T15" s="942"/>
    </row>
    <row r="16" ht="22.5" customHeight="1">
      <c r="B16" s="4"/>
      <c r="C16" s="4"/>
      <c r="D16" s="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4"/>
      <c r="E17" s="940"/>
      <c r="F17" s="939"/>
      <c r="G17" s="940"/>
      <c r="H17" s="939"/>
      <c r="I17" s="940"/>
      <c r="J17" s="939"/>
      <c r="K17" s="940"/>
      <c r="L17" s="939"/>
      <c r="M17" s="539"/>
      <c r="N17" s="944"/>
      <c r="O17" s="845"/>
      <c r="P17" s="944"/>
      <c r="Q17" s="845"/>
      <c r="R17" s="944"/>
      <c r="S17" s="845"/>
      <c r="T17" s="944"/>
    </row>
    <row r="18" ht="20.1" customHeight="1">
      <c r="B18" s="736" t="s">
        <v>213</v>
      </c>
      <c r="C18" s="348"/>
      <c r="D18" s="345"/>
      <c r="E18" s="253">
        <v>266.56623235613463626492942454</v>
      </c>
      <c r="F18" s="239">
        <v>3.1414733022789974030718427700</v>
      </c>
      <c r="G18" s="253">
        <v>295.51504534212695795548227535</v>
      </c>
      <c r="H18" s="239">
        <v>-2.1427057084118084790466402400</v>
      </c>
      <c r="I18" s="253">
        <v>300.6174979256937402046648843</v>
      </c>
      <c r="J18" s="239">
        <v>-2.0017751386503318450104802400</v>
      </c>
      <c r="K18" s="253">
        <v>233.51403338073497492702642018</v>
      </c>
      <c r="L18" s="239">
        <v>-5.6663583245345749399431431500</v>
      </c>
      <c r="M18" s="540"/>
      <c r="N18" s="238">
        <v>-0.2166847237269772481040086700</v>
      </c>
      <c r="O18" s="246"/>
      <c r="P18" s="246">
        <v>-0.9526401741970604246053347800</v>
      </c>
      <c r="Q18" s="246"/>
      <c r="R18" s="246">
        <v>-1.7659844231117551168266618400</v>
      </c>
      <c r="S18" s="246"/>
      <c r="T18" s="239">
        <v>0.5645039891615234080987505600</v>
      </c>
    </row>
    <row r="19" ht="20.1" customHeight="1">
      <c r="B19" s="730" t="s">
        <v>214</v>
      </c>
      <c r="C19" s="941"/>
      <c r="D19" s="345"/>
      <c r="E19" s="254">
        <v>253.01821508891030744946849376</v>
      </c>
      <c r="F19" s="241">
        <v>5.8460554675874759752002147100</v>
      </c>
      <c r="G19" s="254">
        <v>274.90274326620827667199971145</v>
      </c>
      <c r="H19" s="241">
        <v>2.9718177792500872091778586700</v>
      </c>
      <c r="I19" s="254">
        <v>280.85437944889454788413538815</v>
      </c>
      <c r="J19" s="241">
        <v>3.2169008277408428310899428100</v>
      </c>
      <c r="K19" s="254">
        <v>225.17471922353533315120826311</v>
      </c>
      <c r="L19" s="241">
        <v>1.9075847742322278408453462300</v>
      </c>
      <c r="M19" s="540"/>
      <c r="N19" s="240">
        <v>2.8271361193375013710650433300</v>
      </c>
      <c r="O19" s="121"/>
      <c r="P19" s="121">
        <v>1.1664566182855490960370138100</v>
      </c>
      <c r="Q19" s="121"/>
      <c r="R19" s="121">
        <v>1.3444954571612193206114245100</v>
      </c>
      <c r="S19" s="121"/>
      <c r="T19" s="241">
        <v>1.1651237982006452697071939100</v>
      </c>
    </row>
    <row r="20" ht="20.1" customHeight="1">
      <c r="B20" s="532" t="s">
        <v>215</v>
      </c>
      <c r="C20" s="345"/>
      <c r="D20" s="345"/>
      <c r="E20" s="255">
        <v>244.48951460589272223621254092</v>
      </c>
      <c r="F20" s="243">
        <v>3.0564309592488085879299566700</v>
      </c>
      <c r="G20" s="255">
        <v>272.01846049099025911225618767</v>
      </c>
      <c r="H20" s="243">
        <v>1.8946794790106109149818178100</v>
      </c>
      <c r="I20" s="255">
        <v>276.92368986039153158307266683</v>
      </c>
      <c r="J20" s="243">
        <v>1.9229325000016812792459946700</v>
      </c>
      <c r="K20" s="255">
        <v>223.15832478053349542134579551</v>
      </c>
      <c r="L20" s="243">
        <v>1.0690902472767719455055988600</v>
      </c>
      <c r="M20" s="540"/>
      <c r="N20" s="242">
        <v>4.3606236407955165141291564600</v>
      </c>
      <c r="O20" s="156"/>
      <c r="P20" s="156">
        <v>4.6570098066603669542023859600</v>
      </c>
      <c r="Q20" s="156"/>
      <c r="R20" s="156">
        <v>4.6985924873553077433738352700</v>
      </c>
      <c r="S20" s="156"/>
      <c r="T20" s="243">
        <v>4.9078735823230056051497967100</v>
      </c>
    </row>
    <row r="21" ht="20.1" customHeight="1">
      <c r="B21" s="730" t="s">
        <v>216</v>
      </c>
      <c r="C21" s="941"/>
      <c r="D21" s="345"/>
      <c r="E21" s="254">
        <v>334.60682534739792145109182204</v>
      </c>
      <c r="F21" s="241">
        <v>7.231911285674960664880765600</v>
      </c>
      <c r="G21" s="254">
        <v>356.88206655398195586240020379</v>
      </c>
      <c r="H21" s="241">
        <v>3.0705398298860184778950252800</v>
      </c>
      <c r="I21" s="254">
        <v>364.9476936336813873521391257</v>
      </c>
      <c r="J21" s="241">
        <v>3.261032724518080069360065600</v>
      </c>
      <c r="K21" s="254">
        <v>291.45572832865791414673614935</v>
      </c>
      <c r="L21" s="241">
        <v>1.5991378799513050219683683500</v>
      </c>
      <c r="M21" s="540"/>
      <c r="N21" s="240">
        <v>4.5797129767014912918083770400</v>
      </c>
      <c r="O21" s="121"/>
      <c r="P21" s="121">
        <v>1.4069822127002562451750680100</v>
      </c>
      <c r="Q21" s="121"/>
      <c r="R21" s="121">
        <v>2.3318876650693993061055221700</v>
      </c>
      <c r="S21" s="121"/>
      <c r="T21" s="241">
        <v>0.30829196767911478135738200</v>
      </c>
    </row>
    <row r="22" ht="20.1" customHeight="1">
      <c r="B22" s="532" t="s">
        <v>217</v>
      </c>
      <c r="C22" s="345"/>
      <c r="D22" s="345"/>
      <c r="E22" s="255">
        <v>444.74924817545017787068617743</v>
      </c>
      <c r="F22" s="243">
        <v>5.9642520193509919128448251300</v>
      </c>
      <c r="G22" s="255">
        <v>475.06598765211969644506665716</v>
      </c>
      <c r="H22" s="243">
        <v>1.6396081400150117991294294200</v>
      </c>
      <c r="I22" s="255">
        <v>487.28424485356995848832493632</v>
      </c>
      <c r="J22" s="243">
        <v>2.364245691499251060578195600</v>
      </c>
      <c r="K22" s="255">
        <v>384.25114023830872777452235126</v>
      </c>
      <c r="L22" s="243">
        <v>-0.3188639960545443114313729900</v>
      </c>
      <c r="M22" s="540"/>
      <c r="N22" s="242">
        <v>8.249632776211838500932946920</v>
      </c>
      <c r="O22" s="156"/>
      <c r="P22" s="156">
        <v>4.85040737680696189172400900</v>
      </c>
      <c r="Q22" s="156"/>
      <c r="R22" s="156">
        <v>6.005091188958463819873026200</v>
      </c>
      <c r="S22" s="156"/>
      <c r="T22" s="243">
        <v>4.4973346956701317276276311500</v>
      </c>
    </row>
    <row r="23" ht="20.1" customHeight="1">
      <c r="B23" s="726" t="s">
        <v>74</v>
      </c>
      <c r="C23" s="349"/>
      <c r="D23" s="345"/>
      <c r="E23" s="256">
        <v>345.0544478527607361963190184</v>
      </c>
      <c r="F23" s="245">
        <v>11.871019783866345980813828870</v>
      </c>
      <c r="G23" s="256">
        <v>384.98361824410407406358823363</v>
      </c>
      <c r="H23" s="245">
        <v>11.602401915282305293948711590</v>
      </c>
      <c r="I23" s="256">
        <v>389.26440332887501857631148759</v>
      </c>
      <c r="J23" s="245">
        <v>11.208062853985146011449326740</v>
      </c>
      <c r="K23" s="256">
        <v>309.51111427887666871299697212</v>
      </c>
      <c r="L23" s="245">
        <v>7.984694499234245296711305760</v>
      </c>
      <c r="M23" s="540"/>
      <c r="N23" s="244">
        <v>-12.483221476510067114093959730</v>
      </c>
      <c r="O23" s="250"/>
      <c r="P23" s="250">
        <v>-16.442418131746279547802447100</v>
      </c>
      <c r="Q23" s="250"/>
      <c r="R23" s="250">
        <v>-14.537318564081985896160453380</v>
      </c>
      <c r="S23" s="250"/>
      <c r="T23" s="245">
        <v>-15.638965064259749718483507430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63"/>
      <c r="C25" s="163"/>
      <c r="D25" s="163"/>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163"/>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213</v>
      </c>
      <c r="C28" s="348"/>
      <c r="D28" s="345"/>
      <c r="E28" s="253">
        <v>247.98737373737373737373737374</v>
      </c>
      <c r="F28" s="239">
        <v>2.9179814858149940578076020500</v>
      </c>
      <c r="G28" s="253">
        <v>271.56041666666666666666666667</v>
      </c>
      <c r="H28" s="239">
        <v>-2.2672247206054097056218913500</v>
      </c>
      <c r="I28" s="253">
        <v>277.5619679945522642151855635</v>
      </c>
      <c r="J28" s="239">
        <v>-2.6507501934456976538941246900</v>
      </c>
      <c r="K28" s="253">
        <v>194.27029887920298879202988792</v>
      </c>
      <c r="L28" s="239">
        <v>-4.8739338696322805484475928800</v>
      </c>
      <c r="M28" s="540"/>
      <c r="N28" s="238">
        <v>2.9179814858093853720497135300</v>
      </c>
      <c r="O28" s="246"/>
      <c r="P28" s="246">
        <v>-3.0749336072115659775095978300</v>
      </c>
      <c r="Q28" s="246"/>
      <c r="R28" s="246">
        <v>-3.7324085246232680871616660600</v>
      </c>
      <c r="S28" s="246"/>
      <c r="T28" s="239">
        <v>-5.1338411541633118707477201600</v>
      </c>
    </row>
    <row r="29" ht="20.1" customHeight="1">
      <c r="B29" s="730" t="s">
        <v>214</v>
      </c>
      <c r="C29" s="941"/>
      <c r="D29" s="345"/>
      <c r="E29" s="254">
        <v>203.52565795857912612681631298</v>
      </c>
      <c r="F29" s="241">
        <v>8.264799673417976688240177960</v>
      </c>
      <c r="G29" s="254">
        <v>225.70667507422564084235571633</v>
      </c>
      <c r="H29" s="241">
        <v>4.1785640647793095872216931600</v>
      </c>
      <c r="I29" s="254">
        <v>233.28123351269228988295334814</v>
      </c>
      <c r="J29" s="241">
        <v>4.5151389308662251393932972600</v>
      </c>
      <c r="K29" s="254">
        <v>167.11973434452923916893124883</v>
      </c>
      <c r="L29" s="241">
        <v>3.7578057358242713333355898500</v>
      </c>
      <c r="M29" s="540"/>
      <c r="N29" s="240">
        <v>8.838467532612608021157801710</v>
      </c>
      <c r="O29" s="121"/>
      <c r="P29" s="121">
        <v>4.1729393627058179894679929400</v>
      </c>
      <c r="Q29" s="121"/>
      <c r="R29" s="121">
        <v>4.6046473703927084959247398200</v>
      </c>
      <c r="S29" s="121"/>
      <c r="T29" s="241">
        <v>3.0949342966074931624377278500</v>
      </c>
    </row>
    <row r="30" ht="20.1" customHeight="1">
      <c r="B30" s="532" t="s">
        <v>215</v>
      </c>
      <c r="C30" s="345"/>
      <c r="D30" s="345"/>
      <c r="E30" s="255">
        <v>200.89865497529810403248751972</v>
      </c>
      <c r="F30" s="243">
        <v>4.4624452018345195463126084600</v>
      </c>
      <c r="G30" s="255">
        <v>229.40475537981704054600738624</v>
      </c>
      <c r="H30" s="243">
        <v>4.3468511076061187189381277400</v>
      </c>
      <c r="I30" s="255">
        <v>235.67050341123708866755664376</v>
      </c>
      <c r="J30" s="243">
        <v>4.3713283140556754099042536100</v>
      </c>
      <c r="K30" s="255">
        <v>168.99527429628107663858639819</v>
      </c>
      <c r="L30" s="243">
        <v>3.9019187003687898271999145100</v>
      </c>
      <c r="M30" s="540"/>
      <c r="N30" s="242">
        <v>7.550334050996265163607734700</v>
      </c>
      <c r="O30" s="156"/>
      <c r="P30" s="156">
        <v>6.6399246948286028255138871800</v>
      </c>
      <c r="Q30" s="156"/>
      <c r="R30" s="156">
        <v>6.7118757493423002730913169900</v>
      </c>
      <c r="S30" s="156"/>
      <c r="T30" s="243">
        <v>6.0294334274072368815476870500</v>
      </c>
    </row>
    <row r="31" ht="20.1" customHeight="1">
      <c r="B31" s="730" t="s">
        <v>216</v>
      </c>
      <c r="C31" s="941"/>
      <c r="D31" s="345"/>
      <c r="E31" s="254">
        <v>272.97907179829157537074084659</v>
      </c>
      <c r="F31" s="241">
        <v>11.058467916918830188284215420</v>
      </c>
      <c r="G31" s="254">
        <v>289.90630738355851711209800411</v>
      </c>
      <c r="H31" s="241">
        <v>4.6663421346230398516495246600</v>
      </c>
      <c r="I31" s="254">
        <v>302.50834717919697362516030768</v>
      </c>
      <c r="J31" s="241">
        <v>5.5936396314113658708823936800</v>
      </c>
      <c r="K31" s="254">
        <v>210.91788964718114605615730998</v>
      </c>
      <c r="L31" s="241">
        <v>3.9009665485361474392585805100</v>
      </c>
      <c r="M31" s="540"/>
      <c r="N31" s="240">
        <v>12.142825041981562356603082550</v>
      </c>
      <c r="O31" s="121"/>
      <c r="P31" s="121">
        <v>4.5207239918282036953214358700</v>
      </c>
      <c r="Q31" s="121"/>
      <c r="R31" s="121">
        <v>5.6689640094330767651475162500</v>
      </c>
      <c r="S31" s="121"/>
      <c r="T31" s="241">
        <v>1.9123598612707180404374597400</v>
      </c>
    </row>
    <row r="32" ht="20.1" customHeight="1">
      <c r="B32" s="532" t="s">
        <v>217</v>
      </c>
      <c r="C32" s="345"/>
      <c r="D32" s="345"/>
      <c r="E32" s="255">
        <v>372.43587853660409228761180851</v>
      </c>
      <c r="F32" s="243">
        <v>9.474594806837463113764525660</v>
      </c>
      <c r="G32" s="255">
        <v>392.67281099856327986756692254</v>
      </c>
      <c r="H32" s="243">
        <v>3.5385408662675179555858627800</v>
      </c>
      <c r="I32" s="255">
        <v>412.65073883134991073312032764</v>
      </c>
      <c r="J32" s="243">
        <v>5.5132529897031961345823564100</v>
      </c>
      <c r="K32" s="255">
        <v>281.70060534702112704125887886</v>
      </c>
      <c r="L32" s="243">
        <v>0.5527430012327065578636485300</v>
      </c>
      <c r="M32" s="540"/>
      <c r="N32" s="242">
        <v>14.705913685013100293974051580</v>
      </c>
      <c r="O32" s="156"/>
      <c r="P32" s="156">
        <v>6.5695431909986452571089680600</v>
      </c>
      <c r="Q32" s="156"/>
      <c r="R32" s="156">
        <v>8.511311990161421501360730830</v>
      </c>
      <c r="S32" s="156"/>
      <c r="T32" s="243">
        <v>4.1641303184903593893155112100</v>
      </c>
    </row>
    <row r="33" ht="20.1" customHeight="1">
      <c r="B33" s="726" t="s">
        <v>74</v>
      </c>
      <c r="C33" s="349"/>
      <c r="D33" s="345"/>
      <c r="E33" s="256">
        <v>305.19932170542635658914728682</v>
      </c>
      <c r="F33" s="245">
        <v>19.251678448214861897846108940</v>
      </c>
      <c r="G33" s="256">
        <v>329.40906928294573643410852713</v>
      </c>
      <c r="H33" s="245">
        <v>13.583431504391752612173727730</v>
      </c>
      <c r="I33" s="256">
        <v>342.2210830938071596550823099</v>
      </c>
      <c r="J33" s="245">
        <v>15.762626315243402120864947170</v>
      </c>
      <c r="K33" s="256">
        <v>232.60104515775892403331117801</v>
      </c>
      <c r="L33" s="245">
        <v>9.813617094276229376496691150</v>
      </c>
      <c r="M33" s="540"/>
      <c r="N33" s="244">
        <v>-2.0940873837975050421596131600</v>
      </c>
      <c r="O33" s="250"/>
      <c r="P33" s="250">
        <v>-6.7477316527138237296985443500</v>
      </c>
      <c r="Q33" s="250"/>
      <c r="R33" s="250">
        <v>-4.9586075120563272736036287100</v>
      </c>
      <c r="S33" s="250"/>
      <c r="T33" s="245">
        <v>-8.902994148257395526782940120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13"/>
      <c r="N35" s="756" t="s">
        <v>56</v>
      </c>
      <c r="O35" s="756"/>
      <c r="P35" s="756"/>
      <c r="Q35" s="756"/>
      <c r="R35" s="756"/>
      <c r="S35" s="756"/>
      <c r="T35" s="756"/>
      <c r="U35" s="123"/>
    </row>
    <row r="36" ht="24.95" customHeight="1">
      <c r="B36" s="9"/>
      <c r="C36" s="155"/>
      <c r="D36" s="252"/>
      <c r="E36" s="745" t="s">
        <v>31</v>
      </c>
      <c r="F36" s="747"/>
      <c r="G36" s="746"/>
      <c r="H36" s="745" t="s">
        <v>32</v>
      </c>
      <c r="I36" s="747"/>
      <c r="J36" s="746"/>
      <c r="K36" s="745" t="s">
        <v>36</v>
      </c>
      <c r="L36" s="746"/>
      <c r="M36" s="113"/>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13"/>
      <c r="N37" s="741"/>
      <c r="O37" s="741"/>
      <c r="P37" s="741"/>
      <c r="Q37" s="741"/>
      <c r="R37" s="741"/>
      <c r="S37" s="741"/>
      <c r="T37" s="741"/>
      <c r="U37" s="123"/>
    </row>
    <row r="38" ht="18.95" customHeight="1">
      <c r="B38" s="743" t="s">
        <v>214</v>
      </c>
      <c r="C38" s="945"/>
      <c r="D38" s="4"/>
      <c r="E38" s="769">
        <v>573</v>
      </c>
      <c r="F38" s="769"/>
      <c r="G38" s="258">
        <v>65265</v>
      </c>
      <c r="H38" s="758">
        <v>340</v>
      </c>
      <c r="I38" s="758"/>
      <c r="J38" s="258">
        <v>53957</v>
      </c>
      <c r="K38" s="761">
        <v>82.67371485482264613498812534</v>
      </c>
      <c r="L38" s="762"/>
      <c r="N38" s="692"/>
      <c r="O38" s="741"/>
      <c r="P38" s="741"/>
      <c r="Q38" s="692"/>
      <c r="R38" s="692"/>
      <c r="S38" s="741"/>
      <c r="T38" s="741"/>
      <c r="U38" s="123"/>
    </row>
    <row r="39" ht="18.95" customHeight="1">
      <c r="B39" s="532" t="s">
        <v>215</v>
      </c>
      <c r="C39" s="345"/>
      <c r="D39" s="4"/>
      <c r="E39" s="772">
        <v>80</v>
      </c>
      <c r="F39" s="772"/>
      <c r="G39" s="4">
        <v>12887</v>
      </c>
      <c r="H39" s="765">
        <v>59</v>
      </c>
      <c r="I39" s="765"/>
      <c r="J39" s="4">
        <v>11665</v>
      </c>
      <c r="K39" s="766">
        <v>90.51757585163342903701404516</v>
      </c>
      <c r="L39" s="767"/>
      <c r="N39" s="693"/>
      <c r="O39" s="740"/>
      <c r="P39" s="740"/>
      <c r="Q39" s="740"/>
      <c r="R39" s="740"/>
      <c r="S39" s="740"/>
      <c r="T39" s="740"/>
      <c r="U39" s="123"/>
    </row>
    <row r="40" ht="18.95" customHeight="1">
      <c r="B40" s="730" t="s">
        <v>216</v>
      </c>
      <c r="C40" s="941"/>
      <c r="D40" s="4"/>
      <c r="E40" s="770">
        <v>225</v>
      </c>
      <c r="F40" s="770"/>
      <c r="G40" s="120">
        <v>20994</v>
      </c>
      <c r="H40" s="771">
        <v>114</v>
      </c>
      <c r="I40" s="771"/>
      <c r="J40" s="120">
        <v>15789</v>
      </c>
      <c r="K40" s="759">
        <v>75.207202057730780222920834520</v>
      </c>
      <c r="L40" s="760"/>
      <c r="N40" s="763"/>
      <c r="O40" s="763"/>
      <c r="P40" s="763"/>
      <c r="Q40" s="763"/>
      <c r="R40" s="763"/>
      <c r="S40" s="763"/>
      <c r="T40" s="763"/>
      <c r="U40" s="123"/>
    </row>
    <row r="41" ht="18.95" customHeight="1">
      <c r="B41" s="532" t="s">
        <v>217</v>
      </c>
      <c r="C41" s="345"/>
      <c r="D41" s="4"/>
      <c r="E41" s="772">
        <v>51</v>
      </c>
      <c r="F41" s="772"/>
      <c r="G41" s="4">
        <v>8683</v>
      </c>
      <c r="H41" s="765">
        <v>45</v>
      </c>
      <c r="I41" s="765"/>
      <c r="J41" s="4">
        <v>8304</v>
      </c>
      <c r="K41" s="766">
        <v>95.63514914200161234596337671</v>
      </c>
      <c r="L41" s="767"/>
      <c r="N41" s="763"/>
      <c r="O41" s="763"/>
      <c r="P41" s="763"/>
      <c r="Q41" s="763"/>
      <c r="R41" s="763"/>
      <c r="S41" s="763"/>
      <c r="T41" s="763"/>
      <c r="U41" s="123"/>
    </row>
    <row r="42" ht="18.95" customHeight="1">
      <c r="B42" s="726" t="s">
        <v>74</v>
      </c>
      <c r="C42" s="349"/>
      <c r="D42" s="4"/>
      <c r="E42" s="768">
        <v>4</v>
      </c>
      <c r="F42" s="768"/>
      <c r="G42" s="260">
        <v>344</v>
      </c>
      <c r="H42" s="764">
        <v>4</v>
      </c>
      <c r="I42" s="764"/>
      <c r="J42" s="260">
        <v>344</v>
      </c>
      <c r="K42" s="774">
        <v>100</v>
      </c>
      <c r="L42" s="775"/>
      <c r="N42" s="763"/>
      <c r="O42" s="763"/>
      <c r="P42" s="763"/>
      <c r="Q42" s="763"/>
      <c r="R42" s="763"/>
      <c r="S42" s="763"/>
      <c r="T42" s="763"/>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961"/>
      <c r="P3" s="961"/>
      <c r="Q3" s="961"/>
      <c r="R3" s="961"/>
      <c r="S3" s="961"/>
      <c r="T3" s="961"/>
      <c r="U3" s="961"/>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88.44696969696969696969696970</v>
      </c>
      <c r="E18" s="308">
        <v>-2.7083333333430624999999990200</v>
      </c>
      <c r="F18" s="308">
        <v>86.77325581395348837209302326</v>
      </c>
      <c r="G18" s="308">
        <v>4.2523130782659802154839786500</v>
      </c>
      <c r="H18" s="308">
        <v>101.92883609963573582512501125</v>
      </c>
      <c r="I18" s="309">
        <v>-6.6767309099561569988839586500</v>
      </c>
      <c r="J18" s="317">
        <v>234.46185484093733614073549379</v>
      </c>
      <c r="K18" s="308">
        <v>6.4688328070899901104196387800</v>
      </c>
      <c r="L18" s="318">
        <v>314.68622715990201071179388472</v>
      </c>
      <c r="M18" s="308">
        <v>18.312112772091665271318453070</v>
      </c>
      <c r="N18" s="308">
        <v>74.506551162724182660698247120</v>
      </c>
      <c r="O18" s="309">
        <v>-10.010200720333443646272763420</v>
      </c>
      <c r="P18" s="317">
        <v>207.3744057021169242002338553</v>
      </c>
      <c r="Q18" s="308">
        <v>3.5853019185552286205838193300</v>
      </c>
      <c r="R18" s="318">
        <v>273.06348490474055289962347264</v>
      </c>
      <c r="S18" s="308">
        <v>23.343114216648301791425556300</v>
      </c>
      <c r="T18" s="308">
        <v>75.943660418195875797444878040</v>
      </c>
      <c r="U18" s="309">
        <v>-16.018577464614223252734965840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89.08199643493761140819964349</v>
      </c>
      <c r="E19" s="134">
        <v>-0.4482071713657067943365717400</v>
      </c>
      <c r="F19" s="134">
        <v>84.96922024623803009575923393</v>
      </c>
      <c r="G19" s="134">
        <v>1.5692624289983943482456923200</v>
      </c>
      <c r="H19" s="134">
        <v>104.84031297076842752489404389</v>
      </c>
      <c r="I19" s="311">
        <v>-1.9862993508499674470692100400</v>
      </c>
      <c r="J19" s="319">
        <v>269.26588622014376095723847181</v>
      </c>
      <c r="K19" s="134">
        <v>2.3635744406249177014164835500</v>
      </c>
      <c r="L19" s="135">
        <v>353.6845968146907634356386254</v>
      </c>
      <c r="M19" s="134">
        <v>11.605880199698676254112027240</v>
      </c>
      <c r="N19" s="134">
        <v>76.131640632689382017281317080</v>
      </c>
      <c r="O19" s="311">
        <v>-8.281199648742622845838180900</v>
      </c>
      <c r="P19" s="319">
        <v>239.86742716313163019319059944</v>
      </c>
      <c r="Q19" s="134">
        <v>1.90477355918305905206142700</v>
      </c>
      <c r="R19" s="135">
        <v>300.52304404449357105193028892</v>
      </c>
      <c r="S19" s="134">
        <v>13.357269346214961405241445260</v>
      </c>
      <c r="T19" s="134">
        <v>79.81665030905690573454336380</v>
      </c>
      <c r="U19" s="311">
        <v>-10.103009584760331824223843660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88.34498834498834498834498834</v>
      </c>
      <c r="E20" s="159">
        <v>-1.8770226537597888585163392500</v>
      </c>
      <c r="F20" s="159">
        <v>86.29248658318425760286225403</v>
      </c>
      <c r="G20" s="159">
        <v>3.6086403496884232599270593100</v>
      </c>
      <c r="H20" s="159">
        <v>102.37854052311889201745284067</v>
      </c>
      <c r="I20" s="313">
        <v>-5.2945999338406605691051034600</v>
      </c>
      <c r="J20" s="320">
        <v>273.0798071719606644109833159</v>
      </c>
      <c r="K20" s="159">
        <v>4.4150110031802683039864535500</v>
      </c>
      <c r="L20" s="160">
        <v>350.53688395423957076845784952</v>
      </c>
      <c r="M20" s="159">
        <v>10.826847596843393334483885710</v>
      </c>
      <c r="N20" s="159">
        <v>77.903301955420011295178193310</v>
      </c>
      <c r="O20" s="313">
        <v>-5.7854542763529787318686504100</v>
      </c>
      <c r="P20" s="320">
        <v>241.25232381858529559851439797</v>
      </c>
      <c r="Q20" s="159">
        <v>2.4551175927607835118944137300</v>
      </c>
      <c r="R20" s="160">
        <v>302.4869935553243523245704028</v>
      </c>
      <c r="S20" s="159">
        <v>14.826189937475895923940089950</v>
      </c>
      <c r="T20" s="159">
        <v>79.75626356128931601454837635</v>
      </c>
      <c r="U20" s="313">
        <v>-10.773737551862824414250848370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82.10955710955710955710955711</v>
      </c>
      <c r="E21" s="315">
        <v>-0.6697215368705372594805232900</v>
      </c>
      <c r="F21" s="315">
        <v>75.549813063558390147349901030</v>
      </c>
      <c r="G21" s="315">
        <v>0.1918853915902923750542868800</v>
      </c>
      <c r="H21" s="315">
        <v>108.68267409270083677659377518</v>
      </c>
      <c r="I21" s="316">
        <v>-0.8599567970041219780034721200</v>
      </c>
      <c r="J21" s="321">
        <v>214.26905387654412036982990518</v>
      </c>
      <c r="K21" s="315">
        <v>-3.5908756360788728393800056200</v>
      </c>
      <c r="L21" s="322">
        <v>287.20270337985119467096999358</v>
      </c>
      <c r="M21" s="315">
        <v>9.077878747778353569445253910</v>
      </c>
      <c r="N21" s="315">
        <v>74.605514277878426383810796990</v>
      </c>
      <c r="O21" s="316">
        <v>-11.614412133162452024779027950</v>
      </c>
      <c r="P21" s="321">
        <v>175.93537116086868624772164126</v>
      </c>
      <c r="Q21" s="315">
        <v>-4.2365483054108467917743764100</v>
      </c>
      <c r="R21" s="322">
        <v>216.98110551696367198008569836</v>
      </c>
      <c r="S21" s="315">
        <v>9.287183262541204086266754220</v>
      </c>
      <c r="T21" s="315">
        <v>81.08326793785486114517299059</v>
      </c>
      <c r="U21" s="316">
        <v>-12.374490003556087475863535780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93.18181818181818181818181818</v>
      </c>
      <c r="E24" s="308">
        <v>-0.3241491085382556364906519300</v>
      </c>
      <c r="F24" s="308">
        <v>85.31976744186046511627906977</v>
      </c>
      <c r="G24" s="308">
        <v>10.336365920250836875948208790</v>
      </c>
      <c r="H24" s="308">
        <v>109.21480563724225326026535096</v>
      </c>
      <c r="I24" s="309">
        <v>-9.661832651413871763474750740</v>
      </c>
      <c r="J24" s="317">
        <v>245.24796008743175458122712157</v>
      </c>
      <c r="K24" s="308">
        <v>11.854822610326109607830001160</v>
      </c>
      <c r="L24" s="318">
        <v>321.01309916744773715288946865</v>
      </c>
      <c r="M24" s="308">
        <v>22.191418399872429606910198710</v>
      </c>
      <c r="N24" s="308">
        <v>76.398116065519590615692391690</v>
      </c>
      <c r="O24" s="309">
        <v>-8.459346756819548235708742690</v>
      </c>
      <c r="P24" s="317">
        <v>228.52650826328868040523436328</v>
      </c>
      <c r="Q24" s="308">
        <v>11.492246199898685361446621770</v>
      </c>
      <c r="R24" s="318">
        <v>273.88762966757532225108447398</v>
      </c>
      <c r="S24" s="308">
        <v>34.821570528738376237149493720</v>
      </c>
      <c r="T24" s="308">
        <v>83.43805397149070653773939035</v>
      </c>
      <c r="U24" s="309">
        <v>-17.303851481149026438222314270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91.35472370766488413547237077</v>
      </c>
      <c r="E25" s="134">
        <v>1.1457705169284345717504212100</v>
      </c>
      <c r="F25" s="134">
        <v>82.96853625170998632010943912</v>
      </c>
      <c r="G25" s="134">
        <v>5.3787686426833301585969893300</v>
      </c>
      <c r="H25" s="134">
        <v>110.10767193785831519057175052</v>
      </c>
      <c r="I25" s="311">
        <v>-4.0169364097126877355013481500</v>
      </c>
      <c r="J25" s="319">
        <v>270.16959044864355692576277086</v>
      </c>
      <c r="K25" s="134">
        <v>0.771457554984064006587094700</v>
      </c>
      <c r="L25" s="135">
        <v>356.2447241712919901760485554</v>
      </c>
      <c r="M25" s="134">
        <v>13.207831454581481597252364940</v>
      </c>
      <c r="N25" s="134">
        <v>75.838201134659532075509697210</v>
      </c>
      <c r="O25" s="311">
        <v>-10.985436024907065144135294580</v>
      </c>
      <c r="P25" s="319">
        <v>246.81268289648809790455155092</v>
      </c>
      <c r="Q25" s="134">
        <v>1.9260672051357965603034931400</v>
      </c>
      <c r="R25" s="135">
        <v>295.57103311886264301200198201</v>
      </c>
      <c r="S25" s="134">
        <v>19.297018794000991430351750180</v>
      </c>
      <c r="T25" s="134">
        <v>83.50367770890533278633671461</v>
      </c>
      <c r="U25" s="311">
        <v>-14.561094455239320130979817440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91.43356643356643356643356643</v>
      </c>
      <c r="E26" s="159">
        <v>-0.7590132827678506745784433500</v>
      </c>
      <c r="F26" s="159">
        <v>84.21288014311270125223613596</v>
      </c>
      <c r="G26" s="159">
        <v>8.067516508358189488785203160</v>
      </c>
      <c r="H26" s="159">
        <v>108.57432530296621378806770948</v>
      </c>
      <c r="I26" s="313">
        <v>-8.167606766807073547509669210</v>
      </c>
      <c r="J26" s="320">
        <v>267.68244865917235645349301566</v>
      </c>
      <c r="K26" s="159">
        <v>0.6927145492763150158745609100</v>
      </c>
      <c r="L26" s="160">
        <v>356.50318625354008133453798935</v>
      </c>
      <c r="M26" s="159">
        <v>17.291843964779471027669091090</v>
      </c>
      <c r="N26" s="159">
        <v>75.085569773514012039610494570</v>
      </c>
      <c r="O26" s="313">
        <v>-14.151989477157864221957374850</v>
      </c>
      <c r="P26" s="320">
        <v>244.75160952578171752653294963</v>
      </c>
      <c r="Q26" s="159">
        <v>-0.0715565289029083829094378600</v>
      </c>
      <c r="R26" s="160">
        <v>300.22160094607154434388865561</v>
      </c>
      <c r="S26" s="159">
        <v>26.754382839575585754873268460</v>
      </c>
      <c r="T26" s="159">
        <v>81.52365078145158692219996355</v>
      </c>
      <c r="U26" s="313">
        <v>-21.163717393894625256695007510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79.61829836829836829836829837</v>
      </c>
      <c r="E27" s="315">
        <v>4.5438467313347229319040988300</v>
      </c>
      <c r="F27" s="315">
        <v>70.986364636023751924345722450</v>
      </c>
      <c r="G27" s="315">
        <v>5.3610940609147114897934625200</v>
      </c>
      <c r="H27" s="315">
        <v>112.15998843800598356136432473</v>
      </c>
      <c r="I27" s="316">
        <v>-0.7756632909166311307007090700</v>
      </c>
      <c r="J27" s="321">
        <v>208.34447548632665629511166167</v>
      </c>
      <c r="K27" s="315">
        <v>-0.3280030286925984046985697500</v>
      </c>
      <c r="L27" s="322">
        <v>283.44247456640561419577384371</v>
      </c>
      <c r="M27" s="315">
        <v>13.381709336131620620917144820</v>
      </c>
      <c r="N27" s="315">
        <v>73.505029831906620786548935340</v>
      </c>
      <c r="O27" s="316">
        <v>-12.091643744875423889521702930</v>
      </c>
      <c r="P27" s="321">
        <v>165.88032612656981011841276675</v>
      </c>
      <c r="Q27" s="315">
        <v>4.2009397477432544990196756500</v>
      </c>
      <c r="R27" s="322">
        <v>201.20550852907757229391005587</v>
      </c>
      <c r="S27" s="315">
        <v>19.460209421440855604219570520</v>
      </c>
      <c r="T27" s="315">
        <v>82.44323296078090691380128037</v>
      </c>
      <c r="U27" s="316">
        <v>-12.773516593980189774234219130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94.39393939393939393939393939</v>
      </c>
      <c r="E30" s="308">
        <v>-0.320000000031897599999989800</v>
      </c>
      <c r="F30" s="308">
        <v>84.24418604651162790697674419</v>
      </c>
      <c r="G30" s="308">
        <v>10.653021797787575872033036230</v>
      </c>
      <c r="H30" s="308">
        <v>112.04801639585794836372446331</v>
      </c>
      <c r="I30" s="308">
        <v>-9.916603830139304977545573740</v>
      </c>
      <c r="J30" s="317">
        <v>243.28080932462313226271332006</v>
      </c>
      <c r="K30" s="308">
        <v>11.036366390618664379467410990</v>
      </c>
      <c r="L30" s="318">
        <v>302.997807878893786515257235</v>
      </c>
      <c r="M30" s="308">
        <v>12.048252525195807859806020960</v>
      </c>
      <c r="N30" s="308">
        <v>80.29127703189716433471386238</v>
      </c>
      <c r="O30" s="309">
        <v>-0.9030806923248235251755998900</v>
      </c>
      <c r="P30" s="317">
        <v>229.64233971097001727222787636</v>
      </c>
      <c r="Q30" s="308">
        <v>10.681050018147669914933150390</v>
      </c>
      <c r="R30" s="318">
        <v>255.25803698634714922128356599</v>
      </c>
      <c r="S30" s="308">
        <v>23.984777290751263091970196180</v>
      </c>
      <c r="T30" s="308">
        <v>89.96478325314990672670158220</v>
      </c>
      <c r="U30" s="309">
        <v>-10.730129587879245714856351930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91.13190730837789661319073084</v>
      </c>
      <c r="E31" s="134">
        <v>-0.1248100716397101875294845300</v>
      </c>
      <c r="F31" s="134">
        <v>83.84062927496580027359781122</v>
      </c>
      <c r="G31" s="134">
        <v>5.3602401799773546273651019900</v>
      </c>
      <c r="H31" s="134">
        <v>108.69659268594259559628136014</v>
      </c>
      <c r="I31" s="134">
        <v>-5.2059963438528027815813937900</v>
      </c>
      <c r="J31" s="319">
        <v>276.62006354790930162455467759</v>
      </c>
      <c r="K31" s="134">
        <v>2.0490297361586795741399299700</v>
      </c>
      <c r="L31" s="135">
        <v>357.19003002586621924989178264</v>
      </c>
      <c r="M31" s="134">
        <v>16.480593803695957308836064500</v>
      </c>
      <c r="N31" s="134">
        <v>77.443388755238063038027130620</v>
      </c>
      <c r="O31" s="311">
        <v>-12.389672473529425090730369060</v>
      </c>
      <c r="P31" s="319">
        <v>252.0891399088567387799529036</v>
      </c>
      <c r="Q31" s="134">
        <v>1.9216622690709936545990575800</v>
      </c>
      <c r="R31" s="135">
        <v>299.47036888112552547575571312</v>
      </c>
      <c r="S31" s="134">
        <v>22.724233394690046557348920320</v>
      </c>
      <c r="T31" s="134">
        <v>84.17832483752166045241229121</v>
      </c>
      <c r="U31" s="311">
        <v>-16.950662921438358142346118640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91.78321678321678321678321678</v>
      </c>
      <c r="E32" s="159">
        <v>-0.8810572687571492335799691800</v>
      </c>
      <c r="F32" s="159">
        <v>86.06887298747763864042933810</v>
      </c>
      <c r="G32" s="159">
        <v>8.562773578730644020277868200</v>
      </c>
      <c r="H32" s="159">
        <v>106.63926875927223052135496836</v>
      </c>
      <c r="I32" s="159">
        <v>-8.698958709505897768510620870</v>
      </c>
      <c r="J32" s="320">
        <v>273.70586675291197315183070805</v>
      </c>
      <c r="K32" s="159">
        <v>1.11404988105614280407595900</v>
      </c>
      <c r="L32" s="160">
        <v>358.0661956971076245977875656</v>
      </c>
      <c r="M32" s="159">
        <v>17.149704493573369272489201560</v>
      </c>
      <c r="N32" s="159">
        <v>76.440018645169394775274682680</v>
      </c>
      <c r="O32" s="313">
        <v>-13.688173334938652731209137800</v>
      </c>
      <c r="P32" s="320">
        <v>251.21604903020766766557888414</v>
      </c>
      <c r="Q32" s="159">
        <v>0.2231771948803454330242804300</v>
      </c>
      <c r="R32" s="160">
        <v>308.18353918563668315672726744</v>
      </c>
      <c r="S32" s="159">
        <v>27.180968437530672382627451410</v>
      </c>
      <c r="T32" s="159">
        <v>81.51507692268913976520590243</v>
      </c>
      <c r="U32" s="313">
        <v>-21.196403497967452514936707320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79.67657342657342657342657343</v>
      </c>
      <c r="E33" s="315">
        <v>3.6091649986356809421352544700</v>
      </c>
      <c r="F33" s="315">
        <v>70.683967451066637343303276890</v>
      </c>
      <c r="G33" s="315">
        <v>6.4263728966687698932833530600</v>
      </c>
      <c r="H33" s="315">
        <v>112.72227111713079369759985749</v>
      </c>
      <c r="I33" s="315">
        <v>-2.6470956601314997315702037300</v>
      </c>
      <c r="J33" s="321">
        <v>211.54015585788148488603565835</v>
      </c>
      <c r="K33" s="315">
        <v>-0.7231617968372048912111309400</v>
      </c>
      <c r="L33" s="322">
        <v>288.59851082498714655142682809</v>
      </c>
      <c r="M33" s="315">
        <v>13.916859444472604694553339580</v>
      </c>
      <c r="N33" s="315">
        <v>73.299115526675373961897385810</v>
      </c>
      <c r="O33" s="316">
        <v>-12.851496532423582293506677290</v>
      </c>
      <c r="P33" s="321">
        <v>168.54794760879280898043837638</v>
      </c>
      <c r="Q33" s="315">
        <v>2.8599030992468988901296616600</v>
      </c>
      <c r="R33" s="322">
        <v>203.99287745579694062377079953</v>
      </c>
      <c r="S33" s="315">
        <v>21.237581624610391810103338700</v>
      </c>
      <c r="T33" s="315">
        <v>82.62442773047936736777011087</v>
      </c>
      <c r="U33" s="316">
        <v>-15.158400785502526239616090860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94.69696969696969696969696970</v>
      </c>
      <c r="E36" s="308">
        <v>6.1571125265933709278267142500</v>
      </c>
      <c r="F36" s="308">
        <v>84.12790697674418604651162791</v>
      </c>
      <c r="G36" s="308">
        <v>2.6189025422808279613555877600</v>
      </c>
      <c r="H36" s="308">
        <v>112.56308768408668053525825415</v>
      </c>
      <c r="I36" s="308">
        <v>3.4479125157915018832607315700</v>
      </c>
      <c r="J36" s="317">
        <v>238.103150537023356253906916</v>
      </c>
      <c r="K36" s="308">
        <v>4.7687967189372325969829580400</v>
      </c>
      <c r="L36" s="318">
        <v>300.01317596679966584262041355</v>
      </c>
      <c r="M36" s="308">
        <v>9.269707741536543999445930400</v>
      </c>
      <c r="N36" s="308">
        <v>79.36423117742411453449355238</v>
      </c>
      <c r="O36" s="309">
        <v>-4.1190839763459082611313843600</v>
      </c>
      <c r="P36" s="317">
        <v>225.47646831157514796771488258</v>
      </c>
      <c r="Q36" s="308">
        <v>11.219529425643026784812300720</v>
      </c>
      <c r="R36" s="318">
        <v>252.39480559532506771759984791</v>
      </c>
      <c r="S36" s="308">
        <v>12.131374895430897530334642030</v>
      </c>
      <c r="T36" s="308">
        <v>89.33482913000721633584412474</v>
      </c>
      <c r="U36" s="309">
        <v>-0.8131938724575876556596170200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92.29797979797979797979797980</v>
      </c>
      <c r="E37" s="134">
        <v>2.0781994413868800697752032400</v>
      </c>
      <c r="F37" s="134">
        <v>82.67118863049095607235142119</v>
      </c>
      <c r="G37" s="134">
        <v>0.0749040855450816066445558600</v>
      </c>
      <c r="H37" s="134">
        <v>111.64467491873967338795753012</v>
      </c>
      <c r="I37" s="134">
        <v>2.001795928953022732564894500</v>
      </c>
      <c r="J37" s="319">
        <v>275.1169390915670621481342395</v>
      </c>
      <c r="K37" s="134">
        <v>-0.1566268191304005255100384200</v>
      </c>
      <c r="L37" s="135">
        <v>359.35040465131336939650178656</v>
      </c>
      <c r="M37" s="134">
        <v>19.538005686078060030772859140</v>
      </c>
      <c r="N37" s="134">
        <v>76.559518378316591220573187630</v>
      </c>
      <c r="O37" s="311">
        <v>-16.475624126515447786822428270</v>
      </c>
      <c r="P37" s="319">
        <v>253.92737686355495256349258721</v>
      </c>
      <c r="Q37" s="134">
        <v>1.9183176046419661149533688500</v>
      </c>
      <c r="R37" s="135">
        <v>297.07925087371982201884571147</v>
      </c>
      <c r="S37" s="134">
        <v>19.627544536192868403276812260</v>
      </c>
      <c r="T37" s="134">
        <v>85.47462541283618776186583706</v>
      </c>
      <c r="U37" s="311">
        <v>-14.803636570659796891397134670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93.76456876456876456876456876</v>
      </c>
      <c r="E38" s="159">
        <v>2.7841362789994579566815809700</v>
      </c>
      <c r="F38" s="159">
        <v>84.61538461538461538461538462</v>
      </c>
      <c r="G38" s="159">
        <v>-0.1168821681592869466247114900</v>
      </c>
      <c r="H38" s="159">
        <v>110.81267217628839218632607428</v>
      </c>
      <c r="I38" s="159">
        <v>2.9044131882032232916958555600</v>
      </c>
      <c r="J38" s="320">
        <v>269.90944526745384052999593961</v>
      </c>
      <c r="K38" s="159">
        <v>-2.8759339829709848118484689700</v>
      </c>
      <c r="L38" s="160">
        <v>352.39242391740351764064500296</v>
      </c>
      <c r="M38" s="159">
        <v>15.509028672345923005502395530</v>
      </c>
      <c r="N38" s="159">
        <v>76.593430206865064125461018020</v>
      </c>
      <c r="O38" s="313">
        <v>-15.916472388890583058688392350</v>
      </c>
      <c r="P38" s="320">
        <v>253.07942740986784930813721843</v>
      </c>
      <c r="Q38" s="159">
        <v>-0.17186762538709060967008600</v>
      </c>
      <c r="R38" s="160">
        <v>298.17820485318759184977654097</v>
      </c>
      <c r="S38" s="159">
        <v>15.374019215205561604446601870</v>
      </c>
      <c r="T38" s="159">
        <v>84.87522672371868431448778995</v>
      </c>
      <c r="U38" s="313">
        <v>-13.474339323855149536626396320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81.38936535162950257289879931</v>
      </c>
      <c r="E39" s="315">
        <v>2.0377358490387122253812385900</v>
      </c>
      <c r="F39" s="315">
        <v>70.946418014725640887837910460</v>
      </c>
      <c r="G39" s="315">
        <v>3.0857053425538868763861044600</v>
      </c>
      <c r="H39" s="315">
        <v>114.71948497070808885968663034</v>
      </c>
      <c r="I39" s="315">
        <v>-1.0166002065415613746770941600</v>
      </c>
      <c r="J39" s="321">
        <v>211.4489240061526330869404589</v>
      </c>
      <c r="K39" s="315">
        <v>-4.3206450209099001326888205300</v>
      </c>
      <c r="L39" s="322">
        <v>281.7287871641510961082680766</v>
      </c>
      <c r="M39" s="315">
        <v>8.682331343630560234371677400</v>
      </c>
      <c r="N39" s="315">
        <v>75.054071021472806919685530730</v>
      </c>
      <c r="O39" s="316">
        <v>-11.964204488241548526485159520</v>
      </c>
      <c r="P39" s="321">
        <v>172.09693729145698867882203731</v>
      </c>
      <c r="Q39" s="315">
        <v>-2.3709525043461665158905022100</v>
      </c>
      <c r="R39" s="322">
        <v>199.87648300929535227200767879</v>
      </c>
      <c r="S39" s="315">
        <v>12.035947848233996102137194890</v>
      </c>
      <c r="T39" s="315">
        <v>86.10164372536489738633388994</v>
      </c>
      <c r="U39" s="316">
        <v>-12.859176567243418182458352870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93.18181818181818181818181818</v>
      </c>
      <c r="E42" s="308">
        <v>-0.4048582995886901932501757900</v>
      </c>
      <c r="F42" s="308">
        <v>88.37209302325581395348837209</v>
      </c>
      <c r="G42" s="308">
        <v>1.238296587103625624562224500</v>
      </c>
      <c r="H42" s="308">
        <v>105.44258373200469497607658138</v>
      </c>
      <c r="I42" s="308">
        <v>-1.6230566318378569095492644300</v>
      </c>
      <c r="J42" s="317">
        <v>246.57669036342576871242372699</v>
      </c>
      <c r="K42" s="308">
        <v>-6.7861753766473273968657664400</v>
      </c>
      <c r="L42" s="318">
        <v>347.57725432988763842342177637</v>
      </c>
      <c r="M42" s="308">
        <v>5.2200317167434413164757704400</v>
      </c>
      <c r="N42" s="308">
        <v>70.941549624357638921236162420</v>
      </c>
      <c r="O42" s="309">
        <v>-11.410571635019023063354275800</v>
      </c>
      <c r="P42" s="317">
        <v>229.76464329319219357294029106</v>
      </c>
      <c r="Q42" s="308">
        <v>-7.1635592820037517550866848300</v>
      </c>
      <c r="R42" s="318">
        <v>307.16129452408675023465180238</v>
      </c>
      <c r="S42" s="308">
        <v>6.5229677784794758257094537500</v>
      </c>
      <c r="T42" s="308">
        <v>74.802602863481800530971905100</v>
      </c>
      <c r="U42" s="309">
        <v>-12.848428227161279524894111250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92.24598930481283422459893048</v>
      </c>
      <c r="E43" s="134">
        <v>-0.4807692307833931213017731300</v>
      </c>
      <c r="F43" s="134">
        <v>85.55061559507523939808481532</v>
      </c>
      <c r="G43" s="134">
        <v>-1.2457460241628821423919782200</v>
      </c>
      <c r="H43" s="134">
        <v>107.82621336286014834869180970</v>
      </c>
      <c r="I43" s="134">
        <v>0.7746266743204775842704932900</v>
      </c>
      <c r="J43" s="319">
        <v>283.72274351595988393982781485</v>
      </c>
      <c r="K43" s="134">
        <v>-5.4510552976423838782134791800</v>
      </c>
      <c r="L43" s="135">
        <v>380.40672258198828308700163564</v>
      </c>
      <c r="M43" s="134">
        <v>11.958559010433421603138462880</v>
      </c>
      <c r="N43" s="134">
        <v>74.584050878543809703421287700</v>
      </c>
      <c r="O43" s="311">
        <v>-15.550052146056938709758474360</v>
      </c>
      <c r="P43" s="319">
        <v>261.72285163905390363433314471</v>
      </c>
      <c r="Q43" s="134">
        <v>-5.9056175317859822255290966100</v>
      </c>
      <c r="R43" s="135">
        <v>325.44029293394107050004602994</v>
      </c>
      <c r="S43" s="134">
        <v>10.563839712771407359837469170</v>
      </c>
      <c r="T43" s="134">
        <v>80.42115783499871940050991112</v>
      </c>
      <c r="U43" s="311">
        <v>-14.895880323336809946913581100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92.73989898989898989898989899</v>
      </c>
      <c r="E44" s="159">
        <v>-0.474254742528005816643528500</v>
      </c>
      <c r="F44" s="159">
        <v>88.25096899224806201550387597</v>
      </c>
      <c r="G44" s="159">
        <v>0.8127172873433183750562633500</v>
      </c>
      <c r="H44" s="159">
        <v>105.08655037894908647240794346</v>
      </c>
      <c r="I44" s="159">
        <v>-1.276596906065334447417204100</v>
      </c>
      <c r="J44" s="320">
        <v>293.66552504854790535324752331</v>
      </c>
      <c r="K44" s="159">
        <v>-4.0074437333224787111773566500</v>
      </c>
      <c r="L44" s="160">
        <v>387.91880528612646206417395501</v>
      </c>
      <c r="M44" s="159">
        <v>11.908828372249834516463911550</v>
      </c>
      <c r="N44" s="159">
        <v>75.702832924524527847053676380</v>
      </c>
      <c r="O44" s="313">
        <v>-14.222534841121864342175376240</v>
      </c>
      <c r="P44" s="320">
        <v>272.34511129817984404287917408</v>
      </c>
      <c r="Q44" s="159">
        <v>-4.4626929838883756302766493600</v>
      </c>
      <c r="R44" s="160">
        <v>342.34210456815860012107212163</v>
      </c>
      <c r="S44" s="159">
        <v>12.818330766442369784453690720</v>
      </c>
      <c r="T44" s="159">
        <v>79.55349565946375141335409288</v>
      </c>
      <c r="U44" s="313">
        <v>-15.317567307476515522748860770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85.06701631701631701631701632</v>
      </c>
      <c r="E45" s="315">
        <v>0.3437016670016442453848215600</v>
      </c>
      <c r="F45" s="315">
        <v>76.028034824508569238350763840</v>
      </c>
      <c r="G45" s="315">
        <v>-0.0551359185426556094115985600</v>
      </c>
      <c r="H45" s="315">
        <v>111.88901109095024155357256076</v>
      </c>
      <c r="I45" s="315">
        <v>0.399057609607392300618836700</v>
      </c>
      <c r="J45" s="321">
        <v>221.60590268324215938318314468</v>
      </c>
      <c r="K45" s="315">
        <v>-7.6589659313349273698632664900</v>
      </c>
      <c r="L45" s="322">
        <v>303.62293763777905814514890654</v>
      </c>
      <c r="M45" s="315">
        <v>7.0785958912843794522534771900</v>
      </c>
      <c r="N45" s="315">
        <v>72.987207227275372705989211070</v>
      </c>
      <c r="O45" s="316">
        <v>-13.763312546221386048664177750</v>
      </c>
      <c r="P45" s="321">
        <v>188.51352939502490801841584816</v>
      </c>
      <c r="Q45" s="315">
        <v>-7.3415882579407440563226469200</v>
      </c>
      <c r="R45" s="322">
        <v>230.83855276244659816817568676</v>
      </c>
      <c r="S45" s="315">
        <v>7.0195571238975131353691782900</v>
      </c>
      <c r="T45" s="315">
        <v>81.66466438951389138533581697</v>
      </c>
      <c r="U45" s="316">
        <v>-13.419178482688474148671424120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93.18181818181818181818181818</v>
      </c>
      <c r="E48" s="308">
        <v>-2.3809523809058956916099551900</v>
      </c>
      <c r="F48" s="308">
        <v>95.93023255813953488372093023</v>
      </c>
      <c r="G48" s="308">
        <v>10.349395859658638450848009050</v>
      </c>
      <c r="H48" s="308">
        <v>97.13498622593534819267052322</v>
      </c>
      <c r="I48" s="308">
        <v>-11.536400486328425061346132410</v>
      </c>
      <c r="J48" s="317">
        <v>329.43193528691836330194864136</v>
      </c>
      <c r="K48" s="308">
        <v>-1.4619523502201178810154805600</v>
      </c>
      <c r="L48" s="318">
        <v>424.77880795194880311792349413</v>
      </c>
      <c r="M48" s="308">
        <v>12.449989320574942778775902040</v>
      </c>
      <c r="N48" s="308">
        <v>77.553759537886768032851623990</v>
      </c>
      <c r="O48" s="309">
        <v>-12.371670068515972951320577620</v>
      </c>
      <c r="P48" s="317">
        <v>306.97066697190120216772487036</v>
      </c>
      <c r="Q48" s="308">
        <v>-3.8080963418829137622030129100</v>
      </c>
      <c r="R48" s="318">
        <v>407.4912983259973983398684682</v>
      </c>
      <c r="S48" s="308">
        <v>24.087883859445493030500445500</v>
      </c>
      <c r="T48" s="308">
        <v>75.331833644781151740260798330</v>
      </c>
      <c r="U48" s="309">
        <v>-22.480825148863565853639165060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93.22638146167557932263814617</v>
      </c>
      <c r="E49" s="134">
        <v>-1.4601978333018004144101265100</v>
      </c>
      <c r="F49" s="134">
        <v>89.60328317373461012311901505</v>
      </c>
      <c r="G49" s="134">
        <v>2.0838952423714157610696321900</v>
      </c>
      <c r="H49" s="134">
        <v>104.04348831833766639296644928</v>
      </c>
      <c r="I49" s="134">
        <v>-3.4717455355066926814252330500</v>
      </c>
      <c r="J49" s="319">
        <v>341.96594427932209775278006874</v>
      </c>
      <c r="K49" s="134">
        <v>-6.7476185304673227992360544700</v>
      </c>
      <c r="L49" s="135">
        <v>438.42961546883997854410256059</v>
      </c>
      <c r="M49" s="134">
        <v>6.8695268910212769265902802400</v>
      </c>
      <c r="N49" s="134">
        <v>77.997911686159222562569281130</v>
      </c>
      <c r="O49" s="311">
        <v>-12.741841212991872087167059490</v>
      </c>
      <c r="P49" s="319">
        <v>318.8024756828617774058894402</v>
      </c>
      <c r="Q49" s="134">
        <v>-8.109287784160195114183972350</v>
      </c>
      <c r="R49" s="135">
        <v>392.84732986606044589109052967</v>
      </c>
      <c r="S49" s="134">
        <v>9.096575877527331167025639780</v>
      </c>
      <c r="T49" s="134">
        <v>81.15174813368948394199335890</v>
      </c>
      <c r="U49" s="311">
        <v>-15.771222445173789739576193630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94.19191919191919191919191919</v>
      </c>
      <c r="E50" s="159">
        <v>-1.6828872668331785272405442100</v>
      </c>
      <c r="F50" s="159">
        <v>93.16860465116279069767441860</v>
      </c>
      <c r="G50" s="159">
        <v>5.5193167383671065922243737800</v>
      </c>
      <c r="H50" s="159">
        <v>101.09834696414122131603934516</v>
      </c>
      <c r="I50" s="159">
        <v>-6.825483928336323406777250400</v>
      </c>
      <c r="J50" s="320">
        <v>362.84405434509920568240365374</v>
      </c>
      <c r="K50" s="159">
        <v>-4.3269262879791636483113012700</v>
      </c>
      <c r="L50" s="160">
        <v>457.12671753958942465273185507</v>
      </c>
      <c r="M50" s="159">
        <v>8.209341236982242018069321940</v>
      </c>
      <c r="N50" s="159">
        <v>79.37493925055184063687660629</v>
      </c>
      <c r="O50" s="313">
        <v>-11.585199005649137003324032520</v>
      </c>
      <c r="P50" s="320">
        <v>341.76977846141920131196101729</v>
      </c>
      <c r="Q50" s="159">
        <v>-5.9369962632723397860272930200</v>
      </c>
      <c r="R50" s="160">
        <v>425.89858421929770523604813823</v>
      </c>
      <c r="S50" s="159">
        <v>14.181757520309546375219772620</v>
      </c>
      <c r="T50" s="159">
        <v>80.24675148613268817603583113</v>
      </c>
      <c r="U50" s="313">
        <v>-17.619937037661877141096149410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87.01923076923076923076923077</v>
      </c>
      <c r="E51" s="315">
        <v>-1.1256414500834501403133320200</v>
      </c>
      <c r="F51" s="315">
        <v>80.81914252860975743306138093</v>
      </c>
      <c r="G51" s="315">
        <v>0.2664489394710954666541303600</v>
      </c>
      <c r="H51" s="315">
        <v>107.67155904733424181434693843</v>
      </c>
      <c r="I51" s="315">
        <v>-1.3883910363801824806349751500</v>
      </c>
      <c r="J51" s="321">
        <v>279.592660349984141205128312</v>
      </c>
      <c r="K51" s="315">
        <v>-8.801989955753863086820320210</v>
      </c>
      <c r="L51" s="322">
        <v>352.5356824158538723032809032</v>
      </c>
      <c r="M51" s="315">
        <v>4.3044890068798391606174744100</v>
      </c>
      <c r="N51" s="315">
        <v>79.30903857276434496664692265</v>
      </c>
      <c r="O51" s="316">
        <v>-12.565594335824729867300344430</v>
      </c>
      <c r="P51" s="321">
        <v>243.29938232378427672177030997</v>
      </c>
      <c r="Q51" s="315">
        <v>-9.828552558466186984275560530</v>
      </c>
      <c r="R51" s="322">
        <v>284.91631563587598725272004223</v>
      </c>
      <c r="S51" s="315">
        <v>4.582407211716430710561743600</v>
      </c>
      <c r="T51" s="315">
        <v>85.39327829674071842210793774</v>
      </c>
      <c r="U51" s="316">
        <v>-13.779525786765451436726782100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93.37121212121212121212121212</v>
      </c>
      <c r="E54" s="308">
        <v>-1.5968063872632603057358192700</v>
      </c>
      <c r="F54" s="308">
        <v>96.22093023255813953488372093</v>
      </c>
      <c r="G54" s="308">
        <v>4.8545377566791124046017144800</v>
      </c>
      <c r="H54" s="308">
        <v>97.03835942502415762299846976</v>
      </c>
      <c r="I54" s="308">
        <v>-6.1526608975937386717335347900</v>
      </c>
      <c r="J54" s="317">
        <v>340.97294180814750255350781838</v>
      </c>
      <c r="K54" s="308">
        <v>0.4577862246394773693638264900</v>
      </c>
      <c r="L54" s="318">
        <v>408.25333032197987478792031838</v>
      </c>
      <c r="M54" s="308">
        <v>8.601191514703880178861489040</v>
      </c>
      <c r="N54" s="308">
        <v>83.51994129214164440319732932</v>
      </c>
      <c r="O54" s="309">
        <v>-7.4984493046954440399166857700</v>
      </c>
      <c r="P54" s="317">
        <v>318.37056877162257340696847436</v>
      </c>
      <c r="Q54" s="308">
        <v>-1.146330122254849497900481700</v>
      </c>
      <c r="R54" s="318">
        <v>392.82515214120737951977216681</v>
      </c>
      <c r="S54" s="308">
        <v>13.873277360968553020254996590</v>
      </c>
      <c r="T54" s="308">
        <v>81.04638082267835122872851136</v>
      </c>
      <c r="U54" s="309">
        <v>-13.189756043981477134468461910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93.85026737967914438502673797</v>
      </c>
      <c r="E55" s="134">
        <v>-0.9407337723140978203826749600</v>
      </c>
      <c r="F55" s="134">
        <v>89.74008207934336525307797538</v>
      </c>
      <c r="G55" s="134">
        <v>-0.6278345260664151096980043200</v>
      </c>
      <c r="H55" s="134">
        <v>104.58009977832104639799431894</v>
      </c>
      <c r="I55" s="134">
        <v>-0.3148761473589408543739614400</v>
      </c>
      <c r="J55" s="319">
        <v>350.27944973055719505286535174</v>
      </c>
      <c r="K55" s="134">
        <v>-5.1325510523267138992500838500</v>
      </c>
      <c r="L55" s="135">
        <v>442.20365091223109401216566745</v>
      </c>
      <c r="M55" s="134">
        <v>6.4490251046439217158067931400</v>
      </c>
      <c r="N55" s="134">
        <v>79.212247345308677295847647900</v>
      </c>
      <c r="O55" s="311">
        <v>-10.879926937356259861818841210</v>
      </c>
      <c r="P55" s="319">
        <v>328.73820014819672583838432743</v>
      </c>
      <c r="Q55" s="134">
        <v>-6.0250011835138902543114605700</v>
      </c>
      <c r="R55" s="135">
        <v>396.83391928648918970175195328</v>
      </c>
      <c r="S55" s="134">
        <v>5.780701372402087299112945500</v>
      </c>
      <c r="T55" s="134">
        <v>82.84024731032616627065587634</v>
      </c>
      <c r="U55" s="311">
        <v>-11.160544790068126590593159590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94.17249417249417249417249417</v>
      </c>
      <c r="E56" s="159">
        <v>-0.8588957054745172193157216800</v>
      </c>
      <c r="F56" s="159">
        <v>93.44812164579606440071556351</v>
      </c>
      <c r="G56" s="159">
        <v>3.4028784466986162204813649600</v>
      </c>
      <c r="H56" s="159">
        <v>100.77516007163823952279655075</v>
      </c>
      <c r="I56" s="159">
        <v>-4.1215237101978555339367533900</v>
      </c>
      <c r="J56" s="320">
        <v>364.28603182592310056216278207</v>
      </c>
      <c r="K56" s="159">
        <v>-3.9952587452718002919021347900</v>
      </c>
      <c r="L56" s="160">
        <v>454.4581389647082468904938089</v>
      </c>
      <c r="M56" s="159">
        <v>5.7741329878177394731736816400</v>
      </c>
      <c r="N56" s="159">
        <v>80.15832495723417757340824008</v>
      </c>
      <c r="O56" s="313">
        <v>-9.236087743914991985606535930</v>
      </c>
      <c r="P56" s="320">
        <v>343.05724209247769843150061528</v>
      </c>
      <c r="Q56" s="159">
        <v>-4.819839344981162921316254200</v>
      </c>
      <c r="R56" s="160">
        <v>424.68259452896148563402809199</v>
      </c>
      <c r="S56" s="159">
        <v>9.373498161477795258660182950</v>
      </c>
      <c r="T56" s="159">
        <v>80.77968028639129714755642972</v>
      </c>
      <c r="U56" s="313">
        <v>-12.976943907823831225221240480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87.51456876456876456876456876</v>
      </c>
      <c r="E57" s="315">
        <v>-2.4204028589833722816897100800</v>
      </c>
      <c r="F57" s="315">
        <v>81.24587640202331207389487574</v>
      </c>
      <c r="G57" s="315">
        <v>-1.9040225783487661110884084400</v>
      </c>
      <c r="H57" s="315">
        <v>107.71570526429135850084662462</v>
      </c>
      <c r="I57" s="315">
        <v>-0.5264031147508034837469120800</v>
      </c>
      <c r="J57" s="321">
        <v>281.14748495144481159438116283</v>
      </c>
      <c r="K57" s="315">
        <v>-8.273920921153196431023112280</v>
      </c>
      <c r="L57" s="322">
        <v>358.10050670988990352938793908</v>
      </c>
      <c r="M57" s="315">
        <v>4.995884236102453029617558500</v>
      </c>
      <c r="N57" s="315">
        <v>78.510775517892403143619962640</v>
      </c>
      <c r="O57" s="316">
        <v>-12.638405070602563214465349410</v>
      </c>
      <c r="P57" s="321">
        <v>246.04500904768778893465146345</v>
      </c>
      <c r="Q57" s="315">
        <v>-10.494061561622080048601131470</v>
      </c>
      <c r="R57" s="322">
        <v>290.94189507653634838650569473</v>
      </c>
      <c r="S57" s="315">
        <v>2.9967388939419379388323681800</v>
      </c>
      <c r="T57" s="315">
        <v>84.56843555755108274562000950</v>
      </c>
      <c r="U57" s="316">
        <v>-13.098279227492895063540777410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92.94077134986225895316804408</v>
      </c>
      <c r="E60" s="246">
        <v>0.4465947152593837452764818900</v>
      </c>
      <c r="F60" s="246">
        <v>85.62367864693446088794926004</v>
      </c>
      <c r="G60" s="246">
        <v>5.9861782956233581242038919100</v>
      </c>
      <c r="H60" s="246">
        <v>108.54564160124084302328268422</v>
      </c>
      <c r="I60" s="239">
        <v>-5.226703773465021491713100200</v>
      </c>
      <c r="J60" s="326">
        <v>241.51531216280824249594735605</v>
      </c>
      <c r="K60" s="246">
        <v>5.4107296300712192237723214700</v>
      </c>
      <c r="L60" s="328">
        <v>316.11443891313676321992816151</v>
      </c>
      <c r="M60" s="246">
        <v>12.718580714183547054651335210</v>
      </c>
      <c r="N60" s="246">
        <v>76.401227667174326490895231070</v>
      </c>
      <c r="O60" s="239">
        <v>-6.4832710257839084599441127800</v>
      </c>
      <c r="P60" s="326">
        <v>224.46619405214168267787944696</v>
      </c>
      <c r="Q60" s="246">
        <v>5.8814883779430989063984449400</v>
      </c>
      <c r="R60" s="328">
        <v>270.66881133154416301072073026</v>
      </c>
      <c r="S60" s="246">
        <v>19.466115928028367704599935110</v>
      </c>
      <c r="T60" s="246">
        <v>82.93020276252961428943276940</v>
      </c>
      <c r="U60" s="239">
        <v>-11.371113427937859368228259620</v>
      </c>
    </row>
    <row r="61" ht="15.95" customHeight="1">
      <c r="B61" s="345" t="s">
        <v>67</v>
      </c>
      <c r="C61" s="304" t="s">
        <v>58</v>
      </c>
      <c r="D61" s="240">
        <v>91.23502466525722339675828048</v>
      </c>
      <c r="E61" s="121">
        <v>0.4451177505718849754485071700</v>
      </c>
      <c r="F61" s="121">
        <v>83.98458626284478096268253110</v>
      </c>
      <c r="G61" s="121">
        <v>2.2112569310489091219582534700</v>
      </c>
      <c r="H61" s="121">
        <v>108.63305842785192255203047380</v>
      </c>
      <c r="I61" s="241">
        <v>-1.7279302040885247884116288300</v>
      </c>
      <c r="J61" s="329">
        <v>275.02517364440520601717192864</v>
      </c>
      <c r="K61" s="121">
        <v>-0.1977743357910647811501602300</v>
      </c>
      <c r="L61" s="136">
        <v>361.4243916508045452408056492</v>
      </c>
      <c r="M61" s="121">
        <v>14.407135147250371618552460090</v>
      </c>
      <c r="N61" s="121">
        <v>76.094801567827844085306439470</v>
      </c>
      <c r="O61" s="241">
        <v>-12.765733067434010865570274870</v>
      </c>
      <c r="P61" s="329">
        <v>250.91928501013959819589937147</v>
      </c>
      <c r="Q61" s="121">
        <v>0.2464630860578796165292472100</v>
      </c>
      <c r="R61" s="136">
        <v>303.54077998093191356993838426</v>
      </c>
      <c r="S61" s="121">
        <v>16.936970852819091037850099680</v>
      </c>
      <c r="T61" s="121">
        <v>82.66411024769997733194533767</v>
      </c>
      <c r="U61" s="241">
        <v>-14.273080314175590345638721090</v>
      </c>
    </row>
    <row r="62" ht="15.95" customHeight="1">
      <c r="B62" s="345"/>
      <c r="C62" s="305" t="s">
        <v>44</v>
      </c>
      <c r="D62" s="242">
        <v>91.59564393939393939393939394</v>
      </c>
      <c r="E62" s="156">
        <v>-0.2706534346683217678139452800</v>
      </c>
      <c r="F62" s="156">
        <v>85.85119912790697674418604651</v>
      </c>
      <c r="G62" s="156">
        <v>4.0461297418382265793194010700</v>
      </c>
      <c r="H62" s="156">
        <v>106.69116432833505355935548488</v>
      </c>
      <c r="I62" s="243">
        <v>-4.148912782496161534672506500</v>
      </c>
      <c r="J62" s="330">
        <v>275.36164945546914637030223471</v>
      </c>
      <c r="K62" s="156">
        <v>-0.4056177389861951724586375400</v>
      </c>
      <c r="L62" s="186">
        <v>360.83544582875103481457169772</v>
      </c>
      <c r="M62" s="156">
        <v>14.111886158759836518057777960</v>
      </c>
      <c r="N62" s="156">
        <v>76.312250539298658395545081200</v>
      </c>
      <c r="O62" s="243">
        <v>-12.722166275936780786252270810</v>
      </c>
      <c r="P62" s="330">
        <v>252.21927598087360968435117095</v>
      </c>
      <c r="Q62" s="156">
        <v>-0.6751733553589083433862518200</v>
      </c>
      <c r="R62" s="186">
        <v>309.78155712251195989417785514</v>
      </c>
      <c r="S62" s="156">
        <v>18.729001123584296227453318320</v>
      </c>
      <c r="T62" s="156">
        <v>81.41842862554146004826971749</v>
      </c>
      <c r="U62" s="243">
        <v>-16.343247475615807475680162640</v>
      </c>
    </row>
    <row r="63" ht="15.95" customHeight="1">
      <c r="B63" s="346"/>
      <c r="C63" s="349" t="s">
        <v>45</v>
      </c>
      <c r="D63" s="244">
        <v>81.57146174387553697898525485</v>
      </c>
      <c r="E63" s="250">
        <v>1.9319060901476771034677178600</v>
      </c>
      <c r="F63" s="250">
        <v>72.832863048756480083995012800</v>
      </c>
      <c r="G63" s="250">
        <v>2.8899377008842352913344411400</v>
      </c>
      <c r="H63" s="250">
        <v>111.99815348357298281546564940</v>
      </c>
      <c r="I63" s="245">
        <v>-0.931122743577030392934941600</v>
      </c>
      <c r="J63" s="332">
        <v>213.53887832709019468862117735</v>
      </c>
      <c r="K63" s="250">
        <v>-3.5523586526201707331423589500</v>
      </c>
      <c r="L63" s="334">
        <v>289.08170105249652744978853242</v>
      </c>
      <c r="M63" s="250">
        <v>10.177878571190065925944915020</v>
      </c>
      <c r="N63" s="250">
        <v>73.868002557626258517784005850</v>
      </c>
      <c r="O63" s="245">
        <v>-12.461882005609989848594105270</v>
      </c>
      <c r="P63" s="332">
        <v>174.18678444288330840979684626</v>
      </c>
      <c r="Q63" s="250">
        <v>-1.6890807956749263517078168600</v>
      </c>
      <c r="R63" s="334">
        <v>210.5464794265804159173963463</v>
      </c>
      <c r="S63" s="250">
        <v>13.361950622139274034369437810</v>
      </c>
      <c r="T63" s="250">
        <v>82.73079887978260628554336824</v>
      </c>
      <c r="U63" s="245">
        <v>-13.276969331624405919672456650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93.27651515151515151515151515</v>
      </c>
      <c r="E66" s="246">
        <v>-1.9900497512905918170342094700</v>
      </c>
      <c r="F66" s="246">
        <v>96.07558139534883720930232558</v>
      </c>
      <c r="G66" s="246">
        <v>7.527662383009334737925281800</v>
      </c>
      <c r="H66" s="246">
        <v>97.08659973415286738265494370</v>
      </c>
      <c r="I66" s="239">
        <v>-8.851408022188527933828587790</v>
      </c>
      <c r="J66" s="326">
        <v>335.20829692647771929283054417</v>
      </c>
      <c r="K66" s="246">
        <v>-0.4908302981466254728388279700</v>
      </c>
      <c r="L66" s="328">
        <v>416.50356877567086775146199463</v>
      </c>
      <c r="M66" s="246">
        <v>10.534200193921722858666055120</v>
      </c>
      <c r="N66" s="246">
        <v>80.48149453120237524935049761</v>
      </c>
      <c r="O66" s="239">
        <v>-9.974316069347566038718545970</v>
      </c>
      <c r="P66" s="326">
        <v>312.67061787176188778734667236</v>
      </c>
      <c r="Q66" s="246">
        <v>-2.4711122822714937132346999100</v>
      </c>
      <c r="R66" s="328">
        <v>400.15822523360238892982031751</v>
      </c>
      <c r="S66" s="246">
        <v>18.854841602302360658736704660</v>
      </c>
      <c r="T66" s="246">
        <v>78.136746455538792953014536190</v>
      </c>
      <c r="U66" s="239">
        <v>-17.942856678828251744640514640</v>
      </c>
    </row>
    <row r="67" ht="15.95" customHeight="1">
      <c r="B67" s="345" t="s">
        <v>55</v>
      </c>
      <c r="C67" s="304" t="s">
        <v>58</v>
      </c>
      <c r="D67" s="240">
        <v>93.53832442067736185383244207</v>
      </c>
      <c r="E67" s="121">
        <v>-1.2002824193500137725703939800</v>
      </c>
      <c r="F67" s="121">
        <v>89.67168262653898768809849521</v>
      </c>
      <c r="G67" s="121">
        <v>0.708745510034920519926084300</v>
      </c>
      <c r="H67" s="121">
        <v>104.31199870563673597983618859</v>
      </c>
      <c r="I67" s="241">
        <v>-1.8955929990737278596262722700</v>
      </c>
      <c r="J67" s="329">
        <v>346.13655944852198220108392916</v>
      </c>
      <c r="K67" s="121">
        <v>-5.9337795450279639987658004900</v>
      </c>
      <c r="L67" s="136">
        <v>440.31807256332096385840416099</v>
      </c>
      <c r="M67" s="121">
        <v>6.6488182806385474900107419500</v>
      </c>
      <c r="N67" s="121">
        <v>78.610572905512864124352807750</v>
      </c>
      <c r="O67" s="241">
        <v>-11.798159631348643831724940620</v>
      </c>
      <c r="P67" s="329">
        <v>323.77033791552925162213688382</v>
      </c>
      <c r="Q67" s="121">
        <v>-7.0628398517236819379380947500</v>
      </c>
      <c r="R67" s="136">
        <v>394.84062457627481779642124149</v>
      </c>
      <c r="S67" s="121">
        <v>7.4046869916775334782361911300</v>
      </c>
      <c r="T67" s="121">
        <v>82.00025979164741529809577787</v>
      </c>
      <c r="U67" s="241">
        <v>-13.470107542419114596865578870</v>
      </c>
    </row>
    <row r="68" ht="15.95" customHeight="1">
      <c r="B68" s="345"/>
      <c r="C68" s="305" t="s">
        <v>44</v>
      </c>
      <c r="D68" s="342">
        <v>94.18181818181818181818181818</v>
      </c>
      <c r="E68" s="161">
        <v>-1.2730604765120056721306853400</v>
      </c>
      <c r="F68" s="161">
        <v>93.31395348837209302325581395</v>
      </c>
      <c r="G68" s="161">
        <v>4.4550505099316818234230091100</v>
      </c>
      <c r="H68" s="161">
        <v>100.93004814497123134215772030</v>
      </c>
      <c r="I68" s="336">
        <v>-5.4838047164229237740207541300</v>
      </c>
      <c r="J68" s="335">
        <v>363.59380840205268513082410142</v>
      </c>
      <c r="K68" s="161">
        <v>-4.1533642096895685698482226800</v>
      </c>
      <c r="L68" s="162">
        <v>455.73706148171672161617200525</v>
      </c>
      <c r="M68" s="161">
        <v>6.9579357352437316686025397100</v>
      </c>
      <c r="N68" s="161">
        <v>79.78148786493913385846236754</v>
      </c>
      <c r="O68" s="336">
        <v>-10.388476431011697314266674660</v>
      </c>
      <c r="P68" s="335">
        <v>342.43925954956961981412160824</v>
      </c>
      <c r="Q68" s="161">
        <v>-5.3735498479773686029978506200</v>
      </c>
      <c r="R68" s="162">
        <v>425.2662695803228710429977142</v>
      </c>
      <c r="S68" s="161">
        <v>11.722965796627684203602862450</v>
      </c>
      <c r="T68" s="161">
        <v>80.52349411288290618625624024</v>
      </c>
      <c r="U68" s="336">
        <v>-15.302597386948882924908325230</v>
      </c>
    </row>
    <row r="69" ht="15.95" customHeight="1">
      <c r="B69" s="346"/>
      <c r="C69" s="349" t="s">
        <v>45</v>
      </c>
      <c r="D69" s="343">
        <v>87.26689976689976689976689977</v>
      </c>
      <c r="E69" s="338">
        <v>-1.7791260145818987352212400200</v>
      </c>
      <c r="F69" s="338">
        <v>81.03207045074209212367287592</v>
      </c>
      <c r="G69" s="338">
        <v>-0.8340557865696692105728035200</v>
      </c>
      <c r="H69" s="338">
        <v>107.69427373818992302892535842</v>
      </c>
      <c r="I69" s="340">
        <v>-0.9530189376062603258719809100</v>
      </c>
      <c r="J69" s="337">
        <v>280.37227899614225865322863546</v>
      </c>
      <c r="K69" s="338">
        <v>-8.537167469317439655003484900</v>
      </c>
      <c r="L69" s="339">
        <v>355.31969597826611570742430535</v>
      </c>
      <c r="M69" s="338">
        <v>4.6457919584560665640702530500</v>
      </c>
      <c r="N69" s="338">
        <v>78.907046856548331568171673600</v>
      </c>
      <c r="O69" s="340">
        <v>-12.597696649863199365687027270</v>
      </c>
      <c r="P69" s="337">
        <v>244.67219568573603282821088671</v>
      </c>
      <c r="Q69" s="338">
        <v>-10.16440651655271098015678900</v>
      </c>
      <c r="R69" s="339">
        <v>287.92290637047121504623170028</v>
      </c>
      <c r="S69" s="338">
        <v>3.7729876751987728913481200800</v>
      </c>
      <c r="T69" s="338">
        <v>84.97837104036841310696062374</v>
      </c>
      <c r="U69" s="340">
        <v>-13.430657152680335489649111190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93.03030303030303030303030303</v>
      </c>
      <c r="E72" s="246">
        <v>-0.2166847237021124999853212200</v>
      </c>
      <c r="F72" s="246">
        <v>88.44961240310077519379844961</v>
      </c>
      <c r="G72" s="246">
        <v>6.5974715155337728883242966900</v>
      </c>
      <c r="H72" s="246">
        <v>105.17887020954597798388359892</v>
      </c>
      <c r="I72" s="239">
        <v>-6.3924182650381304969332110500</v>
      </c>
      <c r="J72" s="326">
        <v>266.56623235613463626492942454</v>
      </c>
      <c r="K72" s="246">
        <v>3.1414733022789974030718427700</v>
      </c>
      <c r="L72" s="328">
        <v>345.0544478527607361963190184</v>
      </c>
      <c r="M72" s="246">
        <v>11.871019783866345980813828870</v>
      </c>
      <c r="N72" s="246">
        <v>77.253382477727577437907543950</v>
      </c>
      <c r="O72" s="239">
        <v>-7.8032241937548212946595451300</v>
      </c>
      <c r="P72" s="326">
        <v>247.98737373737373737373737374</v>
      </c>
      <c r="Q72" s="246">
        <v>2.9179814858149940578076020500</v>
      </c>
      <c r="R72" s="328">
        <v>305.19932170542635658914728682</v>
      </c>
      <c r="S72" s="246">
        <v>19.251678448214861897846108940</v>
      </c>
      <c r="T72" s="246">
        <v>81.25423488874877427020996552</v>
      </c>
      <c r="U72" s="239">
        <v>-13.696827730153356284114824340</v>
      </c>
    </row>
    <row r="73" ht="15.95" customHeight="1">
      <c r="B73" s="345"/>
      <c r="C73" s="304" t="s">
        <v>58</v>
      </c>
      <c r="D73" s="240">
        <v>91.89393939393939393939393939</v>
      </c>
      <c r="E73" s="121">
        <v>-0.1272455089315015104521240300</v>
      </c>
      <c r="F73" s="121">
        <v>85.56443798449612403100775194</v>
      </c>
      <c r="G73" s="121">
        <v>1.7750779150699031677970229300</v>
      </c>
      <c r="H73" s="121">
        <v>107.39735053315722505187646914</v>
      </c>
      <c r="I73" s="241">
        <v>-1.8691446501588958732691132500</v>
      </c>
      <c r="J73" s="329">
        <v>295.51504534212695795548227535</v>
      </c>
      <c r="K73" s="121">
        <v>-2.1427057084118084790466402400</v>
      </c>
      <c r="L73" s="136">
        <v>384.98361824410407406358823363</v>
      </c>
      <c r="M73" s="121">
        <v>11.602401915282305293948711590</v>
      </c>
      <c r="N73" s="121">
        <v>76.760420791399692961396509300</v>
      </c>
      <c r="O73" s="241">
        <v>-12.316139606183791746182716950</v>
      </c>
      <c r="P73" s="329">
        <v>271.56041666666666666666666667</v>
      </c>
      <c r="Q73" s="121">
        <v>-2.2672247206054097056218913500</v>
      </c>
      <c r="R73" s="136">
        <v>329.40906928294573643410852713</v>
      </c>
      <c r="S73" s="121">
        <v>13.583431504391752612173727730</v>
      </c>
      <c r="T73" s="121">
        <v>82.43865818808033565481082644</v>
      </c>
      <c r="U73" s="241">
        <v>-13.955077791777043001957565410</v>
      </c>
    </row>
    <row r="74" ht="15.95" customHeight="1">
      <c r="B74" s="345"/>
      <c r="C74" s="305" t="s">
        <v>44</v>
      </c>
      <c r="D74" s="242">
        <v>92.33060946544092611508341845</v>
      </c>
      <c r="E74" s="156">
        <v>-0.662231439071906933634007200</v>
      </c>
      <c r="F74" s="156">
        <v>87.91481578259733472694016201</v>
      </c>
      <c r="G74" s="156">
        <v>4.0955334932223450347859062100</v>
      </c>
      <c r="H74" s="156">
        <v>105.02280945882945814113819046</v>
      </c>
      <c r="I74" s="243">
        <v>-4.5705754826429608833405292900</v>
      </c>
      <c r="J74" s="330">
        <v>300.6174979256937402046648843</v>
      </c>
      <c r="K74" s="156">
        <v>-2.0017751386503318450104802400</v>
      </c>
      <c r="L74" s="186">
        <v>389.26440332887501857631148759</v>
      </c>
      <c r="M74" s="156">
        <v>11.208062853985146011449326740</v>
      </c>
      <c r="N74" s="156">
        <v>77.227071202730526330424357660</v>
      </c>
      <c r="O74" s="243">
        <v>-11.878489431071405282896985470</v>
      </c>
      <c r="P74" s="330">
        <v>277.5619679945522642151855635</v>
      </c>
      <c r="Q74" s="156">
        <v>-2.6507501934456976538941246900</v>
      </c>
      <c r="R74" s="186">
        <v>342.2210830938071596550823099</v>
      </c>
      <c r="S74" s="156">
        <v>15.762626315243402120864947170</v>
      </c>
      <c r="T74" s="156">
        <v>81.10603983988759653518219915</v>
      </c>
      <c r="U74" s="243">
        <v>-15.906149587954510279136629180</v>
      </c>
    </row>
    <row r="75" ht="15.95" customHeight="1">
      <c r="B75" s="346"/>
      <c r="C75" s="349" t="s">
        <v>45</v>
      </c>
      <c r="D75" s="244">
        <v>83.19427148194271481942714819</v>
      </c>
      <c r="E75" s="250">
        <v>0.8400231781380110902781393600</v>
      </c>
      <c r="F75" s="250">
        <v>75.151112327481721859483129370</v>
      </c>
      <c r="G75" s="250">
        <v>1.6936868725307222215008985100</v>
      </c>
      <c r="H75" s="250">
        <v>110.70264817823526288700380406</v>
      </c>
      <c r="I75" s="245">
        <v>-0.8394461058563857406287529300</v>
      </c>
      <c r="J75" s="332">
        <v>233.51403338073497492702642018</v>
      </c>
      <c r="K75" s="250">
        <v>-5.6663583245345749399431431500</v>
      </c>
      <c r="L75" s="334">
        <v>309.51111427887666871299697212</v>
      </c>
      <c r="M75" s="250">
        <v>7.984694499234245296711305760</v>
      </c>
      <c r="N75" s="250">
        <v>75.44608985198374179540569400</v>
      </c>
      <c r="O75" s="245">
        <v>-12.641655270719953742010925120</v>
      </c>
      <c r="P75" s="332">
        <v>194.27029887920298879202988792</v>
      </c>
      <c r="Q75" s="250">
        <v>-4.8739338696322805484475928800</v>
      </c>
      <c r="R75" s="334">
        <v>232.60104515775892403331117801</v>
      </c>
      <c r="S75" s="250">
        <v>9.813617094276229376496691150</v>
      </c>
      <c r="T75" s="250">
        <v>83.52081941308867969968748479</v>
      </c>
      <c r="U75" s="245">
        <v>-13.374981493725399136576290140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2" width="10.28515625" customWidth="1"/>
    <col min="33" max="33" width="0"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208</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209</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285</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286</v>
      </c>
      <c r="D23" s="41" t="s">
        <v>288</v>
      </c>
      <c r="E23" s="41" t="s">
        <v>289</v>
      </c>
      <c r="F23" s="41" t="s">
        <v>290</v>
      </c>
      <c r="G23" s="41" t="s">
        <v>291</v>
      </c>
      <c r="H23" s="41" t="s">
        <v>292</v>
      </c>
      <c r="I23" s="41" t="s">
        <v>293</v>
      </c>
      <c r="J23" s="41" t="s">
        <v>286</v>
      </c>
      <c r="K23" s="41" t="s">
        <v>288</v>
      </c>
      <c r="L23" s="41" t="s">
        <v>289</v>
      </c>
      <c r="M23" s="41" t="s">
        <v>290</v>
      </c>
      <c r="N23" s="41" t="s">
        <v>291</v>
      </c>
      <c r="O23" s="41" t="s">
        <v>292</v>
      </c>
      <c r="P23" s="41" t="s">
        <v>293</v>
      </c>
      <c r="Q23" s="41" t="s">
        <v>286</v>
      </c>
      <c r="R23" s="41" t="s">
        <v>288</v>
      </c>
      <c r="S23" s="41" t="s">
        <v>289</v>
      </c>
      <c r="T23" s="41" t="s">
        <v>290</v>
      </c>
      <c r="U23" s="41" t="s">
        <v>291</v>
      </c>
      <c r="V23" s="41" t="s">
        <v>292</v>
      </c>
      <c r="W23" s="41" t="s">
        <v>293</v>
      </c>
      <c r="X23" s="41" t="s">
        <v>286</v>
      </c>
      <c r="Y23" s="41" t="s">
        <v>288</v>
      </c>
      <c r="Z23" s="41" t="s">
        <v>289</v>
      </c>
      <c r="AA23" s="41" t="s">
        <v>290</v>
      </c>
      <c r="AB23" s="41" t="s">
        <v>291</v>
      </c>
      <c r="AC23" s="41" t="s">
        <v>292</v>
      </c>
      <c r="AD23" s="41" t="s">
        <v>293</v>
      </c>
      <c r="AE23" s="41" t="s">
        <v>286</v>
      </c>
      <c r="AF23" s="41" t="s">
        <v>288</v>
      </c>
      <c r="AG23" s="41"/>
      <c r="AH23" s="93"/>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287</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94.69696969696969696969696970</v>
      </c>
      <c r="D26" s="574">
        <v>91.66666666666666666666666667</v>
      </c>
      <c r="E26" s="574">
        <v>96.96969696969696969696969697</v>
      </c>
      <c r="F26" s="574">
        <v>96.21212121212121212121212121</v>
      </c>
      <c r="G26" s="574">
        <v>96.21212121212121212121212121</v>
      </c>
      <c r="H26" s="574">
        <v>84.84848484848484848484848485</v>
      </c>
      <c r="I26" s="574">
        <v>95.45454545454545454545454545</v>
      </c>
      <c r="J26" s="574">
        <v>93.18181818181818181818181818</v>
      </c>
      <c r="K26" s="574">
        <v>96.96969696969696969696969697</v>
      </c>
      <c r="L26" s="574">
        <v>92.42424242424242424242424242</v>
      </c>
      <c r="M26" s="574">
        <v>98.48484848484848484848484848</v>
      </c>
      <c r="N26" s="574">
        <v>95.45454545454545454545454545</v>
      </c>
      <c r="O26" s="574">
        <v>94.69696969696969696969696970</v>
      </c>
      <c r="P26" s="574">
        <v>96.96969696969696969696969697</v>
      </c>
      <c r="Q26" s="574">
        <v>97.72727272727272727272727273</v>
      </c>
      <c r="R26" s="574">
        <v>97.72727272727272727272727273</v>
      </c>
      <c r="S26" s="574">
        <v>97.72727272727272727272727273</v>
      </c>
      <c r="T26" s="574">
        <v>94.69696969696969696969696970</v>
      </c>
      <c r="U26" s="574">
        <v>93.93939393939393939393939394</v>
      </c>
      <c r="V26" s="574">
        <v>92.42424242424242424242424242</v>
      </c>
      <c r="W26" s="574">
        <v>86.36363636363636363636363636</v>
      </c>
      <c r="X26" s="574">
        <v>89.39393939393939393939393939</v>
      </c>
      <c r="Y26" s="574">
        <v>91.66666666666666666666666667</v>
      </c>
      <c r="Z26" s="574">
        <v>85.60606060606060606060606061</v>
      </c>
      <c r="AA26" s="574">
        <v>83.33333333333333333333333333</v>
      </c>
      <c r="AB26" s="574">
        <v>87.87878787878787878787878788</v>
      </c>
      <c r="AC26" s="574">
        <v>81.81818181818181818181818182</v>
      </c>
      <c r="AD26" s="574">
        <v>93.93939393939393939393939394</v>
      </c>
      <c r="AE26" s="574">
        <v>96.96969696969696969696969697</v>
      </c>
      <c r="AF26" s="574">
        <v>95.45454545454545454545454545</v>
      </c>
      <c r="AG26" s="575"/>
      <c r="AH26" s="342"/>
    </row>
    <row r="27" ht="24.95" customHeight="1">
      <c r="B27" s="38" t="s">
        <v>35</v>
      </c>
      <c r="C27" s="271">
        <v>75.00</v>
      </c>
      <c r="D27" s="92">
        <v>79.36046511627906976744186047</v>
      </c>
      <c r="E27" s="92">
        <v>87.500</v>
      </c>
      <c r="F27" s="92">
        <v>95.05813953488372093023255814</v>
      </c>
      <c r="G27" s="92">
        <v>96.80232558139534883720930233</v>
      </c>
      <c r="H27" s="92">
        <v>86.91860465116279069767441860</v>
      </c>
      <c r="I27" s="92">
        <v>85.17441860465116279069767442</v>
      </c>
      <c r="J27" s="92">
        <v>86.62790697674418604651162791</v>
      </c>
      <c r="K27" s="92">
        <v>88.08139534883720930232558140</v>
      </c>
      <c r="L27" s="92">
        <v>86.33720930232558139534883721</v>
      </c>
      <c r="M27" s="92">
        <v>95.93023255813953488372093023</v>
      </c>
      <c r="N27" s="92">
        <v>95.93023255813953488372093023</v>
      </c>
      <c r="O27" s="92">
        <v>88.66279069767441860465116279</v>
      </c>
      <c r="P27" s="92">
        <v>84.30232558139534883720930233</v>
      </c>
      <c r="Q27" s="92">
        <v>88.37209302325581395348837209</v>
      </c>
      <c r="R27" s="92">
        <v>82.84883720930232558139534884</v>
      </c>
      <c r="S27" s="92">
        <v>93.31395348837209302325581395</v>
      </c>
      <c r="T27" s="92">
        <v>98.83720930232558139534883721</v>
      </c>
      <c r="U27" s="92">
        <v>95.05813953488372093023255814</v>
      </c>
      <c r="V27" s="92">
        <v>81.10465116279069767441860465</v>
      </c>
      <c r="W27" s="92">
        <v>74.709302325581395348837209300</v>
      </c>
      <c r="X27" s="92">
        <v>74.127906976744186046511627910</v>
      </c>
      <c r="Y27" s="92">
        <v>76.453488372093023255813953490</v>
      </c>
      <c r="Z27" s="92">
        <v>86.33720930232558139534883721</v>
      </c>
      <c r="AA27" s="92">
        <v>93.89534883720930232558139535</v>
      </c>
      <c r="AB27" s="92">
        <v>97.09302325581395348837209302</v>
      </c>
      <c r="AC27" s="92">
        <v>90.40697674418604651162790698</v>
      </c>
      <c r="AD27" s="92">
        <v>97.09302325581395348837209302</v>
      </c>
      <c r="AE27" s="92">
        <v>97.09302325581395348837209302</v>
      </c>
      <c r="AF27" s="92">
        <v>93.89534883720930232558139535</v>
      </c>
      <c r="AG27" s="272"/>
      <c r="AH27" s="342"/>
    </row>
    <row r="28" ht="24.95" customHeight="1">
      <c r="A28" s="23"/>
      <c r="B28" s="40" t="s">
        <v>97</v>
      </c>
      <c r="C28" s="581">
        <v>126.26262626262626262626262627</v>
      </c>
      <c r="D28" s="582">
        <v>115.50671550668504340592253484</v>
      </c>
      <c r="E28" s="582">
        <v>110.82251082251082251082251082</v>
      </c>
      <c r="F28" s="582">
        <v>101.21397460845268803400274112</v>
      </c>
      <c r="G28" s="582">
        <v>99.39029939029461478950968463</v>
      </c>
      <c r="H28" s="582">
        <v>97.61832370523843723529634872</v>
      </c>
      <c r="I28" s="582">
        <v>112.06950046534064398484022664</v>
      </c>
      <c r="J28" s="582">
        <v>107.56558877369733058707432030</v>
      </c>
      <c r="K28" s="582">
        <v>110.09100910095659810205444951</v>
      </c>
      <c r="L28" s="582">
        <v>107.05030098972664769656914255</v>
      </c>
      <c r="M28" s="582">
        <v>102.66299357212679077274120340</v>
      </c>
      <c r="N28" s="582">
        <v>99.50413223144596644127224329</v>
      </c>
      <c r="O28" s="582">
        <v>106.80576254343664541138339394</v>
      </c>
      <c r="P28" s="582">
        <v>115.02612330197902468201635894</v>
      </c>
      <c r="Q28" s="582">
        <v>110.58612440185858253588519511</v>
      </c>
      <c r="R28" s="582">
        <v>117.95853269537811175466577138</v>
      </c>
      <c r="S28" s="582">
        <v>104.72953837436686649886056885</v>
      </c>
      <c r="T28" s="582">
        <v>95.81105169342943273566111578</v>
      </c>
      <c r="U28" s="582">
        <v>98.82309331848923871036488109</v>
      </c>
      <c r="V28" s="582">
        <v>113.95677202127508000963891968</v>
      </c>
      <c r="W28" s="582">
        <v>115.59957552172572263842685005</v>
      </c>
      <c r="X28" s="582">
        <v>120.59417706483718364731517805</v>
      </c>
      <c r="Y28" s="582">
        <v>119.89860583015382420833996062</v>
      </c>
      <c r="Z28" s="582">
        <v>99.15314763802550155501895991</v>
      </c>
      <c r="AA28" s="582">
        <v>88.75128998968887525679980405</v>
      </c>
      <c r="AB28" s="582">
        <v>90.50988931229752927460267459</v>
      </c>
      <c r="AC28" s="582">
        <v>90.49985384389132302752716322</v>
      </c>
      <c r="AD28" s="582">
        <v>96.75195064418011750043734180</v>
      </c>
      <c r="AE28" s="582">
        <v>99.87298131012141161335467541</v>
      </c>
      <c r="AF28" s="582">
        <v>101.66056853364362074869795737</v>
      </c>
      <c r="AG28" s="583"/>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5.9322033898771904625107933400</v>
      </c>
      <c r="D30" s="574">
        <v>-0.0000000000363636363636231400</v>
      </c>
      <c r="E30" s="574">
        <v>4.0650406504268094388260995400</v>
      </c>
      <c r="F30" s="574">
        <v>-1.5503875969266991166396173600</v>
      </c>
      <c r="G30" s="574">
        <v>-1.5503875969266991166396173600</v>
      </c>
      <c r="H30" s="574">
        <v>-3.4482758620822829964328162400</v>
      </c>
      <c r="I30" s="574">
        <v>-1.5625000000030761718749999100</v>
      </c>
      <c r="J30" s="574">
        <v>-6.10687022898469786142998100</v>
      </c>
      <c r="K30" s="574">
        <v>16.363636363682909090909109530</v>
      </c>
      <c r="L30" s="574">
        <v>3.3898305085201378914105342900</v>
      </c>
      <c r="M30" s="574">
        <v>2.3622047244320168640337330400</v>
      </c>
      <c r="N30" s="574">
        <v>-3.8167938931062758580502244400</v>
      </c>
      <c r="O30" s="574">
        <v>-3.8461538461065088757396216600</v>
      </c>
      <c r="P30" s="574">
        <v>-0.000000000003124999999999900</v>
      </c>
      <c r="Q30" s="574">
        <v>0.781249999996850585937500100</v>
      </c>
      <c r="R30" s="574">
        <v>1.5748031496286936573873197100</v>
      </c>
      <c r="S30" s="574">
        <v>4.8780487805082688875669284500</v>
      </c>
      <c r="T30" s="574">
        <v>-0.0000000000319999999999897600</v>
      </c>
      <c r="U30" s="574">
        <v>5.0847457627581729388107069900</v>
      </c>
      <c r="V30" s="574">
        <v>16.190476190409795918367384870</v>
      </c>
      <c r="W30" s="574">
        <v>-8.064516129038189386056191090</v>
      </c>
      <c r="X30" s="574">
        <v>-2.4793388430106686701727895100</v>
      </c>
      <c r="Y30" s="574">
        <v>7.0796460176498394549299310500</v>
      </c>
      <c r="Z30" s="574">
        <v>-13.076923076880284023668617980</v>
      </c>
      <c r="AA30" s="574">
        <v>-10.569105691039460638508820710</v>
      </c>
      <c r="AB30" s="574">
        <v>-5.6910569105507039460638472900</v>
      </c>
      <c r="AC30" s="574">
        <v>-16.279069767465224445646288770</v>
      </c>
      <c r="AD30" s="574">
        <v>1.6393442623417360924482880100</v>
      </c>
      <c r="AE30" s="574">
        <v>0.7874015748253704507409063800</v>
      </c>
      <c r="AF30" s="574">
        <v>1.6129032257998959417273677400</v>
      </c>
      <c r="AG30" s="575"/>
      <c r="AH30" s="342"/>
    </row>
    <row r="31" ht="24.95" customHeight="1">
      <c r="B31" s="38" t="s">
        <v>35</v>
      </c>
      <c r="C31" s="271">
        <v>-8.114035087707207987072943930</v>
      </c>
      <c r="D31" s="92">
        <v>-2.7718278253646038002748592700</v>
      </c>
      <c r="E31" s="92">
        <v>-3.0092592592182049774642193500</v>
      </c>
      <c r="F31" s="92">
        <v>11.255196829934672724463496270</v>
      </c>
      <c r="G31" s="92">
        <v>9.032726931753743243018419870</v>
      </c>
      <c r="H31" s="92">
        <v>6.8002796153897047809006462300</v>
      </c>
      <c r="I31" s="92">
        <v>6.5315862547761464380630690100</v>
      </c>
      <c r="J31" s="92">
        <v>12.723891376531642477186958230</v>
      </c>
      <c r="K31" s="92">
        <v>10.829143096625228300267598380</v>
      </c>
      <c r="L31" s="92">
        <v>7.0274872711773265432289984700</v>
      </c>
      <c r="M31" s="92">
        <v>10.122650525656273025612380950</v>
      </c>
      <c r="N31" s="92">
        <v>-0.508001381536703662631114500</v>
      </c>
      <c r="O31" s="92">
        <v>-7.1257267441379840752179983800</v>
      </c>
      <c r="P31" s="92">
        <v>-0.4995086799398105765282597500</v>
      </c>
      <c r="Q31" s="92">
        <v>8.268733850143444852441182340</v>
      </c>
      <c r="R31" s="92">
        <v>-4.105903893046836944700951100</v>
      </c>
      <c r="S31" s="92">
        <v>2.3522159990098582298016896700</v>
      </c>
      <c r="T31" s="92">
        <v>18.661291397374764603643425210</v>
      </c>
      <c r="U31" s="92">
        <v>10.025857638504155505553645580</v>
      </c>
      <c r="V31" s="92">
        <v>12.899830024028062427695418940</v>
      </c>
      <c r="W31" s="92">
        <v>3.6529724319011675398264101700</v>
      </c>
      <c r="X31" s="92">
        <v>-3.5416365737732589540849854100</v>
      </c>
      <c r="Y31" s="92">
        <v>-4.9435856738944624357039701400</v>
      </c>
      <c r="Z31" s="92">
        <v>-0.8896145269093542769488571400</v>
      </c>
      <c r="AA31" s="92">
        <v>2.187405617689667613268666100</v>
      </c>
      <c r="AB31" s="92">
        <v>1.7049418605177485864825853700</v>
      </c>
      <c r="AC31" s="92">
        <v>7.3102641807332088983643332600</v>
      </c>
      <c r="AD31" s="92">
        <v>40.282678428214202057351437850</v>
      </c>
      <c r="AE31" s="92">
        <v>52.366954098063667312906163680</v>
      </c>
      <c r="AF31" s="92">
        <v>41.011294490369094834939365480</v>
      </c>
      <c r="AG31" s="272"/>
      <c r="AH31" s="342"/>
    </row>
    <row r="32" ht="24.95" customHeight="1">
      <c r="A32" s="23"/>
      <c r="B32" s="40" t="s">
        <v>97</v>
      </c>
      <c r="C32" s="581">
        <v>15.286598438533265906306515360</v>
      </c>
      <c r="D32" s="582">
        <v>2.8508484355659488965430521700</v>
      </c>
      <c r="E32" s="582">
        <v>7.2937889282812370200031600400</v>
      </c>
      <c r="F32" s="582">
        <v>-11.510100014830802079883648100</v>
      </c>
      <c r="G32" s="582">
        <v>-9.706365076318824223949911390</v>
      </c>
      <c r="H32" s="582">
        <v>-9.596000604470529145207299350</v>
      </c>
      <c r="I32" s="582">
        <v>-7.5978275921423633433476331100</v>
      </c>
      <c r="J32" s="582">
        <v>-16.705208962841552152445753450</v>
      </c>
      <c r="K32" s="582">
        <v>4.9937165554255745468123132500</v>
      </c>
      <c r="L32" s="582">
        <v>-3.3988060968806393922669705600</v>
      </c>
      <c r="M32" s="582">
        <v>-7.0470931858119945912214237700</v>
      </c>
      <c r="N32" s="582">
        <v>-3.3256870477310512205116668200</v>
      </c>
      <c r="O32" s="582">
        <v>3.5311962969027965544798584300</v>
      </c>
      <c r="P32" s="582">
        <v>0.5020162948964959251470989900</v>
      </c>
      <c r="Q32" s="582">
        <v>-6.9156473747788429045183594700</v>
      </c>
      <c r="R32" s="582">
        <v>5.9239382540383534892387980700</v>
      </c>
      <c r="S32" s="582">
        <v>2.4677851444907576327984646800</v>
      </c>
      <c r="T32" s="582">
        <v>-15.726519724832126023597427970</v>
      </c>
      <c r="U32" s="582">
        <v>-4.4908642221737267705586349200</v>
      </c>
      <c r="V32" s="582">
        <v>2.9146599828229599168098415600</v>
      </c>
      <c r="W32" s="582">
        <v>-11.304536942893720474999508140</v>
      </c>
      <c r="X32" s="582">
        <v>1.1013018396253791946908238500</v>
      </c>
      <c r="Y32" s="582">
        <v>12.648522224263833774247223890</v>
      </c>
      <c r="Z32" s="582">
        <v>-12.296701795519653519400512540</v>
      </c>
      <c r="AA32" s="582">
        <v>-12.483447673091825078371487150</v>
      </c>
      <c r="AB32" s="582">
        <v>-7.2720151408292280485398622400</v>
      </c>
      <c r="AC32" s="582">
        <v>-21.982364993924885281225492360</v>
      </c>
      <c r="AD32" s="582">
        <v>-27.546761010607845499516738320</v>
      </c>
      <c r="AE32" s="582">
        <v>-33.852191131976302936948389510</v>
      </c>
      <c r="AF32" s="582">
        <v>-27.939883402196790353320578100</v>
      </c>
      <c r="AG32" s="583"/>
      <c r="AH32" s="342"/>
    </row>
    <row r="33" ht="30" customHeight="1">
      <c r="A33" s="8"/>
      <c r="B33" s="25"/>
      <c r="X33" s="792"/>
      <c r="Y33" s="792"/>
      <c r="Z33" s="792"/>
      <c r="AA33" s="792"/>
      <c r="AB33" s="792"/>
      <c r="AC33" s="792"/>
      <c r="AD33" s="792"/>
      <c r="AE33"/>
      <c r="AF33"/>
      <c r="AG33" s="4"/>
      <c r="AH33" s="4"/>
    </row>
    <row r="34" s="35" customFormat="1" ht="20.1" customHeight="1">
      <c r="B34" s="784" t="s">
        <v>9</v>
      </c>
      <c r="C34" s="350" t="s">
        <v>287</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202.456000000</v>
      </c>
      <c r="D36" s="579">
        <v>202.99173553719008264462809917</v>
      </c>
      <c r="E36" s="579">
        <v>247.898437500</v>
      </c>
      <c r="F36" s="579">
        <v>328.6377952755905511811023622</v>
      </c>
      <c r="G36" s="579">
        <v>342.85826771653543307086614173</v>
      </c>
      <c r="H36" s="579">
        <v>268.47321428571428571428571429</v>
      </c>
      <c r="I36" s="579">
        <v>290.91269841269841269841269841</v>
      </c>
      <c r="J36" s="579">
        <v>289.08943089430894308943089431</v>
      </c>
      <c r="K36" s="579">
        <v>300.132812500</v>
      </c>
      <c r="L36" s="579">
        <v>267.6557377049180327868852459</v>
      </c>
      <c r="M36" s="579">
        <v>311.94615384615384615384615385</v>
      </c>
      <c r="N36" s="579">
        <v>350.66666666666666666666666667</v>
      </c>
      <c r="O36" s="579">
        <v>218.168000000</v>
      </c>
      <c r="P36" s="579">
        <v>207.414062500</v>
      </c>
      <c r="Q36" s="579">
        <v>211.13178294573643410852713178</v>
      </c>
      <c r="R36" s="579">
        <v>221.68992248062015503875968992</v>
      </c>
      <c r="S36" s="579">
        <v>256.06976744186046511627906977</v>
      </c>
      <c r="T36" s="579">
        <v>373.208000000</v>
      </c>
      <c r="U36" s="579">
        <v>348.64516129032258064516129032</v>
      </c>
      <c r="V36" s="579">
        <v>210.82786885245901639344262295</v>
      </c>
      <c r="W36" s="579">
        <v>197.21929824561403508771929825</v>
      </c>
      <c r="X36" s="579">
        <v>204.38983050847457627118644068</v>
      </c>
      <c r="Y36" s="579">
        <v>198.97520661157024793388429752</v>
      </c>
      <c r="Z36" s="579">
        <v>215.20353982300884955752212389</v>
      </c>
      <c r="AA36" s="579">
        <v>306.37272727272727272727272727</v>
      </c>
      <c r="AB36" s="579">
        <v>325.19827586206896551724137931</v>
      </c>
      <c r="AC36" s="579">
        <v>248.25925925925925925925925926</v>
      </c>
      <c r="AD36" s="579">
        <v>285.42741935483870967741935484</v>
      </c>
      <c r="AE36" s="579">
        <v>311.484375000</v>
      </c>
      <c r="AF36" s="579">
        <v>267.27777777777777777777777778</v>
      </c>
      <c r="AG36" s="580"/>
      <c r="AH36" s="342"/>
    </row>
    <row r="37" ht="24.95" customHeight="1">
      <c r="B37" s="38" t="s">
        <v>35</v>
      </c>
      <c r="C37" s="276">
        <v>265.83720930232558139534883721</v>
      </c>
      <c r="D37" s="94">
        <v>278.13186813186813186813186811</v>
      </c>
      <c r="E37" s="94">
        <v>336.76079734219269102990033223</v>
      </c>
      <c r="F37" s="94">
        <v>444.00305810397553516819571865</v>
      </c>
      <c r="G37" s="94">
        <v>424.99099099099099099099099097</v>
      </c>
      <c r="H37" s="94">
        <v>310.58862876254180602006688965</v>
      </c>
      <c r="I37" s="94">
        <v>299.09897610921501706484641638</v>
      </c>
      <c r="J37" s="94">
        <v>288.26174496644295302013422818</v>
      </c>
      <c r="K37" s="94">
        <v>270.43234323432343234323432341</v>
      </c>
      <c r="L37" s="94">
        <v>308.09090909090909090909090909</v>
      </c>
      <c r="M37" s="94">
        <v>364.55151515151515151515151516</v>
      </c>
      <c r="N37" s="94">
        <v>412.10303030303030303030303032</v>
      </c>
      <c r="O37" s="94">
        <v>332.1114754098360655737704918</v>
      </c>
      <c r="P37" s="94">
        <v>333.01379310344827586206896549</v>
      </c>
      <c r="Q37" s="94">
        <v>339.06250000000000000000000001</v>
      </c>
      <c r="R37" s="94">
        <v>337.88771929824561403508771929</v>
      </c>
      <c r="S37" s="94">
        <v>401.62616822429906542056074768</v>
      </c>
      <c r="T37" s="94">
        <v>448.60294117647058823529411765</v>
      </c>
      <c r="U37" s="94">
        <v>411.54740061162079510703363914</v>
      </c>
      <c r="V37" s="94">
        <v>298.770609318996415770609319</v>
      </c>
      <c r="W37" s="94">
        <v>285.73929961089494163424124515</v>
      </c>
      <c r="X37" s="94">
        <v>297.21176470588235294117647058</v>
      </c>
      <c r="Y37" s="94">
        <v>311.35741444866920152091254752</v>
      </c>
      <c r="Z37" s="94">
        <v>340.83501683501683501683501684</v>
      </c>
      <c r="AA37" s="94">
        <v>443.26625386996904024767801858</v>
      </c>
      <c r="AB37" s="94">
        <v>385.93113772455089820359281438</v>
      </c>
      <c r="AC37" s="94">
        <v>316.85530546623794212218649517</v>
      </c>
      <c r="AD37" s="94">
        <v>357.93113772455089820359281438</v>
      </c>
      <c r="AE37" s="94">
        <v>317.57485029940119760479041917</v>
      </c>
      <c r="AF37" s="94">
        <v>304.75851393188854489164086687</v>
      </c>
      <c r="AG37" s="277"/>
      <c r="AH37" s="342"/>
    </row>
    <row r="38" ht="24.95" customHeight="1">
      <c r="A38" s="23"/>
      <c r="B38" s="40" t="s">
        <v>98</v>
      </c>
      <c r="C38" s="581">
        <v>76.157886449136888607741584340</v>
      </c>
      <c r="D38" s="582">
        <v>72.983990256349984136482508400</v>
      </c>
      <c r="E38" s="582">
        <v>73.612617459180565799256052910</v>
      </c>
      <c r="F38" s="582">
        <v>74.017011657296481741239273440</v>
      </c>
      <c r="G38" s="582">
        <v>80.67424368621407200667587992</v>
      </c>
      <c r="H38" s="582">
        <v>86.44012994146337351109567710</v>
      </c>
      <c r="I38" s="582">
        <v>97.26302048806987367467296055</v>
      </c>
      <c r="J38" s="582">
        <v>100.28712999291856044479697804</v>
      </c>
      <c r="K38" s="582">
        <v>110.98258770030617122530445288</v>
      </c>
      <c r="L38" s="582">
        <v>86.87557140024152364199285767</v>
      </c>
      <c r="M38" s="582">
        <v>85.56984153982065778029145135</v>
      </c>
      <c r="N38" s="582">
        <v>85.09198935247768960317017499</v>
      </c>
      <c r="O38" s="582">
        <v>65.691195924741076501620749030</v>
      </c>
      <c r="P38" s="582">
        <v>62.283925409539544545692769830</v>
      </c>
      <c r="Q38" s="582">
        <v>62.269281606115814667952702460</v>
      </c>
      <c r="R38" s="582">
        <v>65.610529717112789003831581430</v>
      </c>
      <c r="S38" s="582">
        <v>63.758237809556955389779985360</v>
      </c>
      <c r="T38" s="582">
        <v>83.19339124733104780257352362</v>
      </c>
      <c r="U38" s="582">
        <v>84.71567570884945646840145620</v>
      </c>
      <c r="V38" s="582">
        <v>70.565129994883884883657692770</v>
      </c>
      <c r="W38" s="582">
        <v>69.020711716649975826637901820</v>
      </c>
      <c r="X38" s="582">
        <v>68.769091529981821029481446110</v>
      </c>
      <c r="Y38" s="582">
        <v>63.905722933845175477247827850</v>
      </c>
      <c r="Z38" s="582">
        <v>63.140091009835999252316120630</v>
      </c>
      <c r="AA38" s="582">
        <v>69.117088115302250659750347950</v>
      </c>
      <c r="AB38" s="582">
        <v>84.26329053918682966238446098</v>
      </c>
      <c r="AC38" s="582">
        <v>78.350987020396252406180142870</v>
      </c>
      <c r="AD38" s="582">
        <v>79.74366834059929490890781707</v>
      </c>
      <c r="AE38" s="582">
        <v>98.08219218440689387081053797</v>
      </c>
      <c r="AF38" s="582">
        <v>87.70149661430049398787802666</v>
      </c>
      <c r="AG38" s="583"/>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-8.450630388959192977829727960</v>
      </c>
      <c r="D40" s="574">
        <v>-12.742903833187108999365305220</v>
      </c>
      <c r="E40" s="574">
        <v>-5.2705734668311163110732584100</v>
      </c>
      <c r="F40" s="574">
        <v>-6.7765951478655086567673483600</v>
      </c>
      <c r="G40" s="574">
        <v>-4.3165530126360788263630663500</v>
      </c>
      <c r="H40" s="574">
        <v>14.84637997250520079439765800</v>
      </c>
      <c r="I40" s="574">
        <v>15.131018757769523004658891870</v>
      </c>
      <c r="J40" s="574">
        <v>7.5994870074814761645395993200</v>
      </c>
      <c r="K40" s="574">
        <v>18.980140460595174452295768190</v>
      </c>
      <c r="L40" s="574">
        <v>3.0553628386933489666453969500</v>
      </c>
      <c r="M40" s="574">
        <v>2.1930031688455168898480596300</v>
      </c>
      <c r="N40" s="574">
        <v>2.8693419324036104623539783300</v>
      </c>
      <c r="O40" s="574">
        <v>1.3973043509530222917219536300</v>
      </c>
      <c r="P40" s="574">
        <v>10.280800864002658469718368360</v>
      </c>
      <c r="Q40" s="574">
        <v>9.964470284237726098191214470</v>
      </c>
      <c r="R40" s="574">
        <v>2.2057579955778337483658763400</v>
      </c>
      <c r="S40" s="574">
        <v>-9.560152198500043970840891630</v>
      </c>
      <c r="T40" s="574">
        <v>13.566872778616290958664005060</v>
      </c>
      <c r="U40" s="574">
        <v>7.7220524004495683039884327900</v>
      </c>
      <c r="V40" s="574">
        <v>-6.0322343598409603525779938700</v>
      </c>
      <c r="W40" s="574">
        <v>-14.053584794916632380076293960</v>
      </c>
      <c r="X40" s="574">
        <v>-2.8550181022758797849849739900</v>
      </c>
      <c r="Y40" s="574">
        <v>-5.0137368632213759496848255300</v>
      </c>
      <c r="Z40" s="574">
        <v>-15.491737873444431541442472620</v>
      </c>
      <c r="AA40" s="574">
        <v>-12.952240755480309286784036280</v>
      </c>
      <c r="AB40" s="574">
        <v>-2.6636785636938463170342986100</v>
      </c>
      <c r="AC40" s="574">
        <v>18.044395298346388832166190340</v>
      </c>
      <c r="AD40" s="574">
        <v>39.668478907793841615267961070</v>
      </c>
      <c r="AE40" s="574">
        <v>53.888258091494352817341186950</v>
      </c>
      <c r="AF40" s="574">
        <v>36.019225332202431439072660450</v>
      </c>
      <c r="AG40" s="575"/>
      <c r="AH40" s="342"/>
    </row>
    <row r="41" ht="24.95" customHeight="1">
      <c r="B41" s="38" t="s">
        <v>35</v>
      </c>
      <c r="C41" s="271">
        <v>-10.914610788917703968587567190</v>
      </c>
      <c r="D41" s="92">
        <v>-3.2501660187568251518715696300</v>
      </c>
      <c r="E41" s="92">
        <v>-11.781322774890529840238062350</v>
      </c>
      <c r="F41" s="92">
        <v>8.491297182019649870967489600</v>
      </c>
      <c r="G41" s="92">
        <v>2.6546287756267526301049220900</v>
      </c>
      <c r="H41" s="92">
        <v>8.759012177948747580522799950</v>
      </c>
      <c r="I41" s="92">
        <v>6.7207135684604620088026539800</v>
      </c>
      <c r="J41" s="92">
        <v>1.4268579068940667375750259200</v>
      </c>
      <c r="K41" s="92">
        <v>-3.5188408018261982711198637600</v>
      </c>
      <c r="L41" s="92">
        <v>-3.8562597021388766283141338800</v>
      </c>
      <c r="M41" s="92">
        <v>-6.0766505915548602223832279900</v>
      </c>
      <c r="N41" s="92">
        <v>5.0054614078923511730949733100</v>
      </c>
      <c r="O41" s="92">
        <v>17.519360445657954955571888970</v>
      </c>
      <c r="P41" s="92">
        <v>25.647992252103666517989031870</v>
      </c>
      <c r="Q41" s="92">
        <v>25.416154371274272442884465780</v>
      </c>
      <c r="R41" s="92">
        <v>16.318684204245170468757457300</v>
      </c>
      <c r="S41" s="92">
        <v>25.874143461651297533173207840</v>
      </c>
      <c r="T41" s="92">
        <v>30.890592736072537064937111180</v>
      </c>
      <c r="U41" s="92">
        <v>19.162487309442189800029743370</v>
      </c>
      <c r="V41" s="92">
        <v>13.751352045518489243732837720</v>
      </c>
      <c r="W41" s="92">
        <v>11.813968095536702766459179640</v>
      </c>
      <c r="X41" s="92">
        <v>16.804754193014690320130255930</v>
      </c>
      <c r="Y41" s="92">
        <v>32.053660760703935614205781480</v>
      </c>
      <c r="Z41" s="92">
        <v>15.691477515674793210575950810</v>
      </c>
      <c r="AA41" s="92">
        <v>20.900445707312146400217852290</v>
      </c>
      <c r="AB41" s="92">
        <v>10.996475441473323579697772380</v>
      </c>
      <c r="AC41" s="92">
        <v>38.775059963771200125371660080</v>
      </c>
      <c r="AD41" s="92">
        <v>61.058376569474690048677132970</v>
      </c>
      <c r="AE41" s="92">
        <v>36.251306039425316441811454860</v>
      </c>
      <c r="AF41" s="92">
        <v>14.762511881823077607020141140</v>
      </c>
      <c r="AG41" s="272"/>
      <c r="AH41" s="342"/>
    </row>
    <row r="42" ht="24.95" customHeight="1">
      <c r="A42" s="23"/>
      <c r="B42" s="40" t="s">
        <v>98</v>
      </c>
      <c r="C42" s="581">
        <v>2.7658636526646677988708109100</v>
      </c>
      <c r="D42" s="582">
        <v>-9.811632148430021636113288560</v>
      </c>
      <c r="E42" s="582">
        <v>7.3802390977606850416163153900</v>
      </c>
      <c r="F42" s="582">
        <v>-14.072918958881214690054868550</v>
      </c>
      <c r="G42" s="582">
        <v>-6.7909083803266685676426593400</v>
      </c>
      <c r="H42" s="582">
        <v>5.5971157448772239032400292800</v>
      </c>
      <c r="I42" s="582">
        <v>7.8806680615659364491254448200</v>
      </c>
      <c r="J42" s="582">
        <v>6.0857934752379845414645232400</v>
      </c>
      <c r="K42" s="582">
        <v>23.319559434639383074205597630</v>
      </c>
      <c r="L42" s="582">
        <v>7.1888429963094140993906011600</v>
      </c>
      <c r="M42" s="582">
        <v>8.804683619585335547833746600</v>
      </c>
      <c r="N42" s="582">
        <v>-2.0342936899306031304429382700</v>
      </c>
      <c r="O42" s="582">
        <v>-13.718638387419148728890612840</v>
      </c>
      <c r="P42" s="582">
        <v>-12.230351725254988114961334260</v>
      </c>
      <c r="Q42" s="582">
        <v>-12.320329996173161026827111880</v>
      </c>
      <c r="R42" s="582">
        <v>-12.132983024407080627625544100</v>
      </c>
      <c r="S42" s="582">
        <v>-28.150575396708014424724455700</v>
      </c>
      <c r="T42" s="582">
        <v>-13.235267405690140875644491330</v>
      </c>
      <c r="U42" s="582">
        <v>-9.600701669838276298349916270</v>
      </c>
      <c r="V42" s="582">
        <v>-17.391957150008462775564692100</v>
      </c>
      <c r="W42" s="582">
        <v>-23.134455677658962012323562370</v>
      </c>
      <c r="X42" s="582">
        <v>-16.831311731390344485774031270</v>
      </c>
      <c r="Y42" s="582">
        <v>-28.069950814223381026700492510</v>
      </c>
      <c r="Z42" s="582">
        <v>-26.953770544501329109263221840</v>
      </c>
      <c r="AA42" s="582">
        <v>-28.000464568000684408043565290</v>
      </c>
      <c r="AB42" s="582">
        <v>-12.306835825933919243661415750</v>
      </c>
      <c r="AC42" s="582">
        <v>-14.938321533332017976105595960</v>
      </c>
      <c r="AD42" s="582">
        <v>-13.280835258217654575149983550</v>
      </c>
      <c r="AE42" s="582">
        <v>12.944427884604808924091573250</v>
      </c>
      <c r="AF42" s="582">
        <v>18.522349416967891399341208450</v>
      </c>
      <c r="AG42" s="583"/>
      <c r="AH42" s="342"/>
    </row>
    <row r="43" ht="30" customHeight="1">
      <c r="A43" s="8"/>
      <c r="B43" s="25"/>
      <c r="X43" s="792"/>
      <c r="Y43" s="792"/>
      <c r="Z43" s="792"/>
      <c r="AA43" s="792"/>
      <c r="AB43" s="792"/>
      <c r="AC43" s="792"/>
      <c r="AD43" s="792"/>
      <c r="AE43"/>
      <c r="AF43"/>
      <c r="AG43" s="4"/>
      <c r="AH43" s="4"/>
    </row>
    <row r="44" s="35" customFormat="1" ht="20.1" customHeight="1">
      <c r="B44" s="784" t="s">
        <v>10</v>
      </c>
      <c r="C44" s="350" t="s">
        <v>287</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191.71969696969696969696969697</v>
      </c>
      <c r="D46" s="579">
        <v>186.07575757575757575757575758</v>
      </c>
      <c r="E46" s="579">
        <v>240.38636363636363636363636364</v>
      </c>
      <c r="F46" s="579">
        <v>316.18939393939393939393939394</v>
      </c>
      <c r="G46" s="579">
        <v>329.87121212121212121212121212</v>
      </c>
      <c r="H46" s="579">
        <v>227.79545454545454545454545455</v>
      </c>
      <c r="I46" s="579">
        <v>277.68939393939393939393939394</v>
      </c>
      <c r="J46" s="579">
        <v>269.37878787878787878787878788</v>
      </c>
      <c r="K46" s="579">
        <v>291.03787878787878787878787879</v>
      </c>
      <c r="L46" s="579">
        <v>247.37878787878787878787878788</v>
      </c>
      <c r="M46" s="579">
        <v>307.21969696969696969696969697</v>
      </c>
      <c r="N46" s="579">
        <v>334.72727272727272727272727273</v>
      </c>
      <c r="O46" s="579">
        <v>206.59848484848484848484848485</v>
      </c>
      <c r="P46" s="579">
        <v>201.12878787878787878787878788</v>
      </c>
      <c r="Q46" s="579">
        <v>206.33333333333333333333333333</v>
      </c>
      <c r="R46" s="579">
        <v>216.65151515151515151515151515</v>
      </c>
      <c r="S46" s="579">
        <v>250.250000000</v>
      </c>
      <c r="T46" s="579">
        <v>353.41666666666666666666666667</v>
      </c>
      <c r="U46" s="579">
        <v>327.51515151515151515151515152</v>
      </c>
      <c r="V46" s="579">
        <v>194.85606060606060606060606061</v>
      </c>
      <c r="W46" s="579">
        <v>170.32575757575757575757575758</v>
      </c>
      <c r="X46" s="579">
        <v>182.71212121212121212121212121</v>
      </c>
      <c r="Y46" s="579">
        <v>182.39393939393939393939393939</v>
      </c>
      <c r="Z46" s="579">
        <v>184.22727272727272727272727273</v>
      </c>
      <c r="AA46" s="579">
        <v>255.31060606060606060606060606</v>
      </c>
      <c r="AB46" s="579">
        <v>285.78030303030303030303030303</v>
      </c>
      <c r="AC46" s="579">
        <v>203.12121212121212121212121212</v>
      </c>
      <c r="AD46" s="579">
        <v>268.12878787878787878787878788</v>
      </c>
      <c r="AE46" s="579">
        <v>302.04545454545454545454545455</v>
      </c>
      <c r="AF46" s="579">
        <v>255.12878787878787878787878788</v>
      </c>
      <c r="AG46" s="580"/>
      <c r="AH46" s="342"/>
    </row>
    <row r="47" ht="24.95" customHeight="1">
      <c r="B47" s="38" t="s">
        <v>35</v>
      </c>
      <c r="C47" s="276">
        <v>199.37790697674418604651162791</v>
      </c>
      <c r="D47" s="94">
        <v>220.72674418604651162790697674</v>
      </c>
      <c r="E47" s="94">
        <v>294.6656976744186046511627907</v>
      </c>
      <c r="F47" s="94">
        <v>422.06104651162790697674418605</v>
      </c>
      <c r="G47" s="94">
        <v>411.40116279069767441860465116</v>
      </c>
      <c r="H47" s="94">
        <v>269.9593023255813953488372093</v>
      </c>
      <c r="I47" s="94">
        <v>254.75581395348837209302325581</v>
      </c>
      <c r="J47" s="94">
        <v>249.71511627906976744186046512</v>
      </c>
      <c r="K47" s="94">
        <v>238.20058139534883720930232558</v>
      </c>
      <c r="L47" s="94">
        <v>265.99709302325581395348837209</v>
      </c>
      <c r="M47" s="94">
        <v>349.71511627906976744186046512</v>
      </c>
      <c r="N47" s="94">
        <v>395.3313953488372093023255814</v>
      </c>
      <c r="O47" s="94">
        <v>294.4593023255813953488372093</v>
      </c>
      <c r="P47" s="94">
        <v>280.73837209302325581395348837</v>
      </c>
      <c r="Q47" s="94">
        <v>299.63662790697674418604651163</v>
      </c>
      <c r="R47" s="94">
        <v>279.93604651162790697674418605</v>
      </c>
      <c r="S47" s="94">
        <v>374.77325581395348837209302326</v>
      </c>
      <c r="T47" s="94">
        <v>443.38662790697674418604651163</v>
      </c>
      <c r="U47" s="94">
        <v>391.2093023255813953488372093</v>
      </c>
      <c r="V47" s="94">
        <v>242.31686046511627906976744186</v>
      </c>
      <c r="W47" s="94">
        <v>213.47383720930232558139534884</v>
      </c>
      <c r="X47" s="94">
        <v>220.31686046511627906976744186</v>
      </c>
      <c r="Y47" s="94">
        <v>238.0436046511627906976744186</v>
      </c>
      <c r="Z47" s="94">
        <v>294.26744186046511627906976744</v>
      </c>
      <c r="AA47" s="94">
        <v>416.2063953488372093023255814</v>
      </c>
      <c r="AB47" s="94">
        <v>374.71220930232558139534883721</v>
      </c>
      <c r="AC47" s="94">
        <v>286.4593023255813953488372093</v>
      </c>
      <c r="AD47" s="94">
        <v>347.52616279069767441860465116</v>
      </c>
      <c r="AE47" s="94">
        <v>308.34302325581395348837209302</v>
      </c>
      <c r="AF47" s="94">
        <v>286.15406976744186046511627907</v>
      </c>
      <c r="AG47" s="277"/>
      <c r="AH47" s="342"/>
    </row>
    <row r="48" ht="24.95" customHeight="1">
      <c r="A48" s="23"/>
      <c r="B48" s="40" t="s">
        <v>99</v>
      </c>
      <c r="C48" s="581">
        <v>96.15894753680105813982907520</v>
      </c>
      <c r="D48" s="582">
        <v>84.30140999087856484420466374</v>
      </c>
      <c r="E48" s="582">
        <v>81.57935095044079513397300577</v>
      </c>
      <c r="F48" s="582">
        <v>74.915559384773438101520149440</v>
      </c>
      <c r="G48" s="582">
        <v>80.18237233058911564137805589</v>
      </c>
      <c r="H48" s="582">
        <v>84.38140585750539834426889930</v>
      </c>
      <c r="I48" s="582">
        <v>109.00218119853388455003333123</v>
      </c>
      <c r="J48" s="582">
        <v>107.87444184104189816427886973</v>
      </c>
      <c r="K48" s="582">
        <v>122.18185072558405386952188578</v>
      </c>
      <c r="L48" s="582">
        <v>93.00056067045768359267826570</v>
      </c>
      <c r="M48" s="582">
        <v>87.84856091965771252798950255</v>
      </c>
      <c r="N48" s="582">
        <v>84.67004560362417161614148103</v>
      </c>
      <c r="O48" s="582">
        <v>70.161982731330875976753878430</v>
      </c>
      <c r="P48" s="582">
        <v>71.642784838889102373120523290</v>
      </c>
      <c r="Q48" s="582">
        <v>68.861185221111964852630587150</v>
      </c>
      <c r="R48" s="582">
        <v>77.393218147966356383470400200</v>
      </c>
      <c r="S48" s="582">
        <v>66.773708133591874316795136050</v>
      </c>
      <c r="T48" s="582">
        <v>79.70846309347776210869421742</v>
      </c>
      <c r="U48" s="582">
        <v>83.71865126115114375404269591</v>
      </c>
      <c r="V48" s="582">
        <v>80.41374431480181826904772695</v>
      </c>
      <c r="W48" s="582">
        <v>79.78764976654353423000502888</v>
      </c>
      <c r="X48" s="582">
        <v>82.93152000550784564358584773</v>
      </c>
      <c r="Y48" s="582">
        <v>76.622070843363835395219710800</v>
      </c>
      <c r="Z48" s="582">
        <v>62.605387657737291594518565360</v>
      </c>
      <c r="AA48" s="582">
        <v>61.342307305644376926013599420</v>
      </c>
      <c r="AB48" s="582">
        <v>76.266610997921625034724510550</v>
      </c>
      <c r="AC48" s="582">
        <v>70.907528738702717232378498500</v>
      </c>
      <c r="AD48" s="582">
        <v>77.153554634754295790507009670</v>
      </c>
      <c r="AE48" s="582">
        <v>97.95760946888004676309808863</v>
      </c>
      <c r="AF48" s="582">
        <v>89.15784007061965422757750872</v>
      </c>
      <c r="AG48" s="583"/>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-3.0197355815320016942531049800</v>
      </c>
      <c r="D50" s="574">
        <v>-12.742903833173469750257557990</v>
      </c>
      <c r="E50" s="574">
        <v>-1.4197837703553237365620507400</v>
      </c>
      <c r="F50" s="574">
        <v>-8.221919254124975365396552030</v>
      </c>
      <c r="G50" s="574">
        <v>-5.8000173070217618562118564400</v>
      </c>
      <c r="H50" s="574">
        <v>10.886159973458204328795084260</v>
      </c>
      <c r="I50" s="574">
        <v>13.332096589691988855323343260</v>
      </c>
      <c r="J50" s="574">
        <v>1.0285259688463195554991913200</v>
      </c>
      <c r="K50" s="574">
        <v>38.449617990499771476516267820</v>
      </c>
      <c r="L50" s="574">
        <v>6.548764968858180999243828300</v>
      </c>
      <c r="M50" s="574">
        <v>4.6070111177010424946760347500</v>
      </c>
      <c r="N50" s="574">
        <v>-1.0569688283680631466166578300</v>
      </c>
      <c r="O50" s="574">
        <v>-2.502591970247935546957223400</v>
      </c>
      <c r="P50" s="574">
        <v>10.280800863995329015478009780</v>
      </c>
      <c r="Q50" s="574">
        <v>10.823567708344155947367351320</v>
      </c>
      <c r="R50" s="574">
        <v>3.8152974915568645501145952200</v>
      </c>
      <c r="S50" s="574">
        <v>-5.1484523057365948771074840900</v>
      </c>
      <c r="T50" s="574">
        <v>13.566872778605232302178430770</v>
      </c>
      <c r="U50" s="574">
        <v>13.199444895377604228969806640</v>
      </c>
      <c r="V50" s="574">
        <v>9.181594362847284462274168480</v>
      </c>
      <c r="W50" s="574">
        <v>-20.984747311447838187876894570</v>
      </c>
      <c r="X50" s="574">
        <v>-5.263571372438733016835089400</v>
      </c>
      <c r="Y50" s="574">
        <v>1.7109543322812901295145631700</v>
      </c>
      <c r="Z50" s="574">
        <v>-26.542818305405248243170746670</v>
      </c>
      <c r="AA50" s="574">
        <v>-22.152410431724423708142773980</v>
      </c>
      <c r="AB50" s="574">
        <v>-8.203144011296547244229641510</v>
      </c>
      <c r="AC50" s="574">
        <v>-1.172134168815350860806027500</v>
      </c>
      <c r="AD50" s="574">
        <v>41.958126102991050336845628680</v>
      </c>
      <c r="AE50" s="574">
        <v>55.099976659165032285276173970</v>
      </c>
      <c r="AF50" s="574">
        <v>38.213083805309277505563751590</v>
      </c>
      <c r="AG50" s="575"/>
      <c r="AH50" s="342"/>
    </row>
    <row r="51" ht="24.95" customHeight="1">
      <c r="B51" s="38" t="s">
        <v>35</v>
      </c>
      <c r="C51" s="271">
        <v>-18.143030527511278766451192440</v>
      </c>
      <c r="D51" s="92">
        <v>-5.9319048380508628020267862500</v>
      </c>
      <c r="E51" s="92">
        <v>-14.436051487700016486856505780</v>
      </c>
      <c r="F51" s="92">
        <v>20.702206223199458317188303540</v>
      </c>
      <c r="G51" s="92">
        <v>11.927141075709040558193676410</v>
      </c>
      <c r="H51" s="92">
        <v>16.154929112981236623193756300</v>
      </c>
      <c r="I51" s="92">
        <v>13.691269026899974365636237760</v>
      </c>
      <c r="J51" s="92">
        <v>14.332301133644751435487112490</v>
      </c>
      <c r="K51" s="92">
        <v>6.9292419889877531579541342300</v>
      </c>
      <c r="L51" s="92">
        <v>2.9002294093832935990283837900</v>
      </c>
      <c r="M51" s="92">
        <v>3.4308818310615870951121688600</v>
      </c>
      <c r="N51" s="92">
        <v>4.4720322132520598115495944100</v>
      </c>
      <c r="O51" s="92">
        <v>9.145251948772659224347271230</v>
      </c>
      <c r="P51" s="92">
        <v>25.020369624570359926677633230</v>
      </c>
      <c r="Q51" s="92">
        <v>35.786482381326204334691705600</v>
      </c>
      <c r="R51" s="92">
        <v>11.542750821097423956625094420</v>
      </c>
      <c r="S51" s="92">
        <v>28.834975202806540813336248890</v>
      </c>
      <c r="T51" s="92">
        <v>55.316467658245627129635202460</v>
      </c>
      <c r="U51" s="92">
        <v>31.109548645487857058862710690</v>
      </c>
      <c r="V51" s="92">
        <v>28.425083109327255551579673630</v>
      </c>
      <c r="W51" s="92">
        <v>15.898501525008992662806484350</v>
      </c>
      <c r="X51" s="92">
        <v>12.667954298636565702467523020</v>
      </c>
      <c r="Y51" s="92">
        <v>25.525474905528882992773170960</v>
      </c>
      <c r="Z51" s="92">
        <v>14.662269325300986542197854180</v>
      </c>
      <c r="AA51" s="92">
        <v>23.545028848456833196441950120</v>
      </c>
      <c r="AB51" s="92">
        <v>12.888900814931306875751642590</v>
      </c>
      <c r="AC51" s="92">
        <v>48.919883464152357969630435060</v>
      </c>
      <c r="AD51" s="92">
        <v>125.93700448464347269415579572</v>
      </c>
      <c r="AE51" s="92">
        <v>107.60196493112631094974481971</v>
      </c>
      <c r="AF51" s="92">
        <v>61.828103594089655554566785130</v>
      </c>
      <c r="AG51" s="272"/>
      <c r="AH51" s="342"/>
    </row>
    <row r="52" ht="24.95" customHeight="1">
      <c r="A52" s="23"/>
      <c r="B52" s="40" t="s">
        <v>99</v>
      </c>
      <c r="C52" s="581">
        <v>18.475268561079529188534440250</v>
      </c>
      <c r="D52" s="582">
        <v>-7.2404984743750213617766563100</v>
      </c>
      <c r="E52" s="582">
        <v>15.212327088240388931841550870</v>
      </c>
      <c r="F52" s="582">
        <v>-23.963211926587790942139727200</v>
      </c>
      <c r="G52" s="582">
        <v>-15.838123097220274785020100900</v>
      </c>
      <c r="H52" s="582">
        <v>-4.5359841203202071873216849800</v>
      </c>
      <c r="I52" s="582">
        <v>-0.31591910295956313049022500</v>
      </c>
      <c r="J52" s="582">
        <v>-11.636060004783074736649620270</v>
      </c>
      <c r="K52" s="582">
        <v>29.477788690207287251701945780</v>
      </c>
      <c r="L52" s="582">
        <v>3.5457020654240506458626941900</v>
      </c>
      <c r="M52" s="582">
        <v>1.1371161743633391450153657100</v>
      </c>
      <c r="N52" s="582">
        <v>-5.2923264959040548461708536400</v>
      </c>
      <c r="O52" s="582">
        <v>-10.671874141120088740146287620</v>
      </c>
      <c r="P52" s="582">
        <v>-11.789733788794578357053606230</v>
      </c>
      <c r="Q52" s="582">
        <v>-18.383946792978821847720928250</v>
      </c>
      <c r="R52" s="582">
        <v>-6.9277951930089177071508406200</v>
      </c>
      <c r="S52" s="582">
        <v>-26.37748597000443472717932900</v>
      </c>
      <c r="T52" s="582">
        <v>-26.880340191280992851220085300</v>
      </c>
      <c r="U52" s="582">
        <v>-13.660411415564389559877080330</v>
      </c>
      <c r="V52" s="582">
        <v>-14.984213582390254039650315910</v>
      </c>
      <c r="W52" s="582">
        <v>-31.823749531818083653241776300</v>
      </c>
      <c r="X52" s="582">
        <v>-15.915373437551907768207777380</v>
      </c>
      <c r="Y52" s="582">
        <v>-18.971862557080936366012245930</v>
      </c>
      <c r="Z52" s="582">
        <v>-35.936047553543025599519897030</v>
      </c>
      <c r="AA52" s="582">
        <v>-36.988488898441882700929321250</v>
      </c>
      <c r="AB52" s="582">
        <v>-18.683896002127690306520841510</v>
      </c>
      <c r="AC52" s="582">
        <v>-33.636890163883754731959723920</v>
      </c>
      <c r="AD52" s="582">
        <v>-37.169156320012648711847760460</v>
      </c>
      <c r="AE52" s="582">
        <v>-25.289735715819039168046401780</v>
      </c>
      <c r="AF52" s="582">
        <v>-14.592656815650543444717862130</v>
      </c>
      <c r="AG52" s="583"/>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5"/>
      <c r="AG1" s="685"/>
      <c r="AI1" s="236"/>
    </row>
    <row r="2" ht="21" customHeight="1">
      <c r="B2" s="11" t="s">
        <v>208</v>
      </c>
    </row>
    <row r="3" ht="21" customHeight="1">
      <c r="B3" s="11" t="s">
        <v>209</v>
      </c>
      <c r="U3" s="99" t="s">
        <v>294</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2023</v>
      </c>
      <c r="C9" s="285" t="s">
        <v>218</v>
      </c>
      <c r="D9" s="434">
        <v>228.61922554347826086956521739</v>
      </c>
      <c r="E9" s="435">
        <v>238.8965540340853117919416806</v>
      </c>
      <c r="F9" s="436">
        <v>208.40661605206073752711496746</v>
      </c>
      <c r="G9" s="434">
        <v>42.587975543478260869565217391</v>
      </c>
      <c r="H9" s="435">
        <v>73.401932013677899458554902099</v>
      </c>
      <c r="I9" s="436">
        <v>80.4180928377770522047190171</v>
      </c>
      <c r="J9" s="434">
        <v>27.555027173913043478260869565</v>
      </c>
      <c r="K9" s="435">
        <v>28.025345012520584880298038212</v>
      </c>
      <c r="L9" s="436">
        <v>35.210619810903873037958421127</v>
      </c>
      <c r="M9" s="434">
        <v>298.76222826086956521739130435</v>
      </c>
      <c r="N9" s="435">
        <v>340.32383106028379613079462091</v>
      </c>
      <c r="O9" s="436">
        <v>324.03532870074166276979240569</v>
      </c>
      <c r="P9" s="5"/>
      <c r="Q9" s="415">
        <v>-13.051875238990915761515486610</v>
      </c>
      <c r="R9" s="416">
        <v>-23.233218368291670158834114850</v>
      </c>
      <c r="S9" s="417">
        <v>-6.9647113732862149337951186300</v>
      </c>
      <c r="T9" s="415">
        <v>-28.112701562781072333068269420</v>
      </c>
      <c r="U9" s="416">
        <v>-23.684194332284014786021905480</v>
      </c>
      <c r="V9" s="417">
        <v>4.5734426188347191952602598400</v>
      </c>
      <c r="W9" s="415">
        <v>10.880729866448667080533843690</v>
      </c>
      <c r="X9" s="416">
        <v>16.220604684139818177647143560</v>
      </c>
      <c r="Y9" s="417">
        <v>28.392188687998182896291806370</v>
      </c>
      <c r="Z9" s="415">
        <v>-13.909128281424348609126323830</v>
      </c>
      <c r="AA9" s="416">
        <v>-21.128874851493638267320722240</v>
      </c>
      <c r="AB9" s="417">
        <v>-1.3090787284201929383294273800</v>
      </c>
      <c r="AC9" s="5"/>
      <c r="AD9" s="427" t="s">
        <v>220</v>
      </c>
      <c r="AE9" s="428" t="s">
        <v>231</v>
      </c>
      <c r="AF9" s="428" t="s">
        <v>231</v>
      </c>
      <c r="AG9" s="429" t="s">
        <v>231</v>
      </c>
    </row>
    <row r="10" ht="20.1" customHeight="1">
      <c r="A10" s="58"/>
      <c r="B10" s="286"/>
      <c r="C10" s="287" t="s">
        <v>222</v>
      </c>
      <c r="D10" s="276">
        <v>331.89427824571594539645657857</v>
      </c>
      <c r="E10" s="94">
        <v>382.23711296296296296296296301</v>
      </c>
      <c r="F10" s="277">
        <v>262.41211252788710935374458129</v>
      </c>
      <c r="G10" s="276">
        <v>63.632587859424920127795527157</v>
      </c>
      <c r="H10" s="94">
        <v>81.09120370370370370370370371</v>
      </c>
      <c r="I10" s="277">
        <v>71.272933251888932730061879564</v>
      </c>
      <c r="J10" s="276">
        <v>22.215509729886726691838512925</v>
      </c>
      <c r="K10" s="94">
        <v>35.581388888888888888888888892</v>
      </c>
      <c r="L10" s="277">
        <v>29.102163549424577631269677397</v>
      </c>
      <c r="M10" s="276">
        <v>417.74237583502759221609061865</v>
      </c>
      <c r="N10" s="94">
        <v>498.90970555555555555555555561</v>
      </c>
      <c r="O10" s="277">
        <v>362.78720932920061971507613825</v>
      </c>
      <c r="P10" s="5"/>
      <c r="Q10" s="271">
        <v>3.8038201582109236315383072600</v>
      </c>
      <c r="R10" s="92">
        <v>2.1254659005001036829580803900</v>
      </c>
      <c r="S10" s="272">
        <v>3.3940290776839411431750854400</v>
      </c>
      <c r="T10" s="271">
        <v>19.005840298275436923006776860</v>
      </c>
      <c r="U10" s="92">
        <v>-26.833554538643383997993224340</v>
      </c>
      <c r="V10" s="272">
        <v>-91.68430123219887279539118042</v>
      </c>
      <c r="W10" s="271">
        <v>-14.978718652633094913159746950</v>
      </c>
      <c r="X10" s="92">
        <v>20.691218783691430802542751090</v>
      </c>
      <c r="Y10" s="272">
        <v>-0.6207288660677433062979015100</v>
      </c>
      <c r="Z10" s="271">
        <v>4.6103640334071389312658056400</v>
      </c>
      <c r="AA10" s="92">
        <v>-3.0479641214583085268243560700</v>
      </c>
      <c r="AB10" s="272">
        <v>-68.181333204173658036872152110</v>
      </c>
      <c r="AC10" s="5"/>
      <c r="AD10" s="271" t="s">
        <v>221</v>
      </c>
      <c r="AE10" s="92" t="s">
        <v>221</v>
      </c>
      <c r="AF10" s="92" t="s">
        <v>223</v>
      </c>
      <c r="AG10" s="272" t="s">
        <v>221</v>
      </c>
    </row>
    <row r="11" ht="20.1" customHeight="1">
      <c r="A11" s="58"/>
      <c r="B11" s="288">
        <v>2024</v>
      </c>
      <c r="C11" s="289" t="s">
        <v>224</v>
      </c>
      <c r="D11" s="439">
        <v>287.56403940886699507389162562</v>
      </c>
      <c r="E11" s="95">
        <v>330.13604342581423401688781665</v>
      </c>
      <c r="F11" s="442">
        <v>262.87688516596426456758733586</v>
      </c>
      <c r="G11" s="439">
        <v>10.08073344280240831964969896</v>
      </c>
      <c r="H11" s="95">
        <v>94.49744826946274473415607312</v>
      </c>
      <c r="I11" s="442">
        <v>77.678629213584713412900078028</v>
      </c>
      <c r="J11" s="439">
        <v>24.448549534756431308155446086</v>
      </c>
      <c r="K11" s="95">
        <v>27.635798459682657511366799666</v>
      </c>
      <c r="L11" s="442">
        <v>26.957126223701472365280618569</v>
      </c>
      <c r="M11" s="439">
        <v>322.09332238642583470169677066</v>
      </c>
      <c r="N11" s="95">
        <v>452.26929015495963626241068943</v>
      </c>
      <c r="O11" s="442">
        <v>367.51264060325045034576803246</v>
      </c>
      <c r="P11" s="5"/>
      <c r="Q11" s="497">
        <v>2.2539092647899099129884983200</v>
      </c>
      <c r="R11" s="216">
        <v>-3.3178220622261525888217845200</v>
      </c>
      <c r="S11" s="498">
        <v>1.2970949609208357156312936600</v>
      </c>
      <c r="T11" s="497">
        <v>-85.66458310402761563078109825</v>
      </c>
      <c r="U11" s="216">
        <v>-22.497511531198796481658265860</v>
      </c>
      <c r="V11" s="498">
        <v>6.7484505296731635857729429800</v>
      </c>
      <c r="W11" s="497">
        <v>-9.311568000731576587861591130</v>
      </c>
      <c r="X11" s="216">
        <v>28.159862274861364979967391090</v>
      </c>
      <c r="Y11" s="498">
        <v>0.3171866553704158390649650100</v>
      </c>
      <c r="Z11" s="497">
        <v>-14.903765625560515109504504900</v>
      </c>
      <c r="AA11" s="216">
        <v>-6.7403441881886956534652869100</v>
      </c>
      <c r="AB11" s="498">
        <v>2.3282830712064112138762916300</v>
      </c>
      <c r="AC11" s="5"/>
      <c r="AD11" s="420" t="s">
        <v>221</v>
      </c>
      <c r="AE11" s="91" t="s">
        <v>220</v>
      </c>
      <c r="AF11" s="91" t="s">
        <v>223</v>
      </c>
      <c r="AG11" s="421" t="s">
        <v>221</v>
      </c>
    </row>
    <row r="12" ht="20.1" customHeight="1">
      <c r="A12" s="58"/>
      <c r="B12" s="286"/>
      <c r="C12" s="287" t="s">
        <v>225</v>
      </c>
      <c r="D12" s="276">
        <v>351.08152937868990722518976666</v>
      </c>
      <c r="E12" s="94">
        <v>384.66018085106382978723404255</v>
      </c>
      <c r="F12" s="277">
        <v>311.89754314720812182741116751</v>
      </c>
      <c r="G12" s="276">
        <v>1.5971324149564239527691875176</v>
      </c>
      <c r="H12" s="94">
        <v>90.13114119922630560928433269</v>
      </c>
      <c r="I12" s="277">
        <v>82.19226546395413556991718042</v>
      </c>
      <c r="J12" s="276">
        <v>28.768906381782400899634523475</v>
      </c>
      <c r="K12" s="94">
        <v>26.773500967117988394584139265</v>
      </c>
      <c r="L12" s="277">
        <v>33.228406821604616199735232532</v>
      </c>
      <c r="M12" s="276">
        <v>381.44756817542873207759347765</v>
      </c>
      <c r="N12" s="94">
        <v>501.56482301740812379110251451</v>
      </c>
      <c r="O12" s="277">
        <v>427.31821543276687359706358046</v>
      </c>
      <c r="P12" s="5"/>
      <c r="Q12" s="271">
        <v>1.2162344522410634697652324300</v>
      </c>
      <c r="R12" s="92">
        <v>-9.522847999293038540960644920</v>
      </c>
      <c r="S12" s="272">
        <v>1.6810268016846806390922774700</v>
      </c>
      <c r="T12" s="271">
        <v>-97.71976183799763624064906960</v>
      </c>
      <c r="U12" s="92">
        <v>-14.665192290090863412313461590</v>
      </c>
      <c r="V12" s="272">
        <v>-8.100596934404448843057138550</v>
      </c>
      <c r="W12" s="271">
        <v>11.535786227052958321737458750</v>
      </c>
      <c r="X12" s="92">
        <v>-3.8861949935773384952527509800</v>
      </c>
      <c r="Y12" s="272">
        <v>9.580570141688372960626256130</v>
      </c>
      <c r="Z12" s="271">
        <v>-13.835840319820974019285658360</v>
      </c>
      <c r="AA12" s="92">
        <v>-10.214052593198339972703415530</v>
      </c>
      <c r="AB12" s="272">
        <v>0.1914633549627511430040447800</v>
      </c>
      <c r="AC12" s="5"/>
      <c r="AD12" s="271" t="s">
        <v>221</v>
      </c>
      <c r="AE12" s="92" t="s">
        <v>220</v>
      </c>
      <c r="AF12" s="92" t="s">
        <v>221</v>
      </c>
      <c r="AG12" s="272" t="s">
        <v>221</v>
      </c>
    </row>
    <row r="13" ht="20.1" customHeight="1">
      <c r="A13" s="58"/>
      <c r="B13" s="288"/>
      <c r="C13" s="289" t="s">
        <v>226</v>
      </c>
      <c r="D13" s="439">
        <v>312.21697864487213287635117321</v>
      </c>
      <c r="E13" s="95">
        <v>357.98414403032217308907138345</v>
      </c>
      <c r="F13" s="442">
        <v>289.23238524708851333181639534</v>
      </c>
      <c r="G13" s="439">
        <v>1.9446348536778275771157395202</v>
      </c>
      <c r="H13" s="95">
        <v>78.526486779171554913816442559</v>
      </c>
      <c r="I13" s="442">
        <v>69.635503237756434390137852376</v>
      </c>
      <c r="J13" s="439">
        <v>27.4500395465330872660163459</v>
      </c>
      <c r="K13" s="95">
        <v>27.159552386968685136720512589</v>
      </c>
      <c r="L13" s="442">
        <v>34.667176283163105262527043919</v>
      </c>
      <c r="M13" s="439">
        <v>341.61165304508304771948325863</v>
      </c>
      <c r="N13" s="95">
        <v>463.6701831964624131396083386</v>
      </c>
      <c r="O13" s="442">
        <v>393.53506476800805298448129165</v>
      </c>
      <c r="P13" s="5"/>
      <c r="Q13" s="420">
        <v>-0.7483064832101831910544914300</v>
      </c>
      <c r="R13" s="91">
        <v>-7.3738141736572682901672865500</v>
      </c>
      <c r="S13" s="498">
        <v>-1.5537917500624694771619684600</v>
      </c>
      <c r="T13" s="420">
        <v>-97.22311385655712862348603374</v>
      </c>
      <c r="U13" s="91">
        <v>-9.155904499348662255384338600</v>
      </c>
      <c r="V13" s="498">
        <v>-11.069759177515684254459147930</v>
      </c>
      <c r="W13" s="420">
        <v>11.702981237332160617785598220</v>
      </c>
      <c r="X13" s="91">
        <v>-11.694887270671345307649758020</v>
      </c>
      <c r="Y13" s="498">
        <v>9.540485749570405459491228470</v>
      </c>
      <c r="Z13" s="420">
        <v>-16.511968235284747110404937690</v>
      </c>
      <c r="AA13" s="91">
        <v>-7.943514275204171772317376170</v>
      </c>
      <c r="AB13" s="498">
        <v>-2.5297056390904426721714928700</v>
      </c>
      <c r="AC13" s="5"/>
      <c r="AD13" s="420" t="s">
        <v>221</v>
      </c>
      <c r="AE13" s="91" t="s">
        <v>220</v>
      </c>
      <c r="AF13" s="91" t="s">
        <v>223</v>
      </c>
      <c r="AG13" s="421" t="s">
        <v>221</v>
      </c>
    </row>
    <row r="14" ht="20.1" customHeight="1">
      <c r="A14" s="58"/>
      <c r="B14" s="286"/>
      <c r="C14" s="287" t="s">
        <v>228</v>
      </c>
      <c r="D14" s="276">
        <v>258.44718309859154929577464789</v>
      </c>
      <c r="E14" s="94">
        <v>308.43953020134228187919463087</v>
      </c>
      <c r="F14" s="277">
        <v>246.72479168760350078431201199</v>
      </c>
      <c r="G14" s="276">
        <v>1.6015709642470205850487540628</v>
      </c>
      <c r="H14" s="94">
        <v>75.433269415148609779482262704</v>
      </c>
      <c r="I14" s="277">
        <v>70.620149089098193790928056226</v>
      </c>
      <c r="J14" s="276">
        <v>30.944474539544962080173347779</v>
      </c>
      <c r="K14" s="94">
        <v>27.02991371045062320230105465</v>
      </c>
      <c r="L14" s="277">
        <v>27.039487127530655048128326047</v>
      </c>
      <c r="M14" s="276">
        <v>290.99322860238353196099674973</v>
      </c>
      <c r="N14" s="94">
        <v>410.90271332694151486097794823</v>
      </c>
      <c r="O14" s="277">
        <v>344.38442790423234962336839426</v>
      </c>
      <c r="P14" s="5"/>
      <c r="Q14" s="271">
        <v>-1.9665363402226929105900365600</v>
      </c>
      <c r="R14" s="92">
        <v>-10.688279842937158953578849690</v>
      </c>
      <c r="S14" s="272">
        <v>2.1500487162751909321004346300</v>
      </c>
      <c r="T14" s="271">
        <v>-96.90871768993620394092057659</v>
      </c>
      <c r="U14" s="92">
        <v>-31.482762659515022779833254770</v>
      </c>
      <c r="V14" s="272">
        <v>-4.4226950796726282080461958400</v>
      </c>
      <c r="W14" s="271">
        <v>30.139255871221181903394012900</v>
      </c>
      <c r="X14" s="92">
        <v>-9.025226505003090513051461750</v>
      </c>
      <c r="Y14" s="272">
        <v>-17.541345002575284473516489400</v>
      </c>
      <c r="Z14" s="271">
        <v>-14.216666708400527261518078930</v>
      </c>
      <c r="AA14" s="92">
        <v>-15.305204273455279839768057880</v>
      </c>
      <c r="AB14" s="272">
        <v>-1.0990087609517963422433438700</v>
      </c>
      <c r="AC14" s="5"/>
      <c r="AD14" s="271" t="s">
        <v>221</v>
      </c>
      <c r="AE14" s="92" t="s">
        <v>220</v>
      </c>
      <c r="AF14" s="92" t="s">
        <v>220</v>
      </c>
      <c r="AG14" s="272" t="s">
        <v>221</v>
      </c>
    </row>
    <row r="15" ht="20.1" customHeight="1">
      <c r="A15" s="58"/>
      <c r="B15" s="288"/>
      <c r="C15" s="289" t="s">
        <v>229</v>
      </c>
      <c r="D15" s="439">
        <v>223.86142322097378277153558052</v>
      </c>
      <c r="E15" s="95">
        <v>277.21491387715307117322066948</v>
      </c>
      <c r="F15" s="442">
        <v>221.87765616423823954023624698</v>
      </c>
      <c r="G15" s="439">
        <v>1.6505329876116392970325554595</v>
      </c>
      <c r="H15" s="95">
        <v>80.97616726248510453905319034</v>
      </c>
      <c r="I15" s="442">
        <v>58.75842612464760188138168954</v>
      </c>
      <c r="J15" s="439">
        <v>32.153846153846153846153846154</v>
      </c>
      <c r="K15" s="95">
        <v>29.209619759506012349691257719</v>
      </c>
      <c r="L15" s="442">
        <v>35.727688586487537993226083632</v>
      </c>
      <c r="M15" s="439">
        <v>257.66580236243157591472198214</v>
      </c>
      <c r="N15" s="95">
        <v>387.40070089914418806196511754</v>
      </c>
      <c r="O15" s="442">
        <v>316.36377087537337941484402016</v>
      </c>
      <c r="P15" s="5"/>
      <c r="Q15" s="420">
        <v>-14.640373994918915216975929880</v>
      </c>
      <c r="R15" s="91">
        <v>-7.7344904555041594675486860700</v>
      </c>
      <c r="S15" s="498">
        <v>-2.9350698305808965773953416400</v>
      </c>
      <c r="T15" s="420">
        <v>-97.00837170651709822409818890</v>
      </c>
      <c r="U15" s="91">
        <v>9.866337371287073071632194620</v>
      </c>
      <c r="V15" s="498">
        <v>-20.151641950766476444012885240</v>
      </c>
      <c r="W15" s="420">
        <v>27.366691560945458616414269320</v>
      </c>
      <c r="X15" s="91">
        <v>-2.9321470109735690740282506400</v>
      </c>
      <c r="Y15" s="498">
        <v>-4.8059261395634929438598802800</v>
      </c>
      <c r="Z15" s="420">
        <v>-24.807226439588587370676808170</v>
      </c>
      <c r="AA15" s="91">
        <v>-4.1679622694223098596837369200</v>
      </c>
      <c r="AB15" s="498">
        <v>-6.8712428730374965699928979800</v>
      </c>
      <c r="AC15" s="5"/>
      <c r="AD15" s="420" t="s">
        <v>221</v>
      </c>
      <c r="AE15" s="91" t="s">
        <v>220</v>
      </c>
      <c r="AF15" s="91" t="s">
        <v>220</v>
      </c>
      <c r="AG15" s="421" t="s">
        <v>221</v>
      </c>
    </row>
    <row r="16" ht="20.1" customHeight="1">
      <c r="A16" s="58"/>
      <c r="B16" s="286"/>
      <c r="C16" s="287" t="s">
        <v>230</v>
      </c>
      <c r="D16" s="276">
        <v>171.17375886524822695035460993</v>
      </c>
      <c r="E16" s="94">
        <v>223.44614586295137901620699461</v>
      </c>
      <c r="F16" s="277">
        <v>180.94885304247416908688284487</v>
      </c>
      <c r="G16" s="276">
        <v>1.7485493230174081237911025145</v>
      </c>
      <c r="H16" s="94">
        <v>67.585015638328120557293147574</v>
      </c>
      <c r="I16" s="277">
        <v>60.423068817954081844217383812</v>
      </c>
      <c r="J16" s="276">
        <v>30.392972275950999355254674404</v>
      </c>
      <c r="K16" s="94">
        <v>37.763008245663918112027295994</v>
      </c>
      <c r="L16" s="277">
        <v>34.06789952222557954728338293</v>
      </c>
      <c r="M16" s="276">
        <v>203.31528046421663442940038685</v>
      </c>
      <c r="N16" s="94">
        <v>328.79416974694341768552743818</v>
      </c>
      <c r="O16" s="277">
        <v>275.43982138265383047838361162</v>
      </c>
      <c r="P16" s="5"/>
      <c r="Q16" s="271">
        <v>-7.6972330895483458723735015600</v>
      </c>
      <c r="R16" s="92">
        <v>-0.0140374678165911566609575900</v>
      </c>
      <c r="S16" s="272">
        <v>-0.8535481562652848153378457200</v>
      </c>
      <c r="T16" s="271">
        <v>-96.11179576814149528057776846</v>
      </c>
      <c r="U16" s="92">
        <v>26.411694792752093484278070770</v>
      </c>
      <c r="V16" s="272">
        <v>4.5228715458579668855670377300</v>
      </c>
      <c r="W16" s="271">
        <v>14.124140328095088044540718430</v>
      </c>
      <c r="X16" s="92">
        <v>27.802324583570436746413647210</v>
      </c>
      <c r="Y16" s="272">
        <v>11.295131671190415413499014880</v>
      </c>
      <c r="Z16" s="271">
        <v>-20.904461038826765467130961450</v>
      </c>
      <c r="AA16" s="92">
        <v>7.2773926650737254513154196800</v>
      </c>
      <c r="AB16" s="272">
        <v>1.6662539593391570060380666500</v>
      </c>
      <c r="AC16" s="5"/>
      <c r="AD16" s="271" t="s">
        <v>232</v>
      </c>
      <c r="AE16" s="92" t="s">
        <v>231</v>
      </c>
      <c r="AF16" s="92" t="s">
        <v>232</v>
      </c>
      <c r="AG16" s="272" t="s">
        <v>232</v>
      </c>
    </row>
    <row r="17" ht="20.1" customHeight="1">
      <c r="A17" s="58"/>
      <c r="B17" s="288"/>
      <c r="C17" s="289" t="s">
        <v>233</v>
      </c>
      <c r="D17" s="439">
        <v>179.42672413793103448275862069</v>
      </c>
      <c r="E17" s="95">
        <v>234.55057833578202217176439163</v>
      </c>
      <c r="F17" s="442">
        <v>174.31037168509200079302889835</v>
      </c>
      <c r="G17" s="439">
        <v>1.4353448275862068965517241379</v>
      </c>
      <c r="H17" s="95">
        <v>61.169459256103306502138765285</v>
      </c>
      <c r="I17" s="442">
        <v>43.668800011997776882856688736</v>
      </c>
      <c r="J17" s="439">
        <v>34.589190981432360742705570292</v>
      </c>
      <c r="K17" s="95">
        <v>31.796397970207577797862482657</v>
      </c>
      <c r="L17" s="442">
        <v>30.26899111516776913355794247</v>
      </c>
      <c r="M17" s="439">
        <v>215.45125994694960212201591512</v>
      </c>
      <c r="N17" s="95">
        <v>327.51643556209290647176563957</v>
      </c>
      <c r="O17" s="442">
        <v>248.24816281225754680944352956</v>
      </c>
      <c r="P17" s="5"/>
      <c r="Q17" s="420">
        <v>-3.2597745184463937248828842200</v>
      </c>
      <c r="R17" s="91">
        <v>4.8264792156227410170163342600</v>
      </c>
      <c r="S17" s="498">
        <v>-2.0703617852700484962625577600</v>
      </c>
      <c r="T17" s="420">
        <v>-96.47079811389401117997552617</v>
      </c>
      <c r="U17" s="91">
        <v>14.434489665528988433415290970</v>
      </c>
      <c r="V17" s="498">
        <v>-19.774854905389497797351907030</v>
      </c>
      <c r="W17" s="420">
        <v>43.307062453450204784587874310</v>
      </c>
      <c r="X17" s="91">
        <v>0.5862446745658816876245684100</v>
      </c>
      <c r="Y17" s="498">
        <v>-14.742608204890599774321259370</v>
      </c>
      <c r="Z17" s="420">
        <v>-13.915791879173910206471438630</v>
      </c>
      <c r="AA17" s="91">
        <v>6.0555126382038043644027941400</v>
      </c>
      <c r="AB17" s="498">
        <v>-7.3463724756159415426166190500</v>
      </c>
      <c r="AC17" s="5"/>
      <c r="AD17" s="420" t="s">
        <v>232</v>
      </c>
      <c r="AE17" s="91" t="s">
        <v>295</v>
      </c>
      <c r="AF17" s="91" t="s">
        <v>296</v>
      </c>
      <c r="AG17" s="421" t="s">
        <v>295</v>
      </c>
    </row>
    <row r="18" ht="20.1" customHeight="1">
      <c r="A18" s="58"/>
      <c r="B18" s="286"/>
      <c r="C18" s="287" t="s">
        <v>234</v>
      </c>
      <c r="D18" s="276">
        <v>158.6950495049504950495049505</v>
      </c>
      <c r="E18" s="94">
        <v>207.8975057736720554272517321</v>
      </c>
      <c r="F18" s="277">
        <v>159.39139043959437138838106348</v>
      </c>
      <c r="G18" s="276">
        <v>2.0617161716171617161716171617</v>
      </c>
      <c r="H18" s="94">
        <v>48.614318706697459584295612008</v>
      </c>
      <c r="I18" s="277">
        <v>44.24091725287123350680814543</v>
      </c>
      <c r="J18" s="276">
        <v>33.763036303630363036303630363</v>
      </c>
      <c r="K18" s="94">
        <v>28.583752207580491781008015215</v>
      </c>
      <c r="L18" s="277">
        <v>31.178322847647068703111133341</v>
      </c>
      <c r="M18" s="276">
        <v>194.51980198019801980198019802</v>
      </c>
      <c r="N18" s="94">
        <v>285.09557668795000679255535932</v>
      </c>
      <c r="O18" s="277">
        <v>234.81063054011267359830034225</v>
      </c>
      <c r="P18" s="5"/>
      <c r="Q18" s="271">
        <v>-6.1624018703361361635951644900</v>
      </c>
      <c r="R18" s="92">
        <v>2.9993072278396522904370573800</v>
      </c>
      <c r="S18" s="272">
        <v>-3.635410025788580169445959100</v>
      </c>
      <c r="T18" s="271">
        <v>-94.87603751791198694117344580</v>
      </c>
      <c r="U18" s="92">
        <v>4.6387207824604233909338612500</v>
      </c>
      <c r="V18" s="272">
        <v>-17.865317264438493068710078970</v>
      </c>
      <c r="W18" s="271">
        <v>5.0833142932717773073853384800</v>
      </c>
      <c r="X18" s="92">
        <v>-23.553450243651327653324870870</v>
      </c>
      <c r="Y18" s="272">
        <v>-0.3937896224742625988465158200</v>
      </c>
      <c r="Z18" s="271">
        <v>-19.447905437836203143963646980</v>
      </c>
      <c r="AA18" s="92">
        <v>-0.2092215443527779227539522400</v>
      </c>
      <c r="AB18" s="272">
        <v>-6.2893991425270756420947447300</v>
      </c>
      <c r="AC18" s="5"/>
      <c r="AD18" s="271" t="s">
        <v>232</v>
      </c>
      <c r="AE18" s="92" t="s">
        <v>231</v>
      </c>
      <c r="AF18" s="92" t="s">
        <v>232</v>
      </c>
      <c r="AG18" s="272" t="s">
        <v>231</v>
      </c>
    </row>
    <row r="19" ht="20.1" customHeight="1">
      <c r="A19" s="58"/>
      <c r="B19" s="288"/>
      <c r="C19" s="289" t="s">
        <v>235</v>
      </c>
      <c r="D19" s="439">
        <v>160.40228571428571428571428571</v>
      </c>
      <c r="E19" s="95">
        <v>192.74771742189698846045595271</v>
      </c>
      <c r="F19" s="442">
        <v>163.1623835519704500393818409</v>
      </c>
      <c r="G19" s="439">
        <v>1.9954285714285714285714285714</v>
      </c>
      <c r="H19" s="95">
        <v>64.158378221215464843901440019</v>
      </c>
      <c r="I19" s="442">
        <v>64.71147418254915928935230714</v>
      </c>
      <c r="J19" s="439">
        <v>29.04152380952380952380952381</v>
      </c>
      <c r="K19" s="95">
        <v>24.691164141192967101999386178</v>
      </c>
      <c r="L19" s="442">
        <v>35.481616140359200841792030275</v>
      </c>
      <c r="M19" s="439">
        <v>191.4392380952380952380952381</v>
      </c>
      <c r="N19" s="95">
        <v>281.59725978430542040635677892</v>
      </c>
      <c r="O19" s="442">
        <v>263.35547387487881017052617831</v>
      </c>
      <c r="P19" s="5"/>
      <c r="Q19" s="420">
        <v>-1.1041850725666247487794883100</v>
      </c>
      <c r="R19" s="91">
        <v>3.8881055866302187946017558200</v>
      </c>
      <c r="S19" s="498">
        <v>-1.3658882326767788199325164400</v>
      </c>
      <c r="T19" s="420">
        <v>-95.19030916930368217411600093</v>
      </c>
      <c r="U19" s="91">
        <v>37.308937443844944370466412290</v>
      </c>
      <c r="V19" s="498">
        <v>8.027449552209387463330809300</v>
      </c>
      <c r="W19" s="420">
        <v>6.7808707260250585684231832600</v>
      </c>
      <c r="X19" s="91">
        <v>-6.1458374827566785051169402500</v>
      </c>
      <c r="Y19" s="498">
        <v>29.222088477188730335103103940</v>
      </c>
      <c r="Z19" s="420">
        <v>-17.082142151923682360732453770</v>
      </c>
      <c r="AA19" s="91">
        <v>8.906655859012124247341585820</v>
      </c>
      <c r="AB19" s="498">
        <v>4.1826265836180085257854188600</v>
      </c>
      <c r="AC19" s="5"/>
      <c r="AD19" s="420" t="s">
        <v>231</v>
      </c>
      <c r="AE19" s="91" t="s">
        <v>295</v>
      </c>
      <c r="AF19" s="91" t="s">
        <v>296</v>
      </c>
      <c r="AG19" s="421" t="s">
        <v>295</v>
      </c>
    </row>
    <row r="20" ht="20.1" customHeight="1">
      <c r="A20" s="58"/>
      <c r="B20" s="286"/>
      <c r="C20" s="287" t="s">
        <v>236</v>
      </c>
      <c r="D20" s="276">
        <v>192.31705011030570438071225969</v>
      </c>
      <c r="E20" s="94">
        <v>263.56058871185525249797461516</v>
      </c>
      <c r="F20" s="277">
        <v>210.78626274596943436288669975</v>
      </c>
      <c r="G20" s="276">
        <v>1.395524739993696816892530728</v>
      </c>
      <c r="H20" s="94">
        <v>62.97603777472084775575404877</v>
      </c>
      <c r="I20" s="277">
        <v>75.644719574617908783423619515</v>
      </c>
      <c r="J20" s="276">
        <v>32.615505830444374409076583675</v>
      </c>
      <c r="K20" s="94">
        <v>30.543062741717734258788164566</v>
      </c>
      <c r="L20" s="277">
        <v>31.752705561165386883736234964</v>
      </c>
      <c r="M20" s="276">
        <v>226.32808068074377560668137409</v>
      </c>
      <c r="N20" s="94">
        <v>357.07968922829383451251682849</v>
      </c>
      <c r="O20" s="277">
        <v>318.18368788175273003004655423</v>
      </c>
      <c r="P20" s="5"/>
      <c r="Q20" s="271">
        <v>3.8954704505473957463029178900</v>
      </c>
      <c r="R20" s="92">
        <v>18.800681845644874103809502030</v>
      </c>
      <c r="S20" s="272">
        <v>7.3016038874891913180656614700</v>
      </c>
      <c r="T20" s="271">
        <v>-96.15174544248699990817190358</v>
      </c>
      <c r="U20" s="92">
        <v>10.750719862248243415275568640</v>
      </c>
      <c r="V20" s="272">
        <v>4.6230360109150384263098850800</v>
      </c>
      <c r="W20" s="271">
        <v>38.707717309168464351164667800</v>
      </c>
      <c r="X20" s="92">
        <v>-26.956591657328998186465977810</v>
      </c>
      <c r="Y20" s="272">
        <v>17.989452038276482534356740770</v>
      </c>
      <c r="Z20" s="271">
        <v>-7.5774180603287878354116013700</v>
      </c>
      <c r="AA20" s="92">
        <v>11.403277157933257184395351870</v>
      </c>
      <c r="AB20" s="272">
        <v>7.619403625801947351683921500</v>
      </c>
      <c r="AC20" s="5"/>
      <c r="AD20" s="271" t="s">
        <v>231</v>
      </c>
      <c r="AE20" s="92" t="s">
        <v>295</v>
      </c>
      <c r="AF20" s="92" t="s">
        <v>296</v>
      </c>
      <c r="AG20" s="272" t="s">
        <v>295</v>
      </c>
    </row>
    <row r="21" ht="20.1" customHeight="1">
      <c r="A21" s="58"/>
      <c r="B21" s="288"/>
      <c r="C21" s="289" t="s">
        <v>218</v>
      </c>
      <c r="D21" s="439">
        <v>197.74146757679180887372013652</v>
      </c>
      <c r="E21" s="95">
        <v>271.05020331223912750774202237</v>
      </c>
      <c r="F21" s="442">
        <v>209.88051842481424480867329464</v>
      </c>
      <c r="G21" s="439">
        <v>1.3060295790671217292377701934</v>
      </c>
      <c r="H21" s="95">
        <v>70.146337577451292067290707689</v>
      </c>
      <c r="I21" s="442">
        <v>84.0583579156550710481725536</v>
      </c>
      <c r="J21" s="439">
        <v>33.148464163822525597269624573</v>
      </c>
      <c r="K21" s="95">
        <v>28.059700590179732020919391067</v>
      </c>
      <c r="L21" s="442">
        <v>29.298776159374497465586422507</v>
      </c>
      <c r="M21" s="439">
        <v>232.19596131968145620022753129</v>
      </c>
      <c r="N21" s="95">
        <v>369.25624147987015159595212112</v>
      </c>
      <c r="O21" s="442">
        <v>323.23765249984381332243227075</v>
      </c>
      <c r="P21" s="5"/>
      <c r="Q21" s="420">
        <v>-13.506194806365047538624903530</v>
      </c>
      <c r="R21" s="91">
        <v>13.459235277855673162197742640</v>
      </c>
      <c r="S21" s="498">
        <v>0.7072243677454946598614181800</v>
      </c>
      <c r="T21" s="420">
        <v>-96.93333725682000677408468703</v>
      </c>
      <c r="U21" s="91">
        <v>-4.4352980186421688521159295600</v>
      </c>
      <c r="V21" s="498">
        <v>4.5266742214309118662307655700</v>
      </c>
      <c r="W21" s="420">
        <v>20.299152508986107631623018920</v>
      </c>
      <c r="X21" s="91">
        <v>0.1225875280550822118782330400</v>
      </c>
      <c r="Y21" s="498">
        <v>-16.789944861167705274379457580</v>
      </c>
      <c r="Z21" s="420">
        <v>-22.280683648900971564514451910</v>
      </c>
      <c r="AA21" s="91">
        <v>8.501435332762161486803590240</v>
      </c>
      <c r="AB21" s="498">
        <v>-0.246169516161915801298426700</v>
      </c>
      <c r="AC21" s="5"/>
      <c r="AD21" s="420" t="s">
        <v>231</v>
      </c>
      <c r="AE21" s="91" t="s">
        <v>295</v>
      </c>
      <c r="AF21" s="91" t="s">
        <v>296</v>
      </c>
      <c r="AG21" s="421" t="s">
        <v>295</v>
      </c>
    </row>
    <row r="22" ht="20.1" customHeight="1">
      <c r="A22" s="58"/>
      <c r="B22" s="286"/>
      <c r="C22" s="287" t="s">
        <v>222</v>
      </c>
      <c r="D22" s="276">
        <v>278.76683361157484696716750139</v>
      </c>
      <c r="E22" s="94">
        <v>439.15032841996379622446340835</v>
      </c>
      <c r="F22" s="277">
        <v>261.11490559647785962238591144</v>
      </c>
      <c r="G22" s="276">
        <v>1.4961046188091263216471897607</v>
      </c>
      <c r="H22" s="94">
        <v>127.79389440542954168756510756</v>
      </c>
      <c r="I22" s="277">
        <v>73.203960617774386191754579866</v>
      </c>
      <c r="J22" s="276">
        <v>35.466332776850306065664997218</v>
      </c>
      <c r="K22" s="94">
        <v>30.329697284835487637671320859</v>
      </c>
      <c r="L22" s="277">
        <v>27.953484479097881157171629104</v>
      </c>
      <c r="M22" s="276">
        <v>315.72927100723427935447968837</v>
      </c>
      <c r="N22" s="94">
        <v>597.27392011022882554969983676</v>
      </c>
      <c r="O22" s="277">
        <v>362.2723506933501269713121204</v>
      </c>
      <c r="P22" s="5"/>
      <c r="Q22" s="271">
        <v>-16.007339721233494521939845730</v>
      </c>
      <c r="R22" s="92">
        <v>14.88950536900714641254525500</v>
      </c>
      <c r="S22" s="272">
        <v>-0.494339578659586315844343500</v>
      </c>
      <c r="T22" s="271">
        <v>-97.64883895321865778361590932</v>
      </c>
      <c r="U22" s="92">
        <v>57.592794987206002311491752430</v>
      </c>
      <c r="V22" s="272">
        <v>2.7093417904515788926590864900</v>
      </c>
      <c r="W22" s="271">
        <v>59.646720728248411819777972880</v>
      </c>
      <c r="X22" s="92">
        <v>-14.759658821814104315500862080</v>
      </c>
      <c r="Y22" s="272">
        <v>-3.9470572981705382059726419400</v>
      </c>
      <c r="Z22" s="271">
        <v>-24.420099738231700298847014060</v>
      </c>
      <c r="AA22" s="92">
        <v>19.715835041751221507653383910</v>
      </c>
      <c r="AB22" s="272">
        <v>-0.141917527026891548901150100</v>
      </c>
      <c r="AC22" s="5"/>
      <c r="AD22" s="271" t="s">
        <v>231</v>
      </c>
      <c r="AE22" s="92" t="s">
        <v>295</v>
      </c>
      <c r="AF22" s="92" t="s">
        <v>295</v>
      </c>
      <c r="AG22" s="272" t="s">
        <v>295</v>
      </c>
    </row>
    <row r="23" ht="20.1" customHeight="1">
      <c r="A23" s="58"/>
      <c r="B23" s="288">
        <v>2025</v>
      </c>
      <c r="C23" s="289" t="s">
        <v>224</v>
      </c>
      <c r="D23" s="439">
        <v>280.59288217848476678349959558</v>
      </c>
      <c r="E23" s="95">
        <v>371.27491969066032123735871505</v>
      </c>
      <c r="F23" s="442">
        <v>265.86633131313131313131313131</v>
      </c>
      <c r="G23" s="439">
        <v>1.8312213534645456996495012133</v>
      </c>
      <c r="H23" s="95">
        <v>123.69983352994802665069812245</v>
      </c>
      <c r="I23" s="442">
        <v>80.8733889664673889312386544</v>
      </c>
      <c r="J23" s="439">
        <v>29.510919385279050957131302238</v>
      </c>
      <c r="K23" s="95">
        <v>33.673060024246239806693685841</v>
      </c>
      <c r="L23" s="442">
        <v>22.000064568595491684613850053</v>
      </c>
      <c r="M23" s="439">
        <v>311.93502291722836344028039903</v>
      </c>
      <c r="N23" s="95">
        <v>528.64781324485458769475052334</v>
      </c>
      <c r="O23" s="442">
        <v>368.73978484819419374716563576</v>
      </c>
      <c r="P23" s="5"/>
      <c r="Q23" s="420">
        <v>-2.4242103584108571590060360400</v>
      </c>
      <c r="R23" s="91">
        <v>12.461188980750150493966081200</v>
      </c>
      <c r="S23" s="498">
        <v>1.137203883575976900584853500</v>
      </c>
      <c r="T23" s="420">
        <v>-81.83444325896281103430843300</v>
      </c>
      <c r="U23" s="91">
        <v>30.902829436372611162656937960</v>
      </c>
      <c r="V23" s="498">
        <v>4.1127911051088030025945117900</v>
      </c>
      <c r="W23" s="420">
        <v>20.706217533573054121054827420</v>
      </c>
      <c r="X23" s="91">
        <v>21.845801102327829068994698870</v>
      </c>
      <c r="Y23" s="498">
        <v>-18.388687332503527091781816220</v>
      </c>
      <c r="Z23" s="420">
        <v>-3.1538373394109701784613877200</v>
      </c>
      <c r="AA23" s="91">
        <v>16.887841989819479587157096160</v>
      </c>
      <c r="AB23" s="498">
        <v>0.3339053162578960479241608900</v>
      </c>
      <c r="AC23" s="5"/>
      <c r="AD23" s="420" t="s">
        <v>231</v>
      </c>
      <c r="AE23" s="91" t="s">
        <v>295</v>
      </c>
      <c r="AF23" s="91" t="s">
        <v>296</v>
      </c>
      <c r="AG23" s="421" t="s">
        <v>295</v>
      </c>
    </row>
    <row r="24" ht="20.1" customHeight="1">
      <c r="A24" s="59"/>
      <c r="B24" s="286"/>
      <c r="C24" s="287" t="s">
        <v>225</v>
      </c>
      <c r="D24" s="276">
        <v>341.18622300058377116170461179</v>
      </c>
      <c r="E24" s="94">
        <v>447.05798864845689960979070592</v>
      </c>
      <c r="F24" s="277">
        <v>317.60676490825203989885985167</v>
      </c>
      <c r="G24" s="276">
        <v>1.6272621132516053706946876824</v>
      </c>
      <c r="H24" s="94">
        <v>130.21886511206635791830297983</v>
      </c>
      <c r="I24" s="277">
        <v>97.39368485423209856237585472</v>
      </c>
      <c r="J24" s="276">
        <v>27.328079392877991827203736135</v>
      </c>
      <c r="K24" s="94">
        <v>46.121597316270251969165728445</v>
      </c>
      <c r="L24" s="277">
        <v>33.163582799716255468244823773</v>
      </c>
      <c r="M24" s="276">
        <v>370.14156450671336835960303561</v>
      </c>
      <c r="N24" s="94">
        <v>623.3984510767935094972594142</v>
      </c>
      <c r="O24" s="277">
        <v>448.16403256220039392948053018</v>
      </c>
      <c r="P24" s="93"/>
      <c r="Q24" s="271">
        <v>-2.8185209274972965284833102800</v>
      </c>
      <c r="R24" s="92">
        <v>16.221540701014429594312802440</v>
      </c>
      <c r="S24" s="272">
        <v>1.8304798760013231400754907500</v>
      </c>
      <c r="T24" s="271">
        <v>1.8864871796873129454759505600</v>
      </c>
      <c r="U24" s="92">
        <v>44.477106779628986626588959380</v>
      </c>
      <c r="V24" s="272">
        <v>18.494951203030510207151837660</v>
      </c>
      <c r="W24" s="271">
        <v>-5.0082786248472582973069316100</v>
      </c>
      <c r="X24" s="92">
        <v>72.265843652444686000609446400</v>
      </c>
      <c r="Y24" s="272">
        <v>-0.1950861569493182016000944600</v>
      </c>
      <c r="Z24" s="271">
        <v>-2.9639731936861693816517984200</v>
      </c>
      <c r="AA24" s="92">
        <v>24.290704305466599069709525060</v>
      </c>
      <c r="AB24" s="272">
        <v>4.878288913634809485308056600</v>
      </c>
      <c r="AC24" s="93"/>
      <c r="AD24" s="271" t="s">
        <v>231</v>
      </c>
      <c r="AE24" s="92" t="s">
        <v>295</v>
      </c>
      <c r="AF24" s="92" t="s">
        <v>296</v>
      </c>
      <c r="AG24" s="272" t="s">
        <v>295</v>
      </c>
    </row>
    <row r="25" ht="20.1" customHeight="1">
      <c r="A25" s="60"/>
      <c r="B25" s="288"/>
      <c r="C25" s="289" t="s">
        <v>226</v>
      </c>
      <c r="D25" s="439">
        <v>296.99331014182499331014182499</v>
      </c>
      <c r="E25" s="95">
        <v>380.13227628335655342407030329</v>
      </c>
      <c r="F25" s="442">
        <v>287.36996481796260426137486658</v>
      </c>
      <c r="G25" s="439">
        <v>1.4112924805994112924805994113</v>
      </c>
      <c r="H25" s="95">
        <v>100.13932054442181974064944808</v>
      </c>
      <c r="I25" s="442">
        <v>73.712499138379590710443306677</v>
      </c>
      <c r="J25" s="439">
        <v>30.204977254482204977254482205</v>
      </c>
      <c r="K25" s="95">
        <v>36.824134605079841388918658236</v>
      </c>
      <c r="L25" s="442">
        <v>23.349810807441525902727985469</v>
      </c>
      <c r="M25" s="439">
        <v>328.60957987690660957987690661</v>
      </c>
      <c r="N25" s="95">
        <v>517.0957314328582145536384096</v>
      </c>
      <c r="O25" s="442">
        <v>384.43227476378372087454615871</v>
      </c>
      <c r="P25" s="93"/>
      <c r="Q25" s="420">
        <v>-4.8759899506905570964352785100</v>
      </c>
      <c r="R25" s="91">
        <v>6.1869031414927477268931779100</v>
      </c>
      <c r="S25" s="498">
        <v>-0.6439183591236760963785330600</v>
      </c>
      <c r="T25" s="420">
        <v>-27.426350612086054863832999740</v>
      </c>
      <c r="U25" s="91">
        <v>27.522985748735420029495596190</v>
      </c>
      <c r="V25" s="498">
        <v>5.8547661911151222788920558200</v>
      </c>
      <c r="W25" s="420">
        <v>10.036188484593537039968512550</v>
      </c>
      <c r="X25" s="91">
        <v>35.584467963123803999526710740</v>
      </c>
      <c r="Y25" s="498">
        <v>-32.645766656348538244052397650</v>
      </c>
      <c r="Z25" s="420">
        <v>-3.8060976703499164212630887900</v>
      </c>
      <c r="AA25" s="91">
        <v>11.522316977133908499259759260</v>
      </c>
      <c r="AB25" s="498">
        <v>-2.3130823195088422696753478300</v>
      </c>
      <c r="AC25" s="93"/>
      <c r="AD25" s="420" t="s">
        <v>231</v>
      </c>
      <c r="AE25" s="91" t="s">
        <v>231</v>
      </c>
      <c r="AF25" s="91" t="s">
        <v>232</v>
      </c>
      <c r="AG25" s="421" t="s">
        <v>231</v>
      </c>
    </row>
    <row r="26" ht="20.1" customHeight="1">
      <c r="A26" s="60"/>
      <c r="B26" s="290"/>
      <c r="C26" s="291" t="s">
        <v>228</v>
      </c>
      <c r="D26" s="443">
        <v>266.56623235613463626492942454</v>
      </c>
      <c r="E26" s="444">
        <v>345.0544478527607361963190184</v>
      </c>
      <c r="F26" s="445">
        <v>252.54264097892906757172685151</v>
      </c>
      <c r="G26" s="443">
        <v>1.4402823018458197611292073833</v>
      </c>
      <c r="H26" s="444">
        <v>87.75975021910604732690622261</v>
      </c>
      <c r="I26" s="445">
        <v>79.215474832516464840676658727</v>
      </c>
      <c r="J26" s="443">
        <v>40.041802388707926167209554832</v>
      </c>
      <c r="K26" s="444">
        <v>33.571428571428571428571428571</v>
      </c>
      <c r="L26" s="445">
        <v>24.958367591602709402569699214</v>
      </c>
      <c r="M26" s="443">
        <v>308.04831704668838219326818675</v>
      </c>
      <c r="N26" s="444">
        <v>466.38562664329535495179666959</v>
      </c>
      <c r="O26" s="445">
        <v>356.71648340304824181497320943</v>
      </c>
      <c r="P26" s="184"/>
      <c r="Q26" s="273">
        <v>3.1414733022789974030718427700</v>
      </c>
      <c r="R26" s="274">
        <v>11.871019783866345980813828870</v>
      </c>
      <c r="S26" s="275">
        <v>2.3580318992408185817642390600</v>
      </c>
      <c r="T26" s="273">
        <v>-10.070653499562254293695356240</v>
      </c>
      <c r="U26" s="274">
        <v>16.340907532689508867383264670</v>
      </c>
      <c r="V26" s="275">
        <v>12.171208719160190205637953630</v>
      </c>
      <c r="W26" s="273">
        <v>29.398876486318647793206793520</v>
      </c>
      <c r="X26" s="274">
        <v>24.201020140095616782754984560</v>
      </c>
      <c r="Y26" s="275">
        <v>-7.6965939704556276718540388900</v>
      </c>
      <c r="Z26" s="273">
        <v>5.8609915172946118502405303300</v>
      </c>
      <c r="AA26" s="274">
        <v>13.502688475131841323858740330</v>
      </c>
      <c r="AB26" s="275">
        <v>3.5808981183895870612333359700</v>
      </c>
      <c r="AC26" s="184"/>
      <c r="AD26" s="273" t="s">
        <v>231</v>
      </c>
      <c r="AE26" s="274" t="s">
        <v>231</v>
      </c>
      <c r="AF26" s="274" t="s">
        <v>232</v>
      </c>
      <c r="AG26" s="275" t="s">
        <v>231</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411"/>
      <c r="Q28" s="836"/>
      <c r="R28" s="836"/>
      <c r="S28" s="836"/>
      <c r="T28" s="836"/>
      <c r="U28" s="836"/>
      <c r="V28" s="836"/>
      <c r="W28" s="836"/>
      <c r="X28" s="836"/>
      <c r="Y28" s="836"/>
      <c r="Z28" s="836"/>
      <c r="AA28" s="836"/>
      <c r="AB28" s="971"/>
      <c r="AC28" s="411"/>
      <c r="AD28" s="836"/>
      <c r="AE28" s="836"/>
      <c r="AF28" s="836"/>
      <c r="AG28" s="971"/>
      <c r="AH28" s="9"/>
    </row>
    <row r="29" ht="20.1" customHeight="1">
      <c r="A29" s="58"/>
      <c r="B29" s="284">
        <v>2023</v>
      </c>
      <c r="C29" s="285"/>
      <c r="D29" s="454">
        <v>301.32826475849731663685152057</v>
      </c>
      <c r="E29" s="455">
        <v>374.24856694951103590713414785</v>
      </c>
      <c r="F29" s="436">
        <v>275.61255194186885951832947811</v>
      </c>
      <c r="G29" s="454">
        <v>65.784849318838585385991468281</v>
      </c>
      <c r="H29" s="455">
        <v>105.75696937684256956825305291</v>
      </c>
      <c r="I29" s="436">
        <v>78.509094862330577471364666656</v>
      </c>
      <c r="J29" s="454">
        <v>25.310169258290904086968487684</v>
      </c>
      <c r="K29" s="455">
        <v>27.483085723974996632397759285</v>
      </c>
      <c r="L29" s="436">
        <v>30.404907667291302504179408547</v>
      </c>
      <c r="M29" s="454">
        <v>392.42328333562680610981147654</v>
      </c>
      <c r="N29" s="455">
        <v>507.48862205032860210778496002</v>
      </c>
      <c r="O29" s="436">
        <v>384.52655447149073949387355331</v>
      </c>
      <c r="P29" s="217"/>
      <c r="Q29" s="427">
        <v>-8.758883111926927059745052090</v>
      </c>
      <c r="R29" s="428">
        <v>-12.478012483017373454851561660</v>
      </c>
      <c r="S29" s="417">
        <v>-2.1948933566032839016177421600</v>
      </c>
      <c r="T29" s="427">
        <v>-6.6726599024941105509607467100</v>
      </c>
      <c r="U29" s="428">
        <v>2.3568540451725665550909605500</v>
      </c>
      <c r="V29" s="417">
        <v>27.760395239245078573608359060</v>
      </c>
      <c r="W29" s="427">
        <v>10.912867491601256475672858650</v>
      </c>
      <c r="X29" s="428">
        <v>-4.3228459341731555864145055200</v>
      </c>
      <c r="Y29" s="417">
        <v>12.592966469946715556304647780</v>
      </c>
      <c r="Z29" s="427">
        <v>-7.3518646529442568233195101800</v>
      </c>
      <c r="AA29" s="428">
        <v>-9.320654611456460647945093910</v>
      </c>
      <c r="AB29" s="417">
        <v>3.8552945196715213148312162100</v>
      </c>
      <c r="AC29" s="5"/>
      <c r="AD29" s="427" t="s">
        <v>220</v>
      </c>
      <c r="AE29" s="428" t="s">
        <v>231</v>
      </c>
      <c r="AF29" s="428" t="s">
        <v>232</v>
      </c>
      <c r="AG29" s="429" t="s">
        <v>231</v>
      </c>
    </row>
    <row r="30" ht="20.1" customHeight="1">
      <c r="A30" s="58"/>
      <c r="B30" s="286">
        <v>2024</v>
      </c>
      <c r="C30" s="287"/>
      <c r="D30" s="276">
        <v>301.98571039738704409363091998</v>
      </c>
      <c r="E30" s="94">
        <v>344.95997544604982893401493885</v>
      </c>
      <c r="F30" s="277">
        <v>277.56203390639457376197402947</v>
      </c>
      <c r="G30" s="276">
        <v>3.797291780076211213935764834</v>
      </c>
      <c r="H30" s="94">
        <v>84.57575342286959766237658085</v>
      </c>
      <c r="I30" s="277">
        <v>74.902558617397563718758971452</v>
      </c>
      <c r="J30" s="276">
        <v>27.900857376156777354382144801</v>
      </c>
      <c r="K30" s="94">
        <v>27.157807666705822500014122794</v>
      </c>
      <c r="L30" s="277">
        <v>30.506739655404473136970003106</v>
      </c>
      <c r="M30" s="276">
        <v>333.68385955362003266194882961</v>
      </c>
      <c r="N30" s="94">
        <v>456.6935365356252490964056425</v>
      </c>
      <c r="O30" s="277">
        <v>382.97133217919661061770300402</v>
      </c>
      <c r="P30" s="217"/>
      <c r="Q30" s="271">
        <v>0.2181825323999907241947241800</v>
      </c>
      <c r="R30" s="92">
        <v>-7.8259729201320595545932314100</v>
      </c>
      <c r="S30" s="272">
        <v>0.7073269888323267448594327100</v>
      </c>
      <c r="T30" s="271">
        <v>-94.22771075802856504157844888</v>
      </c>
      <c r="U30" s="92">
        <v>-20.028198688697432013781990410</v>
      </c>
      <c r="V30" s="272">
        <v>-4.5937814608970761322574185600</v>
      </c>
      <c r="W30" s="271">
        <v>10.235759751022641996150482140</v>
      </c>
      <c r="X30" s="92">
        <v>-1.1835572634048285079164832100</v>
      </c>
      <c r="Y30" s="272">
        <v>0.3349195768615730367888519800</v>
      </c>
      <c r="Z30" s="271">
        <v>-14.968383955889302007110182820</v>
      </c>
      <c r="AA30" s="92">
        <v>-10.009108245512580074376826070</v>
      </c>
      <c r="AB30" s="272">
        <v>-0.4044512073921433107173764300</v>
      </c>
      <c r="AC30" s="5"/>
      <c r="AD30" s="271" t="s">
        <v>221</v>
      </c>
      <c r="AE30" s="92" t="s">
        <v>220</v>
      </c>
      <c r="AF30" s="92" t="s">
        <v>220</v>
      </c>
      <c r="AG30" s="272" t="s">
        <v>221</v>
      </c>
    </row>
    <row r="31" ht="20.1" customHeight="1">
      <c r="A31" s="58"/>
      <c r="B31" s="425">
        <v>2025</v>
      </c>
      <c r="C31" s="426"/>
      <c r="D31" s="457">
        <v>295.51504534212695795548227535</v>
      </c>
      <c r="E31" s="458">
        <v>384.98361824410407406358823363</v>
      </c>
      <c r="F31" s="499">
        <v>280.68914138444152404133790825</v>
      </c>
      <c r="G31" s="457">
        <v>1.5764633140972794723825226711</v>
      </c>
      <c r="H31" s="458">
        <v>109.74856439715631926939231674</v>
      </c>
      <c r="I31" s="499">
        <v>82.61562083729401082600669282</v>
      </c>
      <c r="J31" s="457">
        <v>31.840615553723550425941192635</v>
      </c>
      <c r="K31" s="458">
        <v>37.459823278148613189844426687</v>
      </c>
      <c r="L31" s="499">
        <v>25.781352644403500953215121147</v>
      </c>
      <c r="M31" s="457">
        <v>328.93212420994778785380599066</v>
      </c>
      <c r="N31" s="458">
        <v>532.19200591940900652282497707</v>
      </c>
      <c r="O31" s="499">
        <v>389.08611486613903582055972222</v>
      </c>
      <c r="P31" s="496"/>
      <c r="Q31" s="430">
        <v>-2.1427057084118084790466402400</v>
      </c>
      <c r="R31" s="431">
        <v>11.602401915282305293948711590</v>
      </c>
      <c r="S31" s="500">
        <v>1.1266337236511435878421969800</v>
      </c>
      <c r="T31" s="430">
        <v>-58.484535679905956342853679060</v>
      </c>
      <c r="U31" s="431">
        <v>29.763626045854944645271743350</v>
      </c>
      <c r="V31" s="500">
        <v>10.297461611815023506487906180</v>
      </c>
      <c r="W31" s="430">
        <v>14.120563122494738993558457870</v>
      </c>
      <c r="X31" s="431">
        <v>37.933900033030287274784379410</v>
      </c>
      <c r="Y31" s="500">
        <v>-15.489649383624178862617897600</v>
      </c>
      <c r="Z31" s="430">
        <v>-1.42402313075887200594647100</v>
      </c>
      <c r="AA31" s="431">
        <v>16.531538842552412321008689880</v>
      </c>
      <c r="AB31" s="500">
        <v>1.5966685161900854342661578400</v>
      </c>
      <c r="AC31" s="184"/>
      <c r="AD31" s="430" t="s">
        <v>231</v>
      </c>
      <c r="AE31" s="431" t="s">
        <v>295</v>
      </c>
      <c r="AF31" s="431" t="s">
        <v>296</v>
      </c>
      <c r="AG31" s="432" t="s">
        <v>295</v>
      </c>
    </row>
    <row r="32" ht="21" customHeight="1"/>
    <row r="33" ht="24.95" customHeight="1">
      <c r="A33" s="112"/>
      <c r="B33" s="842" t="s">
        <v>44</v>
      </c>
      <c r="C33" s="842"/>
      <c r="D33" s="842"/>
      <c r="E33" s="842"/>
      <c r="F33" s="842"/>
      <c r="G33" s="842"/>
      <c r="H33" s="842"/>
      <c r="I33" s="842"/>
      <c r="J33" s="842"/>
      <c r="K33" s="842"/>
      <c r="L33" s="842"/>
      <c r="M33" s="842"/>
      <c r="N33" s="842"/>
      <c r="O33" s="972"/>
      <c r="P33" s="411"/>
      <c r="Q33" s="836"/>
      <c r="R33" s="836"/>
      <c r="S33" s="836"/>
      <c r="T33" s="836"/>
      <c r="U33" s="836"/>
      <c r="V33" s="836"/>
      <c r="W33" s="836"/>
      <c r="X33" s="836"/>
      <c r="Y33" s="836"/>
      <c r="Z33" s="836"/>
      <c r="AA33" s="836"/>
      <c r="AB33" s="971"/>
      <c r="AC33" s="411"/>
      <c r="AD33" s="836"/>
      <c r="AE33" s="836"/>
      <c r="AF33" s="836"/>
      <c r="AG33" s="971"/>
      <c r="AH33" s="9"/>
    </row>
    <row r="34" ht="20.1" customHeight="1">
      <c r="A34" s="58"/>
      <c r="B34" s="284">
        <v>2023</v>
      </c>
      <c r="C34" s="285"/>
      <c r="D34" s="454">
        <v>308.60566020054352919126604817</v>
      </c>
      <c r="E34" s="455">
        <v>385.37190628540958474971672331</v>
      </c>
      <c r="F34" s="436">
        <v>281.03036197082751796928256745</v>
      </c>
      <c r="G34" s="454">
        <v>64.142910692531159216568269141</v>
      </c>
      <c r="H34" s="455">
        <v>100.27006423616481363576908308</v>
      </c>
      <c r="I34" s="436">
        <v>80.44084445556663520563195404</v>
      </c>
      <c r="J34" s="454">
        <v>24.713335207571923905913222753</v>
      </c>
      <c r="K34" s="455">
        <v>29.491581771417952885012778933</v>
      </c>
      <c r="L34" s="436">
        <v>31.593671951773805397350220882</v>
      </c>
      <c r="M34" s="454">
        <v>397.46190610064661231374754006</v>
      </c>
      <c r="N34" s="455">
        <v>515.13355229299235127049858533</v>
      </c>
      <c r="O34" s="436">
        <v>393.06487837816795857226474237</v>
      </c>
      <c r="P34" s="5"/>
      <c r="Q34" s="427">
        <v>-11.808452825097427195128043790</v>
      </c>
      <c r="R34" s="428">
        <v>-12.142943773428102111774949910</v>
      </c>
      <c r="S34" s="417">
        <v>-4.2250489917636365073072229300</v>
      </c>
      <c r="T34" s="427">
        <v>-17.848281352284498170650337970</v>
      </c>
      <c r="U34" s="428">
        <v>2.153137293042966495981207600</v>
      </c>
      <c r="V34" s="417">
        <v>24.495863991974556659095487520</v>
      </c>
      <c r="W34" s="427">
        <v>7.6144757698391564764739192100</v>
      </c>
      <c r="X34" s="428">
        <v>13.340772717777954159328395790</v>
      </c>
      <c r="Y34" s="417">
        <v>21.012715132031149824969953010</v>
      </c>
      <c r="Z34" s="427">
        <v>-11.865085728856896764184267190</v>
      </c>
      <c r="AA34" s="428">
        <v>-8.471472240510763032367638530</v>
      </c>
      <c r="AB34" s="417">
        <v>2.3209887373951127934669317600</v>
      </c>
      <c r="AC34" s="5"/>
      <c r="AD34" s="427" t="s">
        <v>220</v>
      </c>
      <c r="AE34" s="428" t="s">
        <v>231</v>
      </c>
      <c r="AF34" s="428" t="s">
        <v>232</v>
      </c>
      <c r="AG34" s="429" t="s">
        <v>231</v>
      </c>
    </row>
    <row r="35" ht="20.1" customHeight="1">
      <c r="A35" s="58"/>
      <c r="B35" s="286">
        <v>2024</v>
      </c>
      <c r="C35" s="287"/>
      <c r="D35" s="276">
        <v>306.75810541568556420938235827</v>
      </c>
      <c r="E35" s="94">
        <v>350.03253661564873110586713811</v>
      </c>
      <c r="F35" s="277">
        <v>282.43488543100795575864305702</v>
      </c>
      <c r="G35" s="276">
        <v>1.7179858721246151059590653867</v>
      </c>
      <c r="H35" s="94">
        <v>81.18067552135625334571484291</v>
      </c>
      <c r="I35" s="277">
        <v>73.981398057421611521285278782</v>
      </c>
      <c r="J35" s="276">
        <v>29.043289259192175330556058685</v>
      </c>
      <c r="K35" s="94">
        <v>26.99424529117885037518923763</v>
      </c>
      <c r="L35" s="277">
        <v>31.6845785406751218357589297</v>
      </c>
      <c r="M35" s="276">
        <v>337.51938054700235464589748234</v>
      </c>
      <c r="N35" s="94">
        <v>458.20745742818383482677121865</v>
      </c>
      <c r="O35" s="277">
        <v>388.1008620291046891156872655</v>
      </c>
      <c r="P35" s="5"/>
      <c r="Q35" s="271">
        <v>-0.5986781913248402563359780900</v>
      </c>
      <c r="R35" s="92">
        <v>-9.170198733578550406448071240</v>
      </c>
      <c r="S35" s="272">
        <v>0.4997764121849191764557643800</v>
      </c>
      <c r="T35" s="271">
        <v>-97.32162782515341478092206489</v>
      </c>
      <c r="U35" s="92">
        <v>-19.03797395589181250594264700</v>
      </c>
      <c r="V35" s="272">
        <v>-8.030057916340913344799713960</v>
      </c>
      <c r="W35" s="271">
        <v>17.520719138955395530731313940</v>
      </c>
      <c r="X35" s="92">
        <v>-8.467963839915115312758454180</v>
      </c>
      <c r="Y35" s="272">
        <v>0.2877366993422319660781611800</v>
      </c>
      <c r="Z35" s="271">
        <v>-15.081325941818895080886747720</v>
      </c>
      <c r="AA35" s="92">
        <v>-11.050744920695338935249831730</v>
      </c>
      <c r="AB35" s="272">
        <v>-1.2629000000145072957288918400</v>
      </c>
      <c r="AC35" s="5"/>
      <c r="AD35" s="271" t="s">
        <v>221</v>
      </c>
      <c r="AE35" s="92" t="s">
        <v>220</v>
      </c>
      <c r="AF35" s="92" t="s">
        <v>220</v>
      </c>
      <c r="AG35" s="272" t="s">
        <v>221</v>
      </c>
    </row>
    <row r="36" ht="20.1" customHeight="1">
      <c r="A36" s="58"/>
      <c r="B36" s="425">
        <v>2025</v>
      </c>
      <c r="C36" s="426"/>
      <c r="D36" s="457">
        <v>300.6174979256937402046648843</v>
      </c>
      <c r="E36" s="458">
        <v>389.26440332887501857631148759</v>
      </c>
      <c r="F36" s="499">
        <v>285.71265310593664204191456877</v>
      </c>
      <c r="G36" s="457">
        <v>1.4893518945330506130727390062</v>
      </c>
      <c r="H36" s="458">
        <v>105.39203233217213512093506838</v>
      </c>
      <c r="I36" s="499">
        <v>83.20607043373050418684729766</v>
      </c>
      <c r="J36" s="457">
        <v>32.637226883009126947543099475</v>
      </c>
      <c r="K36" s="458">
        <v>38.642307493821426694279780261</v>
      </c>
      <c r="L36" s="499">
        <v>27.062846833412712701863016307</v>
      </c>
      <c r="M36" s="457">
        <v>334.74407670323591776528072278</v>
      </c>
      <c r="N36" s="458">
        <v>533.29874315486858039152633623</v>
      </c>
      <c r="O36" s="499">
        <v>395.98157037307985893062488274</v>
      </c>
      <c r="P36" s="184"/>
      <c r="Q36" s="430">
        <v>-2.0017751386503318450104802400</v>
      </c>
      <c r="R36" s="431">
        <v>11.208062853985146011449326740</v>
      </c>
      <c r="S36" s="500">
        <v>1.1605392407296704563849076600</v>
      </c>
      <c r="T36" s="430">
        <v>-13.308257144598982463731343850</v>
      </c>
      <c r="U36" s="431">
        <v>29.824039594730633459267917550</v>
      </c>
      <c r="V36" s="500">
        <v>12.468907885700336536564643570</v>
      </c>
      <c r="W36" s="430">
        <v>12.374416656924217408006124770</v>
      </c>
      <c r="X36" s="431">
        <v>43.150168033846241596012500940</v>
      </c>
      <c r="Y36" s="500">
        <v>-14.586691444705517796747202900</v>
      </c>
      <c r="Z36" s="430">
        <v>-0.8222650323860788401446536100</v>
      </c>
      <c r="AA36" s="431">
        <v>16.388054037386592118128044520</v>
      </c>
      <c r="AB36" s="500">
        <v>2.0305825405224066241143423200</v>
      </c>
      <c r="AC36" s="184"/>
      <c r="AD36" s="430" t="s">
        <v>231</v>
      </c>
      <c r="AE36" s="431" t="s">
        <v>231</v>
      </c>
      <c r="AF36" s="431" t="s">
        <v>232</v>
      </c>
      <c r="AG36" s="432" t="s">
        <v>231</v>
      </c>
    </row>
    <row r="37" ht="21" customHeight="1"/>
    <row r="38" ht="24.95" customHeight="1">
      <c r="A38" s="112"/>
      <c r="B38" s="842" t="s">
        <v>45</v>
      </c>
      <c r="C38" s="842"/>
      <c r="D38" s="842"/>
      <c r="E38" s="842"/>
      <c r="F38" s="842"/>
      <c r="G38" s="842"/>
      <c r="H38" s="842"/>
      <c r="I38" s="842"/>
      <c r="J38" s="842"/>
      <c r="K38" s="842"/>
      <c r="L38" s="842"/>
      <c r="M38" s="842"/>
      <c r="N38" s="842"/>
      <c r="O38" s="972"/>
      <c r="P38" s="411"/>
      <c r="Q38" s="836"/>
      <c r="R38" s="836"/>
      <c r="S38" s="836"/>
      <c r="T38" s="836"/>
      <c r="U38" s="836"/>
      <c r="V38" s="836"/>
      <c r="W38" s="836"/>
      <c r="X38" s="836"/>
      <c r="Y38" s="836"/>
      <c r="Z38" s="836"/>
      <c r="AA38" s="836"/>
      <c r="AB38" s="971"/>
      <c r="AC38" s="411"/>
      <c r="AD38" s="836"/>
      <c r="AE38" s="836"/>
      <c r="AF38" s="836"/>
      <c r="AG38" s="971"/>
      <c r="AH38" s="9"/>
    </row>
    <row r="39" ht="20.1" customHeight="1">
      <c r="A39" s="58"/>
      <c r="B39" s="284">
        <v>2023</v>
      </c>
      <c r="C39" s="285"/>
      <c r="D39" s="454">
        <v>264.9490214375168823514966972</v>
      </c>
      <c r="E39" s="455">
        <v>313.92858765403639503242818305</v>
      </c>
      <c r="F39" s="436">
        <v>232.67033976764668394268667384</v>
      </c>
      <c r="G39" s="454">
        <v>58.317928443385801635439432262</v>
      </c>
      <c r="H39" s="455">
        <v>91.8839806184402868445540053</v>
      </c>
      <c r="I39" s="436">
        <v>133.85875666351218825473907684</v>
      </c>
      <c r="J39" s="454">
        <v>24.860766642929057289492424428</v>
      </c>
      <c r="K39" s="455">
        <v>25.633135089931527889248713656</v>
      </c>
      <c r="L39" s="436">
        <v>29.40638376979323845808714144</v>
      </c>
      <c r="M39" s="454">
        <v>348.12771652383174127642855389</v>
      </c>
      <c r="N39" s="455">
        <v>431.44570336240820976623090201</v>
      </c>
      <c r="O39" s="436">
        <v>395.9354802009521106555128921</v>
      </c>
      <c r="P39" s="5"/>
      <c r="Q39" s="427">
        <v>-4.0095043249644541521713745500</v>
      </c>
      <c r="R39" s="428">
        <v>-8.203465187137220529577998200</v>
      </c>
      <c r="S39" s="417">
        <v>0.3811839544733784070649685500</v>
      </c>
      <c r="T39" s="427">
        <v>11.020826756574031762727167630</v>
      </c>
      <c r="U39" s="428">
        <v>-5.3725299645422818790452061200</v>
      </c>
      <c r="V39" s="417">
        <v>167.54293320132367853506377563</v>
      </c>
      <c r="W39" s="427">
        <v>5.6325626371383544909059717500</v>
      </c>
      <c r="X39" s="428">
        <v>-16.966820329164167937981960500</v>
      </c>
      <c r="Y39" s="417">
        <v>17.441209338089387954555998150</v>
      </c>
      <c r="Z39" s="427">
        <v>-1.1225089474161452874030409900</v>
      </c>
      <c r="AA39" s="428">
        <v>-8.194203043746999505440368860</v>
      </c>
      <c r="AB39" s="417">
        <v>29.028611145252713501665308700</v>
      </c>
      <c r="AC39" s="5"/>
      <c r="AD39" s="427" t="s">
        <v>220</v>
      </c>
      <c r="AE39" s="428" t="s">
        <v>295</v>
      </c>
      <c r="AF39" s="428" t="s">
        <v>295</v>
      </c>
      <c r="AG39" s="429" t="s">
        <v>295</v>
      </c>
    </row>
    <row r="40" ht="20.1" customHeight="1">
      <c r="A40" s="58"/>
      <c r="B40" s="286">
        <v>2024</v>
      </c>
      <c r="C40" s="287"/>
      <c r="D40" s="276">
        <v>247.54056902002107481559536354</v>
      </c>
      <c r="E40" s="94">
        <v>286.62498487792770398245668185</v>
      </c>
      <c r="F40" s="277">
        <v>229.43211905328732318607540323</v>
      </c>
      <c r="G40" s="276">
        <v>30.388529278940237844347433389</v>
      </c>
      <c r="H40" s="94">
        <v>70.244065037340318740022281091</v>
      </c>
      <c r="I40" s="277">
        <v>69.27271379881185379692770396</v>
      </c>
      <c r="J40" s="276">
        <v>26.665813638416378142405539666</v>
      </c>
      <c r="K40" s="94">
        <v>30.634385100680786375340460337</v>
      </c>
      <c r="L40" s="277">
        <v>31.298597105178811078159682709</v>
      </c>
      <c r="M40" s="276">
        <v>304.59491193737769080234833659</v>
      </c>
      <c r="N40" s="94">
        <v>387.50343501594880909781942328</v>
      </c>
      <c r="O40" s="277">
        <v>330.00342995727798806116278992</v>
      </c>
      <c r="P40" s="5"/>
      <c r="Q40" s="271">
        <v>-6.5704913054700533213040833200</v>
      </c>
      <c r="R40" s="92">
        <v>-8.697392926242599970647692030</v>
      </c>
      <c r="S40" s="272">
        <v>-1.3917634355746138670704651900</v>
      </c>
      <c r="T40" s="271">
        <v>-47.891617397840901709721251470</v>
      </c>
      <c r="U40" s="92">
        <v>-23.551347509563852437426911020</v>
      </c>
      <c r="V40" s="272">
        <v>-48.249396957307295901762592010</v>
      </c>
      <c r="W40" s="271">
        <v>7.2606248288480778015498294800</v>
      </c>
      <c r="X40" s="92">
        <v>19.510879154034440250338082140</v>
      </c>
      <c r="Y40" s="272">
        <v>6.4347025808800443446074321500</v>
      </c>
      <c r="Z40" s="271">
        <v>-12.504837311178628294478572460</v>
      </c>
      <c r="AA40" s="92">
        <v>-10.184889547860707557153112390</v>
      </c>
      <c r="AB40" s="272">
        <v>-16.652220763405959022513272220</v>
      </c>
      <c r="AC40" s="5"/>
      <c r="AD40" s="271" t="s">
        <v>220</v>
      </c>
      <c r="AE40" s="92" t="s">
        <v>231</v>
      </c>
      <c r="AF40" s="92" t="s">
        <v>232</v>
      </c>
      <c r="AG40" s="272" t="s">
        <v>231</v>
      </c>
    </row>
    <row r="41" ht="20.1" customHeight="1">
      <c r="A41" s="58"/>
      <c r="B41" s="425">
        <v>2025</v>
      </c>
      <c r="C41" s="426"/>
      <c r="D41" s="457">
        <v>233.51403338073497492702642018</v>
      </c>
      <c r="E41" s="458">
        <v>309.51111427887666871299697212</v>
      </c>
      <c r="F41" s="499">
        <v>229.44761264533924712959817579</v>
      </c>
      <c r="G41" s="457">
        <v>1.6044457750168400568819699124</v>
      </c>
      <c r="H41" s="458">
        <v>86.8488620437768978529242792</v>
      </c>
      <c r="I41" s="499">
        <v>70.434850508970174232446159428</v>
      </c>
      <c r="J41" s="457">
        <v>32.425691689743781653069879999</v>
      </c>
      <c r="K41" s="458">
        <v>32.791249958349470867965939011</v>
      </c>
      <c r="L41" s="499">
        <v>29.606054334819707228540752835</v>
      </c>
      <c r="M41" s="457">
        <v>267.54417084549559663697827009</v>
      </c>
      <c r="N41" s="458">
        <v>429.15122628100303743388719034</v>
      </c>
      <c r="O41" s="499">
        <v>329.48851748912912859058508805</v>
      </c>
      <c r="P41" s="184"/>
      <c r="Q41" s="430">
        <v>-5.6663583245345749399431431500</v>
      </c>
      <c r="R41" s="431">
        <v>7.984694499234245296711305760</v>
      </c>
      <c r="S41" s="500">
        <v>0.0067530178874596764998538800</v>
      </c>
      <c r="T41" s="430">
        <v>-94.72022564734360986238163151</v>
      </c>
      <c r="U41" s="431">
        <v>23.638718798036041537825061390</v>
      </c>
      <c r="V41" s="500">
        <v>1.6776254984690750464402743400</v>
      </c>
      <c r="W41" s="430">
        <v>21.600233652909401310570437260</v>
      </c>
      <c r="X41" s="431">
        <v>7.0406663967940593760714348200</v>
      </c>
      <c r="Y41" s="500">
        <v>-5.407727268705890186645269400</v>
      </c>
      <c r="Z41" s="430">
        <v>-12.163939593160055657246147550</v>
      </c>
      <c r="AA41" s="431">
        <v>10.747721826877263594686252380</v>
      </c>
      <c r="AB41" s="500">
        <v>-0.1560324594921626328605328100</v>
      </c>
      <c r="AC41" s="184"/>
      <c r="AD41" s="430" t="s">
        <v>221</v>
      </c>
      <c r="AE41" s="431" t="s">
        <v>232</v>
      </c>
      <c r="AF41" s="431" t="s">
        <v>232</v>
      </c>
      <c r="AG41" s="432" t="s">
        <v>231</v>
      </c>
    </row>
    <row r="42" ht="14.1" customHeight="1"/>
    <row r="43" ht="20.1" customHeight="1">
      <c r="B43" s="7" t="s">
        <v>102</v>
      </c>
    </row>
    <row r="44" ht="14.1" customHeight="1">
      <c r="B44" s="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5"/>
      <c r="AG1" s="685"/>
      <c r="AI1" s="236"/>
    </row>
    <row r="2" ht="21" customHeight="1">
      <c r="B2" s="11" t="s">
        <v>208</v>
      </c>
    </row>
    <row r="3" ht="21" customHeight="1">
      <c r="B3" s="11" t="s">
        <v>209</v>
      </c>
      <c r="U3" s="99" t="s">
        <v>294</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2023</v>
      </c>
      <c r="C9" s="285" t="s">
        <v>218</v>
      </c>
      <c r="D9" s="434">
        <v>169.96338383838383838383838384</v>
      </c>
      <c r="E9" s="435">
        <v>190.6477138364779874213836478</v>
      </c>
      <c r="F9" s="436">
        <v>159.41923294490326960063355583</v>
      </c>
      <c r="G9" s="434">
        <v>31.661363636363636363636363636</v>
      </c>
      <c r="H9" s="435">
        <v>58.577280807456317405958397113</v>
      </c>
      <c r="I9" s="436">
        <v>61.51527680814080502773769819</v>
      </c>
      <c r="J9" s="434">
        <v>20.485353535353535353535353535</v>
      </c>
      <c r="K9" s="435">
        <v>22.365194750164815811313316503</v>
      </c>
      <c r="L9" s="436">
        <v>26.93412573987910248904282589</v>
      </c>
      <c r="M9" s="434">
        <v>222.11010101010101010101010101</v>
      </c>
      <c r="N9" s="435">
        <v>271.59018939409912063865536142</v>
      </c>
      <c r="O9" s="436">
        <v>247.86863549292317711741407991</v>
      </c>
      <c r="P9" s="5"/>
      <c r="Q9" s="415">
        <v>-25.240864691475467823792435350</v>
      </c>
      <c r="R9" s="416">
        <v>-14.261746148027407187399928950</v>
      </c>
      <c r="S9" s="417">
        <v>-5.2947288688606289886456531600</v>
      </c>
      <c r="T9" s="415">
        <v>-38.190360222248652361588340250</v>
      </c>
      <c r="U9" s="416">
        <v>-14.765426136304019183694116360</v>
      </c>
      <c r="V9" s="417">
        <v>6.450534872486402836476932600</v>
      </c>
      <c r="W9" s="415">
        <v>-4.6632976849208487136063959600</v>
      </c>
      <c r="X9" s="416">
        <v>29.802910782492520076293038220</v>
      </c>
      <c r="Y9" s="417">
        <v>30.696827196459191671913953820</v>
      </c>
      <c r="Z9" s="415">
        <v>-25.977942073737323177685123580</v>
      </c>
      <c r="AA9" s="416">
        <v>-11.911475174036180642119778680</v>
      </c>
      <c r="AB9" s="417">
        <v>0.4624223256148124479680453900</v>
      </c>
      <c r="AC9" s="5"/>
      <c r="AD9" s="427" t="s">
        <v>221</v>
      </c>
      <c r="AE9" s="428" t="s">
        <v>231</v>
      </c>
      <c r="AF9" s="428" t="s">
        <v>231</v>
      </c>
      <c r="AG9" s="429" t="s">
        <v>231</v>
      </c>
    </row>
    <row r="10" ht="20.1" customHeight="1">
      <c r="A10" s="58"/>
      <c r="B10" s="286"/>
      <c r="C10" s="287" t="s">
        <v>222</v>
      </c>
      <c r="D10" s="276">
        <v>279.2551319648093841642228739</v>
      </c>
      <c r="E10" s="94">
        <v>314.07188222763237979306147292</v>
      </c>
      <c r="F10" s="277">
        <v>203.4640696141337786762766986</v>
      </c>
      <c r="G10" s="276">
        <v>53.540322580645161290322580645</v>
      </c>
      <c r="H10" s="94">
        <v>66.630021302495435179549604382</v>
      </c>
      <c r="I10" s="277">
        <v>55.262239662144924366093017224</v>
      </c>
      <c r="J10" s="276">
        <v>18.692082111436950146627565982</v>
      </c>
      <c r="K10" s="94">
        <v>29.236077297626293365794278758</v>
      </c>
      <c r="L10" s="277">
        <v>22.56467726775670547307432362</v>
      </c>
      <c r="M10" s="276">
        <v>351.48753665689149560117302053</v>
      </c>
      <c r="N10" s="94">
        <v>409.93798082775410833840535606</v>
      </c>
      <c r="O10" s="277">
        <v>281.29098654403540851544403945</v>
      </c>
      <c r="P10" s="5"/>
      <c r="Q10" s="271">
        <v>1.1595111250441159590923115600</v>
      </c>
      <c r="R10" s="92">
        <v>26.411596840829123531512513100</v>
      </c>
      <c r="S10" s="272">
        <v>7.0889142344664051591049087800</v>
      </c>
      <c r="T10" s="271">
        <v>15.974273463453882793768272330</v>
      </c>
      <c r="U10" s="92">
        <v>-9.434075777441530620015038020</v>
      </c>
      <c r="V10" s="272">
        <v>-91.38713173199543221758700588</v>
      </c>
      <c r="W10" s="271">
        <v>-17.144559389135965888573041540</v>
      </c>
      <c r="X10" s="92">
        <v>49.392412132899333072095082820</v>
      </c>
      <c r="Y10" s="272">
        <v>2.9306850507574181600867374900</v>
      </c>
      <c r="Z10" s="271">
        <v>1.9455090198249099334767725800</v>
      </c>
      <c r="AA10" s="92">
        <v>20.007889945072962632259393960</v>
      </c>
      <c r="AB10" s="272">
        <v>-67.044262517404281598029054050</v>
      </c>
      <c r="AC10" s="5"/>
      <c r="AD10" s="271" t="s">
        <v>221</v>
      </c>
      <c r="AE10" s="92" t="s">
        <v>221</v>
      </c>
      <c r="AF10" s="92" t="s">
        <v>223</v>
      </c>
      <c r="AG10" s="272" t="s">
        <v>221</v>
      </c>
    </row>
    <row r="11" ht="20.1" customHeight="1">
      <c r="A11" s="58"/>
      <c r="B11" s="288">
        <v>2024</v>
      </c>
      <c r="C11" s="289" t="s">
        <v>224</v>
      </c>
      <c r="D11" s="439">
        <v>256.78372434017595307917888563</v>
      </c>
      <c r="E11" s="95">
        <v>273.91455385326045115097390099</v>
      </c>
      <c r="F11" s="442">
        <v>212.28677507251472268612112156</v>
      </c>
      <c r="G11" s="439">
        <v>9.0017106549364613880742913</v>
      </c>
      <c r="H11" s="95">
        <v>78.404727076757256139810608977</v>
      </c>
      <c r="I11" s="442">
        <v>62.729538496299009068760457491</v>
      </c>
      <c r="J11" s="439">
        <v>21.831622678396871945259042033</v>
      </c>
      <c r="K11" s="95">
        <v>22.929478789745168989144660867</v>
      </c>
      <c r="L11" s="442">
        <v>21.769283319221389767554099386</v>
      </c>
      <c r="M11" s="439">
        <v>287.61705767350928641251221896</v>
      </c>
      <c r="N11" s="95">
        <v>375.24875971976287627992917084</v>
      </c>
      <c r="O11" s="442">
        <v>296.78559688803512152243567844</v>
      </c>
      <c r="P11" s="5"/>
      <c r="Q11" s="497">
        <v>-3.2783369263201432682346229400</v>
      </c>
      <c r="R11" s="216">
        <v>4.7845227566348363617468649500</v>
      </c>
      <c r="S11" s="498">
        <v>3.3790435684643358690963652400</v>
      </c>
      <c r="T11" s="497">
        <v>-86.44017257627917299664969985</v>
      </c>
      <c r="U11" s="216">
        <v>-16.002499738036999891022670500</v>
      </c>
      <c r="V11" s="498">
        <v>8.942440278650733301569761340</v>
      </c>
      <c r="W11" s="497">
        <v>-14.218086843079073210726156530</v>
      </c>
      <c r="X11" s="216">
        <v>38.900160210576822844679197500</v>
      </c>
      <c r="Y11" s="498">
        <v>2.378995310128600374984593800</v>
      </c>
      <c r="Z11" s="497">
        <v>-19.507729639091613509582487250</v>
      </c>
      <c r="AA11" s="216">
        <v>1.0751798845167801055540604500</v>
      </c>
      <c r="AB11" s="498">
        <v>4.4314255802278756902012932400</v>
      </c>
      <c r="AC11" s="5"/>
      <c r="AD11" s="420" t="s">
        <v>221</v>
      </c>
      <c r="AE11" s="91" t="s">
        <v>221</v>
      </c>
      <c r="AF11" s="91" t="s">
        <v>221</v>
      </c>
      <c r="AG11" s="421" t="s">
        <v>221</v>
      </c>
    </row>
    <row r="12" ht="20.1" customHeight="1">
      <c r="A12" s="58"/>
      <c r="B12" s="286"/>
      <c r="C12" s="287" t="s">
        <v>225</v>
      </c>
      <c r="D12" s="276">
        <v>326.2270114942528735632183908</v>
      </c>
      <c r="E12" s="94">
        <v>327.32995391325805114845721105</v>
      </c>
      <c r="F12" s="277">
        <v>269.07081743869209809264305177</v>
      </c>
      <c r="G12" s="276">
        <v>1.4840647857889237199582027168</v>
      </c>
      <c r="H12" s="94">
        <v>76.69788494774089928060006819</v>
      </c>
      <c r="I12" s="277">
        <v>70.906425976834703369727112145</v>
      </c>
      <c r="J12" s="276">
        <v>26.732236154649947753396029258</v>
      </c>
      <c r="K12" s="94">
        <v>22.783145420130022313331060348</v>
      </c>
      <c r="L12" s="277">
        <v>28.665806390961942644088442623</v>
      </c>
      <c r="M12" s="276">
        <v>354.44331243469174503657262278</v>
      </c>
      <c r="N12" s="94">
        <v>426.81098428112897274238833958</v>
      </c>
      <c r="O12" s="277">
        <v>368.64304980648874410645860654</v>
      </c>
      <c r="P12" s="5"/>
      <c r="Q12" s="271">
        <v>0.147349829674445464388405100</v>
      </c>
      <c r="R12" s="92">
        <v>-3.2299028574969594914367190600</v>
      </c>
      <c r="S12" s="272">
        <v>5.1822735734951209993087795500</v>
      </c>
      <c r="T12" s="271">
        <v>-97.74384208085957784193357584</v>
      </c>
      <c r="U12" s="92">
        <v>-8.729911926786607562808999230</v>
      </c>
      <c r="V12" s="272">
        <v>-4.936166967047595891266201400</v>
      </c>
      <c r="W12" s="271">
        <v>10.357922938538882239121706560</v>
      </c>
      <c r="X12" s="92">
        <v>2.7987955141117572773117763200</v>
      </c>
      <c r="Y12" s="272">
        <v>13.353826859689257704298285400</v>
      </c>
      <c r="Z12" s="271">
        <v>-14.745768907809910209038668100</v>
      </c>
      <c r="AA12" s="92">
        <v>-3.9691827112413933915922108100</v>
      </c>
      <c r="AB12" s="272">
        <v>3.6414190514007627888692775500</v>
      </c>
      <c r="AC12" s="5"/>
      <c r="AD12" s="271" t="s">
        <v>221</v>
      </c>
      <c r="AE12" s="92" t="s">
        <v>220</v>
      </c>
      <c r="AF12" s="92" t="s">
        <v>221</v>
      </c>
      <c r="AG12" s="272" t="s">
        <v>221</v>
      </c>
    </row>
    <row r="13" ht="20.1" customHeight="1">
      <c r="A13" s="58"/>
      <c r="B13" s="288"/>
      <c r="C13" s="289" t="s">
        <v>226</v>
      </c>
      <c r="D13" s="439">
        <v>289.40347018572825024437927664</v>
      </c>
      <c r="E13" s="95">
        <v>305.3985911155593194241281084</v>
      </c>
      <c r="F13" s="442">
        <v>241.2773668970896302764040213</v>
      </c>
      <c r="G13" s="439">
        <v>1.8025415444770283479960899316</v>
      </c>
      <c r="H13" s="95">
        <v>66.991454307490953884055739472</v>
      </c>
      <c r="I13" s="442">
        <v>58.089867251228776314678061227</v>
      </c>
      <c r="J13" s="439">
        <v>25.444281524926686217008797654</v>
      </c>
      <c r="K13" s="95">
        <v>23.169989991531295711756101316</v>
      </c>
      <c r="L13" s="442">
        <v>28.919323830950658615777097433</v>
      </c>
      <c r="M13" s="439">
        <v>316.65029325513196480938416422</v>
      </c>
      <c r="N13" s="95">
        <v>395.56003541458156901993994919</v>
      </c>
      <c r="O13" s="442">
        <v>328.28655797926906520685917997</v>
      </c>
      <c r="P13" s="5"/>
      <c r="Q13" s="420">
        <v>0.3897796024556957236371573900</v>
      </c>
      <c r="R13" s="91">
        <v>-1.3714720988019529361906984200</v>
      </c>
      <c r="S13" s="498">
        <v>-1.9241521525875783281678063900</v>
      </c>
      <c r="T13" s="420">
        <v>-97.19127222877891310850808158</v>
      </c>
      <c r="U13" s="91">
        <v>-3.2690450566297628517282554600</v>
      </c>
      <c r="V13" s="498">
        <v>-11.404319953208682123022923930</v>
      </c>
      <c r="W13" s="420">
        <v>12.983842088504146205395801940</v>
      </c>
      <c r="X13" s="91">
        <v>-5.9725584406357727156219631800</v>
      </c>
      <c r="Y13" s="498">
        <v>9.128388025288153813300138370</v>
      </c>
      <c r="Z13" s="420">
        <v>-15.554638804373036809548545340</v>
      </c>
      <c r="AA13" s="91">
        <v>-1.9780897832203976376078229900</v>
      </c>
      <c r="AB13" s="498">
        <v>-2.896394596405389733639268800</v>
      </c>
      <c r="AC13" s="5"/>
      <c r="AD13" s="420" t="s">
        <v>221</v>
      </c>
      <c r="AE13" s="91" t="s">
        <v>220</v>
      </c>
      <c r="AF13" s="91" t="s">
        <v>220</v>
      </c>
      <c r="AG13" s="421" t="s">
        <v>221</v>
      </c>
    </row>
    <row r="14" ht="20.1" customHeight="1">
      <c r="A14" s="58"/>
      <c r="B14" s="286"/>
      <c r="C14" s="287" t="s">
        <v>228</v>
      </c>
      <c r="D14" s="276">
        <v>240.95631313131313131313131313</v>
      </c>
      <c r="E14" s="94">
        <v>255.9287430389817024661893397</v>
      </c>
      <c r="F14" s="277">
        <v>200.44790912318068867589634363</v>
      </c>
      <c r="G14" s="276">
        <v>1.4931818181818181818181818182</v>
      </c>
      <c r="H14" s="94">
        <v>62.591010342084327764518695306</v>
      </c>
      <c r="I14" s="277">
        <v>57.374295992113169774842625957</v>
      </c>
      <c r="J14" s="276">
        <v>28.850252525252525252525252525</v>
      </c>
      <c r="K14" s="94">
        <v>22.428162291169451073985680191</v>
      </c>
      <c r="L14" s="277">
        <v>21.967831531657963458572215421</v>
      </c>
      <c r="M14" s="276">
        <v>271.29974747474747474747474747</v>
      </c>
      <c r="N14" s="94">
        <v>340.94791567223548130469371519</v>
      </c>
      <c r="O14" s="277">
        <v>279.79003664695182190931118501</v>
      </c>
      <c r="P14" s="5"/>
      <c r="Q14" s="271">
        <v>4.9100138643372400464617334400</v>
      </c>
      <c r="R14" s="92">
        <v>-2.6186183613761351284680192800</v>
      </c>
      <c r="S14" s="272">
        <v>5.6065062624107300531935657700</v>
      </c>
      <c r="T14" s="271">
        <v>-96.69187991630624143676571833</v>
      </c>
      <c r="U14" s="92">
        <v>-25.291963624246249772198515440</v>
      </c>
      <c r="V14" s="272">
        <v>-1.1886398736889224961656608700</v>
      </c>
      <c r="W14" s="271">
        <v>39.267864543677571827516486550</v>
      </c>
      <c r="X14" s="92">
        <v>-0.8053016823745341035443519900</v>
      </c>
      <c r="Y14" s="272">
        <v>-14.751186369603896736162747460</v>
      </c>
      <c r="Z14" s="271">
        <v>-8.199401010858267615247754460</v>
      </c>
      <c r="AA14" s="92">
        <v>-7.6526998813899373890776459700</v>
      </c>
      <c r="AB14" s="272">
        <v>2.2475102254220574948671752300</v>
      </c>
      <c r="AC14" s="5"/>
      <c r="AD14" s="271" t="s">
        <v>221</v>
      </c>
      <c r="AE14" s="92" t="s">
        <v>220</v>
      </c>
      <c r="AF14" s="92" t="s">
        <v>221</v>
      </c>
      <c r="AG14" s="272" t="s">
        <v>221</v>
      </c>
    </row>
    <row r="15" ht="20.1" customHeight="1">
      <c r="A15" s="58"/>
      <c r="B15" s="288"/>
      <c r="C15" s="289" t="s">
        <v>229</v>
      </c>
      <c r="D15" s="439">
        <v>189.88831867057673509286412512</v>
      </c>
      <c r="E15" s="95">
        <v>197.01061436600200169374085765</v>
      </c>
      <c r="F15" s="442">
        <v>165.25689305713009722079082071</v>
      </c>
      <c r="G15" s="439">
        <v>1.4000488758553274682306940371</v>
      </c>
      <c r="H15" s="95">
        <v>57.548002155670182462083301255</v>
      </c>
      <c r="I15" s="442">
        <v>43.763915259220421935129066488</v>
      </c>
      <c r="J15" s="439">
        <v>27.274193548387096774193548387</v>
      </c>
      <c r="K15" s="95">
        <v>20.758641927785048887520209408</v>
      </c>
      <c r="L15" s="442">
        <v>26.610371291939275309001915264</v>
      </c>
      <c r="M15" s="439">
        <v>218.56256109481915933528836755</v>
      </c>
      <c r="N15" s="95">
        <v>275.31725844945723304334436831</v>
      </c>
      <c r="O15" s="442">
        <v>235.63117960828979446492180246</v>
      </c>
      <c r="P15" s="5"/>
      <c r="Q15" s="420">
        <v>-6.2987786642600053603046342500</v>
      </c>
      <c r="R15" s="91">
        <v>-2.986668401619609350155434900</v>
      </c>
      <c r="S15" s="498">
        <v>0.9249786787248882516104536700</v>
      </c>
      <c r="T15" s="420">
        <v>-96.71602093400406323081746163</v>
      </c>
      <c r="U15" s="91">
        <v>15.519867299575489297315837220</v>
      </c>
      <c r="V15" s="498">
        <v>-16.976256825367133137813173850</v>
      </c>
      <c r="W15" s="420">
        <v>39.813341684762048437267417540</v>
      </c>
      <c r="X15" s="91">
        <v>2.0627952532907863716622723600</v>
      </c>
      <c r="Y15" s="498">
        <v>-1.0202772729787264082919499400</v>
      </c>
      <c r="Z15" s="420">
        <v>-17.459166025257985333263527350</v>
      </c>
      <c r="AA15" s="91">
        <v>0.7633870988776178430905201200</v>
      </c>
      <c r="AB15" s="498">
        <v>-3.1677268915632155772185813300</v>
      </c>
      <c r="AC15" s="5"/>
      <c r="AD15" s="420" t="s">
        <v>221</v>
      </c>
      <c r="AE15" s="91" t="s">
        <v>220</v>
      </c>
      <c r="AF15" s="91" t="s">
        <v>221</v>
      </c>
      <c r="AG15" s="421" t="s">
        <v>221</v>
      </c>
    </row>
    <row r="16" ht="20.1" customHeight="1">
      <c r="A16" s="58"/>
      <c r="B16" s="286"/>
      <c r="C16" s="287" t="s">
        <v>230</v>
      </c>
      <c r="D16" s="276">
        <v>134.08611111111111111111111111</v>
      </c>
      <c r="E16" s="94">
        <v>152.29846802325581395348837209</v>
      </c>
      <c r="F16" s="277">
        <v>129.42543172798455432800600665</v>
      </c>
      <c r="G16" s="276">
        <v>1.3696969696969696969696969697</v>
      </c>
      <c r="H16" s="94">
        <v>46.065213178294573643410852713</v>
      </c>
      <c r="I16" s="277">
        <v>43.218189209841367324600564371</v>
      </c>
      <c r="J16" s="276">
        <v>23.807828282828282828282828283</v>
      </c>
      <c r="K16" s="94">
        <v>25.738856589147286821705426357</v>
      </c>
      <c r="L16" s="277">
        <v>24.367397358935783953711566515</v>
      </c>
      <c r="M16" s="276">
        <v>159.26363636363636363636363636</v>
      </c>
      <c r="N16" s="94">
        <v>224.10253779069767441860465116</v>
      </c>
      <c r="O16" s="277">
        <v>197.01101829676170560631813754</v>
      </c>
      <c r="P16" s="5"/>
      <c r="Q16" s="271">
        <v>-15.861538949083926065805710980</v>
      </c>
      <c r="R16" s="92">
        <v>9.673544169334438169969168850</v>
      </c>
      <c r="S16" s="272">
        <v>0.4094205553244274793656375800</v>
      </c>
      <c r="T16" s="271">
        <v>-96.45571274545020188650938414</v>
      </c>
      <c r="U16" s="92">
        <v>38.659650227367946741097359380</v>
      </c>
      <c r="V16" s="272">
        <v>5.8543273260725143118974647400</v>
      </c>
      <c r="W16" s="271">
        <v>4.0297041720734076257641736100</v>
      </c>
      <c r="X16" s="92">
        <v>40.185017328646470501628914570</v>
      </c>
      <c r="Y16" s="272">
        <v>12.712855315755720247765974350</v>
      </c>
      <c r="Z16" s="271">
        <v>-27.900569539346813689338027720</v>
      </c>
      <c r="AA16" s="92">
        <v>17.671436718306714096441513590</v>
      </c>
      <c r="AB16" s="272">
        <v>2.9613209575506318276498458300</v>
      </c>
      <c r="AC16" s="5"/>
      <c r="AD16" s="271" t="s">
        <v>231</v>
      </c>
      <c r="AE16" s="92" t="s">
        <v>231</v>
      </c>
      <c r="AF16" s="92" t="s">
        <v>232</v>
      </c>
      <c r="AG16" s="272" t="s">
        <v>231</v>
      </c>
    </row>
    <row r="17" ht="20.1" customHeight="1">
      <c r="A17" s="58"/>
      <c r="B17" s="288"/>
      <c r="C17" s="289" t="s">
        <v>233</v>
      </c>
      <c r="D17" s="439">
        <v>132.24608993157380254154447703</v>
      </c>
      <c r="E17" s="95">
        <v>164.67368529632408102025506377</v>
      </c>
      <c r="F17" s="442">
        <v>126.14551485483358555407145761</v>
      </c>
      <c r="G17" s="439">
        <v>1.0579178885630498533724340176</v>
      </c>
      <c r="H17" s="95">
        <v>42.945962251542147016270905444</v>
      </c>
      <c r="I17" s="442">
        <v>31.602383767261227950130863558</v>
      </c>
      <c r="J17" s="439">
        <v>25.493890518084066471163245357</v>
      </c>
      <c r="K17" s="95">
        <v>22.323671380621167945667330049</v>
      </c>
      <c r="L17" s="442">
        <v>21.905165088267572224066695182</v>
      </c>
      <c r="M17" s="439">
        <v>158.7978983382209188660801564</v>
      </c>
      <c r="N17" s="95">
        <v>229.94331892848739598219329926</v>
      </c>
      <c r="O17" s="442">
        <v>179.65306371036238572826901635</v>
      </c>
      <c r="P17" s="5"/>
      <c r="Q17" s="420">
        <v>-13.473155381894249131028395710</v>
      </c>
      <c r="R17" s="91">
        <v>13.526090245006229608948352890</v>
      </c>
      <c r="S17" s="498">
        <v>2.2567039483749288522814639400</v>
      </c>
      <c r="T17" s="420">
        <v>-96.84339475430192981016822315</v>
      </c>
      <c r="U17" s="91">
        <v>23.931475120807496437075016790</v>
      </c>
      <c r="V17" s="498">
        <v>-16.230070275799657655106878770</v>
      </c>
      <c r="W17" s="420">
        <v>28.177372585380878150292396130</v>
      </c>
      <c r="X17" s="91">
        <v>8.933956150703171227621560230</v>
      </c>
      <c r="Y17" s="498">
        <v>-10.975471459536781752106719350</v>
      </c>
      <c r="Z17" s="420">
        <v>-23.004160233552504387634586730</v>
      </c>
      <c r="AA17" s="91">
        <v>14.857121872587018072656530870</v>
      </c>
      <c r="AB17" s="498">
        <v>-3.2524296809084605565699855800</v>
      </c>
      <c r="AC17" s="5"/>
      <c r="AD17" s="420" t="s">
        <v>232</v>
      </c>
      <c r="AE17" s="91" t="s">
        <v>295</v>
      </c>
      <c r="AF17" s="91" t="s">
        <v>295</v>
      </c>
      <c r="AG17" s="421" t="s">
        <v>295</v>
      </c>
    </row>
    <row r="18" ht="20.1" customHeight="1">
      <c r="A18" s="58"/>
      <c r="B18" s="286"/>
      <c r="C18" s="287" t="s">
        <v>234</v>
      </c>
      <c r="D18" s="276">
        <v>117.50879765395894428152492669</v>
      </c>
      <c r="E18" s="94">
        <v>143.5046455363840960240060015</v>
      </c>
      <c r="F18" s="277">
        <v>110.72907856476468705523435957</v>
      </c>
      <c r="G18" s="276">
        <v>1.5266373411534701857282502444</v>
      </c>
      <c r="H18" s="94">
        <v>33.556826706676669167291822956</v>
      </c>
      <c r="I18" s="277">
        <v>30.73413180448379912821017489</v>
      </c>
      <c r="J18" s="276">
        <v>25.000488758553274682306940371</v>
      </c>
      <c r="K18" s="94">
        <v>19.730401350337584396099024756</v>
      </c>
      <c r="L18" s="277">
        <v>21.65955733614777210439117389</v>
      </c>
      <c r="M18" s="276">
        <v>144.0359237536656891495601173</v>
      </c>
      <c r="N18" s="94">
        <v>196.79187359339834958739684921</v>
      </c>
      <c r="O18" s="277">
        <v>163.12276770539625828783570835</v>
      </c>
      <c r="P18" s="5"/>
      <c r="Q18" s="271">
        <v>-4.6519375141507881124224555800</v>
      </c>
      <c r="R18" s="92">
        <v>5.5811029806141611890126327100</v>
      </c>
      <c r="S18" s="272">
        <v>3.9170658531523692951509252600</v>
      </c>
      <c r="T18" s="271">
        <v>-94.79355924857757762358402934</v>
      </c>
      <c r="U18" s="92">
        <v>7.2616103162694148022712413400</v>
      </c>
      <c r="V18" s="272">
        <v>-11.428095767065776274235596260</v>
      </c>
      <c r="W18" s="271">
        <v>6.7747962133797594196434235700</v>
      </c>
      <c r="X18" s="92">
        <v>-21.637229807002530739406837330</v>
      </c>
      <c r="Y18" s="272">
        <v>7.412744929930461280334297400</v>
      </c>
      <c r="Z18" s="271">
        <v>-18.151292245702268662146338020</v>
      </c>
      <c r="AA18" s="92">
        <v>2.2921487553678222376253773100</v>
      </c>
      <c r="AB18" s="272">
        <v>1.0550730621633326425737212800</v>
      </c>
      <c r="AC18" s="5"/>
      <c r="AD18" s="271" t="s">
        <v>232</v>
      </c>
      <c r="AE18" s="92" t="s">
        <v>231</v>
      </c>
      <c r="AF18" s="92" t="s">
        <v>231</v>
      </c>
      <c r="AG18" s="272" t="s">
        <v>231</v>
      </c>
    </row>
    <row r="19" ht="20.1" customHeight="1">
      <c r="A19" s="58"/>
      <c r="B19" s="288"/>
      <c r="C19" s="289" t="s">
        <v>235</v>
      </c>
      <c r="D19" s="439">
        <v>106.32727272727272727272727273</v>
      </c>
      <c r="E19" s="95">
        <v>132.7195038759689922480620155</v>
      </c>
      <c r="F19" s="442">
        <v>107.93940994681615638924823918</v>
      </c>
      <c r="G19" s="439">
        <v>1.3227272727272727272727272727</v>
      </c>
      <c r="H19" s="95">
        <v>44.177270895344679571779421781</v>
      </c>
      <c r="I19" s="442">
        <v>42.809612044115234581620357133</v>
      </c>
      <c r="J19" s="439">
        <v>19.251010101010101010101010101</v>
      </c>
      <c r="K19" s="95">
        <v>17.001493448383451959961980444</v>
      </c>
      <c r="L19" s="442">
        <v>23.472718568921327723766364142</v>
      </c>
      <c r="M19" s="439">
        <v>126.9010101010101010101010101</v>
      </c>
      <c r="N19" s="95">
        <v>193.89826821969712377980341773</v>
      </c>
      <c r="O19" s="442">
        <v>174.22174055985271869463496046</v>
      </c>
      <c r="P19" s="5"/>
      <c r="Q19" s="420">
        <v>-2.9889707830734737770673180900</v>
      </c>
      <c r="R19" s="91">
        <v>17.940377548494954680774310970</v>
      </c>
      <c r="S19" s="498">
        <v>1.8957184642291084528240522200</v>
      </c>
      <c r="T19" s="420">
        <v>-95.28197368065399129325385013</v>
      </c>
      <c r="U19" s="91">
        <v>55.881829122276718533116756720</v>
      </c>
      <c r="V19" s="498">
        <v>11.599672656437876598171018580</v>
      </c>
      <c r="W19" s="420">
        <v>4.7458092881969249952482350600</v>
      </c>
      <c r="X19" s="91">
        <v>6.5492079124256617729915688700</v>
      </c>
      <c r="Y19" s="498">
        <v>33.495170290748457510297767170</v>
      </c>
      <c r="Z19" s="420">
        <v>-18.662415227501874395544194730</v>
      </c>
      <c r="AA19" s="91">
        <v>23.637754649806237082153588860</v>
      </c>
      <c r="AB19" s="498">
        <v>7.6277100996376002099021863700</v>
      </c>
      <c r="AC19" s="5"/>
      <c r="AD19" s="420" t="s">
        <v>232</v>
      </c>
      <c r="AE19" s="91" t="s">
        <v>295</v>
      </c>
      <c r="AF19" s="91" t="s">
        <v>296</v>
      </c>
      <c r="AG19" s="421" t="s">
        <v>295</v>
      </c>
    </row>
    <row r="20" ht="20.1" customHeight="1">
      <c r="A20" s="58"/>
      <c r="B20" s="286"/>
      <c r="C20" s="287" t="s">
        <v>236</v>
      </c>
      <c r="D20" s="276">
        <v>149.12561094819159335288367546</v>
      </c>
      <c r="E20" s="94">
        <v>183.03917104276069017254313578</v>
      </c>
      <c r="F20" s="277">
        <v>148.44892820876629247868241316</v>
      </c>
      <c r="G20" s="276">
        <v>1.0821114369501466275659824047</v>
      </c>
      <c r="H20" s="94">
        <v>43.735984223516747794365574383</v>
      </c>
      <c r="I20" s="277">
        <v>53.27376366569901444336071689</v>
      </c>
      <c r="J20" s="276">
        <v>25.290566959921798631476050831</v>
      </c>
      <c r="K20" s="94">
        <v>21.211733183154683038314436121</v>
      </c>
      <c r="L20" s="277">
        <v>22.362250019889720001529592927</v>
      </c>
      <c r="M20" s="276">
        <v>175.4982893450635386119257087</v>
      </c>
      <c r="N20" s="94">
        <v>247.98688844943212100522314629</v>
      </c>
      <c r="O20" s="277">
        <v>224.08494189435502692357272298</v>
      </c>
      <c r="P20" s="5"/>
      <c r="Q20" s="271">
        <v>3.6667697294080710262708322400</v>
      </c>
      <c r="R20" s="92">
        <v>22.870077405286916842042773490</v>
      </c>
      <c r="S20" s="272">
        <v>8.434616149726089795227258240</v>
      </c>
      <c r="T20" s="271">
        <v>-96.16021644307830658256942318</v>
      </c>
      <c r="U20" s="92">
        <v>14.544372227049823165176443040</v>
      </c>
      <c r="V20" s="272">
        <v>5.7277649097814501769744166600</v>
      </c>
      <c r="W20" s="271">
        <v>38.402385855898884238985081030</v>
      </c>
      <c r="X20" s="92">
        <v>-24.454564590342921333802593760</v>
      </c>
      <c r="Y20" s="272">
        <v>19.235318745973021205569557770</v>
      </c>
      <c r="Z20" s="271">
        <v>-7.7808639954105722382333580700</v>
      </c>
      <c r="AA20" s="92">
        <v>15.219282203930005728182948370</v>
      </c>
      <c r="AB20" s="272">
        <v>8.755771578781771366952173520</v>
      </c>
      <c r="AC20" s="5"/>
      <c r="AD20" s="271" t="s">
        <v>231</v>
      </c>
      <c r="AE20" s="92" t="s">
        <v>295</v>
      </c>
      <c r="AF20" s="92" t="s">
        <v>295</v>
      </c>
      <c r="AG20" s="272" t="s">
        <v>295</v>
      </c>
    </row>
    <row r="21" ht="20.1" customHeight="1">
      <c r="A21" s="58"/>
      <c r="B21" s="288"/>
      <c r="C21" s="289" t="s">
        <v>218</v>
      </c>
      <c r="D21" s="439">
        <v>175.57045454545454545454545455</v>
      </c>
      <c r="E21" s="95">
        <v>195.0668468992248062015503876</v>
      </c>
      <c r="F21" s="442">
        <v>160.44458525345622119815668203</v>
      </c>
      <c r="G21" s="439">
        <v>1.1595959595959595959595959596</v>
      </c>
      <c r="H21" s="95">
        <v>50.482252828268483157341868797</v>
      </c>
      <c r="I21" s="442">
        <v>64.258981605742586798245329685</v>
      </c>
      <c r="J21" s="439">
        <v>29.431818181818181818181818182</v>
      </c>
      <c r="K21" s="95">
        <v>20.193739949928766445675224558</v>
      </c>
      <c r="L21" s="442">
        <v>22.397648074271725612822666258</v>
      </c>
      <c r="M21" s="439">
        <v>206.16186868686868686868686869</v>
      </c>
      <c r="N21" s="95">
        <v>265.74283967742205580456748095</v>
      </c>
      <c r="O21" s="442">
        <v>247.10121493347053360922467797</v>
      </c>
      <c r="P21" s="5"/>
      <c r="Q21" s="420">
        <v>3.2989874527243521923216165700</v>
      </c>
      <c r="R21" s="91">
        <v>2.3179575426299980621590009900</v>
      </c>
      <c r="S21" s="498">
        <v>0.6431798030985466287270251900</v>
      </c>
      <c r="T21" s="420">
        <v>-96.33750468579688304520888864</v>
      </c>
      <c r="U21" s="91">
        <v>-13.819398694578977350831054450</v>
      </c>
      <c r="V21" s="498">
        <v>4.460200685110646438237870900</v>
      </c>
      <c r="W21" s="420">
        <v>43.672493281397947057964828010</v>
      </c>
      <c r="X21" s="91">
        <v>-9.709080669873511353998061740</v>
      </c>
      <c r="Y21" s="498">
        <v>-16.842862134960528513936811640</v>
      </c>
      <c r="Z21" s="420">
        <v>-7.1803273469791903202404257600</v>
      </c>
      <c r="AA21" s="91">
        <v>-2.1530047641717103484293420400</v>
      </c>
      <c r="AB21" s="498">
        <v>-0.3096077718358394491487272600</v>
      </c>
      <c r="AC21" s="5"/>
      <c r="AD21" s="420" t="s">
        <v>231</v>
      </c>
      <c r="AE21" s="91" t="s">
        <v>295</v>
      </c>
      <c r="AF21" s="91" t="s">
        <v>295</v>
      </c>
      <c r="AG21" s="421" t="s">
        <v>295</v>
      </c>
    </row>
    <row r="22" ht="20.1" customHeight="1">
      <c r="A22" s="58"/>
      <c r="B22" s="286"/>
      <c r="C22" s="287" t="s">
        <v>222</v>
      </c>
      <c r="D22" s="276">
        <v>244.84066471163245356793743891</v>
      </c>
      <c r="E22" s="94">
        <v>318.49105776444111027756939235</v>
      </c>
      <c r="F22" s="277">
        <v>204.46979556522056215420621161</v>
      </c>
      <c r="G22" s="276">
        <v>1.3140273704789833822091886608</v>
      </c>
      <c r="H22" s="94">
        <v>92.68173099508552845195316408</v>
      </c>
      <c r="I22" s="277">
        <v>57.323417933145701652571153898</v>
      </c>
      <c r="J22" s="276">
        <v>31.150048875855327468230694037</v>
      </c>
      <c r="K22" s="94">
        <v>21.996425243897005006540697253</v>
      </c>
      <c r="L22" s="277">
        <v>21.889379481114567302193794448</v>
      </c>
      <c r="M22" s="276">
        <v>277.3047409579667644183773216</v>
      </c>
      <c r="N22" s="94">
        <v>433.16921400342364373606325369</v>
      </c>
      <c r="O22" s="277">
        <v>283.68259297948083110897115994</v>
      </c>
      <c r="P22" s="5"/>
      <c r="Q22" s="271">
        <v>-12.323665105465448187067301180</v>
      </c>
      <c r="R22" s="92">
        <v>1.4070586343156452400495322900</v>
      </c>
      <c r="S22" s="272">
        <v>0.4943015015024872197358038700</v>
      </c>
      <c r="T22" s="271">
        <v>-97.54572384486321164544920840</v>
      </c>
      <c r="U22" s="92">
        <v>39.099056526353012045028925690</v>
      </c>
      <c r="V22" s="272">
        <v>3.7298131303558093556168438200</v>
      </c>
      <c r="W22" s="271">
        <v>66.64836314226018764390636100</v>
      </c>
      <c r="X22" s="92">
        <v>-24.762734001586801829592186740</v>
      </c>
      <c r="Y22" s="272">
        <v>-2.9927207851055277028499116700</v>
      </c>
      <c r="Z22" s="271">
        <v>-21.105384391295162601499688820</v>
      </c>
      <c r="AA22" s="92">
        <v>5.6670116608156485544060384300</v>
      </c>
      <c r="AB22" s="272">
        <v>0.8502250515967855536915948400</v>
      </c>
      <c r="AC22" s="5"/>
      <c r="AD22" s="271" t="s">
        <v>231</v>
      </c>
      <c r="AE22" s="92" t="s">
        <v>295</v>
      </c>
      <c r="AF22" s="92" t="s">
        <v>295</v>
      </c>
      <c r="AG22" s="272" t="s">
        <v>295</v>
      </c>
    </row>
    <row r="23" ht="20.1" customHeight="1">
      <c r="A23" s="58"/>
      <c r="B23" s="288">
        <v>2025</v>
      </c>
      <c r="C23" s="289" t="s">
        <v>224</v>
      </c>
      <c r="D23" s="439">
        <v>254.33015640273704789833822092</v>
      </c>
      <c r="E23" s="95">
        <v>292.62619092273068267066766692</v>
      </c>
      <c r="F23" s="442">
        <v>220.28253257274468056615648308</v>
      </c>
      <c r="G23" s="439">
        <v>1.6598240469208211143695014663</v>
      </c>
      <c r="H23" s="95">
        <v>97.49597719610025918971471485</v>
      </c>
      <c r="I23" s="442">
        <v>67.007337300983806560350188691</v>
      </c>
      <c r="J23" s="439">
        <v>26.748778103616813294232649071</v>
      </c>
      <c r="K23" s="95">
        <v>26.539954004481399622586311843</v>
      </c>
      <c r="L23" s="442">
        <v>18.228069406149600931794506783</v>
      </c>
      <c r="M23" s="439">
        <v>282.73875855327468230694037146</v>
      </c>
      <c r="N23" s="95">
        <v>416.66212212331234148296869361</v>
      </c>
      <c r="O23" s="442">
        <v>305.51793927987808805830117854</v>
      </c>
      <c r="P23" s="5"/>
      <c r="Q23" s="420">
        <v>-0.955499786354193472357622200</v>
      </c>
      <c r="R23" s="91">
        <v>6.8311949132327030743974423200</v>
      </c>
      <c r="S23" s="498">
        <v>3.7664887497179116422165239200</v>
      </c>
      <c r="T23" s="420">
        <v>-81.56101533859777123628393613</v>
      </c>
      <c r="U23" s="91">
        <v>24.349616191635682826289938410</v>
      </c>
      <c r="V23" s="498">
        <v>6.8194329294103217079117688600</v>
      </c>
      <c r="W23" s="420">
        <v>22.523087255817223982572625950</v>
      </c>
      <c r="X23" s="91">
        <v>15.745997752043266640002163100</v>
      </c>
      <c r="Y23" s="498">
        <v>-16.267021110093831224418295950</v>
      </c>
      <c r="Z23" s="420">
        <v>-1.6961091110816918031132048800</v>
      </c>
      <c r="AA23" s="91">
        <v>11.036242314148058063459437500</v>
      </c>
      <c r="AB23" s="498">
        <v>2.9423066629387245907329357600</v>
      </c>
      <c r="AC23" s="5"/>
      <c r="AD23" s="420" t="s">
        <v>231</v>
      </c>
      <c r="AE23" s="91" t="s">
        <v>295</v>
      </c>
      <c r="AF23" s="91" t="s">
        <v>296</v>
      </c>
      <c r="AG23" s="421" t="s">
        <v>295</v>
      </c>
    </row>
    <row r="24" ht="20.1" customHeight="1">
      <c r="A24" s="59"/>
      <c r="B24" s="286"/>
      <c r="C24" s="287" t="s">
        <v>225</v>
      </c>
      <c r="D24" s="276">
        <v>316.26190476190476190476190476</v>
      </c>
      <c r="E24" s="94">
        <v>392.52174107142857142857142857</v>
      </c>
      <c r="F24" s="277">
        <v>279.82596584400708112048318234</v>
      </c>
      <c r="G24" s="276">
        <v>1.5083874458874458874458874459</v>
      </c>
      <c r="H24" s="94">
        <v>114.33356958604082110829405112</v>
      </c>
      <c r="I24" s="277">
        <v>85.80825392467655166290399431</v>
      </c>
      <c r="J24" s="276">
        <v>25.331709956709956709956709957</v>
      </c>
      <c r="K24" s="94">
        <v>40.495260434353978499089967344</v>
      </c>
      <c r="L24" s="277">
        <v>29.218620675346919876867833366</v>
      </c>
      <c r="M24" s="276">
        <v>343.10200216450216450216450216</v>
      </c>
      <c r="N24" s="94">
        <v>547.35057109182337103595544704</v>
      </c>
      <c r="O24" s="277">
        <v>394.85284044403055266025501004</v>
      </c>
      <c r="P24" s="93"/>
      <c r="Q24" s="271">
        <v>-3.0546540848195071602992651500</v>
      </c>
      <c r="R24" s="92">
        <v>19.916230207088210148380403580</v>
      </c>
      <c r="S24" s="272">
        <v>3.9971441376236687119912181700</v>
      </c>
      <c r="T24" s="271">
        <v>1.6389217182546726691483394100</v>
      </c>
      <c r="U24" s="92">
        <v>49.070042366884632172288341130</v>
      </c>
      <c r="V24" s="272">
        <v>21.016188226370776791686009570</v>
      </c>
      <c r="W24" s="271">
        <v>-5.2390910726300953341769190400</v>
      </c>
      <c r="X24" s="92">
        <v>77.742184793447349704431285650</v>
      </c>
      <c r="Y24" s="272">
        <v>1.9284797950790704371217329700</v>
      </c>
      <c r="Z24" s="271">
        <v>-3.1997529286963974416287640800</v>
      </c>
      <c r="AA24" s="92">
        <v>28.241912989599947507955885830</v>
      </c>
      <c r="AB24" s="272">
        <v>7.1098019212048129966878049600</v>
      </c>
      <c r="AC24" s="93"/>
      <c r="AD24" s="271" t="s">
        <v>231</v>
      </c>
      <c r="AE24" s="92" t="s">
        <v>295</v>
      </c>
      <c r="AF24" s="92" t="s">
        <v>296</v>
      </c>
      <c r="AG24" s="272" t="s">
        <v>295</v>
      </c>
    </row>
    <row r="25" ht="20.1" customHeight="1">
      <c r="A25" s="60"/>
      <c r="B25" s="288"/>
      <c r="C25" s="289" t="s">
        <v>226</v>
      </c>
      <c r="D25" s="439">
        <v>271.2277614858260019550342131</v>
      </c>
      <c r="E25" s="95">
        <v>332.61574174793698424606151538</v>
      </c>
      <c r="F25" s="442">
        <v>244.19781452704631953052305563</v>
      </c>
      <c r="G25" s="439">
        <v>1.2888563049853372434017595308</v>
      </c>
      <c r="H25" s="95">
        <v>87.62190547636909227306826707</v>
      </c>
      <c r="I25" s="442">
        <v>62.6385266265444100533799696</v>
      </c>
      <c r="J25" s="439">
        <v>27.584555229716520039100684262</v>
      </c>
      <c r="K25" s="95">
        <v>32.221117779444861215303825956</v>
      </c>
      <c r="L25" s="442">
        <v>19.841923189186453183692926888</v>
      </c>
      <c r="M25" s="439">
        <v>300.10117302052785923753665689</v>
      </c>
      <c r="N25" s="95">
        <v>452.4587650037509377344336084</v>
      </c>
      <c r="O25" s="442">
        <v>326.67826434277718276759595211</v>
      </c>
      <c r="P25" s="93"/>
      <c r="Q25" s="420">
        <v>-6.2804045467081948954270206200</v>
      </c>
      <c r="R25" s="91">
        <v>8.912009231252380458668770860</v>
      </c>
      <c r="S25" s="498">
        <v>1.2104109338990890022043460900</v>
      </c>
      <c r="T25" s="420">
        <v>-28.497830803514263002232871380</v>
      </c>
      <c r="U25" s="91">
        <v>30.795646074755267430373760390</v>
      </c>
      <c r="V25" s="498">
        <v>7.8303834912799623440086447300</v>
      </c>
      <c r="W25" s="420">
        <v>8.411609904260920761074408770</v>
      </c>
      <c r="X25" s="91">
        <v>39.064012506113737115654748280</v>
      </c>
      <c r="Y25" s="498">
        <v>-31.388702913181700718813992080</v>
      </c>
      <c r="Z25" s="420">
        <v>-5.2263081977441367944725224500</v>
      </c>
      <c r="AA25" s="91">
        <v>14.384347379662213220896815920</v>
      </c>
      <c r="AB25" s="498">
        <v>-0.4899054187360993483267811600</v>
      </c>
      <c r="AC25" s="93"/>
      <c r="AD25" s="420" t="s">
        <v>231</v>
      </c>
      <c r="AE25" s="91" t="s">
        <v>231</v>
      </c>
      <c r="AF25" s="91" t="s">
        <v>232</v>
      </c>
      <c r="AG25" s="421" t="s">
        <v>231</v>
      </c>
    </row>
    <row r="26" ht="20.1" customHeight="1">
      <c r="A26" s="60"/>
      <c r="B26" s="290"/>
      <c r="C26" s="291" t="s">
        <v>228</v>
      </c>
      <c r="D26" s="443">
        <v>247.98737373737373737373737374</v>
      </c>
      <c r="E26" s="444">
        <v>305.19932170542635658914728682</v>
      </c>
      <c r="F26" s="445">
        <v>211.02358808605289681298439509</v>
      </c>
      <c r="G26" s="443">
        <v>1.3398989898989898989898989899</v>
      </c>
      <c r="H26" s="444">
        <v>77.623158914728682170542635659</v>
      </c>
      <c r="I26" s="445">
        <v>66.192123699588515538124374765</v>
      </c>
      <c r="J26" s="443">
        <v>37.251010101010101010101010101</v>
      </c>
      <c r="K26" s="444">
        <v>29.693798449612403100775193798</v>
      </c>
      <c r="L26" s="445">
        <v>20.855108909667650265256394896</v>
      </c>
      <c r="M26" s="443">
        <v>286.57828282828282828282828283</v>
      </c>
      <c r="N26" s="444">
        <v>412.51627906976744186046511628</v>
      </c>
      <c r="O26" s="445">
        <v>298.07082069530906261636516474</v>
      </c>
      <c r="P26" s="453"/>
      <c r="Q26" s="273">
        <v>2.9179814858149940578076020500</v>
      </c>
      <c r="R26" s="274">
        <v>19.251678448214861897846108940</v>
      </c>
      <c r="S26" s="275">
        <v>5.2760235859346558487237195800</v>
      </c>
      <c r="T26" s="273">
        <v>-10.265516659303379469056343090</v>
      </c>
      <c r="U26" s="274">
        <v>24.016465767956696622027311130</v>
      </c>
      <c r="V26" s="275">
        <v>15.368951470363423203106640640</v>
      </c>
      <c r="W26" s="273">
        <v>29.118488887898375660534413200</v>
      </c>
      <c r="X26" s="274">
        <v>32.395147065897485691791041390</v>
      </c>
      <c r="Y26" s="275">
        <v>-5.0652365046894581413602288100</v>
      </c>
      <c r="Z26" s="273">
        <v>5.6316069203151856356475321800</v>
      </c>
      <c r="AA26" s="274">
        <v>20.990996016639657889274183110</v>
      </c>
      <c r="AB26" s="275">
        <v>6.5337509038512344551282297300</v>
      </c>
      <c r="AC26" s="453"/>
      <c r="AD26" s="273" t="s">
        <v>231</v>
      </c>
      <c r="AE26" s="274" t="s">
        <v>231</v>
      </c>
      <c r="AF26" s="274" t="s">
        <v>232</v>
      </c>
      <c r="AG26" s="275" t="s">
        <v>231</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2023</v>
      </c>
      <c r="C29" s="285"/>
      <c r="D29" s="454">
        <v>276.48390151515151515151515152</v>
      </c>
      <c r="E29" s="455">
        <v>292.15087723387723387723387723</v>
      </c>
      <c r="F29" s="436">
        <v>223.73750036218642833709228323</v>
      </c>
      <c r="G29" s="454">
        <v>60.360921717171717171717171717</v>
      </c>
      <c r="H29" s="455">
        <v>82.55740731055113331855838068</v>
      </c>
      <c r="I29" s="436">
        <v>63.732324658060018090489749815</v>
      </c>
      <c r="J29" s="454">
        <v>23.223358585858585858585858586</v>
      </c>
      <c r="K29" s="455">
        <v>21.454210683554452013717341733</v>
      </c>
      <c r="L29" s="436">
        <v>24.682177906242948823410418194</v>
      </c>
      <c r="M29" s="454">
        <v>360.06818181818181818181818182</v>
      </c>
      <c r="N29" s="455">
        <v>396.16249522798281920950959963</v>
      </c>
      <c r="O29" s="436">
        <v>312.15200292648939525099245124</v>
      </c>
      <c r="P29" s="5"/>
      <c r="Q29" s="427">
        <v>-10.265367921826321658764248570</v>
      </c>
      <c r="R29" s="428">
        <v>1.5466895317328701404730193400</v>
      </c>
      <c r="S29" s="417">
        <v>0.7087603838426544995624151400</v>
      </c>
      <c r="T29" s="427">
        <v>-8.213590406266615671658935300</v>
      </c>
      <c r="U29" s="428">
        <v>18.758725367791245116967884130</v>
      </c>
      <c r="V29" s="417">
        <v>31.553366406556660197708123430</v>
      </c>
      <c r="W29" s="427">
        <v>9.081581819039280657502536450</v>
      </c>
      <c r="X29" s="428">
        <v>11.008656622813933440522050170</v>
      </c>
      <c r="Y29" s="417">
        <v>15.935644572043377683241067960</v>
      </c>
      <c r="Z29" s="427">
        <v>-8.881580786694060068092355270</v>
      </c>
      <c r="AA29" s="428">
        <v>5.2099888765081972251870281300</v>
      </c>
      <c r="AB29" s="417">
        <v>6.9385672111174091183673538200</v>
      </c>
      <c r="AC29" s="5"/>
      <c r="AD29" s="427" t="s">
        <v>221</v>
      </c>
      <c r="AE29" s="428" t="s">
        <v>231</v>
      </c>
      <c r="AF29" s="428" t="s">
        <v>231</v>
      </c>
      <c r="AG29" s="429" t="s">
        <v>231</v>
      </c>
    </row>
    <row r="30" ht="20.1" customHeight="1">
      <c r="A30" s="58"/>
      <c r="B30" s="286">
        <v>2024</v>
      </c>
      <c r="C30" s="287"/>
      <c r="D30" s="276">
        <v>277.86013022789882294014525419</v>
      </c>
      <c r="E30" s="94">
        <v>290.01507078978407828308870326</v>
      </c>
      <c r="F30" s="277">
        <v>229.94795117102900657990513865</v>
      </c>
      <c r="G30" s="276">
        <v>3.4939268720260455797645880291</v>
      </c>
      <c r="H30" s="94">
        <v>71.104605930924746029435163087</v>
      </c>
      <c r="I30" s="277">
        <v>62.053479177728663308941398181</v>
      </c>
      <c r="J30" s="276">
        <v>25.671863260706235912847483095</v>
      </c>
      <c r="K30" s="94">
        <v>22.832137272652454689339697693</v>
      </c>
      <c r="L30" s="277">
        <v>25.273493575255966707508220957</v>
      </c>
      <c r="M30" s="276">
        <v>307.02592036063110443275732532</v>
      </c>
      <c r="N30" s="94">
        <v>383.95181399336127900186356404</v>
      </c>
      <c r="O30" s="277">
        <v>317.27492392401363659635475779</v>
      </c>
      <c r="P30" s="5"/>
      <c r="Q30" s="271">
        <v>0.4977608841443389736582238800</v>
      </c>
      <c r="R30" s="92">
        <v>-0.7310628208061021083451424700</v>
      </c>
      <c r="S30" s="272">
        <v>2.7757755399855400074093581700</v>
      </c>
      <c r="T30" s="271">
        <v>-94.21160782070953345809060470</v>
      </c>
      <c r="U30" s="92">
        <v>-13.872530343143135206223542080</v>
      </c>
      <c r="V30" s="272">
        <v>-2.6342134691896342118665232900</v>
      </c>
      <c r="W30" s="271">
        <v>10.543284106601355119574625900</v>
      </c>
      <c r="X30" s="92">
        <v>6.4226394033958450473156594900</v>
      </c>
      <c r="Y30" s="272">
        <v>2.395719175605780390314189300</v>
      </c>
      <c r="Z30" s="271">
        <v>-14.731171521384293098444149540</v>
      </c>
      <c r="AA30" s="92">
        <v>-3.0822405911016923624798398400</v>
      </c>
      <c r="AB30" s="272">
        <v>1.6411623021749089620460695500</v>
      </c>
      <c r="AC30" s="5"/>
      <c r="AD30" s="271" t="s">
        <v>221</v>
      </c>
      <c r="AE30" s="92" t="s">
        <v>220</v>
      </c>
      <c r="AF30" s="92" t="s">
        <v>220</v>
      </c>
      <c r="AG30" s="272" t="s">
        <v>221</v>
      </c>
    </row>
    <row r="31" ht="20.1" customHeight="1">
      <c r="A31" s="58"/>
      <c r="B31" s="425">
        <v>2025</v>
      </c>
      <c r="C31" s="426"/>
      <c r="D31" s="457">
        <v>271.56041666666666666666666667</v>
      </c>
      <c r="E31" s="458">
        <v>329.40906928294573643410852713</v>
      </c>
      <c r="F31" s="499">
        <v>238.03205920436973069921415271</v>
      </c>
      <c r="G31" s="457">
        <v>1.4486742424242424242424242424</v>
      </c>
      <c r="H31" s="458">
        <v>93.90574232247961126245654117</v>
      </c>
      <c r="I31" s="499">
        <v>70.060303200024541848354468393</v>
      </c>
      <c r="J31" s="457">
        <v>29.25959595959595959595959596</v>
      </c>
      <c r="K31" s="458">
        <v>32.052287257933313141436409763</v>
      </c>
      <c r="L31" s="499">
        <v>21.863291286413645880913892769</v>
      </c>
      <c r="M31" s="457">
        <v>302.26868686868686868686868687</v>
      </c>
      <c r="N31" s="458">
        <v>455.36709886335866083800147808</v>
      </c>
      <c r="O31" s="499">
        <v>329.95565369080791842848251387</v>
      </c>
      <c r="P31" s="453"/>
      <c r="Q31" s="430">
        <v>-2.2672247206054097056218913500</v>
      </c>
      <c r="R31" s="431">
        <v>13.583431504391752612173727730</v>
      </c>
      <c r="S31" s="500">
        <v>3.5156251630865854813970886600</v>
      </c>
      <c r="T31" s="430">
        <v>-58.537362243217481277541053170</v>
      </c>
      <c r="U31" s="431">
        <v>32.067031513736156611919381690</v>
      </c>
      <c r="V31" s="500">
        <v>12.903102498726507675931375670</v>
      </c>
      <c r="W31" s="430">
        <v>13.975349831300605592040270630</v>
      </c>
      <c r="X31" s="431">
        <v>40.382334229646080422483223760</v>
      </c>
      <c r="Y31" s="500">
        <v>-13.493197047436187412581715740</v>
      </c>
      <c r="Z31" s="430">
        <v>-1.549456634256088440351830300</v>
      </c>
      <c r="AA31" s="431">
        <v>18.600064452667559240097127650</v>
      </c>
      <c r="AB31" s="500">
        <v>3.9967639452796650979246816700</v>
      </c>
      <c r="AC31" s="453"/>
      <c r="AD31" s="430" t="s">
        <v>231</v>
      </c>
      <c r="AE31" s="431" t="s">
        <v>295</v>
      </c>
      <c r="AF31" s="431" t="s">
        <v>296</v>
      </c>
      <c r="AG31" s="432" t="s">
        <v>295</v>
      </c>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2023</v>
      </c>
      <c r="C34" s="285"/>
      <c r="D34" s="454">
        <v>280.31418113721484508001361934</v>
      </c>
      <c r="E34" s="455">
        <v>302.85926036510306173227521542</v>
      </c>
      <c r="F34" s="436">
        <v>230.14113667953278718478949842</v>
      </c>
      <c r="G34" s="454">
        <v>58.262597889002383384405856316</v>
      </c>
      <c r="H34" s="455">
        <v>78.801067218521290640760773867</v>
      </c>
      <c r="I34" s="436">
        <v>65.874545542475307996901011547</v>
      </c>
      <c r="J34" s="454">
        <v>22.447735784814436499829758257</v>
      </c>
      <c r="K34" s="455">
        <v>23.177088149424244893211111409</v>
      </c>
      <c r="L34" s="436">
        <v>25.872662027942256702059987111</v>
      </c>
      <c r="M34" s="454">
        <v>361.02451481103166496424923391</v>
      </c>
      <c r="N34" s="455">
        <v>404.8374157330485972662471007</v>
      </c>
      <c r="O34" s="436">
        <v>321.88834424995035188375049708</v>
      </c>
      <c r="P34" s="5"/>
      <c r="Q34" s="427">
        <v>-14.585950271961154067583039040</v>
      </c>
      <c r="R34" s="428">
        <v>-5.3071557055155900540675215400</v>
      </c>
      <c r="S34" s="417">
        <v>-5.2103553889685020121976744100</v>
      </c>
      <c r="T34" s="427">
        <v>-20.435560928560709155155011500</v>
      </c>
      <c r="U34" s="428">
        <v>10.101243307483822641740639580</v>
      </c>
      <c r="V34" s="417">
        <v>23.215084728399870099112510500</v>
      </c>
      <c r="W34" s="427">
        <v>4.2252741825648958971997473600</v>
      </c>
      <c r="X34" s="428">
        <v>22.159341595480469292967562820</v>
      </c>
      <c r="Y34" s="417">
        <v>19.767769547588222357714292750</v>
      </c>
      <c r="Z34" s="427">
        <v>-14.640799583635124621173783470</v>
      </c>
      <c r="AA34" s="428">
        <v>-1.3500224127930950173513809500</v>
      </c>
      <c r="AB34" s="417">
        <v>1.2683385014950036719574959200</v>
      </c>
      <c r="AC34" s="5"/>
      <c r="AD34" s="427" t="s">
        <v>221</v>
      </c>
      <c r="AE34" s="428" t="s">
        <v>231</v>
      </c>
      <c r="AF34" s="428" t="s">
        <v>232</v>
      </c>
      <c r="AG34" s="429" t="s">
        <v>231</v>
      </c>
    </row>
    <row r="35" ht="20.1" customHeight="1">
      <c r="A35" s="58"/>
      <c r="B35" s="286">
        <v>2024</v>
      </c>
      <c r="C35" s="287"/>
      <c r="D35" s="276">
        <v>285.11978114478114478114478114</v>
      </c>
      <c r="E35" s="94">
        <v>295.62311601486534166618487034</v>
      </c>
      <c r="F35" s="277">
        <v>236.01209985549708640115312601</v>
      </c>
      <c r="G35" s="276">
        <v>1.5968013468013468013468013468</v>
      </c>
      <c r="H35" s="94">
        <v>68.561867104848253743798771822</v>
      </c>
      <c r="I35" s="277">
        <v>61.82134717222334302706228574</v>
      </c>
      <c r="J35" s="276">
        <v>26.994612794612794612794612795</v>
      </c>
      <c r="K35" s="94">
        <v>22.798231800406677798396395913</v>
      </c>
      <c r="L35" s="277">
        <v>26.476700649105327002823466712</v>
      </c>
      <c r="M35" s="276">
        <v>313.71119528619528619528619529</v>
      </c>
      <c r="N35" s="94">
        <v>386.98321492012027320838003808</v>
      </c>
      <c r="O35" s="277">
        <v>324.31014767682575643103887845</v>
      </c>
      <c r="P35" s="5"/>
      <c r="Q35" s="271">
        <v>1.7143620733297970453147711400</v>
      </c>
      <c r="R35" s="92">
        <v>-2.3892762405585389000606764100</v>
      </c>
      <c r="S35" s="272">
        <v>2.5510272786099639496862572900</v>
      </c>
      <c r="T35" s="271">
        <v>-97.25930287241306916494129806</v>
      </c>
      <c r="U35" s="92">
        <v>-12.993732794583149616536342420</v>
      </c>
      <c r="V35" s="272">
        <v>-6.1529052487529834148422265900</v>
      </c>
      <c r="W35" s="271">
        <v>20.255392585703963451946967590</v>
      </c>
      <c r="X35" s="92">
        <v>-1.6346158177904237573965762800</v>
      </c>
      <c r="Y35" s="272">
        <v>2.3346597290760298975468947500</v>
      </c>
      <c r="Z35" s="271">
        <v>-13.105292738797451768903003320</v>
      </c>
      <c r="AA35" s="92">
        <v>-4.4102150935216425478130083500</v>
      </c>
      <c r="AB35" s="272">
        <v>0.7523737563311152516324388300</v>
      </c>
      <c r="AC35" s="5"/>
      <c r="AD35" s="271" t="s">
        <v>221</v>
      </c>
      <c r="AE35" s="92" t="s">
        <v>220</v>
      </c>
      <c r="AF35" s="92" t="s">
        <v>220</v>
      </c>
      <c r="AG35" s="272" t="s">
        <v>221</v>
      </c>
    </row>
    <row r="36" ht="20.1" customHeight="1">
      <c r="A36" s="58"/>
      <c r="B36" s="425">
        <v>2025</v>
      </c>
      <c r="C36" s="426"/>
      <c r="D36" s="457">
        <v>277.5619679945522642151855635</v>
      </c>
      <c r="E36" s="458">
        <v>342.2210830938071596550823099</v>
      </c>
      <c r="F36" s="499">
        <v>244.23833820862991875286050565</v>
      </c>
      <c r="G36" s="457">
        <v>1.37512768130745658835546476</v>
      </c>
      <c r="H36" s="458">
        <v>92.65521107436455411925425596</v>
      </c>
      <c r="I36" s="499">
        <v>71.127799734054875536702435129</v>
      </c>
      <c r="J36" s="457">
        <v>30.134150493701055498808307797</v>
      </c>
      <c r="K36" s="458">
        <v>33.972313447337912232271837128</v>
      </c>
      <c r="L36" s="499">
        <v>23.13437877508569755674137224</v>
      </c>
      <c r="M36" s="457">
        <v>309.07124616956077630234933606</v>
      </c>
      <c r="N36" s="458">
        <v>468.84860761550962600660840299</v>
      </c>
      <c r="O36" s="499">
        <v>338.50051671777049184630431302</v>
      </c>
      <c r="P36" s="453"/>
      <c r="Q36" s="430">
        <v>-2.6507501934456976538941246900</v>
      </c>
      <c r="R36" s="431">
        <v>15.762626315243402120864947170</v>
      </c>
      <c r="S36" s="500">
        <v>3.4855155130463601947580213600</v>
      </c>
      <c r="T36" s="430">
        <v>-13.882357122053963666191920320</v>
      </c>
      <c r="U36" s="431">
        <v>35.141026618684053955055464600</v>
      </c>
      <c r="V36" s="500">
        <v>15.053784796912073294714599010</v>
      </c>
      <c r="W36" s="430">
        <v>11.630237940397827627258244980</v>
      </c>
      <c r="X36" s="431">
        <v>49.012931111358647155374578390</v>
      </c>
      <c r="Y36" s="500">
        <v>-12.623634335375224149301264160</v>
      </c>
      <c r="Z36" s="430">
        <v>-1.4790511739328203565878266100</v>
      </c>
      <c r="AA36" s="431">
        <v>21.154765772544497533018701220</v>
      </c>
      <c r="AB36" s="500">
        <v>4.3755550489626632850698340600</v>
      </c>
      <c r="AC36" s="453"/>
      <c r="AD36" s="430" t="s">
        <v>231</v>
      </c>
      <c r="AE36" s="431" t="s">
        <v>231</v>
      </c>
      <c r="AF36" s="431" t="s">
        <v>232</v>
      </c>
      <c r="AG36" s="432" t="s">
        <v>231</v>
      </c>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2023</v>
      </c>
      <c r="C39" s="285"/>
      <c r="D39" s="454">
        <v>223.94186384391863843918638439</v>
      </c>
      <c r="E39" s="455">
        <v>217.75860489760058837957349722</v>
      </c>
      <c r="F39" s="436">
        <v>174.39465118522254831909927633</v>
      </c>
      <c r="G39" s="454">
        <v>49.291843088418430884184308842</v>
      </c>
      <c r="H39" s="455">
        <v>63.735920265917410897033309337</v>
      </c>
      <c r="I39" s="436">
        <v>100.33187384233519460402239486</v>
      </c>
      <c r="J39" s="454">
        <v>21.012972187629721876297218763</v>
      </c>
      <c r="K39" s="455">
        <v>17.780590732586158657790043988</v>
      </c>
      <c r="L39" s="436">
        <v>22.041124989430152475284134037</v>
      </c>
      <c r="M39" s="454">
        <v>294.246679119966791199667912</v>
      </c>
      <c r="N39" s="455">
        <v>299.27511589610415793439685054</v>
      </c>
      <c r="O39" s="436">
        <v>296.7676500169878953984058052</v>
      </c>
      <c r="P39" s="5"/>
      <c r="Q39" s="427">
        <v>-4.2891886936373646007539174600</v>
      </c>
      <c r="R39" s="428">
        <v>-0.4502922684594881356795556900</v>
      </c>
      <c r="S39" s="417">
        <v>5.3723092719634569159573096900</v>
      </c>
      <c r="T39" s="427">
        <v>10.697349003542841389473482840</v>
      </c>
      <c r="U39" s="428">
        <v>2.6197449022306871020756921200</v>
      </c>
      <c r="V39" s="417">
        <v>180.84562853533745351235620183</v>
      </c>
      <c r="W39" s="427">
        <v>5.3247844931063278651475548400</v>
      </c>
      <c r="X39" s="428">
        <v>-9.953803974291226029143603240</v>
      </c>
      <c r="Y39" s="417">
        <v>23.280588494167603656055037800</v>
      </c>
      <c r="Z39" s="427">
        <v>-1.4106050601496472315703957800</v>
      </c>
      <c r="AA39" s="428">
        <v>-0.4402478406561403230818880600</v>
      </c>
      <c r="AB39" s="417">
        <v>35.444135872075164744958184400</v>
      </c>
      <c r="AC39" s="5"/>
      <c r="AD39" s="427" t="s">
        <v>221</v>
      </c>
      <c r="AE39" s="428" t="s">
        <v>295</v>
      </c>
      <c r="AF39" s="428" t="s">
        <v>295</v>
      </c>
      <c r="AG39" s="429" t="s">
        <v>295</v>
      </c>
    </row>
    <row r="40" ht="20.1" customHeight="1">
      <c r="A40" s="58"/>
      <c r="B40" s="286">
        <v>2024</v>
      </c>
      <c r="C40" s="287"/>
      <c r="D40" s="276">
        <v>204.22404371584699453551912568</v>
      </c>
      <c r="E40" s="94">
        <v>211.81439179625287659622275558</v>
      </c>
      <c r="F40" s="277">
        <v>171.31383848428021328991010591</v>
      </c>
      <c r="G40" s="276">
        <v>25.070914058618976651763537009</v>
      </c>
      <c r="H40" s="94">
        <v>51.910003308041844340782189342</v>
      </c>
      <c r="I40" s="277">
        <v>51.724991915108175270475335794</v>
      </c>
      <c r="J40" s="276">
        <v>21.99962742175856929955290611</v>
      </c>
      <c r="K40" s="94">
        <v>22.638653259472282546464686631</v>
      </c>
      <c r="L40" s="277">
        <v>23.370236178727119526175264884</v>
      </c>
      <c r="M40" s="276">
        <v>251.2945851962245404868355688</v>
      </c>
      <c r="N40" s="94">
        <v>286.36304836376700348346963155</v>
      </c>
      <c r="O40" s="277">
        <v>246.4090665781155080865607066</v>
      </c>
      <c r="P40" s="5"/>
      <c r="Q40" s="271">
        <v>-8.804883459305951184034738640</v>
      </c>
      <c r="R40" s="92">
        <v>-2.72972592938054629596057700</v>
      </c>
      <c r="S40" s="272">
        <v>-1.7665752246312241503742376600</v>
      </c>
      <c r="T40" s="271">
        <v>-49.137803563853769877887768200</v>
      </c>
      <c r="U40" s="92">
        <v>-18.554555905871589373002310970</v>
      </c>
      <c r="V40" s="272">
        <v>-48.446101987082716668039219910</v>
      </c>
      <c r="W40" s="271">
        <v>4.6954577646126903568876358900</v>
      </c>
      <c r="X40" s="92">
        <v>27.322278544802337420989757280</v>
      </c>
      <c r="Y40" s="272">
        <v>6.0301422453087789492505280600</v>
      </c>
      <c r="Z40" s="271">
        <v>-14.597307963587480270885047060</v>
      </c>
      <c r="AA40" s="92">
        <v>-4.3144474252966983701423535800</v>
      </c>
      <c r="AB40" s="272">
        <v>-16.969027262910818372132021220</v>
      </c>
      <c r="AC40" s="5"/>
      <c r="AD40" s="271" t="s">
        <v>221</v>
      </c>
      <c r="AE40" s="92" t="s">
        <v>231</v>
      </c>
      <c r="AF40" s="92" t="s">
        <v>231</v>
      </c>
      <c r="AG40" s="272" t="s">
        <v>231</v>
      </c>
    </row>
    <row r="41" ht="20.1" customHeight="1">
      <c r="A41" s="58"/>
      <c r="B41" s="425">
        <v>2025</v>
      </c>
      <c r="C41" s="426"/>
      <c r="D41" s="457">
        <v>194.27029887920298879202988792</v>
      </c>
      <c r="E41" s="458">
        <v>232.60104515775892403331117801</v>
      </c>
      <c r="F41" s="499">
        <v>175.67587157316607426835946419</v>
      </c>
      <c r="G41" s="457">
        <v>1.3348069738480697384806973848</v>
      </c>
      <c r="H41" s="458">
        <v>65.267885869658414371904396145</v>
      </c>
      <c r="I41" s="499">
        <v>53.928230543044360520658989474</v>
      </c>
      <c r="J41" s="457">
        <v>26.976317974263179742631797426</v>
      </c>
      <c r="K41" s="458">
        <v>24.642989089784514186242346643</v>
      </c>
      <c r="L41" s="499">
        <v>22.667786076080633310625113174</v>
      </c>
      <c r="M41" s="457">
        <v>222.58142382731423827314238273</v>
      </c>
      <c r="N41" s="458">
        <v>322.5119201172018525914579208</v>
      </c>
      <c r="O41" s="499">
        <v>252.27188819229106809964356684</v>
      </c>
      <c r="P41" s="453"/>
      <c r="Q41" s="430">
        <v>-4.8739338696322805484475928800</v>
      </c>
      <c r="R41" s="431">
        <v>9.813617094276229376496691150</v>
      </c>
      <c r="S41" s="500">
        <v>2.5462234268166440893621546600</v>
      </c>
      <c r="T41" s="430">
        <v>-94.67587431902908649668000907</v>
      </c>
      <c r="U41" s="431">
        <v>25.732771547713988775815155930</v>
      </c>
      <c r="V41" s="500">
        <v>4.2595243544178734673555175200</v>
      </c>
      <c r="W41" s="430">
        <v>22.621703800000032337964916520</v>
      </c>
      <c r="X41" s="431">
        <v>8.853600111762046514957563670</v>
      </c>
      <c r="Y41" s="500">
        <v>-3.0057466995544988817014827100</v>
      </c>
      <c r="Z41" s="430">
        <v>-11.426096326933491516903998120</v>
      </c>
      <c r="AA41" s="431">
        <v>12.623441453059883824545010240</v>
      </c>
      <c r="AB41" s="500">
        <v>2.3793043395717873921810425300</v>
      </c>
      <c r="AC41" s="453"/>
      <c r="AD41" s="430" t="s">
        <v>221</v>
      </c>
      <c r="AE41" s="431" t="s">
        <v>232</v>
      </c>
      <c r="AF41" s="431" t="s">
        <v>232</v>
      </c>
      <c r="AG41" s="432" t="s">
        <v>231</v>
      </c>
    </row>
    <row r="42" ht="12.75" customHeight="1"/>
    <row r="43" ht="20.1" customHeight="1">
      <c r="B43" s="7" t="s">
        <v>104</v>
      </c>
    </row>
    <row r="44" ht="14.1" customHeight="1">
      <c r="B44" s="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
      <c r="E1" s="6"/>
      <c r="AS1" s="236"/>
    </row>
    <row r="2" ht="15" customHeight="1">
      <c r="B2" s="0"/>
      <c r="C2" s="4" t="s">
        <v>208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209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241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987" t="s">
        <v>243</v>
      </c>
      <c r="I6" s="987"/>
      <c r="J6" s="987"/>
      <c r="K6" s="987"/>
      <c r="L6" s="987"/>
      <c r="M6" s="987"/>
      <c r="N6" s="987"/>
      <c r="O6" s="987"/>
      <c r="P6" s="987"/>
      <c r="Q6" s="987"/>
      <c r="R6" s="987"/>
      <c r="S6" s="987"/>
      <c r="T6" s="987"/>
      <c r="U6" s="987"/>
      <c r="Z6" s="987" t="s">
        <v>244</v>
      </c>
      <c r="AA6" s="987"/>
      <c r="AB6" s="987"/>
      <c r="AC6" s="987"/>
      <c r="AD6" s="987"/>
      <c r="AE6" s="987"/>
      <c r="AF6" s="987"/>
      <c r="AG6" s="987"/>
      <c r="AH6" s="987"/>
      <c r="AI6" s="987"/>
      <c r="AJ6" s="987"/>
      <c r="AK6" s="987"/>
      <c r="AL6" s="987"/>
      <c r="AM6" s="987"/>
    </row>
    <row r="7" ht="15" customHeight="1">
      <c r="D7" s="93" t="s">
        <v>246</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248</v>
      </c>
      <c r="E8" s="71"/>
      <c r="F8" s="71"/>
      <c r="G8" s="71"/>
      <c r="H8" s="910"/>
      <c r="I8" s="910"/>
      <c r="J8" s="906"/>
      <c r="K8" s="906"/>
      <c r="L8" s="906">
        <v>1</v>
      </c>
      <c r="M8" s="906"/>
      <c r="N8" s="906">
        <v>2</v>
      </c>
      <c r="O8" s="906"/>
      <c r="P8" s="906">
        <v>3</v>
      </c>
      <c r="Q8" s="906"/>
      <c r="R8" s="906">
        <v>4</v>
      </c>
      <c r="S8" s="906"/>
      <c r="T8" s="906">
        <v>5</v>
      </c>
      <c r="U8" s="907"/>
      <c r="Z8" s="910"/>
      <c r="AA8" s="910"/>
      <c r="AB8" s="906">
        <v>1</v>
      </c>
      <c r="AC8" s="906"/>
      <c r="AD8" s="906">
        <v>2</v>
      </c>
      <c r="AE8" s="906"/>
      <c r="AF8" s="906">
        <v>3</v>
      </c>
      <c r="AG8" s="906"/>
      <c r="AH8" s="906">
        <v>4</v>
      </c>
      <c r="AI8" s="906"/>
      <c r="AJ8" s="906">
        <v>5</v>
      </c>
      <c r="AK8" s="906"/>
      <c r="AL8" s="906">
        <v>6</v>
      </c>
      <c r="AM8" s="907"/>
    </row>
    <row r="9" ht="15" customHeight="1">
      <c r="D9" s="175" t="s">
        <v>250</v>
      </c>
      <c r="H9" s="905">
        <v>6</v>
      </c>
      <c r="I9" s="905"/>
      <c r="J9" s="898">
        <v>7</v>
      </c>
      <c r="K9" s="898"/>
      <c r="L9" s="898">
        <v>8</v>
      </c>
      <c r="M9" s="898"/>
      <c r="N9" s="898">
        <v>9</v>
      </c>
      <c r="O9" s="898"/>
      <c r="P9" s="898">
        <v>10</v>
      </c>
      <c r="Q9" s="898"/>
      <c r="R9" s="898">
        <v>11</v>
      </c>
      <c r="S9" s="898"/>
      <c r="T9" s="898">
        <v>12</v>
      </c>
      <c r="U9" s="902"/>
      <c r="Z9" s="905">
        <v>7</v>
      </c>
      <c r="AA9" s="905"/>
      <c r="AB9" s="898">
        <v>8</v>
      </c>
      <c r="AC9" s="898"/>
      <c r="AD9" s="898">
        <v>9</v>
      </c>
      <c r="AE9" s="898"/>
      <c r="AF9" s="898">
        <v>10</v>
      </c>
      <c r="AG9" s="898"/>
      <c r="AH9" s="898">
        <v>11</v>
      </c>
      <c r="AI9" s="898"/>
      <c r="AJ9" s="898">
        <v>12</v>
      </c>
      <c r="AK9" s="898"/>
      <c r="AL9" s="898">
        <v>13</v>
      </c>
      <c r="AM9" s="902"/>
    </row>
    <row r="10" ht="15" customHeight="1">
      <c r="H10" s="899">
        <v>13</v>
      </c>
      <c r="I10" s="899"/>
      <c r="J10" s="900">
        <v>14</v>
      </c>
      <c r="K10" s="900"/>
      <c r="L10" s="900">
        <v>15</v>
      </c>
      <c r="M10" s="900"/>
      <c r="N10" s="900">
        <v>16</v>
      </c>
      <c r="O10" s="900"/>
      <c r="P10" s="900">
        <v>17</v>
      </c>
      <c r="Q10" s="900"/>
      <c r="R10" s="900">
        <v>18</v>
      </c>
      <c r="S10" s="900"/>
      <c r="T10" s="900">
        <v>19</v>
      </c>
      <c r="U10" s="903"/>
      <c r="Z10" s="899">
        <v>14</v>
      </c>
      <c r="AA10" s="899"/>
      <c r="AB10" s="900">
        <v>15</v>
      </c>
      <c r="AC10" s="900"/>
      <c r="AD10" s="900">
        <v>16</v>
      </c>
      <c r="AE10" s="900"/>
      <c r="AF10" s="900">
        <v>17</v>
      </c>
      <c r="AG10" s="900"/>
      <c r="AH10" s="900">
        <v>18</v>
      </c>
      <c r="AI10" s="900"/>
      <c r="AJ10" s="900">
        <v>19</v>
      </c>
      <c r="AK10" s="900"/>
      <c r="AL10" s="900">
        <v>20</v>
      </c>
      <c r="AM10" s="903"/>
    </row>
    <row r="11" ht="15" customHeight="1">
      <c r="H11" s="905">
        <v>20</v>
      </c>
      <c r="I11" s="905"/>
      <c r="J11" s="898">
        <v>21</v>
      </c>
      <c r="K11" s="898"/>
      <c r="L11" s="898">
        <v>22</v>
      </c>
      <c r="M11" s="898"/>
      <c r="N11" s="898">
        <v>23</v>
      </c>
      <c r="O11" s="898"/>
      <c r="P11" s="898">
        <v>24</v>
      </c>
      <c r="Q11" s="898"/>
      <c r="R11" s="898">
        <v>25</v>
      </c>
      <c r="S11" s="898"/>
      <c r="T11" s="898">
        <v>26</v>
      </c>
      <c r="U11" s="902"/>
      <c r="Z11" s="905">
        <v>21</v>
      </c>
      <c r="AA11" s="905"/>
      <c r="AB11" s="898">
        <v>22</v>
      </c>
      <c r="AC11" s="898"/>
      <c r="AD11" s="898">
        <v>23</v>
      </c>
      <c r="AE11" s="898"/>
      <c r="AF11" s="898">
        <v>24</v>
      </c>
      <c r="AG11" s="898"/>
      <c r="AH11" s="898">
        <v>25</v>
      </c>
      <c r="AI11" s="898"/>
      <c r="AJ11" s="898">
        <v>26</v>
      </c>
      <c r="AK11" s="898"/>
      <c r="AL11" s="898">
        <v>27</v>
      </c>
      <c r="AM11" s="902"/>
      <c r="AN11" t="s">
        <v>27</v>
      </c>
    </row>
    <row r="12" ht="15" customHeight="1">
      <c r="A12" s="68"/>
      <c r="H12" s="899">
        <v>27</v>
      </c>
      <c r="I12" s="899"/>
      <c r="J12" s="900">
        <v>28</v>
      </c>
      <c r="K12" s="900"/>
      <c r="L12" s="900">
        <v>29</v>
      </c>
      <c r="M12" s="900"/>
      <c r="N12" s="900">
        <v>30</v>
      </c>
      <c r="O12" s="900"/>
      <c r="P12" s="900"/>
      <c r="Q12" s="900"/>
      <c r="R12" s="900"/>
      <c r="S12" s="900"/>
      <c r="T12" s="900"/>
      <c r="U12" s="903"/>
      <c r="Z12" s="899">
        <v>28</v>
      </c>
      <c r="AA12" s="899"/>
      <c r="AB12" s="900">
        <v>29</v>
      </c>
      <c r="AC12" s="900"/>
      <c r="AD12" s="900">
        <v>30</v>
      </c>
      <c r="AE12" s="900"/>
      <c r="AF12" s="900"/>
      <c r="AG12" s="900"/>
      <c r="AH12" s="900"/>
      <c r="AI12" s="900"/>
      <c r="AJ12" s="900"/>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252</v>
      </c>
      <c r="F15" s="64"/>
      <c r="P15" s="234"/>
      <c r="Q15" s="234"/>
      <c r="R15" s="234"/>
      <c r="S15" s="234"/>
      <c r="T15" s="234"/>
      <c r="U15" s="234"/>
      <c r="V15" s="234"/>
      <c r="W15" s="0"/>
      <c r="X15" s="234"/>
      <c r="Y15" s="234"/>
      <c r="Z15" s="234"/>
      <c r="AA15" s="234"/>
      <c r="AB15" s="234"/>
      <c r="AC15" s="234"/>
      <c r="AD15" s="234"/>
      <c r="AE15" s="0"/>
      <c r="AF15" s="234"/>
      <c r="AG15" s="234"/>
      <c r="AH15" s="234"/>
      <c r="AI15" s="234"/>
      <c r="AJ15" s="234"/>
      <c r="AK15" s="234"/>
      <c r="AL15" s="23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3"/>
      <c r="Y21" s="993"/>
      <c r="Z21" s="995">
        <v>2024</v>
      </c>
      <c r="AA21" s="995"/>
      <c r="AB21" s="995"/>
      <c r="AC21" s="995"/>
      <c r="AD21" s="995"/>
      <c r="AE21" s="995"/>
      <c r="AF21" s="995"/>
      <c r="AG21" s="995"/>
      <c r="AH21" s="995"/>
      <c r="AI21" s="995"/>
      <c r="AJ21" s="995"/>
      <c r="AK21" s="995"/>
      <c r="AL21" s="995">
        <v>2025</v>
      </c>
      <c r="AM21" s="995"/>
      <c r="AN21" s="995"/>
      <c r="AO21" s="995"/>
    </row>
    <row r="22" s="5" customFormat="1" ht="30" customHeight="1">
      <c r="B22" s="76"/>
      <c r="C22" s="77" t="s">
        <v>71</v>
      </c>
      <c r="D22" s="77" t="s">
        <v>21</v>
      </c>
      <c r="E22" s="177" t="s">
        <v>242</v>
      </c>
      <c r="F22" s="10" t="s">
        <v>60</v>
      </c>
      <c r="G22" s="10" t="s">
        <v>61</v>
      </c>
      <c r="H22" s="914" t="s">
        <v>34</v>
      </c>
      <c r="I22" s="914"/>
      <c r="J22" s="914"/>
      <c r="K22" s="914"/>
      <c r="L22" s="914" t="s">
        <v>62</v>
      </c>
      <c r="M22" s="914"/>
      <c r="N22" s="914"/>
      <c r="O22" s="914"/>
      <c r="R22" s="617" t="s">
        <v>229</v>
      </c>
      <c r="S22" s="618" t="s">
        <v>230</v>
      </c>
      <c r="T22" s="618" t="s">
        <v>233</v>
      </c>
      <c r="U22" s="618" t="s">
        <v>234</v>
      </c>
      <c r="V22" s="618" t="s">
        <v>235</v>
      </c>
      <c r="W22" s="618" t="s">
        <v>236</v>
      </c>
      <c r="X22" s="618" t="s">
        <v>218</v>
      </c>
      <c r="Y22" s="1015" t="s">
        <v>222</v>
      </c>
      <c r="Z22" s="618" t="s">
        <v>224</v>
      </c>
      <c r="AA22" s="618" t="s">
        <v>225</v>
      </c>
      <c r="AB22" s="618" t="s">
        <v>226</v>
      </c>
      <c r="AC22" s="618" t="s">
        <v>228</v>
      </c>
      <c r="AD22" s="618" t="s">
        <v>229</v>
      </c>
      <c r="AE22" s="618" t="s">
        <v>230</v>
      </c>
      <c r="AF22" s="618" t="s">
        <v>233</v>
      </c>
      <c r="AG22" s="618" t="s">
        <v>234</v>
      </c>
      <c r="AH22" s="618" t="s">
        <v>235</v>
      </c>
      <c r="AI22" s="618" t="s">
        <v>236</v>
      </c>
      <c r="AJ22" s="618" t="s">
        <v>218</v>
      </c>
      <c r="AK22" s="1015" t="s">
        <v>222</v>
      </c>
      <c r="AL22" s="618" t="s">
        <v>224</v>
      </c>
      <c r="AM22" s="618" t="s">
        <v>225</v>
      </c>
      <c r="AN22" s="618" t="s">
        <v>226</v>
      </c>
      <c r="AO22" s="1015" t="s">
        <v>228</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18" t="s">
        <v>258</v>
      </c>
      <c r="S23" s="1019" t="s">
        <v>258</v>
      </c>
      <c r="T23" s="1019" t="s">
        <v>258</v>
      </c>
      <c r="U23" s="1019" t="s">
        <v>258</v>
      </c>
      <c r="V23" s="1019" t="s">
        <v>258</v>
      </c>
      <c r="W23" s="1019" t="s">
        <v>258</v>
      </c>
      <c r="X23" s="1019" t="s">
        <v>258</v>
      </c>
      <c r="Y23" s="1019" t="s">
        <v>258</v>
      </c>
      <c r="Z23" s="1019" t="s">
        <v>258</v>
      </c>
      <c r="AA23" s="1019" t="s">
        <v>258</v>
      </c>
      <c r="AB23" s="1019" t="s">
        <v>258</v>
      </c>
      <c r="AC23" s="1019" t="s">
        <v>258</v>
      </c>
      <c r="AD23" s="1019" t="s">
        <v>258</v>
      </c>
      <c r="AE23" s="1019" t="s">
        <v>258</v>
      </c>
      <c r="AF23" s="1019" t="s">
        <v>258</v>
      </c>
      <c r="AG23" s="1019" t="s">
        <v>258</v>
      </c>
      <c r="AH23" s="1019" t="s">
        <v>258</v>
      </c>
      <c r="AI23" s="1019" t="s">
        <v>258</v>
      </c>
      <c r="AJ23" s="1019" t="s">
        <v>258</v>
      </c>
      <c r="AK23" s="1019" t="s">
        <v>258</v>
      </c>
      <c r="AL23" s="1019" t="s">
        <v>258</v>
      </c>
      <c r="AM23" s="1019" t="s">
        <v>258</v>
      </c>
      <c r="AN23" s="1019" t="s">
        <v>258</v>
      </c>
      <c r="AO23" s="1020" t="s">
        <v>258</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259</v>
      </c>
      <c r="E24" s="1021" t="s">
        <v>253</v>
      </c>
      <c r="F24" s="1022" t="s">
        <v>260</v>
      </c>
      <c r="G24" s="1021" t="s">
        <v>261</v>
      </c>
      <c r="H24" s="1023" t="s">
        <v>262</v>
      </c>
      <c r="I24" s="1023"/>
      <c r="J24" s="1023"/>
      <c r="K24" s="1023"/>
      <c r="L24" s="1023" t="s">
        <v>263</v>
      </c>
      <c r="M24" s="1023"/>
      <c r="N24" s="1023"/>
      <c r="O24" s="1023"/>
      <c r="P24" s="80"/>
      <c r="Q24" s="4"/>
      <c r="R24" s="1024" t="s">
        <v>258</v>
      </c>
      <c r="S24" s="1025" t="s">
        <v>258</v>
      </c>
      <c r="T24" s="1025" t="s">
        <v>258</v>
      </c>
      <c r="U24" s="1025" t="s">
        <v>258</v>
      </c>
      <c r="V24" s="1025" t="s">
        <v>258</v>
      </c>
      <c r="W24" s="1025" t="s">
        <v>258</v>
      </c>
      <c r="X24" s="1025" t="s">
        <v>258</v>
      </c>
      <c r="Y24" s="1025" t="s">
        <v>258</v>
      </c>
      <c r="Z24" s="1025" t="s">
        <v>258</v>
      </c>
      <c r="AA24" s="1025" t="s">
        <v>258</v>
      </c>
      <c r="AB24" s="1025" t="s">
        <v>258</v>
      </c>
      <c r="AC24" s="1025" t="s">
        <v>258</v>
      </c>
      <c r="AD24" s="1025" t="s">
        <v>258</v>
      </c>
      <c r="AE24" s="1025" t="s">
        <v>258</v>
      </c>
      <c r="AF24" s="1025" t="s">
        <v>258</v>
      </c>
      <c r="AG24" s="1025" t="s">
        <v>258</v>
      </c>
      <c r="AH24" s="1025" t="s">
        <v>258</v>
      </c>
      <c r="AI24" s="1025" t="s">
        <v>258</v>
      </c>
      <c r="AJ24" s="1025" t="s">
        <v>258</v>
      </c>
      <c r="AK24" s="1025" t="s">
        <v>258</v>
      </c>
      <c r="AL24" s="1025" t="s">
        <v>258</v>
      </c>
      <c r="AM24" s="1025" t="s">
        <v>258</v>
      </c>
      <c r="AN24" s="1025" t="s">
        <v>258</v>
      </c>
      <c r="AO24" s="1026" t="s">
        <v>258</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264</v>
      </c>
      <c r="E25" s="1016" t="s">
        <v>253</v>
      </c>
      <c r="F25" s="1027" t="s">
        <v>260</v>
      </c>
      <c r="G25" s="1016" t="s">
        <v>265</v>
      </c>
      <c r="H25" s="1017" t="s">
        <v>266</v>
      </c>
      <c r="I25" s="1017"/>
      <c r="J25" s="1017"/>
      <c r="K25" s="1017"/>
      <c r="L25" s="1017" t="s">
        <v>267</v>
      </c>
      <c r="M25" s="1017"/>
      <c r="N25" s="1017"/>
      <c r="O25" s="1017"/>
      <c r="P25" s="80"/>
      <c r="Q25" s="4"/>
      <c r="R25" s="1018" t="s">
        <v>258</v>
      </c>
      <c r="S25" s="1019" t="s">
        <v>258</v>
      </c>
      <c r="T25" s="1019" t="s">
        <v>258</v>
      </c>
      <c r="U25" s="1019" t="s">
        <v>258</v>
      </c>
      <c r="V25" s="1019" t="s">
        <v>258</v>
      </c>
      <c r="W25" s="1019" t="s">
        <v>258</v>
      </c>
      <c r="X25" s="1019" t="s">
        <v>258</v>
      </c>
      <c r="Y25" s="1019" t="s">
        <v>258</v>
      </c>
      <c r="Z25" s="1019" t="s">
        <v>258</v>
      </c>
      <c r="AA25" s="1019" t="s">
        <v>258</v>
      </c>
      <c r="AB25" s="1019" t="s">
        <v>258</v>
      </c>
      <c r="AC25" s="1019" t="s">
        <v>258</v>
      </c>
      <c r="AD25" s="1019" t="s">
        <v>258</v>
      </c>
      <c r="AE25" s="1019" t="s">
        <v>265</v>
      </c>
      <c r="AF25" s="1019" t="s">
        <v>265</v>
      </c>
      <c r="AG25" s="1019" t="s">
        <v>265</v>
      </c>
      <c r="AH25" s="1019" t="s">
        <v>265</v>
      </c>
      <c r="AI25" s="1019" t="s">
        <v>265</v>
      </c>
      <c r="AJ25" s="1019" t="s">
        <v>265</v>
      </c>
      <c r="AK25" s="1019" t="s">
        <v>265</v>
      </c>
      <c r="AL25" s="1019" t="s">
        <v>265</v>
      </c>
      <c r="AM25" s="1019" t="s">
        <v>265</v>
      </c>
      <c r="AN25" s="1019" t="s">
        <v>265</v>
      </c>
      <c r="AO25" s="1020" t="s">
        <v>265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268</v>
      </c>
      <c r="E26" s="1021" t="s">
        <v>253</v>
      </c>
      <c r="F26" s="1022" t="s">
        <v>260</v>
      </c>
      <c r="G26" s="1021" t="s">
        <v>269</v>
      </c>
      <c r="H26" s="1023" t="s">
        <v>270</v>
      </c>
      <c r="I26" s="1023"/>
      <c r="J26" s="1023"/>
      <c r="K26" s="1023"/>
      <c r="L26" s="1023" t="s">
        <v>271</v>
      </c>
      <c r="M26" s="1023"/>
      <c r="N26" s="1023"/>
      <c r="O26" s="1023"/>
      <c r="P26" s="80"/>
      <c r="Q26" s="4"/>
      <c r="R26" s="1024" t="s">
        <v>258</v>
      </c>
      <c r="S26" s="1025" t="s">
        <v>258</v>
      </c>
      <c r="T26" s="1025" t="s">
        <v>258</v>
      </c>
      <c r="U26" s="1025" t="s">
        <v>258</v>
      </c>
      <c r="V26" s="1025" t="s">
        <v>258</v>
      </c>
      <c r="W26" s="1025" t="s">
        <v>258</v>
      </c>
      <c r="X26" s="1025" t="s">
        <v>258</v>
      </c>
      <c r="Y26" s="1025" t="s">
        <v>258</v>
      </c>
      <c r="Z26" s="1025" t="s">
        <v>258</v>
      </c>
      <c r="AA26" s="1025" t="s">
        <v>258</v>
      </c>
      <c r="AB26" s="1025" t="s">
        <v>258</v>
      </c>
      <c r="AC26" s="1025" t="s">
        <v>258</v>
      </c>
      <c r="AD26" s="1025" t="s">
        <v>258</v>
      </c>
      <c r="AE26" s="1025" t="s">
        <v>258</v>
      </c>
      <c r="AF26" s="1025" t="s">
        <v>258</v>
      </c>
      <c r="AG26" s="1025" t="s">
        <v>258</v>
      </c>
      <c r="AH26" s="1025" t="s">
        <v>258</v>
      </c>
      <c r="AI26" s="1025" t="s">
        <v>258</v>
      </c>
      <c r="AJ26" s="1025" t="s">
        <v>258</v>
      </c>
      <c r="AK26" s="1025" t="s">
        <v>258</v>
      </c>
      <c r="AL26" s="1025" t="s">
        <v>258</v>
      </c>
      <c r="AM26" s="1025" t="s">
        <v>258</v>
      </c>
      <c r="AN26" s="1025" t="s">
        <v>258</v>
      </c>
      <c r="AO26" s="1026" t="s">
        <v>258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272</v>
      </c>
      <c r="E27" s="1016" t="s">
        <v>253</v>
      </c>
      <c r="F27" s="1027" t="s">
        <v>260</v>
      </c>
      <c r="G27" s="1016" t="s">
        <v>273</v>
      </c>
      <c r="H27" s="1017" t="s">
        <v>274</v>
      </c>
      <c r="I27" s="1017"/>
      <c r="J27" s="1017"/>
      <c r="K27" s="1017"/>
      <c r="L27" s="1017" t="s">
        <v>275</v>
      </c>
      <c r="M27" s="1017"/>
      <c r="N27" s="1017"/>
      <c r="O27" s="1017"/>
      <c r="P27" s="80"/>
      <c r="Q27" s="4"/>
      <c r="R27" s="1018" t="s">
        <v>258</v>
      </c>
      <c r="S27" s="1019" t="s">
        <v>258</v>
      </c>
      <c r="T27" s="1019" t="s">
        <v>258</v>
      </c>
      <c r="U27" s="1019" t="s">
        <v>258</v>
      </c>
      <c r="V27" s="1019" t="s">
        <v>258</v>
      </c>
      <c r="W27" s="1019" t="s">
        <v>258</v>
      </c>
      <c r="X27" s="1019" t="s">
        <v>258</v>
      </c>
      <c r="Y27" s="1019" t="s">
        <v>258</v>
      </c>
      <c r="Z27" s="1019" t="s">
        <v>258</v>
      </c>
      <c r="AA27" s="1019" t="s">
        <v>258</v>
      </c>
      <c r="AB27" s="1019" t="s">
        <v>258</v>
      </c>
      <c r="AC27" s="1019" t="s">
        <v>258</v>
      </c>
      <c r="AD27" s="1019" t="s">
        <v>258</v>
      </c>
      <c r="AE27" s="1019" t="s">
        <v>258</v>
      </c>
      <c r="AF27" s="1019" t="s">
        <v>258</v>
      </c>
      <c r="AG27" s="1019" t="s">
        <v>258</v>
      </c>
      <c r="AH27" s="1019" t="s">
        <v>258</v>
      </c>
      <c r="AI27" s="1019" t="s">
        <v>258</v>
      </c>
      <c r="AJ27" s="1019" t="s">
        <v>258</v>
      </c>
      <c r="AK27" s="1019" t="s">
        <v>258</v>
      </c>
      <c r="AL27" s="1019" t="s">
        <v>258</v>
      </c>
      <c r="AM27" s="1019" t="s">
        <v>258</v>
      </c>
      <c r="AN27" s="1019" t="s">
        <v>258</v>
      </c>
      <c r="AO27" s="1020" t="s">
        <v>258</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276</v>
      </c>
      <c r="E28" s="1021" t="s">
        <v>253</v>
      </c>
      <c r="F28" s="1021" t="s">
        <v>277</v>
      </c>
      <c r="G28" s="1021" t="s">
        <v>278</v>
      </c>
      <c r="H28" s="1023" t="s">
        <v>279</v>
      </c>
      <c r="I28" s="1023"/>
      <c r="J28" s="1023"/>
      <c r="K28" s="1023"/>
      <c r="L28" s="1023" t="s">
        <v>280</v>
      </c>
      <c r="M28" s="1023"/>
      <c r="N28" s="1023"/>
      <c r="O28" s="1023"/>
      <c r="P28" s="80"/>
      <c r="Q28" s="4"/>
      <c r="R28" s="1024" t="s">
        <v>258</v>
      </c>
      <c r="S28" s="1025" t="s">
        <v>258</v>
      </c>
      <c r="T28" s="1025" t="s">
        <v>258</v>
      </c>
      <c r="U28" s="1025" t="s">
        <v>258</v>
      </c>
      <c r="V28" s="1025" t="s">
        <v>258</v>
      </c>
      <c r="W28" s="1025" t="s">
        <v>258</v>
      </c>
      <c r="X28" s="1025" t="s">
        <v>258</v>
      </c>
      <c r="Y28" s="1025" t="s">
        <v>258</v>
      </c>
      <c r="Z28" s="1025" t="s">
        <v>258</v>
      </c>
      <c r="AA28" s="1025" t="s">
        <v>258</v>
      </c>
      <c r="AB28" s="1025" t="s">
        <v>258</v>
      </c>
      <c r="AC28" s="1025" t="s">
        <v>258</v>
      </c>
      <c r="AD28" s="1025" t="s">
        <v>258</v>
      </c>
      <c r="AE28" s="1025" t="s">
        <v>258</v>
      </c>
      <c r="AF28" s="1025" t="s">
        <v>258</v>
      </c>
      <c r="AG28" s="1025" t="s">
        <v>258</v>
      </c>
      <c r="AH28" s="1025" t="s">
        <v>258</v>
      </c>
      <c r="AI28" s="1025" t="s">
        <v>258</v>
      </c>
      <c r="AJ28" s="1025" t="s">
        <v>258</v>
      </c>
      <c r="AK28" s="1025" t="s">
        <v>258</v>
      </c>
      <c r="AL28" s="1025" t="s">
        <v>258</v>
      </c>
      <c r="AM28" s="1025" t="s">
        <v>258</v>
      </c>
      <c r="AN28" s="1025" t="s">
        <v>258</v>
      </c>
      <c r="AO28" s="1026" t="s">
        <v>258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17">
        <v>476</v>
      </c>
      <c r="I29" s="1017"/>
      <c r="J29" s="1017"/>
      <c r="K29" s="1017"/>
      <c r="L29" s="895"/>
      <c r="M29" s="895"/>
      <c r="N29" s="895"/>
      <c r="O29" s="89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81"/>
      <c r="I30" s="181"/>
      <c r="J30" s="181"/>
      <c r="K30" s="181"/>
      <c r="L30" s="895"/>
      <c r="M30" s="895"/>
      <c r="N30" s="895"/>
      <c r="O30" s="895"/>
      <c r="P30" s="80"/>
      <c r="Q30" s="4"/>
      <c r="R30" s="182"/>
      <c r="S30" s="182"/>
      <c r="T30" s="182"/>
      <c r="U30" s="182"/>
      <c r="V30" s="182"/>
      <c r="W30" s="182"/>
      <c r="X30" s="1028" t="s">
        <v>281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81"/>
      <c r="I31" s="181"/>
      <c r="J31" s="181"/>
      <c r="K31" s="181"/>
      <c r="L31" s="895"/>
      <c r="M31" s="895"/>
      <c r="N31" s="895"/>
      <c r="O31" s="895"/>
      <c r="P31" s="80"/>
      <c r="Q31" s="4"/>
      <c r="R31" s="182"/>
      <c r="S31" s="182"/>
      <c r="T31" s="182"/>
      <c r="U31" s="182"/>
      <c r="V31" s="182"/>
      <c r="W31" s="182"/>
      <c r="X31" s="182"/>
      <c r="Y31" s="182"/>
      <c r="Z31" s="182"/>
      <c r="AA31" s="1029" t="s">
        <v>282</v>
      </c>
      <c r="AB31" s="1028" t="s">
        <v>283</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81"/>
      <c r="I32" s="181"/>
      <c r="J32" s="181"/>
      <c r="K32" s="181"/>
      <c r="L32" s="895"/>
      <c r="M32" s="895"/>
      <c r="N32" s="895"/>
      <c r="O32" s="895"/>
      <c r="P32" s="80"/>
      <c r="Q32" s="4"/>
      <c r="R32" s="182"/>
      <c r="S32" s="182"/>
      <c r="T32" s="182"/>
      <c r="U32" s="182"/>
      <c r="V32" s="182"/>
      <c r="W32" s="182"/>
      <c r="X32" s="182"/>
      <c r="Y32" s="182"/>
      <c r="Z32" s="182"/>
      <c r="AA32" s="1029" t="s">
        <v>258</v>
      </c>
      <c r="AB32" s="1028" t="s">
        <v>284</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81"/>
      <c r="I33" s="181"/>
      <c r="J33" s="181"/>
      <c r="K33" s="181"/>
      <c r="L33" s="895"/>
      <c r="M33" s="895"/>
      <c r="N33" s="895"/>
      <c r="O33" s="895"/>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81"/>
      <c r="I34" s="181"/>
      <c r="J34" s="181"/>
      <c r="K34" s="181"/>
      <c r="L34" s="895"/>
      <c r="M34" s="895"/>
      <c r="N34" s="895"/>
      <c r="O34" s="89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81"/>
      <c r="I35" s="181"/>
      <c r="J35" s="181"/>
      <c r="K35" s="181"/>
      <c r="L35" s="895"/>
      <c r="M35" s="895"/>
      <c r="N35" s="895"/>
      <c r="O35" s="89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81"/>
      <c r="I36" s="181"/>
      <c r="J36" s="181"/>
      <c r="K36" s="181"/>
      <c r="L36" s="895"/>
      <c r="M36" s="895"/>
      <c r="N36" s="895"/>
      <c r="O36" s="89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81"/>
      <c r="I37" s="181"/>
      <c r="J37" s="181"/>
      <c r="K37" s="181"/>
      <c r="L37" s="895"/>
      <c r="M37" s="895"/>
      <c r="N37" s="895"/>
      <c r="O37" s="89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81"/>
      <c r="I38" s="181"/>
      <c r="J38" s="181"/>
      <c r="K38" s="181"/>
      <c r="L38" s="895"/>
      <c r="M38" s="895"/>
      <c r="N38" s="895"/>
      <c r="O38" s="89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81"/>
      <c r="I39" s="181"/>
      <c r="J39" s="181"/>
      <c r="K39" s="181"/>
      <c r="L39" s="895"/>
      <c r="M39" s="895"/>
      <c r="N39" s="895"/>
      <c r="O39" s="89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895"/>
      <c r="M40" s="895"/>
      <c r="N40" s="895"/>
      <c r="O40" s="89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895"/>
      <c r="M41" s="895"/>
      <c r="N41" s="895"/>
      <c r="O41" s="89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895"/>
      <c r="M42" s="895"/>
      <c r="N42" s="895"/>
      <c r="O42" s="89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895"/>
      <c r="M43" s="895"/>
      <c r="N43" s="895"/>
      <c r="O43" s="89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895"/>
      <c r="M44" s="895"/>
      <c r="N44" s="895"/>
      <c r="O44" s="89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895"/>
      <c r="M45" s="895"/>
      <c r="N45" s="895"/>
      <c r="O45" s="89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895"/>
      <c r="M46" s="895"/>
      <c r="N46" s="895"/>
      <c r="O46" s="89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895"/>
      <c r="M47" s="895"/>
      <c r="N47" s="895"/>
      <c r="O47" s="89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895"/>
      <c r="M48" s="895"/>
      <c r="N48" s="895"/>
      <c r="O48" s="89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895"/>
      <c r="M49" s="895"/>
      <c r="N49" s="895"/>
      <c r="O49" s="89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895"/>
      <c r="M50" s="895"/>
      <c r="N50" s="895"/>
      <c r="O50" s="89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895"/>
      <c r="M51" s="895"/>
      <c r="N51" s="895"/>
      <c r="O51" s="89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895"/>
      <c r="M52" s="895"/>
      <c r="N52" s="895"/>
      <c r="O52" s="89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81"/>
      <c r="I53" s="181"/>
      <c r="J53" s="181"/>
      <c r="K53" s="181"/>
      <c r="L53" s="895"/>
      <c r="M53" s="895"/>
      <c r="N53" s="895"/>
      <c r="O53" s="89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81"/>
      <c r="I54" s="181"/>
      <c r="J54" s="181"/>
      <c r="K54" s="181"/>
      <c r="L54" s="895"/>
      <c r="M54" s="895"/>
      <c r="N54" s="895"/>
      <c r="O54" s="89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81"/>
      <c r="I55" s="181"/>
      <c r="J55" s="181"/>
      <c r="K55" s="181"/>
      <c r="L55" s="895"/>
      <c r="M55" s="895"/>
      <c r="N55" s="895"/>
      <c r="O55" s="89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81"/>
      <c r="I56" s="181"/>
      <c r="J56" s="181"/>
      <c r="K56" s="181"/>
      <c r="L56" s="895"/>
      <c r="M56" s="895"/>
      <c r="N56" s="895"/>
      <c r="O56" s="89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81"/>
      <c r="I57" s="181"/>
      <c r="J57" s="181"/>
      <c r="K57" s="181"/>
      <c r="L57" s="895"/>
      <c r="M57" s="895"/>
      <c r="N57" s="895"/>
      <c r="O57" s="89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81"/>
      <c r="I58" s="181"/>
      <c r="J58" s="181"/>
      <c r="K58" s="181"/>
      <c r="L58" s="895"/>
      <c r="M58" s="895"/>
      <c r="N58" s="895"/>
      <c r="O58" s="89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81"/>
      <c r="I59" s="181"/>
      <c r="J59" s="181"/>
      <c r="K59" s="181"/>
      <c r="L59" s="895"/>
      <c r="M59" s="895"/>
      <c r="N59" s="895"/>
      <c r="O59" s="89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895"/>
      <c r="M60" s="895"/>
      <c r="N60" s="895"/>
      <c r="O60" s="89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895"/>
      <c r="M61" s="895"/>
      <c r="N61" s="895"/>
      <c r="O61" s="89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895"/>
      <c r="M62" s="895"/>
      <c r="N62" s="895"/>
      <c r="O62" s="89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895"/>
      <c r="M63" s="895"/>
      <c r="N63" s="895"/>
      <c r="O63" s="89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895"/>
      <c r="M64" s="895"/>
      <c r="N64" s="895"/>
      <c r="O64" s="89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895"/>
      <c r="M65" s="895"/>
      <c r="N65" s="895"/>
      <c r="O65" s="89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895"/>
      <c r="M66" s="895"/>
      <c r="N66" s="895"/>
      <c r="O66" s="89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895"/>
      <c r="M67" s="895"/>
      <c r="N67" s="895"/>
      <c r="O67" s="89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895"/>
      <c r="M68" s="895"/>
      <c r="N68" s="895"/>
      <c r="O68" s="89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895"/>
      <c r="M69" s="895"/>
      <c r="N69" s="895"/>
      <c r="O69" s="89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895"/>
      <c r="M70" s="895"/>
      <c r="N70" s="895"/>
      <c r="O70" s="89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895"/>
      <c r="M71" s="895"/>
      <c r="N71" s="895"/>
      <c r="O71" s="89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895"/>
      <c r="M72" s="895"/>
      <c r="N72" s="895"/>
      <c r="O72" s="89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895"/>
      <c r="M73" s="895"/>
      <c r="N73" s="895"/>
      <c r="O73" s="89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895"/>
      <c r="M74" s="895"/>
      <c r="N74" s="895"/>
      <c r="O74" s="89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895"/>
      <c r="M75" s="895"/>
      <c r="N75" s="895"/>
      <c r="O75" s="89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895"/>
      <c r="M76" s="895"/>
      <c r="N76" s="895"/>
      <c r="O76" s="89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895"/>
      <c r="M77" s="895"/>
      <c r="N77" s="895"/>
      <c r="O77" s="89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895"/>
      <c r="M78" s="895"/>
      <c r="N78" s="895"/>
      <c r="O78" s="89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895"/>
      <c r="M79" s="895"/>
      <c r="N79" s="895"/>
      <c r="O79" s="89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895"/>
      <c r="M80" s="895"/>
      <c r="N80" s="895"/>
      <c r="O80" s="89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895"/>
      <c r="M81" s="895"/>
      <c r="N81" s="895"/>
      <c r="O81" s="89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895"/>
      <c r="M82" s="895"/>
      <c r="N82" s="895"/>
      <c r="O82" s="89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895"/>
      <c r="M83" s="895"/>
      <c r="N83" s="895"/>
      <c r="O83" s="89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895"/>
      <c r="M84" s="895"/>
      <c r="N84" s="895"/>
      <c r="O84" s="89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895"/>
      <c r="M85" s="895"/>
      <c r="N85" s="895"/>
      <c r="O85" s="89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895"/>
      <c r="M86" s="895"/>
      <c r="N86" s="895"/>
      <c r="O86" s="89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895"/>
      <c r="M87" s="895"/>
      <c r="N87" s="895"/>
      <c r="O87" s="89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895"/>
      <c r="M88" s="895"/>
      <c r="N88" s="895"/>
      <c r="O88" s="89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895"/>
      <c r="M89" s="895"/>
      <c r="N89" s="895"/>
      <c r="O89" s="89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895"/>
      <c r="M90" s="895"/>
      <c r="N90" s="895"/>
      <c r="O90" s="89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895"/>
      <c r="M91" s="895"/>
      <c r="N91" s="895"/>
      <c r="O91" s="89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895"/>
      <c r="M92" s="895"/>
      <c r="N92" s="895"/>
      <c r="O92" s="89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895"/>
      <c r="M93" s="895"/>
      <c r="N93" s="895"/>
      <c r="O93" s="89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895"/>
      <c r="M94" s="895"/>
      <c r="N94" s="895"/>
      <c r="O94" s="89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895"/>
      <c r="M95" s="895"/>
      <c r="N95" s="895"/>
      <c r="O95" s="89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895"/>
      <c r="M96" s="895"/>
      <c r="N96" s="895"/>
      <c r="O96" s="89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895"/>
      <c r="M97" s="895"/>
      <c r="N97" s="895"/>
      <c r="O97" s="89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895"/>
      <c r="M98" s="895"/>
      <c r="N98" s="895"/>
      <c r="O98" s="89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895"/>
      <c r="M99" s="895"/>
      <c r="N99" s="895"/>
      <c r="O99" s="89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895"/>
      <c r="M100" s="895"/>
      <c r="N100" s="895"/>
      <c r="O100" s="89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895"/>
      <c r="M101" s="895"/>
      <c r="N101" s="895"/>
      <c r="O101" s="89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895"/>
      <c r="M102" s="895"/>
      <c r="N102" s="895"/>
      <c r="O102" s="89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895"/>
      <c r="M103" s="895"/>
      <c r="N103" s="895"/>
      <c r="O103" s="89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Y21"/>
    <mergeCell ref="Z21:AK21"/>
    <mergeCell ref="AL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150" display="For all STR definitions, please click here or visit www.str.com/data-insights/resources/glossary"/>
    <hyperlink ref="A14:I14" r:id="rId151" display="For the latest in industry news, visit HotelNewsNow.com."/>
    <hyperlink ref="A15:I15" r:id="rId152" display="To learn more about the Hotel Data Conference, visit HotelDataConference.com."/>
    <hyperlink ref="A9:F9" r:id="rId153" display="For all STR FAQs, please click here or visit www.str.com/data-insights/resources/FAQ"/>
    <hyperlink ref="A12:E12" r:id="rId154"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2023</v>
      </c>
      <c r="D19" s="1002"/>
      <c r="E19" s="1002">
        <v>2024</v>
      </c>
      <c r="F19" s="1002"/>
      <c r="G19" s="1002"/>
      <c r="H19" s="1002"/>
      <c r="I19" s="1002"/>
      <c r="J19" s="1002"/>
      <c r="K19" s="1002"/>
      <c r="L19" s="1002"/>
      <c r="M19" s="1002"/>
      <c r="N19" s="1002"/>
      <c r="O19" s="1002"/>
      <c r="P19" s="1002"/>
      <c r="Q19" s="1002">
        <v>2025</v>
      </c>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1005" t="s">
        <v>222</v>
      </c>
      <c r="E20" s="269" t="s">
        <v>224</v>
      </c>
      <c r="F20" s="269" t="s">
        <v>225</v>
      </c>
      <c r="G20" s="269" t="s">
        <v>226</v>
      </c>
      <c r="H20" s="269" t="s">
        <v>228</v>
      </c>
      <c r="I20" s="269" t="s">
        <v>229</v>
      </c>
      <c r="J20" s="269" t="s">
        <v>230</v>
      </c>
      <c r="K20" s="269" t="s">
        <v>233</v>
      </c>
      <c r="L20" s="269" t="s">
        <v>234</v>
      </c>
      <c r="M20" s="269" t="s">
        <v>235</v>
      </c>
      <c r="N20" s="269" t="s">
        <v>236</v>
      </c>
      <c r="O20" s="269" t="s">
        <v>218</v>
      </c>
      <c r="P20" s="1005" t="s">
        <v>222</v>
      </c>
      <c r="Q20" s="269" t="s">
        <v>224</v>
      </c>
      <c r="R20" s="269" t="s">
        <v>225</v>
      </c>
      <c r="S20" s="269" t="s">
        <v>226</v>
      </c>
      <c r="T20" s="1005" t="s">
        <v>228</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74.343434343434343434343434340</v>
      </c>
      <c r="D21" s="1006">
        <v>84.13978494623655913978494624</v>
      </c>
      <c r="E21" s="574">
        <v>89.29618768328445747800586510</v>
      </c>
      <c r="F21" s="574">
        <v>92.92058516196447230929989551</v>
      </c>
      <c r="G21" s="574">
        <v>92.69305962854349951124144673</v>
      </c>
      <c r="H21" s="574">
        <v>93.23232323232323232323232323</v>
      </c>
      <c r="I21" s="574">
        <v>84.82404692082111436950146628</v>
      </c>
      <c r="J21" s="574">
        <v>78.333333333333333333333333330</v>
      </c>
      <c r="K21" s="574">
        <v>73.704789833822091886608015640</v>
      </c>
      <c r="L21" s="574">
        <v>74.046920821114369501466275660</v>
      </c>
      <c r="M21" s="574">
        <v>66.287878787878787878787878790</v>
      </c>
      <c r="N21" s="574">
        <v>77.541544477028347996089931570</v>
      </c>
      <c r="O21" s="574">
        <v>88.78787878787878787878787879</v>
      </c>
      <c r="P21" s="1006">
        <v>87.82991202346041055718475073</v>
      </c>
      <c r="Q21" s="574">
        <v>90.64027370478983382209188661</v>
      </c>
      <c r="R21" s="574">
        <v>92.69480519480519480519480519</v>
      </c>
      <c r="S21" s="574">
        <v>91.32453567937438905180840665</v>
      </c>
      <c r="T21" s="1006">
        <v>93.03030303030303030303030303</v>
      </c>
      <c r="U21" s="113"/>
      <c r="V21" s="573">
        <v>91.75505050505050505050505051</v>
      </c>
      <c r="W21" s="574">
        <v>92.01101928374655647382920110</v>
      </c>
      <c r="X21" s="575">
        <v>91.89393939393939393939393939</v>
      </c>
      <c r="Y21" s="113"/>
      <c r="Z21" s="573">
        <v>90.83248212461695607763023493</v>
      </c>
      <c r="AA21" s="574">
        <v>92.94612794612794612794612795</v>
      </c>
      <c r="AB21" s="575">
        <v>92.33060946544092611508341845</v>
      </c>
      <c r="AC21" s="113"/>
      <c r="AD21" s="573">
        <v>84.52262349522623495226234952</v>
      </c>
      <c r="AE21" s="574">
        <v>82.50124192747143566815697963</v>
      </c>
      <c r="AF21" s="575">
        <v>83.19427148194271481942714819</v>
      </c>
      <c r="AG21" s="113"/>
    </row>
    <row r="22" ht="21.95" customHeight="1">
      <c r="B22" s="38" t="s">
        <v>35</v>
      </c>
      <c r="C22" s="271">
        <v>79.80345911949685534591194969</v>
      </c>
      <c r="D22" s="1007">
        <v>82.16676810712111990261716372</v>
      </c>
      <c r="E22" s="92">
        <v>82.97020555854954192008622681</v>
      </c>
      <c r="F22" s="92">
        <v>85.09587688256107569041936584</v>
      </c>
      <c r="G22" s="92">
        <v>85.31064747093694664716298406</v>
      </c>
      <c r="H22" s="92">
        <v>82.97533810660302307080350040</v>
      </c>
      <c r="I22" s="92">
        <v>71.067826622526753406728770500</v>
      </c>
      <c r="J22" s="92">
        <v>68.158914728682170542635658910</v>
      </c>
      <c r="K22" s="92">
        <v>70.208177044261065266316579140</v>
      </c>
      <c r="L22" s="92">
        <v>69.026631657914478619654913730</v>
      </c>
      <c r="M22" s="92">
        <v>68.856589147286821705426356590</v>
      </c>
      <c r="N22" s="92">
        <v>69.448612153038259564891222810</v>
      </c>
      <c r="O22" s="92">
        <v>71.967054263565891472868217050</v>
      </c>
      <c r="P22" s="1007">
        <v>72.524381095273818454613653410</v>
      </c>
      <c r="Q22" s="92">
        <v>78.816579144786196549137284320</v>
      </c>
      <c r="R22" s="92">
        <v>87.80107973421926910299003322</v>
      </c>
      <c r="S22" s="92">
        <v>87.500</v>
      </c>
      <c r="T22" s="1007">
        <v>88.44961240310077519379844961</v>
      </c>
      <c r="U22" s="113"/>
      <c r="V22" s="271">
        <v>78.063325563325563325563325570</v>
      </c>
      <c r="W22" s="92">
        <v>84.07209283186568297533810660</v>
      </c>
      <c r="X22" s="272">
        <v>85.56443798449612403100775194</v>
      </c>
      <c r="Y22" s="113"/>
      <c r="Z22" s="271">
        <v>78.588826903433645006678714550</v>
      </c>
      <c r="AA22" s="92">
        <v>84.45589626414433884851572766</v>
      </c>
      <c r="AB22" s="272">
        <v>87.91481578259733472694016201</v>
      </c>
      <c r="AC22" s="113"/>
      <c r="AD22" s="271">
        <v>69.365649852055044829789849210</v>
      </c>
      <c r="AE22" s="92">
        <v>73.899486426999264011416709910</v>
      </c>
      <c r="AF22" s="272">
        <v>75.151112327481721859483129370</v>
      </c>
      <c r="AG22" s="113"/>
    </row>
    <row r="23" ht="21.95" customHeight="1">
      <c r="B23" s="40" t="s">
        <v>97</v>
      </c>
      <c r="C23" s="576">
        <v>93.15816026484559011139223195</v>
      </c>
      <c r="D23" s="1008">
        <v>102.40123456792755547782350928</v>
      </c>
      <c r="E23" s="113">
        <v>107.62440213592598879183101657</v>
      </c>
      <c r="F23" s="113">
        <v>109.19516734066868923302234334</v>
      </c>
      <c r="G23" s="113">
        <v>108.65356479701046328029744651</v>
      </c>
      <c r="H23" s="113">
        <v>112.36148638833611962299691953</v>
      </c>
      <c r="I23" s="113">
        <v>119.35646684594954157379961219</v>
      </c>
      <c r="J23" s="113">
        <v>114.92749502413826178691435678</v>
      </c>
      <c r="K23" s="113">
        <v>104.98034977794081868124881374</v>
      </c>
      <c r="L23" s="113">
        <v>107.27297427476284008095592956</v>
      </c>
      <c r="M23" s="113">
        <v>96.26947777804364824364097520</v>
      </c>
      <c r="N23" s="113">
        <v>111.65312318437562081729614945</v>
      </c>
      <c r="O23" s="113">
        <v>123.37295127110203556222117005</v>
      </c>
      <c r="P23" s="1008">
        <v>121.10398006437079077702074716</v>
      </c>
      <c r="Q23" s="113">
        <v>115.00153227694342720086570114</v>
      </c>
      <c r="R23" s="113">
        <v>105.57365066058408195095925359</v>
      </c>
      <c r="S23" s="113">
        <v>104.37089791928501605920960760</v>
      </c>
      <c r="T23" s="1008">
        <v>105.17887020954597798388359892</v>
      </c>
      <c r="U23" s="113"/>
      <c r="V23" s="576">
        <v>117.53925398764642338523595758</v>
      </c>
      <c r="W23" s="113">
        <v>109.44299848431302516277237965</v>
      </c>
      <c r="X23" s="577">
        <v>107.39735053315722505187646914</v>
      </c>
      <c r="Y23" s="113"/>
      <c r="Z23" s="576">
        <v>115.57938412322484612305695348</v>
      </c>
      <c r="AA23" s="113">
        <v>110.05285842385515278950408558</v>
      </c>
      <c r="AB23" s="577">
        <v>105.02280945882945814113819046</v>
      </c>
      <c r="AC23" s="113"/>
      <c r="AD23" s="576">
        <v>121.85083492397695372972683754</v>
      </c>
      <c r="AE23" s="113">
        <v>111.63980416693219202547162464</v>
      </c>
      <c r="AF23" s="577">
        <v>110.70264817823526288700380406</v>
      </c>
      <c r="AG23" s="113"/>
    </row>
    <row r="24" ht="21.95" customHeight="1">
      <c r="A24" s="23"/>
      <c r="B24" s="39" t="s">
        <v>23</v>
      </c>
      <c r="C24" s="273" t="s">
        <v>219</v>
      </c>
      <c r="D24" s="1009" t="s">
        <v>223</v>
      </c>
      <c r="E24" s="274" t="s">
        <v>221</v>
      </c>
      <c r="F24" s="274" t="s">
        <v>221</v>
      </c>
      <c r="G24" s="274" t="s">
        <v>227</v>
      </c>
      <c r="H24" s="274" t="s">
        <v>227</v>
      </c>
      <c r="I24" s="274" t="s">
        <v>221</v>
      </c>
      <c r="J24" s="274" t="s">
        <v>231</v>
      </c>
      <c r="K24" s="274" t="s">
        <v>232</v>
      </c>
      <c r="L24" s="274" t="s">
        <v>231</v>
      </c>
      <c r="M24" s="274" t="s">
        <v>232</v>
      </c>
      <c r="N24" s="274" t="s">
        <v>231</v>
      </c>
      <c r="O24" s="274" t="s">
        <v>237</v>
      </c>
      <c r="P24" s="1009" t="s">
        <v>237</v>
      </c>
      <c r="Q24" s="274" t="s">
        <v>237</v>
      </c>
      <c r="R24" s="274" t="s">
        <v>237</v>
      </c>
      <c r="S24" s="274" t="s">
        <v>237</v>
      </c>
      <c r="T24" s="1009" t="s">
        <v>231</v>
      </c>
      <c r="U24" s="113"/>
      <c r="V24" s="273" t="s">
        <v>227</v>
      </c>
      <c r="W24" s="274" t="s">
        <v>227</v>
      </c>
      <c r="X24" s="275" t="s">
        <v>237</v>
      </c>
      <c r="Y24" s="113"/>
      <c r="Z24" s="273" t="s">
        <v>227</v>
      </c>
      <c r="AA24" s="274" t="s">
        <v>227</v>
      </c>
      <c r="AB24" s="275" t="s">
        <v>231</v>
      </c>
      <c r="AC24" s="113"/>
      <c r="AD24" s="273" t="s">
        <v>227</v>
      </c>
      <c r="AE24" s="274" t="s">
        <v>221</v>
      </c>
      <c r="AF24" s="275" t="s">
        <v>221</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-14.018691588738841820246284900</v>
      </c>
      <c r="D26" s="1006">
        <v>-2.5474101330623116050526380400</v>
      </c>
      <c r="E26" s="574">
        <v>-5.4103028734095475176222319200</v>
      </c>
      <c r="F26" s="574">
        <v>-1.0560406918010891251715855100</v>
      </c>
      <c r="G26" s="574">
        <v>1.1466666666699033600000001100</v>
      </c>
      <c r="H26" s="574">
        <v>7.0144927536380773787019554400</v>
      </c>
      <c r="I26" s="574">
        <v>9.772296015219008817948445420</v>
      </c>
      <c r="J26" s="574">
        <v>-8.845136644091452728483055340</v>
      </c>
      <c r="K26" s="574">
        <v>-10.557532621577147368109993510</v>
      </c>
      <c r="L26" s="574">
        <v>1.6096579476235562266962317700</v>
      </c>
      <c r="M26" s="574">
        <v>-1.9058295964741398379214960500</v>
      </c>
      <c r="N26" s="574">
        <v>-0.2201257861962799335469217300</v>
      </c>
      <c r="O26" s="574">
        <v>19.429347826142127687854467830</v>
      </c>
      <c r="P26" s="1006">
        <v>4.3857101365542146448923279400</v>
      </c>
      <c r="Q26" s="574">
        <v>1.5051997810441824556484006300</v>
      </c>
      <c r="R26" s="574">
        <v>-0.2429816458873724573168059900</v>
      </c>
      <c r="S26" s="574">
        <v>-1.4764039018783622459650259600</v>
      </c>
      <c r="T26" s="1006">
        <v>-0.2166847237021124999853212200</v>
      </c>
      <c r="U26" s="113"/>
      <c r="V26" s="573">
        <v>-1.6511029909803838177334511500</v>
      </c>
      <c r="W26" s="574">
        <v>0.2789696885757030014515007500</v>
      </c>
      <c r="X26" s="575">
        <v>-0.1272455089315015104521240300</v>
      </c>
      <c r="Y26" s="113"/>
      <c r="Z26" s="573">
        <v>-3.1493919041092967790358888300</v>
      </c>
      <c r="AA26" s="574">
        <v>2.3269713345811026556095583100</v>
      </c>
      <c r="AB26" s="575">
        <v>-0.662231439071906933634007200</v>
      </c>
      <c r="AC26" s="113"/>
      <c r="AD26" s="573">
        <v>-0.2913667303311654193693155100</v>
      </c>
      <c r="AE26" s="574">
        <v>-2.39152724340526136120996400</v>
      </c>
      <c r="AF26" s="575">
        <v>0.8400231781380110902781393600</v>
      </c>
      <c r="AG26" s="113"/>
    </row>
    <row r="27" ht="21.95" customHeight="1">
      <c r="B27" s="38" t="s">
        <v>35</v>
      </c>
      <c r="C27" s="271">
        <v>11.686659294019320680367917710</v>
      </c>
      <c r="D27" s="1007">
        <v>23.780680681461729308739708970</v>
      </c>
      <c r="E27" s="92">
        <v>8.380391290011083992619833670</v>
      </c>
      <c r="F27" s="92">
        <v>6.955286503440645881586408700</v>
      </c>
      <c r="G27" s="92">
        <v>6.4801783871787104545535548400</v>
      </c>
      <c r="H27" s="92">
        <v>9.035389159828962321062693130</v>
      </c>
      <c r="I27" s="92">
        <v>5.1458254307033809605965666300</v>
      </c>
      <c r="J27" s="92">
        <v>9.688941719189958195026143510</v>
      </c>
      <c r="K27" s="92">
        <v>8.299058686749509123586485400</v>
      </c>
      <c r="L27" s="92">
        <v>2.5066146776509641627481787500</v>
      </c>
      <c r="M27" s="92">
        <v>13.526353072334609592413645840</v>
      </c>
      <c r="N27" s="92">
        <v>3.4253974778835803468902603300</v>
      </c>
      <c r="O27" s="92">
        <v>-9.819630555361829633818750310</v>
      </c>
      <c r="P27" s="1007">
        <v>-11.735142118840361758062966710</v>
      </c>
      <c r="Q27" s="92">
        <v>-5.0061662325100498935661145200</v>
      </c>
      <c r="R27" s="92">
        <v>3.1790057882021967977830609400</v>
      </c>
      <c r="S27" s="92">
        <v>2.5663297536767634524400229900</v>
      </c>
      <c r="T27" s="1007">
        <v>6.5974715155337728883242966900</v>
      </c>
      <c r="U27" s="113"/>
      <c r="V27" s="271">
        <v>16.024204217238068492927486910</v>
      </c>
      <c r="W27" s="92">
        <v>7.6972986036743886336384921200</v>
      </c>
      <c r="X27" s="272">
        <v>1.7750779150699031677970229300</v>
      </c>
      <c r="Y27" s="113"/>
      <c r="Z27" s="271">
        <v>7.7805794565322919269181978700</v>
      </c>
      <c r="AA27" s="92">
        <v>7.4655260702084750957500798500</v>
      </c>
      <c r="AB27" s="272">
        <v>4.0955334932223450347859062100</v>
      </c>
      <c r="AC27" s="113"/>
      <c r="AD27" s="271">
        <v>8.446040947491662194585273580</v>
      </c>
      <c r="AE27" s="92">
        <v>6.5361408486278386010039309100</v>
      </c>
      <c r="AF27" s="272">
        <v>1.6936868725307222215008985100</v>
      </c>
      <c r="AG27" s="113"/>
    </row>
    <row r="28" ht="21.95" customHeight="1">
      <c r="B28" s="40" t="s">
        <v>97</v>
      </c>
      <c r="C28" s="576">
        <v>-23.015596531634592787936200040</v>
      </c>
      <c r="D28" s="1008">
        <v>-21.269951554230380049698363670</v>
      </c>
      <c r="E28" s="113">
        <v>-12.724344320236683181250565750</v>
      </c>
      <c r="F28" s="113">
        <v>-7.4903517696348095376063687900</v>
      </c>
      <c r="G28" s="113">
        <v>-5.0089244789563665692749796400</v>
      </c>
      <c r="H28" s="113">
        <v>-1.8534316443451068340037253700</v>
      </c>
      <c r="I28" s="113">
        <v>4.400051609816473279962130200</v>
      </c>
      <c r="J28" s="113">
        <v>-16.896943368113885343212481740</v>
      </c>
      <c r="K28" s="113">
        <v>-17.411592988021210678072107120</v>
      </c>
      <c r="L28" s="113">
        <v>-0.875023268252534590204871600</v>
      </c>
      <c r="M28" s="113">
        <v>-13.593480501315687629678736110</v>
      </c>
      <c r="N28" s="113">
        <v>-3.5247853553048770118826648800</v>
      </c>
      <c r="O28" s="113">
        <v>32.433864001196635578732425630</v>
      </c>
      <c r="P28" s="1008">
        <v>18.264179699971695908353493180</v>
      </c>
      <c r="Q28" s="113">
        <v>6.854514398814631400113718700</v>
      </c>
      <c r="R28" s="113">
        <v>-3.3165539907241669428863180700</v>
      </c>
      <c r="S28" s="113">
        <v>-3.9415797224107564048029421800</v>
      </c>
      <c r="T28" s="1008">
        <v>-6.3924182650381304969332110500</v>
      </c>
      <c r="U28" s="113"/>
      <c r="V28" s="576">
        <v>-15.234155086360567508262378280</v>
      </c>
      <c r="W28" s="113">
        <v>-6.8881290535850285725585461800</v>
      </c>
      <c r="X28" s="577">
        <v>-1.8691446501588958732691132500</v>
      </c>
      <c r="Y28" s="113"/>
      <c r="Z28" s="576">
        <v>-10.140946927301406992856343980</v>
      </c>
      <c r="AA28" s="113">
        <v>-4.7815843121762401311074530200</v>
      </c>
      <c r="AB28" s="577">
        <v>-4.5705754826429608833405292900</v>
      </c>
      <c r="AC28" s="113"/>
      <c r="AD28" s="576">
        <v>-8.056917155818995565425736570</v>
      </c>
      <c r="AE28" s="113">
        <v>-8.379943201404048488954098850</v>
      </c>
      <c r="AF28" s="577">
        <v>-0.8394461058563857406287529300</v>
      </c>
      <c r="AG28" s="113"/>
    </row>
    <row r="29" ht="21.95" customHeight="1">
      <c r="A29" s="23"/>
      <c r="B29" s="39" t="s">
        <v>23</v>
      </c>
      <c r="C29" s="273" t="s">
        <v>238</v>
      </c>
      <c r="D29" s="1009" t="s">
        <v>238</v>
      </c>
      <c r="E29" s="274" t="s">
        <v>238</v>
      </c>
      <c r="F29" s="274" t="s">
        <v>219</v>
      </c>
      <c r="G29" s="274" t="s">
        <v>223</v>
      </c>
      <c r="H29" s="274" t="s">
        <v>220</v>
      </c>
      <c r="I29" s="274" t="s">
        <v>223</v>
      </c>
      <c r="J29" s="274" t="s">
        <v>239</v>
      </c>
      <c r="K29" s="274" t="s">
        <v>239</v>
      </c>
      <c r="L29" s="274" t="s">
        <v>232</v>
      </c>
      <c r="M29" s="274" t="s">
        <v>239</v>
      </c>
      <c r="N29" s="274" t="s">
        <v>232</v>
      </c>
      <c r="O29" s="274" t="s">
        <v>231</v>
      </c>
      <c r="P29" s="1009" t="s">
        <v>237</v>
      </c>
      <c r="Q29" s="274" t="s">
        <v>231</v>
      </c>
      <c r="R29" s="274" t="s">
        <v>232</v>
      </c>
      <c r="S29" s="274" t="s">
        <v>240</v>
      </c>
      <c r="T29" s="1009" t="s">
        <v>240</v>
      </c>
      <c r="U29" s="113"/>
      <c r="V29" s="273" t="s">
        <v>219</v>
      </c>
      <c r="W29" s="274" t="s">
        <v>219</v>
      </c>
      <c r="X29" s="275" t="s">
        <v>232</v>
      </c>
      <c r="Y29" s="113"/>
      <c r="Z29" s="273" t="s">
        <v>219</v>
      </c>
      <c r="AA29" s="274" t="s">
        <v>220</v>
      </c>
      <c r="AB29" s="275" t="s">
        <v>240</v>
      </c>
      <c r="AC29" s="113"/>
      <c r="AD29" s="273" t="s">
        <v>223</v>
      </c>
      <c r="AE29" s="274" t="s">
        <v>219</v>
      </c>
      <c r="AF29" s="275" t="s">
        <v>220</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2023</v>
      </c>
      <c r="D31" s="1002"/>
      <c r="E31" s="1002">
        <v>2024</v>
      </c>
      <c r="F31" s="1002"/>
      <c r="G31" s="1002"/>
      <c r="H31" s="1002"/>
      <c r="I31" s="1002"/>
      <c r="J31" s="1002"/>
      <c r="K31" s="1002"/>
      <c r="L31" s="1002"/>
      <c r="M31" s="1002"/>
      <c r="N31" s="1002"/>
      <c r="O31" s="1002"/>
      <c r="P31" s="1002"/>
      <c r="Q31" s="1002">
        <v>2025</v>
      </c>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1005" t="s">
        <v>222</v>
      </c>
      <c r="E32" s="269" t="s">
        <v>224</v>
      </c>
      <c r="F32" s="269" t="s">
        <v>225</v>
      </c>
      <c r="G32" s="269" t="s">
        <v>226</v>
      </c>
      <c r="H32" s="269" t="s">
        <v>228</v>
      </c>
      <c r="I32" s="269" t="s">
        <v>229</v>
      </c>
      <c r="J32" s="269" t="s">
        <v>230</v>
      </c>
      <c r="K32" s="269" t="s">
        <v>233</v>
      </c>
      <c r="L32" s="269" t="s">
        <v>234</v>
      </c>
      <c r="M32" s="269" t="s">
        <v>235</v>
      </c>
      <c r="N32" s="269" t="s">
        <v>236</v>
      </c>
      <c r="O32" s="269" t="s">
        <v>218</v>
      </c>
      <c r="P32" s="1005" t="s">
        <v>222</v>
      </c>
      <c r="Q32" s="269" t="s">
        <v>224</v>
      </c>
      <c r="R32" s="269" t="s">
        <v>225</v>
      </c>
      <c r="S32" s="269" t="s">
        <v>226</v>
      </c>
      <c r="T32" s="1005" t="s">
        <v>228</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228.61922554347826086956521739</v>
      </c>
      <c r="D33" s="1010">
        <v>331.89427824571594539645657857</v>
      </c>
      <c r="E33" s="579">
        <v>287.56403940886699507389162562</v>
      </c>
      <c r="F33" s="579">
        <v>351.08152937868990722518976666</v>
      </c>
      <c r="G33" s="579">
        <v>312.21697864487213287635117321</v>
      </c>
      <c r="H33" s="579">
        <v>258.44718309859154929577464789</v>
      </c>
      <c r="I33" s="579">
        <v>223.86142322097378277153558052</v>
      </c>
      <c r="J33" s="579">
        <v>171.17375886524822695035460993</v>
      </c>
      <c r="K33" s="579">
        <v>179.42672413793103448275862069</v>
      </c>
      <c r="L33" s="579">
        <v>158.6950495049504950495049505</v>
      </c>
      <c r="M33" s="579">
        <v>160.40228571428571428571428571</v>
      </c>
      <c r="N33" s="579">
        <v>192.31705011030570438071225969</v>
      </c>
      <c r="O33" s="579">
        <v>197.74146757679180887372013652</v>
      </c>
      <c r="P33" s="1010">
        <v>278.76683361157484696716750139</v>
      </c>
      <c r="Q33" s="579">
        <v>280.59288217848476678349959558</v>
      </c>
      <c r="R33" s="579">
        <v>341.18622300058377116170461179</v>
      </c>
      <c r="S33" s="579">
        <v>296.99331014182499331014182499</v>
      </c>
      <c r="T33" s="1010">
        <v>266.56623235613463626492942454</v>
      </c>
      <c r="U33" s="113"/>
      <c r="V33" s="578">
        <v>301.32826475849731663685152057</v>
      </c>
      <c r="W33" s="579">
        <v>301.98571039738704409363091998</v>
      </c>
      <c r="X33" s="580">
        <v>295.51504534212695795548227535</v>
      </c>
      <c r="Y33" s="113"/>
      <c r="Z33" s="578">
        <v>308.60566020054352919126604817</v>
      </c>
      <c r="AA33" s="579">
        <v>306.75810541568556420938235827</v>
      </c>
      <c r="AB33" s="580">
        <v>300.6174979256937402046648843</v>
      </c>
      <c r="AC33" s="113"/>
      <c r="AD33" s="578">
        <v>264.9490214375168823514966972</v>
      </c>
      <c r="AE33" s="579">
        <v>247.54056902002107481559536354</v>
      </c>
      <c r="AF33" s="580">
        <v>233.51403338073497492702642018</v>
      </c>
      <c r="AG33" s="113"/>
    </row>
    <row r="34" ht="21.95" customHeight="1">
      <c r="B34" s="38" t="s">
        <v>35</v>
      </c>
      <c r="C34" s="276">
        <v>238.8965540340853117919416806</v>
      </c>
      <c r="D34" s="1011">
        <v>382.23711296296296296296296301</v>
      </c>
      <c r="E34" s="94">
        <v>330.13604342581423401688781665</v>
      </c>
      <c r="F34" s="94">
        <v>384.66018085106382978723404255</v>
      </c>
      <c r="G34" s="94">
        <v>357.98414403032217308907138345</v>
      </c>
      <c r="H34" s="94">
        <v>308.43953020134228187919463087</v>
      </c>
      <c r="I34" s="94">
        <v>277.21491387715307117322066948</v>
      </c>
      <c r="J34" s="94">
        <v>223.44614586295137901620699461</v>
      </c>
      <c r="K34" s="94">
        <v>234.55057833578202217176439163</v>
      </c>
      <c r="L34" s="94">
        <v>207.8975057736720554272517321</v>
      </c>
      <c r="M34" s="94">
        <v>192.74771742189698846045595271</v>
      </c>
      <c r="N34" s="94">
        <v>263.56058871185525249797461516</v>
      </c>
      <c r="O34" s="94">
        <v>271.05020331223912750774202237</v>
      </c>
      <c r="P34" s="1011">
        <v>439.15032841996379622446340835</v>
      </c>
      <c r="Q34" s="94">
        <v>371.27491969066032123735871505</v>
      </c>
      <c r="R34" s="94">
        <v>447.05798864845689960979070592</v>
      </c>
      <c r="S34" s="94">
        <v>380.13227628335655342407030329</v>
      </c>
      <c r="T34" s="1011">
        <v>345.0544478527607361963190184</v>
      </c>
      <c r="U34" s="113"/>
      <c r="V34" s="276">
        <v>374.24856694951103590713414785</v>
      </c>
      <c r="W34" s="94">
        <v>344.95997544604982893401493885</v>
      </c>
      <c r="X34" s="277">
        <v>384.98361824410407406358823363</v>
      </c>
      <c r="Y34" s="113"/>
      <c r="Z34" s="276">
        <v>385.37190628540958474971672331</v>
      </c>
      <c r="AA34" s="94">
        <v>350.03253661564873110586713811</v>
      </c>
      <c r="AB34" s="277">
        <v>389.26440332887501857631148759</v>
      </c>
      <c r="AC34" s="113"/>
      <c r="AD34" s="276">
        <v>313.92858765403639503242818305</v>
      </c>
      <c r="AE34" s="94">
        <v>286.62498487792770398245668185</v>
      </c>
      <c r="AF34" s="277">
        <v>309.51111427887666871299697212</v>
      </c>
      <c r="AG34" s="113"/>
    </row>
    <row r="35" ht="21.95" customHeight="1">
      <c r="B35" s="40" t="s">
        <v>98</v>
      </c>
      <c r="C35" s="576">
        <v>95.69800052906800936490403549</v>
      </c>
      <c r="D35" s="1008">
        <v>86.82942262538562857130235314</v>
      </c>
      <c r="E35" s="113">
        <v>87.10470884209851174118427373</v>
      </c>
      <c r="F35" s="113">
        <v>91.27056733605389271851198264</v>
      </c>
      <c r="G35" s="113">
        <v>87.21530935136777849660479273</v>
      </c>
      <c r="H35" s="113">
        <v>83.79184825301690699711921300</v>
      </c>
      <c r="I35" s="113">
        <v>80.75374448293188908175984367</v>
      </c>
      <c r="J35" s="113">
        <v>76.606270474765233811991091690</v>
      </c>
      <c r="K35" s="113">
        <v>76.498094957178247335870588280</v>
      </c>
      <c r="L35" s="113">
        <v>76.333310933365779622056509800</v>
      </c>
      <c r="M35" s="113">
        <v>83.21877315059752970425237664</v>
      </c>
      <c r="N35" s="113">
        <v>72.968819446874461646903355380</v>
      </c>
      <c r="O35" s="113">
        <v>72.953816363321444989816364480</v>
      </c>
      <c r="P35" s="1008">
        <v>63.478680436045214370368772910</v>
      </c>
      <c r="Q35" s="113">
        <v>75.575501413410793450626608370</v>
      </c>
      <c r="R35" s="113">
        <v>76.318113458171964346034551340</v>
      </c>
      <c r="S35" s="113">
        <v>78.128937917496798733279858980</v>
      </c>
      <c r="T35" s="1008">
        <v>77.253382477727577437907543950</v>
      </c>
      <c r="U35" s="113"/>
      <c r="V35" s="576">
        <v>80.51554270858642077437471205</v>
      </c>
      <c r="W35" s="113">
        <v>87.54224602635381882089157968</v>
      </c>
      <c r="X35" s="577">
        <v>76.760420791399692961396509300</v>
      </c>
      <c r="Y35" s="113"/>
      <c r="Z35" s="576">
        <v>80.07995787113638985065060543</v>
      </c>
      <c r="AA35" s="113">
        <v>87.63702608382439958020341128</v>
      </c>
      <c r="AB35" s="577">
        <v>77.227071202730526330424357660</v>
      </c>
      <c r="AC35" s="113"/>
      <c r="AD35" s="576">
        <v>84.39786367259215355648512919</v>
      </c>
      <c r="AE35" s="113">
        <v>86.36391873704639516807266891</v>
      </c>
      <c r="AF35" s="577">
        <v>75.44608985198374179540569400</v>
      </c>
      <c r="AG35" s="113"/>
    </row>
    <row r="36" ht="21.95" customHeight="1">
      <c r="A36" s="23"/>
      <c r="B36" s="39" t="s">
        <v>23</v>
      </c>
      <c r="C36" s="273" t="s">
        <v>220</v>
      </c>
      <c r="D36" s="1009" t="s">
        <v>221</v>
      </c>
      <c r="E36" s="274" t="s">
        <v>221</v>
      </c>
      <c r="F36" s="274" t="s">
        <v>221</v>
      </c>
      <c r="G36" s="274" t="s">
        <v>221</v>
      </c>
      <c r="H36" s="274" t="s">
        <v>221</v>
      </c>
      <c r="I36" s="274" t="s">
        <v>221</v>
      </c>
      <c r="J36" s="274" t="s">
        <v>232</v>
      </c>
      <c r="K36" s="274" t="s">
        <v>232</v>
      </c>
      <c r="L36" s="274" t="s">
        <v>232</v>
      </c>
      <c r="M36" s="274" t="s">
        <v>231</v>
      </c>
      <c r="N36" s="274" t="s">
        <v>231</v>
      </c>
      <c r="O36" s="274" t="s">
        <v>231</v>
      </c>
      <c r="P36" s="1009" t="s">
        <v>231</v>
      </c>
      <c r="Q36" s="274" t="s">
        <v>231</v>
      </c>
      <c r="R36" s="274" t="s">
        <v>231</v>
      </c>
      <c r="S36" s="274" t="s">
        <v>231</v>
      </c>
      <c r="T36" s="1009" t="s">
        <v>231</v>
      </c>
      <c r="U36" s="113"/>
      <c r="V36" s="273" t="s">
        <v>220</v>
      </c>
      <c r="W36" s="274" t="s">
        <v>221</v>
      </c>
      <c r="X36" s="275" t="s">
        <v>231</v>
      </c>
      <c r="Y36" s="113"/>
      <c r="Z36" s="273" t="s">
        <v>220</v>
      </c>
      <c r="AA36" s="274" t="s">
        <v>221</v>
      </c>
      <c r="AB36" s="275" t="s">
        <v>231</v>
      </c>
      <c r="AC36" s="113"/>
      <c r="AD36" s="273" t="s">
        <v>220</v>
      </c>
      <c r="AE36" s="274" t="s">
        <v>220</v>
      </c>
      <c r="AF36" s="275" t="s">
        <v>221</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-13.051875238990915761515486610</v>
      </c>
      <c r="D38" s="1006">
        <v>3.8038201582109236315383072600</v>
      </c>
      <c r="E38" s="574">
        <v>2.2539092647899099129884983200</v>
      </c>
      <c r="F38" s="574">
        <v>1.2162344522410634697652324300</v>
      </c>
      <c r="G38" s="574">
        <v>-0.7483064832101831910544914300</v>
      </c>
      <c r="H38" s="574">
        <v>-1.9665363402226929105900365600</v>
      </c>
      <c r="I38" s="574">
        <v>-14.640373994918915216975929880</v>
      </c>
      <c r="J38" s="574">
        <v>-7.6972330895483458723735015600</v>
      </c>
      <c r="K38" s="574">
        <v>-3.2597745184463937248828842200</v>
      </c>
      <c r="L38" s="574">
        <v>-6.1624018703361361635951644900</v>
      </c>
      <c r="M38" s="574">
        <v>-1.1041850725666247487794883100</v>
      </c>
      <c r="N38" s="574">
        <v>3.8954704505473957463029178900</v>
      </c>
      <c r="O38" s="574">
        <v>-13.506194806365047538624903530</v>
      </c>
      <c r="P38" s="1006">
        <v>-16.007339721233494521939845730</v>
      </c>
      <c r="Q38" s="574">
        <v>-2.4242103584108571590060360400</v>
      </c>
      <c r="R38" s="574">
        <v>-2.8185209274972965284833102800</v>
      </c>
      <c r="S38" s="574">
        <v>-4.8759899506905570964352785100</v>
      </c>
      <c r="T38" s="1006">
        <v>3.1414733022789974030718427700</v>
      </c>
      <c r="U38" s="113"/>
      <c r="V38" s="573">
        <v>-8.758883111926927059745052090</v>
      </c>
      <c r="W38" s="574">
        <v>0.2181825323999907241947241800</v>
      </c>
      <c r="X38" s="575">
        <v>-2.1427057084118084790466402400</v>
      </c>
      <c r="Y38" s="113"/>
      <c r="Z38" s="573">
        <v>-11.808452825097427195128043790</v>
      </c>
      <c r="AA38" s="574">
        <v>-0.5986781913248402563359780900</v>
      </c>
      <c r="AB38" s="575">
        <v>-2.0017751386503318450104802400</v>
      </c>
      <c r="AC38" s="113"/>
      <c r="AD38" s="573">
        <v>-4.0095043249644541521713745500</v>
      </c>
      <c r="AE38" s="574">
        <v>-6.5704913054700533213040833200</v>
      </c>
      <c r="AF38" s="575">
        <v>-5.6663583245345749399431431500</v>
      </c>
      <c r="AG38" s="113"/>
    </row>
    <row r="39" ht="21.95" customHeight="1">
      <c r="B39" s="38" t="s">
        <v>35</v>
      </c>
      <c r="C39" s="271">
        <v>-23.233218368291670158834114850</v>
      </c>
      <c r="D39" s="1007">
        <v>2.1254659005001036829580803900</v>
      </c>
      <c r="E39" s="92">
        <v>-3.3178220622261525888217845200</v>
      </c>
      <c r="F39" s="92">
        <v>-9.522847999293038540960644920</v>
      </c>
      <c r="G39" s="92">
        <v>-7.3738141736572682901672865500</v>
      </c>
      <c r="H39" s="92">
        <v>-10.688279842937158953578849690</v>
      </c>
      <c r="I39" s="92">
        <v>-7.7344904555041594675486860700</v>
      </c>
      <c r="J39" s="92">
        <v>-0.0140374678165911566609575900</v>
      </c>
      <c r="K39" s="92">
        <v>4.8264792156227410170163342600</v>
      </c>
      <c r="L39" s="92">
        <v>2.9993072278396522904370573800</v>
      </c>
      <c r="M39" s="92">
        <v>3.8881055866302187946017558200</v>
      </c>
      <c r="N39" s="92">
        <v>18.800681845644874103809502030</v>
      </c>
      <c r="O39" s="92">
        <v>13.459235277855673162197742640</v>
      </c>
      <c r="P39" s="1007">
        <v>14.88950536900714641254525500</v>
      </c>
      <c r="Q39" s="92">
        <v>12.461188980750150493966081200</v>
      </c>
      <c r="R39" s="92">
        <v>16.221540701014429594312802440</v>
      </c>
      <c r="S39" s="92">
        <v>6.1869031414927477268931779100</v>
      </c>
      <c r="T39" s="1007">
        <v>11.871019783866345980813828870</v>
      </c>
      <c r="U39" s="113"/>
      <c r="V39" s="271">
        <v>-12.478012483017373454851561660</v>
      </c>
      <c r="W39" s="92">
        <v>-7.8259729201320595545932314100</v>
      </c>
      <c r="X39" s="272">
        <v>11.602401915282305293948711590</v>
      </c>
      <c r="Y39" s="113"/>
      <c r="Z39" s="271">
        <v>-12.142943773428102111774949910</v>
      </c>
      <c r="AA39" s="92">
        <v>-9.170198733578550406448071240</v>
      </c>
      <c r="AB39" s="272">
        <v>11.208062853985146011449326740</v>
      </c>
      <c r="AC39" s="113"/>
      <c r="AD39" s="271">
        <v>-8.203465187137220529577998200</v>
      </c>
      <c r="AE39" s="92">
        <v>-8.697392926242599970647692030</v>
      </c>
      <c r="AF39" s="272">
        <v>7.984694499234245296711305760</v>
      </c>
      <c r="AG39" s="113"/>
    </row>
    <row r="40" ht="21.95" customHeight="1">
      <c r="B40" s="40" t="s">
        <v>98</v>
      </c>
      <c r="C40" s="576">
        <v>13.262693723647822460824989980</v>
      </c>
      <c r="D40" s="1008">
        <v>1.6434238443518248867105277100</v>
      </c>
      <c r="E40" s="113">
        <v>5.7629352646680197238432986400</v>
      </c>
      <c r="F40" s="113">
        <v>11.869386042798186131863907460</v>
      </c>
      <c r="G40" s="113">
        <v>7.1529531647831752157817245600</v>
      </c>
      <c r="H40" s="113">
        <v>9.765508364799709929322405360</v>
      </c>
      <c r="I40" s="113">
        <v>-7.4847942351943574675507628800</v>
      </c>
      <c r="J40" s="113">
        <v>-7.6842742992487367940105153400</v>
      </c>
      <c r="K40" s="113">
        <v>-7.7139419301128782284550640500</v>
      </c>
      <c r="L40" s="113">
        <v>-8.894923028868001935083567110</v>
      </c>
      <c r="M40" s="113">
        <v>-4.8054497009186050789669439400</v>
      </c>
      <c r="N40" s="113">
        <v>-12.546402228969786748893556700</v>
      </c>
      <c r="O40" s="113">
        <v>-23.766624213702842583420651850</v>
      </c>
      <c r="P40" s="1008">
        <v>-26.892660901471950777036897620</v>
      </c>
      <c r="Q40" s="113">
        <v>-13.236032336195396288191402340</v>
      </c>
      <c r="R40" s="113">
        <v>-16.382558270801864642519840590</v>
      </c>
      <c r="S40" s="113">
        <v>-10.418321624352920745535600320</v>
      </c>
      <c r="T40" s="1008">
        <v>-7.8032241937548212946595451300</v>
      </c>
      <c r="U40" s="113"/>
      <c r="V40" s="576">
        <v>4.2493657612193745484705546200</v>
      </c>
      <c r="W40" s="113">
        <v>8.727138986300697030599186080</v>
      </c>
      <c r="X40" s="577">
        <v>-12.316139606183791746182716950</v>
      </c>
      <c r="Y40" s="113"/>
      <c r="Z40" s="576">
        <v>0.3807217800067228806508588500</v>
      </c>
      <c r="AA40" s="113">
        <v>9.436903332152806542866042600</v>
      </c>
      <c r="AB40" s="577">
        <v>-11.878489431071405282896985470</v>
      </c>
      <c r="AC40" s="113"/>
      <c r="AD40" s="576">
        <v>4.568757274744487491306871600</v>
      </c>
      <c r="AE40" s="113">
        <v>2.3295080928507914182119111600</v>
      </c>
      <c r="AF40" s="577">
        <v>-12.641655270719953742010925120</v>
      </c>
      <c r="AG40" s="113"/>
    </row>
    <row r="41" ht="21.95" customHeight="1">
      <c r="A41" s="23"/>
      <c r="B41" s="39" t="s">
        <v>23</v>
      </c>
      <c r="C41" s="273" t="s">
        <v>227</v>
      </c>
      <c r="D41" s="1009" t="s">
        <v>223</v>
      </c>
      <c r="E41" s="274" t="s">
        <v>220</v>
      </c>
      <c r="F41" s="274" t="s">
        <v>227</v>
      </c>
      <c r="G41" s="274" t="s">
        <v>221</v>
      </c>
      <c r="H41" s="274" t="s">
        <v>227</v>
      </c>
      <c r="I41" s="274" t="s">
        <v>223</v>
      </c>
      <c r="J41" s="274" t="s">
        <v>232</v>
      </c>
      <c r="K41" s="274" t="s">
        <v>231</v>
      </c>
      <c r="L41" s="274" t="s">
        <v>232</v>
      </c>
      <c r="M41" s="274" t="s">
        <v>231</v>
      </c>
      <c r="N41" s="274" t="s">
        <v>232</v>
      </c>
      <c r="O41" s="274" t="s">
        <v>240</v>
      </c>
      <c r="P41" s="1009" t="s">
        <v>240</v>
      </c>
      <c r="Q41" s="274" t="s">
        <v>239</v>
      </c>
      <c r="R41" s="274" t="s">
        <v>239</v>
      </c>
      <c r="S41" s="274" t="s">
        <v>240</v>
      </c>
      <c r="T41" s="1009" t="s">
        <v>231</v>
      </c>
      <c r="U41" s="113"/>
      <c r="V41" s="273" t="s">
        <v>219</v>
      </c>
      <c r="W41" s="274" t="s">
        <v>227</v>
      </c>
      <c r="X41" s="275" t="s">
        <v>240</v>
      </c>
      <c r="Y41" s="113"/>
      <c r="Z41" s="273" t="s">
        <v>219</v>
      </c>
      <c r="AA41" s="274" t="s">
        <v>227</v>
      </c>
      <c r="AB41" s="275" t="s">
        <v>232</v>
      </c>
      <c r="AC41" s="113"/>
      <c r="AD41" s="273" t="s">
        <v>223</v>
      </c>
      <c r="AE41" s="274" t="s">
        <v>221</v>
      </c>
      <c r="AF41" s="275" t="s">
        <v>219</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2023</v>
      </c>
      <c r="D43" s="1002"/>
      <c r="E43" s="1002">
        <v>2024</v>
      </c>
      <c r="F43" s="1002"/>
      <c r="G43" s="1002"/>
      <c r="H43" s="1002"/>
      <c r="I43" s="1002"/>
      <c r="J43" s="1002"/>
      <c r="K43" s="1002"/>
      <c r="L43" s="1002"/>
      <c r="M43" s="1002"/>
      <c r="N43" s="1002"/>
      <c r="O43" s="1002"/>
      <c r="P43" s="1002"/>
      <c r="Q43" s="1002">
        <v>2025</v>
      </c>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1005" t="s">
        <v>222</v>
      </c>
      <c r="E44" s="269" t="s">
        <v>224</v>
      </c>
      <c r="F44" s="269" t="s">
        <v>225</v>
      </c>
      <c r="G44" s="269" t="s">
        <v>226</v>
      </c>
      <c r="H44" s="269" t="s">
        <v>228</v>
      </c>
      <c r="I44" s="269" t="s">
        <v>229</v>
      </c>
      <c r="J44" s="269" t="s">
        <v>230</v>
      </c>
      <c r="K44" s="269" t="s">
        <v>233</v>
      </c>
      <c r="L44" s="269" t="s">
        <v>234</v>
      </c>
      <c r="M44" s="269" t="s">
        <v>235</v>
      </c>
      <c r="N44" s="269" t="s">
        <v>236</v>
      </c>
      <c r="O44" s="269" t="s">
        <v>218</v>
      </c>
      <c r="P44" s="1005" t="s">
        <v>222</v>
      </c>
      <c r="Q44" s="269" t="s">
        <v>224</v>
      </c>
      <c r="R44" s="269" t="s">
        <v>225</v>
      </c>
      <c r="S44" s="269" t="s">
        <v>226</v>
      </c>
      <c r="T44" s="1005" t="s">
        <v>228</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169.96338383838383838383838384</v>
      </c>
      <c r="D45" s="1010">
        <v>279.2551319648093841642228739</v>
      </c>
      <c r="E45" s="579">
        <v>256.78372434017595307917888563</v>
      </c>
      <c r="F45" s="579">
        <v>326.2270114942528735632183908</v>
      </c>
      <c r="G45" s="579">
        <v>289.40347018572825024437927664</v>
      </c>
      <c r="H45" s="579">
        <v>240.95631313131313131313131313</v>
      </c>
      <c r="I45" s="579">
        <v>189.88831867057673509286412512</v>
      </c>
      <c r="J45" s="579">
        <v>134.08611111111111111111111111</v>
      </c>
      <c r="K45" s="579">
        <v>132.24608993157380254154447703</v>
      </c>
      <c r="L45" s="579">
        <v>117.50879765395894428152492669</v>
      </c>
      <c r="M45" s="579">
        <v>106.32727272727272727272727273</v>
      </c>
      <c r="N45" s="579">
        <v>149.12561094819159335288367546</v>
      </c>
      <c r="O45" s="579">
        <v>175.57045454545454545454545455</v>
      </c>
      <c r="P45" s="1010">
        <v>244.84066471163245356793743891</v>
      </c>
      <c r="Q45" s="579">
        <v>254.33015640273704789833822092</v>
      </c>
      <c r="R45" s="579">
        <v>316.26190476190476190476190476</v>
      </c>
      <c r="S45" s="579">
        <v>271.2277614858260019550342131</v>
      </c>
      <c r="T45" s="1010">
        <v>247.98737373737373737373737374</v>
      </c>
      <c r="U45" s="113"/>
      <c r="V45" s="578">
        <v>276.48390151515151515151515152</v>
      </c>
      <c r="W45" s="579">
        <v>277.86013022789882294014525419</v>
      </c>
      <c r="X45" s="580">
        <v>271.56041666666666666666666667</v>
      </c>
      <c r="Y45" s="113"/>
      <c r="Z45" s="578">
        <v>280.31418113721484508001361934</v>
      </c>
      <c r="AA45" s="579">
        <v>285.11978114478114478114478114</v>
      </c>
      <c r="AB45" s="580">
        <v>277.5619679945522642151855635</v>
      </c>
      <c r="AC45" s="113"/>
      <c r="AD45" s="578">
        <v>223.94186384391863843918638439</v>
      </c>
      <c r="AE45" s="579">
        <v>204.22404371584699453551912568</v>
      </c>
      <c r="AF45" s="580">
        <v>194.27029887920298879202988792</v>
      </c>
      <c r="AG45" s="113"/>
    </row>
    <row r="46" ht="21.95" customHeight="1">
      <c r="B46" s="38" t="s">
        <v>35</v>
      </c>
      <c r="C46" s="276">
        <v>190.6477138364779874213836478</v>
      </c>
      <c r="D46" s="1011">
        <v>314.07188222763237979306147292</v>
      </c>
      <c r="E46" s="94">
        <v>273.91455385326045115097390099</v>
      </c>
      <c r="F46" s="94">
        <v>327.32995391325805114845721105</v>
      </c>
      <c r="G46" s="94">
        <v>305.3985911155593194241281084</v>
      </c>
      <c r="H46" s="94">
        <v>255.9287430389817024661893397</v>
      </c>
      <c r="I46" s="94">
        <v>197.01061436600200169374085765</v>
      </c>
      <c r="J46" s="94">
        <v>152.29846802325581395348837209</v>
      </c>
      <c r="K46" s="94">
        <v>164.67368529632408102025506377</v>
      </c>
      <c r="L46" s="94">
        <v>143.5046455363840960240060015</v>
      </c>
      <c r="M46" s="94">
        <v>132.7195038759689922480620155</v>
      </c>
      <c r="N46" s="94">
        <v>183.03917104276069017254313578</v>
      </c>
      <c r="O46" s="94">
        <v>195.0668468992248062015503876</v>
      </c>
      <c r="P46" s="1011">
        <v>318.49105776444111027756939235</v>
      </c>
      <c r="Q46" s="94">
        <v>292.62619092273068267066766692</v>
      </c>
      <c r="R46" s="94">
        <v>392.52174107142857142857142857</v>
      </c>
      <c r="S46" s="94">
        <v>332.61574174793698424606151538</v>
      </c>
      <c r="T46" s="1011">
        <v>305.19932170542635658914728682</v>
      </c>
      <c r="U46" s="113"/>
      <c r="V46" s="276">
        <v>292.15087723387723387723387723</v>
      </c>
      <c r="W46" s="94">
        <v>290.01507078978407828308870326</v>
      </c>
      <c r="X46" s="277">
        <v>329.40906928294573643410852713</v>
      </c>
      <c r="Y46" s="113"/>
      <c r="Z46" s="276">
        <v>302.85926036510306173227521542</v>
      </c>
      <c r="AA46" s="94">
        <v>295.62311601486534166618487034</v>
      </c>
      <c r="AB46" s="277">
        <v>342.2210830938071596550823099</v>
      </c>
      <c r="AC46" s="113"/>
      <c r="AD46" s="276">
        <v>217.75860489760058837957349722</v>
      </c>
      <c r="AE46" s="94">
        <v>211.81439179625287659622275558</v>
      </c>
      <c r="AF46" s="277">
        <v>232.60104515775892403331117801</v>
      </c>
      <c r="AG46" s="113"/>
    </row>
    <row r="47" ht="21.95" customHeight="1">
      <c r="B47" s="40" t="s">
        <v>99</v>
      </c>
      <c r="C47" s="576">
        <v>89.15049670312065766151313995</v>
      </c>
      <c r="D47" s="1008">
        <v>88.91440073659322616079865792</v>
      </c>
      <c r="E47" s="113">
        <v>93.74592212347403082288036759</v>
      </c>
      <c r="F47" s="113">
        <v>99.66304873542393154059800450</v>
      </c>
      <c r="G47" s="113">
        <v>94.76254265894198278427628520</v>
      </c>
      <c r="H47" s="113">
        <v>94.14976616932578085107629298</v>
      </c>
      <c r="I47" s="113">
        <v>96.38481626061441927134715218</v>
      </c>
      <c r="J47" s="113">
        <v>88.04166768808035714435971076</v>
      </c>
      <c r="K47" s="113">
        <v>80.30796765956946573840267803</v>
      </c>
      <c r="L47" s="113">
        <v>81.88501300060895906627863527</v>
      </c>
      <c r="M47" s="113">
        <v>80.11427832537291007069291128</v>
      </c>
      <c r="N47" s="113">
        <v>81.47196586315482818890903357</v>
      </c>
      <c r="O47" s="113">
        <v>90.00527631237094019232051373</v>
      </c>
      <c r="P47" s="1008">
        <v>76.875208500437850532987024950</v>
      </c>
      <c r="Q47" s="113">
        <v>86.91298465143907266793512140</v>
      </c>
      <c r="R47" s="113">
        <v>80.57181849307462526023663548</v>
      </c>
      <c r="S47" s="113">
        <v>81.54387403931053522058979169</v>
      </c>
      <c r="T47" s="1008">
        <v>81.25423488874877427020996552</v>
      </c>
      <c r="U47" s="113"/>
      <c r="V47" s="576">
        <v>94.63736824373616746987080097</v>
      </c>
      <c r="W47" s="113">
        <v>95.80885899177599792421077380</v>
      </c>
      <c r="X47" s="577">
        <v>82.43865818808033565481082644</v>
      </c>
      <c r="Y47" s="113"/>
      <c r="Z47" s="576">
        <v>92.55592211355636721935440330</v>
      </c>
      <c r="AA47" s="113">
        <v>96.44705224283290958781541211</v>
      </c>
      <c r="AB47" s="577">
        <v>81.10603983988759653518219915</v>
      </c>
      <c r="AC47" s="113"/>
      <c r="AD47" s="576">
        <v>102.83950154310838279815824884</v>
      </c>
      <c r="AE47" s="113">
        <v>96.41650974889724438272485870</v>
      </c>
      <c r="AF47" s="577">
        <v>83.52081941308867969968748479</v>
      </c>
      <c r="AG47" s="113"/>
    </row>
    <row r="48" ht="21.95" customHeight="1">
      <c r="A48" s="23"/>
      <c r="B48" s="39" t="s">
        <v>23</v>
      </c>
      <c r="C48" s="273" t="s">
        <v>221</v>
      </c>
      <c r="D48" s="1009" t="s">
        <v>221</v>
      </c>
      <c r="E48" s="274" t="s">
        <v>221</v>
      </c>
      <c r="F48" s="274" t="s">
        <v>221</v>
      </c>
      <c r="G48" s="274" t="s">
        <v>221</v>
      </c>
      <c r="H48" s="274" t="s">
        <v>221</v>
      </c>
      <c r="I48" s="274" t="s">
        <v>221</v>
      </c>
      <c r="J48" s="274" t="s">
        <v>231</v>
      </c>
      <c r="K48" s="274" t="s">
        <v>232</v>
      </c>
      <c r="L48" s="274" t="s">
        <v>232</v>
      </c>
      <c r="M48" s="274" t="s">
        <v>232</v>
      </c>
      <c r="N48" s="274" t="s">
        <v>231</v>
      </c>
      <c r="O48" s="274" t="s">
        <v>231</v>
      </c>
      <c r="P48" s="1009" t="s">
        <v>231</v>
      </c>
      <c r="Q48" s="274" t="s">
        <v>231</v>
      </c>
      <c r="R48" s="274" t="s">
        <v>231</v>
      </c>
      <c r="S48" s="274" t="s">
        <v>231</v>
      </c>
      <c r="T48" s="1009" t="s">
        <v>231</v>
      </c>
      <c r="U48" s="113"/>
      <c r="V48" s="273" t="s">
        <v>221</v>
      </c>
      <c r="W48" s="274" t="s">
        <v>221</v>
      </c>
      <c r="X48" s="275" t="s">
        <v>231</v>
      </c>
      <c r="Y48" s="113"/>
      <c r="Z48" s="273" t="s">
        <v>221</v>
      </c>
      <c r="AA48" s="274" t="s">
        <v>221</v>
      </c>
      <c r="AB48" s="275" t="s">
        <v>231</v>
      </c>
      <c r="AC48" s="113"/>
      <c r="AD48" s="273" t="s">
        <v>221</v>
      </c>
      <c r="AE48" s="274" t="s">
        <v>221</v>
      </c>
      <c r="AF48" s="275" t="s">
        <v>221</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-25.240864691475467823792435350</v>
      </c>
      <c r="D50" s="1006">
        <v>1.1595111250441159590923115600</v>
      </c>
      <c r="E50" s="574">
        <v>-3.2783369263201432682346229400</v>
      </c>
      <c r="F50" s="574">
        <v>0.147349829674445464388405100</v>
      </c>
      <c r="G50" s="574">
        <v>0.3897796024556957236371573900</v>
      </c>
      <c r="H50" s="574">
        <v>4.9100138643372400464617334400</v>
      </c>
      <c r="I50" s="574">
        <v>-6.2987786642600053603046342500</v>
      </c>
      <c r="J50" s="574">
        <v>-15.861538949083926065805710980</v>
      </c>
      <c r="K50" s="574">
        <v>-13.473155381894249131028395710</v>
      </c>
      <c r="L50" s="574">
        <v>-4.6519375141507881124224555800</v>
      </c>
      <c r="M50" s="574">
        <v>-2.9889707830734737770673180900</v>
      </c>
      <c r="N50" s="574">
        <v>3.6667697294080710262708322400</v>
      </c>
      <c r="O50" s="574">
        <v>3.2989874527243521923216165700</v>
      </c>
      <c r="P50" s="1006">
        <v>-12.323665105465448187067301180</v>
      </c>
      <c r="Q50" s="574">
        <v>-0.955499786354193472357622200</v>
      </c>
      <c r="R50" s="574">
        <v>-3.0546540848195071602992651500</v>
      </c>
      <c r="S50" s="574">
        <v>-6.2804045467081948954270206200</v>
      </c>
      <c r="T50" s="1006">
        <v>2.9179814858149940578076020500</v>
      </c>
      <c r="U50" s="113"/>
      <c r="V50" s="573">
        <v>-10.265367921826321658764248570</v>
      </c>
      <c r="W50" s="574">
        <v>0.4977608841443389736582238800</v>
      </c>
      <c r="X50" s="575">
        <v>-2.2672247206054097056218913500</v>
      </c>
      <c r="Y50" s="113"/>
      <c r="Z50" s="573">
        <v>-14.585950271961154067583039040</v>
      </c>
      <c r="AA50" s="574">
        <v>1.7143620733297970453147711400</v>
      </c>
      <c r="AB50" s="575">
        <v>-2.6507501934456976538941246900</v>
      </c>
      <c r="AC50" s="113"/>
      <c r="AD50" s="573">
        <v>-4.2891886936373646007539174600</v>
      </c>
      <c r="AE50" s="574">
        <v>-8.804883459305951184034738640</v>
      </c>
      <c r="AF50" s="575">
        <v>-4.8739338696322805484475928800</v>
      </c>
      <c r="AG50" s="113"/>
    </row>
    <row r="51" ht="21.95" customHeight="1">
      <c r="B51" s="38" t="s">
        <v>35</v>
      </c>
      <c r="C51" s="271">
        <v>-14.261746148027407187399928950</v>
      </c>
      <c r="D51" s="1007">
        <v>26.411596840829123531512513100</v>
      </c>
      <c r="E51" s="92">
        <v>4.7845227566348363617468649500</v>
      </c>
      <c r="F51" s="92">
        <v>-3.2299028574969594914367190600</v>
      </c>
      <c r="G51" s="92">
        <v>-1.3714720988019529361906984200</v>
      </c>
      <c r="H51" s="92">
        <v>-2.6186183613761351284680192800</v>
      </c>
      <c r="I51" s="92">
        <v>-2.986668401619609350155434900</v>
      </c>
      <c r="J51" s="92">
        <v>9.673544169334438169969168850</v>
      </c>
      <c r="K51" s="92">
        <v>13.526090245006229608948352890</v>
      </c>
      <c r="L51" s="92">
        <v>5.5811029806141611890126327100</v>
      </c>
      <c r="M51" s="92">
        <v>17.940377548494954680774310970</v>
      </c>
      <c r="N51" s="92">
        <v>22.870077405286916842042773490</v>
      </c>
      <c r="O51" s="92">
        <v>2.3179575426299980621590009900</v>
      </c>
      <c r="P51" s="1007">
        <v>1.4070586343156452400495322900</v>
      </c>
      <c r="Q51" s="92">
        <v>6.8311949132327030743974423200</v>
      </c>
      <c r="R51" s="92">
        <v>19.916230207088210148380403580</v>
      </c>
      <c r="S51" s="92">
        <v>8.912009231252380458668770860</v>
      </c>
      <c r="T51" s="1007">
        <v>19.251678448214861897846108940</v>
      </c>
      <c r="U51" s="113"/>
      <c r="V51" s="271">
        <v>1.5466895317328701404730193400</v>
      </c>
      <c r="W51" s="92">
        <v>-0.7310628208061021083451424700</v>
      </c>
      <c r="X51" s="272">
        <v>13.583431504391752612173727730</v>
      </c>
      <c r="Y51" s="113"/>
      <c r="Z51" s="271">
        <v>-5.3071557055155900540675215400</v>
      </c>
      <c r="AA51" s="92">
        <v>-2.3892762405585389000606764100</v>
      </c>
      <c r="AB51" s="272">
        <v>15.762626315243402120864947170</v>
      </c>
      <c r="AC51" s="113"/>
      <c r="AD51" s="271">
        <v>-0.4502922684594881356795556900</v>
      </c>
      <c r="AE51" s="92">
        <v>-2.72972592938054629596057700</v>
      </c>
      <c r="AF51" s="272">
        <v>9.813617094276229376496691150</v>
      </c>
      <c r="AG51" s="113"/>
    </row>
    <row r="52" ht="21.95" customHeight="1">
      <c r="B52" s="40" t="s">
        <v>99</v>
      </c>
      <c r="C52" s="576">
        <v>-12.805390884708387867954647430</v>
      </c>
      <c r="D52" s="1008">
        <v>-19.976083165534077827128578920</v>
      </c>
      <c r="E52" s="113">
        <v>-7.6947047816350157188188880800</v>
      </c>
      <c r="F52" s="113">
        <v>3.4899755057452364536011238700</v>
      </c>
      <c r="G52" s="113">
        <v>1.7857426636316076725696389900</v>
      </c>
      <c r="H52" s="113">
        <v>7.7310796982363551672756010200</v>
      </c>
      <c r="I52" s="113">
        <v>-3.414077434604272777744760400</v>
      </c>
      <c r="J52" s="113">
        <v>-23.282810190816574327499512600</v>
      </c>
      <c r="K52" s="113">
        <v>-23.782414745928648501887748510</v>
      </c>
      <c r="L52" s="113">
        <v>-9.692113650944501562890223420</v>
      </c>
      <c r="M52" s="113">
        <v>-17.745702334218437202850716990</v>
      </c>
      <c r="N52" s="113">
        <v>-15.628953835915851659091220810</v>
      </c>
      <c r="O52" s="113">
        <v>0.9588052124012644236182640700</v>
      </c>
      <c r="P52" s="1008">
        <v>-13.540205114610230280802680780</v>
      </c>
      <c r="Q52" s="113">
        <v>-7.2887836796349173329542331400</v>
      </c>
      <c r="R52" s="113">
        <v>-19.155775871367890516175962890</v>
      </c>
      <c r="S52" s="113">
        <v>-13.949254894067557075874003820</v>
      </c>
      <c r="T52" s="1008">
        <v>-13.696827730153356284114824340</v>
      </c>
      <c r="U52" s="113"/>
      <c r="V52" s="576">
        <v>-11.632144295424584705733978080</v>
      </c>
      <c r="W52" s="113">
        <v>1.2378733367344922384029279200</v>
      </c>
      <c r="X52" s="577">
        <v>-13.955077791777043001957565410</v>
      </c>
      <c r="Y52" s="113"/>
      <c r="Z52" s="576">
        <v>-9.798833941053648006049104710</v>
      </c>
      <c r="AA52" s="113">
        <v>4.2040855305369530273010877400</v>
      </c>
      <c r="AB52" s="577">
        <v>-15.906149587954510279136629180</v>
      </c>
      <c r="AC52" s="113"/>
      <c r="AD52" s="576">
        <v>-3.8562608696803853159398529600</v>
      </c>
      <c r="AE52" s="113">
        <v>-6.2456465636513046967088118100</v>
      </c>
      <c r="AF52" s="577">
        <v>-13.374981493725399136576290140</v>
      </c>
      <c r="AG52" s="113"/>
    </row>
    <row r="53" ht="21.95" customHeight="1">
      <c r="A53" s="23"/>
      <c r="B53" s="39" t="s">
        <v>23</v>
      </c>
      <c r="C53" s="273" t="s">
        <v>238</v>
      </c>
      <c r="D53" s="1009" t="s">
        <v>238</v>
      </c>
      <c r="E53" s="274" t="s">
        <v>238</v>
      </c>
      <c r="F53" s="274" t="s">
        <v>220</v>
      </c>
      <c r="G53" s="274" t="s">
        <v>221</v>
      </c>
      <c r="H53" s="274" t="s">
        <v>221</v>
      </c>
      <c r="I53" s="274" t="s">
        <v>223</v>
      </c>
      <c r="J53" s="274" t="s">
        <v>239</v>
      </c>
      <c r="K53" s="274" t="s">
        <v>239</v>
      </c>
      <c r="L53" s="274" t="s">
        <v>232</v>
      </c>
      <c r="M53" s="274" t="s">
        <v>240</v>
      </c>
      <c r="N53" s="274" t="s">
        <v>240</v>
      </c>
      <c r="O53" s="274" t="s">
        <v>231</v>
      </c>
      <c r="P53" s="1009" t="s">
        <v>232</v>
      </c>
      <c r="Q53" s="274" t="s">
        <v>231</v>
      </c>
      <c r="R53" s="274" t="s">
        <v>240</v>
      </c>
      <c r="S53" s="274" t="s">
        <v>240</v>
      </c>
      <c r="T53" s="1009" t="s">
        <v>240</v>
      </c>
      <c r="U53" s="113"/>
      <c r="V53" s="273" t="s">
        <v>219</v>
      </c>
      <c r="W53" s="274" t="s">
        <v>220</v>
      </c>
      <c r="X53" s="275" t="s">
        <v>240</v>
      </c>
      <c r="Y53" s="113"/>
      <c r="Z53" s="273" t="s">
        <v>223</v>
      </c>
      <c r="AA53" s="274" t="s">
        <v>221</v>
      </c>
      <c r="AB53" s="275" t="s">
        <v>240</v>
      </c>
      <c r="AC53" s="113"/>
      <c r="AD53" s="273" t="s">
        <v>223</v>
      </c>
      <c r="AE53" s="274" t="s">
        <v>219</v>
      </c>
      <c r="AF53" s="275" t="s">
        <v>223</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8">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D19"/>
    <mergeCell ref="C31:D31"/>
    <mergeCell ref="C43:D43"/>
    <mergeCell ref="E19:P19"/>
    <mergeCell ref="E31:P31"/>
    <mergeCell ref="E43:P43"/>
    <mergeCell ref="Q19:T19"/>
    <mergeCell ref="Q31:T31"/>
    <mergeCell ref="Q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82.39898989898989898989898990</v>
      </c>
      <c r="F10" s="113">
        <v>-8.316942961467914884962903210</v>
      </c>
      <c r="G10" s="659"/>
      <c r="H10" s="18" t="s">
        <v>19</v>
      </c>
      <c r="I10" s="667">
        <v>10.631313131313131313131313130</v>
      </c>
      <c r="J10" s="113">
        <v>216.54135338212584091809029717</v>
      </c>
      <c r="K10" s="9"/>
      <c r="L10" s="18" t="s">
        <v>19</v>
      </c>
      <c r="M10" s="667">
        <v>0</v>
      </c>
      <c r="N10" s="113">
        <v>0</v>
      </c>
      <c r="O10" s="9"/>
      <c r="P10" s="18" t="s">
        <v>19</v>
      </c>
      <c r="Q10" s="667">
        <v>93.03030303030303030303030303</v>
      </c>
      <c r="R10" s="113">
        <v>-0.2166847237021124999853212200</v>
      </c>
      <c r="S10" s="674"/>
      <c r="T10" s="9"/>
    </row>
    <row r="11" ht="15" customHeight="1">
      <c r="A11" s="2"/>
      <c r="B11" s="44"/>
      <c r="C11" s="45"/>
      <c r="D11" s="133" t="s">
        <v>16</v>
      </c>
      <c r="E11" s="92">
        <v>85.09689922480620155038759690</v>
      </c>
      <c r="F11" s="92">
        <v>7.1811646548910703082891326800</v>
      </c>
      <c r="G11" s="661"/>
      <c r="H11" s="133" t="s">
        <v>16</v>
      </c>
      <c r="I11" s="668">
        <v>3.3527131782945736434108527100</v>
      </c>
      <c r="J11" s="92">
        <v>-6.3475452195570774332471304300</v>
      </c>
      <c r="K11" s="120"/>
      <c r="L11" s="133" t="s">
        <v>16</v>
      </c>
      <c r="M11" s="668">
        <v>0</v>
      </c>
      <c r="N11" s="92">
        <v>0</v>
      </c>
      <c r="O11" s="120"/>
      <c r="P11" s="133" t="s">
        <v>16</v>
      </c>
      <c r="Q11" s="668">
        <v>88.44961240310077519379844961</v>
      </c>
      <c r="R11" s="92">
        <v>6.5974715155337728883242966900</v>
      </c>
      <c r="S11" s="674"/>
      <c r="T11" s="9"/>
    </row>
    <row r="12" ht="15" customHeight="1">
      <c r="A12" s="2"/>
      <c r="B12" s="44"/>
      <c r="C12" s="45"/>
      <c r="D12" s="19" t="s">
        <v>97</v>
      </c>
      <c r="E12" s="113">
        <v>96.82960325183759149645169117</v>
      </c>
      <c r="F12" s="113">
        <v>-14.459730556492653165411372080</v>
      </c>
      <c r="G12" s="113"/>
      <c r="H12" s="19" t="s">
        <v>97</v>
      </c>
      <c r="I12" s="667">
        <v>317.09581362709231646209242718</v>
      </c>
      <c r="J12" s="113">
        <v>237.99578892509678705469905663</v>
      </c>
      <c r="K12" s="9"/>
      <c r="L12" s="19" t="s">
        <v>97</v>
      </c>
      <c r="M12" s="667">
        <v>0</v>
      </c>
      <c r="N12" s="113">
        <v>0</v>
      </c>
      <c r="O12" s="9"/>
      <c r="P12" s="19" t="s">
        <v>97</v>
      </c>
      <c r="Q12" s="667">
        <v>105.17887020954597798388359892</v>
      </c>
      <c r="R12" s="113">
        <v>-6.3924182650381304969332110500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264.2133006435795280416794361</v>
      </c>
      <c r="F14" s="113">
        <v>2.4890666781314954155256716700</v>
      </c>
      <c r="G14" s="664"/>
      <c r="H14" s="53" t="s">
        <v>19</v>
      </c>
      <c r="I14" s="670">
        <v>284.80285035629453681710213777</v>
      </c>
      <c r="J14" s="113">
        <v>3.242876876974183653565297100</v>
      </c>
      <c r="K14" s="671"/>
      <c r="L14" s="53" t="s">
        <v>19</v>
      </c>
      <c r="M14" s="670">
        <v>0</v>
      </c>
      <c r="N14" s="113">
        <v>0</v>
      </c>
      <c r="O14" s="671"/>
      <c r="P14" s="53" t="s">
        <v>19</v>
      </c>
      <c r="Q14" s="670">
        <v>266.56623235613463626492942454</v>
      </c>
      <c r="R14" s="113">
        <v>3.1414733022789974030718427700</v>
      </c>
      <c r="S14" s="675"/>
      <c r="T14" s="9"/>
    </row>
    <row r="15" ht="15" customHeight="1">
      <c r="A15" s="2"/>
      <c r="B15" s="44"/>
      <c r="C15" s="45"/>
      <c r="D15" s="133" t="s">
        <v>16</v>
      </c>
      <c r="E15" s="665">
        <v>342.00797084946481439307674789</v>
      </c>
      <c r="F15" s="92">
        <v>12.611142699627763681251487990</v>
      </c>
      <c r="G15" s="666"/>
      <c r="H15" s="143" t="s">
        <v>16</v>
      </c>
      <c r="I15" s="672">
        <v>422.37861271676300578034682081</v>
      </c>
      <c r="J15" s="92">
        <v>2.1729836356584691068676141100</v>
      </c>
      <c r="K15" s="673"/>
      <c r="L15" s="143" t="s">
        <v>16</v>
      </c>
      <c r="M15" s="672">
        <v>0</v>
      </c>
      <c r="N15" s="92">
        <v>0</v>
      </c>
      <c r="O15" s="673"/>
      <c r="P15" s="143" t="s">
        <v>16</v>
      </c>
      <c r="Q15" s="672">
        <v>345.0544478527607361963190184</v>
      </c>
      <c r="R15" s="92">
        <v>11.871019783866345980813828870</v>
      </c>
      <c r="S15" s="675"/>
      <c r="T15" s="9"/>
    </row>
    <row r="16" ht="15" customHeight="1">
      <c r="A16" s="2"/>
      <c r="B16" s="44"/>
      <c r="C16" s="45"/>
      <c r="D16" s="19" t="s">
        <v>98</v>
      </c>
      <c r="E16" s="113">
        <v>77.253550549512228069881838910</v>
      </c>
      <c r="F16" s="113">
        <v>-8.988520832674483843189833780</v>
      </c>
      <c r="G16" s="113"/>
      <c r="H16" s="19" t="s">
        <v>98</v>
      </c>
      <c r="I16" s="667">
        <v>67.428331307876038477593816700</v>
      </c>
      <c r="J16" s="113">
        <v>1.0471390804115733902994890300</v>
      </c>
      <c r="K16" s="9"/>
      <c r="L16" s="19" t="s">
        <v>98</v>
      </c>
      <c r="M16" s="667">
        <v>0</v>
      </c>
      <c r="N16" s="113">
        <v>0</v>
      </c>
      <c r="O16" s="9"/>
      <c r="P16" s="19" t="s">
        <v>98</v>
      </c>
      <c r="Q16" s="667">
        <v>77.253382477727577437907543950</v>
      </c>
      <c r="R16" s="113">
        <v>-7.8032241937548212946595451300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217.70909090909090909090909091</v>
      </c>
      <c r="F18" s="113">
        <v>-6.0348905392651950782129212800</v>
      </c>
      <c r="G18" s="664"/>
      <c r="H18" s="53" t="s">
        <v>19</v>
      </c>
      <c r="I18" s="670">
        <v>30.278282828282828282828282828</v>
      </c>
      <c r="J18" s="113">
        <v>226.80639973830556227755040414</v>
      </c>
      <c r="K18" s="671"/>
      <c r="L18" s="53" t="s">
        <v>19</v>
      </c>
      <c r="M18" s="670">
        <v>0</v>
      </c>
      <c r="N18" s="113">
        <v>0</v>
      </c>
      <c r="O18" s="671"/>
      <c r="P18" s="53" t="s">
        <v>19</v>
      </c>
      <c r="Q18" s="670">
        <v>247.98737373737373737373737374</v>
      </c>
      <c r="R18" s="113">
        <v>2.9179814858149940578076020500</v>
      </c>
      <c r="S18" s="675"/>
      <c r="T18" s="9"/>
    </row>
    <row r="19" ht="15" customHeight="1">
      <c r="A19" s="2"/>
      <c r="B19" s="44"/>
      <c r="C19" s="45"/>
      <c r="D19" s="133" t="s">
        <v>16</v>
      </c>
      <c r="E19" s="665">
        <v>291.03817829457364341085271318</v>
      </c>
      <c r="F19" s="92">
        <v>20.697934276657073994767160650</v>
      </c>
      <c r="G19" s="666"/>
      <c r="H19" s="143" t="s">
        <v>16</v>
      </c>
      <c r="I19" s="672">
        <v>14.161143410852713178294573643</v>
      </c>
      <c r="J19" s="92">
        <v>-4.3124927026123772368999969400</v>
      </c>
      <c r="K19" s="673"/>
      <c r="L19" s="143" t="s">
        <v>16</v>
      </c>
      <c r="M19" s="672">
        <v>0</v>
      </c>
      <c r="N19" s="92">
        <v>0</v>
      </c>
      <c r="O19" s="673"/>
      <c r="P19" s="143" t="s">
        <v>16</v>
      </c>
      <c r="Q19" s="672">
        <v>305.19932170542635658914728682</v>
      </c>
      <c r="R19" s="92">
        <v>19.251678448214861897846108940</v>
      </c>
      <c r="S19" s="675"/>
      <c r="T19" s="9"/>
    </row>
    <row r="20" ht="15" customHeight="1">
      <c r="A20" s="2"/>
      <c r="B20" s="44"/>
      <c r="C20" s="45"/>
      <c r="D20" s="19" t="s">
        <v>99</v>
      </c>
      <c r="E20" s="113">
        <v>74.804306495045959969040107460</v>
      </c>
      <c r="F20" s="113">
        <v>-22.148535495791532065339713800</v>
      </c>
      <c r="G20" s="113"/>
      <c r="H20" s="19" t="s">
        <v>99</v>
      </c>
      <c r="I20" s="667">
        <v>213.81241577553176223958950055</v>
      </c>
      <c r="J20" s="113">
        <v>241.53507491978801328207030758</v>
      </c>
      <c r="K20" s="9"/>
      <c r="L20" s="19" t="s">
        <v>99</v>
      </c>
      <c r="M20" s="667">
        <v>0</v>
      </c>
      <c r="N20" s="113">
        <v>0</v>
      </c>
      <c r="O20" s="9"/>
      <c r="P20" s="19" t="s">
        <v>99</v>
      </c>
      <c r="Q20" s="667">
        <v>81.25423488874877427020996552</v>
      </c>
      <c r="R20" s="113">
        <v>-13.696827730153356284114824340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76.704545454545454545454545450</v>
      </c>
      <c r="F27" s="113">
        <v>-4.5927108480137639387979252900</v>
      </c>
      <c r="G27" s="9"/>
      <c r="H27" s="18" t="s">
        <v>19</v>
      </c>
      <c r="I27" s="667">
        <v>15.189393939393939393939393940</v>
      </c>
      <c r="J27" s="113">
        <v>30.784366576859453110628386080</v>
      </c>
      <c r="K27" s="9"/>
      <c r="L27" s="18" t="s">
        <v>19</v>
      </c>
      <c r="M27" s="667">
        <v>0</v>
      </c>
      <c r="N27" s="113">
        <v>0</v>
      </c>
      <c r="O27" s="9"/>
      <c r="P27" s="18" t="s">
        <v>19</v>
      </c>
      <c r="Q27" s="667">
        <v>91.89393939393939393939393939</v>
      </c>
      <c r="R27" s="113">
        <v>-0.1272455089315015104521240300</v>
      </c>
      <c r="S27" s="674"/>
      <c r="T27" s="9"/>
    </row>
    <row r="28" ht="15" customHeight="1">
      <c r="A28" s="2"/>
      <c r="B28" s="44"/>
      <c r="C28" s="45"/>
      <c r="D28" s="133" t="s">
        <v>16</v>
      </c>
      <c r="E28" s="668">
        <v>78.059593023255813953488372090</v>
      </c>
      <c r="F28" s="92">
        <v>-1.8970207349404626190703676300</v>
      </c>
      <c r="G28" s="120"/>
      <c r="H28" s="133" t="s">
        <v>16</v>
      </c>
      <c r="I28" s="668">
        <v>7.5048449612403100775193798400</v>
      </c>
      <c r="J28" s="92">
        <v>66.661049875029200019304332710</v>
      </c>
      <c r="K28" s="120"/>
      <c r="L28" s="133" t="s">
        <v>16</v>
      </c>
      <c r="M28" s="668">
        <v>0</v>
      </c>
      <c r="N28" s="92">
        <v>0</v>
      </c>
      <c r="O28" s="120"/>
      <c r="P28" s="133" t="s">
        <v>16</v>
      </c>
      <c r="Q28" s="668">
        <v>85.56443798449612403100775194</v>
      </c>
      <c r="R28" s="92">
        <v>1.7750779150699031677970229300</v>
      </c>
      <c r="S28" s="674"/>
      <c r="T28" s="9"/>
    </row>
    <row r="29" ht="15" customHeight="1">
      <c r="A29" s="2"/>
      <c r="B29" s="44"/>
      <c r="C29" s="45"/>
      <c r="D29" s="19" t="s">
        <v>97</v>
      </c>
      <c r="E29" s="667">
        <v>98.26408578846923088202780490</v>
      </c>
      <c r="F29" s="113">
        <v>-2.7478167670115904344399124300</v>
      </c>
      <c r="G29" s="676"/>
      <c r="H29" s="19" t="s">
        <v>97</v>
      </c>
      <c r="I29" s="667">
        <v>202.39450672096502994630569398</v>
      </c>
      <c r="J29" s="113">
        <v>-21.526735445633601747658069730</v>
      </c>
      <c r="K29" s="676"/>
      <c r="L29" s="19" t="s">
        <v>97</v>
      </c>
      <c r="M29" s="667">
        <v>0</v>
      </c>
      <c r="N29" s="113">
        <v>0</v>
      </c>
      <c r="O29" s="676"/>
      <c r="P29" s="19" t="s">
        <v>97</v>
      </c>
      <c r="Q29" s="667">
        <v>107.39735053315722505187646914</v>
      </c>
      <c r="R29" s="113">
        <v>-1.8691446501588958732691132500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292.23349794238683127572016461</v>
      </c>
      <c r="F31" s="113">
        <v>-2.8384028492127436714320543800</v>
      </c>
      <c r="G31" s="671"/>
      <c r="H31" s="53" t="s">
        <v>19</v>
      </c>
      <c r="I31" s="670">
        <v>312.08645054031587697423108894</v>
      </c>
      <c r="J31" s="113">
        <v>0.5441883460906646351835708700</v>
      </c>
      <c r="K31" s="671"/>
      <c r="L31" s="53" t="s">
        <v>19</v>
      </c>
      <c r="M31" s="670">
        <v>0</v>
      </c>
      <c r="N31" s="113">
        <v>0</v>
      </c>
      <c r="O31" s="671"/>
      <c r="P31" s="53" t="s">
        <v>19</v>
      </c>
      <c r="Q31" s="670">
        <v>295.51504534212695795548227535</v>
      </c>
      <c r="R31" s="113">
        <v>-2.1427057084118084790466402400</v>
      </c>
      <c r="S31" s="675"/>
      <c r="T31" s="9"/>
    </row>
    <row r="32" ht="15" customHeight="1">
      <c r="A32" s="2"/>
      <c r="B32" s="44"/>
      <c r="C32" s="45"/>
      <c r="D32" s="133" t="s">
        <v>16</v>
      </c>
      <c r="E32" s="672">
        <v>383.28071114458088481606003892</v>
      </c>
      <c r="F32" s="92">
        <v>11.991247874604181110474038910</v>
      </c>
      <c r="G32" s="673"/>
      <c r="H32" s="143" t="s">
        <v>16</v>
      </c>
      <c r="I32" s="672">
        <v>402.69594086125569676310437895</v>
      </c>
      <c r="J32" s="92">
        <v>2.4691117480975779655833736200</v>
      </c>
      <c r="K32" s="673"/>
      <c r="L32" s="143" t="s">
        <v>16</v>
      </c>
      <c r="M32" s="672">
        <v>0</v>
      </c>
      <c r="N32" s="92">
        <v>0</v>
      </c>
      <c r="O32" s="673"/>
      <c r="P32" s="143" t="s">
        <v>16</v>
      </c>
      <c r="Q32" s="672">
        <v>384.98361824410407406358823363</v>
      </c>
      <c r="R32" s="92">
        <v>11.602401915282305293948711590</v>
      </c>
      <c r="S32" s="675"/>
      <c r="T32" s="9"/>
    </row>
    <row r="33" ht="15" customHeight="1">
      <c r="A33" s="2"/>
      <c r="B33" s="44"/>
      <c r="C33" s="45"/>
      <c r="D33" s="19" t="s">
        <v>98</v>
      </c>
      <c r="E33" s="667">
        <v>76.245292143631026304381307770</v>
      </c>
      <c r="F33" s="113">
        <v>-13.241794341340946611560633720</v>
      </c>
      <c r="G33" s="676"/>
      <c r="H33" s="19" t="s">
        <v>98</v>
      </c>
      <c r="I33" s="667">
        <v>77.499278952952589328924060430</v>
      </c>
      <c r="J33" s="113">
        <v>-1.8785401466250643448601877800</v>
      </c>
      <c r="K33" s="676"/>
      <c r="L33" s="19" t="s">
        <v>98</v>
      </c>
      <c r="M33" s="667">
        <v>0</v>
      </c>
      <c r="N33" s="113">
        <v>0</v>
      </c>
      <c r="O33" s="676"/>
      <c r="P33" s="19" t="s">
        <v>98</v>
      </c>
      <c r="Q33" s="667">
        <v>76.760420791399692961396509300</v>
      </c>
      <c r="R33" s="113">
        <v>-12.316139606183791746182716950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224.15637626262626262626262626</v>
      </c>
      <c r="F35" s="113">
        <v>-7.3007540616865414418923566600</v>
      </c>
      <c r="G35" s="671"/>
      <c r="H35" s="53" t="s">
        <v>19</v>
      </c>
      <c r="I35" s="670">
        <v>47.404040404040404040404040404</v>
      </c>
      <c r="J35" s="113">
        <v>31.496079858087721769975027760</v>
      </c>
      <c r="K35" s="671"/>
      <c r="L35" s="53" t="s">
        <v>19</v>
      </c>
      <c r="M35" s="670">
        <v>0</v>
      </c>
      <c r="N35" s="113">
        <v>0</v>
      </c>
      <c r="O35" s="671"/>
      <c r="P35" s="53" t="s">
        <v>19</v>
      </c>
      <c r="Q35" s="670">
        <v>271.56041666666666666666666667</v>
      </c>
      <c r="R35" s="113">
        <v>-2.2672247206054097056218913500</v>
      </c>
      <c r="S35" s="675"/>
      <c r="T35" s="9"/>
    </row>
    <row r="36" ht="15" customHeight="1">
      <c r="A36" s="2"/>
      <c r="B36" s="44"/>
      <c r="C36" s="45"/>
      <c r="D36" s="133" t="s">
        <v>16</v>
      </c>
      <c r="E36" s="672">
        <v>299.18736325610052934660616846</v>
      </c>
      <c r="F36" s="92">
        <v>9.866750681110746809120738810</v>
      </c>
      <c r="G36" s="673"/>
      <c r="H36" s="143" t="s">
        <v>16</v>
      </c>
      <c r="I36" s="672">
        <v>30.221706026845207087502358672</v>
      </c>
      <c r="J36" s="92">
        <v>70.776097438296402434862196360</v>
      </c>
      <c r="K36" s="673"/>
      <c r="L36" s="143" t="s">
        <v>16</v>
      </c>
      <c r="M36" s="672">
        <v>0</v>
      </c>
      <c r="N36" s="92">
        <v>0</v>
      </c>
      <c r="O36" s="673"/>
      <c r="P36" s="143" t="s">
        <v>16</v>
      </c>
      <c r="Q36" s="672">
        <v>329.40906928294573643410852713</v>
      </c>
      <c r="R36" s="92">
        <v>13.583431504391752612173727730</v>
      </c>
      <c r="S36" s="675"/>
      <c r="T36" s="9"/>
    </row>
    <row r="37" ht="15" customHeight="1">
      <c r="A37" s="2"/>
      <c r="B37" s="44"/>
      <c r="C37" s="45"/>
      <c r="D37" s="19" t="s">
        <v>99</v>
      </c>
      <c r="E37" s="667">
        <v>74.921739281732861265849911100</v>
      </c>
      <c r="F37" s="113">
        <v>-15.625750863141868417845109560</v>
      </c>
      <c r="G37" s="676"/>
      <c r="H37" s="19" t="s">
        <v>99</v>
      </c>
      <c r="I37" s="667">
        <v>156.85428334854245522405208496</v>
      </c>
      <c r="J37" s="113">
        <v>-23.000887225480364236468780650</v>
      </c>
      <c r="K37" s="676"/>
      <c r="L37" s="19" t="s">
        <v>99</v>
      </c>
      <c r="M37" s="667">
        <v>0</v>
      </c>
      <c r="N37" s="113">
        <v>0</v>
      </c>
      <c r="O37" s="676"/>
      <c r="P37" s="19" t="s">
        <v>99</v>
      </c>
      <c r="Q37" s="667">
        <v>82.43865818808033565481082644</v>
      </c>
      <c r="R37" s="113">
        <v>-13.955077791777043001957565410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15">
        <v>62.045454545454545454545454550</v>
      </c>
      <c r="E9" s="416">
        <v>76.447621351394936300596677960</v>
      </c>
      <c r="F9" s="417">
        <v>54.692640032789374244958900110</v>
      </c>
      <c r="G9" s="415">
        <v>12.297979797979797979797979800</v>
      </c>
      <c r="H9" s="416">
        <v>3.3558377681019190453152717300</v>
      </c>
      <c r="I9" s="417">
        <v>14.895776661633069396100527300</v>
      </c>
      <c r="J9" s="415">
        <v>0</v>
      </c>
      <c r="K9" s="416">
        <v>0</v>
      </c>
      <c r="L9" s="417">
        <v>6.9059077012482581728712585700</v>
      </c>
      <c r="M9" s="415">
        <v>74.343434343434343434343434340</v>
      </c>
      <c r="N9" s="416">
        <v>79.80345911949685534591194969</v>
      </c>
      <c r="O9" s="417">
        <v>76.494324395670701813930685980</v>
      </c>
      <c r="P9" s="5"/>
      <c r="Q9" s="415">
        <v>-16.286201022189862001514913590</v>
      </c>
      <c r="R9" s="416">
        <v>16.491853116507704808089387220</v>
      </c>
      <c r="S9" s="417">
        <v>7.2559280452259087768702597400</v>
      </c>
      <c r="T9" s="415">
        <v>-0.4089979551324224973965655200</v>
      </c>
      <c r="U9" s="416">
        <v>-42.419956070534457488031488050</v>
      </c>
      <c r="V9" s="417">
        <v>-10.403568717198268261941363230</v>
      </c>
      <c r="W9" s="415">
        <v>0</v>
      </c>
      <c r="X9" s="416">
        <v>0</v>
      </c>
      <c r="Y9" s="417">
        <v>-8.256414093112912855377463770</v>
      </c>
      <c r="Z9" s="415">
        <v>-14.018691588738841820246284900</v>
      </c>
      <c r="AA9" s="416">
        <v>11.686659294019320680367917710</v>
      </c>
      <c r="AB9" s="417">
        <v>1.7949990042271912130654800400</v>
      </c>
    </row>
    <row r="10" ht="18" customHeight="1">
      <c r="A10" s="58"/>
      <c r="B10" s="286"/>
      <c r="C10" s="287" t="s">
        <v>222</v>
      </c>
      <c r="D10" s="271">
        <v>70.967741935483870967741935480</v>
      </c>
      <c r="E10" s="92">
        <v>79.55721241631162507608034083</v>
      </c>
      <c r="F10" s="272">
        <v>60.516879536940513916330500460</v>
      </c>
      <c r="G10" s="271">
        <v>13.172043010752688172043010750</v>
      </c>
      <c r="H10" s="92">
        <v>2.6095556908094948265368228800</v>
      </c>
      <c r="I10" s="272">
        <v>9.456703288113479246878501470</v>
      </c>
      <c r="J10" s="271">
        <v>0</v>
      </c>
      <c r="K10" s="92">
        <v>0</v>
      </c>
      <c r="L10" s="272">
        <v>7.5624987430219495281859176400</v>
      </c>
      <c r="M10" s="271">
        <v>84.13978494623655913978494624</v>
      </c>
      <c r="N10" s="92">
        <v>82.16676810712111990261716372</v>
      </c>
      <c r="O10" s="272">
        <v>77.536081568075942691394919570</v>
      </c>
      <c r="P10" s="5"/>
      <c r="Q10" s="271">
        <v>-11.544319220182293911286107730</v>
      </c>
      <c r="R10" s="92">
        <v>22.474044773181965650879929900</v>
      </c>
      <c r="S10" s="272">
        <v>7.0459398556788790140402840700</v>
      </c>
      <c r="T10" s="271">
        <v>115.60000000118321280000649343</v>
      </c>
      <c r="U10" s="92">
        <v>83.44799405328318875572525306</v>
      </c>
      <c r="V10" s="272">
        <v>-4.7319716372220390583417485400</v>
      </c>
      <c r="W10" s="271">
        <v>0</v>
      </c>
      <c r="X10" s="92">
        <v>0</v>
      </c>
      <c r="Y10" s="272">
        <v>-9.979675346255173449251139290</v>
      </c>
      <c r="Z10" s="271">
        <v>-2.5474101330623116050526380400</v>
      </c>
      <c r="AA10" s="92">
        <v>23.780680681461729308739708970</v>
      </c>
      <c r="AB10" s="272">
        <v>3.573596260605303528319077900</v>
      </c>
    </row>
    <row r="11" ht="18" customHeight="1">
      <c r="A11" s="58"/>
      <c r="B11" s="288">
        <v>2024</v>
      </c>
      <c r="C11" s="289" t="s">
        <v>224</v>
      </c>
      <c r="D11" s="420">
        <v>75.366568914956011730205278590</v>
      </c>
      <c r="E11" s="91">
        <v>75.340672877049811378859034570</v>
      </c>
      <c r="F11" s="421">
        <v>54.871157426845232905313898740</v>
      </c>
      <c r="G11" s="420">
        <v>13.929618768328445747800586510</v>
      </c>
      <c r="H11" s="91">
        <v>7.6295326814997305412271922400</v>
      </c>
      <c r="I11" s="421">
        <v>18.241119271632356311571947760</v>
      </c>
      <c r="J11" s="420">
        <v>0</v>
      </c>
      <c r="K11" s="91">
        <v>0</v>
      </c>
      <c r="L11" s="421">
        <v>7.6429311770607776636626284900</v>
      </c>
      <c r="M11" s="420">
        <v>89.29618768328445747800586510</v>
      </c>
      <c r="N11" s="91">
        <v>82.97020555854954192008622681</v>
      </c>
      <c r="O11" s="421">
        <v>80.75520787553836688054847499</v>
      </c>
      <c r="P11" s="5"/>
      <c r="Q11" s="420">
        <v>-1.6895122728286723120926637600</v>
      </c>
      <c r="R11" s="91">
        <v>3.9918290398962724643936679800</v>
      </c>
      <c r="S11" s="421">
        <v>1.5690564816711018736554141700</v>
      </c>
      <c r="T11" s="420">
        <v>-21.487603305913598797896108330</v>
      </c>
      <c r="U11" s="91">
        <v>85.81508093124098907640364420</v>
      </c>
      <c r="V11" s="421">
        <v>10.359459291901340745568101660</v>
      </c>
      <c r="W11" s="420">
        <v>0</v>
      </c>
      <c r="X11" s="91">
        <v>0</v>
      </c>
      <c r="Y11" s="421">
        <v>-10.885813274413998097074124030</v>
      </c>
      <c r="Z11" s="420">
        <v>-5.4103028734095475176222319200</v>
      </c>
      <c r="AA11" s="91">
        <v>8.380391290011083992619833670</v>
      </c>
      <c r="AB11" s="421">
        <v>2.0552895503236436508778923200</v>
      </c>
    </row>
    <row r="12" ht="18" customHeight="1">
      <c r="A12" s="58"/>
      <c r="B12" s="286"/>
      <c r="C12" s="287" t="s">
        <v>225</v>
      </c>
      <c r="D12" s="271">
        <v>71.969696969696969696969696970</v>
      </c>
      <c r="E12" s="92">
        <v>80.35552629413214149335151722</v>
      </c>
      <c r="F12" s="272">
        <v>58.73290078118991685952253100</v>
      </c>
      <c r="G12" s="271">
        <v>20.950888192267502612330198540</v>
      </c>
      <c r="H12" s="92">
        <v>4.7403505884289341970678486200</v>
      </c>
      <c r="I12" s="272">
        <v>19.997159919987786911337653630</v>
      </c>
      <c r="J12" s="271">
        <v>0</v>
      </c>
      <c r="K12" s="92">
        <v>0</v>
      </c>
      <c r="L12" s="272">
        <v>7.5389155541745733797820886300</v>
      </c>
      <c r="M12" s="271">
        <v>92.92058516196447230929989551</v>
      </c>
      <c r="N12" s="92">
        <v>85.09587688256107569041936584</v>
      </c>
      <c r="O12" s="272">
        <v>86.26897625535227715064227326</v>
      </c>
      <c r="P12" s="5"/>
      <c r="Q12" s="271">
        <v>-8.465244322044345206940642600</v>
      </c>
      <c r="R12" s="92">
        <v>9.833738338361742132263666490</v>
      </c>
      <c r="S12" s="272">
        <v>5.5970134899465836514678352400</v>
      </c>
      <c r="T12" s="271">
        <v>37.052181873633888452907236580</v>
      </c>
      <c r="U12" s="92">
        <v>-25.944118533244879210804569520</v>
      </c>
      <c r="V12" s="272">
        <v>3.745991401367870891520778100</v>
      </c>
      <c r="W12" s="271">
        <v>0</v>
      </c>
      <c r="X12" s="92">
        <v>0</v>
      </c>
      <c r="Y12" s="272">
        <v>-11.331269122685432283169432190</v>
      </c>
      <c r="Z12" s="271">
        <v>-1.0560406918010891251715855100</v>
      </c>
      <c r="AA12" s="92">
        <v>6.955286503440645881586408700</v>
      </c>
      <c r="AB12" s="272">
        <v>3.4433629182440700652865714200</v>
      </c>
    </row>
    <row r="13" ht="18" customHeight="1">
      <c r="A13" s="58"/>
      <c r="B13" s="288"/>
      <c r="C13" s="289" t="s">
        <v>226</v>
      </c>
      <c r="D13" s="420">
        <v>84.13978494623655913978494624</v>
      </c>
      <c r="E13" s="91">
        <v>83.25506197551774578489491108</v>
      </c>
      <c r="F13" s="421">
        <v>63.569674851612356275377027940</v>
      </c>
      <c r="G13" s="420">
        <v>8.553274682306940371456500490</v>
      </c>
      <c r="H13" s="91">
        <v>2.0555854954192008622680729800</v>
      </c>
      <c r="I13" s="421">
        <v>12.592453891123598786947854430</v>
      </c>
      <c r="J13" s="420">
        <v>0</v>
      </c>
      <c r="K13" s="91">
        <v>0</v>
      </c>
      <c r="L13" s="421">
        <v>7.2577713804707319202156602200</v>
      </c>
      <c r="M13" s="420">
        <v>92.69305962854349951124144673</v>
      </c>
      <c r="N13" s="91">
        <v>85.31064747093694664716298406</v>
      </c>
      <c r="O13" s="421">
        <v>83.41990012320668698254054259</v>
      </c>
      <c r="P13" s="5"/>
      <c r="Q13" s="420">
        <v>3.5488721804714327412516292900</v>
      </c>
      <c r="R13" s="91">
        <v>8.714846905226645697572764140</v>
      </c>
      <c r="S13" s="421">
        <v>8.040763096104611776631626740</v>
      </c>
      <c r="T13" s="420">
        <v>-17.647058823632498269896064720</v>
      </c>
      <c r="U13" s="91">
        <v>-41.894409306830350698461835010</v>
      </c>
      <c r="V13" s="421">
        <v>-27.178030859615642487340404130</v>
      </c>
      <c r="W13" s="420">
        <v>0</v>
      </c>
      <c r="X13" s="91">
        <v>0</v>
      </c>
      <c r="Y13" s="421">
        <v>-4.5558174003514582143444794500</v>
      </c>
      <c r="Z13" s="420">
        <v>1.1466666666699033600000001100</v>
      </c>
      <c r="AA13" s="91">
        <v>6.4801783871787104545535548400</v>
      </c>
      <c r="AB13" s="421">
        <v>-0.3762058581566743385942818500</v>
      </c>
    </row>
    <row r="14" ht="18" customHeight="1">
      <c r="A14" s="58"/>
      <c r="B14" s="286"/>
      <c r="C14" s="287" t="s">
        <v>228</v>
      </c>
      <c r="D14" s="271">
        <v>89.87373737373737373737373737</v>
      </c>
      <c r="E14" s="92">
        <v>79.39538583929992044550517104</v>
      </c>
      <c r="F14" s="272">
        <v>57.443203145219848811514562980</v>
      </c>
      <c r="G14" s="271">
        <v>3.3585858585858585858585858600</v>
      </c>
      <c r="H14" s="92">
        <v>3.5799522673031026252983293600</v>
      </c>
      <c r="I14" s="272">
        <v>17.129765556762480200246844480</v>
      </c>
      <c r="J14" s="271">
        <v>0</v>
      </c>
      <c r="K14" s="92">
        <v>0</v>
      </c>
      <c r="L14" s="272">
        <v>6.6705527747659847972552769600</v>
      </c>
      <c r="M14" s="271">
        <v>93.23232323232323232323232323</v>
      </c>
      <c r="N14" s="92">
        <v>82.97533810660302307080350040</v>
      </c>
      <c r="O14" s="272">
        <v>81.24352147674831380901668442</v>
      </c>
      <c r="P14" s="5"/>
      <c r="Q14" s="271">
        <v>10.631022691913255746471995710</v>
      </c>
      <c r="R14" s="92">
        <v>9.985244590847377510001509730</v>
      </c>
      <c r="S14" s="272">
        <v>1.2394686054808339625557288500</v>
      </c>
      <c r="T14" s="271">
        <v>-42.918454935249940135199913750</v>
      </c>
      <c r="U14" s="92">
        <v>-8.491422407723417854744054890</v>
      </c>
      <c r="V14" s="272">
        <v>16.221959344784638542226444810</v>
      </c>
      <c r="W14" s="271">
        <v>0</v>
      </c>
      <c r="X14" s="92">
        <v>0</v>
      </c>
      <c r="Y14" s="272">
        <v>-6.1237529507463843388004050300</v>
      </c>
      <c r="Z14" s="271">
        <v>7.0144927536380773787019554400</v>
      </c>
      <c r="AA14" s="92">
        <v>9.035389159828962321062693130</v>
      </c>
      <c r="AB14" s="272">
        <v>3.3837062140670381907827418300</v>
      </c>
    </row>
    <row r="15" ht="18" customHeight="1">
      <c r="A15" s="58"/>
      <c r="B15" s="288"/>
      <c r="C15" s="289" t="s">
        <v>229</v>
      </c>
      <c r="D15" s="420">
        <v>76.368523949169110459433040080</v>
      </c>
      <c r="E15" s="91">
        <v>70.090076218338594195088151510</v>
      </c>
      <c r="F15" s="421">
        <v>56.923814370591510364981393800</v>
      </c>
      <c r="G15" s="420">
        <v>8.455522971652003910068426200</v>
      </c>
      <c r="H15" s="91">
        <v>0.9777504041881592116406189900</v>
      </c>
      <c r="I15" s="421">
        <v>11.277413607404903399758566770</v>
      </c>
      <c r="J15" s="420">
        <v>0</v>
      </c>
      <c r="K15" s="91">
        <v>0</v>
      </c>
      <c r="L15" s="421">
        <v>6.2798603452025968505336661400</v>
      </c>
      <c r="M15" s="420">
        <v>84.82404692082111436950146628</v>
      </c>
      <c r="N15" s="91">
        <v>71.067826622526753406728770500</v>
      </c>
      <c r="O15" s="421">
        <v>74.481088323199010615273626710</v>
      </c>
      <c r="P15" s="5"/>
      <c r="Q15" s="420">
        <v>13.430127041721206451889161070</v>
      </c>
      <c r="R15" s="91">
        <v>12.063992697807641300379877780</v>
      </c>
      <c r="S15" s="421">
        <v>6.2903061221580032495314323100</v>
      </c>
      <c r="T15" s="420">
        <v>-14.987714987374938574937214720</v>
      </c>
      <c r="U15" s="91">
        <v>-80.61974503958482858109991020</v>
      </c>
      <c r="V15" s="421">
        <v>-1.0670176686777506518292919600</v>
      </c>
      <c r="W15" s="420">
        <v>0</v>
      </c>
      <c r="X15" s="91">
        <v>0</v>
      </c>
      <c r="Y15" s="421">
        <v>-5.9668840634037042087087107100</v>
      </c>
      <c r="Z15" s="420">
        <v>9.772296015219008817948445420</v>
      </c>
      <c r="AA15" s="91">
        <v>5.1458254307033809605965666300</v>
      </c>
      <c r="AB15" s="421">
        <v>3.9767694702838232742336446900</v>
      </c>
    </row>
    <row r="16" ht="18" customHeight="1">
      <c r="A16" s="58"/>
      <c r="B16" s="286"/>
      <c r="C16" s="287" t="s">
        <v>230</v>
      </c>
      <c r="D16" s="271">
        <v>66.035353535353535353535353540</v>
      </c>
      <c r="E16" s="92">
        <v>67.383720930232558139534883710</v>
      </c>
      <c r="F16" s="272">
        <v>54.334030686216237450831116650</v>
      </c>
      <c r="G16" s="271">
        <v>12.297979797979797979797979800</v>
      </c>
      <c r="H16" s="92">
        <v>0.7751937984496124031007751900</v>
      </c>
      <c r="I16" s="272">
        <v>9.832234977163818370957386780</v>
      </c>
      <c r="J16" s="271">
        <v>0</v>
      </c>
      <c r="K16" s="92">
        <v>0</v>
      </c>
      <c r="L16" s="272">
        <v>7.3597095234339167907468035200</v>
      </c>
      <c r="M16" s="271">
        <v>78.333333333333333333333333330</v>
      </c>
      <c r="N16" s="92">
        <v>68.158914728682170542635658910</v>
      </c>
      <c r="O16" s="272">
        <v>71.525975186813972612535306950</v>
      </c>
      <c r="P16" s="5"/>
      <c r="Q16" s="271">
        <v>-14.149704530540864115085432340</v>
      </c>
      <c r="R16" s="92">
        <v>13.226014561673675741921894960</v>
      </c>
      <c r="S16" s="272">
        <v>2.4051437695204606298467590200</v>
      </c>
      <c r="T16" s="271">
        <v>36.414565825596874043739086860</v>
      </c>
      <c r="U16" s="92">
        <v>-70.477649352210382187857271420</v>
      </c>
      <c r="V16" s="272">
        <v>-5.0743224767833646735993154300</v>
      </c>
      <c r="W16" s="271">
        <v>0</v>
      </c>
      <c r="X16" s="92">
        <v>0</v>
      </c>
      <c r="Y16" s="272">
        <v>2.0683188771678056655778235300</v>
      </c>
      <c r="Z16" s="271">
        <v>-8.845136644091452728483055340</v>
      </c>
      <c r="AA16" s="92">
        <v>9.688941719189958195026143510</v>
      </c>
      <c r="AB16" s="272">
        <v>1.2738415626989131397783988100</v>
      </c>
    </row>
    <row r="17" ht="18" customHeight="1">
      <c r="A17" s="58"/>
      <c r="B17" s="288"/>
      <c r="C17" s="289" t="s">
        <v>233</v>
      </c>
      <c r="D17" s="420">
        <v>69.941348973607038123167155430</v>
      </c>
      <c r="E17" s="91">
        <v>67.695048762190547636909227300</v>
      </c>
      <c r="F17" s="421">
        <v>57.524775286908441643968478550</v>
      </c>
      <c r="G17" s="420">
        <v>3.7634408602150537634408602200</v>
      </c>
      <c r="H17" s="91">
        <v>2.5131282820705176294073518400</v>
      </c>
      <c r="I17" s="421">
        <v>7.5098246919272685950083510200</v>
      </c>
      <c r="J17" s="420">
        <v>0</v>
      </c>
      <c r="K17" s="91">
        <v>0</v>
      </c>
      <c r="L17" s="421">
        <v>7.3337356717400704212152225800</v>
      </c>
      <c r="M17" s="420">
        <v>73.704789833822091886608015640</v>
      </c>
      <c r="N17" s="91">
        <v>70.208177044261065266316579140</v>
      </c>
      <c r="O17" s="421">
        <v>72.368335650575780660192052140</v>
      </c>
      <c r="P17" s="5"/>
      <c r="Q17" s="420">
        <v>-14.796070259023412548621221670</v>
      </c>
      <c r="R17" s="91">
        <v>5.2749314872597378943540446800</v>
      </c>
      <c r="S17" s="421">
        <v>6.3175915074391796229295676900</v>
      </c>
      <c r="T17" s="420">
        <v>1084.6153847218177514888525503</v>
      </c>
      <c r="U17" s="91">
        <v>378.73272665581846299637663848</v>
      </c>
      <c r="V17" s="421">
        <v>-4.6186979118251534751778682100</v>
      </c>
      <c r="W17" s="420">
        <v>0</v>
      </c>
      <c r="X17" s="91">
        <v>0</v>
      </c>
      <c r="Y17" s="421">
        <v>0.1056461332711712597196576900</v>
      </c>
      <c r="Z17" s="420">
        <v>-10.557532621577147368109993510</v>
      </c>
      <c r="AA17" s="91">
        <v>8.299058686749509123586485400</v>
      </c>
      <c r="AB17" s="421">
        <v>4.4185456135042699543646940600</v>
      </c>
    </row>
    <row r="18" ht="18" customHeight="1">
      <c r="A18" s="58"/>
      <c r="B18" s="286"/>
      <c r="C18" s="287" t="s">
        <v>234</v>
      </c>
      <c r="D18" s="271">
        <v>71.554252199413489736070381230</v>
      </c>
      <c r="E18" s="92">
        <v>67.770067516879219804951237810</v>
      </c>
      <c r="F18" s="272">
        <v>56.961892651872599966187740030</v>
      </c>
      <c r="G18" s="271">
        <v>2.4926686217008797653958944300</v>
      </c>
      <c r="H18" s="92">
        <v>1.2565641410352588147036759200</v>
      </c>
      <c r="I18" s="272">
        <v>5.1043408854584037742079629600</v>
      </c>
      <c r="J18" s="271">
        <v>0</v>
      </c>
      <c r="K18" s="92">
        <v>0</v>
      </c>
      <c r="L18" s="272">
        <v>7.4036909418888645579011638200</v>
      </c>
      <c r="M18" s="271">
        <v>74.046920821114369501466275660</v>
      </c>
      <c r="N18" s="92">
        <v>69.026631657914478619654913730</v>
      </c>
      <c r="O18" s="272">
        <v>69.469924479219868298296866810</v>
      </c>
      <c r="P18" s="5"/>
      <c r="Q18" s="271">
        <v>0.0341646737969489440641785400</v>
      </c>
      <c r="R18" s="92">
        <v>2.4815655132745617918459683900</v>
      </c>
      <c r="S18" s="272">
        <v>12.446491997448096927487232640</v>
      </c>
      <c r="T18" s="271">
        <v>85.45454545528727272727569468</v>
      </c>
      <c r="U18" s="92">
        <v>3.8759689883700258399380617600</v>
      </c>
      <c r="V18" s="272">
        <v>-24.184254292112830385312889940</v>
      </c>
      <c r="W18" s="271">
        <v>0</v>
      </c>
      <c r="X18" s="92">
        <v>0</v>
      </c>
      <c r="Y18" s="272">
        <v>5.2924839018640661045805427500</v>
      </c>
      <c r="Z18" s="271">
        <v>1.6096579476235562266962317700</v>
      </c>
      <c r="AA18" s="92">
        <v>2.5066146776509641627481787500</v>
      </c>
      <c r="AB18" s="272">
        <v>7.837397410121982984072404200</v>
      </c>
    </row>
    <row r="19" ht="18" customHeight="1">
      <c r="A19" s="58"/>
      <c r="B19" s="288"/>
      <c r="C19" s="289" t="s">
        <v>235</v>
      </c>
      <c r="D19" s="420">
        <v>52.954545454545454545454545450</v>
      </c>
      <c r="E19" s="91">
        <v>61.773255813953488372093023260</v>
      </c>
      <c r="F19" s="421">
        <v>49.978711052332909794087665110</v>
      </c>
      <c r="G19" s="420">
        <v>13.333333333333333333333333330</v>
      </c>
      <c r="H19" s="91">
        <v>7.0833333333333333333333333300</v>
      </c>
      <c r="I19" s="421">
        <v>9.869293189765744967688902480</v>
      </c>
      <c r="J19" s="420">
        <v>0</v>
      </c>
      <c r="K19" s="91">
        <v>0</v>
      </c>
      <c r="L19" s="421">
        <v>6.3065882546671925862182577700</v>
      </c>
      <c r="M19" s="420">
        <v>66.287878787878787878787878790</v>
      </c>
      <c r="N19" s="91">
        <v>68.856589147286821705426356590</v>
      </c>
      <c r="O19" s="421">
        <v>66.154592496765847347994825360</v>
      </c>
      <c r="P19" s="5"/>
      <c r="Q19" s="420">
        <v>-19.470046082978997218033924800</v>
      </c>
      <c r="R19" s="91">
        <v>2.7131782945091959264326289800</v>
      </c>
      <c r="S19" s="421">
        <v>2.242857922033208581667734200</v>
      </c>
      <c r="T19" s="420">
        <v>633.33333332600000000007333315</v>
      </c>
      <c r="U19" s="91">
        <v>1286.1538461760246153849702393</v>
      </c>
      <c r="V19" s="421">
        <v>10.395348600988331349573730170</v>
      </c>
      <c r="W19" s="420">
        <v>0</v>
      </c>
      <c r="X19" s="91">
        <v>0</v>
      </c>
      <c r="Y19" s="421">
        <v>1.4780794104647133700689577500</v>
      </c>
      <c r="Z19" s="420">
        <v>-1.9058295964741398379214960500</v>
      </c>
      <c r="AA19" s="91">
        <v>13.526353072334609592413645840</v>
      </c>
      <c r="AB19" s="421">
        <v>3.3067735273252238565296163600</v>
      </c>
    </row>
    <row r="20" ht="18" customHeight="1">
      <c r="A20" s="58"/>
      <c r="B20" s="286"/>
      <c r="C20" s="287" t="s">
        <v>236</v>
      </c>
      <c r="D20" s="271">
        <v>66.666666666666666666666666670</v>
      </c>
      <c r="E20" s="92">
        <v>64.852220035360443006304833710</v>
      </c>
      <c r="F20" s="272">
        <v>50.746115372462648785704042980</v>
      </c>
      <c r="G20" s="271">
        <v>10.874877810361681329423264910</v>
      </c>
      <c r="H20" s="92">
        <v>4.596392117677816558586389100</v>
      </c>
      <c r="I20" s="272">
        <v>13.494069497594511036184624600</v>
      </c>
      <c r="J20" s="271">
        <v>0</v>
      </c>
      <c r="K20" s="92">
        <v>0</v>
      </c>
      <c r="L20" s="272">
        <v>6.1860973149781028747686791700</v>
      </c>
      <c r="M20" s="271">
        <v>77.541544477028347996089931570</v>
      </c>
      <c r="N20" s="92">
        <v>69.448612153038259564891222810</v>
      </c>
      <c r="O20" s="272">
        <v>70.426282185035262696657346740</v>
      </c>
      <c r="P20" s="5"/>
      <c r="Q20" s="271">
        <v>-6.0282466413787692990811216300</v>
      </c>
      <c r="R20" s="92">
        <v>0.9973436190469013564750023900</v>
      </c>
      <c r="S20" s="272">
        <v>-1.4438684601419002539045372200</v>
      </c>
      <c r="T20" s="271">
        <v>60.649819493501466199227939610</v>
      </c>
      <c r="U20" s="92">
        <v>56.515487034178652751198579530</v>
      </c>
      <c r="V20" s="272">
        <v>10.262983286457326729691502070</v>
      </c>
      <c r="W20" s="271">
        <v>0</v>
      </c>
      <c r="X20" s="92">
        <v>0</v>
      </c>
      <c r="Y20" s="272">
        <v>3.7452374938551755575496402300</v>
      </c>
      <c r="Z20" s="271">
        <v>-0.2201257861962799335469217300</v>
      </c>
      <c r="AA20" s="92">
        <v>3.4253974778835803468902603300</v>
      </c>
      <c r="AB20" s="272">
        <v>1.0559136314975639644321577200</v>
      </c>
    </row>
    <row r="21" ht="18" customHeight="1">
      <c r="A21" s="58"/>
      <c r="B21" s="288"/>
      <c r="C21" s="289" t="s">
        <v>218</v>
      </c>
      <c r="D21" s="420">
        <v>79.82323232323232323232323232</v>
      </c>
      <c r="E21" s="91">
        <v>64.166666666666666666666666660</v>
      </c>
      <c r="F21" s="421">
        <v>53.502366555222974424494008100</v>
      </c>
      <c r="G21" s="420">
        <v>8.964646464646464646464646460</v>
      </c>
      <c r="H21" s="91">
        <v>7.8003875968992248062015503900</v>
      </c>
      <c r="I21" s="421">
        <v>15.025706254967979104463883700</v>
      </c>
      <c r="J21" s="420">
        <v>0</v>
      </c>
      <c r="K21" s="91">
        <v>0</v>
      </c>
      <c r="L21" s="421">
        <v>7.9176051677450889232135926300</v>
      </c>
      <c r="M21" s="420">
        <v>88.78787878787878787878787879</v>
      </c>
      <c r="N21" s="91">
        <v>71.967054263565891472868217050</v>
      </c>
      <c r="O21" s="421">
        <v>76.445677977936042452171484430</v>
      </c>
      <c r="P21" s="5"/>
      <c r="Q21" s="420">
        <v>28.652828652734401672130678900</v>
      </c>
      <c r="R21" s="91">
        <v>-16.064534733242461895209691670</v>
      </c>
      <c r="S21" s="421">
        <v>-2.1762955250710162158614003300</v>
      </c>
      <c r="T21" s="420">
        <v>-27.104722792727548709991412690</v>
      </c>
      <c r="U21" s="91">
        <v>132.44233291157066664522918986</v>
      </c>
      <c r="V21" s="421">
        <v>0.8722579313566519166794305900</v>
      </c>
      <c r="W21" s="420">
        <v>0</v>
      </c>
      <c r="X21" s="91">
        <v>0</v>
      </c>
      <c r="Y21" s="421">
        <v>14.649739184456404666400562720</v>
      </c>
      <c r="Z21" s="420">
        <v>19.429347826142127687854467830</v>
      </c>
      <c r="AA21" s="91">
        <v>-9.819630555361829633818750310</v>
      </c>
      <c r="AB21" s="421">
        <v>-0.063594806736657869636916300</v>
      </c>
    </row>
    <row r="22" ht="18" customHeight="1">
      <c r="A22" s="58"/>
      <c r="B22" s="286"/>
      <c r="C22" s="287" t="s">
        <v>222</v>
      </c>
      <c r="D22" s="271">
        <v>79.76539589442815249266862170</v>
      </c>
      <c r="E22" s="92">
        <v>68.013878469617404351087771940</v>
      </c>
      <c r="F22" s="272">
        <v>60.503885590221134022435665850</v>
      </c>
      <c r="G22" s="271">
        <v>8.064516129032258064516129030</v>
      </c>
      <c r="H22" s="92">
        <v>4.5105026256564141035258814700</v>
      </c>
      <c r="I22" s="272">
        <v>9.782757950689264574500043120</v>
      </c>
      <c r="J22" s="271">
        <v>0</v>
      </c>
      <c r="K22" s="92">
        <v>0</v>
      </c>
      <c r="L22" s="272">
        <v>8.019799784544333701903053740</v>
      </c>
      <c r="M22" s="271">
        <v>87.82991202346041055718475073</v>
      </c>
      <c r="N22" s="92">
        <v>72.524381095273818454613653410</v>
      </c>
      <c r="O22" s="272">
        <v>78.306443325454732298838762720</v>
      </c>
      <c r="P22" s="5"/>
      <c r="Q22" s="271">
        <v>12.396694214850488354620591830</v>
      </c>
      <c r="R22" s="92">
        <v>-14.509475126252099807525603790</v>
      </c>
      <c r="S22" s="272">
        <v>-0.0214716072247957770168643700</v>
      </c>
      <c r="T22" s="271">
        <v>-38.775510204301541024572304690</v>
      </c>
      <c r="U22" s="92">
        <v>72.845616652605301184625765180</v>
      </c>
      <c r="V22" s="272">
        <v>3.4478681698680436205959883600</v>
      </c>
      <c r="W22" s="271">
        <v>0</v>
      </c>
      <c r="X22" s="92">
        <v>0</v>
      </c>
      <c r="Y22" s="272">
        <v>6.0469569263415836828662563100</v>
      </c>
      <c r="Z22" s="271">
        <v>4.3857101365542146448923279400</v>
      </c>
      <c r="AA22" s="92">
        <v>-11.735142118840361758062966710</v>
      </c>
      <c r="AB22" s="272">
        <v>0.9935526038649799133925943900</v>
      </c>
    </row>
    <row r="23" ht="18" customHeight="1">
      <c r="A23" s="58"/>
      <c r="B23" s="288">
        <v>2025</v>
      </c>
      <c r="C23" s="289" t="s">
        <v>224</v>
      </c>
      <c r="D23" s="420">
        <v>73.484848484848484848484848480</v>
      </c>
      <c r="E23" s="91">
        <v>68.642160540135033758439609900</v>
      </c>
      <c r="F23" s="421">
        <v>54.171095105799672927696474050</v>
      </c>
      <c r="G23" s="420">
        <v>17.155425219941348973607038120</v>
      </c>
      <c r="H23" s="91">
        <v>10.174418604651162790697674420</v>
      </c>
      <c r="I23" s="421">
        <v>20.107172000377979249592421530</v>
      </c>
      <c r="J23" s="420">
        <v>0</v>
      </c>
      <c r="K23" s="91">
        <v>0</v>
      </c>
      <c r="L23" s="421">
        <v>8.576350657852396430753525980</v>
      </c>
      <c r="M23" s="420">
        <v>90.64027370478983382209188661</v>
      </c>
      <c r="N23" s="91">
        <v>78.816579144786196549137284320</v>
      </c>
      <c r="O23" s="421">
        <v>82.85461776403004860804242156</v>
      </c>
      <c r="P23" s="5"/>
      <c r="Q23" s="420">
        <v>-2.4967574579038605176964244700</v>
      </c>
      <c r="R23" s="91">
        <v>-8.890964310606639183600810540</v>
      </c>
      <c r="S23" s="421">
        <v>-1.2758293315285615088080344800</v>
      </c>
      <c r="T23" s="420">
        <v>23.157894737093606648199959550</v>
      </c>
      <c r="U23" s="91">
        <v>33.355724778818653923314666390</v>
      </c>
      <c r="V23" s="421">
        <v>10.229924496372751679565425610</v>
      </c>
      <c r="W23" s="420">
        <v>0</v>
      </c>
      <c r="X23" s="91">
        <v>0</v>
      </c>
      <c r="Y23" s="421">
        <v>12.212846866253857723142390690</v>
      </c>
      <c r="Z23" s="420">
        <v>1.5051997810441824556484006300</v>
      </c>
      <c r="AA23" s="91">
        <v>-5.0061662325100498935661145200</v>
      </c>
      <c r="AB23" s="421">
        <v>2.5997207409418113696332460900</v>
      </c>
    </row>
    <row r="24" ht="18" customHeight="1">
      <c r="A24" s="59"/>
      <c r="B24" s="286"/>
      <c r="C24" s="287" t="s">
        <v>225</v>
      </c>
      <c r="D24" s="271">
        <v>75.568181818181818181818181820</v>
      </c>
      <c r="E24" s="92">
        <v>76.910299003322259136212624580</v>
      </c>
      <c r="F24" s="272">
        <v>58.229685820274970353575060040</v>
      </c>
      <c r="G24" s="271">
        <v>17.126623376623376623376623380</v>
      </c>
      <c r="H24" s="92">
        <v>10.890780730897009966777408640</v>
      </c>
      <c r="I24" s="272">
        <v>21.345731992772412353563751480</v>
      </c>
      <c r="J24" s="271">
        <v>0</v>
      </c>
      <c r="K24" s="92">
        <v>0</v>
      </c>
      <c r="L24" s="272">
        <v>8.529117971900773375037889210</v>
      </c>
      <c r="M24" s="271">
        <v>92.69480519480519480519480519</v>
      </c>
      <c r="N24" s="92">
        <v>87.80107973421926910299003322</v>
      </c>
      <c r="O24" s="272">
        <v>88.10453578494815608217670073</v>
      </c>
      <c r="P24" s="93"/>
      <c r="Q24" s="271">
        <v>4.9999999999955789473684212400</v>
      </c>
      <c r="R24" s="92">
        <v>-4.2874802140779484838219202600</v>
      </c>
      <c r="S24" s="272">
        <v>-0.8567854715701447442897749300</v>
      </c>
      <c r="T24" s="271">
        <v>-18.253473459335918908641984810</v>
      </c>
      <c r="U24" s="92">
        <v>129.74631364919679886302581307</v>
      </c>
      <c r="V24" s="272">
        <v>6.7438180129951791352366775500</v>
      </c>
      <c r="W24" s="271">
        <v>0</v>
      </c>
      <c r="X24" s="92">
        <v>0</v>
      </c>
      <c r="Y24" s="272">
        <v>13.134547145167614922292761100</v>
      </c>
      <c r="Z24" s="271">
        <v>-0.2429816458873724573168059900</v>
      </c>
      <c r="AA24" s="92">
        <v>3.1790057882021967977830609400</v>
      </c>
      <c r="AB24" s="272">
        <v>2.1277168331219873183415844900</v>
      </c>
    </row>
    <row r="25" ht="18" customHeight="1">
      <c r="A25" s="60"/>
      <c r="B25" s="288"/>
      <c r="C25" s="289" t="s">
        <v>226</v>
      </c>
      <c r="D25" s="420">
        <v>75.439882697947214076246334310</v>
      </c>
      <c r="E25" s="91">
        <v>81.70480120030007501875468867</v>
      </c>
      <c r="F25" s="421">
        <v>61.671463383227906896464678750</v>
      </c>
      <c r="G25" s="420">
        <v>15.884652981427174975562072340</v>
      </c>
      <c r="H25" s="91">
        <v>5.7951987996999249812453113300</v>
      </c>
      <c r="I25" s="421">
        <v>14.837634344613134530445753930</v>
      </c>
      <c r="J25" s="420">
        <v>0</v>
      </c>
      <c r="K25" s="91">
        <v>0</v>
      </c>
      <c r="L25" s="421">
        <v>8.467707235661627429932019110</v>
      </c>
      <c r="M25" s="420">
        <v>91.32453567937438905180840665</v>
      </c>
      <c r="N25" s="91">
        <v>87.500</v>
      </c>
      <c r="O25" s="421">
        <v>84.97680496350266885684245179</v>
      </c>
      <c r="P25" s="93"/>
      <c r="Q25" s="420">
        <v>-10.339819924445503447751080590</v>
      </c>
      <c r="R25" s="91">
        <v>-1.8620618835838836354759579900</v>
      </c>
      <c r="S25" s="421">
        <v>-2.9860329989155459327517270100</v>
      </c>
      <c r="T25" s="420">
        <v>85.71428571443640816326542844</v>
      </c>
      <c r="U25" s="91">
        <v>181.92448393260466383641672246</v>
      </c>
      <c r="V25" s="421">
        <v>17.829570574008345677028817200</v>
      </c>
      <c r="W25" s="420">
        <v>0</v>
      </c>
      <c r="X25" s="91">
        <v>0</v>
      </c>
      <c r="Y25" s="421">
        <v>16.670900635041399261556956260</v>
      </c>
      <c r="Z25" s="420">
        <v>-1.4764039018783622459650259600</v>
      </c>
      <c r="AA25" s="91">
        <v>2.5663297536767634524400229900</v>
      </c>
      <c r="AB25" s="421">
        <v>1.8663470442943821537448174600</v>
      </c>
    </row>
    <row r="26" ht="18" customHeight="1">
      <c r="A26" s="60"/>
      <c r="B26" s="290"/>
      <c r="C26" s="291" t="s">
        <v>228</v>
      </c>
      <c r="D26" s="273">
        <v>82.39898989898989898989898990</v>
      </c>
      <c r="E26" s="274">
        <v>85.09689922480620155038759690</v>
      </c>
      <c r="F26" s="275">
        <v>58.6290968408073850222103200</v>
      </c>
      <c r="G26" s="273">
        <v>10.631313131313131313131313130</v>
      </c>
      <c r="H26" s="274">
        <v>3.3527131782945736434108527100</v>
      </c>
      <c r="I26" s="275">
        <v>17.893549493209955064331306880</v>
      </c>
      <c r="J26" s="273">
        <v>0</v>
      </c>
      <c r="K26" s="274">
        <v>0</v>
      </c>
      <c r="L26" s="275">
        <v>7.0369407789010208768615636200</v>
      </c>
      <c r="M26" s="273">
        <v>93.03030303030303030303030303</v>
      </c>
      <c r="N26" s="274">
        <v>88.44961240310077519379844961</v>
      </c>
      <c r="O26" s="275">
        <v>83.55958711291836096340319049</v>
      </c>
      <c r="P26" s="184"/>
      <c r="Q26" s="273">
        <v>-8.316942961467914884962903210</v>
      </c>
      <c r="R26" s="274">
        <v>7.1811646548910703082891326800</v>
      </c>
      <c r="S26" s="275">
        <v>2.0644630359657776986913678600</v>
      </c>
      <c r="T26" s="273">
        <v>216.54135338212584091809029717</v>
      </c>
      <c r="U26" s="274">
        <v>-6.3475452195570774332471304300</v>
      </c>
      <c r="V26" s="275">
        <v>4.4588113823119773541447706500</v>
      </c>
      <c r="W26" s="273">
        <v>0</v>
      </c>
      <c r="X26" s="274">
        <v>0</v>
      </c>
      <c r="Y26" s="275">
        <v>5.4926183252032829245095086700</v>
      </c>
      <c r="Z26" s="273">
        <v>-0.2166847237021124999853212200</v>
      </c>
      <c r="AA26" s="274">
        <v>6.5974715155337728883242966900</v>
      </c>
      <c r="AB26" s="275">
        <v>2.8507696295298946231468510800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79.45075757575757575757575758</v>
      </c>
      <c r="E29" s="428">
        <v>73.61710036535255073927194500</v>
      </c>
      <c r="F29" s="429">
        <v>56.319133888068951181954514940</v>
      </c>
      <c r="G29" s="427">
        <v>12.304292929292929292929292930</v>
      </c>
      <c r="H29" s="428">
        <v>4.4462251979730125862913805700</v>
      </c>
      <c r="I29" s="429">
        <v>16.918954164852536586305217360</v>
      </c>
      <c r="J29" s="427">
        <v>0</v>
      </c>
      <c r="K29" s="428">
        <v>0</v>
      </c>
      <c r="L29" s="429">
        <v>7.940181509118009713259413110</v>
      </c>
      <c r="M29" s="427">
        <v>91.75505050505050505050505051</v>
      </c>
      <c r="N29" s="428">
        <v>78.063325563325563325563325570</v>
      </c>
      <c r="O29" s="429">
        <v>81.17826956203949748151914541</v>
      </c>
      <c r="P29" s="5"/>
      <c r="Q29" s="427">
        <v>-1.5258215962219400912517307600</v>
      </c>
      <c r="R29" s="428">
        <v>13.529133880793358582190137020</v>
      </c>
      <c r="S29" s="429">
        <v>-1.0579221606974749225082303500</v>
      </c>
      <c r="T29" s="427">
        <v>-2.4524524521712342973596127600</v>
      </c>
      <c r="U29" s="428">
        <v>82.97926775942781582634023602</v>
      </c>
      <c r="V29" s="429">
        <v>15.141831204937873084848932040</v>
      </c>
      <c r="W29" s="427">
        <v>0</v>
      </c>
      <c r="X29" s="428">
        <v>-100</v>
      </c>
      <c r="Y29" s="429">
        <v>9.938363836404086985567140960</v>
      </c>
      <c r="Z29" s="427">
        <v>-1.6511029909803838177334511500</v>
      </c>
      <c r="AA29" s="428">
        <v>16.024204217238068492927486910</v>
      </c>
      <c r="AB29" s="429">
        <v>2.9688160875306001021399718100</v>
      </c>
    </row>
    <row r="30" ht="18" customHeight="1">
      <c r="A30" s="58"/>
      <c r="B30" s="286">
        <v>2024</v>
      </c>
      <c r="C30" s="287"/>
      <c r="D30" s="271">
        <v>80.39694465314300025043826697</v>
      </c>
      <c r="E30" s="92">
        <v>79.56903409870243206046141607</v>
      </c>
      <c r="F30" s="272">
        <v>58.67880659806252971183333100</v>
      </c>
      <c r="G30" s="271">
        <v>11.614074630603556223390934130</v>
      </c>
      <c r="H30" s="92">
        <v>4.5030587331632509148766905300</v>
      </c>
      <c r="I30" s="272">
        <v>16.894330921734164182706657740</v>
      </c>
      <c r="J30" s="271">
        <v>0</v>
      </c>
      <c r="K30" s="92">
        <v>0</v>
      </c>
      <c r="L30" s="272">
        <v>7.2724692567327611110226461800</v>
      </c>
      <c r="M30" s="271">
        <v>92.01101928374655647382920110</v>
      </c>
      <c r="N30" s="92">
        <v>84.07209283186568297533810660</v>
      </c>
      <c r="O30" s="272">
        <v>82.84560677652945500556263491</v>
      </c>
      <c r="P30" s="5"/>
      <c r="Q30" s="271">
        <v>1.1909100758923417601296902900</v>
      </c>
      <c r="R30" s="92">
        <v>8.084988003819609702779058420</v>
      </c>
      <c r="S30" s="272">
        <v>4.1898242161375262085727788800</v>
      </c>
      <c r="T30" s="271">
        <v>-5.6095730381454010773139458900</v>
      </c>
      <c r="U30" s="92">
        <v>1.2782423883706062087026688200</v>
      </c>
      <c r="V30" s="272">
        <v>-0.1455364375708228282851021200</v>
      </c>
      <c r="W30" s="271">
        <v>0</v>
      </c>
      <c r="X30" s="92">
        <v>0</v>
      </c>
      <c r="Y30" s="272">
        <v>-8.409281974246989559632582330</v>
      </c>
      <c r="Z30" s="271">
        <v>0.2789696885757030014515007500</v>
      </c>
      <c r="AA30" s="92">
        <v>7.6972986036743886336384921200</v>
      </c>
      <c r="AB30" s="272">
        <v>2.053920616349211808988024300</v>
      </c>
    </row>
    <row r="31" ht="18" customHeight="1">
      <c r="A31" s="58"/>
      <c r="B31" s="425">
        <v>2025</v>
      </c>
      <c r="C31" s="426"/>
      <c r="D31" s="430">
        <v>76.704545454545454545454545450</v>
      </c>
      <c r="E31" s="431">
        <v>78.059593023255813953488372090</v>
      </c>
      <c r="F31" s="432">
        <v>58.166503765034734265483248270</v>
      </c>
      <c r="G31" s="430">
        <v>15.189393939393939393939393940</v>
      </c>
      <c r="H31" s="431">
        <v>7.5048449612403100775193798400</v>
      </c>
      <c r="I31" s="432">
        <v>18.483092417967155903419897340</v>
      </c>
      <c r="J31" s="430">
        <v>0</v>
      </c>
      <c r="K31" s="431">
        <v>0</v>
      </c>
      <c r="L31" s="432">
        <v>8.153135419056351514046804210</v>
      </c>
      <c r="M31" s="430">
        <v>91.89393939393939393939393939</v>
      </c>
      <c r="N31" s="431">
        <v>85.56443798449612403100775194</v>
      </c>
      <c r="O31" s="432">
        <v>84.80273160205824168294994983</v>
      </c>
      <c r="P31" s="184"/>
      <c r="Q31" s="430">
        <v>-4.5927108480137639387979252900</v>
      </c>
      <c r="R31" s="431">
        <v>-1.8970207349404626190703676300</v>
      </c>
      <c r="S31" s="432">
        <v>-0.8730628019995449732863910800</v>
      </c>
      <c r="T31" s="430">
        <v>30.784366576859453110628386080</v>
      </c>
      <c r="U31" s="431">
        <v>66.661049875029200019304332710</v>
      </c>
      <c r="V31" s="432">
        <v>9.404110193120841450505001920</v>
      </c>
      <c r="W31" s="430">
        <v>0</v>
      </c>
      <c r="X31" s="431">
        <v>0</v>
      </c>
      <c r="Y31" s="432">
        <v>12.109589346768417450693521200</v>
      </c>
      <c r="Z31" s="430">
        <v>-0.1272455089315015104521240300</v>
      </c>
      <c r="AA31" s="431">
        <v>1.7750779150699031677970229300</v>
      </c>
      <c r="AB31" s="432">
        <v>2.3623761134831836002901942400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80.42219952332311882873680626</v>
      </c>
      <c r="E34" s="428">
        <v>74.024089824527114148419216050</v>
      </c>
      <c r="F34" s="429">
        <v>57.118524713109655697861433060</v>
      </c>
      <c r="G34" s="427">
        <v>10.410282601293837248893428670</v>
      </c>
      <c r="H34" s="428">
        <v>4.564737078906530858259498500</v>
      </c>
      <c r="I34" s="429">
        <v>17.054806548615943084442236960</v>
      </c>
      <c r="J34" s="427">
        <v>0</v>
      </c>
      <c r="K34" s="428">
        <v>0</v>
      </c>
      <c r="L34" s="429">
        <v>7.7185807244329254320879867800</v>
      </c>
      <c r="M34" s="427">
        <v>90.83248212461695607763023493</v>
      </c>
      <c r="N34" s="428">
        <v>78.588826903433645006678714550</v>
      </c>
      <c r="O34" s="429">
        <v>81.89191198615852421439165681</v>
      </c>
      <c r="P34" s="5"/>
      <c r="Q34" s="427">
        <v>-0.0951676007226781497668765400</v>
      </c>
      <c r="R34" s="428">
        <v>5.9250799998573914342954301700</v>
      </c>
      <c r="S34" s="429">
        <v>-3.3654571869362513407196590600</v>
      </c>
      <c r="T34" s="427">
        <v>-21.652786674919504695037884030</v>
      </c>
      <c r="U34" s="428">
        <v>50.545424076783088095926406060</v>
      </c>
      <c r="V34" s="429">
        <v>3.5535786904183086250599680200</v>
      </c>
      <c r="W34" s="427">
        <v>0</v>
      </c>
      <c r="X34" s="428">
        <v>0</v>
      </c>
      <c r="Y34" s="429">
        <v>7.7136840179514705382222953800</v>
      </c>
      <c r="Z34" s="427">
        <v>-3.1493919041092967790358888300</v>
      </c>
      <c r="AA34" s="428">
        <v>7.7805794565322919269181978700</v>
      </c>
      <c r="AB34" s="429">
        <v>-1.0287725410489571483852119700</v>
      </c>
    </row>
    <row r="35" ht="18" customHeight="1">
      <c r="A35" s="58"/>
      <c r="B35" s="286">
        <v>2024</v>
      </c>
      <c r="C35" s="287"/>
      <c r="D35" s="271">
        <v>82.12962962962962962962962963</v>
      </c>
      <c r="E35" s="92">
        <v>81.04183407478368196079482985</v>
      </c>
      <c r="F35" s="272">
        <v>59.986202582551680698900850830</v>
      </c>
      <c r="G35" s="271">
        <v>10.816498316498316498316498320</v>
      </c>
      <c r="H35" s="92">
        <v>3.414062189360656887720897800</v>
      </c>
      <c r="I35" s="272">
        <v>16.431897120342018892387978570</v>
      </c>
      <c r="J35" s="271">
        <v>0</v>
      </c>
      <c r="K35" s="92">
        <v>0</v>
      </c>
      <c r="L35" s="272">
        <v>7.1452672994977813764581685800</v>
      </c>
      <c r="M35" s="271">
        <v>92.94612794612794612794612795</v>
      </c>
      <c r="N35" s="92">
        <v>84.45589626414433884851572766</v>
      </c>
      <c r="O35" s="272">
        <v>83.56336700239148096774699797</v>
      </c>
      <c r="P35" s="5"/>
      <c r="Q35" s="271">
        <v>2.1230830746365638423496614900</v>
      </c>
      <c r="R35" s="92">
        <v>9.480351959641381136823774190</v>
      </c>
      <c r="S35" s="272">
        <v>5.0205741199649463095909458300</v>
      </c>
      <c r="T35" s="271">
        <v>3.9020623239141431963202848900</v>
      </c>
      <c r="U35" s="92">
        <v>-25.207911642013566755990499110</v>
      </c>
      <c r="V35" s="272">
        <v>-3.652398087793699898877675800</v>
      </c>
      <c r="W35" s="271">
        <v>0</v>
      </c>
      <c r="X35" s="92">
        <v>0</v>
      </c>
      <c r="Y35" s="272">
        <v>-7.4277052397710701533209376500</v>
      </c>
      <c r="Z35" s="271">
        <v>2.3269713345811026556095583100</v>
      </c>
      <c r="AA35" s="92">
        <v>7.4655260702084750957500798500</v>
      </c>
      <c r="AB35" s="272">
        <v>2.0410501790129724806654754500</v>
      </c>
    </row>
    <row r="36" ht="18" customHeight="1">
      <c r="A36" s="58"/>
      <c r="B36" s="425">
        <v>2025</v>
      </c>
      <c r="C36" s="426"/>
      <c r="D36" s="430">
        <v>77.826012938372488934286687100</v>
      </c>
      <c r="E36" s="431">
        <v>81.33982231512934413378625555</v>
      </c>
      <c r="F36" s="432">
        <v>59.563533747291769011281086810</v>
      </c>
      <c r="G36" s="430">
        <v>14.504596527068437180796731360</v>
      </c>
      <c r="H36" s="431">
        <v>6.5749934674679905931539064500</v>
      </c>
      <c r="I36" s="432">
        <v>17.915218624893434739160126870</v>
      </c>
      <c r="J36" s="430">
        <v>0</v>
      </c>
      <c r="K36" s="431">
        <v>0</v>
      </c>
      <c r="L36" s="432">
        <v>8.005154466925326773129352880</v>
      </c>
      <c r="M36" s="430">
        <v>92.33060946544092611508341845</v>
      </c>
      <c r="N36" s="431">
        <v>87.91481578259733472694016201</v>
      </c>
      <c r="O36" s="432">
        <v>85.48390683911053052357056655</v>
      </c>
      <c r="P36" s="184"/>
      <c r="Q36" s="430">
        <v>-5.2400293421954777456142959200</v>
      </c>
      <c r="R36" s="431">
        <v>0.3676968120616654829950291700</v>
      </c>
      <c r="S36" s="432">
        <v>-0.7046100888387176290049906500</v>
      </c>
      <c r="T36" s="430">
        <v>34.096970226884213473789721180</v>
      </c>
      <c r="U36" s="431">
        <v>92.58563853587870420044043413</v>
      </c>
      <c r="V36" s="432">
        <v>9.027086122398711079520991650</v>
      </c>
      <c r="W36" s="430">
        <v>0</v>
      </c>
      <c r="X36" s="431">
        <v>0</v>
      </c>
      <c r="Y36" s="432">
        <v>12.034359687082645201597512050</v>
      </c>
      <c r="Z36" s="430">
        <v>-0.662231439071906933634007200</v>
      </c>
      <c r="AA36" s="431">
        <v>4.0955334932223450347859062100</v>
      </c>
      <c r="AB36" s="432">
        <v>2.2983035576526867786298056500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75.110004151100041511000415110</v>
      </c>
      <c r="E39" s="428">
        <v>66.057248916054023037296414220</v>
      </c>
      <c r="F39" s="429">
        <v>53.677331422944705773587998430</v>
      </c>
      <c r="G39" s="427">
        <v>9.412619344126193441261934410</v>
      </c>
      <c r="H39" s="428">
        <v>3.3084009360010217924934349900</v>
      </c>
      <c r="I39" s="429">
        <v>13.733581482172811256716137140</v>
      </c>
      <c r="J39" s="427">
        <v>0</v>
      </c>
      <c r="K39" s="428">
        <v>0</v>
      </c>
      <c r="L39" s="429">
        <v>7.5426249456371511485454954100</v>
      </c>
      <c r="M39" s="427">
        <v>84.52262349522623495226234952</v>
      </c>
      <c r="N39" s="428">
        <v>69.365649852055044829789849210</v>
      </c>
      <c r="O39" s="429">
        <v>74.953537850754668178849630980</v>
      </c>
      <c r="P39" s="5"/>
      <c r="Q39" s="427">
        <v>-4.5070719865495136985687459800</v>
      </c>
      <c r="R39" s="428">
        <v>6.5216134701463725151810403900</v>
      </c>
      <c r="S39" s="429">
        <v>-3.578549168305546208547350500</v>
      </c>
      <c r="T39" s="427">
        <v>53.937542431564733429851682040</v>
      </c>
      <c r="U39" s="428">
        <v>70.777381193851996942712791430</v>
      </c>
      <c r="V39" s="429">
        <v>40.776443779198155473934193670</v>
      </c>
      <c r="W39" s="427">
        <v>0</v>
      </c>
      <c r="X39" s="428">
        <v>-100</v>
      </c>
      <c r="Y39" s="429">
        <v>26.169721449131601692885134790</v>
      </c>
      <c r="Z39" s="427">
        <v>-0.2913667303311654193693155100</v>
      </c>
      <c r="AA39" s="428">
        <v>8.446040947491662194585273580</v>
      </c>
      <c r="AB39" s="429">
        <v>4.9721721949642641607522212700</v>
      </c>
    </row>
    <row r="40" ht="18" customHeight="1">
      <c r="A40" s="58"/>
      <c r="B40" s="286">
        <v>2024</v>
      </c>
      <c r="C40" s="287"/>
      <c r="D40" s="271">
        <v>74.093392945851962245404868360</v>
      </c>
      <c r="E40" s="92">
        <v>70.844137105646300004635793170</v>
      </c>
      <c r="F40" s="272">
        <v>55.193954623968220447573430370</v>
      </c>
      <c r="G40" s="271">
        <v>8.407848981619473422752111280</v>
      </c>
      <c r="H40" s="92">
        <v>3.0553493213529640067809167400</v>
      </c>
      <c r="I40" s="272">
        <v>12.471041902331415320718189140</v>
      </c>
      <c r="J40" s="271">
        <v>0</v>
      </c>
      <c r="K40" s="92">
        <v>0</v>
      </c>
      <c r="L40" s="272">
        <v>7.0036414966492325320445505200</v>
      </c>
      <c r="M40" s="271">
        <v>82.50124192747143566815697963</v>
      </c>
      <c r="N40" s="92">
        <v>73.899486426999264011416709910</v>
      </c>
      <c r="O40" s="272">
        <v>74.668638022948868300336170040</v>
      </c>
      <c r="P40" s="5"/>
      <c r="Q40" s="271">
        <v>-1.3534964040248282880049055700</v>
      </c>
      <c r="R40" s="92">
        <v>7.2465751572945106472809480800</v>
      </c>
      <c r="S40" s="272">
        <v>2.8254444862756229722260609800</v>
      </c>
      <c r="T40" s="271">
        <v>-10.674715780473315414543076470</v>
      </c>
      <c r="U40" s="92">
        <v>-7.6487590090270725645533809600</v>
      </c>
      <c r="V40" s="272">
        <v>-9.193083257305849163106157060</v>
      </c>
      <c r="W40" s="271">
        <v>0</v>
      </c>
      <c r="X40" s="92">
        <v>0</v>
      </c>
      <c r="Y40" s="272">
        <v>-7.1458338819456237017466568200</v>
      </c>
      <c r="Z40" s="271">
        <v>-2.39152724340526136120996400</v>
      </c>
      <c r="AA40" s="92">
        <v>6.5361408486278386010039309100</v>
      </c>
      <c r="AB40" s="272">
        <v>-0.3801019084892880535270366200</v>
      </c>
    </row>
    <row r="41" ht="18" customHeight="1">
      <c r="A41" s="58"/>
      <c r="B41" s="425">
        <v>2025</v>
      </c>
      <c r="C41" s="426"/>
      <c r="D41" s="430">
        <v>72.498962224989622249896222500</v>
      </c>
      <c r="E41" s="431">
        <v>70.291934741815566831287756550</v>
      </c>
      <c r="F41" s="432">
        <v>56.140488363809661806201520700</v>
      </c>
      <c r="G41" s="430">
        <v>10.695309256953092569530925700</v>
      </c>
      <c r="H41" s="431">
        <v>4.8591775856661550281953728200</v>
      </c>
      <c r="I41" s="432">
        <v>12.968025503237618783489073170</v>
      </c>
      <c r="J41" s="430">
        <v>0</v>
      </c>
      <c r="K41" s="431">
        <v>0</v>
      </c>
      <c r="L41" s="432">
        <v>7.4561840819834676392487153500</v>
      </c>
      <c r="M41" s="430">
        <v>83.19427148194271481942714819</v>
      </c>
      <c r="N41" s="431">
        <v>75.151112327481721859483129370</v>
      </c>
      <c r="O41" s="432">
        <v>76.564697949030748228939309220</v>
      </c>
      <c r="P41" s="184"/>
      <c r="Q41" s="430">
        <v>-2.1519202421659467006937510100</v>
      </c>
      <c r="R41" s="431">
        <v>-0.7794609213198862677915655200</v>
      </c>
      <c r="S41" s="432">
        <v>1.7149228502609963775613961300</v>
      </c>
      <c r="T41" s="430">
        <v>27.206248356256662876345087420</v>
      </c>
      <c r="U41" s="431">
        <v>59.038364341253717182748216150</v>
      </c>
      <c r="V41" s="432">
        <v>3.9851008827575301722436677600</v>
      </c>
      <c r="W41" s="430">
        <v>0</v>
      </c>
      <c r="X41" s="431">
        <v>0</v>
      </c>
      <c r="Y41" s="432">
        <v>6.461532698427807177098667800</v>
      </c>
      <c r="Z41" s="430">
        <v>0.8400231781380110902781393600</v>
      </c>
      <c r="AA41" s="431">
        <v>1.6936868725307222215008985100</v>
      </c>
      <c r="AB41" s="432">
        <v>2.5392989296915376627600293100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34">
        <v>225.53398453398453398453398453</v>
      </c>
      <c r="E9" s="435">
        <v>234.88490731017103375081714484</v>
      </c>
      <c r="F9" s="436">
        <v>208.94122631553446187301248042</v>
      </c>
      <c r="G9" s="434">
        <v>244.18480492813141683778234086</v>
      </c>
      <c r="H9" s="435">
        <v>330.28382330569349936292500722</v>
      </c>
      <c r="I9" s="436">
        <v>235.16419957517746002027704883</v>
      </c>
      <c r="J9" s="434">
        <v>0</v>
      </c>
      <c r="K9" s="435">
        <v>0</v>
      </c>
      <c r="L9" s="436">
        <v>146.45759307481846233489678712</v>
      </c>
      <c r="M9" s="434">
        <v>228.61922554347826086956521739</v>
      </c>
      <c r="N9" s="435">
        <v>238.8965540340853117919416806</v>
      </c>
      <c r="O9" s="436">
        <v>208.40661605206073752711496746</v>
      </c>
      <c r="P9" s="5"/>
      <c r="Q9" s="415">
        <v>-14.074540400539092015461223560</v>
      </c>
      <c r="R9" s="416">
        <v>-24.615954064985577210113271450</v>
      </c>
      <c r="S9" s="417">
        <v>-11.526326185460293135329648760</v>
      </c>
      <c r="T9" s="415">
        <v>-8.099461548639302382597309550</v>
      </c>
      <c r="U9" s="416">
        <v>7.6385593318919689614193850300</v>
      </c>
      <c r="V9" s="417">
        <v>0.6416413718542336618615732400</v>
      </c>
      <c r="W9" s="415">
        <v>0</v>
      </c>
      <c r="X9" s="416">
        <v>0</v>
      </c>
      <c r="Y9" s="417">
        <v>21.697199760364834154563946570</v>
      </c>
      <c r="Z9" s="415">
        <v>-13.051875238990915761515486610</v>
      </c>
      <c r="AA9" s="416">
        <v>-23.233218368291670158834114850</v>
      </c>
      <c r="AB9" s="417">
        <v>-6.9647113732862149337951186300</v>
      </c>
    </row>
    <row r="10" ht="18" customHeight="1">
      <c r="A10" s="58"/>
      <c r="B10" s="286"/>
      <c r="C10" s="287" t="s">
        <v>222</v>
      </c>
      <c r="D10" s="276">
        <v>322.59366391184573002754820937</v>
      </c>
      <c r="E10" s="94">
        <v>382.28170849156862049624344765</v>
      </c>
      <c r="F10" s="277">
        <v>272.31996205427680516878509172</v>
      </c>
      <c r="G10" s="276">
        <v>382.00371057513914656771799629</v>
      </c>
      <c r="H10" s="94">
        <v>380.87753441302313548333022869</v>
      </c>
      <c r="I10" s="277">
        <v>288.30578356769647006141249953</v>
      </c>
      <c r="J10" s="276">
        <v>0</v>
      </c>
      <c r="K10" s="94">
        <v>0</v>
      </c>
      <c r="L10" s="277">
        <v>150.74784268568036380763097689</v>
      </c>
      <c r="M10" s="276">
        <v>331.89427824571594539645657857</v>
      </c>
      <c r="N10" s="94">
        <v>382.23711296296296296296296301</v>
      </c>
      <c r="O10" s="277">
        <v>262.41211252788710935374458129</v>
      </c>
      <c r="P10" s="5"/>
      <c r="Q10" s="271">
        <v>1.5491134616005009576212388700</v>
      </c>
      <c r="R10" s="92">
        <v>2.6310514442786859308002882100</v>
      </c>
      <c r="S10" s="272">
        <v>-0.887600845845222576185249700</v>
      </c>
      <c r="T10" s="271">
        <v>10.157365065787861632077396700</v>
      </c>
      <c r="U10" s="92">
        <v>-16.564728032536664140365100940</v>
      </c>
      <c r="V10" s="272">
        <v>17.785292601890803171932550610</v>
      </c>
      <c r="W10" s="271">
        <v>0</v>
      </c>
      <c r="X10" s="92">
        <v>0</v>
      </c>
      <c r="Y10" s="272">
        <v>22.152980575544280490605907170</v>
      </c>
      <c r="Z10" s="271">
        <v>3.8038201582109236315383072600</v>
      </c>
      <c r="AA10" s="92">
        <v>2.1254659005001036829580803900</v>
      </c>
      <c r="AB10" s="272">
        <v>3.3940290776839411431750854400</v>
      </c>
    </row>
    <row r="11" ht="18" customHeight="1">
      <c r="A11" s="58"/>
      <c r="B11" s="288">
        <v>2024</v>
      </c>
      <c r="C11" s="289" t="s">
        <v>224</v>
      </c>
      <c r="D11" s="439">
        <v>285.75064850843060959792477302</v>
      </c>
      <c r="E11" s="95">
        <v>328.5662299736149180619538946</v>
      </c>
      <c r="F11" s="440">
        <v>268.34304765510803374899418604</v>
      </c>
      <c r="G11" s="439">
        <v>297.3754385964912280701754386</v>
      </c>
      <c r="H11" s="95">
        <v>345.63775325752211084330896824</v>
      </c>
      <c r="I11" s="440">
        <v>292.09472666989915617093543151</v>
      </c>
      <c r="J11" s="439">
        <v>0</v>
      </c>
      <c r="K11" s="95">
        <v>0</v>
      </c>
      <c r="L11" s="440">
        <v>153.90026678487910006314263885</v>
      </c>
      <c r="M11" s="439">
        <v>287.56403940886699507389162562</v>
      </c>
      <c r="N11" s="95">
        <v>330.13604342581423401688781665</v>
      </c>
      <c r="O11" s="440">
        <v>262.87688516596426456758733586</v>
      </c>
      <c r="P11" s="5"/>
      <c r="Q11" s="420">
        <v>2.2021565037568591095660146900</v>
      </c>
      <c r="R11" s="91">
        <v>-3.3446419712069611264669595500</v>
      </c>
      <c r="S11" s="421">
        <v>-2.5996288248536432895091231600</v>
      </c>
      <c r="T11" s="420">
        <v>3.1561947455799254277663107600</v>
      </c>
      <c r="U11" s="91">
        <v>-6.1915964231534993027709605800</v>
      </c>
      <c r="V11" s="421">
        <v>5.8849611029173251988344470700</v>
      </c>
      <c r="W11" s="420">
        <v>0</v>
      </c>
      <c r="X11" s="91">
        <v>0</v>
      </c>
      <c r="Y11" s="421">
        <v>20.939945271393030958396736890</v>
      </c>
      <c r="Z11" s="420">
        <v>2.2539092647899099129884983200</v>
      </c>
      <c r="AA11" s="91">
        <v>-3.3178220622261525888217845200</v>
      </c>
      <c r="AB11" s="421">
        <v>1.2970949609208357156312936600</v>
      </c>
    </row>
    <row r="12" ht="18" customHeight="1">
      <c r="A12" s="58"/>
      <c r="B12" s="286"/>
      <c r="C12" s="287" t="s">
        <v>225</v>
      </c>
      <c r="D12" s="276">
        <v>358.93212341197822141560798548</v>
      </c>
      <c r="E12" s="94">
        <v>381.40897714096961592683778917</v>
      </c>
      <c r="F12" s="277">
        <v>325.08912390903549465060426368</v>
      </c>
      <c r="G12" s="276">
        <v>324.11346633416458852867830424</v>
      </c>
      <c r="H12" s="94">
        <v>439.77259929786921890686775464</v>
      </c>
      <c r="I12" s="277">
        <v>329.94814353191228114353648123</v>
      </c>
      <c r="J12" s="276">
        <v>0</v>
      </c>
      <c r="K12" s="94">
        <v>0</v>
      </c>
      <c r="L12" s="277">
        <v>161.24715604381606561051383565</v>
      </c>
      <c r="M12" s="276">
        <v>351.08152937868990722518976666</v>
      </c>
      <c r="N12" s="94">
        <v>384.66018085106382978723404255</v>
      </c>
      <c r="O12" s="277">
        <v>311.89754314720812182741116751</v>
      </c>
      <c r="P12" s="5"/>
      <c r="Q12" s="271">
        <v>2.7181658109170109422969713700</v>
      </c>
      <c r="R12" s="92">
        <v>-9.023377703338990032560215900</v>
      </c>
      <c r="S12" s="272">
        <v>-0.8400505975715131352003163800</v>
      </c>
      <c r="T12" s="271">
        <v>-2.8550239892621267524306489800</v>
      </c>
      <c r="U12" s="92">
        <v>-10.736749832941986610782233610</v>
      </c>
      <c r="V12" s="272">
        <v>2.557813501803020794781679100</v>
      </c>
      <c r="W12" s="271">
        <v>0</v>
      </c>
      <c r="X12" s="92">
        <v>0</v>
      </c>
      <c r="Y12" s="272">
        <v>19.671043051446040474235262200</v>
      </c>
      <c r="Z12" s="271">
        <v>1.2162344522410634697652324300</v>
      </c>
      <c r="AA12" s="92">
        <v>-9.522847999293038540960644920</v>
      </c>
      <c r="AB12" s="272">
        <v>1.6810268016846806390922774700</v>
      </c>
    </row>
    <row r="13" ht="18" customHeight="1">
      <c r="A13" s="58"/>
      <c r="B13" s="288"/>
      <c r="C13" s="289" t="s">
        <v>226</v>
      </c>
      <c r="D13" s="439">
        <v>312.10688353180365959918675574</v>
      </c>
      <c r="E13" s="95">
        <v>356.03498161432590004513353337</v>
      </c>
      <c r="F13" s="440">
        <v>301.97310356133677660958784904</v>
      </c>
      <c r="G13" s="439">
        <v>313.3</v>
      </c>
      <c r="H13" s="95">
        <v>436.92887199505511952032198483</v>
      </c>
      <c r="I13" s="440">
        <v>298.34321416331667500240338605</v>
      </c>
      <c r="J13" s="439">
        <v>0</v>
      </c>
      <c r="K13" s="95">
        <v>0</v>
      </c>
      <c r="L13" s="440">
        <v>161.83087792786904866911637798</v>
      </c>
      <c r="M13" s="439">
        <v>312.21697864487213287635117321</v>
      </c>
      <c r="N13" s="95">
        <v>357.98414403032217308907138345</v>
      </c>
      <c r="O13" s="440">
        <v>289.23238524708851333181639534</v>
      </c>
      <c r="P13" s="5"/>
      <c r="Q13" s="420">
        <v>-2.010080068198589874516326600</v>
      </c>
      <c r="R13" s="91">
        <v>-7.5141992174293669402646189200</v>
      </c>
      <c r="S13" s="421">
        <v>-4.0320349995118024952070656800</v>
      </c>
      <c r="T13" s="420">
        <v>10.410205807724837891175641390</v>
      </c>
      <c r="U13" s="91">
        <v>4.1781088799259514883109921500</v>
      </c>
      <c r="V13" s="421">
        <v>1.7389759561247412753857988400</v>
      </c>
      <c r="W13" s="420">
        <v>0</v>
      </c>
      <c r="X13" s="91">
        <v>0</v>
      </c>
      <c r="Y13" s="421">
        <v>21.106932329191958849970428310</v>
      </c>
      <c r="Z13" s="420">
        <v>-0.7483064832101831910544914300</v>
      </c>
      <c r="AA13" s="91">
        <v>-7.3738141736572682901672865500</v>
      </c>
      <c r="AB13" s="421">
        <v>-1.5537917500624694771619684600</v>
      </c>
    </row>
    <row r="14" ht="18" customHeight="1">
      <c r="A14" s="58"/>
      <c r="B14" s="286"/>
      <c r="C14" s="287" t="s">
        <v>228</v>
      </c>
      <c r="D14" s="276">
        <v>257.79657207080640629390278168</v>
      </c>
      <c r="E14" s="94">
        <v>303.7070423499163807262796791</v>
      </c>
      <c r="F14" s="277">
        <v>248.66859628019859644862730042</v>
      </c>
      <c r="G14" s="276">
        <v>275.85714285714285714285714286</v>
      </c>
      <c r="H14" s="94">
        <v>413.39559410629893411495289507</v>
      </c>
      <c r="I14" s="277">
        <v>274.83569373217252665185515918</v>
      </c>
      <c r="J14" s="276">
        <v>0</v>
      </c>
      <c r="K14" s="94">
        <v>0</v>
      </c>
      <c r="L14" s="277">
        <v>157.79790005972876096267832644</v>
      </c>
      <c r="M14" s="276">
        <v>258.44718309859154929577464789</v>
      </c>
      <c r="N14" s="94">
        <v>308.43953020134228187919463087</v>
      </c>
      <c r="O14" s="277">
        <v>246.72479168760350078431201199</v>
      </c>
      <c r="P14" s="5"/>
      <c r="Q14" s="271">
        <v>-3.1029055926922857151135757200</v>
      </c>
      <c r="R14" s="92">
        <v>-9.937302405567606255603131620</v>
      </c>
      <c r="S14" s="272">
        <v>-1.5160275024691840526056730600</v>
      </c>
      <c r="T14" s="271">
        <v>19.826089272386604369375135290</v>
      </c>
      <c r="U14" s="92">
        <v>-16.561103741476746475997349560</v>
      </c>
      <c r="V14" s="272">
        <v>8.565451368316240528814778810</v>
      </c>
      <c r="W14" s="271">
        <v>0</v>
      </c>
      <c r="X14" s="92">
        <v>0</v>
      </c>
      <c r="Y14" s="272">
        <v>21.501492297137062397462537910</v>
      </c>
      <c r="Z14" s="271">
        <v>-1.9665363402226929105900365600</v>
      </c>
      <c r="AA14" s="92">
        <v>-10.688279842937158953578849690</v>
      </c>
      <c r="AB14" s="272">
        <v>2.1500487162751909321004346300</v>
      </c>
    </row>
    <row r="15" ht="18" customHeight="1">
      <c r="A15" s="58"/>
      <c r="B15" s="288"/>
      <c r="C15" s="289" t="s">
        <v>229</v>
      </c>
      <c r="D15" s="439">
        <v>205.17344</v>
      </c>
      <c r="E15" s="95">
        <v>277.19264848405495706654864709</v>
      </c>
      <c r="F15" s="440">
        <v>222.52562514929471910116410023</v>
      </c>
      <c r="G15" s="439">
        <v>392.64739884393063583815028902</v>
      </c>
      <c r="H15" s="95">
        <v>278.81100945798166036331588093</v>
      </c>
      <c r="I15" s="440">
        <v>256.23231557372949527756428753</v>
      </c>
      <c r="J15" s="439">
        <v>0</v>
      </c>
      <c r="K15" s="95">
        <v>0</v>
      </c>
      <c r="L15" s="440">
        <v>154.30982083016693910292467441</v>
      </c>
      <c r="M15" s="439">
        <v>223.86142322097378277153558052</v>
      </c>
      <c r="N15" s="95">
        <v>277.21491387715307117322066948</v>
      </c>
      <c r="O15" s="440">
        <v>221.87765616423823954023624698</v>
      </c>
      <c r="P15" s="5"/>
      <c r="Q15" s="420">
        <v>-13.046454389792187145753872520</v>
      </c>
      <c r="R15" s="91">
        <v>-7.2468726100633565462186612200</v>
      </c>
      <c r="S15" s="421">
        <v>-3.433649668086378594437050600</v>
      </c>
      <c r="T15" s="420">
        <v>-10.818228764798428887459509300</v>
      </c>
      <c r="U15" s="91">
        <v>-12.962062962594922959887085380</v>
      </c>
      <c r="V15" s="421">
        <v>-5.9014074887219580312043115900</v>
      </c>
      <c r="W15" s="420">
        <v>0</v>
      </c>
      <c r="X15" s="91">
        <v>0</v>
      </c>
      <c r="Y15" s="421">
        <v>10.913964859410191779072776860</v>
      </c>
      <c r="Z15" s="420">
        <v>-14.640373994918915216975929880</v>
      </c>
      <c r="AA15" s="91">
        <v>-7.7344904555041594675486860700</v>
      </c>
      <c r="AB15" s="421">
        <v>-2.9350698305808965773953416400</v>
      </c>
    </row>
    <row r="16" ht="18" customHeight="1">
      <c r="A16" s="58"/>
      <c r="B16" s="286"/>
      <c r="C16" s="287" t="s">
        <v>230</v>
      </c>
      <c r="D16" s="276">
        <v>172.02562141491395793499043977</v>
      </c>
      <c r="E16" s="94">
        <v>223.45688637447459779119667477</v>
      </c>
      <c r="F16" s="277">
        <v>182.54145122123395703193833686</v>
      </c>
      <c r="G16" s="276">
        <v>166.59958932238193018480492813</v>
      </c>
      <c r="H16" s="94">
        <v>222.51252689879558700022904847</v>
      </c>
      <c r="I16" s="277">
        <v>198.42306323796927488881812573</v>
      </c>
      <c r="J16" s="276">
        <v>0</v>
      </c>
      <c r="K16" s="94">
        <v>0</v>
      </c>
      <c r="L16" s="277">
        <v>145.84654116787893688188075446</v>
      </c>
      <c r="M16" s="276">
        <v>171.17375886524822695035460993</v>
      </c>
      <c r="N16" s="94">
        <v>223.44614586295137901620699461</v>
      </c>
      <c r="O16" s="277">
        <v>180.94885304247416908688284487</v>
      </c>
      <c r="P16" s="5"/>
      <c r="Q16" s="271">
        <v>-8.117702262421714646494802410</v>
      </c>
      <c r="R16" s="92">
        <v>-1.4753146584875893689499225500</v>
      </c>
      <c r="S16" s="272">
        <v>-2.2356784292044149131910909400</v>
      </c>
      <c r="T16" s="271">
        <v>-2.1711076582459457887296809100</v>
      </c>
      <c r="U16" s="92">
        <v>50.236863795915137609325245780</v>
      </c>
      <c r="V16" s="272">
        <v>0.9575023468174029213329655100</v>
      </c>
      <c r="W16" s="271">
        <v>0</v>
      </c>
      <c r="X16" s="92">
        <v>0</v>
      </c>
      <c r="Y16" s="272">
        <v>11.016542456382079095304280300</v>
      </c>
      <c r="Z16" s="271">
        <v>-7.6972330895483458723735015600</v>
      </c>
      <c r="AA16" s="92">
        <v>-0.0140374678165911566609575900</v>
      </c>
      <c r="AB16" s="272">
        <v>-0.8535481562652848153378457200</v>
      </c>
    </row>
    <row r="17" ht="18" customHeight="1">
      <c r="A17" s="58"/>
      <c r="B17" s="288"/>
      <c r="C17" s="289" t="s">
        <v>233</v>
      </c>
      <c r="D17" s="439">
        <v>173.54926624737945492662473795</v>
      </c>
      <c r="E17" s="95">
        <v>235.26751268698308260267808387</v>
      </c>
      <c r="F17" s="440">
        <v>177.73190796211763121803704537</v>
      </c>
      <c r="G17" s="439">
        <v>288.65584415584415584415584416</v>
      </c>
      <c r="H17" s="95">
        <v>215.23882803234748765398101744</v>
      </c>
      <c r="I17" s="440">
        <v>180.94155715589621552803052143</v>
      </c>
      <c r="J17" s="439">
        <v>0</v>
      </c>
      <c r="K17" s="95">
        <v>0</v>
      </c>
      <c r="L17" s="440">
        <v>140.68192407037401966701232004</v>
      </c>
      <c r="M17" s="439">
        <v>179.42672413793103448275862069</v>
      </c>
      <c r="N17" s="95">
        <v>234.55057833578202217176439163</v>
      </c>
      <c r="O17" s="440">
        <v>174.31037168509200079302889835</v>
      </c>
      <c r="P17" s="5"/>
      <c r="Q17" s="420">
        <v>-6.4765906987051062593857972700</v>
      </c>
      <c r="R17" s="91">
        <v>5.5136904135848398765993841600</v>
      </c>
      <c r="S17" s="421">
        <v>-3.6887239152055242594603412100</v>
      </c>
      <c r="T17" s="420">
        <v>79.37504655953326485823840221</v>
      </c>
      <c r="U17" s="91">
        <v>-32.533128225370611255706462650</v>
      </c>
      <c r="V17" s="421">
        <v>2.9107080413795035079501365400</v>
      </c>
      <c r="W17" s="420">
        <v>0</v>
      </c>
      <c r="X17" s="91">
        <v>0</v>
      </c>
      <c r="Y17" s="421">
        <v>6.5756256585996627098378024200</v>
      </c>
      <c r="Z17" s="420">
        <v>-3.2597745184463937248828842200</v>
      </c>
      <c r="AA17" s="91">
        <v>4.8264792156227410170163342600</v>
      </c>
      <c r="AB17" s="421">
        <v>-2.0703617852700484962625577600</v>
      </c>
    </row>
    <row r="18" ht="18" customHeight="1">
      <c r="A18" s="58"/>
      <c r="B18" s="286"/>
      <c r="C18" s="287" t="s">
        <v>234</v>
      </c>
      <c r="D18" s="276">
        <v>158.49419398907103825136612022</v>
      </c>
      <c r="E18" s="94">
        <v>207.51190662951688546405616943</v>
      </c>
      <c r="F18" s="277">
        <v>161.01742905237788190563889835</v>
      </c>
      <c r="G18" s="276">
        <v>164.46078431372549019607843137</v>
      </c>
      <c r="H18" s="94">
        <v>228.69396110807066232288107079</v>
      </c>
      <c r="I18" s="277">
        <v>168.08907298808827316243937875</v>
      </c>
      <c r="J18" s="276">
        <v>0</v>
      </c>
      <c r="K18" s="94">
        <v>0</v>
      </c>
      <c r="L18" s="277">
        <v>140.88465175673507454275855267</v>
      </c>
      <c r="M18" s="276">
        <v>158.6950495049504950495049505</v>
      </c>
      <c r="N18" s="94">
        <v>207.8975057736720554272517321</v>
      </c>
      <c r="O18" s="277">
        <v>159.39139043959437138838106348</v>
      </c>
      <c r="P18" s="5"/>
      <c r="Q18" s="271">
        <v>-6.1206120702392382886962618600</v>
      </c>
      <c r="R18" s="92">
        <v>2.992004522158001910261107100</v>
      </c>
      <c r="S18" s="272">
        <v>-5.2078429548081435581965226400</v>
      </c>
      <c r="T18" s="271">
        <v>-10.865755446842172944801459040</v>
      </c>
      <c r="U18" s="92">
        <v>3.2346663626563527058441450400</v>
      </c>
      <c r="V18" s="272">
        <v>0.9382662528511145740094809500</v>
      </c>
      <c r="W18" s="271">
        <v>0</v>
      </c>
      <c r="X18" s="92">
        <v>0</v>
      </c>
      <c r="Y18" s="272">
        <v>6.5649062570143872790335186700</v>
      </c>
      <c r="Z18" s="271">
        <v>-6.1624018703361361635951644900</v>
      </c>
      <c r="AA18" s="92">
        <v>2.9993072278396522904370573800</v>
      </c>
      <c r="AB18" s="272">
        <v>-3.635410025788580169445959100</v>
      </c>
    </row>
    <row r="19" ht="18" customHeight="1">
      <c r="A19" s="58"/>
      <c r="B19" s="288"/>
      <c r="C19" s="289" t="s">
        <v>235</v>
      </c>
      <c r="D19" s="439">
        <v>146.70195517405817835002384359</v>
      </c>
      <c r="E19" s="95">
        <v>188.19156788367443219799774999</v>
      </c>
      <c r="F19" s="440">
        <v>162.61709215544584406674460128</v>
      </c>
      <c r="G19" s="439">
        <v>214.81439393939393939393939394</v>
      </c>
      <c r="H19" s="95">
        <v>232.48157967383788609817283699</v>
      </c>
      <c r="I19" s="440">
        <v>179.02585752759736087521832884</v>
      </c>
      <c r="J19" s="439">
        <v>0</v>
      </c>
      <c r="K19" s="95">
        <v>0</v>
      </c>
      <c r="L19" s="440">
        <v>142.65869608961554386510168838</v>
      </c>
      <c r="M19" s="439">
        <v>160.40228571428571428571428571</v>
      </c>
      <c r="N19" s="95">
        <v>192.74771742189698846045595271</v>
      </c>
      <c r="O19" s="440">
        <v>163.1623835519704500393818409</v>
      </c>
      <c r="P19" s="5"/>
      <c r="Q19" s="420">
        <v>-9.508234903326450621869025650</v>
      </c>
      <c r="R19" s="91">
        <v>1.6793692115276729558872556700</v>
      </c>
      <c r="S19" s="421">
        <v>-1.9051321980524213610875218400</v>
      </c>
      <c r="T19" s="420">
        <v>30.212463071547794542623178380</v>
      </c>
      <c r="U19" s="91">
        <v>-2.5517001886001152272151694600</v>
      </c>
      <c r="V19" s="421">
        <v>-2.9124682830739552353810463900</v>
      </c>
      <c r="W19" s="420">
        <v>0</v>
      </c>
      <c r="X19" s="91">
        <v>0</v>
      </c>
      <c r="Y19" s="421">
        <v>5.4024741265481783005650461600</v>
      </c>
      <c r="Z19" s="420">
        <v>-1.1041850725666247487794883100</v>
      </c>
      <c r="AA19" s="91">
        <v>3.8881055866302187946017558200</v>
      </c>
      <c r="AB19" s="421">
        <v>-1.3658882326767788199325164400</v>
      </c>
    </row>
    <row r="20" ht="18" customHeight="1">
      <c r="A20" s="58"/>
      <c r="B20" s="286"/>
      <c r="C20" s="287" t="s">
        <v>236</v>
      </c>
      <c r="D20" s="276">
        <v>192.05425219941348973607038123</v>
      </c>
      <c r="E20" s="94">
        <v>262.91297261987539927949781013</v>
      </c>
      <c r="F20" s="277">
        <v>213.15339025386049283526612043</v>
      </c>
      <c r="G20" s="276">
        <v>193.92808988764044943820224719</v>
      </c>
      <c r="H20" s="94">
        <v>272.69804700963349400242078591</v>
      </c>
      <c r="I20" s="277">
        <v>229.59613554788790286218163696</v>
      </c>
      <c r="J20" s="276">
        <v>0</v>
      </c>
      <c r="K20" s="94">
        <v>0</v>
      </c>
      <c r="L20" s="277">
        <v>150.33712374821121521212367317</v>
      </c>
      <c r="M20" s="276">
        <v>192.31705011030570438071225969</v>
      </c>
      <c r="N20" s="94">
        <v>263.56058871185525249797461516</v>
      </c>
      <c r="O20" s="277">
        <v>210.78626274596943436288669975</v>
      </c>
      <c r="P20" s="5"/>
      <c r="Q20" s="271">
        <v>3.2995496104086049608435914500</v>
      </c>
      <c r="R20" s="92">
        <v>19.409586884346923312457551840</v>
      </c>
      <c r="S20" s="272">
        <v>8.247902876438473196967676780</v>
      </c>
      <c r="T20" s="271">
        <v>9.823729681032513264534190400</v>
      </c>
      <c r="U20" s="92">
        <v>5.5147040137500200594816617500</v>
      </c>
      <c r="V20" s="272">
        <v>4.238193113125110217142020400</v>
      </c>
      <c r="W20" s="271">
        <v>0</v>
      </c>
      <c r="X20" s="92">
        <v>0</v>
      </c>
      <c r="Y20" s="272">
        <v>4.7616626325558775625294256200</v>
      </c>
      <c r="Z20" s="271">
        <v>3.8954704505473957463029178900</v>
      </c>
      <c r="AA20" s="92">
        <v>18.800681845644874103809502030</v>
      </c>
      <c r="AB20" s="272">
        <v>7.3016038874891913180656614700</v>
      </c>
    </row>
    <row r="21" ht="18" customHeight="1">
      <c r="A21" s="58"/>
      <c r="B21" s="288"/>
      <c r="C21" s="289" t="s">
        <v>218</v>
      </c>
      <c r="D21" s="441">
        <v>196.78108193609617209743751977</v>
      </c>
      <c r="E21" s="154">
        <v>266.7064145537286307688213263</v>
      </c>
      <c r="F21" s="442">
        <v>211.66153409468294063953419587</v>
      </c>
      <c r="G21" s="441">
        <v>206.29295774647887323943661972</v>
      </c>
      <c r="H21" s="154">
        <v>306.78258736050808329051574837</v>
      </c>
      <c r="I21" s="442">
        <v>235.35173434227129227732113304</v>
      </c>
      <c r="J21" s="441">
        <v>0</v>
      </c>
      <c r="K21" s="154">
        <v>0</v>
      </c>
      <c r="L21" s="442">
        <v>149.50726774924139651066973863</v>
      </c>
      <c r="M21" s="441">
        <v>197.74146757679180887372013652</v>
      </c>
      <c r="N21" s="154">
        <v>271.05020331223912750774202237</v>
      </c>
      <c r="O21" s="442">
        <v>209.88051842481424480867329464</v>
      </c>
      <c r="P21" s="5"/>
      <c r="Q21" s="420">
        <v>-12.748811518278848120269728960</v>
      </c>
      <c r="R21" s="91">
        <v>13.547701982189796137079415960</v>
      </c>
      <c r="S21" s="421">
        <v>1.301948795435560519748746200</v>
      </c>
      <c r="T21" s="420">
        <v>-15.517692508662997140338881950</v>
      </c>
      <c r="U21" s="91">
        <v>-7.1154668460525644821246852300</v>
      </c>
      <c r="V21" s="421">
        <v>0.079746308073275861724024700</v>
      </c>
      <c r="W21" s="420">
        <v>0</v>
      </c>
      <c r="X21" s="91">
        <v>0</v>
      </c>
      <c r="Y21" s="421">
        <v>2.0822919525134092093058695400</v>
      </c>
      <c r="Z21" s="420">
        <v>-13.506194806365047538624903530</v>
      </c>
      <c r="AA21" s="91">
        <v>13.459235277855673162197742640</v>
      </c>
      <c r="AB21" s="421">
        <v>0.7072243677454946598614181800</v>
      </c>
    </row>
    <row r="22" ht="18" customHeight="1">
      <c r="A22" s="58"/>
      <c r="B22" s="286"/>
      <c r="C22" s="287" t="s">
        <v>222</v>
      </c>
      <c r="D22" s="276">
        <v>278.51041666666666666666666667</v>
      </c>
      <c r="E22" s="94">
        <v>440.93404949926345154810736269</v>
      </c>
      <c r="F22" s="277">
        <v>271.67907186448222431556661429</v>
      </c>
      <c r="G22" s="276">
        <v>281.3030303030303030303030303</v>
      </c>
      <c r="H22" s="94">
        <v>412.25359455684446137542057948</v>
      </c>
      <c r="I22" s="277">
        <v>277.15286480561257934422688086</v>
      </c>
      <c r="J22" s="276">
        <v>0</v>
      </c>
      <c r="K22" s="94">
        <v>0</v>
      </c>
      <c r="L22" s="277">
        <v>161.85200607427575982632355008</v>
      </c>
      <c r="M22" s="276">
        <v>278.76683361157484696716750139</v>
      </c>
      <c r="N22" s="94">
        <v>439.15032841996379622446340835</v>
      </c>
      <c r="O22" s="277">
        <v>261.11490559647785962238591144</v>
      </c>
      <c r="P22" s="5"/>
      <c r="Q22" s="271">
        <v>-13.665255141894568756466445350</v>
      </c>
      <c r="R22" s="92">
        <v>15.342701391362081993253877480</v>
      </c>
      <c r="S22" s="272">
        <v>-0.2353445502059755698965399300</v>
      </c>
      <c r="T22" s="271">
        <v>-26.361178565639207807355034750</v>
      </c>
      <c r="U22" s="92">
        <v>8.237834292904817469681391950</v>
      </c>
      <c r="V22" s="272">
        <v>-3.8684339329143186901036015400</v>
      </c>
      <c r="W22" s="271">
        <v>0</v>
      </c>
      <c r="X22" s="92">
        <v>0</v>
      </c>
      <c r="Y22" s="272">
        <v>7.3660512752592148097689611600</v>
      </c>
      <c r="Z22" s="271">
        <v>-16.007339721233494521939845730</v>
      </c>
      <c r="AA22" s="92">
        <v>14.88950536900714641254525500</v>
      </c>
      <c r="AB22" s="272">
        <v>-0.494339578659586315844343500</v>
      </c>
    </row>
    <row r="23" ht="18" customHeight="1">
      <c r="A23" s="58"/>
      <c r="B23" s="288">
        <v>2025</v>
      </c>
      <c r="C23" s="289" t="s">
        <v>224</v>
      </c>
      <c r="D23" s="439">
        <v>270.1549717326238776188892584</v>
      </c>
      <c r="E23" s="95">
        <v>368.243680445367153147350609</v>
      </c>
      <c r="F23" s="440">
        <v>272.9367825118087135904434102</v>
      </c>
      <c r="G23" s="439">
        <v>325.3034188034188034188034188</v>
      </c>
      <c r="H23" s="95">
        <v>391.72530796305293913492492357</v>
      </c>
      <c r="I23" s="440">
        <v>290.97211010088366439675673912</v>
      </c>
      <c r="J23" s="439">
        <v>0</v>
      </c>
      <c r="K23" s="95">
        <v>0</v>
      </c>
      <c r="L23" s="440">
        <v>162.34674215076778614916905361</v>
      </c>
      <c r="M23" s="439">
        <v>280.59288217848476678349959558</v>
      </c>
      <c r="N23" s="95">
        <v>371.27491969066032123735871505</v>
      </c>
      <c r="O23" s="440">
        <v>265.86633131313131313131313131</v>
      </c>
      <c r="P23" s="5"/>
      <c r="Q23" s="420">
        <v>-5.457792259504764634440485400</v>
      </c>
      <c r="R23" s="91">
        <v>12.075936859048235260860296910</v>
      </c>
      <c r="S23" s="421">
        <v>1.7118889037188764507772212100</v>
      </c>
      <c r="T23" s="420">
        <v>9.391488530030706280849683300</v>
      </c>
      <c r="U23" s="91">
        <v>13.334062691704203881856215680</v>
      </c>
      <c r="V23" s="421">
        <v>-0.3843330490129042959528872200</v>
      </c>
      <c r="W23" s="420">
        <v>0</v>
      </c>
      <c r="X23" s="91">
        <v>0</v>
      </c>
      <c r="Y23" s="421">
        <v>5.4882785730794562948113430500</v>
      </c>
      <c r="Z23" s="420">
        <v>-2.4242103584108571590060360400</v>
      </c>
      <c r="AA23" s="91">
        <v>12.461188980750150493966081200</v>
      </c>
      <c r="AB23" s="421">
        <v>1.137203883575976900584853500</v>
      </c>
    </row>
    <row r="24" ht="18" customHeight="1">
      <c r="A24" s="59"/>
      <c r="B24" s="286"/>
      <c r="C24" s="287" t="s">
        <v>225</v>
      </c>
      <c r="D24" s="276">
        <v>343.84138918725384890798424633</v>
      </c>
      <c r="E24" s="94">
        <v>451.22156621067943776967580895</v>
      </c>
      <c r="F24" s="277">
        <v>336.87725790868769038537364814</v>
      </c>
      <c r="G24" s="276">
        <v>329.47077409162717219589257504</v>
      </c>
      <c r="H24" s="94">
        <v>417.65495472953929933483470684</v>
      </c>
      <c r="I24" s="277">
        <v>323.77920442483927057493015103</v>
      </c>
      <c r="J24" s="276">
        <v>0</v>
      </c>
      <c r="K24" s="94">
        <v>0</v>
      </c>
      <c r="L24" s="277">
        <v>170.59625376152781035609103408</v>
      </c>
      <c r="M24" s="276">
        <v>341.18622300058377116170461179</v>
      </c>
      <c r="N24" s="94">
        <v>447.05798864845689960979070592</v>
      </c>
      <c r="O24" s="277">
        <v>317.60676490825203989885985167</v>
      </c>
      <c r="P24" s="93"/>
      <c r="Q24" s="271">
        <v>-4.2043420581289855220131226100</v>
      </c>
      <c r="R24" s="92">
        <v>18.303866257419260047126434650</v>
      </c>
      <c r="S24" s="272">
        <v>3.6261237712115718202790993700</v>
      </c>
      <c r="T24" s="271">
        <v>1.6529111912626126415534131500</v>
      </c>
      <c r="U24" s="92">
        <v>-5.0293366625550735477754786300</v>
      </c>
      <c r="V24" s="272">
        <v>-1.8696692883390340767562758200</v>
      </c>
      <c r="W24" s="271">
        <v>0</v>
      </c>
      <c r="X24" s="92">
        <v>0</v>
      </c>
      <c r="Y24" s="272">
        <v>5.7979923163347387792293331900</v>
      </c>
      <c r="Z24" s="271">
        <v>-2.8185209274972965284833102800</v>
      </c>
      <c r="AA24" s="92">
        <v>16.221540701014429594312802440</v>
      </c>
      <c r="AB24" s="272">
        <v>1.8304798760013231400754907500</v>
      </c>
    </row>
    <row r="25" ht="18" customHeight="1">
      <c r="A25" s="60"/>
      <c r="B25" s="288"/>
      <c r="C25" s="289" t="s">
        <v>226</v>
      </c>
      <c r="D25" s="439">
        <v>296.66472303206997084548104956</v>
      </c>
      <c r="E25" s="95">
        <v>379.74833603386078450493949084</v>
      </c>
      <c r="F25" s="440">
        <v>300.30539174513236139046304821</v>
      </c>
      <c r="G25" s="439">
        <v>298.55384615384615384615384615</v>
      </c>
      <c r="H25" s="95">
        <v>385.54533679121518545058611066</v>
      </c>
      <c r="I25" s="440">
        <v>302.03661719694871479133139843</v>
      </c>
      <c r="J25" s="439">
        <v>0</v>
      </c>
      <c r="K25" s="95">
        <v>0</v>
      </c>
      <c r="L25" s="440">
        <v>167.45968628729723971560015366</v>
      </c>
      <c r="M25" s="439">
        <v>296.99331014182499331014182499</v>
      </c>
      <c r="N25" s="95">
        <v>380.13227628335655342407030329</v>
      </c>
      <c r="O25" s="440">
        <v>287.36996481796260426137486658</v>
      </c>
      <c r="P25" s="93"/>
      <c r="Q25" s="420">
        <v>-4.9477154508694633263807720900</v>
      </c>
      <c r="R25" s="91">
        <v>6.6604001415933751844264390100</v>
      </c>
      <c r="S25" s="421">
        <v>-0.5522716415798588145611115100</v>
      </c>
      <c r="T25" s="420">
        <v>-4.7067200274988337548184340400</v>
      </c>
      <c r="U25" s="91">
        <v>-11.760160176474001104248637380</v>
      </c>
      <c r="V25" s="421">
        <v>1.2379711883197409815412330500</v>
      </c>
      <c r="W25" s="420">
        <v>0</v>
      </c>
      <c r="X25" s="91">
        <v>0</v>
      </c>
      <c r="Y25" s="421">
        <v>3.4782041792450912420038062500</v>
      </c>
      <c r="Z25" s="420">
        <v>-4.8759899506905570964352785100</v>
      </c>
      <c r="AA25" s="91">
        <v>6.1869031414927477268931779100</v>
      </c>
      <c r="AB25" s="421">
        <v>-0.6439183591236760963785330600</v>
      </c>
    </row>
    <row r="26" ht="18" customHeight="1">
      <c r="A26" s="60"/>
      <c r="B26" s="290"/>
      <c r="C26" s="291" t="s">
        <v>228</v>
      </c>
      <c r="D26" s="443">
        <v>264.2133006435795280416794361</v>
      </c>
      <c r="E26" s="444">
        <v>342.00797084946481439307674789</v>
      </c>
      <c r="F26" s="445">
        <v>251.79538873351245811548968453</v>
      </c>
      <c r="G26" s="443">
        <v>284.80285035629453681710213777</v>
      </c>
      <c r="H26" s="444">
        <v>422.37861271676300578034682081</v>
      </c>
      <c r="I26" s="445">
        <v>290.23896294018052750251646104</v>
      </c>
      <c r="J26" s="443">
        <v>0</v>
      </c>
      <c r="K26" s="444">
        <v>0</v>
      </c>
      <c r="L26" s="445">
        <v>162.91416487242856323647171602</v>
      </c>
      <c r="M26" s="443">
        <v>266.56623235613463626492942454</v>
      </c>
      <c r="N26" s="444">
        <v>345.0544478527607361963190184</v>
      </c>
      <c r="O26" s="445">
        <v>252.54264097892906757172685151</v>
      </c>
      <c r="P26" s="184"/>
      <c r="Q26" s="273">
        <v>2.4890666781314954155256716700</v>
      </c>
      <c r="R26" s="274">
        <v>12.611142699627763681251487990</v>
      </c>
      <c r="S26" s="275">
        <v>1.2574134812701421859359941600</v>
      </c>
      <c r="T26" s="273">
        <v>3.242876876974183653565297100</v>
      </c>
      <c r="U26" s="274">
        <v>2.1729836356584691068676141100</v>
      </c>
      <c r="V26" s="275">
        <v>5.6045373869776458602362605300</v>
      </c>
      <c r="W26" s="273">
        <v>0</v>
      </c>
      <c r="X26" s="274">
        <v>0</v>
      </c>
      <c r="Y26" s="275">
        <v>3.2422895430122431155886148500</v>
      </c>
      <c r="Z26" s="273">
        <v>3.1414733022789974030718427700</v>
      </c>
      <c r="AA26" s="274">
        <v>11.871019783866345980813828870</v>
      </c>
      <c r="AB26" s="275">
        <v>2.3580318992408185817642390600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302.54048470401271354787445371</v>
      </c>
      <c r="E29" s="455">
        <v>369.75876327665345030112257723</v>
      </c>
      <c r="F29" s="456">
        <v>292.33214264993140392244207489</v>
      </c>
      <c r="G29" s="454">
        <v>293.50076962544894817855310416</v>
      </c>
      <c r="H29" s="455">
        <v>448.58720543236810623060122688</v>
      </c>
      <c r="I29" s="456">
        <v>287.68999313026850006509671409</v>
      </c>
      <c r="J29" s="454">
        <v>0</v>
      </c>
      <c r="K29" s="455">
        <v>0</v>
      </c>
      <c r="L29" s="456">
        <v>131.28706766668415563855451866</v>
      </c>
      <c r="M29" s="454">
        <v>301.32826475849731663685152057</v>
      </c>
      <c r="N29" s="455">
        <v>374.24856694951103590713414785</v>
      </c>
      <c r="O29" s="456">
        <v>275.61255194186885951832947811</v>
      </c>
      <c r="P29" s="5"/>
      <c r="Q29" s="427">
        <v>-10.111649537382354260813505940</v>
      </c>
      <c r="R29" s="428">
        <v>-13.669966832221444225422455430</v>
      </c>
      <c r="S29" s="429">
        <v>-3.1616499910407930618411372700</v>
      </c>
      <c r="T29" s="427">
        <v>1.2637866108078028312105199800</v>
      </c>
      <c r="U29" s="428">
        <v>9.618458304062193233098688240</v>
      </c>
      <c r="V29" s="429">
        <v>3.1510058368584292592187349600</v>
      </c>
      <c r="W29" s="427">
        <v>0</v>
      </c>
      <c r="X29" s="428">
        <v>-100</v>
      </c>
      <c r="Y29" s="429">
        <v>1.4233077537646571530260869900</v>
      </c>
      <c r="Z29" s="427">
        <v>-8.758883111926927059745052090</v>
      </c>
      <c r="AA29" s="428">
        <v>-12.478012483017373454851561660</v>
      </c>
      <c r="AB29" s="429">
        <v>-2.1948933566032839016177421600</v>
      </c>
    </row>
    <row r="30" ht="18" customHeight="1">
      <c r="A30" s="58"/>
      <c r="B30" s="286">
        <v>2024</v>
      </c>
      <c r="C30" s="287"/>
      <c r="D30" s="276">
        <v>300.7705786153726345300210264</v>
      </c>
      <c r="E30" s="94">
        <v>342.24166478946185747863477883</v>
      </c>
      <c r="F30" s="277">
        <v>286.066795600186620684737452</v>
      </c>
      <c r="G30" s="276">
        <v>310.39730458221024258760107817</v>
      </c>
      <c r="H30" s="94">
        <v>392.99251646799992868182349823</v>
      </c>
      <c r="I30" s="277">
        <v>299.2214190130173001919891596</v>
      </c>
      <c r="J30" s="276">
        <v>0</v>
      </c>
      <c r="K30" s="94">
        <v>0</v>
      </c>
      <c r="L30" s="277">
        <v>158.62442748826905448915099422</v>
      </c>
      <c r="M30" s="276">
        <v>301.98571039738704409363091998</v>
      </c>
      <c r="N30" s="94">
        <v>344.95997544604982893401493885</v>
      </c>
      <c r="O30" s="277">
        <v>277.56203390639457376197402947</v>
      </c>
      <c r="P30" s="5"/>
      <c r="Q30" s="271">
        <v>-0.5850146271693220715238051300</v>
      </c>
      <c r="R30" s="92">
        <v>-7.4419057018119647496904663500</v>
      </c>
      <c r="S30" s="272">
        <v>-2.143228928888885063625225300</v>
      </c>
      <c r="T30" s="271">
        <v>5.7568963033301671201325584900</v>
      </c>
      <c r="U30" s="92">
        <v>-12.393284581269211365216810370</v>
      </c>
      <c r="V30" s="272">
        <v>4.0082818860837154299009901200</v>
      </c>
      <c r="W30" s="271">
        <v>0</v>
      </c>
      <c r="X30" s="92">
        <v>0</v>
      </c>
      <c r="Y30" s="272">
        <v>20.822583905195237237811358490</v>
      </c>
      <c r="Z30" s="271">
        <v>0.2181825323999907241947241800</v>
      </c>
      <c r="AA30" s="92">
        <v>-7.8259729201320595545932314100</v>
      </c>
      <c r="AB30" s="272">
        <v>0.7073269888323267448594327100</v>
      </c>
    </row>
    <row r="31" ht="18" customHeight="1">
      <c r="A31" s="58"/>
      <c r="B31" s="425">
        <v>2025</v>
      </c>
      <c r="C31" s="426"/>
      <c r="D31" s="457">
        <v>292.23349794238683127572016461</v>
      </c>
      <c r="E31" s="458">
        <v>383.28071114458088481606003892</v>
      </c>
      <c r="F31" s="459">
        <v>290.03812541668543652590070862</v>
      </c>
      <c r="G31" s="457">
        <v>312.08645054031587697423108894</v>
      </c>
      <c r="H31" s="458">
        <v>402.69594086125569676310437895</v>
      </c>
      <c r="I31" s="459">
        <v>301.92375113032262583117815855</v>
      </c>
      <c r="J31" s="457">
        <v>0</v>
      </c>
      <c r="K31" s="458">
        <v>0</v>
      </c>
      <c r="L31" s="459">
        <v>165.85246553149499344470687576</v>
      </c>
      <c r="M31" s="457">
        <v>295.51504534212695795548227535</v>
      </c>
      <c r="N31" s="458">
        <v>384.98361824410407406358823363</v>
      </c>
      <c r="O31" s="459">
        <v>280.68914138444152404133790825</v>
      </c>
      <c r="P31" s="93"/>
      <c r="Q31" s="430">
        <v>-2.8384028492127436714320543800</v>
      </c>
      <c r="R31" s="431">
        <v>11.991247874604181110474038910</v>
      </c>
      <c r="S31" s="432">
        <v>1.3882526310518297778417891200</v>
      </c>
      <c r="T31" s="430">
        <v>0.5441883460906646351835708700</v>
      </c>
      <c r="U31" s="431">
        <v>2.4691117480975779655833736200</v>
      </c>
      <c r="V31" s="432">
        <v>0.9031212157994679094561167500</v>
      </c>
      <c r="W31" s="430">
        <v>0</v>
      </c>
      <c r="X31" s="431">
        <v>0</v>
      </c>
      <c r="Y31" s="432">
        <v>4.5566992156539869957534707200</v>
      </c>
      <c r="Z31" s="430">
        <v>-2.1427057084118084790466402400</v>
      </c>
      <c r="AA31" s="431">
        <v>11.602401915282305293948711590</v>
      </c>
      <c r="AB31" s="432">
        <v>1.1266337236511435878421969800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310.15950465707027942421676545</v>
      </c>
      <c r="E34" s="455">
        <v>379.92543257494954424824490044</v>
      </c>
      <c r="F34" s="456">
        <v>297.87416388882932412290229966</v>
      </c>
      <c r="G34" s="454">
        <v>296.60179885527391659852820932</v>
      </c>
      <c r="H34" s="455">
        <v>473.69468418056006556044331686</v>
      </c>
      <c r="I34" s="456">
        <v>291.68225859491334329288337862</v>
      </c>
      <c r="J34" s="454">
        <v>0</v>
      </c>
      <c r="K34" s="455">
        <v>0</v>
      </c>
      <c r="L34" s="456">
        <v>132.8477888722246602353779295</v>
      </c>
      <c r="M34" s="454">
        <v>308.60566020054352919126604817</v>
      </c>
      <c r="N34" s="455">
        <v>385.37190628540958474971672331</v>
      </c>
      <c r="O34" s="456">
        <v>281.03036197082751796928256745</v>
      </c>
      <c r="P34" s="5"/>
      <c r="Q34" s="427">
        <v>-13.471299750097663768868479760</v>
      </c>
      <c r="R34" s="428">
        <v>-13.595988731221358296078467850</v>
      </c>
      <c r="S34" s="429">
        <v>-5.5442288462961725849906148900</v>
      </c>
      <c r="T34" s="427">
        <v>-0.5717913118504793780377371900</v>
      </c>
      <c r="U34" s="428">
        <v>14.445088618673282612228009920</v>
      </c>
      <c r="V34" s="429">
        <v>2.0104896680977366364839216800</v>
      </c>
      <c r="W34" s="427">
        <v>0</v>
      </c>
      <c r="X34" s="428">
        <v>0</v>
      </c>
      <c r="Y34" s="429">
        <v>2.381978120046587505463879800</v>
      </c>
      <c r="Z34" s="427">
        <v>-11.808452825097427195128043790</v>
      </c>
      <c r="AA34" s="428">
        <v>-12.142943773428102111774949910</v>
      </c>
      <c r="AB34" s="429">
        <v>-4.2250489917636365073072229300</v>
      </c>
    </row>
    <row r="35" ht="18" customHeight="1">
      <c r="A35" s="58"/>
      <c r="B35" s="286">
        <v>2024</v>
      </c>
      <c r="C35" s="287"/>
      <c r="D35" s="276">
        <v>305.51808957671415394076047966</v>
      </c>
      <c r="E35" s="94">
        <v>346.66992430504513709771242668</v>
      </c>
      <c r="F35" s="277">
        <v>291.63350482377617669411692474</v>
      </c>
      <c r="G35" s="276">
        <v>316.1735408560311284046692607</v>
      </c>
      <c r="H35" s="94">
        <v>429.85307116332026722026677233</v>
      </c>
      <c r="I35" s="277">
        <v>301.93787083477402837491770387</v>
      </c>
      <c r="J35" s="276">
        <v>0</v>
      </c>
      <c r="K35" s="94">
        <v>0</v>
      </c>
      <c r="L35" s="277">
        <v>160.35949489524623311057287797</v>
      </c>
      <c r="M35" s="276">
        <v>306.75810541568556420938235827</v>
      </c>
      <c r="N35" s="94">
        <v>350.03253661564873110586713811</v>
      </c>
      <c r="O35" s="277">
        <v>282.43488543100795575864305702</v>
      </c>
      <c r="P35" s="5"/>
      <c r="Q35" s="271">
        <v>-1.4964606954467540125608724600</v>
      </c>
      <c r="R35" s="92">
        <v>-8.753167179272406483346581660</v>
      </c>
      <c r="S35" s="272">
        <v>-2.0950655751915215532072956900</v>
      </c>
      <c r="T35" s="271">
        <v>6.5986592381657767093634990400</v>
      </c>
      <c r="U35" s="92">
        <v>-9.255246993771362802328207350</v>
      </c>
      <c r="V35" s="272">
        <v>3.5160219511730513918982419400</v>
      </c>
      <c r="W35" s="271">
        <v>0</v>
      </c>
      <c r="X35" s="92">
        <v>0</v>
      </c>
      <c r="Y35" s="272">
        <v>20.709193774773762139717467170</v>
      </c>
      <c r="Z35" s="271">
        <v>-0.5986781913248402563359780900</v>
      </c>
      <c r="AA35" s="92">
        <v>-9.170198733578550406448071240</v>
      </c>
      <c r="AB35" s="272">
        <v>0.4997764121849191764557643800</v>
      </c>
    </row>
    <row r="36" ht="18" customHeight="1">
      <c r="A36" s="58"/>
      <c r="B36" s="425">
        <v>2025</v>
      </c>
      <c r="C36" s="426"/>
      <c r="D36" s="457">
        <v>299.49480476867548944547741442</v>
      </c>
      <c r="E36" s="458">
        <v>387.70070330288488496925254692</v>
      </c>
      <c r="F36" s="459">
        <v>295.47640956263621332912942271</v>
      </c>
      <c r="G36" s="457">
        <v>306.64143192488262910798122066</v>
      </c>
      <c r="H36" s="458">
        <v>408.60907384414193224575450765</v>
      </c>
      <c r="I36" s="459">
        <v>306.22161446043557908873653328</v>
      </c>
      <c r="J36" s="457">
        <v>0</v>
      </c>
      <c r="K36" s="458">
        <v>0</v>
      </c>
      <c r="L36" s="459">
        <v>167.16573841925541344132486344</v>
      </c>
      <c r="M36" s="457">
        <v>300.6174979256937402046648843</v>
      </c>
      <c r="N36" s="458">
        <v>389.26440332887501857631148759</v>
      </c>
      <c r="O36" s="459">
        <v>285.71265310593664204191456877</v>
      </c>
      <c r="P36" s="93"/>
      <c r="Q36" s="430">
        <v>-1.9714985833964411266251765500</v>
      </c>
      <c r="R36" s="431">
        <v>11.835690413624121949413464250</v>
      </c>
      <c r="S36" s="432">
        <v>1.3177171605018535047726044300</v>
      </c>
      <c r="T36" s="430">
        <v>-3.0148344815035400275268059100</v>
      </c>
      <c r="U36" s="431">
        <v>-4.9421532017128549433693356600</v>
      </c>
      <c r="V36" s="432">
        <v>1.4187500275443599899529714800</v>
      </c>
      <c r="W36" s="430">
        <v>0</v>
      </c>
      <c r="X36" s="431">
        <v>0</v>
      </c>
      <c r="Y36" s="432">
        <v>4.2443657785923488829206184900</v>
      </c>
      <c r="Z36" s="430">
        <v>-2.0017751386503318450104802400</v>
      </c>
      <c r="AA36" s="431">
        <v>11.208062853985146011449326740</v>
      </c>
      <c r="AB36" s="432">
        <v>1.1605392407296704563849076600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261.8808997457720791422571018</v>
      </c>
      <c r="E39" s="455">
        <v>311.67210842318751139243394311</v>
      </c>
      <c r="F39" s="456">
        <v>243.73850710653972972845180422</v>
      </c>
      <c r="G39" s="454">
        <v>289.43175303197353914002205072</v>
      </c>
      <c r="H39" s="455">
        <v>358.9826222494506186049721787</v>
      </c>
      <c r="I39" s="456">
        <v>249.02454850294803182713548798</v>
      </c>
      <c r="J39" s="454">
        <v>0</v>
      </c>
      <c r="K39" s="455">
        <v>0</v>
      </c>
      <c r="L39" s="456">
        <v>124.12569507990289368453025602</v>
      </c>
      <c r="M39" s="454">
        <v>264.9490214375168823514966972</v>
      </c>
      <c r="N39" s="455">
        <v>313.92858765403639503242818305</v>
      </c>
      <c r="O39" s="456">
        <v>232.67033976764668394268667384</v>
      </c>
      <c r="P39" s="5"/>
      <c r="Q39" s="427">
        <v>-5.0011010497738227128299855600</v>
      </c>
      <c r="R39" s="428">
        <v>-8.927919521407618822366090900</v>
      </c>
      <c r="S39" s="429">
        <v>-0.369499901105795993171510100</v>
      </c>
      <c r="T39" s="427">
        <v>3.1842256798479640427886098800</v>
      </c>
      <c r="U39" s="428">
        <v>7.2776802928966597959169224800</v>
      </c>
      <c r="V39" s="429">
        <v>8.613473766190595622929685260</v>
      </c>
      <c r="W39" s="427">
        <v>0</v>
      </c>
      <c r="X39" s="428">
        <v>-100</v>
      </c>
      <c r="Y39" s="429">
        <v>6.84788489139683951820857800</v>
      </c>
      <c r="Z39" s="427">
        <v>-4.0095043249644541521713745500</v>
      </c>
      <c r="AA39" s="428">
        <v>-8.203465187137220529577998200</v>
      </c>
      <c r="AB39" s="429">
        <v>0.3811839544733784070649685500</v>
      </c>
    </row>
    <row r="40" ht="18" customHeight="1">
      <c r="A40" s="58"/>
      <c r="B40" s="286">
        <v>2024</v>
      </c>
      <c r="C40" s="287"/>
      <c r="D40" s="276">
        <v>241.72664543524416135881104034</v>
      </c>
      <c r="E40" s="94">
        <v>284.37463613336777957025395391</v>
      </c>
      <c r="F40" s="277">
        <v>233.63117354184624605190083234</v>
      </c>
      <c r="G40" s="276">
        <v>298.77523387493845396356474643</v>
      </c>
      <c r="H40" s="94">
        <v>338.80363884752567702451315099</v>
      </c>
      <c r="I40" s="277">
        <v>257.80759560068376950313288467</v>
      </c>
      <c r="J40" s="276">
        <v>0</v>
      </c>
      <c r="K40" s="94">
        <v>0</v>
      </c>
      <c r="L40" s="277">
        <v>145.81359286137973515447034608</v>
      </c>
      <c r="M40" s="276">
        <v>247.54056902002107481559536354</v>
      </c>
      <c r="N40" s="94">
        <v>286.62498487792770398245668185</v>
      </c>
      <c r="O40" s="277">
        <v>229.43211905328732318607540323</v>
      </c>
      <c r="P40" s="5"/>
      <c r="Q40" s="271">
        <v>-7.6959619163211115558550567200</v>
      </c>
      <c r="R40" s="92">
        <v>-8.758394335615908113734554310</v>
      </c>
      <c r="S40" s="272">
        <v>-4.146793908209759582984470200</v>
      </c>
      <c r="T40" s="271">
        <v>3.2282155447904242176330289100</v>
      </c>
      <c r="U40" s="92">
        <v>-5.6211588392569965884144226100</v>
      </c>
      <c r="V40" s="272">
        <v>3.5269804324859511071820263100</v>
      </c>
      <c r="W40" s="271">
        <v>0</v>
      </c>
      <c r="X40" s="92">
        <v>0</v>
      </c>
      <c r="Y40" s="272">
        <v>17.472528768132323181539986430</v>
      </c>
      <c r="Z40" s="271">
        <v>-6.5704913054700533213040833200</v>
      </c>
      <c r="AA40" s="92">
        <v>-8.697392926242599970647692030</v>
      </c>
      <c r="AB40" s="272">
        <v>-1.3917634355746138670704651900</v>
      </c>
    </row>
    <row r="41" ht="18" customHeight="1">
      <c r="A41" s="58"/>
      <c r="B41" s="425">
        <v>2025</v>
      </c>
      <c r="C41" s="426"/>
      <c r="D41" s="457">
        <v>228.02922988834812482107071285</v>
      </c>
      <c r="E41" s="458">
        <v>307.12379252067614200882750323</v>
      </c>
      <c r="F41" s="459">
        <v>232.28305438652149879212616043</v>
      </c>
      <c r="G41" s="457">
        <v>270.6931884339219871919270328</v>
      </c>
      <c r="H41" s="458">
        <v>344.04565480074616678112485693</v>
      </c>
      <c r="I41" s="459">
        <v>260.09649949329637268121729302</v>
      </c>
      <c r="J41" s="457">
        <v>0</v>
      </c>
      <c r="K41" s="458">
        <v>0</v>
      </c>
      <c r="L41" s="459">
        <v>154.79298713625720590424069612</v>
      </c>
      <c r="M41" s="457">
        <v>233.51403338073497492702642018</v>
      </c>
      <c r="N41" s="458">
        <v>309.51111427887666871299697212</v>
      </c>
      <c r="O41" s="459">
        <v>229.44761264533924712959817579</v>
      </c>
      <c r="P41" s="93"/>
      <c r="Q41" s="430">
        <v>-5.6664897335547398419810357900</v>
      </c>
      <c r="R41" s="431">
        <v>7.999713580856952408359066420</v>
      </c>
      <c r="S41" s="432">
        <v>-0.5770287992142894277771825600</v>
      </c>
      <c r="T41" s="430">
        <v>-9.399053956639601965077570400</v>
      </c>
      <c r="U41" s="431">
        <v>1.5472135928285196223020347600</v>
      </c>
      <c r="V41" s="432">
        <v>0.8878341568110717999805958800</v>
      </c>
      <c r="W41" s="430">
        <v>0</v>
      </c>
      <c r="X41" s="431">
        <v>0</v>
      </c>
      <c r="Y41" s="432">
        <v>6.1581325160764521943593138500</v>
      </c>
      <c r="Z41" s="430">
        <v>-5.6663583245345749399431431500</v>
      </c>
      <c r="AA41" s="431">
        <v>7.984694499234245296711305760</v>
      </c>
      <c r="AB41" s="432">
        <v>0.0067530178874596764998538800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34">
        <v>139.93358585858585858585858586</v>
      </c>
      <c r="E9" s="435">
        <v>179.56392455205451675589782925</v>
      </c>
      <c r="F9" s="436">
        <v>114.27547278885104795675111773</v>
      </c>
      <c r="G9" s="434">
        <v>30.02979797979797979797979798</v>
      </c>
      <c r="H9" s="435">
        <v>11.083789284423470665485818553</v>
      </c>
      <c r="I9" s="436">
        <v>35.029533956835497817128249233</v>
      </c>
      <c r="J9" s="434">
        <v>0</v>
      </c>
      <c r="K9" s="435">
        <v>0</v>
      </c>
      <c r="L9" s="436">
        <v>10.114226199216723826754188872</v>
      </c>
      <c r="M9" s="434">
        <v>169.96338383838383838383838384</v>
      </c>
      <c r="N9" s="435">
        <v>190.6477138364779874213836478</v>
      </c>
      <c r="O9" s="436">
        <v>159.41923294490326960063355583</v>
      </c>
      <c r="P9" s="5"/>
      <c r="Q9" s="415">
        <v>-28.068533480112726479446275390</v>
      </c>
      <c r="R9" s="416">
        <v>-12.183727936155618556353513580</v>
      </c>
      <c r="S9" s="417">
        <v>-5.106740074445827626160888400</v>
      </c>
      <c r="T9" s="415">
        <v>-8.475332871529311229038072060</v>
      </c>
      <c r="U9" s="416">
        <v>-38.021670251324016746380997010</v>
      </c>
      <c r="V9" s="417">
        <v>-9.828680946764870840400415390</v>
      </c>
      <c r="W9" s="415">
        <v>0</v>
      </c>
      <c r="X9" s="416">
        <v>0</v>
      </c>
      <c r="Y9" s="417">
        <v>11.649375007788927066990197060</v>
      </c>
      <c r="Z9" s="415">
        <v>-25.240864691475467823792435350</v>
      </c>
      <c r="AA9" s="416">
        <v>-14.261746148027407187399928950</v>
      </c>
      <c r="AB9" s="417">
        <v>-5.2947288688606289886456531600</v>
      </c>
    </row>
    <row r="10" ht="18" customHeight="1">
      <c r="A10" s="58"/>
      <c r="B10" s="286"/>
      <c r="C10" s="287" t="s">
        <v>222</v>
      </c>
      <c r="D10" s="276">
        <v>228.93743890518084066471163245</v>
      </c>
      <c r="E10" s="94">
        <v>304.13267085334244252352539042</v>
      </c>
      <c r="F10" s="277">
        <v>164.79954339142881226004950697</v>
      </c>
      <c r="G10" s="276">
        <v>50.317693059628543499511241447</v>
      </c>
      <c r="H10" s="94">
        <v>9.939211374289937269536082504</v>
      </c>
      <c r="I10" s="277">
        <v>27.264222514467683022057315871</v>
      </c>
      <c r="J10" s="276">
        <v>0</v>
      </c>
      <c r="K10" s="94">
        <v>0</v>
      </c>
      <c r="L10" s="277">
        <v>11.400303708237283394169875767</v>
      </c>
      <c r="M10" s="276">
        <v>279.2551319648093841642228739</v>
      </c>
      <c r="N10" s="94">
        <v>314.07188222763237979306147292</v>
      </c>
      <c r="O10" s="277">
        <v>203.4640696141337786762766986</v>
      </c>
      <c r="P10" s="5"/>
      <c r="Q10" s="271">
        <v>-10.174040361701715968425176790</v>
      </c>
      <c r="R10" s="92">
        <v>25.696399897147135702354453880</v>
      </c>
      <c r="S10" s="272">
        <v>6.0957991880583056804605709100</v>
      </c>
      <c r="T10" s="271">
        <v>137.49927908155043630936756323</v>
      </c>
      <c r="U10" s="92">
        <v>53.060332757668266773281580960</v>
      </c>
      <c r="V10" s="272">
        <v>12.211725962767411058587542510</v>
      </c>
      <c r="W10" s="271">
        <v>0</v>
      </c>
      <c r="X10" s="92">
        <v>0</v>
      </c>
      <c r="Y10" s="272">
        <v>9.962509688035559089128403530</v>
      </c>
      <c r="Z10" s="271">
        <v>1.1595111250441159590923115600</v>
      </c>
      <c r="AA10" s="92">
        <v>26.411596840829123531512513100</v>
      </c>
      <c r="AB10" s="272">
        <v>7.0889142344664051591049087800</v>
      </c>
    </row>
    <row r="11" ht="18" customHeight="1">
      <c r="A11" s="58"/>
      <c r="B11" s="288">
        <v>2024</v>
      </c>
      <c r="C11" s="289" t="s">
        <v>224</v>
      </c>
      <c r="D11" s="439">
        <v>215.36045943304007820136852395</v>
      </c>
      <c r="E11" s="95">
        <v>247.54400850887640219834327605</v>
      </c>
      <c r="F11" s="440">
        <v>147.24293612282865446668693896</v>
      </c>
      <c r="G11" s="439">
        <v>41.423264907135874877810361681</v>
      </c>
      <c r="H11" s="95">
        <v>26.370545344384048952630624954</v>
      </c>
      <c r="I11" s="440">
        <v>53.281347478004830972428825402</v>
      </c>
      <c r="J11" s="439">
        <v>0</v>
      </c>
      <c r="K11" s="95">
        <v>0</v>
      </c>
      <c r="L11" s="440">
        <v>11.762491471681237247005357204</v>
      </c>
      <c r="M11" s="439">
        <v>256.78372434017595307917888563</v>
      </c>
      <c r="N11" s="95">
        <v>273.91455385326045115097390099</v>
      </c>
      <c r="O11" s="440">
        <v>212.28677507251472268612112156</v>
      </c>
      <c r="P11" s="5"/>
      <c r="Q11" s="420">
        <v>0.4754385264649683696185938600</v>
      </c>
      <c r="R11" s="91">
        <v>0.5136746792701357603057172600</v>
      </c>
      <c r="S11" s="421">
        <v>-1.0713619878805934226001436400</v>
      </c>
      <c r="T11" s="420">
        <v>-19.009599166777730955386945370</v>
      </c>
      <c r="U11" s="91">
        <v>74.310161027739447436412814180</v>
      </c>
      <c r="V11" s="421">
        <v>16.854070544819442952634862030</v>
      </c>
      <c r="W11" s="420">
        <v>0</v>
      </c>
      <c r="X11" s="91">
        <v>0</v>
      </c>
      <c r="Y11" s="421">
        <v>7.774648655640757715778675100</v>
      </c>
      <c r="Z11" s="420">
        <v>-3.2783369263201432682346229400</v>
      </c>
      <c r="AA11" s="91">
        <v>4.7845227566348363617468649500</v>
      </c>
      <c r="AB11" s="421">
        <v>3.3790435684643358690963652400</v>
      </c>
    </row>
    <row r="12" ht="18" customHeight="1">
      <c r="A12" s="58"/>
      <c r="B12" s="286"/>
      <c r="C12" s="287" t="s">
        <v>225</v>
      </c>
      <c r="D12" s="276">
        <v>258.32236154649947753396029258</v>
      </c>
      <c r="E12" s="94">
        <v>306.48319091469228869081177567</v>
      </c>
      <c r="F12" s="277">
        <v>190.93427259593336482198931447</v>
      </c>
      <c r="G12" s="276">
        <v>67.904649947753396029258098224</v>
      </c>
      <c r="H12" s="94">
        <v>20.846762998565762457645435388</v>
      </c>
      <c r="I12" s="277">
        <v>65.98025791510733823508367659</v>
      </c>
      <c r="J12" s="276">
        <v>0</v>
      </c>
      <c r="K12" s="94">
        <v>0</v>
      </c>
      <c r="L12" s="277">
        <v>12.156286927651395035570060718</v>
      </c>
      <c r="M12" s="276">
        <v>326.2270114942528735632183908</v>
      </c>
      <c r="N12" s="94">
        <v>327.32995391325805114845721105</v>
      </c>
      <c r="O12" s="277">
        <v>269.07081743869209809264305177</v>
      </c>
      <c r="P12" s="5"/>
      <c r="Q12" s="271">
        <v>-5.9771778881461756255101006800</v>
      </c>
      <c r="R12" s="92">
        <v>-0.0769747175496654876912286400</v>
      </c>
      <c r="S12" s="272">
        <v>4.7099451471122679688967279700</v>
      </c>
      <c r="T12" s="271">
        <v>33.139309203380393568614385830</v>
      </c>
      <c r="U12" s="92">
        <v>-33.895313262438712435021740870</v>
      </c>
      <c r="V12" s="272">
        <v>6.3996203768111536821369289900</v>
      </c>
      <c r="W12" s="271">
        <v>0</v>
      </c>
      <c r="X12" s="92">
        <v>0</v>
      </c>
      <c r="Y12" s="272">
        <v>6.1107951021647019977879615800</v>
      </c>
      <c r="Z12" s="271">
        <v>0.147349829674445464388405100</v>
      </c>
      <c r="AA12" s="92">
        <v>-3.2299028574969594914367190600</v>
      </c>
      <c r="AB12" s="272">
        <v>5.1822735734951209993087795500</v>
      </c>
    </row>
    <row r="13" ht="18" customHeight="1">
      <c r="A13" s="58"/>
      <c r="B13" s="288"/>
      <c r="C13" s="289" t="s">
        <v>226</v>
      </c>
      <c r="D13" s="439">
        <v>262.60606060606060606060606061</v>
      </c>
      <c r="E13" s="95">
        <v>296.41714459753023967111202016</v>
      </c>
      <c r="F13" s="440">
        <v>191.96332007326444148940783451</v>
      </c>
      <c r="G13" s="439">
        <v>26.797409579667644183773216031</v>
      </c>
      <c r="H13" s="95">
        <v>8.981446518029079753016088225</v>
      </c>
      <c r="I13" s="440">
        <v>37.568731680811782329639068385</v>
      </c>
      <c r="J13" s="439">
        <v>0</v>
      </c>
      <c r="K13" s="95">
        <v>0</v>
      </c>
      <c r="L13" s="440">
        <v>11.745315143013406457357118401</v>
      </c>
      <c r="M13" s="439">
        <v>289.40347018572825024437927664</v>
      </c>
      <c r="N13" s="95">
        <v>305.3985911155593194241281084</v>
      </c>
      <c r="O13" s="440">
        <v>241.2773668970896302764040213</v>
      </c>
      <c r="P13" s="5"/>
      <c r="Q13" s="420">
        <v>1.4674569399131841813854979500</v>
      </c>
      <c r="R13" s="91">
        <v>0.5457967298299541951133080800</v>
      </c>
      <c r="S13" s="421">
        <v>3.6845217143258745569202693300</v>
      </c>
      <c r="T13" s="420">
        <v>-9.073948158313188001991098550</v>
      </c>
      <c r="U13" s="91">
        <v>-39.466694462958563218208380170</v>
      </c>
      <c r="V13" s="421">
        <v>-25.911674325340009454473087190</v>
      </c>
      <c r="W13" s="420">
        <v>0</v>
      </c>
      <c r="X13" s="91">
        <v>0</v>
      </c>
      <c r="Y13" s="421">
        <v>15.589521633400232107905702690</v>
      </c>
      <c r="Z13" s="420">
        <v>0.3897796024556957236371573900</v>
      </c>
      <c r="AA13" s="91">
        <v>-1.3714720988019529361906984200</v>
      </c>
      <c r="AB13" s="421">
        <v>-1.9241521525875783281678063900</v>
      </c>
    </row>
    <row r="14" ht="18" customHeight="1">
      <c r="A14" s="58"/>
      <c r="B14" s="286"/>
      <c r="C14" s="287" t="s">
        <v>228</v>
      </c>
      <c r="D14" s="276">
        <v>231.69141414141414141414141414</v>
      </c>
      <c r="E14" s="94">
        <v>241.12937809484212248594042939</v>
      </c>
      <c r="F14" s="277">
        <v>142.84320691960108812095569913</v>
      </c>
      <c r="G14" s="276">
        <v>9.26489898989898989898989899</v>
      </c>
      <c r="H14" s="94">
        <v>14.799364944139579980248910325</v>
      </c>
      <c r="I14" s="277">
        <v>47.078710002622908108823278374</v>
      </c>
      <c r="J14" s="276">
        <v>0</v>
      </c>
      <c r="K14" s="94">
        <v>0</v>
      </c>
      <c r="L14" s="277">
        <v>10.525992200956692446117366115</v>
      </c>
      <c r="M14" s="276">
        <v>240.95631313131313131313131313</v>
      </c>
      <c r="N14" s="94">
        <v>255.9287430389817024661893397</v>
      </c>
      <c r="O14" s="277">
        <v>200.44790912318068867589634363</v>
      </c>
      <c r="P14" s="5"/>
      <c r="Q14" s="271">
        <v>7.1982465015837297806092978300</v>
      </c>
      <c r="R14" s="92">
        <v>-0.9443217656672478936297014400</v>
      </c>
      <c r="S14" s="272">
        <v>-0.2953495820173145116711610500</v>
      </c>
      <c r="T14" s="271">
        <v>-31.601416853324230890499657690</v>
      </c>
      <c r="U14" s="92">
        <v>-23.646252874315318095679283910</v>
      </c>
      <c r="V14" s="272">
        <v>26.176894751370751125464790630</v>
      </c>
      <c r="W14" s="271">
        <v>0</v>
      </c>
      <c r="X14" s="92">
        <v>0</v>
      </c>
      <c r="Y14" s="272">
        <v>14.061041077980493018169073660</v>
      </c>
      <c r="Z14" s="271">
        <v>4.9100138643372400464617334400</v>
      </c>
      <c r="AA14" s="92">
        <v>-2.6186183613761351284680192800</v>
      </c>
      <c r="AB14" s="272">
        <v>5.6065062624107300531935657700</v>
      </c>
    </row>
    <row r="15" ht="18" customHeight="1">
      <c r="A15" s="58"/>
      <c r="B15" s="288"/>
      <c r="C15" s="289" t="s">
        <v>229</v>
      </c>
      <c r="D15" s="439">
        <v>156.68792766373411534701857283</v>
      </c>
      <c r="E15" s="95">
        <v>194.28453859410549920192923883</v>
      </c>
      <c r="F15" s="440">
        <v>126.67007378698282340285730635</v>
      </c>
      <c r="G15" s="439">
        <v>33.200391006842619745845552297</v>
      </c>
      <c r="H15" s="95">
        <v>2.7260757718965024918116188219</v>
      </c>
      <c r="I15" s="440">
        <v>28.896378023080443574842587664</v>
      </c>
      <c r="J15" s="439">
        <v>0</v>
      </c>
      <c r="K15" s="95">
        <v>0</v>
      </c>
      <c r="L15" s="440">
        <v>9.690441247066830243090926702</v>
      </c>
      <c r="M15" s="439">
        <v>189.88831867057673509286412512</v>
      </c>
      <c r="N15" s="95">
        <v>197.01061436600200169374085765</v>
      </c>
      <c r="O15" s="440">
        <v>165.25689305713009722079082071</v>
      </c>
      <c r="P15" s="5"/>
      <c r="Q15" s="420">
        <v>-1.3684827470568844136751379100</v>
      </c>
      <c r="R15" s="91">
        <v>3.9428579051481419846085192600</v>
      </c>
      <c r="S15" s="421">
        <v>2.6406693787284090040275035800</v>
      </c>
      <c r="T15" s="420">
        <v>-24.184538458576692041972762200</v>
      </c>
      <c r="U15" s="91">
        <v>-83.13182588970885830594302982</v>
      </c>
      <c r="V15" s="421">
        <v>-6.9054560970371236389485417900</v>
      </c>
      <c r="W15" s="420">
        <v>0</v>
      </c>
      <c r="X15" s="91">
        <v>0</v>
      </c>
      <c r="Y15" s="421">
        <v>4.2958571668179929722678732100</v>
      </c>
      <c r="Z15" s="420">
        <v>-6.2987786642600053603046342500</v>
      </c>
      <c r="AA15" s="91">
        <v>-2.986668401619609350155434900</v>
      </c>
      <c r="AB15" s="421">
        <v>0.9249786787248882516104536700</v>
      </c>
    </row>
    <row r="16" ht="18" customHeight="1">
      <c r="A16" s="58"/>
      <c r="B16" s="286"/>
      <c r="C16" s="287" t="s">
        <v>230</v>
      </c>
      <c r="D16" s="276">
        <v>113.59772727272727272727272727</v>
      </c>
      <c r="E16" s="94">
        <v>150.57356471396282490697496862</v>
      </c>
      <c r="F16" s="277">
        <v>99.18212812160970294241635333</v>
      </c>
      <c r="G16" s="276">
        <v>20.488383838383838383838383838</v>
      </c>
      <c r="H16" s="94">
        <v>1.7249033092929890465134034763</v>
      </c>
      <c r="I16" s="277">
        <v>19.509421826443497219931840274</v>
      </c>
      <c r="J16" s="276">
        <v>0</v>
      </c>
      <c r="K16" s="94">
        <v>0</v>
      </c>
      <c r="L16" s="277">
        <v>10.733881779931354165657813042</v>
      </c>
      <c r="M16" s="276">
        <v>134.08611111111111111111111111</v>
      </c>
      <c r="N16" s="94">
        <v>152.29846802325581395348837209</v>
      </c>
      <c r="O16" s="277">
        <v>129.42543172798455432800600665</v>
      </c>
      <c r="P16" s="5"/>
      <c r="Q16" s="271">
        <v>-21.118775908137926412348861390</v>
      </c>
      <c r="R16" s="92">
        <v>11.555574571718937635389359730</v>
      </c>
      <c r="S16" s="272">
        <v>0.1156940597997434797864375800</v>
      </c>
      <c r="T16" s="271">
        <v>33.452858740926134710739071870</v>
      </c>
      <c r="U16" s="92">
        <v>-55.646546268502121213794344890</v>
      </c>
      <c r="V16" s="272">
        <v>-4.1654068874253195435070315800</v>
      </c>
      <c r="W16" s="271">
        <v>0</v>
      </c>
      <c r="X16" s="92">
        <v>0</v>
      </c>
      <c r="Y16" s="272">
        <v>13.312718561262282932179610640</v>
      </c>
      <c r="Z16" s="271">
        <v>-15.861538949083926065805710980</v>
      </c>
      <c r="AA16" s="92">
        <v>9.673544169334438169969168850</v>
      </c>
      <c r="AB16" s="272">
        <v>0.4094205553244274793656375800</v>
      </c>
    </row>
    <row r="17" ht="18" customHeight="1">
      <c r="A17" s="58"/>
      <c r="B17" s="288"/>
      <c r="C17" s="289" t="s">
        <v>233</v>
      </c>
      <c r="D17" s="439">
        <v>121.38269794721407624633431085</v>
      </c>
      <c r="E17" s="95">
        <v>159.26445743504603088041383039</v>
      </c>
      <c r="F17" s="440">
        <v>102.23988066834310003170959968</v>
      </c>
      <c r="G17" s="439">
        <v>10.863391984359726295210166178</v>
      </c>
      <c r="H17" s="95">
        <v>5.409227861278050139841233371</v>
      </c>
      <c r="I17" s="440">
        <v>13.588393737251185590884323384</v>
      </c>
      <c r="J17" s="439">
        <v>0</v>
      </c>
      <c r="K17" s="95">
        <v>0</v>
      </c>
      <c r="L17" s="440">
        <v>10.31724044923929993147753454</v>
      </c>
      <c r="M17" s="439">
        <v>132.24608993157380254154447703</v>
      </c>
      <c r="N17" s="95">
        <v>164.67368529632408102025506377</v>
      </c>
      <c r="O17" s="440">
        <v>126.14551485483358555407145761</v>
      </c>
      <c r="P17" s="5"/>
      <c r="Q17" s="420">
        <v>-20.314380047530342966543661320</v>
      </c>
      <c r="R17" s="91">
        <v>11.079465292516697296032678210</v>
      </c>
      <c r="S17" s="421">
        <v>2.3958290833122108227151919800</v>
      </c>
      <c r="T17" s="420">
        <v>2024.9043978107744242892907411</v>
      </c>
      <c r="U17" s="91">
        <v>222.98599483776661602351528821</v>
      </c>
      <c r="V17" s="421">
        <v>-1.8424266821664746582163741300</v>
      </c>
      <c r="W17" s="420">
        <v>0</v>
      </c>
      <c r="X17" s="91">
        <v>0</v>
      </c>
      <c r="Y17" s="421">
        <v>6.6882186867444983964924011300</v>
      </c>
      <c r="Z17" s="420">
        <v>-13.473155381894249131028395710</v>
      </c>
      <c r="AA17" s="91">
        <v>13.526090245006229608948352890</v>
      </c>
      <c r="AB17" s="421">
        <v>2.2567039483749288522814639400</v>
      </c>
    </row>
    <row r="18" ht="18" customHeight="1">
      <c r="A18" s="58"/>
      <c r="B18" s="286"/>
      <c r="C18" s="287" t="s">
        <v>234</v>
      </c>
      <c r="D18" s="276">
        <v>113.40933528836754643206256109</v>
      </c>
      <c r="E18" s="94">
        <v>140.63095922838695904432988902</v>
      </c>
      <c r="F18" s="277">
        <v>91.71857508762061368542500009</v>
      </c>
      <c r="G18" s="276">
        <v>4.0994623655913978494623655914</v>
      </c>
      <c r="H18" s="94">
        <v>2.8736863079971369796761124799</v>
      </c>
      <c r="I18" s="277">
        <v>8.579839276519007561529449903</v>
      </c>
      <c r="J18" s="276">
        <v>0</v>
      </c>
      <c r="K18" s="94">
        <v>0</v>
      </c>
      <c r="L18" s="277">
        <v>10.430664200625065808279909578</v>
      </c>
      <c r="M18" s="276">
        <v>117.50879765395894428152492669</v>
      </c>
      <c r="N18" s="94">
        <v>143.5046455363840960240060015</v>
      </c>
      <c r="O18" s="277">
        <v>110.72907856476468705523435957</v>
      </c>
      <c r="P18" s="5"/>
      <c r="Q18" s="271">
        <v>-6.0885384836776993992807770900</v>
      </c>
      <c r="R18" s="92">
        <v>5.5478185879101289369328566600</v>
      </c>
      <c r="S18" s="272">
        <v>6.590455285993263985834154300</v>
      </c>
      <c r="T18" s="271">
        <v>65.303508081458961955108982770</v>
      </c>
      <c r="U18" s="92">
        <v>7.2360100203172826874905614500</v>
      </c>
      <c r="V18" s="272">
        <v>-23.472900735141750958916275330</v>
      </c>
      <c r="W18" s="271">
        <v>0</v>
      </c>
      <c r="X18" s="92">
        <v>0</v>
      </c>
      <c r="Y18" s="272">
        <v>12.204836764804340646589873510</v>
      </c>
      <c r="Z18" s="271">
        <v>-4.6519375141507881124224555800</v>
      </c>
      <c r="AA18" s="92">
        <v>5.5811029806141611890126327100</v>
      </c>
      <c r="AB18" s="272">
        <v>3.9170658531523692951509252600</v>
      </c>
    </row>
    <row r="19" ht="18" customHeight="1">
      <c r="A19" s="58"/>
      <c r="B19" s="288"/>
      <c r="C19" s="289" t="s">
        <v>235</v>
      </c>
      <c r="D19" s="439">
        <v>77.685353535353535353535353535</v>
      </c>
      <c r="E19" s="95">
        <v>116.25205864907214198277477289</v>
      </c>
      <c r="F19" s="440">
        <v>81.27392661007620531510681366</v>
      </c>
      <c r="G19" s="439">
        <v>28.641919191919191919191919192</v>
      </c>
      <c r="H19" s="95">
        <v>16.46744522689685026528724262</v>
      </c>
      <c r="I19" s="440">
        <v>17.668586764890891627081154324</v>
      </c>
      <c r="J19" s="439">
        <v>0</v>
      </c>
      <c r="K19" s="95">
        <v>0</v>
      </c>
      <c r="L19" s="440">
        <v>8.996896571849059447060271193</v>
      </c>
      <c r="M19" s="439">
        <v>106.32727272727272727272727273</v>
      </c>
      <c r="N19" s="95">
        <v>132.7195038759689922480620155</v>
      </c>
      <c r="O19" s="440">
        <v>107.93940994681615638924823918</v>
      </c>
      <c r="P19" s="5"/>
      <c r="Q19" s="420">
        <v>-27.127023268933386164863025780</v>
      </c>
      <c r="R19" s="91">
        <v>4.4381117870625621758622145800</v>
      </c>
      <c r="S19" s="421">
        <v>0.2949963156400726175679450800</v>
      </c>
      <c r="T19" s="420">
        <v>854.8913958562807014718702127</v>
      </c>
      <c r="U19" s="91">
        <v>1250.7833557997768482796229851</v>
      </c>
      <c r="V19" s="421">
        <v>7.1801190874330899593108753700</v>
      </c>
      <c r="W19" s="420">
        <v>0</v>
      </c>
      <c r="X19" s="91">
        <v>0</v>
      </c>
      <c r="Y19" s="421">
        <v>6.9604063942139296506772589100</v>
      </c>
      <c r="Z19" s="420">
        <v>-2.9889707830734737770673180900</v>
      </c>
      <c r="AA19" s="91">
        <v>17.940377548494954680774310970</v>
      </c>
      <c r="AB19" s="421">
        <v>1.8957184642291084528240522200</v>
      </c>
    </row>
    <row r="20" ht="18" customHeight="1">
      <c r="A20" s="58"/>
      <c r="B20" s="286"/>
      <c r="C20" s="287" t="s">
        <v>236</v>
      </c>
      <c r="D20" s="276">
        <v>128.03616813294232649071358749</v>
      </c>
      <c r="E20" s="94">
        <v>170.50489950494854950605120769</v>
      </c>
      <c r="F20" s="277">
        <v>108.16706533853960094980842484</v>
      </c>
      <c r="G20" s="276">
        <v>21.089442815249266862170087977</v>
      </c>
      <c r="H20" s="94">
        <v>12.534271537812140666491928095</v>
      </c>
      <c r="I20" s="277">
        <v>30.981862094623289692364245806</v>
      </c>
      <c r="J20" s="276">
        <v>0</v>
      </c>
      <c r="K20" s="94">
        <v>0</v>
      </c>
      <c r="L20" s="277">
        <v>9.300000775603401836509742528</v>
      </c>
      <c r="M20" s="276">
        <v>149.12561094819159335288367546</v>
      </c>
      <c r="N20" s="94">
        <v>183.03917104276069017254313578</v>
      </c>
      <c r="O20" s="277">
        <v>148.44892820876629247868241316</v>
      </c>
      <c r="P20" s="5"/>
      <c r="Q20" s="271">
        <v>-2.927602019555120982701776100</v>
      </c>
      <c r="R20" s="92">
        <v>20.600510779689377146541220100</v>
      </c>
      <c r="S20" s="272">
        <v>6.6849455480135465237428765500</v>
      </c>
      <c r="T20" s="271">
        <v>76.431623494219511322807689320</v>
      </c>
      <c r="U20" s="92">
        <v>65.146852878555431790230958380</v>
      </c>
      <c r="V20" s="272">
        <v>14.936141450810747902514981940</v>
      </c>
      <c r="W20" s="271">
        <v>0</v>
      </c>
      <c r="X20" s="92">
        <v>0</v>
      </c>
      <c r="Y20" s="272">
        <v>8.685235700432383693548690700</v>
      </c>
      <c r="Z20" s="271">
        <v>3.6667697294080710262708322400</v>
      </c>
      <c r="AA20" s="92">
        <v>22.870077405286916842042773490</v>
      </c>
      <c r="AB20" s="272">
        <v>8.434616149726089795227258240</v>
      </c>
    </row>
    <row r="21" ht="18" customHeight="1">
      <c r="A21" s="58"/>
      <c r="B21" s="288"/>
      <c r="C21" s="289" t="s">
        <v>218</v>
      </c>
      <c r="D21" s="439">
        <v>157.0770202020202020202020202</v>
      </c>
      <c r="E21" s="95">
        <v>171.13661600530920474332701769</v>
      </c>
      <c r="F21" s="440">
        <v>113.24392982774551875353945474</v>
      </c>
      <c r="G21" s="439">
        <v>18.493434343434343434343434343</v>
      </c>
      <c r="H21" s="95">
        <v>23.930230893915601458223369904</v>
      </c>
      <c r="I21" s="440">
        <v>35.363260268242278939786596785</v>
      </c>
      <c r="J21" s="439">
        <v>0</v>
      </c>
      <c r="K21" s="95">
        <v>0</v>
      </c>
      <c r="L21" s="440">
        <v>11.837395157468423504830630505</v>
      </c>
      <c r="M21" s="439">
        <v>175.57045454545454545454545455</v>
      </c>
      <c r="N21" s="95">
        <v>195.0668468992248062015503876</v>
      </c>
      <c r="O21" s="440">
        <v>160.44458525345622119815668203</v>
      </c>
      <c r="P21" s="5"/>
      <c r="Q21" s="420">
        <v>12.251122014941637062977500630</v>
      </c>
      <c r="R21" s="91">
        <v>-4.6932080415437978840948442400</v>
      </c>
      <c r="S21" s="421">
        <v>-0.9026809830487779312683444100</v>
      </c>
      <c r="T21" s="420">
        <v>-38.416387763000493355908239260</v>
      </c>
      <c r="U21" s="91">
        <v>115.90297577739470092143436223</v>
      </c>
      <c r="V21" s="421">
        <v>0.9526998328149191695288948600</v>
      </c>
      <c r="W21" s="420">
        <v>0</v>
      </c>
      <c r="X21" s="91">
        <v>0</v>
      </c>
      <c r="Y21" s="421">
        <v>17.037081476432869937614144570</v>
      </c>
      <c r="Z21" s="420">
        <v>3.2989874527243521923216165700</v>
      </c>
      <c r="AA21" s="91">
        <v>2.3179575426299980621590009900</v>
      </c>
      <c r="AB21" s="421">
        <v>0.6431798030985466287270251900</v>
      </c>
    </row>
    <row r="22" ht="18" customHeight="1">
      <c r="A22" s="58"/>
      <c r="B22" s="286"/>
      <c r="C22" s="287" t="s">
        <v>222</v>
      </c>
      <c r="D22" s="276">
        <v>222.15493646138807429130009775</v>
      </c>
      <c r="E22" s="94">
        <v>299.89634855759169299310040335</v>
      </c>
      <c r="F22" s="277">
        <v>164.37639481346097970550739775</v>
      </c>
      <c r="G22" s="276">
        <v>22.685728250244379276637341153</v>
      </c>
      <c r="H22" s="94">
        <v>18.594709206849417284468989001</v>
      </c>
      <c r="I22" s="277">
        <v>27.113193917334133166314498354</v>
      </c>
      <c r="J22" s="276">
        <v>0</v>
      </c>
      <c r="K22" s="94">
        <v>0</v>
      </c>
      <c r="L22" s="277">
        <v>12.980206834425449282384315498</v>
      </c>
      <c r="M22" s="276">
        <v>244.84066471163245356793743891</v>
      </c>
      <c r="N22" s="94">
        <v>318.49105776444111027756939235</v>
      </c>
      <c r="O22" s="277">
        <v>204.46979556522056215420621161</v>
      </c>
      <c r="P22" s="5"/>
      <c r="Q22" s="271">
        <v>-2.962600820663705985934915400</v>
      </c>
      <c r="R22" s="92">
        <v>-1.3929191769573875999320323800</v>
      </c>
      <c r="S22" s="272">
        <v>-0.2567656252141667877102993200</v>
      </c>
      <c r="T22" s="271">
        <v>-54.915007285064274273195218590</v>
      </c>
      <c r="U22" s="92">
        <v>87.08435213411494379661277309</v>
      </c>
      <c r="V22" s="272">
        <v>-0.5539442655500075792762861500</v>
      </c>
      <c r="W22" s="271">
        <v>0</v>
      </c>
      <c r="X22" s="92">
        <v>0</v>
      </c>
      <c r="Y22" s="272">
        <v>13.858430149444685496666648340</v>
      </c>
      <c r="Z22" s="271">
        <v>-12.323665105465448187067301180</v>
      </c>
      <c r="AA22" s="92">
        <v>1.4070586343156452400495322900</v>
      </c>
      <c r="AB22" s="272">
        <v>0.4943015015024872197358038700</v>
      </c>
    </row>
    <row r="23" ht="18" customHeight="1">
      <c r="A23" s="58"/>
      <c r="B23" s="288">
        <v>2025</v>
      </c>
      <c r="C23" s="289" t="s">
        <v>224</v>
      </c>
      <c r="D23" s="439">
        <v>198.52297165200391006842619746</v>
      </c>
      <c r="E23" s="95">
        <v>252.77041831021076153775379388</v>
      </c>
      <c r="F23" s="440">
        <v>147.85284403318150765422889865</v>
      </c>
      <c r="G23" s="439">
        <v>55.80718475073313782991202346</v>
      </c>
      <c r="H23" s="95">
        <v>39.855772612519921132913873037</v>
      </c>
      <c r="I23" s="440">
        <v>58.5062626511138661184411946</v>
      </c>
      <c r="J23" s="439">
        <v>0</v>
      </c>
      <c r="K23" s="95">
        <v>0</v>
      </c>
      <c r="L23" s="440">
        <v>13.923425888449306793486389838</v>
      </c>
      <c r="M23" s="439">
        <v>254.33015640273704789833822092</v>
      </c>
      <c r="N23" s="95">
        <v>292.62619092273068267066766692</v>
      </c>
      <c r="O23" s="440">
        <v>220.28253257274468056615648308</v>
      </c>
      <c r="P23" s="5"/>
      <c r="Q23" s="420">
        <v>-7.8182818820714574081607023100</v>
      </c>
      <c r="R23" s="91">
        <v>2.1113053120503441168851045900</v>
      </c>
      <c r="S23" s="421">
        <v>0.4142187913672456099557272100</v>
      </c>
      <c r="T23" s="420">
        <v>34.724254295000575328785787260</v>
      </c>
      <c r="U23" s="91">
        <v>51.137460723707099722309954510</v>
      </c>
      <c r="V23" s="421">
        <v>9.806274466446717589226647220</v>
      </c>
      <c r="W23" s="420">
        <v>0</v>
      </c>
      <c r="X23" s="91">
        <v>0</v>
      </c>
      <c r="Y23" s="421">
        <v>18.371400497491650763586328660</v>
      </c>
      <c r="Z23" s="420">
        <v>-0.955499786354193472357622200</v>
      </c>
      <c r="AA23" s="91">
        <v>6.8311949132327030743974423200</v>
      </c>
      <c r="AB23" s="421">
        <v>3.7664887497179116422165239200</v>
      </c>
    </row>
    <row r="24" ht="18" customHeight="1">
      <c r="A24" s="59"/>
      <c r="B24" s="286"/>
      <c r="C24" s="287" t="s">
        <v>225</v>
      </c>
      <c r="D24" s="276">
        <v>259.83468614718614718614718615</v>
      </c>
      <c r="E24" s="94">
        <v>347.0358557401072752281725906</v>
      </c>
      <c r="F24" s="277">
        <v>196.16256888018625718360290802</v>
      </c>
      <c r="G24" s="276">
        <v>56.427218614718614718614718615</v>
      </c>
      <c r="H24" s="94">
        <v>45.485885331321296200398837986</v>
      </c>
      <c r="I24" s="277">
        <v>69.113041224856906346940198762</v>
      </c>
      <c r="J24" s="276">
        <v>0</v>
      </c>
      <c r="K24" s="94">
        <v>0</v>
      </c>
      <c r="L24" s="277">
        <v>14.550355738963917589940075568</v>
      </c>
      <c r="M24" s="276">
        <v>316.26190476190476190476190476</v>
      </c>
      <c r="N24" s="94">
        <v>392.52174107142857142857142857</v>
      </c>
      <c r="O24" s="277">
        <v>279.82596584400708112048318234</v>
      </c>
      <c r="P24" s="93"/>
      <c r="Q24" s="271">
        <v>0.585440838970464891799899400</v>
      </c>
      <c r="R24" s="92">
        <v>13.231611399104050620384054200</v>
      </c>
      <c r="S24" s="272">
        <v>2.7382701980129083759483404900</v>
      </c>
      <c r="T24" s="271">
        <v>-16.902275973595877954753215980</v>
      </c>
      <c r="U24" s="92">
        <v>118.19159806429409963215370838</v>
      </c>
      <c r="V24" s="272">
        <v>4.7480616304774235214653621600</v>
      </c>
      <c r="W24" s="271">
        <v>0</v>
      </c>
      <c r="X24" s="92">
        <v>0</v>
      </c>
      <c r="Y24" s="272">
        <v>19.694079495677726803546774170</v>
      </c>
      <c r="Z24" s="271">
        <v>-3.0546540848195071602992651500</v>
      </c>
      <c r="AA24" s="92">
        <v>19.916230207088210148380403580</v>
      </c>
      <c r="AB24" s="272">
        <v>3.9971441376236687119912181700</v>
      </c>
    </row>
    <row r="25" ht="18" customHeight="1">
      <c r="A25" s="60"/>
      <c r="B25" s="288"/>
      <c r="C25" s="289" t="s">
        <v>226</v>
      </c>
      <c r="D25" s="439">
        <v>223.80351906158357771260997067</v>
      </c>
      <c r="E25" s="95">
        <v>310.27262301791344855509544108</v>
      </c>
      <c r="F25" s="440">
        <v>185.20272970795842563804507516</v>
      </c>
      <c r="G25" s="439">
        <v>47.424242424242424242424242424</v>
      </c>
      <c r="H25" s="95">
        <v>22.343118730023535690966074305</v>
      </c>
      <c r="I25" s="440">
        <v>44.815088846522163420569946277</v>
      </c>
      <c r="J25" s="439">
        <v>0</v>
      </c>
      <c r="K25" s="95">
        <v>0</v>
      </c>
      <c r="L25" s="440">
        <v>14.179995972565730471908034197</v>
      </c>
      <c r="M25" s="439">
        <v>271.2277614858260019550342131</v>
      </c>
      <c r="N25" s="95">
        <v>332.61574174793698424606151538</v>
      </c>
      <c r="O25" s="440">
        <v>244.19781452704631953052305563</v>
      </c>
      <c r="P25" s="93"/>
      <c r="Q25" s="420">
        <v>-14.775950507371911471581757820</v>
      </c>
      <c r="R25" s="91">
        <v>4.6743174856594669768089142300</v>
      </c>
      <c r="S25" s="421">
        <v>-3.5218136270825514860356731700</v>
      </c>
      <c r="T25" s="420">
        <v>76.973234234431341423440438560</v>
      </c>
      <c r="U25" s="91">
        <v>148.76971304393994155681810079</v>
      </c>
      <c r="V25" s="421">
        <v>19.288266708842637423045432920</v>
      </c>
      <c r="W25" s="420">
        <v>0</v>
      </c>
      <c r="X25" s="91">
        <v>0</v>
      </c>
      <c r="Y25" s="421">
        <v>20.728952777540048947395316360</v>
      </c>
      <c r="Z25" s="420">
        <v>-6.2804045467081948954270206200</v>
      </c>
      <c r="AA25" s="91">
        <v>8.912009231252380458668770860</v>
      </c>
      <c r="AB25" s="421">
        <v>1.2104109338990890022043460900</v>
      </c>
    </row>
    <row r="26" ht="18" customHeight="1">
      <c r="A26" s="60"/>
      <c r="B26" s="290"/>
      <c r="C26" s="291" t="s">
        <v>228</v>
      </c>
      <c r="D26" s="443">
        <v>217.70909090909090909090909091</v>
      </c>
      <c r="E26" s="444">
        <v>291.03817829457364341085271318</v>
      </c>
      <c r="F26" s="445">
        <v>147.62536230125842685724551732</v>
      </c>
      <c r="G26" s="443">
        <v>30.278282828282828282828282828</v>
      </c>
      <c r="H26" s="444">
        <v>14.161143410852713178294573643</v>
      </c>
      <c r="I26" s="445">
        <v>51.934052482280502073566833726</v>
      </c>
      <c r="J26" s="443">
        <v>0</v>
      </c>
      <c r="K26" s="444">
        <v>0</v>
      </c>
      <c r="L26" s="445">
        <v>11.464173302513967882172044045</v>
      </c>
      <c r="M26" s="443">
        <v>247.98737373737373737373737374</v>
      </c>
      <c r="N26" s="444">
        <v>305.19932170542635658914728682</v>
      </c>
      <c r="O26" s="445">
        <v>211.02358808605289681298439509</v>
      </c>
      <c r="P26" s="184"/>
      <c r="Q26" s="273">
        <v>-6.0348905392651950782129212800</v>
      </c>
      <c r="R26" s="274">
        <v>20.697934276657073994767160650</v>
      </c>
      <c r="S26" s="275">
        <v>3.3478353537316524135766329200</v>
      </c>
      <c r="T26" s="273">
        <v>226.80639973830556227755040414</v>
      </c>
      <c r="U26" s="274">
        <v>-4.3124927026123772368999969400</v>
      </c>
      <c r="V26" s="275">
        <v>10.313244520532439644231947510</v>
      </c>
      <c r="W26" s="273">
        <v>0</v>
      </c>
      <c r="X26" s="274">
        <v>0</v>
      </c>
      <c r="Y26" s="275">
        <v>8.912994457898590667709768380</v>
      </c>
      <c r="Z26" s="273">
        <v>2.9179814858149940578076020500</v>
      </c>
      <c r="AA26" s="274">
        <v>19.251678448214861897846108940</v>
      </c>
      <c r="AB26" s="275">
        <v>5.2760235859346558487237195800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240.37070707070707070707070707</v>
      </c>
      <c r="E29" s="455">
        <v>272.20567987106032037486744522</v>
      </c>
      <c r="F29" s="456">
        <v>164.63893081687558498282832222</v>
      </c>
      <c r="G29" s="454">
        <v>36.113194444444444444444444444</v>
      </c>
      <c r="H29" s="455">
        <v>19.945197362816913502366432014</v>
      </c>
      <c r="I29" s="456">
        <v>48.674138074577538782718528615</v>
      </c>
      <c r="J29" s="454">
        <v>0</v>
      </c>
      <c r="K29" s="455">
        <v>0</v>
      </c>
      <c r="L29" s="456">
        <v>10.424431470733304571545432396</v>
      </c>
      <c r="M29" s="454">
        <v>276.48390151515151515151515152</v>
      </c>
      <c r="N29" s="455">
        <v>292.15087723387723387723387723</v>
      </c>
      <c r="O29" s="456">
        <v>223.73750036218642833709228323</v>
      </c>
      <c r="P29" s="5"/>
      <c r="Q29" s="427">
        <v>-11.483185401263772916803229100</v>
      </c>
      <c r="R29" s="428">
        <v>-1.9902610656438831860265495700</v>
      </c>
      <c r="S29" s="429">
        <v>-4.1861243558054976226129200500</v>
      </c>
      <c r="T29" s="427">
        <v>-1.219659607412629976750888600</v>
      </c>
      <c r="U29" s="428">
        <v>100.57905233746697898408283067</v>
      </c>
      <c r="V29" s="429">
        <v>18.769957026493631135645790560</v>
      </c>
      <c r="W29" s="427">
        <v>0</v>
      </c>
      <c r="X29" s="428">
        <v>-100</v>
      </c>
      <c r="Y29" s="429">
        <v>11.503125094022131413849907480</v>
      </c>
      <c r="Z29" s="427">
        <v>-10.265367921826321658764248570</v>
      </c>
      <c r="AA29" s="428">
        <v>1.5466895317328701404730193400</v>
      </c>
      <c r="AB29" s="429">
        <v>0.7087603838426544995624151400</v>
      </c>
    </row>
    <row r="30" ht="18" customHeight="1">
      <c r="A30" s="58"/>
      <c r="B30" s="286">
        <v>2024</v>
      </c>
      <c r="C30" s="287"/>
      <c r="D30" s="276">
        <v>241.81035562233909341347357876</v>
      </c>
      <c r="E30" s="94">
        <v>272.31838695629378046561713986</v>
      </c>
      <c r="F30" s="277">
        <v>167.86058173150835722160859346</v>
      </c>
      <c r="G30" s="276">
        <v>36.049774605559729526671675432</v>
      </c>
      <c r="H30" s="94">
        <v>17.696683833490297817471563409</v>
      </c>
      <c r="I30" s="277">
        <v>50.551456716767931246794799194</v>
      </c>
      <c r="J30" s="276">
        <v>0</v>
      </c>
      <c r="K30" s="94">
        <v>0</v>
      </c>
      <c r="L30" s="277">
        <v>11.535912722752718111501745995</v>
      </c>
      <c r="M30" s="276">
        <v>277.86013022789882294014525419</v>
      </c>
      <c r="N30" s="94">
        <v>290.01507078978407828308870326</v>
      </c>
      <c r="O30" s="277">
        <v>229.94795117102900657990513865</v>
      </c>
      <c r="P30" s="5"/>
      <c r="Q30" s="271">
        <v>0.5989284506350646956638472700</v>
      </c>
      <c r="R30" s="92">
        <v>0.0414051188230721944450534300</v>
      </c>
      <c r="S30" s="272">
        <v>1.9567977626089262720890343100</v>
      </c>
      <c r="T30" s="271">
        <v>-0.1756140375172622244424329900</v>
      </c>
      <c r="U30" s="92">
        <v>-11.273458409107691813150457690</v>
      </c>
      <c r="V30" s="272">
        <v>3.8569119381028893433511729400</v>
      </c>
      <c r="W30" s="271">
        <v>0</v>
      </c>
      <c r="X30" s="92">
        <v>0</v>
      </c>
      <c r="Y30" s="272">
        <v>10.662272136152113881647314410</v>
      </c>
      <c r="Z30" s="271">
        <v>0.4977608841443389736582238800</v>
      </c>
      <c r="AA30" s="92">
        <v>-0.7310628208061021083451424700</v>
      </c>
      <c r="AB30" s="272">
        <v>2.7757755399855400074093581700</v>
      </c>
    </row>
    <row r="31" ht="18" customHeight="1">
      <c r="A31" s="58"/>
      <c r="B31" s="425">
        <v>2025</v>
      </c>
      <c r="C31" s="426"/>
      <c r="D31" s="457">
        <v>224.15637626262626262626262626</v>
      </c>
      <c r="E31" s="458">
        <v>299.18736325610052934660616846</v>
      </c>
      <c r="F31" s="459">
        <v>168.70503714053249898752958898</v>
      </c>
      <c r="G31" s="457">
        <v>47.404040404040404040404040404</v>
      </c>
      <c r="H31" s="458">
        <v>30.221706026845207087502358672</v>
      </c>
      <c r="I31" s="459">
        <v>55.804845953210686425521487754</v>
      </c>
      <c r="J31" s="457">
        <v>0</v>
      </c>
      <c r="K31" s="458">
        <v>0</v>
      </c>
      <c r="L31" s="459">
        <v>13.522176110626545286163075986</v>
      </c>
      <c r="M31" s="457">
        <v>271.56041666666666666666666667</v>
      </c>
      <c r="N31" s="458">
        <v>329.40906928294573643410852713</v>
      </c>
      <c r="O31" s="459">
        <v>238.03205920436973069921415271</v>
      </c>
      <c r="P31" s="93"/>
      <c r="Q31" s="430">
        <v>-7.3007540616865414418923566600</v>
      </c>
      <c r="R31" s="431">
        <v>9.866750681110746809120738810</v>
      </c>
      <c r="S31" s="432">
        <v>0.503069511806673365835528300</v>
      </c>
      <c r="T31" s="430">
        <v>31.496079858087721769975027760</v>
      </c>
      <c r="U31" s="431">
        <v>70.776097438296402434862196360</v>
      </c>
      <c r="V31" s="432">
        <v>10.392161922931892924994443820</v>
      </c>
      <c r="W31" s="430">
        <v>0</v>
      </c>
      <c r="X31" s="431">
        <v>0</v>
      </c>
      <c r="Y31" s="432">
        <v>17.218086124219903725874571990</v>
      </c>
      <c r="Z31" s="430">
        <v>-2.2672247206054097056218913500</v>
      </c>
      <c r="AA31" s="431">
        <v>13.583431504391752612173727730</v>
      </c>
      <c r="AB31" s="432">
        <v>3.5156251630865854813970886600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249.43709567585972080354102826</v>
      </c>
      <c r="E34" s="455">
        <v>281.2363434755038474655448988</v>
      </c>
      <c r="F34" s="456">
        <v>170.14132791480973533869202516</v>
      </c>
      <c r="G34" s="454">
        <v>30.877085461355124276472591079</v>
      </c>
      <c r="H34" s="455">
        <v>21.622916889599214266730316608</v>
      </c>
      <c r="I34" s="456">
        <v>49.745844939996170367200684349</v>
      </c>
      <c r="J34" s="454">
        <v>0</v>
      </c>
      <c r="K34" s="455">
        <v>0</v>
      </c>
      <c r="L34" s="456">
        <v>10.253963824726881478896788921</v>
      </c>
      <c r="M34" s="454">
        <v>280.31418113721484508001361934</v>
      </c>
      <c r="N34" s="455">
        <v>302.85926036510306173227521542</v>
      </c>
      <c r="O34" s="456">
        <v>230.14113667953278718478949842</v>
      </c>
      <c r="P34" s="5"/>
      <c r="Q34" s="427">
        <v>-13.553647038061582709776236100</v>
      </c>
      <c r="R34" s="428">
        <v>-8.476481940472347855218592420</v>
      </c>
      <c r="S34" s="429">
        <v>-8.723097384972433802494844770</v>
      </c>
      <c r="T34" s="427">
        <v>-22.100769234112354430470066920</v>
      </c>
      <c r="U34" s="428">
        <v>72.291843996600617448391681610</v>
      </c>
      <c r="V34" s="429">
        <v>5.6355126909210315904217534800</v>
      </c>
      <c r="W34" s="427">
        <v>0</v>
      </c>
      <c r="X34" s="428">
        <v>0</v>
      </c>
      <c r="Y34" s="429">
        <v>10.279400404636363043353048930</v>
      </c>
      <c r="Z34" s="427">
        <v>-14.585950271961154067583039040</v>
      </c>
      <c r="AA34" s="428">
        <v>-5.3071557055155900540675215400</v>
      </c>
      <c r="AB34" s="429">
        <v>-5.2103553889685020121976744100</v>
      </c>
    </row>
    <row r="35" ht="18" customHeight="1">
      <c r="A35" s="58"/>
      <c r="B35" s="286">
        <v>2024</v>
      </c>
      <c r="C35" s="287"/>
      <c r="D35" s="276">
        <v>250.92087542087542087542087542</v>
      </c>
      <c r="E35" s="94">
        <v>280.94766484247286727781365423</v>
      </c>
      <c r="F35" s="277">
        <v>174.93986500218600521162810387</v>
      </c>
      <c r="G35" s="276">
        <v>34.198905723905723905723905724</v>
      </c>
      <c r="H35" s="94">
        <v>14.67545117239247438837121613</v>
      </c>
      <c r="I35" s="277">
        <v>49.614120302921238088575024503</v>
      </c>
      <c r="J35" s="276">
        <v>0</v>
      </c>
      <c r="K35" s="94">
        <v>0</v>
      </c>
      <c r="L35" s="277">
        <v>11.458114550389843100949997634</v>
      </c>
      <c r="M35" s="276">
        <v>285.11978114478114478114478114</v>
      </c>
      <c r="N35" s="94">
        <v>295.62311601486534166618487034</v>
      </c>
      <c r="O35" s="277">
        <v>236.01209985549708640115312601</v>
      </c>
      <c r="P35" s="5"/>
      <c r="Q35" s="271">
        <v>0.5948512754106686116273789500</v>
      </c>
      <c r="R35" s="92">
        <v>-0.1026462758901148420667842700</v>
      </c>
      <c r="S35" s="272">
        <v>2.8203242246874442234645108400</v>
      </c>
      <c r="T35" s="271">
        <v>10.758205358010202011831212830</v>
      </c>
      <c r="U35" s="92">
        <v>-32.130104151438774864728895370</v>
      </c>
      <c r="V35" s="272">
        <v>-0.2647952552371742093581484500</v>
      </c>
      <c r="W35" s="271">
        <v>0</v>
      </c>
      <c r="X35" s="92">
        <v>0</v>
      </c>
      <c r="Y35" s="272">
        <v>11.743270663675009726699739580</v>
      </c>
      <c r="Z35" s="271">
        <v>1.7143620733297970453147711400</v>
      </c>
      <c r="AA35" s="92">
        <v>-2.3892762405585389000606764100</v>
      </c>
      <c r="AB35" s="272">
        <v>2.5510272786099639496862572900</v>
      </c>
    </row>
    <row r="36" ht="18" customHeight="1">
      <c r="A36" s="58"/>
      <c r="B36" s="425">
        <v>2025</v>
      </c>
      <c r="C36" s="426"/>
      <c r="D36" s="457">
        <v>233.08486550902281239359891045</v>
      </c>
      <c r="E36" s="458">
        <v>315.35506318107336981935250118</v>
      </c>
      <c r="F36" s="459">
        <v>175.99619092512686462788867419</v>
      </c>
      <c r="G36" s="457">
        <v>44.477102485529451821586653047</v>
      </c>
      <c r="H36" s="458">
        <v>26.866019912733789835729808724</v>
      </c>
      <c r="I36" s="459">
        <v>54.860271707265322258834098853</v>
      </c>
      <c r="J36" s="457">
        <v>0</v>
      </c>
      <c r="K36" s="458">
        <v>0</v>
      </c>
      <c r="L36" s="459">
        <v>13.381875576237731866137732614</v>
      </c>
      <c r="M36" s="457">
        <v>277.5619679945522642151855635</v>
      </c>
      <c r="N36" s="458">
        <v>342.2210830938071596550823099</v>
      </c>
      <c r="O36" s="459">
        <v>244.23833820862991875286050565</v>
      </c>
      <c r="P36" s="93"/>
      <c r="Q36" s="430">
        <v>-7.1082208213878921668750961500</v>
      </c>
      <c r="R36" s="431">
        <v>12.246906682019317670261800010</v>
      </c>
      <c r="S36" s="432">
        <v>0.6038223036890879830091981900</v>
      </c>
      <c r="T36" s="430">
        <v>30.054168529861777252567728460</v>
      </c>
      <c r="U36" s="431">
        <v>83.06776123694576380129858994</v>
      </c>
      <c r="V36" s="432">
        <v>10.573907936565145404127440780</v>
      </c>
      <c r="W36" s="430">
        <v>0</v>
      </c>
      <c r="X36" s="431">
        <v>0</v>
      </c>
      <c r="Y36" s="432">
        <v>16.789507709805308547020167290</v>
      </c>
      <c r="Z36" s="430">
        <v>-2.6507501934456976538941246900</v>
      </c>
      <c r="AA36" s="431">
        <v>15.762626315243402120864947170</v>
      </c>
      <c r="AB36" s="432">
        <v>3.4855155130463601947580213600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196.698754669987546699875467</v>
      </c>
      <c r="E39" s="455">
        <v>205.88202046301875180130192653</v>
      </c>
      <c r="F39" s="456">
        <v>130.83232626491496511153681025</v>
      </c>
      <c r="G39" s="454">
        <v>27.243109173931091739310917393</v>
      </c>
      <c r="H39" s="455">
        <v>11.876584434581836578271570681</v>
      </c>
      <c r="I39" s="456">
        <v>34.199989279265321574894576597</v>
      </c>
      <c r="J39" s="454">
        <v>0</v>
      </c>
      <c r="K39" s="455">
        <v>0</v>
      </c>
      <c r="L39" s="456">
        <v>9.362335641042261632667889473</v>
      </c>
      <c r="M39" s="454">
        <v>223.94186384391863843918638439</v>
      </c>
      <c r="N39" s="455">
        <v>217.75860489760058837957349722</v>
      </c>
      <c r="O39" s="456">
        <v>174.39465118522254831909927633</v>
      </c>
      <c r="P39" s="5"/>
      <c r="Q39" s="427">
        <v>-9.282769811845109287801197180</v>
      </c>
      <c r="R39" s="428">
        <v>-2.9885504533068541496158311200</v>
      </c>
      <c r="S39" s="429">
        <v>-3.934826333775853443121839500</v>
      </c>
      <c r="T39" s="427">
        <v>58.839261187537086344920118250</v>
      </c>
      <c r="U39" s="428">
        <v>83.20601300522092363456403319</v>
      </c>
      <c r="V39" s="429">
        <v>52.902185833002348557380780570</v>
      </c>
      <c r="W39" s="427">
        <v>0</v>
      </c>
      <c r="X39" s="428">
        <v>-100</v>
      </c>
      <c r="Y39" s="429">
        <v>34.809678742990935618493125320</v>
      </c>
      <c r="Z39" s="427">
        <v>-4.2891886936373646007539174600</v>
      </c>
      <c r="AA39" s="428">
        <v>-0.4502922684594881356795556900</v>
      </c>
      <c r="AB39" s="429">
        <v>5.3723092719634569159573096900</v>
      </c>
    </row>
    <row r="40" ht="18" customHeight="1">
      <c r="A40" s="58"/>
      <c r="B40" s="286">
        <v>2024</v>
      </c>
      <c r="C40" s="287"/>
      <c r="D40" s="276">
        <v>179.10347325716178175194568637</v>
      </c>
      <c r="E40" s="94">
        <v>201.46275711600585369915786682</v>
      </c>
      <c r="F40" s="277">
        <v>128.95028391213106375645299599</v>
      </c>
      <c r="G40" s="276">
        <v>25.120570458685212783573439311</v>
      </c>
      <c r="H40" s="94">
        <v>10.351634680247022897064888765</v>
      </c>
      <c r="I40" s="277">
        <v>32.151293274754395363044657441</v>
      </c>
      <c r="J40" s="276">
        <v>0</v>
      </c>
      <c r="K40" s="94">
        <v>0</v>
      </c>
      <c r="L40" s="277">
        <v>10.212261297394754170412452479</v>
      </c>
      <c r="M40" s="276">
        <v>204.22404371584699453551912568</v>
      </c>
      <c r="N40" s="94">
        <v>211.81439179625287659622275558</v>
      </c>
      <c r="O40" s="277">
        <v>171.31383848428021328991010591</v>
      </c>
      <c r="P40" s="5"/>
      <c r="Q40" s="271">
        <v>-8.945293752549520525164346550</v>
      </c>
      <c r="R40" s="92">
        <v>-2.1465028063430882927385472400</v>
      </c>
      <c r="S40" s="272">
        <v>-1.4385147818577425478209750700</v>
      </c>
      <c r="T40" s="271">
        <v>-7.791103070013260886169416300</v>
      </c>
      <c r="U40" s="92">
        <v>-12.839968955302905475081757850</v>
      </c>
      <c r="V40" s="272">
        <v>-5.9903410723745613538448585400</v>
      </c>
      <c r="W40" s="271">
        <v>0</v>
      </c>
      <c r="X40" s="92">
        <v>0</v>
      </c>
      <c r="Y40" s="272">
        <v>9.078137005393376394253247630</v>
      </c>
      <c r="Z40" s="271">
        <v>-8.804883459305951184034738640</v>
      </c>
      <c r="AA40" s="92">
        <v>-2.72972592938054629596057700</v>
      </c>
      <c r="AB40" s="272">
        <v>-1.7665752246312241503742376600</v>
      </c>
    </row>
    <row r="41" ht="18" customHeight="1">
      <c r="A41" s="58"/>
      <c r="B41" s="425">
        <v>2025</v>
      </c>
      <c r="C41" s="426"/>
      <c r="D41" s="457">
        <v>165.31882523868825238688252387</v>
      </c>
      <c r="E41" s="458">
        <v>215.88325581522271245559317728</v>
      </c>
      <c r="F41" s="459">
        <v>130.40484111896677024353274328</v>
      </c>
      <c r="G41" s="457">
        <v>28.951473640514736405147364051</v>
      </c>
      <c r="H41" s="458">
        <v>16.717789342536211577718000736</v>
      </c>
      <c r="I41" s="459">
        <v>33.729380387318977522667817657</v>
      </c>
      <c r="J41" s="457">
        <v>0</v>
      </c>
      <c r="K41" s="458">
        <v>0</v>
      </c>
      <c r="L41" s="459">
        <v>11.541650066880326502158903257</v>
      </c>
      <c r="M41" s="457">
        <v>194.27029887920298879202988792</v>
      </c>
      <c r="N41" s="458">
        <v>232.60104515775892403331117801</v>
      </c>
      <c r="O41" s="459">
        <v>175.67587157316607426835946419</v>
      </c>
      <c r="P41" s="93"/>
      <c r="Q41" s="430">
        <v>-7.6964716361007821244573322700</v>
      </c>
      <c r="R41" s="431">
        <v>7.1578980183019885677246393200</v>
      </c>
      <c r="S41" s="432">
        <v>1.1279984523789655889194117900</v>
      </c>
      <c r="T41" s="430">
        <v>15.250064436685516427656299990</v>
      </c>
      <c r="U41" s="431">
        <v>61.499027535361337950995755770</v>
      </c>
      <c r="V41" s="432">
        <v>4.9083161259826309581625466300</v>
      </c>
      <c r="W41" s="430">
        <v>0</v>
      </c>
      <c r="X41" s="431">
        <v>0</v>
      </c>
      <c r="Y41" s="432">
        <v>13.01757495980624243441426200</v>
      </c>
      <c r="Z41" s="430">
        <v>-4.8739338696322805484475928800</v>
      </c>
      <c r="AA41" s="431">
        <v>9.813617094276229376496691150</v>
      </c>
      <c r="AB41" s="432">
        <v>2.5462234268166440893621546600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2023</v>
      </c>
      <c r="C9" s="285" t="s">
        <v>218</v>
      </c>
      <c r="D9" s="415">
        <v>81.16073914223662775421872791</v>
      </c>
      <c r="E9" s="416">
        <v>96.01893417363500506991630535</v>
      </c>
      <c r="F9" s="417">
        <v>77.929676691814840028974224280</v>
      </c>
      <c r="G9" s="415">
        <v>366.46526583859976135650250059</v>
      </c>
      <c r="H9" s="416">
        <v>73.931808855840292597521061870</v>
      </c>
      <c r="I9" s="417">
        <v>270.93439986326468851811437257</v>
      </c>
      <c r="J9" s="415">
        <v>0</v>
      </c>
      <c r="K9" s="416">
        <v>0</v>
      </c>
      <c r="L9" s="417">
        <v>0</v>
      </c>
      <c r="M9" s="415">
        <v>93.15816026484559011139223195</v>
      </c>
      <c r="N9" s="416">
        <v>95.69800052906800936490403549</v>
      </c>
      <c r="O9" s="417">
        <v>89.15049670312065766151313995</v>
      </c>
      <c r="P9" s="5"/>
      <c r="Q9" s="415">
        <v>-28.137636462757182750875600180</v>
      </c>
      <c r="R9" s="416">
        <v>13.983613553311229850642787380</v>
      </c>
      <c r="S9" s="417">
        <v>-18.088681255314669544333144060</v>
      </c>
      <c r="T9" s="415">
        <v>72.960969198040912208043740760</v>
      </c>
      <c r="U9" s="416">
        <v>-14.621173841580588293727732620</v>
      </c>
      <c r="V9" s="417">
        <v>47.672045212907903651183373200</v>
      </c>
      <c r="W9" s="415">
        <v>0</v>
      </c>
      <c r="X9" s="416">
        <v>0</v>
      </c>
      <c r="Y9" s="417">
        <v>0</v>
      </c>
      <c r="Z9" s="415">
        <v>-23.015596531634592787936200040</v>
      </c>
      <c r="AA9" s="416">
        <v>13.262693723647822460824989980</v>
      </c>
      <c r="AB9" s="417">
        <v>-12.805390884708387867954647430</v>
      </c>
    </row>
    <row r="10" ht="18.95" customHeight="1">
      <c r="A10" s="58"/>
      <c r="B10" s="286"/>
      <c r="C10" s="287" t="s">
        <v>222</v>
      </c>
      <c r="D10" s="271">
        <v>89.20340441810617794797273273</v>
      </c>
      <c r="E10" s="92">
        <v>84.38637181588670891379640596</v>
      </c>
      <c r="F10" s="272">
        <v>75.275516524697875489491037220</v>
      </c>
      <c r="G10" s="271">
        <v>504.76190476374133000139499265</v>
      </c>
      <c r="H10" s="92">
        <v>100.29567933532094095968456625</v>
      </c>
      <c r="I10" s="272">
        <v>506.25438140631478590881104939</v>
      </c>
      <c r="J10" s="271">
        <v>0</v>
      </c>
      <c r="K10" s="92">
        <v>0</v>
      </c>
      <c r="L10" s="272">
        <v>0</v>
      </c>
      <c r="M10" s="271">
        <v>102.40123456792755547782350928</v>
      </c>
      <c r="N10" s="92">
        <v>86.82942262538562857130235314</v>
      </c>
      <c r="O10" s="272">
        <v>88.91440073659322616079865792</v>
      </c>
      <c r="P10" s="5"/>
      <c r="Q10" s="271">
        <v>-27.775978213487777463297565060</v>
      </c>
      <c r="R10" s="92">
        <v>-1.0542014015361471018312244500</v>
      </c>
      <c r="S10" s="272">
        <v>-28.537364863434050077716136670</v>
      </c>
      <c r="T10" s="271">
        <v>17.526496331253927737409432740</v>
      </c>
      <c r="U10" s="92">
        <v>32.027333846044202339680190030</v>
      </c>
      <c r="V10" s="272">
        <v>55.167099667542420751111253600</v>
      </c>
      <c r="W10" s="271">
        <v>0</v>
      </c>
      <c r="X10" s="92">
        <v>0</v>
      </c>
      <c r="Y10" s="272">
        <v>0</v>
      </c>
      <c r="Z10" s="271">
        <v>-21.269951554230380049698363670</v>
      </c>
      <c r="AA10" s="92">
        <v>1.6434238443518248867105277100</v>
      </c>
      <c r="AB10" s="272">
        <v>-19.976083165534077827128578920</v>
      </c>
    </row>
    <row r="11" ht="18.95" customHeight="1">
      <c r="A11" s="58"/>
      <c r="B11" s="288">
        <v>2024</v>
      </c>
      <c r="C11" s="289" t="s">
        <v>224</v>
      </c>
      <c r="D11" s="420">
        <v>100.03437192285007753423024766</v>
      </c>
      <c r="E11" s="91">
        <v>86.96896468373831853457115453</v>
      </c>
      <c r="F11" s="421">
        <v>86.99885758911316162028516742</v>
      </c>
      <c r="G11" s="420">
        <v>182.57499311989080897419033502</v>
      </c>
      <c r="H11" s="91">
        <v>86.03673522172985393589833478</v>
      </c>
      <c r="I11" s="421">
        <v>157.08156341155243658568213164</v>
      </c>
      <c r="J11" s="420">
        <v>0</v>
      </c>
      <c r="K11" s="91">
        <v>0</v>
      </c>
      <c r="L11" s="421">
        <v>0</v>
      </c>
      <c r="M11" s="420">
        <v>107.62440213592598879183101657</v>
      </c>
      <c r="N11" s="91">
        <v>87.10470884209851174118427373</v>
      </c>
      <c r="O11" s="421">
        <v>93.74592212347403082288036759</v>
      </c>
      <c r="P11" s="5"/>
      <c r="Q11" s="420">
        <v>-5.4632574165974655715504500600</v>
      </c>
      <c r="R11" s="91">
        <v>5.7387387394512578762461550400</v>
      </c>
      <c r="S11" s="421">
        <v>-0.0380407471107602059904433200</v>
      </c>
      <c r="T11" s="420">
        <v>-57.747026613376165905391985330</v>
      </c>
      <c r="U11" s="91">
        <v>9.964769479345174955396769320</v>
      </c>
      <c r="V11" s="421">
        <v>-53.536615217540628902071979570</v>
      </c>
      <c r="W11" s="420">
        <v>0</v>
      </c>
      <c r="X11" s="91">
        <v>0</v>
      </c>
      <c r="Y11" s="421">
        <v>0</v>
      </c>
      <c r="Z11" s="420">
        <v>-12.724344320236683181250565750</v>
      </c>
      <c r="AA11" s="91">
        <v>5.7629352646680197238432986400</v>
      </c>
      <c r="AB11" s="421">
        <v>-7.6947047816350157188188880800</v>
      </c>
    </row>
    <row r="12" ht="18.95" customHeight="1">
      <c r="A12" s="58"/>
      <c r="B12" s="286"/>
      <c r="C12" s="287" t="s">
        <v>225</v>
      </c>
      <c r="D12" s="271">
        <v>89.56409134362330856420944402</v>
      </c>
      <c r="E12" s="92">
        <v>94.10688917248203827211133301</v>
      </c>
      <c r="F12" s="272">
        <v>84.28598017905504599979652614</v>
      </c>
      <c r="G12" s="271">
        <v>441.96917087811872890144393734</v>
      </c>
      <c r="H12" s="92">
        <v>73.700241181832151859011189520</v>
      </c>
      <c r="I12" s="272">
        <v>325.73234488401699994207415426</v>
      </c>
      <c r="J12" s="271">
        <v>0</v>
      </c>
      <c r="K12" s="92">
        <v>0</v>
      </c>
      <c r="L12" s="272">
        <v>0</v>
      </c>
      <c r="M12" s="271">
        <v>109.19516734066868923302234334</v>
      </c>
      <c r="N12" s="92">
        <v>91.27056733605389271851198264</v>
      </c>
      <c r="O12" s="272">
        <v>99.66304873542393154059800450</v>
      </c>
      <c r="P12" s="5"/>
      <c r="Q12" s="271">
        <v>-16.660620804935875853197743530</v>
      </c>
      <c r="R12" s="92">
        <v>12.906110622592647223066547250</v>
      </c>
      <c r="S12" s="272">
        <v>-5.9047483339794575348437979400</v>
      </c>
      <c r="T12" s="271">
        <v>85.06589775183572123651911210</v>
      </c>
      <c r="U12" s="92">
        <v>8.829754494683458166212682830</v>
      </c>
      <c r="V12" s="272">
        <v>101.40676217362564919264488244</v>
      </c>
      <c r="W12" s="271">
        <v>0</v>
      </c>
      <c r="X12" s="92">
        <v>0</v>
      </c>
      <c r="Y12" s="272">
        <v>0</v>
      </c>
      <c r="Z12" s="271">
        <v>-7.4903517696348095376063687900</v>
      </c>
      <c r="AA12" s="92">
        <v>11.869386042798186131863907460</v>
      </c>
      <c r="AB12" s="272">
        <v>3.4899755057452364536011238700</v>
      </c>
    </row>
    <row r="13" ht="18.95" customHeight="1">
      <c r="A13" s="58"/>
      <c r="B13" s="288"/>
      <c r="C13" s="289" t="s">
        <v>226</v>
      </c>
      <c r="D13" s="420">
        <v>101.06266568031252229619565259</v>
      </c>
      <c r="E13" s="91">
        <v>87.66185898831577446429707793</v>
      </c>
      <c r="F13" s="421">
        <v>88.59341147849227387354313225</v>
      </c>
      <c r="G13" s="420">
        <v>416.09919419296853885829868315</v>
      </c>
      <c r="H13" s="91">
        <v>71.705034865151586207924576730</v>
      </c>
      <c r="I13" s="421">
        <v>298.36407226789260700436780167</v>
      </c>
      <c r="J13" s="420">
        <v>0</v>
      </c>
      <c r="K13" s="91">
        <v>0</v>
      </c>
      <c r="L13" s="421">
        <v>0</v>
      </c>
      <c r="M13" s="420">
        <v>108.65356479701046328029744651</v>
      </c>
      <c r="N13" s="91">
        <v>87.21530935136777849660479273</v>
      </c>
      <c r="O13" s="421">
        <v>94.76254265894198278427628520</v>
      </c>
      <c r="P13" s="5"/>
      <c r="Q13" s="420">
        <v>-4.7518576090158003327297561900</v>
      </c>
      <c r="R13" s="91">
        <v>5.95131263681152748821546300</v>
      </c>
      <c r="S13" s="421">
        <v>0.9166571254331005105278957400</v>
      </c>
      <c r="T13" s="420">
        <v>41.729806365984314595109105750</v>
      </c>
      <c r="U13" s="91">
        <v>5.982155939236719082011934900</v>
      </c>
      <c r="V13" s="421">
        <v>50.208304395833381128096665970</v>
      </c>
      <c r="W13" s="420">
        <v>0</v>
      </c>
      <c r="X13" s="91">
        <v>0</v>
      </c>
      <c r="Y13" s="421">
        <v>0</v>
      </c>
      <c r="Z13" s="420">
        <v>-5.0089244789563665692749796400</v>
      </c>
      <c r="AA13" s="91">
        <v>7.1529531647831752157817245600</v>
      </c>
      <c r="AB13" s="421">
        <v>1.7857426636316076725696389900</v>
      </c>
    </row>
    <row r="14" ht="18.95" customHeight="1">
      <c r="A14" s="58"/>
      <c r="B14" s="286"/>
      <c r="C14" s="287" t="s">
        <v>228</v>
      </c>
      <c r="D14" s="271">
        <v>113.19768324527832223466487234</v>
      </c>
      <c r="E14" s="92">
        <v>84.88330401433356476065827890</v>
      </c>
      <c r="F14" s="272">
        <v>96.08593360628362602726264929</v>
      </c>
      <c r="G14" s="271">
        <v>93.81649831657962413019086736</v>
      </c>
      <c r="H14" s="92">
        <v>66.729579799587635134760407420</v>
      </c>
      <c r="I14" s="272">
        <v>62.603355109454124586931632770</v>
      </c>
      <c r="J14" s="271">
        <v>0</v>
      </c>
      <c r="K14" s="92">
        <v>0</v>
      </c>
      <c r="L14" s="272">
        <v>0</v>
      </c>
      <c r="M14" s="271">
        <v>112.36148638833611962299691953</v>
      </c>
      <c r="N14" s="92">
        <v>83.79184825301690699711921300</v>
      </c>
      <c r="O14" s="272">
        <v>94.14976616932578085107629298</v>
      </c>
      <c r="P14" s="5"/>
      <c r="Q14" s="271">
        <v>0.5871497612835541226953163600</v>
      </c>
      <c r="R14" s="92">
        <v>7.5884877928761074999608761100</v>
      </c>
      <c r="S14" s="272">
        <v>8.220193342176861900304740030</v>
      </c>
      <c r="T14" s="271">
        <v>-37.621645351376549229831230050</v>
      </c>
      <c r="U14" s="92">
        <v>43.609389200479823077791880060</v>
      </c>
      <c r="V14" s="272">
        <v>-10.418825896708388141501647640</v>
      </c>
      <c r="W14" s="271">
        <v>0</v>
      </c>
      <c r="X14" s="92">
        <v>0</v>
      </c>
      <c r="Y14" s="272">
        <v>0</v>
      </c>
      <c r="Z14" s="271">
        <v>-1.8534316443451068340037253700</v>
      </c>
      <c r="AA14" s="92">
        <v>9.765508364799709929322405360</v>
      </c>
      <c r="AB14" s="272">
        <v>7.7310796982363551672756010200</v>
      </c>
    </row>
    <row r="15" ht="18.95" customHeight="1">
      <c r="A15" s="58"/>
      <c r="B15" s="288"/>
      <c r="C15" s="289" t="s">
        <v>229</v>
      </c>
      <c r="D15" s="420">
        <v>108.95768426804742757346347532</v>
      </c>
      <c r="E15" s="91">
        <v>74.018355509081590425347796650</v>
      </c>
      <c r="F15" s="421">
        <v>80.64868609595698822463067328</v>
      </c>
      <c r="G15" s="420">
        <v>864.7936053343135923060993197</v>
      </c>
      <c r="H15" s="91">
        <v>140.82923038341458054911723737</v>
      </c>
      <c r="I15" s="421">
        <v>1217.8821788105639612667419377</v>
      </c>
      <c r="J15" s="420">
        <v>0</v>
      </c>
      <c r="K15" s="91">
        <v>0</v>
      </c>
      <c r="L15" s="421">
        <v>0</v>
      </c>
      <c r="M15" s="420">
        <v>119.35646684594954157379961219</v>
      </c>
      <c r="N15" s="91">
        <v>80.75374448293188908175984367</v>
      </c>
      <c r="O15" s="421">
        <v>96.38481626061441927134715218</v>
      </c>
      <c r="P15" s="5"/>
      <c r="Q15" s="420">
        <v>1.2190662773303911896696102800</v>
      </c>
      <c r="R15" s="91">
        <v>-6.2527075291048311695643372200</v>
      </c>
      <c r="S15" s="421">
        <v>-5.1098659006212542964388069800</v>
      </c>
      <c r="T15" s="420">
        <v>338.65411051044559514187814322</v>
      </c>
      <c r="U15" s="91">
        <v>2.463103183238641071052138100</v>
      </c>
      <c r="V15" s="421">
        <v>349.45861387048108791072346231</v>
      </c>
      <c r="W15" s="420">
        <v>0</v>
      </c>
      <c r="X15" s="91">
        <v>0</v>
      </c>
      <c r="Y15" s="421">
        <v>0</v>
      </c>
      <c r="Z15" s="420">
        <v>4.400051609816473279962130200</v>
      </c>
      <c r="AA15" s="91">
        <v>-7.4847942351943574675507628800</v>
      </c>
      <c r="AB15" s="421">
        <v>-3.414077434604272777744760400</v>
      </c>
    </row>
    <row r="16" ht="18.95" customHeight="1">
      <c r="A16" s="58"/>
      <c r="B16" s="286"/>
      <c r="C16" s="287" t="s">
        <v>230</v>
      </c>
      <c r="D16" s="271">
        <v>97.99897159694819692163511569</v>
      </c>
      <c r="E16" s="92">
        <v>76.983808467916086158403145880</v>
      </c>
      <c r="F16" s="272">
        <v>75.443340594675583876920824160</v>
      </c>
      <c r="G16" s="271">
        <v>1586.4393940409260606125586621</v>
      </c>
      <c r="H16" s="92">
        <v>74.872004576242306940301901630</v>
      </c>
      <c r="I16" s="272">
        <v>1187.7989756248094400846184195</v>
      </c>
      <c r="J16" s="271">
        <v>0</v>
      </c>
      <c r="K16" s="92">
        <v>0</v>
      </c>
      <c r="L16" s="272">
        <v>0</v>
      </c>
      <c r="M16" s="271">
        <v>114.92749502413826178691435678</v>
      </c>
      <c r="N16" s="92">
        <v>76.606270474765233811991091690</v>
      </c>
      <c r="O16" s="272">
        <v>88.04166768808035714435971076</v>
      </c>
      <c r="P16" s="5"/>
      <c r="Q16" s="271">
        <v>-24.177941083716034059138325290</v>
      </c>
      <c r="R16" s="92">
        <v>-6.7418511218401857610094369600</v>
      </c>
      <c r="S16" s="272">
        <v>-29.289751413451759314985936610</v>
      </c>
      <c r="T16" s="271">
        <v>362.07216851573487648511661106</v>
      </c>
      <c r="U16" s="92">
        <v>-34.883563281378853860654765520</v>
      </c>
      <c r="V16" s="272">
        <v>200.88493118941724445755510403</v>
      </c>
      <c r="W16" s="271">
        <v>0</v>
      </c>
      <c r="X16" s="92">
        <v>0</v>
      </c>
      <c r="Y16" s="272">
        <v>0</v>
      </c>
      <c r="Z16" s="271">
        <v>-16.896943368113885343212481740</v>
      </c>
      <c r="AA16" s="92">
        <v>-7.6842742992487367940105153400</v>
      </c>
      <c r="AB16" s="272">
        <v>-23.282810190816574327499512600</v>
      </c>
    </row>
    <row r="17" ht="18.95" customHeight="1">
      <c r="A17" s="58"/>
      <c r="B17" s="288"/>
      <c r="C17" s="289" t="s">
        <v>233</v>
      </c>
      <c r="D17" s="420">
        <v>103.31826367286899982486110175</v>
      </c>
      <c r="E17" s="91">
        <v>73.766779044529396345513181210</v>
      </c>
      <c r="F17" s="421">
        <v>76.214555276247707167115626230</v>
      </c>
      <c r="G17" s="420">
        <v>149.75124377933774411526528179</v>
      </c>
      <c r="H17" s="91">
        <v>134.10955950407180628410625370</v>
      </c>
      <c r="I17" s="421">
        <v>200.83073338583534473613959935</v>
      </c>
      <c r="J17" s="420">
        <v>0</v>
      </c>
      <c r="K17" s="91">
        <v>0</v>
      </c>
      <c r="L17" s="421">
        <v>0</v>
      </c>
      <c r="M17" s="420">
        <v>104.98034977794081868124881374</v>
      </c>
      <c r="N17" s="91">
        <v>76.498094957178247335870588280</v>
      </c>
      <c r="O17" s="421">
        <v>80.30796765956946573840267803</v>
      </c>
      <c r="P17" s="5"/>
      <c r="Q17" s="420">
        <v>-19.065319219640854120096706410</v>
      </c>
      <c r="R17" s="91">
        <v>-11.363720731724503236466846200</v>
      </c>
      <c r="S17" s="421">
        <v>-28.262510318515932991345460520</v>
      </c>
      <c r="T17" s="420">
        <v>147.44817277827666958532488960</v>
      </c>
      <c r="U17" s="91">
        <v>165.87129629913184131344091820</v>
      </c>
      <c r="V17" s="421">
        <v>557.89366463425679643618879121</v>
      </c>
      <c r="W17" s="420">
        <v>0</v>
      </c>
      <c r="X17" s="91">
        <v>0</v>
      </c>
      <c r="Y17" s="421">
        <v>0</v>
      </c>
      <c r="Z17" s="420">
        <v>-17.411592988021210678072107120</v>
      </c>
      <c r="AA17" s="91">
        <v>-7.7139419301128782284550640500</v>
      </c>
      <c r="AB17" s="421">
        <v>-23.782414745928648501887748510</v>
      </c>
    </row>
    <row r="18" ht="18.95" customHeight="1">
      <c r="A18" s="58"/>
      <c r="B18" s="286"/>
      <c r="C18" s="287" t="s">
        <v>234</v>
      </c>
      <c r="D18" s="271">
        <v>105.58385851035166469005058892</v>
      </c>
      <c r="E18" s="92">
        <v>76.378361397860830815091732730</v>
      </c>
      <c r="F18" s="272">
        <v>80.64322103085312075386902061</v>
      </c>
      <c r="G18" s="271">
        <v>198.37177748182134105607064510</v>
      </c>
      <c r="H18" s="92">
        <v>71.913042004632335608140906080</v>
      </c>
      <c r="I18" s="272">
        <v>142.65517966171128270074096032</v>
      </c>
      <c r="J18" s="271">
        <v>0</v>
      </c>
      <c r="K18" s="92">
        <v>0</v>
      </c>
      <c r="L18" s="272">
        <v>0</v>
      </c>
      <c r="M18" s="271">
        <v>107.27297427476284008095592956</v>
      </c>
      <c r="N18" s="92">
        <v>76.333310933365779622056509800</v>
      </c>
      <c r="O18" s="272">
        <v>81.88501300060895906627863527</v>
      </c>
      <c r="P18" s="5"/>
      <c r="Q18" s="271">
        <v>-2.3881376395436538390625828900</v>
      </c>
      <c r="R18" s="92">
        <v>-8.847887401221343935335253190</v>
      </c>
      <c r="S18" s="272">
        <v>-11.024725311430274448321881920</v>
      </c>
      <c r="T18" s="271">
        <v>78.534599740244987140852645110</v>
      </c>
      <c r="U18" s="92">
        <v>-13.658611304017217022138572470</v>
      </c>
      <c r="V18" s="272">
        <v>54.149252707990623679828827560</v>
      </c>
      <c r="W18" s="271">
        <v>0</v>
      </c>
      <c r="X18" s="92">
        <v>0</v>
      </c>
      <c r="Y18" s="272">
        <v>0</v>
      </c>
      <c r="Z18" s="271">
        <v>-0.875023268252534590204871600</v>
      </c>
      <c r="AA18" s="92">
        <v>-8.894923028868001935083567110</v>
      </c>
      <c r="AB18" s="272">
        <v>-9.692113650944501562890223420</v>
      </c>
    </row>
    <row r="19" ht="18.95" customHeight="1">
      <c r="A19" s="58"/>
      <c r="B19" s="288"/>
      <c r="C19" s="289" t="s">
        <v>235</v>
      </c>
      <c r="D19" s="420">
        <v>85.72406417105844947467762015</v>
      </c>
      <c r="E19" s="91">
        <v>77.953521947762359031554201800</v>
      </c>
      <c r="F19" s="421">
        <v>66.824927178143317721056669990</v>
      </c>
      <c r="G19" s="420">
        <v>188.23529411853287197232250759</v>
      </c>
      <c r="H19" s="91">
        <v>92.40060835822120783008140855</v>
      </c>
      <c r="I19" s="421">
        <v>173.93055690953124963505579506</v>
      </c>
      <c r="J19" s="420">
        <v>0</v>
      </c>
      <c r="K19" s="91">
        <v>0</v>
      </c>
      <c r="L19" s="421">
        <v>0</v>
      </c>
      <c r="M19" s="420">
        <v>96.26947777804364824364097520</v>
      </c>
      <c r="N19" s="91">
        <v>83.21877315059752970425237664</v>
      </c>
      <c r="O19" s="421">
        <v>80.11427832537291007069291128</v>
      </c>
      <c r="P19" s="5"/>
      <c r="Q19" s="420">
        <v>-21.597252412855802079551288160</v>
      </c>
      <c r="R19" s="91">
        <v>-11.002826041912570793432215050</v>
      </c>
      <c r="S19" s="421">
        <v>-30.223770341963376464623198720</v>
      </c>
      <c r="T19" s="420">
        <v>-47.095819460458605952474293570</v>
      </c>
      <c r="U19" s="91">
        <v>33.622098408657994072977600590</v>
      </c>
      <c r="V19" s="421">
        <v>-29.308323813906945278466521180</v>
      </c>
      <c r="W19" s="420">
        <v>0</v>
      </c>
      <c r="X19" s="91">
        <v>0</v>
      </c>
      <c r="Y19" s="421">
        <v>0</v>
      </c>
      <c r="Z19" s="420">
        <v>-13.593480501315687629678736110</v>
      </c>
      <c r="AA19" s="91">
        <v>-4.8054497009186050789669439400</v>
      </c>
      <c r="AB19" s="421">
        <v>-17.745702334218437202850716990</v>
      </c>
    </row>
    <row r="20" ht="18.95" customHeight="1">
      <c r="A20" s="58"/>
      <c r="B20" s="286"/>
      <c r="C20" s="287" t="s">
        <v>236</v>
      </c>
      <c r="D20" s="271">
        <v>102.79781729950993095169317429</v>
      </c>
      <c r="E20" s="92">
        <v>73.048602465528099941855166310</v>
      </c>
      <c r="F20" s="272">
        <v>75.092368902433094255156207910</v>
      </c>
      <c r="G20" s="271">
        <v>236.59595465069651817237222198</v>
      </c>
      <c r="H20" s="92">
        <v>71.114586999889093113385184700</v>
      </c>
      <c r="I20" s="272">
        <v>168.25423600924206604808733408</v>
      </c>
      <c r="J20" s="271">
        <v>0</v>
      </c>
      <c r="K20" s="92">
        <v>0</v>
      </c>
      <c r="L20" s="272">
        <v>0</v>
      </c>
      <c r="M20" s="271">
        <v>111.65312318437562081729614945</v>
      </c>
      <c r="N20" s="92">
        <v>72.968819446874461646903355380</v>
      </c>
      <c r="O20" s="272">
        <v>81.47196586315482818890903357</v>
      </c>
      <c r="P20" s="5"/>
      <c r="Q20" s="271">
        <v>-6.9562129148634577584823196400</v>
      </c>
      <c r="R20" s="92">
        <v>-13.491410274721738136497651200</v>
      </c>
      <c r="S20" s="272">
        <v>-19.509131965604663100784946540</v>
      </c>
      <c r="T20" s="271">
        <v>2.6414845827584808543615649100</v>
      </c>
      <c r="U20" s="92">
        <v>4.0838153388987848642586815800</v>
      </c>
      <c r="V20" s="272">
        <v>6.8331732756324568888871907600</v>
      </c>
      <c r="W20" s="271">
        <v>0</v>
      </c>
      <c r="X20" s="92">
        <v>0</v>
      </c>
      <c r="Y20" s="272">
        <v>0</v>
      </c>
      <c r="Z20" s="271">
        <v>-3.5247853553048770118826648800</v>
      </c>
      <c r="AA20" s="92">
        <v>-12.546402228969786748893556700</v>
      </c>
      <c r="AB20" s="272">
        <v>-15.628953835915851659091220810</v>
      </c>
    </row>
    <row r="21" ht="18.95" customHeight="1">
      <c r="A21" s="58"/>
      <c r="B21" s="288"/>
      <c r="C21" s="289" t="s">
        <v>218</v>
      </c>
      <c r="D21" s="420">
        <v>124.39984258159614018409771471</v>
      </c>
      <c r="E21" s="91">
        <v>73.781908194965924749717940580</v>
      </c>
      <c r="F21" s="421">
        <v>91.78457764827815656051261286</v>
      </c>
      <c r="G21" s="420">
        <v>114.92565405607741751452256556</v>
      </c>
      <c r="H21" s="91">
        <v>67.244024350073091161925408130</v>
      </c>
      <c r="I21" s="421">
        <v>77.280634798005489186574330900</v>
      </c>
      <c r="J21" s="420">
        <v>0</v>
      </c>
      <c r="K21" s="91">
        <v>0</v>
      </c>
      <c r="L21" s="421">
        <v>0</v>
      </c>
      <c r="M21" s="420">
        <v>123.37295127110203556222117005</v>
      </c>
      <c r="N21" s="91">
        <v>72.953816363321444989816364480</v>
      </c>
      <c r="O21" s="421">
        <v>90.00527631237094019232051373</v>
      </c>
      <c r="P21" s="5"/>
      <c r="Q21" s="420">
        <v>53.275886711230942932551801750</v>
      </c>
      <c r="R21" s="91">
        <v>-23.159001055385648645227172980</v>
      </c>
      <c r="S21" s="421">
        <v>17.778722490113977086089924690</v>
      </c>
      <c r="T21" s="420">
        <v>-68.639414217582791879832906330</v>
      </c>
      <c r="U21" s="91">
        <v>-9.045882427645009063336587560</v>
      </c>
      <c r="V21" s="421">
        <v>-71.476255936124225154911109440</v>
      </c>
      <c r="W21" s="420">
        <v>0</v>
      </c>
      <c r="X21" s="91">
        <v>0</v>
      </c>
      <c r="Y21" s="421">
        <v>0</v>
      </c>
      <c r="Z21" s="420">
        <v>32.433864001196635578732425630</v>
      </c>
      <c r="AA21" s="91">
        <v>-23.766624213702842583420651850</v>
      </c>
      <c r="AB21" s="421">
        <v>0.9588052124012644236182640700</v>
      </c>
    </row>
    <row r="22" ht="18.95" customHeight="1">
      <c r="A22" s="58"/>
      <c r="B22" s="286"/>
      <c r="C22" s="287" t="s">
        <v>222</v>
      </c>
      <c r="D22" s="271">
        <v>117.27811689209974994716254225</v>
      </c>
      <c r="E22" s="92">
        <v>63.163735479926644407402734090</v>
      </c>
      <c r="F22" s="272">
        <v>74.077239529550185344213749570</v>
      </c>
      <c r="G22" s="271">
        <v>178.79417879245106997291619003</v>
      </c>
      <c r="H22" s="92">
        <v>68.235434212635488954487714620</v>
      </c>
      <c r="I22" s="272">
        <v>122.00098424743481520975748155</v>
      </c>
      <c r="J22" s="271">
        <v>0</v>
      </c>
      <c r="K22" s="92">
        <v>0</v>
      </c>
      <c r="L22" s="272">
        <v>0</v>
      </c>
      <c r="M22" s="271">
        <v>121.10398006437079077702074716</v>
      </c>
      <c r="N22" s="92">
        <v>63.478680436045214370368772910</v>
      </c>
      <c r="O22" s="272">
        <v>76.875208500437850532987024950</v>
      </c>
      <c r="P22" s="5"/>
      <c r="Q22" s="271">
        <v>31.472691717473501208996277420</v>
      </c>
      <c r="R22" s="92">
        <v>-25.149364618108402449787549610</v>
      </c>
      <c r="S22" s="272">
        <v>-1.5918548958167912358588771600</v>
      </c>
      <c r="T22" s="271">
        <v>-64.578511748791334260749676190</v>
      </c>
      <c r="U22" s="92">
        <v>-31.965729067434122942031900650</v>
      </c>
      <c r="V22" s="272">
        <v>-75.901248714424144660100673520</v>
      </c>
      <c r="W22" s="271">
        <v>0</v>
      </c>
      <c r="X22" s="92">
        <v>0</v>
      </c>
      <c r="Y22" s="272">
        <v>0</v>
      </c>
      <c r="Z22" s="271">
        <v>18.264179699971695908353493180</v>
      </c>
      <c r="AA22" s="92">
        <v>-26.892660901471950777036897620</v>
      </c>
      <c r="AB22" s="272">
        <v>-13.540205114610230280802680780</v>
      </c>
    </row>
    <row r="23" ht="18.95" customHeight="1">
      <c r="A23" s="58"/>
      <c r="B23" s="288">
        <v>2025</v>
      </c>
      <c r="C23" s="289" t="s">
        <v>224</v>
      </c>
      <c r="D23" s="420">
        <v>107.05497598945685789816107036</v>
      </c>
      <c r="E23" s="91">
        <v>73.363097882865128777935299480</v>
      </c>
      <c r="F23" s="421">
        <v>78.538846823593260514226749170</v>
      </c>
      <c r="G23" s="420">
        <v>168.61332216089991453707971222</v>
      </c>
      <c r="H23" s="91">
        <v>83.04375851918711116627253065</v>
      </c>
      <c r="I23" s="421">
        <v>140.02284008723565132697381720</v>
      </c>
      <c r="J23" s="420">
        <v>0</v>
      </c>
      <c r="K23" s="91">
        <v>0</v>
      </c>
      <c r="L23" s="421">
        <v>0</v>
      </c>
      <c r="M23" s="420">
        <v>115.00153227694342720086570114</v>
      </c>
      <c r="N23" s="91">
        <v>75.575501413410793450626608370</v>
      </c>
      <c r="O23" s="421">
        <v>86.91298465143907266793512140</v>
      </c>
      <c r="P23" s="5"/>
      <c r="Q23" s="420">
        <v>7.018191779089575091088823700</v>
      </c>
      <c r="R23" s="91">
        <v>-15.644508187855806517017440110</v>
      </c>
      <c r="S23" s="421">
        <v>-9.724277996228177813868353840</v>
      </c>
      <c r="T23" s="420">
        <v>-7.6470883117225295893424872300</v>
      </c>
      <c r="U23" s="91">
        <v>-3.478719519982444310475508300</v>
      </c>
      <c r="V23" s="421">
        <v>-10.859787077408610367858602560</v>
      </c>
      <c r="W23" s="420">
        <v>0</v>
      </c>
      <c r="X23" s="91">
        <v>0</v>
      </c>
      <c r="Y23" s="421">
        <v>0</v>
      </c>
      <c r="Z23" s="420">
        <v>6.854514398814631400113718700</v>
      </c>
      <c r="AA23" s="91">
        <v>-13.236032336195396288191402340</v>
      </c>
      <c r="AB23" s="421">
        <v>-7.2887836796349173329542331400</v>
      </c>
    </row>
    <row r="24" ht="18.95" customHeight="1">
      <c r="A24" s="59"/>
      <c r="B24" s="286"/>
      <c r="C24" s="287" t="s">
        <v>225</v>
      </c>
      <c r="D24" s="271">
        <v>98.25495778522380282893685841</v>
      </c>
      <c r="E24" s="92">
        <v>76.202339368392582516497244500</v>
      </c>
      <c r="F24" s="272">
        <v>74.872576377750422766666662510</v>
      </c>
      <c r="G24" s="271">
        <v>157.25799462687423578065881470</v>
      </c>
      <c r="H24" s="92">
        <v>78.885877052509402078787861540</v>
      </c>
      <c r="I24" s="272">
        <v>124.05434829667831858546766572</v>
      </c>
      <c r="J24" s="271">
        <v>0</v>
      </c>
      <c r="K24" s="92">
        <v>0</v>
      </c>
      <c r="L24" s="272">
        <v>0</v>
      </c>
      <c r="M24" s="271">
        <v>105.57365066058408195095925359</v>
      </c>
      <c r="N24" s="92">
        <v>76.318113458171964346034551340</v>
      </c>
      <c r="O24" s="272">
        <v>80.57181849307462526023663548</v>
      </c>
      <c r="P24" s="93"/>
      <c r="Q24" s="271">
        <v>9.703516567016260908257290220</v>
      </c>
      <c r="R24" s="92">
        <v>-19.025758859468814712299170920</v>
      </c>
      <c r="S24" s="272">
        <v>-11.168409955424324428770208800</v>
      </c>
      <c r="T24" s="271">
        <v>-64.418786424755464419285954320</v>
      </c>
      <c r="U24" s="92">
        <v>7.0361179116330701217638352900</v>
      </c>
      <c r="V24" s="272">
        <v>-61.915250282910458813265371760</v>
      </c>
      <c r="W24" s="271">
        <v>0</v>
      </c>
      <c r="X24" s="92">
        <v>0</v>
      </c>
      <c r="Y24" s="272">
        <v>0</v>
      </c>
      <c r="Z24" s="271">
        <v>-3.3165539907241669428863180700</v>
      </c>
      <c r="AA24" s="92">
        <v>-16.382558270801864642519840590</v>
      </c>
      <c r="AB24" s="272">
        <v>-19.155775871367890516175962890</v>
      </c>
    </row>
    <row r="25" ht="18.95" customHeight="1">
      <c r="A25" s="60"/>
      <c r="B25" s="288"/>
      <c r="C25" s="289" t="s">
        <v>226</v>
      </c>
      <c r="D25" s="420">
        <v>92.33225170330653386515603530</v>
      </c>
      <c r="E25" s="91">
        <v>78.121401697356434412414967970</v>
      </c>
      <c r="F25" s="421">
        <v>72.131249249364834904229905330</v>
      </c>
      <c r="G25" s="420">
        <v>274.10022555653268792490208280</v>
      </c>
      <c r="H25" s="91">
        <v>77.436767524835639352580384370</v>
      </c>
      <c r="I25" s="421">
        <v>212.25435444948031318286890929</v>
      </c>
      <c r="J25" s="420">
        <v>0</v>
      </c>
      <c r="K25" s="91">
        <v>0</v>
      </c>
      <c r="L25" s="421">
        <v>0</v>
      </c>
      <c r="M25" s="420">
        <v>104.37089791928501605920960760</v>
      </c>
      <c r="N25" s="91">
        <v>78.128937917496798733279858980</v>
      </c>
      <c r="O25" s="421">
        <v>81.54387403931053522058979169</v>
      </c>
      <c r="P25" s="93"/>
      <c r="Q25" s="420">
        <v>-8.638614386653045872522057110</v>
      </c>
      <c r="R25" s="91">
        <v>-10.883247744286264307566789060</v>
      </c>
      <c r="S25" s="421">
        <v>-18.581700325571310306486985640</v>
      </c>
      <c r="T25" s="420">
        <v>-34.126230143719934217829425590</v>
      </c>
      <c r="U25" s="91">
        <v>7.993487026972178264662838070</v>
      </c>
      <c r="V25" s="421">
        <v>-28.860618895529113436958520870</v>
      </c>
      <c r="W25" s="420">
        <v>0</v>
      </c>
      <c r="X25" s="91">
        <v>0</v>
      </c>
      <c r="Y25" s="421">
        <v>0</v>
      </c>
      <c r="Z25" s="420">
        <v>-3.9415797224107564048029421800</v>
      </c>
      <c r="AA25" s="91">
        <v>-10.418321624352920745535600320</v>
      </c>
      <c r="AB25" s="421">
        <v>-13.949254894067557075874003820</v>
      </c>
    </row>
    <row r="26" ht="18.95" customHeight="1">
      <c r="A26" s="60"/>
      <c r="B26" s="290"/>
      <c r="C26" s="291" t="s">
        <v>228</v>
      </c>
      <c r="D26" s="273">
        <v>96.82960325183759149645169117</v>
      </c>
      <c r="E26" s="274">
        <v>77.253550549512228069881838910</v>
      </c>
      <c r="F26" s="275">
        <v>74.804306495045959969040107460</v>
      </c>
      <c r="G26" s="273">
        <v>317.09581362709231646209242718</v>
      </c>
      <c r="H26" s="274">
        <v>67.428331307876038477593816700</v>
      </c>
      <c r="I26" s="275">
        <v>213.81241577553176223958950055</v>
      </c>
      <c r="J26" s="273">
        <v>0</v>
      </c>
      <c r="K26" s="274">
        <v>0</v>
      </c>
      <c r="L26" s="275">
        <v>0</v>
      </c>
      <c r="M26" s="273">
        <v>105.17887020954597798388359892</v>
      </c>
      <c r="N26" s="274">
        <v>77.253382477727577437907543950</v>
      </c>
      <c r="O26" s="275">
        <v>81.25423488874877427020996552</v>
      </c>
      <c r="P26" s="184"/>
      <c r="Q26" s="273">
        <v>-14.459730556492653165411372080</v>
      </c>
      <c r="R26" s="274">
        <v>-8.988520832674483843189833780</v>
      </c>
      <c r="S26" s="275">
        <v>-22.148535495791532065339713800</v>
      </c>
      <c r="T26" s="273">
        <v>237.99578892509678705469905663</v>
      </c>
      <c r="U26" s="274">
        <v>1.0471390804115733902994890300</v>
      </c>
      <c r="V26" s="275">
        <v>241.53507491978801328207030758</v>
      </c>
      <c r="W26" s="273">
        <v>0</v>
      </c>
      <c r="X26" s="274">
        <v>0</v>
      </c>
      <c r="Y26" s="275">
        <v>0</v>
      </c>
      <c r="Z26" s="273">
        <v>-6.3924182650381304969332110500</v>
      </c>
      <c r="AA26" s="274">
        <v>-7.8032241937548212946595451300</v>
      </c>
      <c r="AB26" s="275">
        <v>-13.696827730153356284114824340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107.92432353543143856401472086</v>
      </c>
      <c r="E29" s="428">
        <v>81.82104516549723571390885535</v>
      </c>
      <c r="F29" s="429">
        <v>88.30480950453788111931390845</v>
      </c>
      <c r="G29" s="427">
        <v>276.73571133616091959652676436</v>
      </c>
      <c r="H29" s="428">
        <v>65.427806694250031503376465660</v>
      </c>
      <c r="I29" s="429">
        <v>181.06210626824655030103718681</v>
      </c>
      <c r="J29" s="427">
        <v>0</v>
      </c>
      <c r="K29" s="428">
        <v>0</v>
      </c>
      <c r="L29" s="429">
        <v>0</v>
      </c>
      <c r="M29" s="427">
        <v>117.53925398764642338523595758</v>
      </c>
      <c r="N29" s="428">
        <v>80.51554270858642077437471205</v>
      </c>
      <c r="O29" s="429">
        <v>94.63736824373616746987080097</v>
      </c>
      <c r="P29" s="5"/>
      <c r="Q29" s="427">
        <v>-13.260874070380903281443977710</v>
      </c>
      <c r="R29" s="428">
        <v>4.1217606020426169333448376400</v>
      </c>
      <c r="S29" s="429">
        <v>-9.685694951171194794634875450</v>
      </c>
      <c r="T29" s="427">
        <v>-46.689289589244652338192422930</v>
      </c>
      <c r="U29" s="428">
        <v>-7.6215920406803366759723504300</v>
      </c>
      <c r="V29" s="429">
        <v>-50.752414451280647773615778160</v>
      </c>
      <c r="W29" s="427">
        <v>0</v>
      </c>
      <c r="X29" s="428">
        <v>0</v>
      </c>
      <c r="Y29" s="429">
        <v>0</v>
      </c>
      <c r="Z29" s="427">
        <v>-15.234155086360567508262378280</v>
      </c>
      <c r="AA29" s="428">
        <v>4.2493657612193745484705546200</v>
      </c>
      <c r="AB29" s="429">
        <v>-11.632144295424584705733978080</v>
      </c>
    </row>
    <row r="30" ht="18.95" customHeight="1">
      <c r="A30" s="58"/>
      <c r="B30" s="286">
        <v>2024</v>
      </c>
      <c r="C30" s="287"/>
      <c r="D30" s="271">
        <v>101.04049340779483794781869781</v>
      </c>
      <c r="E30" s="92">
        <v>87.88251389566063684279547522</v>
      </c>
      <c r="F30" s="272">
        <v>88.79692565935452236892527754</v>
      </c>
      <c r="G30" s="271">
        <v>257.91523759118879225616701601</v>
      </c>
      <c r="H30" s="92">
        <v>78.983006437855364263078733390</v>
      </c>
      <c r="I30" s="272">
        <v>203.70920871240940976757760208</v>
      </c>
      <c r="J30" s="271">
        <v>0</v>
      </c>
      <c r="K30" s="92">
        <v>0</v>
      </c>
      <c r="L30" s="272">
        <v>0</v>
      </c>
      <c r="M30" s="271">
        <v>109.44299848431302516277237965</v>
      </c>
      <c r="N30" s="92">
        <v>87.54224602635381882089157968</v>
      </c>
      <c r="O30" s="272">
        <v>95.80885899177599792421077380</v>
      </c>
      <c r="P30" s="5"/>
      <c r="Q30" s="271">
        <v>-6.3783861710721896233352318100</v>
      </c>
      <c r="R30" s="92">
        <v>7.4082025203907645906365041200</v>
      </c>
      <c r="S30" s="272">
        <v>0.5572925841932133975517867300</v>
      </c>
      <c r="T30" s="271">
        <v>-6.8008836496517924691344434800</v>
      </c>
      <c r="U30" s="92">
        <v>20.717796344434511901056130880</v>
      </c>
      <c r="V30" s="272">
        <v>12.507919470826860782686334960</v>
      </c>
      <c r="W30" s="271">
        <v>0</v>
      </c>
      <c r="X30" s="92">
        <v>0</v>
      </c>
      <c r="Y30" s="272">
        <v>0</v>
      </c>
      <c r="Z30" s="271">
        <v>-6.8881290535850285725585461800</v>
      </c>
      <c r="AA30" s="92">
        <v>8.727138986300697030599186080</v>
      </c>
      <c r="AB30" s="272">
        <v>1.2378733367344922384029279200</v>
      </c>
    </row>
    <row r="31" ht="18.95" customHeight="1">
      <c r="A31" s="58"/>
      <c r="B31" s="425">
        <v>2025</v>
      </c>
      <c r="C31" s="426"/>
      <c r="D31" s="430">
        <v>98.26408578846923088202780490</v>
      </c>
      <c r="E31" s="431">
        <v>76.245292143631026304381307770</v>
      </c>
      <c r="F31" s="432">
        <v>74.921739281732861265849911100</v>
      </c>
      <c r="G31" s="430">
        <v>202.39450672096502994630569398</v>
      </c>
      <c r="H31" s="431">
        <v>77.499278952952589328924060430</v>
      </c>
      <c r="I31" s="432">
        <v>156.85428334854245522405208496</v>
      </c>
      <c r="J31" s="430">
        <v>0</v>
      </c>
      <c r="K31" s="431">
        <v>0</v>
      </c>
      <c r="L31" s="432">
        <v>0</v>
      </c>
      <c r="M31" s="430">
        <v>107.39735053315722505187646914</v>
      </c>
      <c r="N31" s="431">
        <v>76.760420791399692961396509300</v>
      </c>
      <c r="O31" s="432">
        <v>82.43865818808033565481082644</v>
      </c>
      <c r="P31" s="184"/>
      <c r="Q31" s="430">
        <v>-2.7478167670115904344399124300</v>
      </c>
      <c r="R31" s="431">
        <v>-13.241794341340946611560633720</v>
      </c>
      <c r="S31" s="432">
        <v>-15.625750863141868417845109560</v>
      </c>
      <c r="T31" s="430">
        <v>-21.526735445633601747658069730</v>
      </c>
      <c r="U31" s="431">
        <v>-1.8785401466250643448601877800</v>
      </c>
      <c r="V31" s="432">
        <v>-23.000887225480364236468780650</v>
      </c>
      <c r="W31" s="430">
        <v>0</v>
      </c>
      <c r="X31" s="431">
        <v>0</v>
      </c>
      <c r="Y31" s="432">
        <v>0</v>
      </c>
      <c r="Z31" s="430">
        <v>-1.8691446501588958732691132500</v>
      </c>
      <c r="AA31" s="431">
        <v>-12.316139606183791746182716950</v>
      </c>
      <c r="AB31" s="432">
        <v>-13.955077791777043001957565410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108.64328046990118494318996132</v>
      </c>
      <c r="E34" s="428">
        <v>81.63694190067789419193699877</v>
      </c>
      <c r="F34" s="429">
        <v>88.69305175616092394680151096</v>
      </c>
      <c r="G34" s="427">
        <v>228.05875609822600266769175453</v>
      </c>
      <c r="H34" s="428">
        <v>62.614550840556200495693912250</v>
      </c>
      <c r="I34" s="429">
        <v>142.79796578326633035310924881</v>
      </c>
      <c r="J34" s="427">
        <v>0</v>
      </c>
      <c r="K34" s="428">
        <v>0</v>
      </c>
      <c r="L34" s="429">
        <v>0</v>
      </c>
      <c r="M34" s="427">
        <v>115.57938412322484612305695348</v>
      </c>
      <c r="N34" s="428">
        <v>80.07995787113638985065060543</v>
      </c>
      <c r="O34" s="429">
        <v>92.55592211355636721935440330</v>
      </c>
      <c r="P34" s="5"/>
      <c r="Q34" s="427">
        <v>-5.6834959204995766400184999200</v>
      </c>
      <c r="R34" s="428">
        <v>0.144309250547725314980255500</v>
      </c>
      <c r="S34" s="429">
        <v>-5.5473884802528989318772108300</v>
      </c>
      <c r="T34" s="427">
        <v>-47.957758393946679235953781990</v>
      </c>
      <c r="U34" s="428">
        <v>-13.121471713411844936306296490</v>
      </c>
      <c r="V34" s="429">
        <v>-54.786466405534695008573165740</v>
      </c>
      <c r="W34" s="427">
        <v>0</v>
      </c>
      <c r="X34" s="428">
        <v>0</v>
      </c>
      <c r="Y34" s="429">
        <v>0</v>
      </c>
      <c r="Z34" s="427">
        <v>-10.140946927301406992856343980</v>
      </c>
      <c r="AA34" s="428">
        <v>0.3807217800067228806508588500</v>
      </c>
      <c r="AB34" s="429">
        <v>-9.798833941053648006049104710</v>
      </c>
    </row>
    <row r="35" ht="18.95" customHeight="1">
      <c r="A35" s="58"/>
      <c r="B35" s="286">
        <v>2024</v>
      </c>
      <c r="C35" s="287"/>
      <c r="D35" s="271">
        <v>101.34226423580889837863809158</v>
      </c>
      <c r="E35" s="92">
        <v>88.12938999228543242888584438</v>
      </c>
      <c r="F35" s="272">
        <v>89.31231927538615554400641500</v>
      </c>
      <c r="G35" s="271">
        <v>316.82194747598455970634810487</v>
      </c>
      <c r="H35" s="92">
        <v>73.553863416720284277128041380</v>
      </c>
      <c r="I35" s="272">
        <v>233.03478252323392879488754711</v>
      </c>
      <c r="J35" s="271">
        <v>0</v>
      </c>
      <c r="K35" s="92">
        <v>0</v>
      </c>
      <c r="L35" s="272">
        <v>0</v>
      </c>
      <c r="M35" s="271">
        <v>110.05285842385515278950408558</v>
      </c>
      <c r="N35" s="92">
        <v>87.63702608382439958020341128</v>
      </c>
      <c r="O35" s="272">
        <v>96.44705224283290958781541211</v>
      </c>
      <c r="P35" s="5"/>
      <c r="Q35" s="271">
        <v>-6.7201728468737407540551064100</v>
      </c>
      <c r="R35" s="92">
        <v>7.952831084097434339706889900</v>
      </c>
      <c r="S35" s="272">
        <v>0.6982142421803253161725093400</v>
      </c>
      <c r="T35" s="271">
        <v>38.921194211707419376808062150</v>
      </c>
      <c r="U35" s="92">
        <v>17.470879259309654422767689460</v>
      </c>
      <c r="V35" s="272">
        <v>63.191948320097837251084907210</v>
      </c>
      <c r="W35" s="271">
        <v>0</v>
      </c>
      <c r="X35" s="92">
        <v>0</v>
      </c>
      <c r="Y35" s="272">
        <v>0</v>
      </c>
      <c r="Z35" s="271">
        <v>-4.7815843121762401311074530200</v>
      </c>
      <c r="AA35" s="92">
        <v>9.436903332152806542866042600</v>
      </c>
      <c r="AB35" s="272">
        <v>4.2040855305369530273010877400</v>
      </c>
    </row>
    <row r="36" ht="18.95" customHeight="1">
      <c r="A36" s="58"/>
      <c r="B36" s="425">
        <v>2025</v>
      </c>
      <c r="C36" s="426"/>
      <c r="D36" s="430">
        <v>95.68008722330930856184939257</v>
      </c>
      <c r="E36" s="431">
        <v>77.248971234052251790096223720</v>
      </c>
      <c r="F36" s="432">
        <v>73.911883055820287299306296580</v>
      </c>
      <c r="G36" s="430">
        <v>220.60244772506973111751964429</v>
      </c>
      <c r="H36" s="431">
        <v>75.045184151215905498889341190</v>
      </c>
      <c r="I36" s="432">
        <v>165.55151313836557402763713856</v>
      </c>
      <c r="J36" s="430">
        <v>0</v>
      </c>
      <c r="K36" s="431">
        <v>0</v>
      </c>
      <c r="L36" s="432">
        <v>0</v>
      </c>
      <c r="M36" s="430">
        <v>105.02280945882945814113819046</v>
      </c>
      <c r="N36" s="431">
        <v>77.227071202730526330424357660</v>
      </c>
      <c r="O36" s="432">
        <v>81.10603983988759653518219915</v>
      </c>
      <c r="P36" s="184"/>
      <c r="Q36" s="430">
        <v>-5.5871822631830246673441549200</v>
      </c>
      <c r="R36" s="431">
        <v>-12.345959457110036831187926200</v>
      </c>
      <c r="S36" s="432">
        <v>-17.243350463323570765977523810</v>
      </c>
      <c r="T36" s="430">
        <v>-30.370212833256799534843458910</v>
      </c>
      <c r="U36" s="431">
        <v>2.0275219617863190735825113800</v>
      </c>
      <c r="V36" s="432">
        <v>-28.958453606862771541656318380</v>
      </c>
      <c r="W36" s="430">
        <v>0</v>
      </c>
      <c r="X36" s="431">
        <v>0</v>
      </c>
      <c r="Y36" s="432">
        <v>0</v>
      </c>
      <c r="Z36" s="430">
        <v>-4.5705754826429608833405292900</v>
      </c>
      <c r="AA36" s="431">
        <v>-11.878489431071405282896985470</v>
      </c>
      <c r="AB36" s="432">
        <v>-15.906149587954510279136629180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113.70440849950932749574348892</v>
      </c>
      <c r="E39" s="428">
        <v>84.02449005484328974030627714</v>
      </c>
      <c r="F39" s="429">
        <v>95.53954941166763028838280233</v>
      </c>
      <c r="G39" s="427">
        <v>284.50660987620375408036501686</v>
      </c>
      <c r="H39" s="428">
        <v>80.62556098629553284593667497</v>
      </c>
      <c r="I39" s="429">
        <v>229.38505025539046690011158297</v>
      </c>
      <c r="J39" s="427">
        <v>0</v>
      </c>
      <c r="K39" s="428">
        <v>0</v>
      </c>
      <c r="L39" s="429">
        <v>0</v>
      </c>
      <c r="M39" s="427">
        <v>121.85083492397695372972683754</v>
      </c>
      <c r="N39" s="428">
        <v>84.39786367259215355648512919</v>
      </c>
      <c r="O39" s="429">
        <v>102.83950154310838279815824884</v>
      </c>
      <c r="P39" s="5"/>
      <c r="Q39" s="427">
        <v>-10.353472030160261658886005510</v>
      </c>
      <c r="R39" s="428">
        <v>4.3117698102830619118458156300</v>
      </c>
      <c r="S39" s="429">
        <v>-6.4881201012378433253191128700</v>
      </c>
      <c r="T39" s="427">
        <v>-9.860696214968110178755604310</v>
      </c>
      <c r="U39" s="428">
        <v>-3.8157560844830863194186832100</v>
      </c>
      <c r="V39" s="429">
        <v>-13.300192181645023593317094380</v>
      </c>
      <c r="W39" s="427">
        <v>0</v>
      </c>
      <c r="X39" s="428">
        <v>0</v>
      </c>
      <c r="Y39" s="429">
        <v>0</v>
      </c>
      <c r="Z39" s="427">
        <v>-8.056917155818995565425736570</v>
      </c>
      <c r="AA39" s="428">
        <v>4.568757274744487491306871600</v>
      </c>
      <c r="AB39" s="429">
        <v>-3.8562608696803853159398529600</v>
      </c>
    </row>
    <row r="40" ht="18.95" customHeight="1">
      <c r="A40" s="58"/>
      <c r="B40" s="286">
        <v>2024</v>
      </c>
      <c r="C40" s="287"/>
      <c r="D40" s="271">
        <v>104.58648516730274222796047691</v>
      </c>
      <c r="E40" s="92">
        <v>85.00288518060742679170611158</v>
      </c>
      <c r="F40" s="272">
        <v>88.90152990114992175283880243</v>
      </c>
      <c r="G40" s="271">
        <v>275.18454020068938827402098311</v>
      </c>
      <c r="H40" s="92">
        <v>88.18536745687703175328120365</v>
      </c>
      <c r="I40" s="272">
        <v>242.67249796531524997405345849</v>
      </c>
      <c r="J40" s="271">
        <v>0</v>
      </c>
      <c r="K40" s="92">
        <v>0</v>
      </c>
      <c r="L40" s="272">
        <v>0</v>
      </c>
      <c r="M40" s="271">
        <v>111.63980416693219202547162464</v>
      </c>
      <c r="N40" s="92">
        <v>86.36391873704639516807266891</v>
      </c>
      <c r="O40" s="272">
        <v>96.41650974889724438272485870</v>
      </c>
      <c r="P40" s="5"/>
      <c r="Q40" s="271">
        <v>-8.018970814343889424578680730</v>
      </c>
      <c r="R40" s="92">
        <v>1.1644166184993523730622661100</v>
      </c>
      <c r="S40" s="272">
        <v>-6.947928424851007954883268100</v>
      </c>
      <c r="T40" s="271">
        <v>-3.2765740239100280895335372600</v>
      </c>
      <c r="U40" s="92">
        <v>9.376438908575909175696902380</v>
      </c>
      <c r="V40" s="272">
        <v>5.7926389253008642711611114800</v>
      </c>
      <c r="W40" s="271">
        <v>0</v>
      </c>
      <c r="X40" s="92">
        <v>0</v>
      </c>
      <c r="Y40" s="272">
        <v>0</v>
      </c>
      <c r="Z40" s="271">
        <v>-8.379943201404048488954098850</v>
      </c>
      <c r="AA40" s="92">
        <v>2.3295080928507914182119111600</v>
      </c>
      <c r="AB40" s="272">
        <v>-6.2456465636513046967088118100</v>
      </c>
    </row>
    <row r="41" ht="18.95" customHeight="1">
      <c r="A41" s="58"/>
      <c r="B41" s="425">
        <v>2025</v>
      </c>
      <c r="C41" s="426"/>
      <c r="D41" s="430">
        <v>103.13980187242902145816295412</v>
      </c>
      <c r="E41" s="431">
        <v>74.246683403070786629673134170</v>
      </c>
      <c r="F41" s="432">
        <v>76.577882158773897043824781670</v>
      </c>
      <c r="G41" s="430">
        <v>220.10533816315246281308441746</v>
      </c>
      <c r="H41" s="431">
        <v>78.679438224769938621632504110</v>
      </c>
      <c r="I41" s="432">
        <v>173.17764357105659829944327492</v>
      </c>
      <c r="J41" s="430">
        <v>0</v>
      </c>
      <c r="K41" s="431">
        <v>0</v>
      </c>
      <c r="L41" s="432">
        <v>0</v>
      </c>
      <c r="M41" s="430">
        <v>110.70264817823526288700380406</v>
      </c>
      <c r="N41" s="431">
        <v>75.44608985198374179540569400</v>
      </c>
      <c r="O41" s="432">
        <v>83.52081941308867969968748479</v>
      </c>
      <c r="P41" s="184"/>
      <c r="Q41" s="430">
        <v>-1.3832411449307394797405407900</v>
      </c>
      <c r="R41" s="431">
        <v>-12.653925516382442652081955100</v>
      </c>
      <c r="S41" s="432">
        <v>-13.862132357042394947859892780</v>
      </c>
      <c r="T41" s="430">
        <v>-20.015369321756480563243242530</v>
      </c>
      <c r="U41" s="431">
        <v>-10.779485878738351679606852540</v>
      </c>
      <c r="V41" s="432">
        <v>-28.637301291628252513703356980</v>
      </c>
      <c r="W41" s="430">
        <v>0</v>
      </c>
      <c r="X41" s="431">
        <v>0</v>
      </c>
      <c r="Y41" s="432">
        <v>0</v>
      </c>
      <c r="Z41" s="430">
        <v>-0.8394461058563857406287529300</v>
      </c>
      <c r="AA41" s="431">
        <v>-12.641655270719953742010925120</v>
      </c>
      <c r="AB41" s="432">
        <v>-13.374981493725399136576290140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2023</v>
      </c>
      <c r="C9" s="285" t="s">
        <v>218</v>
      </c>
      <c r="D9" s="415" t="s">
        <v>239</v>
      </c>
      <c r="E9" s="416" t="s">
        <v>231</v>
      </c>
      <c r="F9" s="417" t="s">
        <v>232</v>
      </c>
      <c r="G9" s="415" t="s">
        <v>237</v>
      </c>
      <c r="H9" s="416" t="s">
        <v>231</v>
      </c>
      <c r="I9" s="417" t="s">
        <v>231</v>
      </c>
      <c r="J9" s="415" t="s">
        <v>265</v>
      </c>
      <c r="K9" s="416" t="s">
        <v>265</v>
      </c>
      <c r="L9" s="417" t="s">
        <v>265</v>
      </c>
      <c r="M9" s="415" t="s">
        <v>219</v>
      </c>
      <c r="N9" s="416" t="s">
        <v>220</v>
      </c>
      <c r="O9" s="417" t="s">
        <v>221</v>
      </c>
      <c r="P9" s="5"/>
      <c r="Q9" s="415" t="s">
        <v>239</v>
      </c>
      <c r="R9" s="416" t="s">
        <v>237</v>
      </c>
      <c r="S9" s="417" t="s">
        <v>239</v>
      </c>
      <c r="T9" s="415" t="s">
        <v>231</v>
      </c>
      <c r="U9" s="416" t="s">
        <v>237</v>
      </c>
      <c r="V9" s="417" t="s">
        <v>231</v>
      </c>
      <c r="W9" s="415"/>
      <c r="X9" s="416"/>
      <c r="Y9" s="417"/>
      <c r="Z9" s="415" t="s">
        <v>238</v>
      </c>
      <c r="AA9" s="416" t="s">
        <v>227</v>
      </c>
      <c r="AB9" s="417" t="s">
        <v>238</v>
      </c>
    </row>
    <row r="10" ht="18.95" customHeight="1">
      <c r="A10" s="58"/>
      <c r="B10" s="286"/>
      <c r="C10" s="287" t="s">
        <v>222</v>
      </c>
      <c r="D10" s="271" t="s">
        <v>219</v>
      </c>
      <c r="E10" s="92" t="s">
        <v>221</v>
      </c>
      <c r="F10" s="272" t="s">
        <v>221</v>
      </c>
      <c r="G10" s="271" t="s">
        <v>227</v>
      </c>
      <c r="H10" s="92" t="s">
        <v>221</v>
      </c>
      <c r="I10" s="272" t="s">
        <v>227</v>
      </c>
      <c r="J10" s="271" t="s">
        <v>265</v>
      </c>
      <c r="K10" s="92" t="s">
        <v>265</v>
      </c>
      <c r="L10" s="272" t="s">
        <v>265</v>
      </c>
      <c r="M10" s="271" t="s">
        <v>223</v>
      </c>
      <c r="N10" s="92" t="s">
        <v>221</v>
      </c>
      <c r="O10" s="272" t="s">
        <v>221</v>
      </c>
      <c r="P10" s="5"/>
      <c r="Q10" s="271" t="s">
        <v>239</v>
      </c>
      <c r="R10" s="92" t="s">
        <v>240</v>
      </c>
      <c r="S10" s="272" t="s">
        <v>239</v>
      </c>
      <c r="T10" s="271" t="s">
        <v>232</v>
      </c>
      <c r="U10" s="92" t="s">
        <v>237</v>
      </c>
      <c r="V10" s="272" t="s">
        <v>232</v>
      </c>
      <c r="W10" s="271"/>
      <c r="X10" s="92"/>
      <c r="Y10" s="272"/>
      <c r="Z10" s="271" t="s">
        <v>238</v>
      </c>
      <c r="AA10" s="92" t="s">
        <v>223</v>
      </c>
      <c r="AB10" s="272" t="s">
        <v>238</v>
      </c>
    </row>
    <row r="11" ht="18.95" customHeight="1">
      <c r="A11" s="58"/>
      <c r="B11" s="288">
        <v>2024</v>
      </c>
      <c r="C11" s="289" t="s">
        <v>224</v>
      </c>
      <c r="D11" s="420" t="s">
        <v>219</v>
      </c>
      <c r="E11" s="91" t="s">
        <v>221</v>
      </c>
      <c r="F11" s="421" t="s">
        <v>221</v>
      </c>
      <c r="G11" s="420" t="s">
        <v>227</v>
      </c>
      <c r="H11" s="91" t="s">
        <v>221</v>
      </c>
      <c r="I11" s="421" t="s">
        <v>221</v>
      </c>
      <c r="J11" s="420" t="s">
        <v>265</v>
      </c>
      <c r="K11" s="91" t="s">
        <v>265</v>
      </c>
      <c r="L11" s="421" t="s">
        <v>265</v>
      </c>
      <c r="M11" s="420" t="s">
        <v>221</v>
      </c>
      <c r="N11" s="91" t="s">
        <v>221</v>
      </c>
      <c r="O11" s="421" t="s">
        <v>221</v>
      </c>
      <c r="P11" s="5"/>
      <c r="Q11" s="420" t="s">
        <v>231</v>
      </c>
      <c r="R11" s="91" t="s">
        <v>231</v>
      </c>
      <c r="S11" s="421" t="s">
        <v>231</v>
      </c>
      <c r="T11" s="420" t="s">
        <v>240</v>
      </c>
      <c r="U11" s="91" t="s">
        <v>231</v>
      </c>
      <c r="V11" s="421" t="s">
        <v>240</v>
      </c>
      <c r="W11" s="420"/>
      <c r="X11" s="91"/>
      <c r="Y11" s="421"/>
      <c r="Z11" s="420" t="s">
        <v>238</v>
      </c>
      <c r="AA11" s="91" t="s">
        <v>220</v>
      </c>
      <c r="AB11" s="421" t="s">
        <v>238</v>
      </c>
    </row>
    <row r="12" ht="18.95" customHeight="1">
      <c r="A12" s="58"/>
      <c r="B12" s="286"/>
      <c r="C12" s="287" t="s">
        <v>225</v>
      </c>
      <c r="D12" s="271" t="s">
        <v>238</v>
      </c>
      <c r="E12" s="92" t="s">
        <v>221</v>
      </c>
      <c r="F12" s="272" t="s">
        <v>221</v>
      </c>
      <c r="G12" s="271" t="s">
        <v>227</v>
      </c>
      <c r="H12" s="92" t="s">
        <v>221</v>
      </c>
      <c r="I12" s="272" t="s">
        <v>227</v>
      </c>
      <c r="J12" s="271" t="s">
        <v>265</v>
      </c>
      <c r="K12" s="92" t="s">
        <v>265</v>
      </c>
      <c r="L12" s="272" t="s">
        <v>265</v>
      </c>
      <c r="M12" s="271" t="s">
        <v>221</v>
      </c>
      <c r="N12" s="92" t="s">
        <v>221</v>
      </c>
      <c r="O12" s="272" t="s">
        <v>221</v>
      </c>
      <c r="P12" s="5"/>
      <c r="Q12" s="271" t="s">
        <v>239</v>
      </c>
      <c r="R12" s="92" t="s">
        <v>237</v>
      </c>
      <c r="S12" s="272" t="s">
        <v>239</v>
      </c>
      <c r="T12" s="271" t="s">
        <v>231</v>
      </c>
      <c r="U12" s="92" t="s">
        <v>231</v>
      </c>
      <c r="V12" s="272" t="s">
        <v>231</v>
      </c>
      <c r="W12" s="271"/>
      <c r="X12" s="92"/>
      <c r="Y12" s="272"/>
      <c r="Z12" s="271" t="s">
        <v>219</v>
      </c>
      <c r="AA12" s="92" t="s">
        <v>227</v>
      </c>
      <c r="AB12" s="272" t="s">
        <v>220</v>
      </c>
    </row>
    <row r="13" ht="18.95" customHeight="1">
      <c r="A13" s="58"/>
      <c r="B13" s="288"/>
      <c r="C13" s="289" t="s">
        <v>226</v>
      </c>
      <c r="D13" s="420" t="s">
        <v>221</v>
      </c>
      <c r="E13" s="91" t="s">
        <v>221</v>
      </c>
      <c r="F13" s="421" t="s">
        <v>221</v>
      </c>
      <c r="G13" s="420" t="s">
        <v>227</v>
      </c>
      <c r="H13" s="91" t="s">
        <v>220</v>
      </c>
      <c r="I13" s="421" t="s">
        <v>227</v>
      </c>
      <c r="J13" s="420" t="s">
        <v>265</v>
      </c>
      <c r="K13" s="91" t="s">
        <v>265</v>
      </c>
      <c r="L13" s="421" t="s">
        <v>265</v>
      </c>
      <c r="M13" s="420" t="s">
        <v>227</v>
      </c>
      <c r="N13" s="91" t="s">
        <v>221</v>
      </c>
      <c r="O13" s="421" t="s">
        <v>221</v>
      </c>
      <c r="P13" s="5"/>
      <c r="Q13" s="420" t="s">
        <v>231</v>
      </c>
      <c r="R13" s="91" t="s">
        <v>231</v>
      </c>
      <c r="S13" s="421" t="s">
        <v>237</v>
      </c>
      <c r="T13" s="420" t="s">
        <v>240</v>
      </c>
      <c r="U13" s="91" t="s">
        <v>231</v>
      </c>
      <c r="V13" s="421" t="s">
        <v>232</v>
      </c>
      <c r="W13" s="420"/>
      <c r="X13" s="91"/>
      <c r="Y13" s="421"/>
      <c r="Z13" s="420" t="s">
        <v>223</v>
      </c>
      <c r="AA13" s="91" t="s">
        <v>221</v>
      </c>
      <c r="AB13" s="421" t="s">
        <v>221</v>
      </c>
    </row>
    <row r="14" ht="18.95" customHeight="1">
      <c r="A14" s="58"/>
      <c r="B14" s="286"/>
      <c r="C14" s="287" t="s">
        <v>228</v>
      </c>
      <c r="D14" s="271" t="s">
        <v>227</v>
      </c>
      <c r="E14" s="92" t="s">
        <v>221</v>
      </c>
      <c r="F14" s="272" t="s">
        <v>221</v>
      </c>
      <c r="G14" s="271" t="s">
        <v>220</v>
      </c>
      <c r="H14" s="92" t="s">
        <v>221</v>
      </c>
      <c r="I14" s="272" t="s">
        <v>220</v>
      </c>
      <c r="J14" s="271" t="s">
        <v>265</v>
      </c>
      <c r="K14" s="92" t="s">
        <v>265</v>
      </c>
      <c r="L14" s="272" t="s">
        <v>265</v>
      </c>
      <c r="M14" s="271" t="s">
        <v>227</v>
      </c>
      <c r="N14" s="92" t="s">
        <v>221</v>
      </c>
      <c r="O14" s="272" t="s">
        <v>221</v>
      </c>
      <c r="P14" s="5"/>
      <c r="Q14" s="271" t="s">
        <v>231</v>
      </c>
      <c r="R14" s="92" t="s">
        <v>237</v>
      </c>
      <c r="S14" s="272" t="s">
        <v>237</v>
      </c>
      <c r="T14" s="271" t="s">
        <v>240</v>
      </c>
      <c r="U14" s="92" t="s">
        <v>237</v>
      </c>
      <c r="V14" s="272" t="s">
        <v>240</v>
      </c>
      <c r="W14" s="271"/>
      <c r="X14" s="92"/>
      <c r="Y14" s="272"/>
      <c r="Z14" s="271" t="s">
        <v>220</v>
      </c>
      <c r="AA14" s="92" t="s">
        <v>227</v>
      </c>
      <c r="AB14" s="272" t="s">
        <v>221</v>
      </c>
    </row>
    <row r="15" ht="18.95" customHeight="1">
      <c r="A15" s="58"/>
      <c r="B15" s="288"/>
      <c r="C15" s="289" t="s">
        <v>229</v>
      </c>
      <c r="D15" s="420" t="s">
        <v>220</v>
      </c>
      <c r="E15" s="91" t="s">
        <v>220</v>
      </c>
      <c r="F15" s="421" t="s">
        <v>220</v>
      </c>
      <c r="G15" s="420" t="s">
        <v>227</v>
      </c>
      <c r="H15" s="91" t="s">
        <v>221</v>
      </c>
      <c r="I15" s="421" t="s">
        <v>227</v>
      </c>
      <c r="J15" s="420" t="s">
        <v>265</v>
      </c>
      <c r="K15" s="91" t="s">
        <v>265</v>
      </c>
      <c r="L15" s="421" t="s">
        <v>265</v>
      </c>
      <c r="M15" s="420" t="s">
        <v>221</v>
      </c>
      <c r="N15" s="91" t="s">
        <v>221</v>
      </c>
      <c r="O15" s="421" t="s">
        <v>221</v>
      </c>
      <c r="P15" s="5"/>
      <c r="Q15" s="420" t="s">
        <v>232</v>
      </c>
      <c r="R15" s="91" t="s">
        <v>240</v>
      </c>
      <c r="S15" s="421" t="s">
        <v>232</v>
      </c>
      <c r="T15" s="420" t="s">
        <v>237</v>
      </c>
      <c r="U15" s="91" t="s">
        <v>231</v>
      </c>
      <c r="V15" s="421" t="s">
        <v>237</v>
      </c>
      <c r="W15" s="420"/>
      <c r="X15" s="91"/>
      <c r="Y15" s="421"/>
      <c r="Z15" s="420" t="s">
        <v>223</v>
      </c>
      <c r="AA15" s="91" t="s">
        <v>223</v>
      </c>
      <c r="AB15" s="421" t="s">
        <v>223</v>
      </c>
    </row>
    <row r="16" ht="18.95" customHeight="1">
      <c r="A16" s="58"/>
      <c r="B16" s="286"/>
      <c r="C16" s="287" t="s">
        <v>230</v>
      </c>
      <c r="D16" s="271" t="s">
        <v>232</v>
      </c>
      <c r="E16" s="92" t="s">
        <v>232</v>
      </c>
      <c r="F16" s="272" t="s">
        <v>232</v>
      </c>
      <c r="G16" s="271" t="s">
        <v>237</v>
      </c>
      <c r="H16" s="92" t="s">
        <v>232</v>
      </c>
      <c r="I16" s="272" t="s">
        <v>237</v>
      </c>
      <c r="J16" s="271" t="s">
        <v>265</v>
      </c>
      <c r="K16" s="92" t="s">
        <v>265</v>
      </c>
      <c r="L16" s="272" t="s">
        <v>265</v>
      </c>
      <c r="M16" s="271" t="s">
        <v>231</v>
      </c>
      <c r="N16" s="92" t="s">
        <v>232</v>
      </c>
      <c r="O16" s="272" t="s">
        <v>231</v>
      </c>
      <c r="P16" s="5"/>
      <c r="Q16" s="271" t="s">
        <v>239</v>
      </c>
      <c r="R16" s="92" t="s">
        <v>232</v>
      </c>
      <c r="S16" s="272" t="s">
        <v>239</v>
      </c>
      <c r="T16" s="271" t="s">
        <v>231</v>
      </c>
      <c r="U16" s="92" t="s">
        <v>240</v>
      </c>
      <c r="V16" s="272" t="s">
        <v>231</v>
      </c>
      <c r="W16" s="271"/>
      <c r="X16" s="92"/>
      <c r="Y16" s="272"/>
      <c r="Z16" s="271" t="s">
        <v>239</v>
      </c>
      <c r="AA16" s="92" t="s">
        <v>232</v>
      </c>
      <c r="AB16" s="272" t="s">
        <v>239</v>
      </c>
    </row>
    <row r="17" ht="18.95" customHeight="1">
      <c r="A17" s="58"/>
      <c r="B17" s="288"/>
      <c r="C17" s="289" t="s">
        <v>233</v>
      </c>
      <c r="D17" s="420" t="s">
        <v>231</v>
      </c>
      <c r="E17" s="91" t="s">
        <v>232</v>
      </c>
      <c r="F17" s="421" t="s">
        <v>232</v>
      </c>
      <c r="G17" s="420" t="s">
        <v>231</v>
      </c>
      <c r="H17" s="91" t="s">
        <v>237</v>
      </c>
      <c r="I17" s="421" t="s">
        <v>231</v>
      </c>
      <c r="J17" s="420" t="s">
        <v>265</v>
      </c>
      <c r="K17" s="91" t="s">
        <v>265</v>
      </c>
      <c r="L17" s="421" t="s">
        <v>265</v>
      </c>
      <c r="M17" s="420" t="s">
        <v>232</v>
      </c>
      <c r="N17" s="91" t="s">
        <v>232</v>
      </c>
      <c r="O17" s="421" t="s">
        <v>232</v>
      </c>
      <c r="P17" s="5"/>
      <c r="Q17" s="420" t="s">
        <v>239</v>
      </c>
      <c r="R17" s="91" t="s">
        <v>231</v>
      </c>
      <c r="S17" s="421" t="s">
        <v>239</v>
      </c>
      <c r="T17" s="420" t="s">
        <v>237</v>
      </c>
      <c r="U17" s="91" t="s">
        <v>237</v>
      </c>
      <c r="V17" s="421" t="s">
        <v>237</v>
      </c>
      <c r="W17" s="420"/>
      <c r="X17" s="91"/>
      <c r="Y17" s="421"/>
      <c r="Z17" s="420" t="s">
        <v>239</v>
      </c>
      <c r="AA17" s="91" t="s">
        <v>231</v>
      </c>
      <c r="AB17" s="421" t="s">
        <v>239</v>
      </c>
    </row>
    <row r="18" ht="18.95" customHeight="1">
      <c r="A18" s="58"/>
      <c r="B18" s="286"/>
      <c r="C18" s="287" t="s">
        <v>234</v>
      </c>
      <c r="D18" s="271" t="s">
        <v>231</v>
      </c>
      <c r="E18" s="92" t="s">
        <v>232</v>
      </c>
      <c r="F18" s="272" t="s">
        <v>232</v>
      </c>
      <c r="G18" s="271" t="s">
        <v>237</v>
      </c>
      <c r="H18" s="92" t="s">
        <v>231</v>
      </c>
      <c r="I18" s="272" t="s">
        <v>231</v>
      </c>
      <c r="J18" s="271" t="s">
        <v>265</v>
      </c>
      <c r="K18" s="92" t="s">
        <v>265</v>
      </c>
      <c r="L18" s="272" t="s">
        <v>265</v>
      </c>
      <c r="M18" s="271" t="s">
        <v>231</v>
      </c>
      <c r="N18" s="92" t="s">
        <v>232</v>
      </c>
      <c r="O18" s="272" t="s">
        <v>232</v>
      </c>
      <c r="P18" s="5"/>
      <c r="Q18" s="271" t="s">
        <v>240</v>
      </c>
      <c r="R18" s="92" t="s">
        <v>232</v>
      </c>
      <c r="S18" s="272" t="s">
        <v>232</v>
      </c>
      <c r="T18" s="271" t="s">
        <v>237</v>
      </c>
      <c r="U18" s="92" t="s">
        <v>239</v>
      </c>
      <c r="V18" s="272" t="s">
        <v>237</v>
      </c>
      <c r="W18" s="271"/>
      <c r="X18" s="92"/>
      <c r="Y18" s="272"/>
      <c r="Z18" s="271" t="s">
        <v>232</v>
      </c>
      <c r="AA18" s="92" t="s">
        <v>232</v>
      </c>
      <c r="AB18" s="272" t="s">
        <v>232</v>
      </c>
    </row>
    <row r="19" ht="18.95" customHeight="1">
      <c r="A19" s="58"/>
      <c r="B19" s="288"/>
      <c r="C19" s="289" t="s">
        <v>235</v>
      </c>
      <c r="D19" s="420" t="s">
        <v>232</v>
      </c>
      <c r="E19" s="91" t="s">
        <v>232</v>
      </c>
      <c r="F19" s="421" t="s">
        <v>232</v>
      </c>
      <c r="G19" s="420" t="s">
        <v>237</v>
      </c>
      <c r="H19" s="91" t="s">
        <v>231</v>
      </c>
      <c r="I19" s="421" t="s">
        <v>231</v>
      </c>
      <c r="J19" s="420" t="s">
        <v>265</v>
      </c>
      <c r="K19" s="91" t="s">
        <v>265</v>
      </c>
      <c r="L19" s="421" t="s">
        <v>265</v>
      </c>
      <c r="M19" s="420" t="s">
        <v>232</v>
      </c>
      <c r="N19" s="91" t="s">
        <v>231</v>
      </c>
      <c r="O19" s="421" t="s">
        <v>232</v>
      </c>
      <c r="P19" s="5"/>
      <c r="Q19" s="420" t="s">
        <v>239</v>
      </c>
      <c r="R19" s="91" t="s">
        <v>232</v>
      </c>
      <c r="S19" s="421" t="s">
        <v>239</v>
      </c>
      <c r="T19" s="420" t="s">
        <v>232</v>
      </c>
      <c r="U19" s="91" t="s">
        <v>237</v>
      </c>
      <c r="V19" s="421" t="s">
        <v>232</v>
      </c>
      <c r="W19" s="420"/>
      <c r="X19" s="91"/>
      <c r="Y19" s="421"/>
      <c r="Z19" s="420" t="s">
        <v>239</v>
      </c>
      <c r="AA19" s="91" t="s">
        <v>231</v>
      </c>
      <c r="AB19" s="421" t="s">
        <v>240</v>
      </c>
    </row>
    <row r="20" ht="18.95" customHeight="1">
      <c r="A20" s="58"/>
      <c r="B20" s="286"/>
      <c r="C20" s="287" t="s">
        <v>236</v>
      </c>
      <c r="D20" s="271" t="s">
        <v>295</v>
      </c>
      <c r="E20" s="92" t="s">
        <v>295</v>
      </c>
      <c r="F20" s="272" t="s">
        <v>296</v>
      </c>
      <c r="G20" s="271" t="s">
        <v>297</v>
      </c>
      <c r="H20" s="92" t="s">
        <v>295</v>
      </c>
      <c r="I20" s="272" t="s">
        <v>295</v>
      </c>
      <c r="J20" s="271" t="s">
        <v>265</v>
      </c>
      <c r="K20" s="92" t="s">
        <v>265</v>
      </c>
      <c r="L20" s="272" t="s">
        <v>265</v>
      </c>
      <c r="M20" s="271" t="s">
        <v>231</v>
      </c>
      <c r="N20" s="92" t="s">
        <v>231</v>
      </c>
      <c r="O20" s="272" t="s">
        <v>231</v>
      </c>
      <c r="P20" s="5"/>
      <c r="Q20" s="271" t="s">
        <v>296</v>
      </c>
      <c r="R20" s="92" t="s">
        <v>296</v>
      </c>
      <c r="S20" s="272" t="s">
        <v>298</v>
      </c>
      <c r="T20" s="271" t="s">
        <v>297</v>
      </c>
      <c r="U20" s="92" t="s">
        <v>295</v>
      </c>
      <c r="V20" s="272" t="s">
        <v>297</v>
      </c>
      <c r="W20" s="271"/>
      <c r="X20" s="92"/>
      <c r="Y20" s="272"/>
      <c r="Z20" s="271" t="s">
        <v>232</v>
      </c>
      <c r="AA20" s="92" t="s">
        <v>232</v>
      </c>
      <c r="AB20" s="272" t="s">
        <v>240</v>
      </c>
    </row>
    <row r="21" ht="18.95" customHeight="1">
      <c r="A21" s="58"/>
      <c r="B21" s="288"/>
      <c r="C21" s="289" t="s">
        <v>218</v>
      </c>
      <c r="D21" s="420" t="s">
        <v>231</v>
      </c>
      <c r="E21" s="91" t="s">
        <v>231</v>
      </c>
      <c r="F21" s="421" t="s">
        <v>231</v>
      </c>
      <c r="G21" s="420" t="s">
        <v>231</v>
      </c>
      <c r="H21" s="91" t="s">
        <v>231</v>
      </c>
      <c r="I21" s="421" t="s">
        <v>231</v>
      </c>
      <c r="J21" s="420" t="s">
        <v>265</v>
      </c>
      <c r="K21" s="91" t="s">
        <v>265</v>
      </c>
      <c r="L21" s="421" t="s">
        <v>265</v>
      </c>
      <c r="M21" s="420" t="s">
        <v>237</v>
      </c>
      <c r="N21" s="91" t="s">
        <v>231</v>
      </c>
      <c r="O21" s="421" t="s">
        <v>231</v>
      </c>
      <c r="P21" s="5"/>
      <c r="Q21" s="420" t="s">
        <v>297</v>
      </c>
      <c r="R21" s="91" t="s">
        <v>298</v>
      </c>
      <c r="S21" s="421" t="s">
        <v>297</v>
      </c>
      <c r="T21" s="420" t="s">
        <v>298</v>
      </c>
      <c r="U21" s="91" t="s">
        <v>298</v>
      </c>
      <c r="V21" s="421" t="s">
        <v>298</v>
      </c>
      <c r="W21" s="420"/>
      <c r="X21" s="91"/>
      <c r="Y21" s="421"/>
      <c r="Z21" s="420" t="s">
        <v>231</v>
      </c>
      <c r="AA21" s="91" t="s">
        <v>240</v>
      </c>
      <c r="AB21" s="421" t="s">
        <v>231</v>
      </c>
    </row>
    <row r="22" ht="18.95" customHeight="1">
      <c r="A22" s="58"/>
      <c r="B22" s="286"/>
      <c r="C22" s="287" t="s">
        <v>222</v>
      </c>
      <c r="D22" s="271" t="s">
        <v>231</v>
      </c>
      <c r="E22" s="92" t="s">
        <v>231</v>
      </c>
      <c r="F22" s="272" t="s">
        <v>231</v>
      </c>
      <c r="G22" s="271" t="s">
        <v>231</v>
      </c>
      <c r="H22" s="92" t="s">
        <v>232</v>
      </c>
      <c r="I22" s="272" t="s">
        <v>231</v>
      </c>
      <c r="J22" s="271" t="s">
        <v>265</v>
      </c>
      <c r="K22" s="92" t="s">
        <v>265</v>
      </c>
      <c r="L22" s="272" t="s">
        <v>265</v>
      </c>
      <c r="M22" s="271" t="s">
        <v>237</v>
      </c>
      <c r="N22" s="92" t="s">
        <v>231</v>
      </c>
      <c r="O22" s="272" t="s">
        <v>231</v>
      </c>
      <c r="P22" s="5"/>
      <c r="Q22" s="271" t="s">
        <v>237</v>
      </c>
      <c r="R22" s="92" t="s">
        <v>240</v>
      </c>
      <c r="S22" s="272" t="s">
        <v>237</v>
      </c>
      <c r="T22" s="271" t="s">
        <v>239</v>
      </c>
      <c r="U22" s="92" t="s">
        <v>239</v>
      </c>
      <c r="V22" s="272" t="s">
        <v>239</v>
      </c>
      <c r="W22" s="271"/>
      <c r="X22" s="92"/>
      <c r="Y22" s="272"/>
      <c r="Z22" s="271" t="s">
        <v>237</v>
      </c>
      <c r="AA22" s="92" t="s">
        <v>240</v>
      </c>
      <c r="AB22" s="272" t="s">
        <v>232</v>
      </c>
    </row>
    <row r="23" ht="18.95" customHeight="1">
      <c r="A23" s="58"/>
      <c r="B23" s="288">
        <v>2025</v>
      </c>
      <c r="C23" s="289" t="s">
        <v>224</v>
      </c>
      <c r="D23" s="420" t="s">
        <v>232</v>
      </c>
      <c r="E23" s="91" t="s">
        <v>231</v>
      </c>
      <c r="F23" s="421" t="s">
        <v>231</v>
      </c>
      <c r="G23" s="420" t="s">
        <v>231</v>
      </c>
      <c r="H23" s="91" t="s">
        <v>231</v>
      </c>
      <c r="I23" s="421" t="s">
        <v>231</v>
      </c>
      <c r="J23" s="420" t="s">
        <v>265</v>
      </c>
      <c r="K23" s="91" t="s">
        <v>265</v>
      </c>
      <c r="L23" s="421" t="s">
        <v>265</v>
      </c>
      <c r="M23" s="420" t="s">
        <v>237</v>
      </c>
      <c r="N23" s="91" t="s">
        <v>231</v>
      </c>
      <c r="O23" s="421" t="s">
        <v>231</v>
      </c>
      <c r="P23" s="5"/>
      <c r="Q23" s="420" t="s">
        <v>232</v>
      </c>
      <c r="R23" s="91" t="s">
        <v>239</v>
      </c>
      <c r="S23" s="421" t="s">
        <v>232</v>
      </c>
      <c r="T23" s="420" t="s">
        <v>232</v>
      </c>
      <c r="U23" s="91" t="s">
        <v>232</v>
      </c>
      <c r="V23" s="421" t="s">
        <v>232</v>
      </c>
      <c r="W23" s="420"/>
      <c r="X23" s="91"/>
      <c r="Y23" s="421"/>
      <c r="Z23" s="420" t="s">
        <v>231</v>
      </c>
      <c r="AA23" s="91" t="s">
        <v>239</v>
      </c>
      <c r="AB23" s="421" t="s">
        <v>231</v>
      </c>
    </row>
    <row r="24" ht="18.95" customHeight="1">
      <c r="A24" s="59"/>
      <c r="B24" s="286"/>
      <c r="C24" s="287" t="s">
        <v>225</v>
      </c>
      <c r="D24" s="271" t="s">
        <v>231</v>
      </c>
      <c r="E24" s="92" t="s">
        <v>231</v>
      </c>
      <c r="F24" s="272" t="s">
        <v>231</v>
      </c>
      <c r="G24" s="271" t="s">
        <v>237</v>
      </c>
      <c r="H24" s="92" t="s">
        <v>231</v>
      </c>
      <c r="I24" s="272" t="s">
        <v>231</v>
      </c>
      <c r="J24" s="271" t="s">
        <v>265</v>
      </c>
      <c r="K24" s="92" t="s">
        <v>265</v>
      </c>
      <c r="L24" s="272" t="s">
        <v>265</v>
      </c>
      <c r="M24" s="271" t="s">
        <v>237</v>
      </c>
      <c r="N24" s="92" t="s">
        <v>231</v>
      </c>
      <c r="O24" s="272" t="s">
        <v>231</v>
      </c>
      <c r="P24" s="93"/>
      <c r="Q24" s="271" t="s">
        <v>237</v>
      </c>
      <c r="R24" s="92" t="s">
        <v>239</v>
      </c>
      <c r="S24" s="272" t="s">
        <v>232</v>
      </c>
      <c r="T24" s="271" t="s">
        <v>239</v>
      </c>
      <c r="U24" s="92" t="s">
        <v>231</v>
      </c>
      <c r="V24" s="272" t="s">
        <v>239</v>
      </c>
      <c r="W24" s="271"/>
      <c r="X24" s="92"/>
      <c r="Y24" s="272"/>
      <c r="Z24" s="271" t="s">
        <v>232</v>
      </c>
      <c r="AA24" s="92" t="s">
        <v>239</v>
      </c>
      <c r="AB24" s="272" t="s">
        <v>240</v>
      </c>
    </row>
    <row r="25" ht="18.95" customHeight="1">
      <c r="A25" s="60"/>
      <c r="B25" s="288"/>
      <c r="C25" s="289" t="s">
        <v>226</v>
      </c>
      <c r="D25" s="420" t="s">
        <v>240</v>
      </c>
      <c r="E25" s="91" t="s">
        <v>231</v>
      </c>
      <c r="F25" s="421" t="s">
        <v>232</v>
      </c>
      <c r="G25" s="420" t="s">
        <v>237</v>
      </c>
      <c r="H25" s="91" t="s">
        <v>231</v>
      </c>
      <c r="I25" s="421" t="s">
        <v>237</v>
      </c>
      <c r="J25" s="420" t="s">
        <v>265</v>
      </c>
      <c r="K25" s="91" t="s">
        <v>265</v>
      </c>
      <c r="L25" s="421" t="s">
        <v>265</v>
      </c>
      <c r="M25" s="420" t="s">
        <v>237</v>
      </c>
      <c r="N25" s="91" t="s">
        <v>231</v>
      </c>
      <c r="O25" s="421" t="s">
        <v>231</v>
      </c>
      <c r="P25" s="93"/>
      <c r="Q25" s="420" t="s">
        <v>240</v>
      </c>
      <c r="R25" s="91" t="s">
        <v>232</v>
      </c>
      <c r="S25" s="421" t="s">
        <v>240</v>
      </c>
      <c r="T25" s="420" t="s">
        <v>232</v>
      </c>
      <c r="U25" s="91" t="s">
        <v>231</v>
      </c>
      <c r="V25" s="421" t="s">
        <v>232</v>
      </c>
      <c r="W25" s="420"/>
      <c r="X25" s="91"/>
      <c r="Y25" s="421"/>
      <c r="Z25" s="420" t="s">
        <v>240</v>
      </c>
      <c r="AA25" s="91" t="s">
        <v>240</v>
      </c>
      <c r="AB25" s="421" t="s">
        <v>240</v>
      </c>
    </row>
    <row r="26" ht="18.95" customHeight="1">
      <c r="A26" s="60"/>
      <c r="B26" s="290"/>
      <c r="C26" s="291" t="s">
        <v>228</v>
      </c>
      <c r="D26" s="273" t="s">
        <v>232</v>
      </c>
      <c r="E26" s="274" t="s">
        <v>231</v>
      </c>
      <c r="F26" s="275" t="s">
        <v>231</v>
      </c>
      <c r="G26" s="273" t="s">
        <v>237</v>
      </c>
      <c r="H26" s="274" t="s">
        <v>232</v>
      </c>
      <c r="I26" s="275" t="s">
        <v>237</v>
      </c>
      <c r="J26" s="273" t="s">
        <v>265</v>
      </c>
      <c r="K26" s="274" t="s">
        <v>265</v>
      </c>
      <c r="L26" s="275" t="s">
        <v>265</v>
      </c>
      <c r="M26" s="273" t="s">
        <v>231</v>
      </c>
      <c r="N26" s="274" t="s">
        <v>231</v>
      </c>
      <c r="O26" s="275" t="s">
        <v>231</v>
      </c>
      <c r="P26" s="184"/>
      <c r="Q26" s="273" t="s">
        <v>240</v>
      </c>
      <c r="R26" s="274" t="s">
        <v>231</v>
      </c>
      <c r="S26" s="275" t="s">
        <v>240</v>
      </c>
      <c r="T26" s="273" t="s">
        <v>231</v>
      </c>
      <c r="U26" s="274" t="s">
        <v>232</v>
      </c>
      <c r="V26" s="275" t="s">
        <v>231</v>
      </c>
      <c r="W26" s="273"/>
      <c r="X26" s="274"/>
      <c r="Y26" s="275"/>
      <c r="Z26" s="273" t="s">
        <v>240</v>
      </c>
      <c r="AA26" s="274" t="s">
        <v>231</v>
      </c>
      <c r="AB26" s="275" t="s">
        <v>240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231</v>
      </c>
      <c r="E29" s="428" t="s">
        <v>231</v>
      </c>
      <c r="F29" s="429" t="s">
        <v>231</v>
      </c>
      <c r="G29" s="427" t="s">
        <v>237</v>
      </c>
      <c r="H29" s="428" t="s">
        <v>231</v>
      </c>
      <c r="I29" s="429" t="s">
        <v>231</v>
      </c>
      <c r="J29" s="427" t="s">
        <v>265</v>
      </c>
      <c r="K29" s="428" t="s">
        <v>265</v>
      </c>
      <c r="L29" s="429" t="s">
        <v>265</v>
      </c>
      <c r="M29" s="427" t="s">
        <v>227</v>
      </c>
      <c r="N29" s="428" t="s">
        <v>220</v>
      </c>
      <c r="O29" s="429" t="s">
        <v>221</v>
      </c>
      <c r="P29" s="5"/>
      <c r="Q29" s="427" t="s">
        <v>240</v>
      </c>
      <c r="R29" s="428" t="s">
        <v>240</v>
      </c>
      <c r="S29" s="429" t="s">
        <v>239</v>
      </c>
      <c r="T29" s="427" t="s">
        <v>239</v>
      </c>
      <c r="U29" s="428" t="s">
        <v>232</v>
      </c>
      <c r="V29" s="429" t="s">
        <v>240</v>
      </c>
      <c r="W29" s="427"/>
      <c r="X29" s="428"/>
      <c r="Y29" s="429"/>
      <c r="Z29" s="427" t="s">
        <v>219</v>
      </c>
      <c r="AA29" s="428" t="s">
        <v>219</v>
      </c>
      <c r="AB29" s="429" t="s">
        <v>219</v>
      </c>
    </row>
    <row r="30" ht="18.95" customHeight="1">
      <c r="A30" s="58"/>
      <c r="B30" s="286">
        <v>2024</v>
      </c>
      <c r="C30" s="287"/>
      <c r="D30" s="271" t="s">
        <v>220</v>
      </c>
      <c r="E30" s="92" t="s">
        <v>221</v>
      </c>
      <c r="F30" s="272" t="s">
        <v>221</v>
      </c>
      <c r="G30" s="271" t="s">
        <v>227</v>
      </c>
      <c r="H30" s="92" t="s">
        <v>221</v>
      </c>
      <c r="I30" s="272" t="s">
        <v>221</v>
      </c>
      <c r="J30" s="271" t="s">
        <v>265</v>
      </c>
      <c r="K30" s="92" t="s">
        <v>265</v>
      </c>
      <c r="L30" s="272" t="s">
        <v>265</v>
      </c>
      <c r="M30" s="271" t="s">
        <v>227</v>
      </c>
      <c r="N30" s="92" t="s">
        <v>221</v>
      </c>
      <c r="O30" s="272" t="s">
        <v>221</v>
      </c>
      <c r="P30" s="5"/>
      <c r="Q30" s="271" t="s">
        <v>232</v>
      </c>
      <c r="R30" s="92" t="s">
        <v>237</v>
      </c>
      <c r="S30" s="272" t="s">
        <v>237</v>
      </c>
      <c r="T30" s="271" t="s">
        <v>240</v>
      </c>
      <c r="U30" s="92" t="s">
        <v>237</v>
      </c>
      <c r="V30" s="272" t="s">
        <v>232</v>
      </c>
      <c r="W30" s="271"/>
      <c r="X30" s="92"/>
      <c r="Y30" s="272"/>
      <c r="Z30" s="271" t="s">
        <v>219</v>
      </c>
      <c r="AA30" s="92" t="s">
        <v>227</v>
      </c>
      <c r="AB30" s="272" t="s">
        <v>220</v>
      </c>
    </row>
    <row r="31" ht="18.95" customHeight="1">
      <c r="A31" s="58"/>
      <c r="B31" s="425">
        <v>2025</v>
      </c>
      <c r="C31" s="426"/>
      <c r="D31" s="430" t="s">
        <v>232</v>
      </c>
      <c r="E31" s="431" t="s">
        <v>231</v>
      </c>
      <c r="F31" s="432" t="s">
        <v>231</v>
      </c>
      <c r="G31" s="430" t="s">
        <v>237</v>
      </c>
      <c r="H31" s="431" t="s">
        <v>231</v>
      </c>
      <c r="I31" s="432" t="s">
        <v>231</v>
      </c>
      <c r="J31" s="430" t="s">
        <v>265</v>
      </c>
      <c r="K31" s="431" t="s">
        <v>265</v>
      </c>
      <c r="L31" s="432" t="s">
        <v>265</v>
      </c>
      <c r="M31" s="430" t="s">
        <v>237</v>
      </c>
      <c r="N31" s="431" t="s">
        <v>231</v>
      </c>
      <c r="O31" s="432" t="s">
        <v>231</v>
      </c>
      <c r="P31" s="184"/>
      <c r="Q31" s="430" t="s">
        <v>240</v>
      </c>
      <c r="R31" s="431" t="s">
        <v>240</v>
      </c>
      <c r="S31" s="432" t="s">
        <v>240</v>
      </c>
      <c r="T31" s="430" t="s">
        <v>232</v>
      </c>
      <c r="U31" s="431" t="s">
        <v>232</v>
      </c>
      <c r="V31" s="432" t="s">
        <v>232</v>
      </c>
      <c r="W31" s="430"/>
      <c r="X31" s="431"/>
      <c r="Y31" s="432"/>
      <c r="Z31" s="430" t="s">
        <v>232</v>
      </c>
      <c r="AA31" s="431" t="s">
        <v>240</v>
      </c>
      <c r="AB31" s="432" t="s">
        <v>240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231</v>
      </c>
      <c r="E34" s="428" t="s">
        <v>231</v>
      </c>
      <c r="F34" s="429" t="s">
        <v>231</v>
      </c>
      <c r="G34" s="427" t="s">
        <v>237</v>
      </c>
      <c r="H34" s="428" t="s">
        <v>232</v>
      </c>
      <c r="I34" s="429" t="s">
        <v>231</v>
      </c>
      <c r="J34" s="427" t="s">
        <v>265</v>
      </c>
      <c r="K34" s="428" t="s">
        <v>265</v>
      </c>
      <c r="L34" s="429" t="s">
        <v>265</v>
      </c>
      <c r="M34" s="427" t="s">
        <v>227</v>
      </c>
      <c r="N34" s="428" t="s">
        <v>220</v>
      </c>
      <c r="O34" s="429" t="s">
        <v>221</v>
      </c>
      <c r="P34" s="5"/>
      <c r="Q34" s="427" t="s">
        <v>240</v>
      </c>
      <c r="R34" s="428" t="s">
        <v>240</v>
      </c>
      <c r="S34" s="429" t="s">
        <v>240</v>
      </c>
      <c r="T34" s="427" t="s">
        <v>239</v>
      </c>
      <c r="U34" s="428" t="s">
        <v>232</v>
      </c>
      <c r="V34" s="429" t="s">
        <v>240</v>
      </c>
      <c r="W34" s="427"/>
      <c r="X34" s="428"/>
      <c r="Y34" s="429"/>
      <c r="Z34" s="427" t="s">
        <v>219</v>
      </c>
      <c r="AA34" s="428" t="s">
        <v>219</v>
      </c>
      <c r="AB34" s="429" t="s">
        <v>223</v>
      </c>
    </row>
    <row r="35" ht="18.95" customHeight="1">
      <c r="A35" s="58"/>
      <c r="B35" s="286">
        <v>2024</v>
      </c>
      <c r="C35" s="287"/>
      <c r="D35" s="271" t="s">
        <v>221</v>
      </c>
      <c r="E35" s="92" t="s">
        <v>221</v>
      </c>
      <c r="F35" s="272" t="s">
        <v>221</v>
      </c>
      <c r="G35" s="271" t="s">
        <v>227</v>
      </c>
      <c r="H35" s="92" t="s">
        <v>221</v>
      </c>
      <c r="I35" s="272" t="s">
        <v>221</v>
      </c>
      <c r="J35" s="271" t="s">
        <v>265</v>
      </c>
      <c r="K35" s="92" t="s">
        <v>265</v>
      </c>
      <c r="L35" s="272" t="s">
        <v>265</v>
      </c>
      <c r="M35" s="271" t="s">
        <v>227</v>
      </c>
      <c r="N35" s="92" t="s">
        <v>221</v>
      </c>
      <c r="O35" s="272" t="s">
        <v>221</v>
      </c>
      <c r="P35" s="5"/>
      <c r="Q35" s="271" t="s">
        <v>232</v>
      </c>
      <c r="R35" s="92" t="s">
        <v>237</v>
      </c>
      <c r="S35" s="272" t="s">
        <v>231</v>
      </c>
      <c r="T35" s="271" t="s">
        <v>231</v>
      </c>
      <c r="U35" s="92" t="s">
        <v>237</v>
      </c>
      <c r="V35" s="272" t="s">
        <v>231</v>
      </c>
      <c r="W35" s="271"/>
      <c r="X35" s="92"/>
      <c r="Y35" s="272"/>
      <c r="Z35" s="271" t="s">
        <v>220</v>
      </c>
      <c r="AA35" s="92" t="s">
        <v>227</v>
      </c>
      <c r="AB35" s="272" t="s">
        <v>221</v>
      </c>
    </row>
    <row r="36" ht="18.95" customHeight="1">
      <c r="A36" s="58"/>
      <c r="B36" s="425">
        <v>2025</v>
      </c>
      <c r="C36" s="426"/>
      <c r="D36" s="430" t="s">
        <v>240</v>
      </c>
      <c r="E36" s="431" t="s">
        <v>231</v>
      </c>
      <c r="F36" s="432" t="s">
        <v>231</v>
      </c>
      <c r="G36" s="430" t="s">
        <v>237</v>
      </c>
      <c r="H36" s="431" t="s">
        <v>231</v>
      </c>
      <c r="I36" s="432" t="s">
        <v>231</v>
      </c>
      <c r="J36" s="430" t="s">
        <v>265</v>
      </c>
      <c r="K36" s="431" t="s">
        <v>265</v>
      </c>
      <c r="L36" s="432" t="s">
        <v>265</v>
      </c>
      <c r="M36" s="430" t="s">
        <v>231</v>
      </c>
      <c r="N36" s="431" t="s">
        <v>231</v>
      </c>
      <c r="O36" s="432" t="s">
        <v>231</v>
      </c>
      <c r="P36" s="184"/>
      <c r="Q36" s="430" t="s">
        <v>240</v>
      </c>
      <c r="R36" s="431" t="s">
        <v>232</v>
      </c>
      <c r="S36" s="432" t="s">
        <v>240</v>
      </c>
      <c r="T36" s="430" t="s">
        <v>232</v>
      </c>
      <c r="U36" s="431" t="s">
        <v>232</v>
      </c>
      <c r="V36" s="432" t="s">
        <v>240</v>
      </c>
      <c r="W36" s="430"/>
      <c r="X36" s="431"/>
      <c r="Y36" s="432"/>
      <c r="Z36" s="430" t="s">
        <v>240</v>
      </c>
      <c r="AA36" s="431" t="s">
        <v>232</v>
      </c>
      <c r="AB36" s="432" t="s">
        <v>240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231</v>
      </c>
      <c r="E39" s="428" t="s">
        <v>231</v>
      </c>
      <c r="F39" s="429" t="s">
        <v>231</v>
      </c>
      <c r="G39" s="427" t="s">
        <v>237</v>
      </c>
      <c r="H39" s="428" t="s">
        <v>231</v>
      </c>
      <c r="I39" s="429" t="s">
        <v>237</v>
      </c>
      <c r="J39" s="427" t="s">
        <v>265</v>
      </c>
      <c r="K39" s="428" t="s">
        <v>265</v>
      </c>
      <c r="L39" s="429" t="s">
        <v>265</v>
      </c>
      <c r="M39" s="427" t="s">
        <v>227</v>
      </c>
      <c r="N39" s="428" t="s">
        <v>220</v>
      </c>
      <c r="O39" s="429" t="s">
        <v>221</v>
      </c>
      <c r="P39" s="5"/>
      <c r="Q39" s="427" t="s">
        <v>240</v>
      </c>
      <c r="R39" s="428" t="s">
        <v>232</v>
      </c>
      <c r="S39" s="429" t="s">
        <v>240</v>
      </c>
      <c r="T39" s="427" t="s">
        <v>240</v>
      </c>
      <c r="U39" s="428" t="s">
        <v>232</v>
      </c>
      <c r="V39" s="429" t="s">
        <v>240</v>
      </c>
      <c r="W39" s="427"/>
      <c r="X39" s="428"/>
      <c r="Y39" s="429"/>
      <c r="Z39" s="427" t="s">
        <v>223</v>
      </c>
      <c r="AA39" s="428" t="s">
        <v>223</v>
      </c>
      <c r="AB39" s="429" t="s">
        <v>223</v>
      </c>
    </row>
    <row r="40" ht="18.95" customHeight="1">
      <c r="A40" s="58"/>
      <c r="B40" s="286">
        <v>2024</v>
      </c>
      <c r="C40" s="287"/>
      <c r="D40" s="271" t="s">
        <v>220</v>
      </c>
      <c r="E40" s="92" t="s">
        <v>220</v>
      </c>
      <c r="F40" s="272" t="s">
        <v>221</v>
      </c>
      <c r="G40" s="271" t="s">
        <v>227</v>
      </c>
      <c r="H40" s="92" t="s">
        <v>221</v>
      </c>
      <c r="I40" s="272" t="s">
        <v>227</v>
      </c>
      <c r="J40" s="271" t="s">
        <v>265</v>
      </c>
      <c r="K40" s="92" t="s">
        <v>265</v>
      </c>
      <c r="L40" s="272" t="s">
        <v>265</v>
      </c>
      <c r="M40" s="271" t="s">
        <v>221</v>
      </c>
      <c r="N40" s="92" t="s">
        <v>220</v>
      </c>
      <c r="O40" s="272" t="s">
        <v>221</v>
      </c>
      <c r="P40" s="5"/>
      <c r="Q40" s="271" t="s">
        <v>240</v>
      </c>
      <c r="R40" s="92" t="s">
        <v>240</v>
      </c>
      <c r="S40" s="272" t="s">
        <v>240</v>
      </c>
      <c r="T40" s="271" t="s">
        <v>232</v>
      </c>
      <c r="U40" s="92" t="s">
        <v>232</v>
      </c>
      <c r="V40" s="272" t="s">
        <v>232</v>
      </c>
      <c r="W40" s="271"/>
      <c r="X40" s="92"/>
      <c r="Y40" s="272"/>
      <c r="Z40" s="271" t="s">
        <v>219</v>
      </c>
      <c r="AA40" s="92" t="s">
        <v>221</v>
      </c>
      <c r="AB40" s="272" t="s">
        <v>219</v>
      </c>
    </row>
    <row r="41" ht="18.95" customHeight="1">
      <c r="A41" s="58"/>
      <c r="B41" s="425">
        <v>2025</v>
      </c>
      <c r="C41" s="426"/>
      <c r="D41" s="430" t="s">
        <v>221</v>
      </c>
      <c r="E41" s="431" t="s">
        <v>221</v>
      </c>
      <c r="F41" s="432" t="s">
        <v>220</v>
      </c>
      <c r="G41" s="430" t="s">
        <v>227</v>
      </c>
      <c r="H41" s="431" t="s">
        <v>221</v>
      </c>
      <c r="I41" s="432" t="s">
        <v>221</v>
      </c>
      <c r="J41" s="430" t="s">
        <v>265</v>
      </c>
      <c r="K41" s="431" t="s">
        <v>265</v>
      </c>
      <c r="L41" s="432" t="s">
        <v>265</v>
      </c>
      <c r="M41" s="430" t="s">
        <v>221</v>
      </c>
      <c r="N41" s="431" t="s">
        <v>221</v>
      </c>
      <c r="O41" s="432" t="s">
        <v>221</v>
      </c>
      <c r="P41" s="184"/>
      <c r="Q41" s="430" t="s">
        <v>223</v>
      </c>
      <c r="R41" s="431" t="s">
        <v>219</v>
      </c>
      <c r="S41" s="432" t="s">
        <v>223</v>
      </c>
      <c r="T41" s="430" t="s">
        <v>220</v>
      </c>
      <c r="U41" s="431" t="s">
        <v>223</v>
      </c>
      <c r="V41" s="432" t="s">
        <v>220</v>
      </c>
      <c r="W41" s="430"/>
      <c r="X41" s="431"/>
      <c r="Y41" s="432"/>
      <c r="Z41" s="430" t="s">
        <v>220</v>
      </c>
      <c r="AA41" s="431" t="s">
        <v>219</v>
      </c>
      <c r="AB41" s="432" t="s">
        <v>223</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83.14393939393939393939393948</v>
      </c>
      <c r="E11" s="428">
        <v>81.83139534883720930232558147</v>
      </c>
      <c r="F11" s="429">
        <v>55.333124804504222708789490200</v>
      </c>
      <c r="G11" s="427">
        <v>5.3030303030303030303030303100</v>
      </c>
      <c r="H11" s="428">
        <v>4.9418604651162790697674418700</v>
      </c>
      <c r="I11" s="429">
        <v>13.244187258888541340840371200</v>
      </c>
      <c r="J11" s="427">
        <v>0</v>
      </c>
      <c r="K11" s="428">
        <v>0</v>
      </c>
      <c r="L11" s="429">
        <v>7.1368991763111250130330518300</v>
      </c>
      <c r="M11" s="427">
        <v>88.44696969696969696969696970</v>
      </c>
      <c r="N11" s="428">
        <v>86.77325581395348837209302326</v>
      </c>
      <c r="O11" s="429">
        <v>75.711604629340006255864873320</v>
      </c>
      <c r="P11" s="5"/>
      <c r="Q11" s="427">
        <v>-7.7731092436819786738224674600</v>
      </c>
      <c r="R11" s="428">
        <v>2.426750264838227207328548400</v>
      </c>
      <c r="S11" s="429">
        <v>3.8377300852275150862365872700</v>
      </c>
      <c r="T11" s="427">
        <v>599.99999997760000000071680092</v>
      </c>
      <c r="U11" s="428">
        <v>47.902823920984165875656076200</v>
      </c>
      <c r="V11" s="429">
        <v>-1.5337146783756625261270159200</v>
      </c>
      <c r="W11" s="427">
        <v>0</v>
      </c>
      <c r="X11" s="428">
        <v>0</v>
      </c>
      <c r="Y11" s="429">
        <v>6.2472980820033253499478178500</v>
      </c>
      <c r="Z11" s="427">
        <v>-2.7083333333430624999999990200</v>
      </c>
      <c r="AA11" s="428">
        <v>4.2523130782659802154839786500</v>
      </c>
      <c r="AB11" s="429">
        <v>3.0709630256034289637029432500</v>
      </c>
    </row>
    <row r="12" ht="18" customHeight="1">
      <c r="A12" s="58"/>
      <c r="B12" s="1043" t="s">
        <v>46</v>
      </c>
      <c r="C12" s="1043"/>
      <c r="D12" s="420">
        <v>82.57575757575757575757575766</v>
      </c>
      <c r="E12" s="91">
        <v>81.83139534883720930232558147</v>
      </c>
      <c r="F12" s="421">
        <v>53.148785319570430612032113500</v>
      </c>
      <c r="G12" s="420">
        <v>10.606060606060606060606060620</v>
      </c>
      <c r="H12" s="91">
        <v>3.4883720930232558139534883800</v>
      </c>
      <c r="I12" s="421">
        <v>18.261912209362944427067042040</v>
      </c>
      <c r="J12" s="420">
        <v>0</v>
      </c>
      <c r="K12" s="91">
        <v>0</v>
      </c>
      <c r="L12" s="421">
        <v>6.7172349077259931185486393600</v>
      </c>
      <c r="M12" s="420">
        <v>93.18181818181818181818181818</v>
      </c>
      <c r="N12" s="91">
        <v>85.31976744186046511627906977</v>
      </c>
      <c r="O12" s="421">
        <v>78.127932436659368157647794810</v>
      </c>
      <c r="P12" s="5"/>
      <c r="Q12" s="420">
        <v>-7.1550255536690183968958316600</v>
      </c>
      <c r="R12" s="91">
        <v>9.195396978193802282004468150</v>
      </c>
      <c r="S12" s="421">
        <v>4.3811374028521861726321277200</v>
      </c>
      <c r="T12" s="420">
        <v>133.33333333100000000002333364</v>
      </c>
      <c r="U12" s="91">
        <v>46.162790695759686046536711230</v>
      </c>
      <c r="V12" s="421">
        <v>3.7382671785004276944137055900</v>
      </c>
      <c r="W12" s="420">
        <v>0</v>
      </c>
      <c r="X12" s="91">
        <v>0</v>
      </c>
      <c r="Y12" s="421">
        <v>2.9625135226113582456996183900</v>
      </c>
      <c r="Z12" s="420">
        <v>-0.3241491085382556364906519300</v>
      </c>
      <c r="AA12" s="91">
        <v>10.336365920250836875948208790</v>
      </c>
      <c r="AB12" s="421">
        <v>4.1070110660917664007245531600</v>
      </c>
    </row>
    <row r="13" ht="18" customHeight="1">
      <c r="A13" s="58"/>
      <c r="B13" s="1043" t="s">
        <v>47</v>
      </c>
      <c r="C13" s="1043"/>
      <c r="D13" s="420">
        <v>81.06060606060606060606060614</v>
      </c>
      <c r="E13" s="91">
        <v>81.91860465116279069767441868</v>
      </c>
      <c r="F13" s="421">
        <v>55.483265561463872380356584360</v>
      </c>
      <c r="G13" s="420">
        <v>13.333333333333333333333333350</v>
      </c>
      <c r="H13" s="91">
        <v>2.3255813953488372093023255800</v>
      </c>
      <c r="I13" s="421">
        <v>18.876029611093733708685225750</v>
      </c>
      <c r="J13" s="420">
        <v>0</v>
      </c>
      <c r="K13" s="91">
        <v>0</v>
      </c>
      <c r="L13" s="421">
        <v>7.0357626941924721092691064600</v>
      </c>
      <c r="M13" s="420">
        <v>94.39393939393939393939393939</v>
      </c>
      <c r="N13" s="91">
        <v>84.24418604651162790697674419</v>
      </c>
      <c r="O13" s="421">
        <v>81.40131373162339693462621207</v>
      </c>
      <c r="P13" s="184"/>
      <c r="Q13" s="420">
        <v>-9.013605442167586422324030620</v>
      </c>
      <c r="R13" s="91">
        <v>11.877103483782448867432953810</v>
      </c>
      <c r="S13" s="421">
        <v>5.990939419355467036679705100</v>
      </c>
      <c r="T13" s="420">
        <v>137.83783783616654492331342458</v>
      </c>
      <c r="U13" s="91">
        <v>-20.12962256848351280911986300</v>
      </c>
      <c r="V13" s="421">
        <v>-7.433717334448996983512800600</v>
      </c>
      <c r="W13" s="420">
        <v>0</v>
      </c>
      <c r="X13" s="91">
        <v>0</v>
      </c>
      <c r="Y13" s="421">
        <v>4.600715166018799514892589900</v>
      </c>
      <c r="Z13" s="420">
        <v>-0.320000000031897599999989800</v>
      </c>
      <c r="AA13" s="91">
        <v>10.653021797787575872033036230</v>
      </c>
      <c r="AB13" s="421">
        <v>2.4361864348946067397116084300</v>
      </c>
    </row>
    <row r="14" ht="18" customHeight="1">
      <c r="A14" s="58"/>
      <c r="B14" s="1043" t="s">
        <v>48</v>
      </c>
      <c r="C14" s="1043"/>
      <c r="D14" s="420">
        <v>79.24242424242424242424242432</v>
      </c>
      <c r="E14" s="91">
        <v>81.97674418604651162790697682</v>
      </c>
      <c r="F14" s="421">
        <v>54.863934939005317485142320980</v>
      </c>
      <c r="G14" s="420">
        <v>15.454545454545454545454545470</v>
      </c>
      <c r="H14" s="91">
        <v>2.209302325581395348837209300</v>
      </c>
      <c r="I14" s="421">
        <v>20.988426649984360337816703180</v>
      </c>
      <c r="J14" s="420">
        <v>0</v>
      </c>
      <c r="K14" s="91">
        <v>0</v>
      </c>
      <c r="L14" s="421">
        <v>6.7813575226775101657804191500</v>
      </c>
      <c r="M14" s="420">
        <v>94.69696969696969696969696970</v>
      </c>
      <c r="N14" s="91">
        <v>84.12790697674418604651162791</v>
      </c>
      <c r="O14" s="421">
        <v>82.63580439995829423417787509</v>
      </c>
      <c r="P14" s="5"/>
      <c r="Q14" s="420">
        <v>-8.845315904120368519230491320</v>
      </c>
      <c r="R14" s="91">
        <v>6.3413492691508649125853718100</v>
      </c>
      <c r="S14" s="421">
        <v>-3.1221194909666419830832656200</v>
      </c>
      <c r="T14" s="420">
        <v>580.00000000816000000009792068</v>
      </c>
      <c r="U14" s="91">
        <v>-54.844015882195503783738227460</v>
      </c>
      <c r="V14" s="421">
        <v>15.913145856952563261040830070</v>
      </c>
      <c r="W14" s="420">
        <v>0</v>
      </c>
      <c r="X14" s="91">
        <v>0</v>
      </c>
      <c r="Y14" s="421">
        <v>0.1997594612402442700524466200</v>
      </c>
      <c r="Z14" s="420">
        <v>6.1571125265933709278267142500</v>
      </c>
      <c r="AA14" s="91">
        <v>2.6189025422808279613555877600</v>
      </c>
      <c r="AB14" s="421">
        <v>1.3883256545465081028975892400</v>
      </c>
    </row>
    <row r="15" ht="18" customHeight="1">
      <c r="A15" s="58"/>
      <c r="B15" s="1043" t="s">
        <v>49</v>
      </c>
      <c r="C15" s="1043"/>
      <c r="D15" s="420">
        <v>81.25000000000000000000000008</v>
      </c>
      <c r="E15" s="91">
        <v>85.46511627906976744186046520</v>
      </c>
      <c r="F15" s="421">
        <v>58.831195912834949431758940730</v>
      </c>
      <c r="G15" s="420">
        <v>11.931818181818181818181818190</v>
      </c>
      <c r="H15" s="91">
        <v>2.9069767441860465116279069800</v>
      </c>
      <c r="I15" s="421">
        <v>17.477322489834219580857053510</v>
      </c>
      <c r="J15" s="420">
        <v>0</v>
      </c>
      <c r="K15" s="91">
        <v>0</v>
      </c>
      <c r="L15" s="421">
        <v>7.2646230841413825461370034500</v>
      </c>
      <c r="M15" s="420">
        <v>93.18181818181818181818181818</v>
      </c>
      <c r="N15" s="91">
        <v>88.37209302325581395348837209</v>
      </c>
      <c r="O15" s="421">
        <v>83.57314148681055155875299760</v>
      </c>
      <c r="P15" s="184"/>
      <c r="Q15" s="420">
        <v>-9.873949579816785537744506930</v>
      </c>
      <c r="R15" s="91">
        <v>4.5544050245552061675177235600</v>
      </c>
      <c r="S15" s="421">
        <v>1.937524495298438796755770300</v>
      </c>
      <c r="T15" s="420">
        <v>249.99999999906666666666915580</v>
      </c>
      <c r="U15" s="91">
        <v>-47.611902975556916110747449440</v>
      </c>
      <c r="V15" s="421">
        <v>-10.309026818314010422236977920</v>
      </c>
      <c r="W15" s="420">
        <v>0</v>
      </c>
      <c r="X15" s="91">
        <v>0</v>
      </c>
      <c r="Y15" s="421">
        <v>11.781746431481329282328068020</v>
      </c>
      <c r="Z15" s="420">
        <v>-0.4048582995886901932501757900</v>
      </c>
      <c r="AA15" s="91">
        <v>1.238296587103625624562224500</v>
      </c>
      <c r="AB15" s="421">
        <v>-0.1429236760570573172440584400</v>
      </c>
    </row>
    <row r="16" ht="18" customHeight="1">
      <c r="A16" s="58"/>
      <c r="B16" s="1044" t="s">
        <v>75</v>
      </c>
      <c r="C16" s="1044"/>
      <c r="D16" s="430">
        <v>81.33608815426997245179063368</v>
      </c>
      <c r="E16" s="431">
        <v>82.54492600422832980972515864</v>
      </c>
      <c r="F16" s="432">
        <v>55.499473938635652742628032020</v>
      </c>
      <c r="G16" s="430">
        <v>11.604683195592286501377410480</v>
      </c>
      <c r="H16" s="431">
        <v>3.0919661733615221987315010600</v>
      </c>
      <c r="I16" s="432">
        <v>17.966180415351513255798523260</v>
      </c>
      <c r="J16" s="430">
        <v>0</v>
      </c>
      <c r="K16" s="431">
        <v>0</v>
      </c>
      <c r="L16" s="432">
        <v>6.9800286253210870039146548400</v>
      </c>
      <c r="M16" s="430">
        <v>92.94077134986225895316804408</v>
      </c>
      <c r="N16" s="431">
        <v>85.62367864693446088794926004</v>
      </c>
      <c r="O16" s="432">
        <v>80.44710476677946180604923176</v>
      </c>
      <c r="P16" s="5"/>
      <c r="Q16" s="430">
        <v>-8.66202629547850481712162300</v>
      </c>
      <c r="R16" s="431">
        <v>7.0934733154882900409287221200</v>
      </c>
      <c r="S16" s="432">
        <v>2.8756646828189036949052555500</v>
      </c>
      <c r="T16" s="430">
        <v>233.66336633729438290363820703</v>
      </c>
      <c r="U16" s="431">
        <v>-16.661566708578494098348160770</v>
      </c>
      <c r="V16" s="432">
        <v>0.2797425145249937326960945600</v>
      </c>
      <c r="W16" s="430">
        <v>0</v>
      </c>
      <c r="X16" s="431">
        <v>0</v>
      </c>
      <c r="Y16" s="432">
        <v>5.043659460421360447875663200</v>
      </c>
      <c r="Z16" s="629">
        <v>0.4465947152593837452764818900</v>
      </c>
      <c r="AA16" s="214">
        <v>5.9861782956233581242038919100</v>
      </c>
      <c r="AB16" s="630">
        <v>2.4704675807635601646270291600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82.76515151515151515151515160</v>
      </c>
      <c r="E18" s="480">
        <v>92.36918604651162790697674427</v>
      </c>
      <c r="F18" s="481">
        <v>67.250547388176415389427588430</v>
      </c>
      <c r="G18" s="479">
        <v>10.416666666666666666666666680</v>
      </c>
      <c r="H18" s="480">
        <v>3.5610465116279069767441860500</v>
      </c>
      <c r="I18" s="481">
        <v>16.937754144510478573662808900</v>
      </c>
      <c r="J18" s="479">
        <v>0</v>
      </c>
      <c r="K18" s="480">
        <v>0</v>
      </c>
      <c r="L18" s="481">
        <v>7.3350015639662183296840788300</v>
      </c>
      <c r="M18" s="479">
        <v>93.18181818181818181818181818</v>
      </c>
      <c r="N18" s="480">
        <v>95.93023255813953488372093023</v>
      </c>
      <c r="O18" s="481">
        <v>91.52330309665311229277447607</v>
      </c>
      <c r="P18" s="184"/>
      <c r="Q18" s="479">
        <v>-9.523809523836498077491858180</v>
      </c>
      <c r="R18" s="480">
        <v>11.857482524476292004570729760</v>
      </c>
      <c r="S18" s="481">
        <v>1.7535675112174210992684875100</v>
      </c>
      <c r="T18" s="479">
        <v>161.90476190296598639457013833</v>
      </c>
      <c r="U18" s="480">
        <v>-18.242274610021599890026012460</v>
      </c>
      <c r="V18" s="481">
        <v>7.681456612824533754750317200</v>
      </c>
      <c r="W18" s="479">
        <v>0</v>
      </c>
      <c r="X18" s="480">
        <v>0</v>
      </c>
      <c r="Y18" s="481">
        <v>4.753862639051916999223907500</v>
      </c>
      <c r="Z18" s="479">
        <v>-2.3809523809058956916099551900</v>
      </c>
      <c r="AA18" s="480">
        <v>10.349395859658638450848009050</v>
      </c>
      <c r="AB18" s="481">
        <v>3.0336669556688339125846037400</v>
      </c>
    </row>
    <row r="19" ht="18" customHeight="1">
      <c r="A19" s="58"/>
      <c r="B19" s="1046" t="s">
        <v>51</v>
      </c>
      <c r="C19" s="1046"/>
      <c r="D19" s="271">
        <v>87.87878787878787878787878797</v>
      </c>
      <c r="E19" s="92">
        <v>90.98837209302325581395348846</v>
      </c>
      <c r="F19" s="272">
        <v>68.788447502867271400271087550</v>
      </c>
      <c r="G19" s="271">
        <v>5.4924242424242424242424242500</v>
      </c>
      <c r="H19" s="92">
        <v>5.2325581395348837209302325600</v>
      </c>
      <c r="I19" s="272">
        <v>16.643207173391721405484308220</v>
      </c>
      <c r="J19" s="271">
        <v>0</v>
      </c>
      <c r="K19" s="92">
        <v>0</v>
      </c>
      <c r="L19" s="272">
        <v>7.2880825774163278073193619100</v>
      </c>
      <c r="M19" s="271">
        <v>93.37121212121212121212121212</v>
      </c>
      <c r="N19" s="92">
        <v>96.22093023255813953488372093</v>
      </c>
      <c r="O19" s="272">
        <v>92.71973725367532061307475759</v>
      </c>
      <c r="P19" s="5"/>
      <c r="Q19" s="271">
        <v>-5.4989816700364640929811906700</v>
      </c>
      <c r="R19" s="92">
        <v>1.4614182488221045373600820300</v>
      </c>
      <c r="S19" s="272">
        <v>-0.1972308324741843530879495400</v>
      </c>
      <c r="T19" s="271">
        <v>190.00000000603200000012546600</v>
      </c>
      <c r="U19" s="92">
        <v>150.56478404837393830099302799</v>
      </c>
      <c r="V19" s="272">
        <v>29.773481717606208829720164030</v>
      </c>
      <c r="W19" s="271">
        <v>0</v>
      </c>
      <c r="X19" s="92">
        <v>0</v>
      </c>
      <c r="Y19" s="272">
        <v>4.8010649335885130185646705600</v>
      </c>
      <c r="Z19" s="271">
        <v>-1.5968063872632603057358192700</v>
      </c>
      <c r="AA19" s="92">
        <v>4.8545377566791124046017144800</v>
      </c>
      <c r="AB19" s="272">
        <v>4.5246812908821931822573722300</v>
      </c>
    </row>
    <row r="20" ht="18" customHeight="1">
      <c r="A20" s="58"/>
      <c r="B20" s="1047" t="s">
        <v>76</v>
      </c>
      <c r="C20" s="1047"/>
      <c r="D20" s="273">
        <v>85.32196969696969696969696978</v>
      </c>
      <c r="E20" s="274">
        <v>91.67877906976744186046511636</v>
      </c>
      <c r="F20" s="275">
        <v>68.019497445521843394849337990</v>
      </c>
      <c r="G20" s="273">
        <v>7.954545454545454545454545460</v>
      </c>
      <c r="H20" s="274">
        <v>4.3968023255813953488372093100</v>
      </c>
      <c r="I20" s="275">
        <v>16.790480658951099989573558560</v>
      </c>
      <c r="J20" s="273">
        <v>0</v>
      </c>
      <c r="K20" s="274">
        <v>0</v>
      </c>
      <c r="L20" s="275">
        <v>7.3115420706912730685017203700</v>
      </c>
      <c r="M20" s="273">
        <v>93.27651515151515151515151515</v>
      </c>
      <c r="N20" s="274">
        <v>96.07558139534883720930232558</v>
      </c>
      <c r="O20" s="275">
        <v>92.12152017516421645292461683</v>
      </c>
      <c r="P20" s="184"/>
      <c r="Q20" s="273">
        <v>-7.4948665297255003815844141400</v>
      </c>
      <c r="R20" s="274">
        <v>6.4451913549920915273088846200</v>
      </c>
      <c r="S20" s="275">
        <v>0.7577032676916664584546197700</v>
      </c>
      <c r="T20" s="273">
        <v>170.96774193604328824141634762</v>
      </c>
      <c r="U20" s="274">
        <v>36.463716622447984256876417090</v>
      </c>
      <c r="V20" s="275">
        <v>17.603814182027156244103062250</v>
      </c>
      <c r="W20" s="273">
        <v>0</v>
      </c>
      <c r="X20" s="274">
        <v>0</v>
      </c>
      <c r="Y20" s="275">
        <v>4.7773827453596020905058641300</v>
      </c>
      <c r="Z20" s="273">
        <v>-1.9900497512905918170342094700</v>
      </c>
      <c r="AA20" s="274">
        <v>7.527662383009334737925281800</v>
      </c>
      <c r="AB20" s="275">
        <v>3.7786598416143320937855161300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82.39898989898989898989898990</v>
      </c>
      <c r="E22" s="469">
        <v>85.09689922480620155038759690</v>
      </c>
      <c r="F22" s="470">
        <v>58.6290968408073850222103200</v>
      </c>
      <c r="G22" s="468">
        <v>10.631313131313131313131313130</v>
      </c>
      <c r="H22" s="469">
        <v>3.3527131782945736434108527100</v>
      </c>
      <c r="I22" s="470">
        <v>17.893549493209955064331306880</v>
      </c>
      <c r="J22" s="468">
        <v>0</v>
      </c>
      <c r="K22" s="469">
        <v>0</v>
      </c>
      <c r="L22" s="470">
        <v>7.0369407789010208768615636200</v>
      </c>
      <c r="M22" s="468">
        <v>93.03030303030303030303030303</v>
      </c>
      <c r="N22" s="469">
        <v>88.44961240310077519379844961</v>
      </c>
      <c r="O22" s="470">
        <v>83.55958711291836096340319049</v>
      </c>
      <c r="P22" s="184"/>
      <c r="Q22" s="468">
        <v>-8.316942961467914884962903210</v>
      </c>
      <c r="R22" s="469">
        <v>7.1811646548910703082891326800</v>
      </c>
      <c r="S22" s="470">
        <v>2.0644630359657776986913678600</v>
      </c>
      <c r="T22" s="468">
        <v>216.54135338212584091809029717</v>
      </c>
      <c r="U22" s="469">
        <v>-6.3475452195570774332471304300</v>
      </c>
      <c r="V22" s="470">
        <v>4.4588113823119773541447706500</v>
      </c>
      <c r="W22" s="468">
        <v>0</v>
      </c>
      <c r="X22" s="469">
        <v>0</v>
      </c>
      <c r="Y22" s="470">
        <v>5.4926183252032829245095086700</v>
      </c>
      <c r="Z22" s="468">
        <v>-0.2166847237021124999853212200</v>
      </c>
      <c r="AA22" s="469">
        <v>6.5974715155337728883242966900</v>
      </c>
      <c r="AB22" s="470">
        <v>2.8507696295298946231468510800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231.54638419418924042628409303</v>
      </c>
      <c r="E25" s="455">
        <v>312.11561750379586907408212163</v>
      </c>
      <c r="F25" s="456">
        <v>232.7013075861715247934068435</v>
      </c>
      <c r="G25" s="454">
        <v>280.17226962388069394945566982</v>
      </c>
      <c r="H25" s="455">
        <v>357.25249881836547371272690294</v>
      </c>
      <c r="I25" s="456">
        <v>290.22576524823938046683341547</v>
      </c>
      <c r="J25" s="454">
        <v>0</v>
      </c>
      <c r="K25" s="455">
        <v>0</v>
      </c>
      <c r="L25" s="456">
        <v>170.37437344648907805315965346</v>
      </c>
      <c r="M25" s="454">
        <v>234.46185484093733614073549379</v>
      </c>
      <c r="N25" s="455">
        <v>314.68622715990201071179388472</v>
      </c>
      <c r="O25" s="456">
        <v>236.89683623087655843062632338</v>
      </c>
      <c r="P25" s="5"/>
      <c r="Q25" s="427">
        <v>5.2096484593884630892620386400</v>
      </c>
      <c r="R25" s="428">
        <v>18.741496718974240861922048280</v>
      </c>
      <c r="S25" s="429">
        <v>5.6468390357775699929165616300</v>
      </c>
      <c r="T25" s="427">
        <v>18.546900166126151377479214680</v>
      </c>
      <c r="U25" s="428">
        <v>4.8456945045546965848561057700</v>
      </c>
      <c r="V25" s="429">
        <v>-3.7792403274576755387326026600</v>
      </c>
      <c r="W25" s="427">
        <v>0</v>
      </c>
      <c r="X25" s="428">
        <v>0</v>
      </c>
      <c r="Y25" s="429">
        <v>4.7251546601274596361145649500</v>
      </c>
      <c r="Z25" s="427">
        <v>6.4688328070899901104196387800</v>
      </c>
      <c r="AA25" s="428">
        <v>18.312112772091665271318453070</v>
      </c>
      <c r="AB25" s="429">
        <v>3.0450605633692282201895437400</v>
      </c>
    </row>
    <row r="26" ht="18" customHeight="1">
      <c r="A26" s="58"/>
      <c r="B26" s="1043" t="s">
        <v>46</v>
      </c>
      <c r="C26" s="1043"/>
      <c r="D26" s="439">
        <v>239.01373914731086877298205018</v>
      </c>
      <c r="E26" s="95">
        <v>318.71430581932445196668293291</v>
      </c>
      <c r="F26" s="440">
        <v>237.23752961413659773824831755</v>
      </c>
      <c r="G26" s="439">
        <v>293.7858231212300798025637487</v>
      </c>
      <c r="H26" s="95">
        <v>374.93895979217313547931778604</v>
      </c>
      <c r="I26" s="440">
        <v>283.3819049479392174292283874</v>
      </c>
      <c r="J26" s="439">
        <v>0</v>
      </c>
      <c r="K26" s="95">
        <v>0</v>
      </c>
      <c r="L26" s="440">
        <v>172.56557146587752751236236151</v>
      </c>
      <c r="M26" s="439">
        <v>245.24796008743175458122712157</v>
      </c>
      <c r="N26" s="95">
        <v>321.01309916744773715288946865</v>
      </c>
      <c r="O26" s="440">
        <v>242.46316126397336848468338447</v>
      </c>
      <c r="P26" s="5"/>
      <c r="Q26" s="420">
        <v>9.858359404186960135836675810</v>
      </c>
      <c r="R26" s="91">
        <v>23.001651655797633984896093890</v>
      </c>
      <c r="S26" s="421">
        <v>4.6660891814370087826700655900</v>
      </c>
      <c r="T26" s="420">
        <v>16.430202107523218621503217540</v>
      </c>
      <c r="U26" s="91">
        <v>-0.2121397263020530691223942800</v>
      </c>
      <c r="V26" s="421">
        <v>0.1239370144210999654936548300</v>
      </c>
      <c r="W26" s="420">
        <v>0</v>
      </c>
      <c r="X26" s="91">
        <v>0</v>
      </c>
      <c r="Y26" s="421">
        <v>8.584258387495247511130141550</v>
      </c>
      <c r="Z26" s="420">
        <v>11.854822610326109607830001160</v>
      </c>
      <c r="AA26" s="91">
        <v>22.191418399872429606910198710</v>
      </c>
      <c r="AB26" s="421">
        <v>3.6187051908449079011220855500</v>
      </c>
    </row>
    <row r="27" ht="18" customHeight="1">
      <c r="A27" s="58"/>
      <c r="B27" s="1043" t="s">
        <v>47</v>
      </c>
      <c r="C27" s="1043"/>
      <c r="D27" s="439">
        <v>240.68769235835122703052081421</v>
      </c>
      <c r="E27" s="95">
        <v>300.45768920978003155078003124</v>
      </c>
      <c r="F27" s="440">
        <v>247.78841112267235296431151067</v>
      </c>
      <c r="G27" s="439">
        <v>259.04578179002619248115639553</v>
      </c>
      <c r="H27" s="95">
        <v>392.47348799842580513896673728</v>
      </c>
      <c r="I27" s="440">
        <v>269.21636164517108661835061329</v>
      </c>
      <c r="J27" s="439">
        <v>0</v>
      </c>
      <c r="K27" s="95">
        <v>0</v>
      </c>
      <c r="L27" s="440">
        <v>156.24950368130630125726576413</v>
      </c>
      <c r="M27" s="439">
        <v>243.28080932462313226271332006</v>
      </c>
      <c r="N27" s="95">
        <v>302.997807878893786515257235</v>
      </c>
      <c r="O27" s="440">
        <v>244.82627794276461296835640957</v>
      </c>
      <c r="P27" s="93"/>
      <c r="Q27" s="420">
        <v>10.684579117935048311842984810</v>
      </c>
      <c r="R27" s="91">
        <v>13.805479457541194506946965260</v>
      </c>
      <c r="S27" s="421">
        <v>5.8263027148959678615703672700</v>
      </c>
      <c r="T27" s="420">
        <v>5.6186889452686763937889110700</v>
      </c>
      <c r="U27" s="91">
        <v>-9.054376088128882497285649260</v>
      </c>
      <c r="V27" s="421">
        <v>-3.6074386448181168377527930300</v>
      </c>
      <c r="W27" s="420">
        <v>0</v>
      </c>
      <c r="X27" s="91">
        <v>0</v>
      </c>
      <c r="Y27" s="421">
        <v>3.9048629928284699258145489300</v>
      </c>
      <c r="Z27" s="420">
        <v>11.036366390618664379467410990</v>
      </c>
      <c r="AA27" s="91">
        <v>12.048252525195807859806020960</v>
      </c>
      <c r="AB27" s="421">
        <v>2.5920182712811367122390350800</v>
      </c>
    </row>
    <row r="28" ht="18" customHeight="1">
      <c r="A28" s="58"/>
      <c r="B28" s="1043" t="s">
        <v>48</v>
      </c>
      <c r="C28" s="1043"/>
      <c r="D28" s="439">
        <v>232.98065904789307146587975465</v>
      </c>
      <c r="E28" s="95">
        <v>296.22474270906221097905885612</v>
      </c>
      <c r="F28" s="440">
        <v>238.20927914918250180762370182</v>
      </c>
      <c r="G28" s="439">
        <v>264.36847454501491452977167461</v>
      </c>
      <c r="H28" s="95">
        <v>432.68890537319471036312503347</v>
      </c>
      <c r="I28" s="440">
        <v>273.78203718987078310150616219</v>
      </c>
      <c r="J28" s="439">
        <v>0</v>
      </c>
      <c r="K28" s="95">
        <v>0</v>
      </c>
      <c r="L28" s="440">
        <v>162.22136685021372274967301264</v>
      </c>
      <c r="M28" s="439">
        <v>238.103150537023356253906916</v>
      </c>
      <c r="N28" s="95">
        <v>300.01317596679966584262041355</v>
      </c>
      <c r="O28" s="440">
        <v>241.00247864459311801900615105</v>
      </c>
      <c r="P28" s="5"/>
      <c r="Q28" s="420">
        <v>3.4223269550937624561300792500</v>
      </c>
      <c r="R28" s="91">
        <v>13.034571370565024770138372010</v>
      </c>
      <c r="S28" s="421">
        <v>-0.8719906822186290640206999800</v>
      </c>
      <c r="T28" s="420">
        <v>-12.905731168144723239778369490</v>
      </c>
      <c r="U28" s="91">
        <v>-8.223142521217654513588887810</v>
      </c>
      <c r="V28" s="421">
        <v>5.5094047868954515059576825300</v>
      </c>
      <c r="W28" s="420">
        <v>0</v>
      </c>
      <c r="X28" s="91">
        <v>0</v>
      </c>
      <c r="Y28" s="421">
        <v>6.5829691497276914713524501700</v>
      </c>
      <c r="Z28" s="420">
        <v>4.7687967189372325969829580400</v>
      </c>
      <c r="AA28" s="91">
        <v>9.269707741536543999445930400</v>
      </c>
      <c r="AB28" s="421">
        <v>1.5781823978973859930625196400</v>
      </c>
    </row>
    <row r="29" ht="18" customHeight="1">
      <c r="A29" s="58"/>
      <c r="B29" s="1043" t="s">
        <v>49</v>
      </c>
      <c r="C29" s="1043"/>
      <c r="D29" s="439">
        <v>242.28885532644696138473486879</v>
      </c>
      <c r="E29" s="95">
        <v>342.58161333679860217037007827</v>
      </c>
      <c r="F29" s="440">
        <v>236.30857236525524430451063076</v>
      </c>
      <c r="G29" s="439">
        <v>275.77480513904336146763833292</v>
      </c>
      <c r="H29" s="95">
        <v>494.4490995267053042631417003</v>
      </c>
      <c r="I29" s="440">
        <v>292.56545442039336143783445119</v>
      </c>
      <c r="J29" s="439">
        <v>0</v>
      </c>
      <c r="K29" s="95">
        <v>0</v>
      </c>
      <c r="L29" s="440">
        <v>161.61855754996285021260720584</v>
      </c>
      <c r="M29" s="439">
        <v>246.57669036342576871242372699</v>
      </c>
      <c r="N29" s="95">
        <v>347.57725432988763842342177637</v>
      </c>
      <c r="O29" s="440">
        <v>241.58089857352301216193691017</v>
      </c>
      <c r="P29" s="93"/>
      <c r="Q29" s="420">
        <v>-7.7922201013967852931850974700</v>
      </c>
      <c r="R29" s="91">
        <v>8.352774580575939025611269990</v>
      </c>
      <c r="S29" s="421">
        <v>-5.9037025273437755202920701300</v>
      </c>
      <c r="T29" s="420">
        <v>-11.376749762868108839217541310</v>
      </c>
      <c r="U29" s="91">
        <v>-8.256321864525649954287321170</v>
      </c>
      <c r="V29" s="421">
        <v>12.617306661570629069002962550</v>
      </c>
      <c r="W29" s="420">
        <v>0</v>
      </c>
      <c r="X29" s="91">
        <v>0</v>
      </c>
      <c r="Y29" s="421">
        <v>0.3407441567178904411178453500</v>
      </c>
      <c r="Z29" s="420">
        <v>-6.7861753766473273968657664400</v>
      </c>
      <c r="AA29" s="91">
        <v>5.2200317167434413164757704400</v>
      </c>
      <c r="AB29" s="421">
        <v>-1.8648349822042632260803449700</v>
      </c>
    </row>
    <row r="30" ht="18" customHeight="1">
      <c r="A30" s="58"/>
      <c r="B30" s="1044" t="s">
        <v>75</v>
      </c>
      <c r="C30" s="1044"/>
      <c r="D30" s="457">
        <v>237.2640016758206370043157903</v>
      </c>
      <c r="E30" s="458">
        <v>312.82411433684431240271789894</v>
      </c>
      <c r="F30" s="459">
        <v>238.85174376594714263293748829</v>
      </c>
      <c r="G30" s="457">
        <v>271.3123310656709254966410008</v>
      </c>
      <c r="H30" s="458">
        <v>402.60393972162310292887082009</v>
      </c>
      <c r="I30" s="459">
        <v>279.99221348778501268532021248</v>
      </c>
      <c r="J30" s="457">
        <v>0</v>
      </c>
      <c r="K30" s="458">
        <v>0</v>
      </c>
      <c r="L30" s="459">
        <v>164.06485215055828588235989576</v>
      </c>
      <c r="M30" s="457">
        <v>241.51531216280824249594735605</v>
      </c>
      <c r="N30" s="458">
        <v>316.11443891313676321992816151</v>
      </c>
      <c r="O30" s="459">
        <v>241.54646921731482293082768295</v>
      </c>
      <c r="P30" s="5"/>
      <c r="Q30" s="430">
        <v>4.2046738359518784875204597400</v>
      </c>
      <c r="R30" s="431">
        <v>14.833867108366727575613388520</v>
      </c>
      <c r="S30" s="432">
        <v>1.843924167300864445671963800</v>
      </c>
      <c r="T30" s="430">
        <v>2.1199202824770833888538171500</v>
      </c>
      <c r="U30" s="431">
        <v>-9.991012071082263478100051390</v>
      </c>
      <c r="V30" s="432">
        <v>1.5646703544489993544518104100</v>
      </c>
      <c r="W30" s="430">
        <v>0</v>
      </c>
      <c r="X30" s="431">
        <v>0</v>
      </c>
      <c r="Y30" s="432">
        <v>4.6425090172393710788663535900</v>
      </c>
      <c r="Z30" s="430">
        <v>5.4107296300712192237723214700</v>
      </c>
      <c r="AA30" s="431">
        <v>12.718580714183547054651335210</v>
      </c>
      <c r="AB30" s="432">
        <v>1.7711955945677377202556393600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330.46160484241059916469535503</v>
      </c>
      <c r="E32" s="494">
        <v>422.06996120014877121150518144</v>
      </c>
      <c r="F32" s="495">
        <v>282.64887486971797203511773314</v>
      </c>
      <c r="G32" s="493">
        <v>321.2507426369164165379429346</v>
      </c>
      <c r="H32" s="494">
        <v>495.04297573843534501705972716</v>
      </c>
      <c r="I32" s="495">
        <v>304.91928078099793845515751896</v>
      </c>
      <c r="J32" s="493">
        <v>0</v>
      </c>
      <c r="K32" s="494">
        <v>0</v>
      </c>
      <c r="L32" s="495">
        <v>159.42811672791915564784135348</v>
      </c>
      <c r="M32" s="493">
        <v>329.43193528691836330194864136</v>
      </c>
      <c r="N32" s="494">
        <v>424.77880795194880311792349413</v>
      </c>
      <c r="O32" s="495">
        <v>276.89499825205094516349614496</v>
      </c>
      <c r="P32" s="93"/>
      <c r="Q32" s="479">
        <v>-1.4013950888480055181670699900</v>
      </c>
      <c r="R32" s="480">
        <v>11.016259195997484343254794170</v>
      </c>
      <c r="S32" s="481">
        <v>-0.0611610941572392987904302400</v>
      </c>
      <c r="T32" s="479">
        <v>1.9768621892421031148264133200</v>
      </c>
      <c r="U32" s="480">
        <v>49.325630291766793545270529010</v>
      </c>
      <c r="V32" s="481">
        <v>20.707733539602529001402483220</v>
      </c>
      <c r="W32" s="479">
        <v>0</v>
      </c>
      <c r="X32" s="480">
        <v>0</v>
      </c>
      <c r="Y32" s="481">
        <v>-1.3455026179939370973252751200</v>
      </c>
      <c r="Z32" s="479">
        <v>-1.4619523502201178810154805600</v>
      </c>
      <c r="AA32" s="480">
        <v>12.449989320574942778775902040</v>
      </c>
      <c r="AB32" s="481">
        <v>3.3577586422374718782451817100</v>
      </c>
    </row>
    <row r="33" ht="18" customHeight="1">
      <c r="A33" s="58"/>
      <c r="B33" s="1046" t="s">
        <v>51</v>
      </c>
      <c r="C33" s="1046"/>
      <c r="D33" s="276">
        <v>339.83780221035913253238698608</v>
      </c>
      <c r="E33" s="94">
        <v>407.75261059529824211270183728</v>
      </c>
      <c r="F33" s="277">
        <v>287.2371334747476668659081954</v>
      </c>
      <c r="G33" s="276">
        <v>359.13517537276142289144113524</v>
      </c>
      <c r="H33" s="94">
        <v>416.96029001372159852921946183</v>
      </c>
      <c r="I33" s="277">
        <v>308.20421365816897224999210395</v>
      </c>
      <c r="J33" s="276">
        <v>0</v>
      </c>
      <c r="K33" s="94">
        <v>0</v>
      </c>
      <c r="L33" s="277">
        <v>159.55026733722560036425659985</v>
      </c>
      <c r="M33" s="276">
        <v>340.97294180814750255350781838</v>
      </c>
      <c r="N33" s="94">
        <v>408.25333032197987478792031838</v>
      </c>
      <c r="O33" s="277">
        <v>280.96411132891632495645268095</v>
      </c>
      <c r="P33" s="5"/>
      <c r="Q33" s="271">
        <v>0.0180913369904106847360886500</v>
      </c>
      <c r="R33" s="92">
        <v>7.7230622760770635617005657500</v>
      </c>
      <c r="S33" s="272">
        <v>0.9587863504294636002308056300</v>
      </c>
      <c r="T33" s="271">
        <v>11.574106666875152268249081260</v>
      </c>
      <c r="U33" s="92">
        <v>57.768238551517256940739956230</v>
      </c>
      <c r="V33" s="272">
        <v>19.515836918390582277920136610</v>
      </c>
      <c r="W33" s="271">
        <v>0</v>
      </c>
      <c r="X33" s="92">
        <v>0</v>
      </c>
      <c r="Y33" s="272">
        <v>-2.614107175617186428325018400</v>
      </c>
      <c r="Z33" s="271">
        <v>0.4577862246394773693638264900</v>
      </c>
      <c r="AA33" s="92">
        <v>8.601191514703880178861489040</v>
      </c>
      <c r="AB33" s="272">
        <v>3.6042122351777510132162902600</v>
      </c>
    </row>
    <row r="34" ht="18" customHeight="1">
      <c r="A34" s="58"/>
      <c r="B34" s="1047" t="s">
        <v>76</v>
      </c>
      <c r="C34" s="1047"/>
      <c r="D34" s="443">
        <v>335.29019039038853421753544027</v>
      </c>
      <c r="E34" s="444">
        <v>414.96519585838386339077518268</v>
      </c>
      <c r="F34" s="445">
        <v>284.96893895453754755886864901</v>
      </c>
      <c r="G34" s="443">
        <v>334.32989203381528777903159911</v>
      </c>
      <c r="H34" s="444">
        <v>448.58055117496931404908866019</v>
      </c>
      <c r="I34" s="445">
        <v>306.54734073758701326537399224</v>
      </c>
      <c r="J34" s="443">
        <v>0</v>
      </c>
      <c r="K34" s="444">
        <v>0</v>
      </c>
      <c r="L34" s="445">
        <v>159.48899606902803611612959392</v>
      </c>
      <c r="M34" s="633">
        <v>335.20829692647771929283054417</v>
      </c>
      <c r="N34" s="634">
        <v>416.50356877567086775146199463</v>
      </c>
      <c r="O34" s="635">
        <v>278.9427667573093301303942243</v>
      </c>
      <c r="P34" s="93"/>
      <c r="Q34" s="273">
        <v>-0.650749187233560492885950900</v>
      </c>
      <c r="R34" s="274">
        <v>9.397406862615084390788204420</v>
      </c>
      <c r="S34" s="275">
        <v>0.4532033552430660222023990100</v>
      </c>
      <c r="T34" s="273">
        <v>5.3886567521229250282764158100</v>
      </c>
      <c r="U34" s="274">
        <v>44.829180501449475737019223500</v>
      </c>
      <c r="V34" s="275">
        <v>20.226193304420460818848288150</v>
      </c>
      <c r="W34" s="273">
        <v>0</v>
      </c>
      <c r="X34" s="274">
        <v>0</v>
      </c>
      <c r="Y34" s="275">
        <v>-1.9819659724979143301942889400</v>
      </c>
      <c r="Z34" s="273">
        <v>-0.4908302981466254728388279700</v>
      </c>
      <c r="AA34" s="274">
        <v>10.534200193921722858666055120</v>
      </c>
      <c r="AB34" s="275">
        <v>3.4870748463505188635418150900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264.2133006435795280416794361</v>
      </c>
      <c r="E36" s="483">
        <v>342.00797084946481439307674789</v>
      </c>
      <c r="F36" s="484">
        <v>251.79538873351245811548968453</v>
      </c>
      <c r="G36" s="482">
        <v>284.80285035629453681710213777</v>
      </c>
      <c r="H36" s="483">
        <v>422.37861271676300578034682081</v>
      </c>
      <c r="I36" s="484">
        <v>290.23896294018052750251646104</v>
      </c>
      <c r="J36" s="482">
        <v>0</v>
      </c>
      <c r="K36" s="483">
        <v>0</v>
      </c>
      <c r="L36" s="484">
        <v>162.91416487242856323647171602</v>
      </c>
      <c r="M36" s="482">
        <v>266.56623235613463626492942454</v>
      </c>
      <c r="N36" s="483">
        <v>345.0544478527607361963190184</v>
      </c>
      <c r="O36" s="484">
        <v>252.54264097892906757172685151</v>
      </c>
      <c r="P36" s="93"/>
      <c r="Q36" s="468">
        <v>2.4890666781314954155256716700</v>
      </c>
      <c r="R36" s="469">
        <v>12.611142699627763681251487990</v>
      </c>
      <c r="S36" s="470">
        <v>1.2574134812701421859359941600</v>
      </c>
      <c r="T36" s="468">
        <v>3.242876876974183653565297100</v>
      </c>
      <c r="U36" s="469">
        <v>2.1729836356584691068676141100</v>
      </c>
      <c r="V36" s="470">
        <v>5.6045373869776458602362605300</v>
      </c>
      <c r="W36" s="468">
        <v>0</v>
      </c>
      <c r="X36" s="469">
        <v>0</v>
      </c>
      <c r="Y36" s="470">
        <v>3.2422895430122431155886148500</v>
      </c>
      <c r="Z36" s="468">
        <v>3.1414733022789974030718427700</v>
      </c>
      <c r="AA36" s="469">
        <v>11.871019783866345980813828870</v>
      </c>
      <c r="AB36" s="470">
        <v>2.3580318992408185817642390600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192.51678534327476618776272148</v>
      </c>
      <c r="E39" s="455">
        <v>255.4085649049957475126573178</v>
      </c>
      <c r="F39" s="456">
        <v>128.7609049483695424959451694</v>
      </c>
      <c r="G39" s="454">
        <v>14.85762035884215801247113402</v>
      </c>
      <c r="H39" s="455">
        <v>17.654919999744805386966155104</v>
      </c>
      <c r="I39" s="456">
        <v>38.438043823019088003127426377</v>
      </c>
      <c r="J39" s="454">
        <v>0</v>
      </c>
      <c r="K39" s="455">
        <v>0</v>
      </c>
      <c r="L39" s="456">
        <v>12.159447255147719104096317685</v>
      </c>
      <c r="M39" s="454">
        <v>207.3744057021169242002338553</v>
      </c>
      <c r="N39" s="455">
        <v>273.06348490474055289962347264</v>
      </c>
      <c r="O39" s="456">
        <v>179.35839602653634960316891327</v>
      </c>
      <c r="P39" s="5"/>
      <c r="Q39" s="427">
        <v>-2.9684124502676608544257984100</v>
      </c>
      <c r="R39" s="428">
        <v>21.623056305107206492532317190</v>
      </c>
      <c r="S39" s="429">
        <v>9.701279561636352902159490780</v>
      </c>
      <c r="T39" s="427">
        <v>729.82830115059392392015910365</v>
      </c>
      <c r="U39" s="428">
        <v>55.069742931503153586403012530</v>
      </c>
      <c r="V39" s="429">
        <v>-5.2549922423491498910570985400</v>
      </c>
      <c r="W39" s="427">
        <v>0</v>
      </c>
      <c r="X39" s="428">
        <v>0</v>
      </c>
      <c r="Y39" s="429">
        <v>11.267647239077681710838334280</v>
      </c>
      <c r="Z39" s="427">
        <v>3.5853019185552286205838193300</v>
      </c>
      <c r="AA39" s="428">
        <v>23.343114216648301791425556300</v>
      </c>
      <c r="AB39" s="429">
        <v>6.2095362729900597702480002400</v>
      </c>
    </row>
    <row r="40" ht="18" customHeight="1">
      <c r="A40" s="58"/>
      <c r="B40" s="1043" t="s">
        <v>46</v>
      </c>
      <c r="C40" s="1043"/>
      <c r="D40" s="439">
        <v>197.36740581103700527465942042</v>
      </c>
      <c r="E40" s="95">
        <v>260.80836362831346868785245843</v>
      </c>
      <c r="F40" s="440">
        <v>126.08886531206978489945999374</v>
      </c>
      <c r="G40" s="439">
        <v>31.159102452251675130574943074</v>
      </c>
      <c r="H40" s="95">
        <v>13.079266039261853563232015805</v>
      </c>
      <c r="I40" s="440">
        <v>51.750954698813005872932282457</v>
      </c>
      <c r="J40" s="439">
        <v>0</v>
      </c>
      <c r="K40" s="95">
        <v>0</v>
      </c>
      <c r="L40" s="440">
        <v>11.591634805222771045755338496</v>
      </c>
      <c r="M40" s="439">
        <v>228.52650826328868040523436328</v>
      </c>
      <c r="N40" s="95">
        <v>273.88762966757532225108447398</v>
      </c>
      <c r="O40" s="440">
        <v>189.4314548161055618181476145</v>
      </c>
      <c r="P40" s="5"/>
      <c r="Q40" s="420">
        <v>1.9979657159696843330952018500</v>
      </c>
      <c r="R40" s="91">
        <v>34.312141815277834869909106100</v>
      </c>
      <c r="S40" s="421">
        <v>9.251654362730405526811066520</v>
      </c>
      <c r="T40" s="420">
        <v>171.67047158379018076431551053</v>
      </c>
      <c r="U40" s="91">
        <v>45.852721353793009123778040310</v>
      </c>
      <c r="V40" s="421">
        <v>3.866837289648320559452447900</v>
      </c>
      <c r="W40" s="420">
        <v>0</v>
      </c>
      <c r="X40" s="91">
        <v>0</v>
      </c>
      <c r="Y40" s="421">
        <v>11.801081725403834202516244270</v>
      </c>
      <c r="Z40" s="420">
        <v>11.492246199898685361446621770</v>
      </c>
      <c r="AA40" s="91">
        <v>34.821570528738376237149493720</v>
      </c>
      <c r="AB40" s="421">
        <v>7.8743368795228632126330484500</v>
      </c>
    </row>
    <row r="41" ht="18" customHeight="1">
      <c r="A41" s="58"/>
      <c r="B41" s="1043" t="s">
        <v>47</v>
      </c>
      <c r="C41" s="1043"/>
      <c r="D41" s="439">
        <v>195.10290213896652494140702383</v>
      </c>
      <c r="E41" s="95">
        <v>246.13074656777910724130759559</v>
      </c>
      <c r="F41" s="440">
        <v>137.48110217372418507603871069</v>
      </c>
      <c r="G41" s="439">
        <v>34.539437572003492330820852772</v>
      </c>
      <c r="H41" s="95">
        <v>9.127290418568041979975970643</v>
      </c>
      <c r="I41" s="440">
        <v>50.817360142051687541847768826</v>
      </c>
      <c r="J41" s="439">
        <v>0</v>
      </c>
      <c r="K41" s="95">
        <v>0</v>
      </c>
      <c r="L41" s="440">
        <v>10.993344289870242111187877984</v>
      </c>
      <c r="M41" s="439">
        <v>229.64233971097001727222787636</v>
      </c>
      <c r="N41" s="95">
        <v>255.25803698634714922128356599</v>
      </c>
      <c r="O41" s="440">
        <v>199.29180660564611472907435729</v>
      </c>
      <c r="P41" s="93"/>
      <c r="Q41" s="420">
        <v>0.7079078708819360564862211100</v>
      </c>
      <c r="R41" s="91">
        <v>27.322274023003240458687832310</v>
      </c>
      <c r="S41" s="421">
        <v>12.166292400356251815098177730</v>
      </c>
      <c r="T41" s="420">
        <v>151.20120613993515475697587528</v>
      </c>
      <c r="U41" s="91">
        <v>-27.361386925053391431619715730</v>
      </c>
      <c r="V41" s="421">
        <v>-10.772989187343086372058523990</v>
      </c>
      <c r="W41" s="420">
        <v>0</v>
      </c>
      <c r="X41" s="91">
        <v>0</v>
      </c>
      <c r="Y41" s="421">
        <v>8.685229782216703932503740990</v>
      </c>
      <c r="Z41" s="420">
        <v>10.681050018147669914933150390</v>
      </c>
      <c r="AA41" s="91">
        <v>23.984777290751263091970196180</v>
      </c>
      <c r="AB41" s="421">
        <v>5.0913511037164401853559770800</v>
      </c>
    </row>
    <row r="42" ht="18" customHeight="1">
      <c r="A42" s="58"/>
      <c r="B42" s="1043" t="s">
        <v>48</v>
      </c>
      <c r="C42" s="1043"/>
      <c r="D42" s="439">
        <v>184.61952224552738844947744212</v>
      </c>
      <c r="E42" s="95">
        <v>242.83539954638239388399592298</v>
      </c>
      <c r="F42" s="440">
        <v>130.69098393108104728513355441</v>
      </c>
      <c r="G42" s="439">
        <v>40.856946066047759518237440661</v>
      </c>
      <c r="H42" s="95">
        <v>9.559406048942673833603925167</v>
      </c>
      <c r="I42" s="440">
        <v>57.462542056428931955305172042</v>
      </c>
      <c r="J42" s="439">
        <v>0</v>
      </c>
      <c r="K42" s="95">
        <v>0</v>
      </c>
      <c r="L42" s="440">
        <v>11.000810864287249012239320982</v>
      </c>
      <c r="M42" s="439">
        <v>225.47646831157514796771488258</v>
      </c>
      <c r="N42" s="95">
        <v>252.39480559532506771759984791</v>
      </c>
      <c r="O42" s="440">
        <v>199.15433685179722825267804721</v>
      </c>
      <c r="P42" s="5"/>
      <c r="Q42" s="420">
        <v>-5.7257045794779043313844348300</v>
      </c>
      <c r="R42" s="91">
        <v>20.202488336145315457513243190</v>
      </c>
      <c r="S42" s="421">
        <v>-3.9668855820806280672279961600</v>
      </c>
      <c r="T42" s="420">
        <v>492.24102805622566298141060514</v>
      </c>
      <c r="U42" s="91">
        <v>-58.557256812825495164913242430</v>
      </c>
      <c r="V42" s="421">
        <v>22.299270263513120079994400710</v>
      </c>
      <c r="W42" s="420">
        <v>0</v>
      </c>
      <c r="X42" s="91">
        <v>0</v>
      </c>
      <c r="Y42" s="421">
        <v>6.7958787152573730104314077500</v>
      </c>
      <c r="Z42" s="420">
        <v>11.219529425643026784812300720</v>
      </c>
      <c r="AA42" s="91">
        <v>12.131374895430897530334642030</v>
      </c>
      <c r="AB42" s="421">
        <v>2.9884183635291509194131028700</v>
      </c>
    </row>
    <row r="43" ht="18" customHeight="1">
      <c r="A43" s="58"/>
      <c r="B43" s="1043" t="s">
        <v>49</v>
      </c>
      <c r="C43" s="1043"/>
      <c r="D43" s="439">
        <v>196.85969495273815612509708108</v>
      </c>
      <c r="E43" s="95">
        <v>292.78777418900810766886279973</v>
      </c>
      <c r="F43" s="440">
        <v>139.02315916702666207780223496</v>
      </c>
      <c r="G43" s="439">
        <v>32.90494834045403744784321021</v>
      </c>
      <c r="H43" s="95">
        <v>14.373520335078642565789002929</v>
      </c>
      <c r="I43" s="440">
        <v>51.13260796290109186843603371</v>
      </c>
      <c r="J43" s="439">
        <v>0</v>
      </c>
      <c r="K43" s="95">
        <v>0</v>
      </c>
      <c r="L43" s="440">
        <v>11.74097904003092648166344185</v>
      </c>
      <c r="M43" s="439">
        <v>229.76464329319219357294029106</v>
      </c>
      <c r="N43" s="95">
        <v>307.16129452408675023465180238</v>
      </c>
      <c r="O43" s="440">
        <v>201.8967461699586804279017103</v>
      </c>
      <c r="P43" s="93"/>
      <c r="Q43" s="420">
        <v>-16.896769797281356560227076410</v>
      </c>
      <c r="R43" s="91">
        <v>13.287598790390176134490481910</v>
      </c>
      <c r="S43" s="421">
        <v>-4.0805637145707719428445211400</v>
      </c>
      <c r="T43" s="420">
        <v>210.18137583016097941891932602</v>
      </c>
      <c r="U43" s="91">
        <v>-51.937232884780405064815032770</v>
      </c>
      <c r="V43" s="421">
        <v>1.0075583159093340912670581400</v>
      </c>
      <c r="W43" s="420">
        <v>0</v>
      </c>
      <c r="X43" s="91">
        <v>0</v>
      </c>
      <c r="Y43" s="421">
        <v>12.162636201012445152742610770</v>
      </c>
      <c r="Z43" s="420">
        <v>-7.1635592820037517550866848300</v>
      </c>
      <c r="AA43" s="91">
        <v>6.5229677784794758257094537500</v>
      </c>
      <c r="AB43" s="421">
        <v>-2.0050933674791601551192353400</v>
      </c>
    </row>
    <row r="44" ht="18" customHeight="1">
      <c r="A44" s="58"/>
      <c r="B44" s="1044" t="s">
        <v>75</v>
      </c>
      <c r="C44" s="1044"/>
      <c r="D44" s="457">
        <v>192.98125756139405805929541913</v>
      </c>
      <c r="E44" s="458">
        <v>258.22043370273076368654581348</v>
      </c>
      <c r="F44" s="459">
        <v>132.56146128335864180448595082</v>
      </c>
      <c r="G44" s="457">
        <v>31.484936490747624618584028012</v>
      </c>
      <c r="H44" s="458">
        <v>12.448377628813399324174917017</v>
      </c>
      <c r="I44" s="459">
        <v>50.303906224151629111988530659</v>
      </c>
      <c r="J44" s="457">
        <v>0</v>
      </c>
      <c r="K44" s="458">
        <v>0</v>
      </c>
      <c r="L44" s="459">
        <v>11.451773644199687370145290316</v>
      </c>
      <c r="M44" s="457">
        <v>224.46619405214168267787944696</v>
      </c>
      <c r="N44" s="458">
        <v>270.66881133154416301072073026</v>
      </c>
      <c r="O44" s="459">
        <v>194.31714115170995828661977158</v>
      </c>
      <c r="P44" s="5"/>
      <c r="Q44" s="430">
        <v>-4.8215624127730082579304266100</v>
      </c>
      <c r="R44" s="431">
        <v>22.979576828947385506671370720</v>
      </c>
      <c r="S44" s="432">
        <v>4.772613926215567732208829100</v>
      </c>
      <c r="T44" s="430">
        <v>240.73676371502960879799277368</v>
      </c>
      <c r="U44" s="431">
        <v>-24.987919637559016961131669030</v>
      </c>
      <c r="V44" s="432">
        <v>1.8487899171704698921038987300</v>
      </c>
      <c r="W44" s="430">
        <v>0</v>
      </c>
      <c r="X44" s="431">
        <v>0</v>
      </c>
      <c r="Y44" s="432">
        <v>9.920320822971732847167393630</v>
      </c>
      <c r="Z44" s="430">
        <v>5.8814883779430989063984449400</v>
      </c>
      <c r="AA44" s="431">
        <v>19.466115928028367704599935110</v>
      </c>
      <c r="AB44" s="432">
        <v>4.2854199883280022811969942400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273.50704794722240877835581495</v>
      </c>
      <c r="E46" s="494">
        <v>389.862587707404860617603987</v>
      </c>
      <c r="F46" s="495">
        <v>190.08291553640714415874354923</v>
      </c>
      <c r="G46" s="493">
        <v>33.46361902467879338936905572</v>
      </c>
      <c r="H46" s="494">
        <v>17.62871061859253772226448158</v>
      </c>
      <c r="I46" s="495">
        <v>51.646478117895021480596745915</v>
      </c>
      <c r="J46" s="493">
        <v>0</v>
      </c>
      <c r="K46" s="494">
        <v>0</v>
      </c>
      <c r="L46" s="495">
        <v>11.694054855394758210640849993</v>
      </c>
      <c r="M46" s="493">
        <v>306.97066697190120216772487036</v>
      </c>
      <c r="N46" s="494">
        <v>407.4912983259973983398684682</v>
      </c>
      <c r="O46" s="495">
        <v>253.42344850969692384998114488</v>
      </c>
      <c r="P46" s="93"/>
      <c r="Q46" s="479">
        <v>-10.791738413718962754816428590</v>
      </c>
      <c r="R46" s="480">
        <v>24.179992729570179347626337010</v>
      </c>
      <c r="S46" s="481">
        <v>1.6913339160516592017204066200</v>
      </c>
      <c r="T46" s="479">
        <v>167.08225811402766773956893325</v>
      </c>
      <c r="U46" s="480">
        <v>22.085238751430658627507325880</v>
      </c>
      <c r="V46" s="481">
        <v>29.979845719649095474856264970</v>
      </c>
      <c r="W46" s="479">
        <v>0</v>
      </c>
      <c r="X46" s="480">
        <v>0</v>
      </c>
      <c r="Y46" s="481">
        <v>3.3443966756740491548635917200</v>
      </c>
      <c r="Z46" s="479">
        <v>-3.8080963418829137622030129100</v>
      </c>
      <c r="AA46" s="480">
        <v>24.087883859445493030500445500</v>
      </c>
      <c r="AB46" s="481">
        <v>6.4932888123361367867225938700</v>
      </c>
    </row>
    <row r="47" ht="18" customHeight="1">
      <c r="A47" s="58"/>
      <c r="B47" s="1046" t="s">
        <v>51</v>
      </c>
      <c r="C47" s="1046"/>
      <c r="D47" s="276">
        <v>298.64534133637620737694613957</v>
      </c>
      <c r="E47" s="94">
        <v>371.00746254746613308510370695</v>
      </c>
      <c r="F47" s="277">
        <v>197.58596476901759275861008457</v>
      </c>
      <c r="G47" s="276">
        <v>19.725227435246366030022335099</v>
      </c>
      <c r="H47" s="94">
        <v>21.817689593741246434668460233</v>
      </c>
      <c r="I47" s="277">
        <v>51.295065796251925967474705082</v>
      </c>
      <c r="J47" s="276">
        <v>0</v>
      </c>
      <c r="K47" s="94">
        <v>0</v>
      </c>
      <c r="L47" s="277">
        <v>11.628155236025512944908285206</v>
      </c>
      <c r="M47" s="276">
        <v>318.37056877162257340696847436</v>
      </c>
      <c r="N47" s="94">
        <v>392.82515214120737951977216681</v>
      </c>
      <c r="O47" s="277">
        <v>260.5091858012950316709930746</v>
      </c>
      <c r="P47" s="5"/>
      <c r="Q47" s="271">
        <v>-5.4818851723932805724765213200</v>
      </c>
      <c r="R47" s="92">
        <v>9.297346766314167300028159210</v>
      </c>
      <c r="S47" s="272">
        <v>0.7596644955943592723980471700</v>
      </c>
      <c r="T47" s="271">
        <v>223.56490933588809428576088596</v>
      </c>
      <c r="U47" s="92">
        <v>295.31164622897483541936045918</v>
      </c>
      <c r="V47" s="272">
        <v>55.099862772438615691159495820</v>
      </c>
      <c r="W47" s="271">
        <v>0</v>
      </c>
      <c r="X47" s="92">
        <v>0</v>
      </c>
      <c r="Y47" s="272">
        <v>2.0614527759061007884451330200</v>
      </c>
      <c r="Z47" s="271">
        <v>-1.146330122254849497900481700</v>
      </c>
      <c r="AA47" s="92">
        <v>13.873277360968553020254996590</v>
      </c>
      <c r="AB47" s="272">
        <v>8.29197264269981398094058700</v>
      </c>
    </row>
    <row r="48" ht="18" customHeight="1">
      <c r="A48" s="58"/>
      <c r="B48" s="1047" t="s">
        <v>76</v>
      </c>
      <c r="C48" s="1047"/>
      <c r="D48" s="443">
        <v>286.07619464179930807765097724</v>
      </c>
      <c r="E48" s="444">
        <v>380.43502512743549685135384697</v>
      </c>
      <c r="F48" s="445">
        <v>193.83444015271236845867681691</v>
      </c>
      <c r="G48" s="443">
        <v>26.594423229962579709695695409</v>
      </c>
      <c r="H48" s="444">
        <v>19.723200106166892078466470906</v>
      </c>
      <c r="I48" s="445">
        <v>51.470771957073473724035725499</v>
      </c>
      <c r="J48" s="443">
        <v>0</v>
      </c>
      <c r="K48" s="444">
        <v>0</v>
      </c>
      <c r="L48" s="445">
        <v>11.6611050457101355777745676</v>
      </c>
      <c r="M48" s="443">
        <v>312.67061787176188778734667236</v>
      </c>
      <c r="N48" s="444">
        <v>400.15822523360238892982031751</v>
      </c>
      <c r="O48" s="445">
        <v>256.96631715549597776048710974</v>
      </c>
      <c r="P48" s="93"/>
      <c r="Q48" s="273">
        <v>-8.096842933990672097696783380</v>
      </c>
      <c r="R48" s="274">
        <v>16.448279072303776453082056750</v>
      </c>
      <c r="S48" s="275">
        <v>1.2143405595167589732852781400</v>
      </c>
      <c r="T48" s="273">
        <v>185.56926345744665196137386770</v>
      </c>
      <c r="U48" s="274">
        <v>97.63928246774993369666887589</v>
      </c>
      <c r="V48" s="275">
        <v>41.390588971790983885542948590</v>
      </c>
      <c r="W48" s="273">
        <v>0</v>
      </c>
      <c r="X48" s="274">
        <v>0</v>
      </c>
      <c r="Y48" s="275">
        <v>2.7007306721742656271722266400</v>
      </c>
      <c r="Z48" s="273">
        <v>-2.4711122822714937132346999100</v>
      </c>
      <c r="AA48" s="274">
        <v>18.854841602302360658736704660</v>
      </c>
      <c r="AB48" s="275">
        <v>7.3974993848451588164092667100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217.70909090909090909090909091</v>
      </c>
      <c r="E50" s="483">
        <v>291.03817829457364341085271318</v>
      </c>
      <c r="F50" s="484">
        <v>147.62536230125842685724551732</v>
      </c>
      <c r="G50" s="482">
        <v>30.278282828282828282828282828</v>
      </c>
      <c r="H50" s="483">
        <v>14.161143410852713178294573643</v>
      </c>
      <c r="I50" s="484">
        <v>51.934052482280502073566833726</v>
      </c>
      <c r="J50" s="482">
        <v>0</v>
      </c>
      <c r="K50" s="483">
        <v>0</v>
      </c>
      <c r="L50" s="484">
        <v>11.464173302513967882172044045</v>
      </c>
      <c r="M50" s="482">
        <v>247.98737373737373737373737374</v>
      </c>
      <c r="N50" s="483">
        <v>305.19932170542635658914728682</v>
      </c>
      <c r="O50" s="484">
        <v>211.02358808605289681298439509</v>
      </c>
      <c r="P50" s="93"/>
      <c r="Q50" s="468">
        <v>-6.0348905392651950782129212800</v>
      </c>
      <c r="R50" s="469">
        <v>20.697934276657073994767160650</v>
      </c>
      <c r="S50" s="470">
        <v>3.3478353537316524135766329200</v>
      </c>
      <c r="T50" s="468">
        <v>226.80639973830556227755040414</v>
      </c>
      <c r="U50" s="469">
        <v>-4.3124927026123772368999969400</v>
      </c>
      <c r="V50" s="470">
        <v>10.313244520532439644231947510</v>
      </c>
      <c r="W50" s="468">
        <v>0</v>
      </c>
      <c r="X50" s="469">
        <v>0</v>
      </c>
      <c r="Y50" s="470">
        <v>8.912994457898590667709768380</v>
      </c>
      <c r="Z50" s="468">
        <v>2.9179814858149940578076020500</v>
      </c>
      <c r="AA50" s="469">
        <v>19.251678448214861897846108940</v>
      </c>
      <c r="AB50" s="470">
        <v>5.2760235859346558487237195800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78.074866310160427807486631070</v>
      </c>
      <c r="E11" s="428">
        <v>77.821477428180574555403556830</v>
      </c>
      <c r="F11" s="429">
        <v>56.254323935470046224018122310</v>
      </c>
      <c r="G11" s="427">
        <v>11.007130124777183600713012490</v>
      </c>
      <c r="H11" s="428">
        <v>7.1477428180574555403556771600</v>
      </c>
      <c r="I11" s="429">
        <v>13.504760155508617259007561160</v>
      </c>
      <c r="J11" s="427">
        <v>0</v>
      </c>
      <c r="K11" s="428">
        <v>0</v>
      </c>
      <c r="L11" s="429">
        <v>8.008081550188263385067499320</v>
      </c>
      <c r="M11" s="427">
        <v>89.08199643493761140819964349</v>
      </c>
      <c r="N11" s="428">
        <v>84.96922024623803009575923393</v>
      </c>
      <c r="O11" s="429">
        <v>77.767777879817552882113447820</v>
      </c>
      <c r="P11" s="5"/>
      <c r="Q11" s="427">
        <v>-7.3506081437967109084446406300</v>
      </c>
      <c r="R11" s="428">
        <v>-2.6858691990475969520491138900</v>
      </c>
      <c r="S11" s="429">
        <v>-0.8547517811680539551730378500</v>
      </c>
      <c r="T11" s="427">
        <v>111.11111111173903133903320693</v>
      </c>
      <c r="U11" s="428">
        <v>91.28894641429437745083117884</v>
      </c>
      <c r="V11" s="429">
        <v>11.151354620332617555934731470</v>
      </c>
      <c r="W11" s="427">
        <v>0</v>
      </c>
      <c r="X11" s="428">
        <v>0</v>
      </c>
      <c r="Y11" s="429">
        <v>9.453914791301741192623628590</v>
      </c>
      <c r="Z11" s="427">
        <v>-0.4482071713657067943365717400</v>
      </c>
      <c r="AA11" s="428">
        <v>1.5692624289983943482456923200</v>
      </c>
      <c r="AB11" s="429">
        <v>2.0492514178376586363264855800</v>
      </c>
    </row>
    <row r="12" ht="18" customHeight="1">
      <c r="A12" s="58"/>
      <c r="B12" s="1043" t="s">
        <v>46</v>
      </c>
      <c r="C12" s="1043"/>
      <c r="D12" s="420">
        <v>70.944741532976827094474153350</v>
      </c>
      <c r="E12" s="91">
        <v>74.230506155950752393980848210</v>
      </c>
      <c r="F12" s="421">
        <v>52.181100192855174947194416430</v>
      </c>
      <c r="G12" s="420">
        <v>20.409982174688057040998217480</v>
      </c>
      <c r="H12" s="91">
        <v>8.755129958960328317373461020</v>
      </c>
      <c r="I12" s="421">
        <v>19.815716166161569779900205120</v>
      </c>
      <c r="J12" s="420">
        <v>0</v>
      </c>
      <c r="K12" s="91">
        <v>0</v>
      </c>
      <c r="L12" s="421">
        <v>8.000734686380751216824318130</v>
      </c>
      <c r="M12" s="420">
        <v>91.35472370766488413547237077</v>
      </c>
      <c r="N12" s="91">
        <v>82.96853625170998632010943912</v>
      </c>
      <c r="O12" s="421">
        <v>79.99632656809624391587840940</v>
      </c>
      <c r="P12" s="5"/>
      <c r="Q12" s="420">
        <v>-5.8823529411916050842447506700</v>
      </c>
      <c r="R12" s="91">
        <v>1.7502685177962455235019418500</v>
      </c>
      <c r="S12" s="421">
        <v>-0.7547259911578104709994676300</v>
      </c>
      <c r="T12" s="420">
        <v>36.219431592543508321142608240</v>
      </c>
      <c r="U12" s="91">
        <v>50.632652917248955710941444040</v>
      </c>
      <c r="V12" s="421">
        <v>16.402124259183259817719513200</v>
      </c>
      <c r="W12" s="420">
        <v>0</v>
      </c>
      <c r="X12" s="91">
        <v>0</v>
      </c>
      <c r="Y12" s="421">
        <v>12.351776960024650945357394040</v>
      </c>
      <c r="Z12" s="420">
        <v>1.1457705169284345717504212100</v>
      </c>
      <c r="AA12" s="91">
        <v>5.3787686426833301585969893300</v>
      </c>
      <c r="AB12" s="421">
        <v>4.2671453274949176192099275300</v>
      </c>
    </row>
    <row r="13" ht="18" customHeight="1">
      <c r="A13" s="58"/>
      <c r="B13" s="1043" t="s">
        <v>47</v>
      </c>
      <c r="C13" s="1043"/>
      <c r="D13" s="420">
        <v>68.672014260249554367201426070</v>
      </c>
      <c r="E13" s="91">
        <v>73.905608755129958960328317430</v>
      </c>
      <c r="F13" s="421">
        <v>53.445013868224316232251428200</v>
      </c>
      <c r="G13" s="420">
        <v>22.459893048128342245989304830</v>
      </c>
      <c r="H13" s="91">
        <v>9.952120383036935704514363890</v>
      </c>
      <c r="I13" s="421">
        <v>23.405154203633291085762568670</v>
      </c>
      <c r="J13" s="420">
        <v>0</v>
      </c>
      <c r="K13" s="91">
        <v>0</v>
      </c>
      <c r="L13" s="421">
        <v>8.215009521010512910000428610</v>
      </c>
      <c r="M13" s="420">
        <v>91.13190730837789661319073084</v>
      </c>
      <c r="N13" s="91">
        <v>83.84062927496580027359781122</v>
      </c>
      <c r="O13" s="421">
        <v>85.06885129467374466547883642</v>
      </c>
      <c r="P13" s="184"/>
      <c r="Q13" s="420">
        <v>-5.4117647058691928388746784100</v>
      </c>
      <c r="R13" s="91">
        <v>-0.1219092200935210672516205400</v>
      </c>
      <c r="S13" s="421">
        <v>-0.5623657683801252608375932300</v>
      </c>
      <c r="T13" s="420">
        <v>21.008403361384050763162420810</v>
      </c>
      <c r="U13" s="91">
        <v>76.920969134634538154375355570</v>
      </c>
      <c r="V13" s="421">
        <v>15.280689762442525332963848860</v>
      </c>
      <c r="W13" s="420">
        <v>0</v>
      </c>
      <c r="X13" s="91">
        <v>0</v>
      </c>
      <c r="Y13" s="421">
        <v>13.361850048919816074717721400</v>
      </c>
      <c r="Z13" s="420">
        <v>-0.1248100716397101875294845300</v>
      </c>
      <c r="AA13" s="91">
        <v>5.3602401799773546273651019900</v>
      </c>
      <c r="AB13" s="421">
        <v>4.6416674571051496339505860500</v>
      </c>
    </row>
    <row r="14" ht="18" customHeight="1">
      <c r="A14" s="58"/>
      <c r="B14" s="1043" t="s">
        <v>48</v>
      </c>
      <c r="C14" s="1043"/>
      <c r="D14" s="420">
        <v>70.538720538720538720538720590</v>
      </c>
      <c r="E14" s="91">
        <v>73.966408268733850129198966460</v>
      </c>
      <c r="F14" s="421">
        <v>54.912435895212160107308668580</v>
      </c>
      <c r="G14" s="420">
        <v>21.759259259259259259259259270</v>
      </c>
      <c r="H14" s="91">
        <v>8.704780361757105943152454790</v>
      </c>
      <c r="I14" s="421">
        <v>22.560838117704195792066327880</v>
      </c>
      <c r="J14" s="420">
        <v>0</v>
      </c>
      <c r="K14" s="91">
        <v>0</v>
      </c>
      <c r="L14" s="421">
        <v>7.948704606293977185344503620</v>
      </c>
      <c r="M14" s="420">
        <v>92.29797979797979797979797980</v>
      </c>
      <c r="N14" s="91">
        <v>82.67118863049095607235142119</v>
      </c>
      <c r="O14" s="421">
        <v>85.421978619210333084719500</v>
      </c>
      <c r="P14" s="5"/>
      <c r="Q14" s="420">
        <v>-2.6513598468937253234770820500</v>
      </c>
      <c r="R14" s="91">
        <v>-2.8104932465837780222757383800</v>
      </c>
      <c r="S14" s="421">
        <v>-1.4134657881057060331644588400</v>
      </c>
      <c r="T14" s="420">
        <v>21.4621337753889503560145500</v>
      </c>
      <c r="U14" s="91">
        <v>33.119208322379968513163997850</v>
      </c>
      <c r="V14" s="421">
        <v>8.068415229242926856742166770</v>
      </c>
      <c r="W14" s="420">
        <v>0</v>
      </c>
      <c r="X14" s="91">
        <v>0</v>
      </c>
      <c r="Y14" s="421">
        <v>8.050854542319488397520387280</v>
      </c>
      <c r="Z14" s="420">
        <v>2.0781994413868800697752032400</v>
      </c>
      <c r="AA14" s="91">
        <v>0.0749040855450816066445558600</v>
      </c>
      <c r="AB14" s="421">
        <v>1.7746809584718697253060455700</v>
      </c>
    </row>
    <row r="15" ht="18" customHeight="1">
      <c r="A15" s="58"/>
      <c r="B15" s="1043" t="s">
        <v>49</v>
      </c>
      <c r="C15" s="1043"/>
      <c r="D15" s="420">
        <v>78.074866310160427807486631070</v>
      </c>
      <c r="E15" s="91">
        <v>77.992476060191518467852257240</v>
      </c>
      <c r="F15" s="421">
        <v>58.597154889574457666128005530</v>
      </c>
      <c r="G15" s="420">
        <v>14.171122994652406417112299480</v>
      </c>
      <c r="H15" s="91">
        <v>7.5581395348837209302325581500</v>
      </c>
      <c r="I15" s="421">
        <v>18.209808530434356789579354600</v>
      </c>
      <c r="J15" s="420">
        <v>0</v>
      </c>
      <c r="K15" s="91">
        <v>0</v>
      </c>
      <c r="L15" s="421">
        <v>8.276406640223299544586455130</v>
      </c>
      <c r="M15" s="420">
        <v>92.24598930481283422459893048</v>
      </c>
      <c r="N15" s="91">
        <v>85.55061559507523939808481532</v>
      </c>
      <c r="O15" s="421">
        <v>85.08153371529308065226972234</v>
      </c>
      <c r="P15" s="184"/>
      <c r="Q15" s="420">
        <v>-1.0728402033364313245490286900</v>
      </c>
      <c r="R15" s="91">
        <v>-5.3028891113389084157687423900</v>
      </c>
      <c r="S15" s="421">
        <v>-0.9398444081955661506344783500</v>
      </c>
      <c r="T15" s="420">
        <v>3.2467532465910018552878246400</v>
      </c>
      <c r="U15" s="91">
        <v>75.298083823048856845218317140</v>
      </c>
      <c r="V15" s="421">
        <v>1.4924634840788590097686362900</v>
      </c>
      <c r="W15" s="420">
        <v>0</v>
      </c>
      <c r="X15" s="91">
        <v>0</v>
      </c>
      <c r="Y15" s="421">
        <v>15.949329267075689720306687330</v>
      </c>
      <c r="Z15" s="420">
        <v>-0.4807692307833931213017731300</v>
      </c>
      <c r="AA15" s="91">
        <v>-1.2457460241628821423919782200</v>
      </c>
      <c r="AB15" s="421">
        <v>1.0100311542076905618386793600</v>
      </c>
    </row>
    <row r="16" ht="18" customHeight="1">
      <c r="A16" s="58"/>
      <c r="B16" s="1044" t="s">
        <v>75</v>
      </c>
      <c r="C16" s="1044"/>
      <c r="D16" s="430">
        <v>73.229386892177589852008456690</v>
      </c>
      <c r="E16" s="431">
        <v>75.564494321254732287723093580</v>
      </c>
      <c r="F16" s="432">
        <v>55.076241649724077839093813570</v>
      </c>
      <c r="G16" s="430">
        <v>18.005637773079633544749823830</v>
      </c>
      <c r="H16" s="431">
        <v>8.426852352623039480800432670</v>
      </c>
      <c r="I16" s="432">
        <v>19.534804918191499661148223460</v>
      </c>
      <c r="J16" s="430">
        <v>0</v>
      </c>
      <c r="K16" s="431">
        <v>0</v>
      </c>
      <c r="L16" s="432">
        <v>8.088149869300029044437990130</v>
      </c>
      <c r="M16" s="430">
        <v>91.23502466525722339675828048</v>
      </c>
      <c r="N16" s="431">
        <v>83.98458626284478096268253110</v>
      </c>
      <c r="O16" s="432">
        <v>82.69943847419885758543905509</v>
      </c>
      <c r="P16" s="5"/>
      <c r="Q16" s="430">
        <v>-4.479068710795718687636418400</v>
      </c>
      <c r="R16" s="431">
        <v>-1.8530755372099961013026984300</v>
      </c>
      <c r="S16" s="432">
        <v>-0.8090436838987603162387713100</v>
      </c>
      <c r="T16" s="430">
        <v>27.325581395476162790697801820</v>
      </c>
      <c r="U16" s="431">
        <v>61.520268067583886646942418230</v>
      </c>
      <c r="V16" s="432">
        <v>10.483472582449811127296016300</v>
      </c>
      <c r="W16" s="430">
        <v>0</v>
      </c>
      <c r="X16" s="431">
        <v>0</v>
      </c>
      <c r="Y16" s="432">
        <v>11.798610475444166769096607300</v>
      </c>
      <c r="Z16" s="629">
        <v>0.4451177505718849754485071700</v>
      </c>
      <c r="AA16" s="214">
        <v>2.2112569310489091219582534700</v>
      </c>
      <c r="AB16" s="630">
        <v>2.808129868059440861436893800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84.49197860962566844919786102</v>
      </c>
      <c r="E18" s="480">
        <v>85.36251709986320109439124493</v>
      </c>
      <c r="F18" s="481">
        <v>65.291856422310366779295822980</v>
      </c>
      <c r="G18" s="479">
        <v>8.734402852049910873440285210</v>
      </c>
      <c r="H18" s="480">
        <v>4.2407660738714090287277701800</v>
      </c>
      <c r="I18" s="481">
        <v>15.787057440869692963126193640</v>
      </c>
      <c r="J18" s="479">
        <v>0</v>
      </c>
      <c r="K18" s="480">
        <v>0</v>
      </c>
      <c r="L18" s="481">
        <v>8.325987953577199941236961960</v>
      </c>
      <c r="M18" s="479">
        <v>93.22638146167557932263814617</v>
      </c>
      <c r="N18" s="480">
        <v>89.60328317373461012311901505</v>
      </c>
      <c r="O18" s="481">
        <v>89.40612604671661524900837373</v>
      </c>
      <c r="P18" s="184"/>
      <c r="Q18" s="479">
        <v>-4.194037392633768056253112100</v>
      </c>
      <c r="R18" s="480">
        <v>0.5843636626459956392378299600</v>
      </c>
      <c r="S18" s="481">
        <v>-0.0658363404623014448578184200</v>
      </c>
      <c r="T18" s="479">
        <v>37.062937063105755782679067300</v>
      </c>
      <c r="U18" s="480">
        <v>42.675665294819134131679989270</v>
      </c>
      <c r="V18" s="481">
        <v>1.2115258098392468983117418500</v>
      </c>
      <c r="W18" s="479">
        <v>0</v>
      </c>
      <c r="X18" s="480">
        <v>0</v>
      </c>
      <c r="Y18" s="481">
        <v>11.452164045254990587065995430</v>
      </c>
      <c r="Z18" s="479">
        <v>-1.4601978333018004144101265100</v>
      </c>
      <c r="AA18" s="480">
        <v>2.0838952423714157610696321900</v>
      </c>
      <c r="AB18" s="481">
        <v>1.1366918337804251125048417800</v>
      </c>
    </row>
    <row r="19" ht="18" customHeight="1">
      <c r="A19" s="58"/>
      <c r="B19" s="1046" t="s">
        <v>51</v>
      </c>
      <c r="C19" s="1046"/>
      <c r="D19" s="271">
        <v>86.49732620320855614973262038</v>
      </c>
      <c r="E19" s="92">
        <v>84.16552667578659370725034206</v>
      </c>
      <c r="F19" s="272">
        <v>67.137478188998071448250528110</v>
      </c>
      <c r="G19" s="271">
        <v>7.3529411764705882352941176500</v>
      </c>
      <c r="H19" s="92">
        <v>5.5745554035567715458276333800</v>
      </c>
      <c r="I19" s="272">
        <v>15.342700584687911347843389370</v>
      </c>
      <c r="J19" s="271">
        <v>0</v>
      </c>
      <c r="K19" s="92">
        <v>0</v>
      </c>
      <c r="L19" s="272">
        <v>8.360118774298221446719931440</v>
      </c>
      <c r="M19" s="271">
        <v>93.85026737967914438502673797</v>
      </c>
      <c r="N19" s="92">
        <v>89.74008207934336525307797538</v>
      </c>
      <c r="O19" s="272">
        <v>90.84213426393608228487464414</v>
      </c>
      <c r="P19" s="5"/>
      <c r="Q19" s="271">
        <v>-4.3842364531840719260355713400</v>
      </c>
      <c r="R19" s="92">
        <v>-4.0427852957903053318213168600</v>
      </c>
      <c r="S19" s="272">
        <v>-1.9385709780343785224342830200</v>
      </c>
      <c r="T19" s="271">
        <v>73.684210524377839335201678910</v>
      </c>
      <c r="U19" s="92">
        <v>112.89398530706022160349231008</v>
      </c>
      <c r="V19" s="272">
        <v>12.404023819094494695465014930</v>
      </c>
      <c r="W19" s="271">
        <v>0</v>
      </c>
      <c r="X19" s="92">
        <v>0</v>
      </c>
      <c r="Y19" s="272">
        <v>11.947359669523829994886851010</v>
      </c>
      <c r="Z19" s="271">
        <v>-0.9407337723140978203826749600</v>
      </c>
      <c r="AA19" s="92">
        <v>-0.6278345260664151096980043200</v>
      </c>
      <c r="AB19" s="272">
        <v>1.404524893779171633105539600</v>
      </c>
    </row>
    <row r="20" ht="18" customHeight="1">
      <c r="A20" s="58"/>
      <c r="B20" s="1047" t="s">
        <v>76</v>
      </c>
      <c r="C20" s="1047"/>
      <c r="D20" s="273">
        <v>85.49465240641711229946524069</v>
      </c>
      <c r="E20" s="274">
        <v>84.76402188782489740082079348</v>
      </c>
      <c r="F20" s="275">
        <v>66.214574093289623909177448680</v>
      </c>
      <c r="G20" s="273">
        <v>8.043672014260249554367201430</v>
      </c>
      <c r="H20" s="274">
        <v>4.9076607387140902872777017800</v>
      </c>
      <c r="I20" s="275">
        <v>15.564901454838186364985935250</v>
      </c>
      <c r="J20" s="273">
        <v>0</v>
      </c>
      <c r="K20" s="274">
        <v>0</v>
      </c>
      <c r="L20" s="275">
        <v>8.343051640174715261261757630</v>
      </c>
      <c r="M20" s="273">
        <v>93.53832442067736185383244207</v>
      </c>
      <c r="N20" s="274">
        <v>89.67168262653898768809849521</v>
      </c>
      <c r="O20" s="275">
        <v>90.12405763032479040596505083</v>
      </c>
      <c r="P20" s="184"/>
      <c r="Q20" s="273">
        <v>-4.2903467199303086638251498800</v>
      </c>
      <c r="R20" s="274">
        <v>-1.7673497873194254208260236400</v>
      </c>
      <c r="S20" s="275">
        <v>-1.0242465290357813511595359800</v>
      </c>
      <c r="T20" s="273">
        <v>51.680672269774309723894508740</v>
      </c>
      <c r="U20" s="274">
        <v>75.562726566724849449558793120</v>
      </c>
      <c r="V20" s="275">
        <v>6.4351059522713134136958239100</v>
      </c>
      <c r="W20" s="273">
        <v>0</v>
      </c>
      <c r="X20" s="274">
        <v>0</v>
      </c>
      <c r="Y20" s="275">
        <v>11.699696397423990901062801380</v>
      </c>
      <c r="Z20" s="273">
        <v>-1.2002824193500137725703939800</v>
      </c>
      <c r="AA20" s="274">
        <v>0.708745510034920519926084300</v>
      </c>
      <c r="AB20" s="275">
        <v>1.2714166822561856960402772600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76.704545454545454545454545450</v>
      </c>
      <c r="E22" s="469">
        <v>78.059593023255813953488372090</v>
      </c>
      <c r="F22" s="470">
        <v>58.166503765034734265483248270</v>
      </c>
      <c r="G22" s="468">
        <v>15.189393939393939393939393940</v>
      </c>
      <c r="H22" s="469">
        <v>7.5048449612403100775193798400</v>
      </c>
      <c r="I22" s="470">
        <v>18.483092417967155903419897340</v>
      </c>
      <c r="J22" s="468">
        <v>0</v>
      </c>
      <c r="K22" s="469">
        <v>0</v>
      </c>
      <c r="L22" s="470">
        <v>8.153135419056351514046804210</v>
      </c>
      <c r="M22" s="468">
        <v>91.89393939393939393939393939</v>
      </c>
      <c r="N22" s="469">
        <v>85.56443798449612403100775194</v>
      </c>
      <c r="O22" s="470">
        <v>84.80273160205824168294994983</v>
      </c>
      <c r="P22" s="184"/>
      <c r="Q22" s="468">
        <v>-4.5927108480137639387979252900</v>
      </c>
      <c r="R22" s="469">
        <v>-1.8970207349404626190703676300</v>
      </c>
      <c r="S22" s="470">
        <v>-0.8730628019995449732863910800</v>
      </c>
      <c r="T22" s="468">
        <v>30.784366576859453110628386080</v>
      </c>
      <c r="U22" s="469">
        <v>66.661049875029200019304332710</v>
      </c>
      <c r="V22" s="470">
        <v>9.404110193120841450505001920</v>
      </c>
      <c r="W22" s="468">
        <v>0</v>
      </c>
      <c r="X22" s="469">
        <v>0</v>
      </c>
      <c r="Y22" s="470">
        <v>12.109589346768417450693521200</v>
      </c>
      <c r="Z22" s="468">
        <v>-0.1272455089315015104521240300</v>
      </c>
      <c r="AA22" s="469">
        <v>1.7750779150699031677970229300</v>
      </c>
      <c r="AB22" s="470">
        <v>2.3623761134831836002901942400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264.12051153043550368777366702</v>
      </c>
      <c r="E25" s="455">
        <v>350.81232353157612145797878442</v>
      </c>
      <c r="F25" s="456">
        <v>265.07334226049256608883306768</v>
      </c>
      <c r="G25" s="454">
        <v>305.76263300706224976736939488</v>
      </c>
      <c r="H25" s="455">
        <v>384.95664397128104008714565014</v>
      </c>
      <c r="I25" s="456">
        <v>298.61891996735637574735791657</v>
      </c>
      <c r="J25" s="454">
        <v>0</v>
      </c>
      <c r="K25" s="455">
        <v>0</v>
      </c>
      <c r="L25" s="456">
        <v>170.72274112674801159892126738</v>
      </c>
      <c r="M25" s="454">
        <v>269.26588622014376095723847181</v>
      </c>
      <c r="N25" s="455">
        <v>353.6845968146907634356386254</v>
      </c>
      <c r="O25" s="456">
        <v>261.18092533182164804434948165</v>
      </c>
      <c r="P25" s="5"/>
      <c r="Q25" s="427">
        <v>1.9573746616818961032557791300</v>
      </c>
      <c r="R25" s="428">
        <v>11.866782372215703903055066590</v>
      </c>
      <c r="S25" s="429">
        <v>0.9736217380101350908718298800</v>
      </c>
      <c r="T25" s="427">
        <v>-6.6873838738178759414710180800</v>
      </c>
      <c r="U25" s="428">
        <v>-0.0819353633701901214378562400</v>
      </c>
      <c r="V25" s="429">
        <v>-3.3289885447977878743770689500</v>
      </c>
      <c r="W25" s="427">
        <v>0</v>
      </c>
      <c r="X25" s="428">
        <v>0</v>
      </c>
      <c r="Y25" s="429">
        <v>9.763310065082992754318592290</v>
      </c>
      <c r="Z25" s="427">
        <v>2.3635744406249177014164835500</v>
      </c>
      <c r="AA25" s="428">
        <v>11.605880199698676254112027240</v>
      </c>
      <c r="AB25" s="429">
        <v>0.5944840974630794084667512400</v>
      </c>
    </row>
    <row r="26" ht="18" customHeight="1">
      <c r="A26" s="58"/>
      <c r="B26" s="1043" t="s">
        <v>46</v>
      </c>
      <c r="C26" s="1043"/>
      <c r="D26" s="439">
        <v>261.47585153413868247538437198</v>
      </c>
      <c r="E26" s="95">
        <v>350.48995898227370142025801813</v>
      </c>
      <c r="F26" s="440">
        <v>265.10925724540124132970840837</v>
      </c>
      <c r="G26" s="439">
        <v>300.38887505976093711135755474</v>
      </c>
      <c r="H26" s="95">
        <v>404.34080026769257513446784021</v>
      </c>
      <c r="I26" s="440">
        <v>302.71989520803679154163431162</v>
      </c>
      <c r="J26" s="439">
        <v>0</v>
      </c>
      <c r="K26" s="95">
        <v>0</v>
      </c>
      <c r="L26" s="440">
        <v>170.39187571217061913926223404</v>
      </c>
      <c r="M26" s="439">
        <v>270.16959044864355692576277086</v>
      </c>
      <c r="N26" s="95">
        <v>356.2447241712919901760485554</v>
      </c>
      <c r="O26" s="440">
        <v>264.95672158037923990509453895</v>
      </c>
      <c r="P26" s="5"/>
      <c r="Q26" s="420">
        <v>-0.0502132114388391412198660100</v>
      </c>
      <c r="R26" s="91">
        <v>12.677508903130277178018915390</v>
      </c>
      <c r="S26" s="421">
        <v>1.0253353951132962392079837700</v>
      </c>
      <c r="T26" s="420">
        <v>0.1231777182181507091848931300</v>
      </c>
      <c r="U26" s="91">
        <v>12.481247136937254149420737850</v>
      </c>
      <c r="V26" s="421">
        <v>0.156484544874051764697609400</v>
      </c>
      <c r="W26" s="420">
        <v>0</v>
      </c>
      <c r="X26" s="91">
        <v>0</v>
      </c>
      <c r="Y26" s="421">
        <v>4.4017997828289079327483999300</v>
      </c>
      <c r="Z26" s="420">
        <v>0.771457554984064006587094700</v>
      </c>
      <c r="AA26" s="91">
        <v>13.207831454581481597252364940</v>
      </c>
      <c r="AB26" s="421">
        <v>1.1110150168199228451269148200</v>
      </c>
    </row>
    <row r="27" ht="18" customHeight="1">
      <c r="A27" s="58"/>
      <c r="B27" s="1043" t="s">
        <v>47</v>
      </c>
      <c r="C27" s="1043"/>
      <c r="D27" s="439">
        <v>268.6047480032620136923241657</v>
      </c>
      <c r="E27" s="95">
        <v>349.89777413184341101228620222</v>
      </c>
      <c r="F27" s="440">
        <v>283.01768276108510650461487636</v>
      </c>
      <c r="G27" s="439">
        <v>301.12720889374555302052138171</v>
      </c>
      <c r="H27" s="95">
        <v>410.72944573710455427339938904</v>
      </c>
      <c r="I27" s="440">
        <v>301.75447038556127679766804159</v>
      </c>
      <c r="J27" s="439">
        <v>0</v>
      </c>
      <c r="K27" s="95">
        <v>0</v>
      </c>
      <c r="L27" s="440">
        <v>161.65916395970575645512285064</v>
      </c>
      <c r="M27" s="439">
        <v>276.62006354790930162455467759</v>
      </c>
      <c r="N27" s="95">
        <v>357.19003002586621924989178264</v>
      </c>
      <c r="O27" s="440">
        <v>276.44108394923911037233325301</v>
      </c>
      <c r="P27" s="93"/>
      <c r="Q27" s="420">
        <v>0.9951250055806381811581459600</v>
      </c>
      <c r="R27" s="91">
        <v>16.855470659972641871172140600</v>
      </c>
      <c r="S27" s="421">
        <v>4.5194699756071730884882097400</v>
      </c>
      <c r="T27" s="420">
        <v>3.0289686312433917744988873500</v>
      </c>
      <c r="U27" s="91">
        <v>2.6247372995402979175883756100</v>
      </c>
      <c r="V27" s="421">
        <v>0.5505935339934461028519327400</v>
      </c>
      <c r="W27" s="420">
        <v>0</v>
      </c>
      <c r="X27" s="91">
        <v>0</v>
      </c>
      <c r="Y27" s="421">
        <v>5.7208909068648308520840845800</v>
      </c>
      <c r="Z27" s="420">
        <v>2.0490297361586795741399299700</v>
      </c>
      <c r="AA27" s="91">
        <v>16.480593803695957308836064500</v>
      </c>
      <c r="AB27" s="421">
        <v>3.3046169312985558146461927500</v>
      </c>
    </row>
    <row r="28" ht="18" customHeight="1">
      <c r="A28" s="58"/>
      <c r="B28" s="1043" t="s">
        <v>48</v>
      </c>
      <c r="C28" s="1043"/>
      <c r="D28" s="439">
        <v>265.69971278116501791838417801</v>
      </c>
      <c r="E28" s="95">
        <v>355.31606655682538498378466358</v>
      </c>
      <c r="F28" s="440">
        <v>279.6524432219786369462409403</v>
      </c>
      <c r="G28" s="439">
        <v>305.64551026416633899351354911</v>
      </c>
      <c r="H28" s="95">
        <v>393.63105116848399761587919492</v>
      </c>
      <c r="I28" s="440">
        <v>300.39674387282262327163759442</v>
      </c>
      <c r="J28" s="439">
        <v>0</v>
      </c>
      <c r="K28" s="95">
        <v>0</v>
      </c>
      <c r="L28" s="440">
        <v>163.02426113851876286484633426</v>
      </c>
      <c r="M28" s="439">
        <v>275.1169390915670621481342395</v>
      </c>
      <c r="N28" s="95">
        <v>359.35040465131336939650178656</v>
      </c>
      <c r="O28" s="440">
        <v>274.27871895661044744089246689</v>
      </c>
      <c r="P28" s="5"/>
      <c r="Q28" s="420">
        <v>-1.7770931034960926926790960900</v>
      </c>
      <c r="R28" s="91">
        <v>21.065973670792583947621362200</v>
      </c>
      <c r="S28" s="421">
        <v>2.1710744628043586866665543100</v>
      </c>
      <c r="T28" s="420">
        <v>3.0405926096456118685323786600</v>
      </c>
      <c r="U28" s="91">
        <v>2.8008976139030235596903288400</v>
      </c>
      <c r="V28" s="421">
        <v>2.1447711248157861757365402400</v>
      </c>
      <c r="W28" s="420">
        <v>0</v>
      </c>
      <c r="X28" s="91">
        <v>0</v>
      </c>
      <c r="Y28" s="421">
        <v>3.6376409163363283184229478300</v>
      </c>
      <c r="Z28" s="420">
        <v>-0.1566268191304005255100384200</v>
      </c>
      <c r="AA28" s="91">
        <v>19.538005686078060030772859140</v>
      </c>
      <c r="AB28" s="421">
        <v>2.1240638408133949324421244100</v>
      </c>
    </row>
    <row r="29" ht="18" customHeight="1">
      <c r="A29" s="58"/>
      <c r="B29" s="1043" t="s">
        <v>49</v>
      </c>
      <c r="C29" s="1043"/>
      <c r="D29" s="439">
        <v>279.48729646881570382207255055</v>
      </c>
      <c r="E29" s="95">
        <v>379.59612645941751642617193876</v>
      </c>
      <c r="F29" s="440">
        <v>281.48011681749495850629518343</v>
      </c>
      <c r="G29" s="439">
        <v>307.05765932286744232444172381</v>
      </c>
      <c r="H29" s="95">
        <v>388.77126763865178249886644889</v>
      </c>
      <c r="I29" s="440">
        <v>304.13003628652251176486615466</v>
      </c>
      <c r="J29" s="439">
        <v>0</v>
      </c>
      <c r="K29" s="95">
        <v>0</v>
      </c>
      <c r="L29" s="440">
        <v>163.78132067401700745451951698</v>
      </c>
      <c r="M29" s="439">
        <v>283.72274351595988393982781485</v>
      </c>
      <c r="N29" s="95">
        <v>380.40672258198828308700163564</v>
      </c>
      <c r="O29" s="440">
        <v>274.88461386761573745384538575</v>
      </c>
      <c r="P29" s="93"/>
      <c r="Q29" s="420">
        <v>-6.5595601208128263580231588800</v>
      </c>
      <c r="R29" s="91">
        <v>12.870369957248761552448129750</v>
      </c>
      <c r="S29" s="421">
        <v>-0.0973075175006558953044341600</v>
      </c>
      <c r="T29" s="420">
        <v>0.1334278513827485956426959100</v>
      </c>
      <c r="U29" s="91">
        <v>-3.9613240125234680116451336700</v>
      </c>
      <c r="V29" s="421">
        <v>2.8372027345495351943168584600</v>
      </c>
      <c r="W29" s="420">
        <v>0</v>
      </c>
      <c r="X29" s="91">
        <v>0</v>
      </c>
      <c r="Y29" s="421">
        <v>2.4779847055073642640865302500</v>
      </c>
      <c r="Z29" s="420">
        <v>-5.4510552976423838782134791800</v>
      </c>
      <c r="AA29" s="91">
        <v>11.958559010433421603138462880</v>
      </c>
      <c r="AB29" s="421">
        <v>0.1749103278615063302340174800</v>
      </c>
    </row>
    <row r="30" ht="18" customHeight="1">
      <c r="A30" s="58"/>
      <c r="B30" s="1044" t="s">
        <v>75</v>
      </c>
      <c r="C30" s="1044"/>
      <c r="D30" s="457">
        <v>268.00229406367090475028821305</v>
      </c>
      <c r="E30" s="458">
        <v>357.36826185389147146773457584</v>
      </c>
      <c r="F30" s="459">
        <v>275.0153237818631284371144984</v>
      </c>
      <c r="G30" s="457">
        <v>303.58740356350708783302531805</v>
      </c>
      <c r="H30" s="458">
        <v>397.50619382757556614193771223</v>
      </c>
      <c r="I30" s="459">
        <v>301.62916888892888665168497967</v>
      </c>
      <c r="J30" s="457">
        <v>0</v>
      </c>
      <c r="K30" s="458">
        <v>0</v>
      </c>
      <c r="L30" s="459">
        <v>165.850618959775289323437444</v>
      </c>
      <c r="M30" s="457">
        <v>275.02517364440520601717192864</v>
      </c>
      <c r="N30" s="458">
        <v>361.4243916508045452408056492</v>
      </c>
      <c r="O30" s="459">
        <v>270.62459524333680172508719892</v>
      </c>
      <c r="P30" s="5"/>
      <c r="Q30" s="430">
        <v>-1.1417631000447329829014208500</v>
      </c>
      <c r="R30" s="431">
        <v>14.859920092854001911136726910</v>
      </c>
      <c r="S30" s="432">
        <v>1.7284475948899541955805681800</v>
      </c>
      <c r="T30" s="430">
        <v>1.0859582273452950235091687600</v>
      </c>
      <c r="U30" s="431">
        <v>3.1870233456037880383699990100</v>
      </c>
      <c r="V30" s="432">
        <v>0.7235486168962087414425032700</v>
      </c>
      <c r="W30" s="430">
        <v>0</v>
      </c>
      <c r="X30" s="431">
        <v>0</v>
      </c>
      <c r="Y30" s="432">
        <v>5.1480619754301324338531919500</v>
      </c>
      <c r="Z30" s="430">
        <v>-0.1977743357910647811501602300</v>
      </c>
      <c r="AA30" s="431">
        <v>14.407135147250371618552460090</v>
      </c>
      <c r="AB30" s="432">
        <v>1.5039251295907611280217146500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341.16046597577853122652046795</v>
      </c>
      <c r="E32" s="494">
        <v>439.07063795970926231971033462</v>
      </c>
      <c r="F32" s="495">
        <v>319.22009243320283807904026033</v>
      </c>
      <c r="G32" s="493">
        <v>349.75771399115170047618926833</v>
      </c>
      <c r="H32" s="494">
        <v>425.52645307198729867380414117</v>
      </c>
      <c r="I32" s="495">
        <v>302.41838674154099848143528976</v>
      </c>
      <c r="J32" s="493">
        <v>0</v>
      </c>
      <c r="K32" s="494">
        <v>0</v>
      </c>
      <c r="L32" s="495">
        <v>165.78025224178318763242322321</v>
      </c>
      <c r="M32" s="493">
        <v>341.96594427932209775278006874</v>
      </c>
      <c r="N32" s="494">
        <v>438.42961546883997854410256059</v>
      </c>
      <c r="O32" s="495">
        <v>301.95977011607364550803997405</v>
      </c>
      <c r="P32" s="93"/>
      <c r="Q32" s="479">
        <v>-7.0326281484637150559189994500</v>
      </c>
      <c r="R32" s="480">
        <v>7.0722865079530840193189129600</v>
      </c>
      <c r="S32" s="481">
        <v>0.7095705905272509720617250800</v>
      </c>
      <c r="T32" s="479">
        <v>-4.3611291028939949233712616700</v>
      </c>
      <c r="U32" s="480">
        <v>3.9200927939085155883528527200</v>
      </c>
      <c r="V32" s="481">
        <v>2.990486281547022658453041700</v>
      </c>
      <c r="W32" s="479">
        <v>0</v>
      </c>
      <c r="X32" s="480">
        <v>0</v>
      </c>
      <c r="Y32" s="481">
        <v>0.9129602899023206396257041400</v>
      </c>
      <c r="Z32" s="479">
        <v>-6.7476185304673227992360544700</v>
      </c>
      <c r="AA32" s="480">
        <v>6.8695268910212769265902802400</v>
      </c>
      <c r="AB32" s="481">
        <v>0.6682721752777596884452500900</v>
      </c>
    </row>
    <row r="33" ht="18" customHeight="1">
      <c r="A33" s="58"/>
      <c r="B33" s="1046" t="s">
        <v>51</v>
      </c>
      <c r="C33" s="1046"/>
      <c r="D33" s="276">
        <v>350.88896293873892896639580774</v>
      </c>
      <c r="E33" s="94">
        <v>442.59122005206701448439353478</v>
      </c>
      <c r="F33" s="277">
        <v>324.27416182171465182089892447</v>
      </c>
      <c r="G33" s="276">
        <v>343.10935799067388883369798752</v>
      </c>
      <c r="H33" s="94">
        <v>436.35207021814397571674983003</v>
      </c>
      <c r="I33" s="277">
        <v>302.62408919777717708267210648</v>
      </c>
      <c r="J33" s="276">
        <v>0</v>
      </c>
      <c r="K33" s="94">
        <v>0</v>
      </c>
      <c r="L33" s="277">
        <v>166.53155444125526922529599052</v>
      </c>
      <c r="M33" s="276">
        <v>350.27944973055719505286535174</v>
      </c>
      <c r="N33" s="94">
        <v>442.20365091223109401216566745</v>
      </c>
      <c r="O33" s="277">
        <v>306.09412754267200282382805219</v>
      </c>
      <c r="P33" s="5"/>
      <c r="Q33" s="271">
        <v>-4.8983932488257051963469619800</v>
      </c>
      <c r="R33" s="92">
        <v>6.7297746479305912442125477400</v>
      </c>
      <c r="S33" s="272">
        <v>0.1821485116108489367581318900</v>
      </c>
      <c r="T33" s="271">
        <v>-9.433544840815783795948126560</v>
      </c>
      <c r="U33" s="92">
        <v>-0.7959812342426351450294630700</v>
      </c>
      <c r="V33" s="272">
        <v>2.4475163494173067098904328100</v>
      </c>
      <c r="W33" s="271">
        <v>0</v>
      </c>
      <c r="X33" s="92">
        <v>0</v>
      </c>
      <c r="Y33" s="272">
        <v>4.0305204856326520490891780900</v>
      </c>
      <c r="Z33" s="271">
        <v>-5.1325510523267138992500838500</v>
      </c>
      <c r="AA33" s="92">
        <v>6.4490251046439217158067931400</v>
      </c>
      <c r="AB33" s="272">
        <v>0.1202306636739566861038339500</v>
      </c>
    </row>
    <row r="34" ht="18" customHeight="1">
      <c r="A34" s="58"/>
      <c r="B34" s="1047" t="s">
        <v>76</v>
      </c>
      <c r="C34" s="1047"/>
      <c r="D34" s="443">
        <v>346.0817619374950107712423951</v>
      </c>
      <c r="E34" s="444">
        <v>440.8185000798005328618296317</v>
      </c>
      <c r="F34" s="445">
        <v>321.78209033023192386717607103</v>
      </c>
      <c r="G34" s="443">
        <v>346.7189917194651660689564115</v>
      </c>
      <c r="H34" s="444">
        <v>431.67480009227837309192312125</v>
      </c>
      <c r="I34" s="445">
        <v>302.51975944912351673568780451</v>
      </c>
      <c r="J34" s="443">
        <v>0</v>
      </c>
      <c r="K34" s="444">
        <v>0</v>
      </c>
      <c r="L34" s="445">
        <v>166.1566337780414432787040919</v>
      </c>
      <c r="M34" s="633">
        <v>346.13655944852198220108392916</v>
      </c>
      <c r="N34" s="634">
        <v>440.31807256332096385840416099</v>
      </c>
      <c r="O34" s="635">
        <v>304.04320891095197121139581698</v>
      </c>
      <c r="P34" s="93"/>
      <c r="Q34" s="273">
        <v>-5.9503576352458462911713618600</v>
      </c>
      <c r="R34" s="274">
        <v>6.8871997443216841813893822200</v>
      </c>
      <c r="S34" s="275">
        <v>0.4293924153094659249357502500</v>
      </c>
      <c r="T34" s="273">
        <v>-6.5327079503105836110744813700</v>
      </c>
      <c r="U34" s="274">
        <v>1.8815565532816453353779991100</v>
      </c>
      <c r="V34" s="275">
        <v>2.7381061184908592151030022800</v>
      </c>
      <c r="W34" s="273">
        <v>0</v>
      </c>
      <c r="X34" s="274">
        <v>0</v>
      </c>
      <c r="Y34" s="275">
        <v>2.4517752359164737849458699100</v>
      </c>
      <c r="Z34" s="273">
        <v>-5.9337795450279639987658004900</v>
      </c>
      <c r="AA34" s="274">
        <v>6.6488182806385474900107419500</v>
      </c>
      <c r="AB34" s="275">
        <v>0.3906535189262133917912961500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292.23349794238683127572016461</v>
      </c>
      <c r="E36" s="483">
        <v>383.28071114458088481606003892</v>
      </c>
      <c r="F36" s="484">
        <v>290.03812541668543652590070862</v>
      </c>
      <c r="G36" s="482">
        <v>312.08645054031587697423108894</v>
      </c>
      <c r="H36" s="483">
        <v>402.69594086125569676310437895</v>
      </c>
      <c r="I36" s="484">
        <v>301.92375113032262583117815855</v>
      </c>
      <c r="J36" s="482">
        <v>0</v>
      </c>
      <c r="K36" s="483">
        <v>0</v>
      </c>
      <c r="L36" s="484">
        <v>165.85246553149499344470687576</v>
      </c>
      <c r="M36" s="482">
        <v>295.51504534212695795548227535</v>
      </c>
      <c r="N36" s="483">
        <v>384.98361824410407406358823363</v>
      </c>
      <c r="O36" s="484">
        <v>280.68914138444152404133790825</v>
      </c>
      <c r="P36" s="93"/>
      <c r="Q36" s="468">
        <v>-2.8384028492127436714320543800</v>
      </c>
      <c r="R36" s="469">
        <v>11.991247874604181110474038910</v>
      </c>
      <c r="S36" s="470">
        <v>1.3882526310518297778417891200</v>
      </c>
      <c r="T36" s="468">
        <v>0.5441883460906646351835708700</v>
      </c>
      <c r="U36" s="469">
        <v>2.4691117480975779655833736200</v>
      </c>
      <c r="V36" s="470">
        <v>0.9031212157994679094561167500</v>
      </c>
      <c r="W36" s="468">
        <v>0</v>
      </c>
      <c r="X36" s="469">
        <v>0</v>
      </c>
      <c r="Y36" s="470">
        <v>4.5566992156539869957534707200</v>
      </c>
      <c r="Z36" s="468">
        <v>-2.1427057084118084790466402400</v>
      </c>
      <c r="AA36" s="469">
        <v>11.602401915282305293948711590</v>
      </c>
      <c r="AB36" s="470">
        <v>1.1266337236511435878421969800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206.21173627509937721077516262</v>
      </c>
      <c r="E39" s="455">
        <v>273.00733317240132160657685518</v>
      </c>
      <c r="F39" s="456">
        <v>149.11521662179470689038019273</v>
      </c>
      <c r="G39" s="454">
        <v>33.655690888032252982415436981</v>
      </c>
      <c r="H39" s="455">
        <v>27.515710872092249445353433974</v>
      </c>
      <c r="I39" s="456">
        <v>40.327768920561710204397226126</v>
      </c>
      <c r="J39" s="454">
        <v>0</v>
      </c>
      <c r="K39" s="455">
        <v>0</v>
      </c>
      <c r="L39" s="456">
        <v>13.671616334146778043370313645</v>
      </c>
      <c r="M39" s="454">
        <v>239.86742716313163019319059944</v>
      </c>
      <c r="N39" s="455">
        <v>300.52304404449357105193028892</v>
      </c>
      <c r="O39" s="456">
        <v>203.11460187650319513814773232</v>
      </c>
      <c r="P39" s="5"/>
      <c r="Q39" s="427">
        <v>-5.5371124234110942452337297700</v>
      </c>
      <c r="R39" s="428">
        <v>8.862186920506183669350700620</v>
      </c>
      <c r="S39" s="429">
        <v>0.1105479077305055318029256600</v>
      </c>
      <c r="T39" s="427">
        <v>96.99330071034952286616022842</v>
      </c>
      <c r="U39" s="428">
        <v>91.13221311976749554782063811</v>
      </c>
      <c r="V39" s="429">
        <v>7.4511387573027482552514266200</v>
      </c>
      <c r="W39" s="427">
        <v>0</v>
      </c>
      <c r="X39" s="428">
        <v>0</v>
      </c>
      <c r="Y39" s="429">
        <v>20.140239870721745114489231340</v>
      </c>
      <c r="Z39" s="427">
        <v>1.90477355918305905206142700</v>
      </c>
      <c r="AA39" s="428">
        <v>13.357269346214961405241445260</v>
      </c>
      <c r="AB39" s="429">
        <v>2.6559179890928648916350799900</v>
      </c>
    </row>
    <row r="40" ht="18" customHeight="1">
      <c r="A40" s="58"/>
      <c r="B40" s="1043" t="s">
        <v>46</v>
      </c>
      <c r="C40" s="1043"/>
      <c r="D40" s="439">
        <v>185.50336704204491198788410003</v>
      </c>
      <c r="E40" s="95">
        <v>260.17047057832594696739741071</v>
      </c>
      <c r="F40" s="440">
        <v>138.33692714375698900132272731</v>
      </c>
      <c r="G40" s="439">
        <v>61.309315854443185916667451053</v>
      </c>
      <c r="H40" s="95">
        <v>35.400562540536696044604571536</v>
      </c>
      <c r="I40" s="440">
        <v>59.98611521292630970114510753</v>
      </c>
      <c r="J40" s="439">
        <v>0</v>
      </c>
      <c r="K40" s="95">
        <v>0</v>
      </c>
      <c r="L40" s="440">
        <v>13.632601902878413389119777612</v>
      </c>
      <c r="M40" s="439">
        <v>246.81268289648809790455155092</v>
      </c>
      <c r="N40" s="95">
        <v>295.57103311886264301200198201</v>
      </c>
      <c r="O40" s="440">
        <v>211.95564425956171209158761226</v>
      </c>
      <c r="P40" s="5"/>
      <c r="Q40" s="420">
        <v>-5.9296124343002568252854148300</v>
      </c>
      <c r="R40" s="91">
        <v>14.649667868011598709257990100</v>
      </c>
      <c r="S40" s="421">
        <v>0.2628709311804462644114860800</v>
      </c>
      <c r="T40" s="420">
        <v>36.3872235805070159098995300</v>
      </c>
      <c r="U40" s="91">
        <v>69.433486597056266762976441150</v>
      </c>
      <c r="V40" s="421">
        <v>16.584275593461073656692728430</v>
      </c>
      <c r="W40" s="420">
        <v>0</v>
      </c>
      <c r="X40" s="91">
        <v>0</v>
      </c>
      <c r="Y40" s="421">
        <v>17.297277234294231572974687210</v>
      </c>
      <c r="Z40" s="420">
        <v>1.9260672051357965603034931400</v>
      </c>
      <c r="AA40" s="91">
        <v>19.297018794000991430351750180</v>
      </c>
      <c r="AB40" s="421">
        <v>5.4255689697251557870468440400</v>
      </c>
    </row>
    <row r="41" ht="18" customHeight="1">
      <c r="A41" s="58"/>
      <c r="B41" s="1043" t="s">
        <v>47</v>
      </c>
      <c r="C41" s="1043"/>
      <c r="D41" s="439">
        <v>184.45629085250747018710852924</v>
      </c>
      <c r="E41" s="95">
        <v>258.59407999278851272146049369</v>
      </c>
      <c r="F41" s="440">
        <v>151.25883980118903508124895666</v>
      </c>
      <c r="G41" s="439">
        <v>67.632849056349268592844374546</v>
      </c>
      <c r="H41" s="95">
        <v>40.876288888337012754295219664</v>
      </c>
      <c r="I41" s="440">
        <v>70.626099110097569643391675195</v>
      </c>
      <c r="J41" s="439">
        <v>0</v>
      </c>
      <c r="K41" s="95">
        <v>0</v>
      </c>
      <c r="L41" s="440">
        <v>13.280315710875823578787943455</v>
      </c>
      <c r="M41" s="439">
        <v>252.0891399088567387799529036</v>
      </c>
      <c r="N41" s="95">
        <v>299.47036888112552547575571312</v>
      </c>
      <c r="O41" s="440">
        <v>235.16525462216242830342857511</v>
      </c>
      <c r="P41" s="93"/>
      <c r="Q41" s="420">
        <v>-4.4704935241194570775463989900</v>
      </c>
      <c r="R41" s="91">
        <v>16.713013067062725188268239470</v>
      </c>
      <c r="S41" s="421">
        <v>3.9316882551373066106862509100</v>
      </c>
      <c r="T41" s="420">
        <v>24.673709940355124649915912010</v>
      </c>
      <c r="U41" s="91">
        <v>81.56467980285982170131526719</v>
      </c>
      <c r="V41" s="421">
        <v>15.915417786417779608079287180</v>
      </c>
      <c r="W41" s="420">
        <v>0</v>
      </c>
      <c r="X41" s="91">
        <v>0</v>
      </c>
      <c r="Y41" s="421">
        <v>19.847157820294010845825194250</v>
      </c>
      <c r="Z41" s="420">
        <v>1.9216622690709936545990575800</v>
      </c>
      <c r="AA41" s="91">
        <v>22.724233394690046557348920320</v>
      </c>
      <c r="AB41" s="421">
        <v>8.099673717096562740579835970</v>
      </c>
    </row>
    <row r="42" ht="18" customHeight="1">
      <c r="A42" s="58"/>
      <c r="B42" s="1043" t="s">
        <v>48</v>
      </c>
      <c r="C42" s="1043"/>
      <c r="D42" s="439">
        <v>187.42117787088912880101510213</v>
      </c>
      <c r="E42" s="95">
        <v>262.81453243382756189046087862</v>
      </c>
      <c r="F42" s="440">
        <v>153.56396861366360248733040529</v>
      </c>
      <c r="G42" s="439">
        <v>66.506198992665823762477485271</v>
      </c>
      <c r="H42" s="95">
        <v>34.264718439892260128384833045</v>
      </c>
      <c r="I42" s="440">
        <v>67.772023096002009624723608382</v>
      </c>
      <c r="J42" s="439">
        <v>0</v>
      </c>
      <c r="K42" s="95">
        <v>0</v>
      </c>
      <c r="L42" s="440">
        <v>12.958316954494163078335949013</v>
      </c>
      <c r="M42" s="439">
        <v>253.92737686355495256349258721</v>
      </c>
      <c r="N42" s="95">
        <v>297.07925087371982201884571147</v>
      </c>
      <c r="O42" s="440">
        <v>234.29430866415977519038996248</v>
      </c>
      <c r="P42" s="5"/>
      <c r="Q42" s="420">
        <v>-4.3813358174365970139240357600</v>
      </c>
      <c r="R42" s="91">
        <v>17.663422656942781979915339960</v>
      </c>
      <c r="S42" s="421">
        <v>0.7269212798947401346780714700</v>
      </c>
      <c r="T42" s="420">
        <v>25.155302438744963742010855940</v>
      </c>
      <c r="U42" s="91">
        <v>36.847741051751240098761598130</v>
      </c>
      <c r="V42" s="421">
        <v>10.386235394172694117572059330</v>
      </c>
      <c r="W42" s="420">
        <v>0</v>
      </c>
      <c r="X42" s="91">
        <v>0</v>
      </c>
      <c r="Y42" s="421">
        <v>11.981356638006353201704099280</v>
      </c>
      <c r="Z42" s="420">
        <v>1.9183176046419661149533688500</v>
      </c>
      <c r="AA42" s="91">
        <v>19.627544536192868403276812260</v>
      </c>
      <c r="AB42" s="421">
        <v>3.9364401557527475470385622200</v>
      </c>
    </row>
    <row r="43" ht="18" customHeight="1">
      <c r="A43" s="58"/>
      <c r="B43" s="1043" t="s">
        <v>49</v>
      </c>
      <c r="C43" s="1043"/>
      <c r="D43" s="439">
        <v>218.20933307190958694129728561</v>
      </c>
      <c r="E43" s="95">
        <v>296.05641805427552879955031019</v>
      </c>
      <c r="F43" s="440">
        <v>164.9393400349026423953842346</v>
      </c>
      <c r="G43" s="439">
        <v>43.513518567144316693035859287</v>
      </c>
      <c r="H43" s="95">
        <v>29.383874879665541700495719996</v>
      </c>
      <c r="I43" s="440">
        <v>55.381497291316281049489515956</v>
      </c>
      <c r="J43" s="439">
        <v>0</v>
      </c>
      <c r="K43" s="95">
        <v>0</v>
      </c>
      <c r="L43" s="440">
        <v>13.55520809970975930287790994</v>
      </c>
      <c r="M43" s="439">
        <v>261.72285163905390363433314471</v>
      </c>
      <c r="N43" s="95">
        <v>325.44029293394107050004602994</v>
      </c>
      <c r="O43" s="440">
        <v>233.87604542592868274775166029</v>
      </c>
      <c r="P43" s="93"/>
      <c r="Q43" s="420">
        <v>-7.5620267259585378577130339800</v>
      </c>
      <c r="R43" s="91">
        <v>6.8849793988393373112293664500</v>
      </c>
      <c r="S43" s="421">
        <v>-1.0362373864619859644687508500</v>
      </c>
      <c r="T43" s="420">
        <v>3.3845131713243481815726021600</v>
      </c>
      <c r="U43" s="91">
        <v>68.353958734636727396433476210</v>
      </c>
      <c r="V43" s="421">
        <v>4.3720104332997085809562862500</v>
      </c>
      <c r="W43" s="420">
        <v>0</v>
      </c>
      <c r="X43" s="91">
        <v>0</v>
      </c>
      <c r="Y43" s="421">
        <v>18.822535911193040562195006160</v>
      </c>
      <c r="Z43" s="420">
        <v>-5.9056175317859822255290966100</v>
      </c>
      <c r="AA43" s="91">
        <v>10.563839712771407359837469170</v>
      </c>
      <c r="AB43" s="421">
        <v>1.1867081308520600652985987200</v>
      </c>
    </row>
    <row r="44" ht="18" customHeight="1">
      <c r="A44" s="58"/>
      <c r="B44" s="1044" t="s">
        <v>75</v>
      </c>
      <c r="C44" s="1044"/>
      <c r="D44" s="457">
        <v>196.25643679979706053463230408</v>
      </c>
      <c r="E44" s="458">
        <v>270.04351993455056262375630222</v>
      </c>
      <c r="F44" s="459">
        <v>151.46810429987002726607298746</v>
      </c>
      <c r="G44" s="457">
        <v>54.662848210342537661267067504</v>
      </c>
      <c r="H44" s="458">
        <v>33.4972600463813509461820821</v>
      </c>
      <c r="I44" s="459">
        <v>58.922669718814624943502504422</v>
      </c>
      <c r="J44" s="457">
        <v>0</v>
      </c>
      <c r="K44" s="458">
        <v>0</v>
      </c>
      <c r="L44" s="459">
        <v>13.414246620628354253367482501</v>
      </c>
      <c r="M44" s="457">
        <v>250.91928501013959819589937147</v>
      </c>
      <c r="N44" s="458">
        <v>303.54077998093191356993838426</v>
      </c>
      <c r="O44" s="459">
        <v>223.80502063931300646294297419</v>
      </c>
      <c r="P44" s="5"/>
      <c r="Q44" s="430">
        <v>-5.5696914571357271795785091200</v>
      </c>
      <c r="R44" s="431">
        <v>12.731479011475312392132846560</v>
      </c>
      <c r="S44" s="432">
        <v>0.9054200149906774160583777800</v>
      </c>
      <c r="T44" s="430">
        <v>28.708284022045225138201125420</v>
      </c>
      <c r="U44" s="431">
        <v>66.667956717726277662465217830</v>
      </c>
      <c r="V44" s="432">
        <v>11.282874220266441477888591160</v>
      </c>
      <c r="W44" s="430">
        <v>0</v>
      </c>
      <c r="X44" s="431">
        <v>0</v>
      </c>
      <c r="Y44" s="432">
        <v>17.554072230151381316284801540</v>
      </c>
      <c r="Z44" s="430">
        <v>0.2464630860578796165292472100</v>
      </c>
      <c r="AA44" s="431">
        <v>16.936970852819091037850099680</v>
      </c>
      <c r="AB44" s="432">
        <v>4.3542871684309559009371534700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288.25322793675405312187290895</v>
      </c>
      <c r="E46" s="494">
        <v>374.80174840883526633036832969</v>
      </c>
      <c r="F46" s="495">
        <v>208.42472442265323641434619042</v>
      </c>
      <c r="G46" s="493">
        <v>30.54924774610772428401653148</v>
      </c>
      <c r="H46" s="494">
        <v>18.045581457225179560722200254</v>
      </c>
      <c r="I46" s="495">
        <v>47.742964426638533200104656756</v>
      </c>
      <c r="J46" s="493">
        <v>0</v>
      </c>
      <c r="K46" s="494">
        <v>0</v>
      </c>
      <c r="L46" s="495">
        <v>13.802843831060764153177003355</v>
      </c>
      <c r="M46" s="493">
        <v>318.8024756828617774058894402</v>
      </c>
      <c r="N46" s="494">
        <v>392.84732986606044589109052967</v>
      </c>
      <c r="O46" s="495">
        <v>269.97053268035253376762785031</v>
      </c>
      <c r="P46" s="93"/>
      <c r="Q46" s="479">
        <v>-10.931714486854763800795127960</v>
      </c>
      <c r="R46" s="480">
        <v>7.6979780430240607302470685300</v>
      </c>
      <c r="S46" s="481">
        <v>0.6432670947146193705820037500</v>
      </c>
      <c r="T46" s="479">
        <v>31.085445425627373267813962480</v>
      </c>
      <c r="U46" s="480">
        <v>48.268683768643405621343422690</v>
      </c>
      <c r="V46" s="481">
        <v>4.2382426044445368807623754700</v>
      </c>
      <c r="W46" s="479">
        <v>0</v>
      </c>
      <c r="X46" s="480">
        <v>0</v>
      </c>
      <c r="Y46" s="481">
        <v>12.469678044997651870084656670</v>
      </c>
      <c r="Z46" s="479">
        <v>-8.109287784160195114183972350</v>
      </c>
      <c r="AA46" s="480">
        <v>9.096575877527331167025639780</v>
      </c>
      <c r="AB46" s="481">
        <v>1.8125602042630362796472665700</v>
      </c>
    </row>
    <row r="47" ht="18" customHeight="1">
      <c r="A47" s="58"/>
      <c r="B47" s="1046" t="s">
        <v>51</v>
      </c>
      <c r="C47" s="1046"/>
      <c r="D47" s="276">
        <v>303.50957088417658695355359326</v>
      </c>
      <c r="E47" s="94">
        <v>372.50923137761180665051042746</v>
      </c>
      <c r="F47" s="277">
        <v>217.70949466560998563705240878</v>
      </c>
      <c r="G47" s="276">
        <v>25.228629264020138884830734393</v>
      </c>
      <c r="H47" s="94">
        <v>24.324687908877383051241526111</v>
      </c>
      <c r="I47" s="277">
        <v>46.430707902753825314181057305</v>
      </c>
      <c r="J47" s="276">
        <v>0</v>
      </c>
      <c r="K47" s="94">
        <v>0</v>
      </c>
      <c r="L47" s="277">
        <v>13.922235747974045374668116157</v>
      </c>
      <c r="M47" s="276">
        <v>328.73820014819672583838432743</v>
      </c>
      <c r="N47" s="94">
        <v>396.83391928648918970175195328</v>
      </c>
      <c r="O47" s="277">
        <v>278.06243831633785632590158202</v>
      </c>
      <c r="P47" s="5"/>
      <c r="Q47" s="271">
        <v>-9.067872559594558478983552720</v>
      </c>
      <c r="R47" s="92">
        <v>2.4149190121822869813253276500</v>
      </c>
      <c r="S47" s="272">
        <v>-1.7599535446118034535710893100</v>
      </c>
      <c r="T47" s="271">
        <v>57.299632644612191888830049840</v>
      </c>
      <c r="U47" s="92">
        <v>111.19938913826347081267362472</v>
      </c>
      <c r="V47" s="272">
        <v>15.155130679466960980252003410</v>
      </c>
      <c r="W47" s="271">
        <v>0</v>
      </c>
      <c r="X47" s="92">
        <v>0</v>
      </c>
      <c r="Y47" s="272">
        <v>16.459420934265519753024617010</v>
      </c>
      <c r="Z47" s="271">
        <v>-6.0250011835138902543114605700</v>
      </c>
      <c r="AA47" s="92">
        <v>5.780701372402087299112945500</v>
      </c>
      <c r="AB47" s="272">
        <v>1.5264442271012418685555144500</v>
      </c>
    </row>
    <row r="48" ht="18" customHeight="1">
      <c r="A48" s="58"/>
      <c r="B48" s="1047" t="s">
        <v>76</v>
      </c>
      <c r="C48" s="1047"/>
      <c r="D48" s="443">
        <v>295.88139941046532003771325107</v>
      </c>
      <c r="E48" s="444">
        <v>373.6554898932235364904393785</v>
      </c>
      <c r="F48" s="445">
        <v>213.06664062064756347681797724</v>
      </c>
      <c r="G48" s="443">
        <v>27.888938505063931584423632938</v>
      </c>
      <c r="H48" s="444">
        <v>21.185134683051281305981863178</v>
      </c>
      <c r="I48" s="445">
        <v>47.086902439669608021739808201</v>
      </c>
      <c r="J48" s="443">
        <v>0</v>
      </c>
      <c r="K48" s="444">
        <v>0</v>
      </c>
      <c r="L48" s="445">
        <v>13.862533759677981590152638441</v>
      </c>
      <c r="M48" s="443">
        <v>323.77033791552925162213688382</v>
      </c>
      <c r="N48" s="444">
        <v>394.84062457627481779642124149</v>
      </c>
      <c r="O48" s="445">
        <v>274.01607681999515308871042372</v>
      </c>
      <c r="P48" s="93"/>
      <c r="Q48" s="273">
        <v>-9.985413381504592933732361690</v>
      </c>
      <c r="R48" s="274">
        <v>4.9981290469169417097734119300</v>
      </c>
      <c r="S48" s="275">
        <v>-0.5992521505620252501085199200</v>
      </c>
      <c r="T48" s="273">
        <v>41.771816932200891402840740970</v>
      </c>
      <c r="U48" s="274">
        <v>78.866038553962529921988003570</v>
      </c>
      <c r="V48" s="275">
        <v>9.349412100908604382137245260</v>
      </c>
      <c r="W48" s="273">
        <v>0</v>
      </c>
      <c r="X48" s="274">
        <v>0</v>
      </c>
      <c r="Y48" s="275">
        <v>14.438321891470586583564541330</v>
      </c>
      <c r="Z48" s="273">
        <v>-7.0628398517236819379380947500</v>
      </c>
      <c r="AA48" s="274">
        <v>7.4046869916775334782361911300</v>
      </c>
      <c r="AB48" s="275">
        <v>1.6670370351606336852589845900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224.15637626262626262626262626</v>
      </c>
      <c r="E50" s="483">
        <v>299.18736325610052934660616846</v>
      </c>
      <c r="F50" s="484">
        <v>168.70503714053249898752958898</v>
      </c>
      <c r="G50" s="482">
        <v>47.404040404040404040404040404</v>
      </c>
      <c r="H50" s="483">
        <v>30.221706026845207087502358672</v>
      </c>
      <c r="I50" s="484">
        <v>55.804845953210686425521487754</v>
      </c>
      <c r="J50" s="482">
        <v>0</v>
      </c>
      <c r="K50" s="483">
        <v>0</v>
      </c>
      <c r="L50" s="484">
        <v>13.522176110626545286163075986</v>
      </c>
      <c r="M50" s="482">
        <v>271.56041666666666666666666667</v>
      </c>
      <c r="N50" s="483">
        <v>329.40906928294573643410852713</v>
      </c>
      <c r="O50" s="484">
        <v>238.03205920436973069921415271</v>
      </c>
      <c r="P50" s="93"/>
      <c r="Q50" s="468">
        <v>-7.3007540616865414418923566600</v>
      </c>
      <c r="R50" s="469">
        <v>9.866750681110746809120738810</v>
      </c>
      <c r="S50" s="470">
        <v>0.503069511806673365835528300</v>
      </c>
      <c r="T50" s="468">
        <v>31.496079858087721769975027760</v>
      </c>
      <c r="U50" s="469">
        <v>70.776097438296402434862196360</v>
      </c>
      <c r="V50" s="470">
        <v>10.392161922931892924994443820</v>
      </c>
      <c r="W50" s="468">
        <v>0</v>
      </c>
      <c r="X50" s="469">
        <v>0</v>
      </c>
      <c r="Y50" s="470">
        <v>17.218086124219903725874571990</v>
      </c>
      <c r="Z50" s="468">
        <v>-2.2672247206054097056218913500</v>
      </c>
      <c r="AA50" s="469">
        <v>13.583431504391752612173727730</v>
      </c>
      <c r="AB50" s="470">
        <v>3.5156251630865854813970886600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78.496503496503496503496503550</v>
      </c>
      <c r="E11" s="428">
        <v>79.29338103756708407871198575</v>
      </c>
      <c r="F11" s="429">
        <v>57.771794440304188603344792540</v>
      </c>
      <c r="G11" s="427">
        <v>9.848484848484848484848484860</v>
      </c>
      <c r="H11" s="428">
        <v>6.9991055456171735241502683400</v>
      </c>
      <c r="I11" s="429">
        <v>12.683606990888766016780056260</v>
      </c>
      <c r="J11" s="427">
        <v>0</v>
      </c>
      <c r="K11" s="428">
        <v>0</v>
      </c>
      <c r="L11" s="429">
        <v>7.949291214911331746680449720</v>
      </c>
      <c r="M11" s="427">
        <v>88.34498834498834498834498834</v>
      </c>
      <c r="N11" s="428">
        <v>86.29248658318425760286225403</v>
      </c>
      <c r="O11" s="429">
        <v>78.403891306264073530943737930</v>
      </c>
      <c r="P11" s="5"/>
      <c r="Q11" s="427">
        <v>-6.8464730290077632960864844200</v>
      </c>
      <c r="R11" s="428">
        <v>-2.5476770949987976186740911800</v>
      </c>
      <c r="S11" s="429">
        <v>-0.4248604854652009659870401900</v>
      </c>
      <c r="T11" s="427">
        <v>70.707070707981144781149637010</v>
      </c>
      <c r="U11" s="428">
        <v>259.23455120341163605806413200</v>
      </c>
      <c r="V11" s="429">
        <v>7.7022485481390720750121392500</v>
      </c>
      <c r="W11" s="427">
        <v>0</v>
      </c>
      <c r="X11" s="428">
        <v>0</v>
      </c>
      <c r="Y11" s="429">
        <v>11.018841182155891385955416740</v>
      </c>
      <c r="Z11" s="427">
        <v>-1.8770226537597888585163392500</v>
      </c>
      <c r="AA11" s="428">
        <v>3.6086403496884232599270593100</v>
      </c>
      <c r="AB11" s="429">
        <v>1.8827674490615605823442568200</v>
      </c>
    </row>
    <row r="12" ht="18" customHeight="1">
      <c r="A12" s="58"/>
      <c r="B12" s="1043" t="s">
        <v>46</v>
      </c>
      <c r="C12" s="1043"/>
      <c r="D12" s="420">
        <v>72.552447552447552447552447600</v>
      </c>
      <c r="E12" s="91">
        <v>76.274597495527728085867620810</v>
      </c>
      <c r="F12" s="421">
        <v>53.434943225072320920579208480</v>
      </c>
      <c r="G12" s="420">
        <v>18.881118881118881118881118890</v>
      </c>
      <c r="H12" s="91">
        <v>7.938282647584973166368515210</v>
      </c>
      <c r="I12" s="421">
        <v>17.963635198051141508602383200</v>
      </c>
      <c r="J12" s="420">
        <v>0</v>
      </c>
      <c r="K12" s="91">
        <v>0</v>
      </c>
      <c r="L12" s="421">
        <v>7.8258848795185550240001282200</v>
      </c>
      <c r="M12" s="420">
        <v>91.43356643356643356643356643</v>
      </c>
      <c r="N12" s="91">
        <v>84.21288014311270125223613596</v>
      </c>
      <c r="O12" s="421">
        <v>79.222860622961591781458598780</v>
      </c>
      <c r="P12" s="5"/>
      <c r="Q12" s="420">
        <v>-3.5631293570872302498198514900</v>
      </c>
      <c r="R12" s="91">
        <v>2.2027814158377301415951056200</v>
      </c>
      <c r="S12" s="421">
        <v>1.2968426604245925239611316700</v>
      </c>
      <c r="T12" s="420">
        <v>11.340206185842491231800022710</v>
      </c>
      <c r="U12" s="91">
        <v>139.00026587345049005820837780</v>
      </c>
      <c r="V12" s="421">
        <v>7.993233300167050799178555280</v>
      </c>
      <c r="W12" s="420">
        <v>0</v>
      </c>
      <c r="X12" s="91">
        <v>0</v>
      </c>
      <c r="Y12" s="421">
        <v>12.483578760244870670167100210</v>
      </c>
      <c r="Z12" s="420">
        <v>-0.7590132827678506745784433500</v>
      </c>
      <c r="AA12" s="91">
        <v>8.067516508358189488785203160</v>
      </c>
      <c r="AB12" s="421">
        <v>3.7734739194971251762954265100</v>
      </c>
    </row>
    <row r="13" ht="18" customHeight="1">
      <c r="A13" s="58"/>
      <c r="B13" s="1043" t="s">
        <v>47</v>
      </c>
      <c r="C13" s="1043"/>
      <c r="D13" s="420">
        <v>72.785547785547785547785547840</v>
      </c>
      <c r="E13" s="91">
        <v>77.750447227191413237924865890</v>
      </c>
      <c r="F13" s="421">
        <v>55.274525360837961515960217710</v>
      </c>
      <c r="G13" s="420">
        <v>18.997668997668997668997669010</v>
      </c>
      <c r="H13" s="91">
        <v>8.318425760286225402504472280</v>
      </c>
      <c r="I13" s="421">
        <v>21.526058070668942690677117160</v>
      </c>
      <c r="J13" s="420">
        <v>0</v>
      </c>
      <c r="K13" s="91">
        <v>0</v>
      </c>
      <c r="L13" s="421">
        <v>7.998942129685283581371865460</v>
      </c>
      <c r="M13" s="420">
        <v>91.78321678321678321678321678</v>
      </c>
      <c r="N13" s="91">
        <v>86.06887298747763864042933810</v>
      </c>
      <c r="O13" s="421">
        <v>84.80353264571762876766122505</v>
      </c>
      <c r="P13" s="184"/>
      <c r="Q13" s="420">
        <v>-3.3281733746447282155488781300</v>
      </c>
      <c r="R13" s="91">
        <v>2.774894875296267195870869500</v>
      </c>
      <c r="S13" s="421">
        <v>0.8203325328848044505529713700</v>
      </c>
      <c r="T13" s="420">
        <v>10.508474576542400459638700740</v>
      </c>
      <c r="U13" s="91">
        <v>126.41271452623529647370717234</v>
      </c>
      <c r="V13" s="421">
        <v>10.393038712464921277767105870</v>
      </c>
      <c r="W13" s="420">
        <v>0</v>
      </c>
      <c r="X13" s="91">
        <v>0</v>
      </c>
      <c r="Y13" s="421">
        <v>12.964645480446002492060976410</v>
      </c>
      <c r="Z13" s="420">
        <v>-0.8810572687571492335799691800</v>
      </c>
      <c r="AA13" s="91">
        <v>8.562773578730644020277868200</v>
      </c>
      <c r="AB13" s="421">
        <v>4.1780768942197663481891822500</v>
      </c>
    </row>
    <row r="14" ht="18" customHeight="1">
      <c r="A14" s="58"/>
      <c r="B14" s="1043" t="s">
        <v>48</v>
      </c>
      <c r="C14" s="1043"/>
      <c r="D14" s="420">
        <v>72.843822843822843822843822890</v>
      </c>
      <c r="E14" s="91">
        <v>77.974060822898032200357781810</v>
      </c>
      <c r="F14" s="421">
        <v>55.672028145761706697441075870</v>
      </c>
      <c r="G14" s="420">
        <v>20.920745920745920745920745940</v>
      </c>
      <c r="H14" s="91">
        <v>6.6636851520572450805008944600</v>
      </c>
      <c r="I14" s="421">
        <v>22.135134918535971597784883690</v>
      </c>
      <c r="J14" s="420">
        <v>0</v>
      </c>
      <c r="K14" s="91">
        <v>0</v>
      </c>
      <c r="L14" s="421">
        <v>7.7497014722028546470159241600</v>
      </c>
      <c r="M14" s="420">
        <v>93.76456876456876456876456876</v>
      </c>
      <c r="N14" s="91">
        <v>84.61538461538461538461538462</v>
      </c>
      <c r="O14" s="421">
        <v>85.55846737031070933410269356</v>
      </c>
      <c r="P14" s="5"/>
      <c r="Q14" s="420">
        <v>-4.3245311902485277401739646700</v>
      </c>
      <c r="R14" s="91">
        <v>-1.58780729955724297467152300</v>
      </c>
      <c r="S14" s="421">
        <v>-3.1913940745390579631244171100</v>
      </c>
      <c r="T14" s="420">
        <v>39.237233354440470848974463590</v>
      </c>
      <c r="U14" s="91">
        <v>20.435977816175052166553636660</v>
      </c>
      <c r="V14" s="421">
        <v>11.598207203292996813032902720</v>
      </c>
      <c r="W14" s="420">
        <v>0</v>
      </c>
      <c r="X14" s="91">
        <v>0</v>
      </c>
      <c r="Y14" s="421">
        <v>6.8487745611514629353329478100</v>
      </c>
      <c r="Z14" s="420">
        <v>2.7841362789994579566815809700</v>
      </c>
      <c r="AA14" s="91">
        <v>-0.1168821681592869466247114900</v>
      </c>
      <c r="AB14" s="421">
        <v>1.1392910847532981901764946200</v>
      </c>
    </row>
    <row r="15" ht="18" customHeight="1">
      <c r="A15" s="58"/>
      <c r="B15" s="1043" t="s">
        <v>49</v>
      </c>
      <c r="C15" s="1043"/>
      <c r="D15" s="420">
        <v>78.219696969696969696969697020</v>
      </c>
      <c r="E15" s="91">
        <v>82.80038759689922480620155045</v>
      </c>
      <c r="F15" s="421">
        <v>59.961975205750599020731326230</v>
      </c>
      <c r="G15" s="420">
        <v>14.520202020202020202020202030</v>
      </c>
      <c r="H15" s="91">
        <v>5.4505813953488372093023255900</v>
      </c>
      <c r="I15" s="421">
        <v>18.431607459110323992082508610</v>
      </c>
      <c r="J15" s="420">
        <v>0</v>
      </c>
      <c r="K15" s="91">
        <v>0</v>
      </c>
      <c r="L15" s="421">
        <v>8.121505712400597284439351330</v>
      </c>
      <c r="M15" s="420">
        <v>92.73989898989898989898989899</v>
      </c>
      <c r="N15" s="91">
        <v>88.25096899224806201550387597</v>
      </c>
      <c r="O15" s="421">
        <v>86.51335208528666180504913706</v>
      </c>
      <c r="P15" s="184"/>
      <c r="Q15" s="420">
        <v>-5.6746310611294249823080207400</v>
      </c>
      <c r="R15" s="91">
        <v>-0.5292585979610826880053854300</v>
      </c>
      <c r="S15" s="421">
        <v>-0.3229832503447041030422067900</v>
      </c>
      <c r="T15" s="420">
        <v>42.380952381443798639457478500</v>
      </c>
      <c r="U15" s="91">
        <v>25.732014344331886877416594140</v>
      </c>
      <c r="V15" s="421">
        <v>1.5997231765346681208286103400</v>
      </c>
      <c r="W15" s="420">
        <v>0</v>
      </c>
      <c r="X15" s="91">
        <v>0</v>
      </c>
      <c r="Y15" s="421">
        <v>15.853248331979709027487211070</v>
      </c>
      <c r="Z15" s="420">
        <v>-0.474254742528005816643528500</v>
      </c>
      <c r="AA15" s="91">
        <v>0.8127172873433183750562633500</v>
      </c>
      <c r="AB15" s="421">
        <v>1.4167483553542553432146323300</v>
      </c>
    </row>
    <row r="16" ht="18" customHeight="1">
      <c r="A16" s="58"/>
      <c r="B16" s="1044" t="s">
        <v>75</v>
      </c>
      <c r="C16" s="1044"/>
      <c r="D16" s="430">
        <v>74.928977272727272727272727320</v>
      </c>
      <c r="E16" s="431">
        <v>78.756359011627906976744186060</v>
      </c>
      <c r="F16" s="432">
        <v>56.367770962743029782135927430</v>
      </c>
      <c r="G16" s="430">
        <v>16.666666666666666666666666680</v>
      </c>
      <c r="H16" s="431">
        <v>7.0993822674418604651162790700</v>
      </c>
      <c r="I16" s="432">
        <v>18.549699834616035733354169120</v>
      </c>
      <c r="J16" s="430">
        <v>0</v>
      </c>
      <c r="K16" s="431">
        <v>0</v>
      </c>
      <c r="L16" s="432">
        <v>7.926059043377479131669075810</v>
      </c>
      <c r="M16" s="430">
        <v>91.59564393939393939393939394</v>
      </c>
      <c r="N16" s="431">
        <v>85.85119912790697674418604651</v>
      </c>
      <c r="O16" s="432">
        <v>82.84385539972132150903100624</v>
      </c>
      <c r="P16" s="5"/>
      <c r="Q16" s="430">
        <v>-4.9264043256196547250686930400</v>
      </c>
      <c r="R16" s="431">
        <v>-0.0749063151721569533817861500</v>
      </c>
      <c r="S16" s="432">
        <v>-0.4711275841050391172025914500</v>
      </c>
      <c r="T16" s="430">
        <v>28.233151184060549235072275610</v>
      </c>
      <c r="U16" s="431">
        <v>90.12422664903654379178855393</v>
      </c>
      <c r="V16" s="432">
        <v>8.260146008816310635001213100</v>
      </c>
      <c r="W16" s="430">
        <v>0</v>
      </c>
      <c r="X16" s="431">
        <v>0</v>
      </c>
      <c r="Y16" s="432">
        <v>11.794419234308915800194234230</v>
      </c>
      <c r="Z16" s="629">
        <v>-0.2706534346683217678139452800</v>
      </c>
      <c r="AA16" s="214">
        <v>4.0461297418382265793194010700</v>
      </c>
      <c r="AB16" s="630">
        <v>2.4565412044540366353412310600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83.20707070707070707070707076</v>
      </c>
      <c r="E18" s="480">
        <v>89.58333333333333333333333340</v>
      </c>
      <c r="F18" s="481">
        <v>67.217939368684237941452234660</v>
      </c>
      <c r="G18" s="479">
        <v>10.984848484848484848484848490</v>
      </c>
      <c r="H18" s="480">
        <v>3.5852713178294573643410852700</v>
      </c>
      <c r="I18" s="481">
        <v>16.308122373858388026530541390</v>
      </c>
      <c r="J18" s="479">
        <v>0</v>
      </c>
      <c r="K18" s="480">
        <v>0</v>
      </c>
      <c r="L18" s="481">
        <v>8.223078792929819078376219750</v>
      </c>
      <c r="M18" s="479">
        <v>94.19191919191919191919191919</v>
      </c>
      <c r="N18" s="480">
        <v>93.16860465116279069767441860</v>
      </c>
      <c r="O18" s="481">
        <v>91.75087682744730353856304476</v>
      </c>
      <c r="P18" s="184"/>
      <c r="Q18" s="479">
        <v>-6.5554101221755459748453518100</v>
      </c>
      <c r="R18" s="480">
        <v>5.1128059691447093439031497300</v>
      </c>
      <c r="S18" s="481">
        <v>0.7028343140549867586619013300</v>
      </c>
      <c r="T18" s="479">
        <v>63.913043479036249527413875900</v>
      </c>
      <c r="U18" s="480">
        <v>15.010529236897792772030428160</v>
      </c>
      <c r="V18" s="481">
        <v>3.9758803229954918956988178500</v>
      </c>
      <c r="W18" s="479">
        <v>0</v>
      </c>
      <c r="X18" s="480">
        <v>0</v>
      </c>
      <c r="Y18" s="481">
        <v>11.892825385389847488906123130</v>
      </c>
      <c r="Z18" s="479">
        <v>-1.6828872668331785272405442100</v>
      </c>
      <c r="AA18" s="480">
        <v>5.5193167383671065922243737800</v>
      </c>
      <c r="AB18" s="481">
        <v>2.195696814949871368425746600</v>
      </c>
    </row>
    <row r="19" ht="18" customHeight="1">
      <c r="A19" s="58"/>
      <c r="B19" s="1046" t="s">
        <v>51</v>
      </c>
      <c r="C19" s="1046"/>
      <c r="D19" s="271">
        <v>87.12121212121212121212121218</v>
      </c>
      <c r="E19" s="92">
        <v>87.29874776386404293381037573</v>
      </c>
      <c r="F19" s="272">
        <v>68.819065477478343790818248170</v>
      </c>
      <c r="G19" s="271">
        <v>7.0512820512820512820512820600</v>
      </c>
      <c r="H19" s="92">
        <v>6.1493738819320214669051878400</v>
      </c>
      <c r="I19" s="272">
        <v>15.663789856640302585923664380</v>
      </c>
      <c r="J19" s="271">
        <v>0</v>
      </c>
      <c r="K19" s="92">
        <v>0</v>
      </c>
      <c r="L19" s="272">
        <v>8.215336041861993252718545410</v>
      </c>
      <c r="M19" s="271">
        <v>94.17249417249417249417249417</v>
      </c>
      <c r="N19" s="92">
        <v>93.44812164579606440071556351</v>
      </c>
      <c r="O19" s="272">
        <v>92.70059539550127813704513947</v>
      </c>
      <c r="P19" s="5"/>
      <c r="Q19" s="271">
        <v>-3.5483870967311325702393147400</v>
      </c>
      <c r="R19" s="92">
        <v>-1.0368082647966321768280495400</v>
      </c>
      <c r="S19" s="272">
        <v>-1.7179632674537198711431360100</v>
      </c>
      <c r="T19" s="271">
        <v>53.164556963010222720724167190</v>
      </c>
      <c r="U19" s="92">
        <v>180.84956046184468133950635513</v>
      </c>
      <c r="V19" s="272">
        <v>17.676944065397633401794186390</v>
      </c>
      <c r="W19" s="271">
        <v>0</v>
      </c>
      <c r="X19" s="92">
        <v>0</v>
      </c>
      <c r="Y19" s="272">
        <v>12.297971798920026436095173450</v>
      </c>
      <c r="Z19" s="271">
        <v>-0.8588957054745172193157216800</v>
      </c>
      <c r="AA19" s="92">
        <v>3.4028784466986162204813649600</v>
      </c>
      <c r="AB19" s="272">
        <v>2.2622446680649723637120907700</v>
      </c>
    </row>
    <row r="20" ht="18" customHeight="1">
      <c r="A20" s="58"/>
      <c r="B20" s="1047" t="s">
        <v>76</v>
      </c>
      <c r="C20" s="1047"/>
      <c r="D20" s="273">
        <v>85.24242424242424242424242430</v>
      </c>
      <c r="E20" s="274">
        <v>88.39534883720930232558139541</v>
      </c>
      <c r="F20" s="275">
        <v>68.050537755386929689681180490</v>
      </c>
      <c r="G20" s="273">
        <v>8.939393939393939393939393950</v>
      </c>
      <c r="H20" s="274">
        <v>4.9186046511627906976744186100</v>
      </c>
      <c r="I20" s="275">
        <v>15.973064309793773621858579310</v>
      </c>
      <c r="J20" s="273">
        <v>0</v>
      </c>
      <c r="K20" s="274">
        <v>0</v>
      </c>
      <c r="L20" s="275">
        <v>8.219052500427120706395142920</v>
      </c>
      <c r="M20" s="273">
        <v>94.18181818181818181818181818</v>
      </c>
      <c r="N20" s="274">
        <v>93.31395348837209302325581395</v>
      </c>
      <c r="O20" s="275">
        <v>92.24473808124877593456094075</v>
      </c>
      <c r="P20" s="184"/>
      <c r="Q20" s="273">
        <v>-4.9538661468330398793170902100</v>
      </c>
      <c r="R20" s="274">
        <v>1.9323469726871227279743353400</v>
      </c>
      <c r="S20" s="275">
        <v>-0.4896865818386051020831239400</v>
      </c>
      <c r="T20" s="273">
        <v>58.144329896365938994581510580</v>
      </c>
      <c r="U20" s="274">
        <v>85.36628047496698716287437261</v>
      </c>
      <c r="V20" s="275">
        <v>10.176675186403869143091532130</v>
      </c>
      <c r="W20" s="273">
        <v>0</v>
      </c>
      <c r="X20" s="274">
        <v>0</v>
      </c>
      <c r="Y20" s="275">
        <v>12.092824313458081602543862790</v>
      </c>
      <c r="Z20" s="273">
        <v>-1.2730604765120056721306853400</v>
      </c>
      <c r="AA20" s="274">
        <v>4.4550505099316818234230091100</v>
      </c>
      <c r="AB20" s="275">
        <v>2.2501942805059565069026583100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77.826012938372488934286687100</v>
      </c>
      <c r="E22" s="469">
        <v>81.33982231512934413378625555</v>
      </c>
      <c r="F22" s="470">
        <v>59.563533747291769011281086810</v>
      </c>
      <c r="G22" s="468">
        <v>14.504596527068437180796731360</v>
      </c>
      <c r="H22" s="469">
        <v>6.5749934674679905931539064500</v>
      </c>
      <c r="I22" s="470">
        <v>17.915218624893434739160126870</v>
      </c>
      <c r="J22" s="468">
        <v>0</v>
      </c>
      <c r="K22" s="469">
        <v>0</v>
      </c>
      <c r="L22" s="470">
        <v>8.005154466925326773129352880</v>
      </c>
      <c r="M22" s="468">
        <v>92.33060946544092611508341845</v>
      </c>
      <c r="N22" s="469">
        <v>87.91481578259733472694016201</v>
      </c>
      <c r="O22" s="470">
        <v>85.48390683911053052357056655</v>
      </c>
      <c r="P22" s="184"/>
      <c r="Q22" s="468">
        <v>-5.2400293421954777456142959200</v>
      </c>
      <c r="R22" s="469">
        <v>0.3676968120616654829950291700</v>
      </c>
      <c r="S22" s="470">
        <v>-0.7046100888387176290049906500</v>
      </c>
      <c r="T22" s="468">
        <v>34.096970226884213473789721180</v>
      </c>
      <c r="U22" s="469">
        <v>92.58563853587870420044043413</v>
      </c>
      <c r="V22" s="470">
        <v>9.027086122398711079520991650</v>
      </c>
      <c r="W22" s="468">
        <v>0</v>
      </c>
      <c r="X22" s="469">
        <v>0</v>
      </c>
      <c r="Y22" s="470">
        <v>12.034359687082645201597512050</v>
      </c>
      <c r="Z22" s="468">
        <v>-0.662231439071906933634007200</v>
      </c>
      <c r="AA22" s="469">
        <v>4.0955334932223450347859062100</v>
      </c>
      <c r="AB22" s="470">
        <v>2.2983035576526867786298056500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269.08980273405496179292331687</v>
      </c>
      <c r="E25" s="455">
        <v>348.65901921384815477766391858</v>
      </c>
      <c r="F25" s="456">
        <v>268.17761269286890418246300176</v>
      </c>
      <c r="G25" s="454">
        <v>304.88179520662919356202958038</v>
      </c>
      <c r="H25" s="455">
        <v>371.81135158819471806352263885</v>
      </c>
      <c r="I25" s="456">
        <v>302.97297833193536327330434109</v>
      </c>
      <c r="J25" s="454">
        <v>0</v>
      </c>
      <c r="K25" s="455">
        <v>0</v>
      </c>
      <c r="L25" s="456">
        <v>172.44746992027991192501432403</v>
      </c>
      <c r="M25" s="454">
        <v>273.0798071719606644109833159</v>
      </c>
      <c r="N25" s="455">
        <v>350.53688395423957076845784952</v>
      </c>
      <c r="O25" s="456">
        <v>264.10331059705788406002075668</v>
      </c>
      <c r="P25" s="5"/>
      <c r="Q25" s="427">
        <v>4.7103907494700617543307825200</v>
      </c>
      <c r="R25" s="428">
        <v>10.695632270175327177448964130</v>
      </c>
      <c r="S25" s="429">
        <v>0.9883778506761852551702303900</v>
      </c>
      <c r="T25" s="427">
        <v>-7.0384620749593453343123393800</v>
      </c>
      <c r="U25" s="428">
        <v>0.0890183154001849125488773800</v>
      </c>
      <c r="V25" s="429">
        <v>-2.991923998759800895355810100</v>
      </c>
      <c r="W25" s="427">
        <v>0</v>
      </c>
      <c r="X25" s="428">
        <v>0</v>
      </c>
      <c r="Y25" s="429">
        <v>9.381083415765176125483036660</v>
      </c>
      <c r="Z25" s="427">
        <v>4.4150110031802683039864535500</v>
      </c>
      <c r="AA25" s="428">
        <v>10.826847596843393334483885710</v>
      </c>
      <c r="AB25" s="429">
        <v>0.5466854879391345050158993300</v>
      </c>
    </row>
    <row r="26" ht="18" customHeight="1">
      <c r="A26" s="58"/>
      <c r="B26" s="1043" t="s">
        <v>46</v>
      </c>
      <c r="C26" s="1043"/>
      <c r="D26" s="439">
        <v>260.80533368407193283205744304</v>
      </c>
      <c r="E26" s="95">
        <v>350.22797865828115639601557992</v>
      </c>
      <c r="F26" s="440">
        <v>264.60570962747872014604922972</v>
      </c>
      <c r="G26" s="439">
        <v>294.10839972090083610993526228</v>
      </c>
      <c r="H26" s="95">
        <v>416.79820909136597701143922485</v>
      </c>
      <c r="I26" s="440">
        <v>302.19872691467379774823046828</v>
      </c>
      <c r="J26" s="439">
        <v>0</v>
      </c>
      <c r="K26" s="95">
        <v>0</v>
      </c>
      <c r="L26" s="440">
        <v>173.0111569986348520592377129</v>
      </c>
      <c r="M26" s="439">
        <v>267.68244865917235645349301566</v>
      </c>
      <c r="N26" s="95">
        <v>356.50318625354008133453798935</v>
      </c>
      <c r="O26" s="440">
        <v>264.08720906582287110558502823</v>
      </c>
      <c r="P26" s="5"/>
      <c r="Q26" s="420">
        <v>1.0723426651108309122865591900</v>
      </c>
      <c r="R26" s="91">
        <v>16.398077927731147925689769090</v>
      </c>
      <c r="S26" s="421">
        <v>1.5181221321303888101751987400</v>
      </c>
      <c r="T26" s="420">
        <v>-1.814385920477651228286099800</v>
      </c>
      <c r="U26" s="91">
        <v>11.849832420713887116300094860</v>
      </c>
      <c r="V26" s="421">
        <v>-0.3681515017498286173637629800</v>
      </c>
      <c r="W26" s="420">
        <v>0</v>
      </c>
      <c r="X26" s="91">
        <v>0</v>
      </c>
      <c r="Y26" s="421">
        <v>5.3698506836619687359585295600</v>
      </c>
      <c r="Z26" s="420">
        <v>0.6927145492763150158745609100</v>
      </c>
      <c r="AA26" s="91">
        <v>17.291843964779471027669091090</v>
      </c>
      <c r="AB26" s="421">
        <v>1.1238865014813761871733743500</v>
      </c>
    </row>
    <row r="27" ht="18" customHeight="1">
      <c r="A27" s="58"/>
      <c r="B27" s="1043" t="s">
        <v>47</v>
      </c>
      <c r="C27" s="1043"/>
      <c r="D27" s="439">
        <v>269.26337957713291263131453025</v>
      </c>
      <c r="E27" s="95">
        <v>351.70148230604472024688107348</v>
      </c>
      <c r="F27" s="440">
        <v>284.25543884725810451726295698</v>
      </c>
      <c r="G27" s="439">
        <v>290.72631608588144121969790463</v>
      </c>
      <c r="H27" s="95">
        <v>417.55573457002622252279260113</v>
      </c>
      <c r="I27" s="440">
        <v>301.8456690705784803480212675</v>
      </c>
      <c r="J27" s="439">
        <v>0</v>
      </c>
      <c r="K27" s="95">
        <v>0</v>
      </c>
      <c r="L27" s="440">
        <v>161.07379179145325654191254906</v>
      </c>
      <c r="M27" s="439">
        <v>273.70586675291197315183070805</v>
      </c>
      <c r="N27" s="95">
        <v>358.0661956971076245977875656</v>
      </c>
      <c r="O27" s="440">
        <v>277.08812440194365425548658347</v>
      </c>
      <c r="P27" s="93"/>
      <c r="Q27" s="420">
        <v>1.0391299861004552268712058700</v>
      </c>
      <c r="R27" s="91">
        <v>18.018840240248699499357081490</v>
      </c>
      <c r="S27" s="421">
        <v>5.0240384442409577530501550900</v>
      </c>
      <c r="T27" s="420">
        <v>-0.060686256977699315324766400</v>
      </c>
      <c r="U27" s="91">
        <v>-9.521866626210761066377595840</v>
      </c>
      <c r="V27" s="421">
        <v>-0.2931511039924667986133591300</v>
      </c>
      <c r="W27" s="420">
        <v>0</v>
      </c>
      <c r="X27" s="91">
        <v>0</v>
      </c>
      <c r="Y27" s="421">
        <v>4.2047433362412251849075474200</v>
      </c>
      <c r="Z27" s="420">
        <v>1.11404988105614280407595900</v>
      </c>
      <c r="AA27" s="91">
        <v>17.149704493573369272489201560</v>
      </c>
      <c r="AB27" s="421">
        <v>3.2951471709950440178324597900</v>
      </c>
    </row>
    <row r="28" ht="18" customHeight="1">
      <c r="A28" s="58"/>
      <c r="B28" s="1043" t="s">
        <v>48</v>
      </c>
      <c r="C28" s="1043"/>
      <c r="D28" s="439">
        <v>263.21282459424165284133524982</v>
      </c>
      <c r="E28" s="95">
        <v>346.66612316255070668819614247</v>
      </c>
      <c r="F28" s="440">
        <v>278.66614731211037070825764832</v>
      </c>
      <c r="G28" s="439">
        <v>293.22636961707844947380056975</v>
      </c>
      <c r="H28" s="95">
        <v>418.21530414644495480020383339</v>
      </c>
      <c r="I28" s="440">
        <v>300.25351771118055948857768519</v>
      </c>
      <c r="J28" s="439">
        <v>0</v>
      </c>
      <c r="K28" s="95">
        <v>0</v>
      </c>
      <c r="L28" s="440">
        <v>163.58730616420443184299801905</v>
      </c>
      <c r="M28" s="439">
        <v>269.90944526745384052999593961</v>
      </c>
      <c r="N28" s="95">
        <v>352.39242391740351764064500296</v>
      </c>
      <c r="O28" s="440">
        <v>273.8222788254014652721254467</v>
      </c>
      <c r="P28" s="5"/>
      <c r="Q28" s="420">
        <v>-3.7083304052350896582764628100</v>
      </c>
      <c r="R28" s="91">
        <v>17.131300178991246809905761200</v>
      </c>
      <c r="S28" s="421">
        <v>1.4345555211550173091579598100</v>
      </c>
      <c r="T28" s="420">
        <v>-2.9489877638959999172964948700</v>
      </c>
      <c r="U28" s="91">
        <v>-3.744081733240028947805394200</v>
      </c>
      <c r="V28" s="421">
        <v>0.7496319126953875079639081300</v>
      </c>
      <c r="W28" s="420">
        <v>0</v>
      </c>
      <c r="X28" s="91">
        <v>0</v>
      </c>
      <c r="Y28" s="421">
        <v>3.1995997330841149816458030900</v>
      </c>
      <c r="Z28" s="420">
        <v>-2.8759339829709848118484689700</v>
      </c>
      <c r="AA28" s="91">
        <v>15.509028672345923005502395530</v>
      </c>
      <c r="AB28" s="421">
        <v>1.3329420222840491711507444300</v>
      </c>
    </row>
    <row r="29" ht="18" customHeight="1">
      <c r="A29" s="58"/>
      <c r="B29" s="1043" t="s">
        <v>49</v>
      </c>
      <c r="C29" s="1043"/>
      <c r="D29" s="439">
        <v>292.69581752866800523089983304</v>
      </c>
      <c r="E29" s="95">
        <v>386.87415432631225677807306659</v>
      </c>
      <c r="F29" s="440">
        <v>287.72647998253637268808693062</v>
      </c>
      <c r="G29" s="439">
        <v>298.88929729694441079493790698</v>
      </c>
      <c r="H29" s="95">
        <v>403.78821408899292281036434027</v>
      </c>
      <c r="I29" s="440">
        <v>310.38462820433131749361178812</v>
      </c>
      <c r="J29" s="439">
        <v>0</v>
      </c>
      <c r="K29" s="95">
        <v>0</v>
      </c>
      <c r="L29" s="440">
        <v>165.32190173178651626023272192</v>
      </c>
      <c r="M29" s="439">
        <v>293.66552504854790535324752331</v>
      </c>
      <c r="N29" s="95">
        <v>387.91880528612646206417395501</v>
      </c>
      <c r="O29" s="440">
        <v>281.0687352916703539935057168</v>
      </c>
      <c r="P29" s="93"/>
      <c r="Q29" s="420">
        <v>-3.6589526280872631955382390900</v>
      </c>
      <c r="R29" s="91">
        <v>13.471998816736231793862134190</v>
      </c>
      <c r="S29" s="421">
        <v>-0.9284999309968338413798038900</v>
      </c>
      <c r="T29" s="420">
        <v>-7.993402704484367557440133460</v>
      </c>
      <c r="U29" s="91">
        <v>-11.451583549974989606593016440</v>
      </c>
      <c r="V29" s="421">
        <v>4.5607493582373551851814440300</v>
      </c>
      <c r="W29" s="420">
        <v>0</v>
      </c>
      <c r="X29" s="91">
        <v>0</v>
      </c>
      <c r="Y29" s="421">
        <v>2.8142515377064884475982641500</v>
      </c>
      <c r="Z29" s="420">
        <v>-4.0074437333224787111773566500</v>
      </c>
      <c r="AA29" s="91">
        <v>11.908828372249834516463911550</v>
      </c>
      <c r="AB29" s="421">
        <v>-0.0262306735376976213416192400</v>
      </c>
    </row>
    <row r="30" ht="18" customHeight="1">
      <c r="A30" s="58"/>
      <c r="B30" s="1044" t="s">
        <v>75</v>
      </c>
      <c r="C30" s="1044"/>
      <c r="D30" s="457">
        <v>270.95461524045850273621564428</v>
      </c>
      <c r="E30" s="458">
        <v>356.7102602381319384910320423</v>
      </c>
      <c r="F30" s="459">
        <v>276.69535643631839093675836258</v>
      </c>
      <c r="G30" s="457">
        <v>295.17452344766898600366027283</v>
      </c>
      <c r="H30" s="458">
        <v>406.36696055038619803852532138</v>
      </c>
      <c r="I30" s="459">
        <v>303.27668603767084393047476484</v>
      </c>
      <c r="J30" s="457">
        <v>0</v>
      </c>
      <c r="K30" s="458">
        <v>0</v>
      </c>
      <c r="L30" s="459">
        <v>167.10053023159983899999496238</v>
      </c>
      <c r="M30" s="457">
        <v>275.36164945546914637030223471</v>
      </c>
      <c r="N30" s="458">
        <v>360.83544582875103481457169772</v>
      </c>
      <c r="O30" s="459">
        <v>272.16068748731860464988993258</v>
      </c>
      <c r="P30" s="5"/>
      <c r="Q30" s="430">
        <v>-0.3868710113288091579679931200</v>
      </c>
      <c r="R30" s="431">
        <v>14.724152468007912054022576660</v>
      </c>
      <c r="S30" s="432">
        <v>1.4563666534518720632486162400</v>
      </c>
      <c r="T30" s="430">
        <v>-3.0246542012321128307716961300</v>
      </c>
      <c r="U30" s="431">
        <v>-4.8518329019676141973191815800</v>
      </c>
      <c r="V30" s="432">
        <v>0.4551618765700236255205714600</v>
      </c>
      <c r="W30" s="430">
        <v>0</v>
      </c>
      <c r="X30" s="431">
        <v>0</v>
      </c>
      <c r="Y30" s="432">
        <v>5.0095910590847398217070610400</v>
      </c>
      <c r="Z30" s="430">
        <v>-0.4056177389861951724586375400</v>
      </c>
      <c r="AA30" s="431">
        <v>14.111886158759836518057777960</v>
      </c>
      <c r="AB30" s="432">
        <v>1.1948946367616932541364215800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365.04848473396916534769130838</v>
      </c>
      <c r="E32" s="494">
        <v>459.81705995260185714430042945</v>
      </c>
      <c r="F32" s="495">
        <v>334.68346832421084339280828769</v>
      </c>
      <c r="G32" s="493">
        <v>346.14612760641755718327072953</v>
      </c>
      <c r="H32" s="494">
        <v>389.90451319283283442421436817</v>
      </c>
      <c r="I32" s="495">
        <v>314.19012682752981019675739346</v>
      </c>
      <c r="J32" s="493">
        <v>0</v>
      </c>
      <c r="K32" s="494">
        <v>0</v>
      </c>
      <c r="L32" s="495">
        <v>167.30877434026270945067375987</v>
      </c>
      <c r="M32" s="493">
        <v>362.84405434509920568240365374</v>
      </c>
      <c r="N32" s="494">
        <v>457.12671753958942465273185507</v>
      </c>
      <c r="O32" s="495">
        <v>316.0337901419751796816781483</v>
      </c>
      <c r="P32" s="93"/>
      <c r="Q32" s="479">
        <v>-3.8418374002046946411935163600</v>
      </c>
      <c r="R32" s="480">
        <v>8.982387759357461899182302450</v>
      </c>
      <c r="S32" s="481">
        <v>2.1576591978482477236220618500</v>
      </c>
      <c r="T32" s="479">
        <v>-8.308686507948699609159500070</v>
      </c>
      <c r="U32" s="480">
        <v>-10.235887183557455131966265260</v>
      </c>
      <c r="V32" s="481">
        <v>5.7158829365209874117427436200</v>
      </c>
      <c r="W32" s="479">
        <v>0</v>
      </c>
      <c r="X32" s="480">
        <v>0</v>
      </c>
      <c r="Y32" s="481">
        <v>-0.2436526956977101149679647600</v>
      </c>
      <c r="Z32" s="479">
        <v>-4.3269262879791636483113012700</v>
      </c>
      <c r="AA32" s="480">
        <v>8.209341236982242018069321940</v>
      </c>
      <c r="AB32" s="481">
        <v>2.2037780716831848149258147700</v>
      </c>
    </row>
    <row r="33" ht="18" customHeight="1">
      <c r="A33" s="58"/>
      <c r="B33" s="1046" t="s">
        <v>51</v>
      </c>
      <c r="C33" s="1046"/>
      <c r="D33" s="276">
        <v>365.08337064455327824136080676</v>
      </c>
      <c r="E33" s="94">
        <v>455.78524472870262439475737129</v>
      </c>
      <c r="F33" s="277">
        <v>336.46232051222676237645222289</v>
      </c>
      <c r="G33" s="276">
        <v>354.43461419078164907124503884</v>
      </c>
      <c r="H33" s="94">
        <v>435.61806295512988406633036305</v>
      </c>
      <c r="I33" s="277">
        <v>313.40666458930420221365187128</v>
      </c>
      <c r="J33" s="276">
        <v>0</v>
      </c>
      <c r="K33" s="94">
        <v>0</v>
      </c>
      <c r="L33" s="277">
        <v>167.87705147820212117828327448</v>
      </c>
      <c r="M33" s="276">
        <v>364.28603182592310056216278207</v>
      </c>
      <c r="N33" s="94">
        <v>454.4581389647082468904938089</v>
      </c>
      <c r="O33" s="277">
        <v>317.61743132096343199356624334</v>
      </c>
      <c r="P33" s="5"/>
      <c r="Q33" s="271">
        <v>-3.7453435768300254645485844700</v>
      </c>
      <c r="R33" s="92">
        <v>6.1849179566743886411830426100</v>
      </c>
      <c r="S33" s="272">
        <v>0.7437857563961508468017775400</v>
      </c>
      <c r="T33" s="271">
        <v>-8.491909942755327631619080960</v>
      </c>
      <c r="U33" s="92">
        <v>-2.3850286844489811700246139500</v>
      </c>
      <c r="V33" s="272">
        <v>4.5726767658327778979508429700</v>
      </c>
      <c r="W33" s="271">
        <v>0</v>
      </c>
      <c r="X33" s="92">
        <v>0</v>
      </c>
      <c r="Y33" s="272">
        <v>3.47118828491509489785909100</v>
      </c>
      <c r="Z33" s="271">
        <v>-3.9952587452718002919021347900</v>
      </c>
      <c r="AA33" s="92">
        <v>5.7741329878177394731736816400</v>
      </c>
      <c r="AB33" s="272">
        <v>0.8062983344635687425226707200</v>
      </c>
    </row>
    <row r="34" ht="18" customHeight="1">
      <c r="A34" s="58"/>
      <c r="B34" s="1047" t="s">
        <v>76</v>
      </c>
      <c r="C34" s="1047"/>
      <c r="D34" s="443">
        <v>365.06702523746125520764008201</v>
      </c>
      <c r="E34" s="444">
        <v>457.7465250099416881553217266</v>
      </c>
      <c r="F34" s="445">
        <v>335.61893236376093691185732511</v>
      </c>
      <c r="G34" s="443">
        <v>349.54581193424147283901612424</v>
      </c>
      <c r="H34" s="444">
        <v>419.62372403120562083457346648</v>
      </c>
      <c r="I34" s="445">
        <v>313.7906085041812773979009904</v>
      </c>
      <c r="J34" s="443">
        <v>0</v>
      </c>
      <c r="K34" s="444">
        <v>0</v>
      </c>
      <c r="L34" s="445">
        <v>167.60414937667291270718626971</v>
      </c>
      <c r="M34" s="633">
        <v>363.59380840205268513082410142</v>
      </c>
      <c r="N34" s="634">
        <v>455.73706148171672161617200525</v>
      </c>
      <c r="O34" s="635">
        <v>316.8613658478934650885293581</v>
      </c>
      <c r="P34" s="93"/>
      <c r="Q34" s="273">
        <v>-3.7930111490216207947506179100</v>
      </c>
      <c r="R34" s="274">
        <v>7.542862231508022918149586500</v>
      </c>
      <c r="S34" s="275">
        <v>1.4344905999656133446250060200</v>
      </c>
      <c r="T34" s="273">
        <v>-8.378020253605657760545162400</v>
      </c>
      <c r="U34" s="274">
        <v>-4.4733020838522482720499897500</v>
      </c>
      <c r="V34" s="275">
        <v>5.1753362467149680478952025200</v>
      </c>
      <c r="W34" s="273">
        <v>0</v>
      </c>
      <c r="X34" s="274">
        <v>0</v>
      </c>
      <c r="Y34" s="275">
        <v>1.5859363795508422785977787900</v>
      </c>
      <c r="Z34" s="273">
        <v>-4.1533642096895685698482226800</v>
      </c>
      <c r="AA34" s="274">
        <v>6.9579357352437316686025397100</v>
      </c>
      <c r="AB34" s="275">
        <v>1.5053426931702969673361184400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299.49480476867548944547741442</v>
      </c>
      <c r="E36" s="483">
        <v>387.70070330288488496925254692</v>
      </c>
      <c r="F36" s="484">
        <v>295.47640956263621332912942271</v>
      </c>
      <c r="G36" s="482">
        <v>306.64143192488262910798122066</v>
      </c>
      <c r="H36" s="483">
        <v>408.60907384414193224575450765</v>
      </c>
      <c r="I36" s="484">
        <v>306.22161446043557908873653328</v>
      </c>
      <c r="J36" s="482">
        <v>0</v>
      </c>
      <c r="K36" s="483">
        <v>0</v>
      </c>
      <c r="L36" s="484">
        <v>167.16573841925541344132486344</v>
      </c>
      <c r="M36" s="482">
        <v>300.6174979256937402046648843</v>
      </c>
      <c r="N36" s="483">
        <v>389.26440332887501857631148759</v>
      </c>
      <c r="O36" s="484">
        <v>285.71265310593664204191456877</v>
      </c>
      <c r="P36" s="93"/>
      <c r="Q36" s="468">
        <v>-1.9714985833964411266251765500</v>
      </c>
      <c r="R36" s="469">
        <v>11.835690413624121949413464250</v>
      </c>
      <c r="S36" s="470">
        <v>1.3177171605018535047726044300</v>
      </c>
      <c r="T36" s="468">
        <v>-3.0148344815035400275268059100</v>
      </c>
      <c r="U36" s="469">
        <v>-4.9421532017128549433693356600</v>
      </c>
      <c r="V36" s="470">
        <v>1.4187500275443599899529714800</v>
      </c>
      <c r="W36" s="468">
        <v>0</v>
      </c>
      <c r="X36" s="469">
        <v>0</v>
      </c>
      <c r="Y36" s="470">
        <v>4.2443657785923488829206184900</v>
      </c>
      <c r="Z36" s="468">
        <v>-2.0017751386503318450104802400</v>
      </c>
      <c r="AA36" s="469">
        <v>11.208062853985146011449326740</v>
      </c>
      <c r="AB36" s="470">
        <v>1.1605392407296704563849076600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211.22608641187181441437512125</v>
      </c>
      <c r="E39" s="455">
        <v>276.4635246270808490254016673</v>
      </c>
      <c r="F39" s="456">
        <v>154.93101913983933759750693291</v>
      </c>
      <c r="G39" s="454">
        <v>30.026237406713481184139276877</v>
      </c>
      <c r="H39" s="455">
        <v>26.023468928243503299168735698</v>
      </c>
      <c r="I39" s="456">
        <v>38.42790186021326000985536709</v>
      </c>
      <c r="J39" s="454">
        <v>0</v>
      </c>
      <c r="K39" s="455">
        <v>0</v>
      </c>
      <c r="L39" s="456">
        <v>13.708351576709672382592831981</v>
      </c>
      <c r="M39" s="454">
        <v>241.25232381858529559851439797</v>
      </c>
      <c r="N39" s="455">
        <v>302.4869935553243523245704028</v>
      </c>
      <c r="O39" s="456">
        <v>207.06727257676226998995513181</v>
      </c>
      <c r="P39" s="5"/>
      <c r="Q39" s="427">
        <v>-2.4585779118013400853402618300</v>
      </c>
      <c r="R39" s="428">
        <v>7.8754650016801671039070276300</v>
      </c>
      <c r="S39" s="429">
        <v>0.5593181382562841344241301800</v>
      </c>
      <c r="T39" s="427">
        <v>58.691918276031114630716391790</v>
      </c>
      <c r="U39" s="428">
        <v>259.55433574748449470190017523</v>
      </c>
      <c r="V39" s="429">
        <v>4.4798791268836367953666918400</v>
      </c>
      <c r="W39" s="427">
        <v>0</v>
      </c>
      <c r="X39" s="428">
        <v>0</v>
      </c>
      <c r="Y39" s="429">
        <v>21.433611281171685297601909300</v>
      </c>
      <c r="Z39" s="427">
        <v>2.4551175927607835118944137300</v>
      </c>
      <c r="AA39" s="428">
        <v>14.826189937475895923940089950</v>
      </c>
      <c r="AB39" s="429">
        <v>2.4397457534082026495038397200</v>
      </c>
    </row>
    <row r="40" ht="18" customHeight="1">
      <c r="A40" s="58"/>
      <c r="B40" s="1043" t="s">
        <v>46</v>
      </c>
      <c r="C40" s="1043"/>
      <c r="D40" s="439">
        <v>189.22065293512211910018153661</v>
      </c>
      <c r="E40" s="95">
        <v>267.13498103832670493443853845</v>
      </c>
      <c r="F40" s="440">
        <v>141.39191070974297839410578287</v>
      </c>
      <c r="G40" s="439">
        <v>55.530956590659598426351413197</v>
      </c>
      <c r="H40" s="95">
        <v>33.086619907744839409450117381</v>
      </c>
      <c r="I40" s="440">
        <v>54.285876876106790747105820235</v>
      </c>
      <c r="J40" s="439">
        <v>0</v>
      </c>
      <c r="K40" s="95">
        <v>0</v>
      </c>
      <c r="L40" s="440">
        <v>13.539653975436273170425074769</v>
      </c>
      <c r="M40" s="439">
        <v>244.75160952578171752653294963</v>
      </c>
      <c r="N40" s="95">
        <v>300.22160094607154434388865561</v>
      </c>
      <c r="O40" s="440">
        <v>209.21744156128604231163667769</v>
      </c>
      <c r="P40" s="5"/>
      <c r="Q40" s="420">
        <v>-2.5289956482594742612042041400</v>
      </c>
      <c r="R40" s="91">
        <v>18.962073156734294371650207640</v>
      </c>
      <c r="S40" s="421">
        <v>2.8346524480989672697444960600</v>
      </c>
      <c r="T40" s="420">
        <v>9.320065160704166810246370110</v>
      </c>
      <c r="U40" s="91">
        <v>167.32139686239103634204807408</v>
      </c>
      <c r="V40" s="421">
        <v>7.595654590032823291142881400</v>
      </c>
      <c r="W40" s="420">
        <v>0</v>
      </c>
      <c r="X40" s="91">
        <v>0</v>
      </c>
      <c r="Y40" s="421">
        <v>18.523778982191768288900473860</v>
      </c>
      <c r="Z40" s="420">
        <v>-0.0715565289029083829094378600</v>
      </c>
      <c r="AA40" s="91">
        <v>26.754382839575585754873268460</v>
      </c>
      <c r="AB40" s="421">
        <v>4.9397699850183472931969894700</v>
      </c>
    </row>
    <row r="41" ht="18" customHeight="1">
      <c r="A41" s="58"/>
      <c r="B41" s="1043" t="s">
        <v>47</v>
      </c>
      <c r="C41" s="1043"/>
      <c r="D41" s="439">
        <v>195.98482581109499293503021475</v>
      </c>
      <c r="E41" s="95">
        <v>273.44947539761124604168280263</v>
      </c>
      <c r="F41" s="440">
        <v>157.12084463518892383061367235</v>
      </c>
      <c r="G41" s="439">
        <v>55.231223219112674730548669567</v>
      </c>
      <c r="H41" s="95">
        <v>34.734063788025437115044465056</v>
      </c>
      <c r="I41" s="440">
        <v>64.975474007931927505011670646</v>
      </c>
      <c r="J41" s="439">
        <v>0</v>
      </c>
      <c r="K41" s="95">
        <v>0</v>
      </c>
      <c r="L41" s="440">
        <v>12.884199391488110607913424162</v>
      </c>
      <c r="M41" s="439">
        <v>251.21604903020766766557888414</v>
      </c>
      <c r="N41" s="95">
        <v>308.18353918563668315672726744</v>
      </c>
      <c r="O41" s="440">
        <v>234.98051803460896194353876696</v>
      </c>
      <c r="P41" s="93"/>
      <c r="Q41" s="420">
        <v>-2.3236274360473218499473008400</v>
      </c>
      <c r="R41" s="91">
        <v>21.293738989983096136480324700</v>
      </c>
      <c r="S41" s="421">
        <v>5.8855847989642719276088659900</v>
      </c>
      <c r="T41" s="420">
        <v>10.441411119435107046241844190</v>
      </c>
      <c r="U41" s="91">
        <v>104.85399782261362259717175680</v>
      </c>
      <c r="V41" s="421">
        <v>10.069420300818386667268194920</v>
      </c>
      <c r="W41" s="420">
        <v>0</v>
      </c>
      <c r="X41" s="91">
        <v>0</v>
      </c>
      <c r="Y41" s="421">
        <v>17.714518882784042861733677570</v>
      </c>
      <c r="Z41" s="420">
        <v>0.2231771948803454330242804300</v>
      </c>
      <c r="AA41" s="91">
        <v>27.180968437530672382627451410</v>
      </c>
      <c r="AB41" s="421">
        <v>7.6108978477494377822525655300</v>
      </c>
    </row>
    <row r="42" ht="18" customHeight="1">
      <c r="A42" s="58"/>
      <c r="B42" s="1043" t="s">
        <v>48</v>
      </c>
      <c r="C42" s="1043"/>
      <c r="D42" s="439">
        <v>191.73428364965155364316378934</v>
      </c>
      <c r="E42" s="95">
        <v>270.30965372714989137337655404</v>
      </c>
      <c r="F42" s="440">
        <v>155.13909596430786528174239312</v>
      </c>
      <c r="G42" s="439">
        <v>61.345143760216295664973429262</v>
      </c>
      <c r="H42" s="95">
        <v>27.868551126037700476399987129</v>
      </c>
      <c r="I42" s="440">
        <v>66.461521243020115989665854604</v>
      </c>
      <c r="J42" s="439">
        <v>0</v>
      </c>
      <c r="K42" s="95">
        <v>0</v>
      </c>
      <c r="L42" s="440">
        <v>12.677527874144342044108310256</v>
      </c>
      <c r="M42" s="439">
        <v>253.07942740986784930813721843</v>
      </c>
      <c r="N42" s="95">
        <v>298.17820485318759184977654097</v>
      </c>
      <c r="O42" s="440">
        <v>234.27814508147232331551655779</v>
      </c>
      <c r="P42" s="5"/>
      <c r="Q42" s="420">
        <v>-7.8724936904247369305862818200</v>
      </c>
      <c r="R42" s="91">
        <v>15.271480844623373467898145640</v>
      </c>
      <c r="S42" s="421">
        <v>-1.8026208733003665651720005500</v>
      </c>
      <c r="T42" s="420">
        <v>35.131144380564409629038595430</v>
      </c>
      <c r="U42" s="91">
        <v>15.926756369871405280939227390</v>
      </c>
      <c r="V42" s="421">
        <v>12.434782978402592133364623710</v>
      </c>
      <c r="W42" s="420">
        <v>0</v>
      </c>
      <c r="X42" s="91">
        <v>0</v>
      </c>
      <c r="Y42" s="421">
        <v>10.267507667194830808849605590</v>
      </c>
      <c r="Z42" s="420">
        <v>-0.17186762538709060967008600</v>
      </c>
      <c r="AA42" s="91">
        <v>15.374019215205561604446601870</v>
      </c>
      <c r="AB42" s="421">
        <v>2.4874191966487037204516042600</v>
      </c>
    </row>
    <row r="43" ht="18" customHeight="1">
      <c r="A43" s="58"/>
      <c r="B43" s="1043" t="s">
        <v>49</v>
      </c>
      <c r="C43" s="1043"/>
      <c r="D43" s="439">
        <v>228.9457815139012995461394529</v>
      </c>
      <c r="E43" s="95">
        <v>320.33329929441261958998394926</v>
      </c>
      <c r="F43" s="440">
        <v>172.52648058750742026247071072</v>
      </c>
      <c r="G43" s="439">
        <v>43.399329784278544496739721372</v>
      </c>
      <c r="H43" s="95">
        <v>22.008805273745980531088172632</v>
      </c>
      <c r="I43" s="440">
        <v>57.208876284041377588870992454</v>
      </c>
      <c r="J43" s="439">
        <v>0</v>
      </c>
      <c r="K43" s="95">
        <v>0</v>
      </c>
      <c r="L43" s="440">
        <v>13.426627692996343886641639015</v>
      </c>
      <c r="M43" s="439">
        <v>272.34511129817984404287917408</v>
      </c>
      <c r="N43" s="95">
        <v>342.34210456815860012107212163</v>
      </c>
      <c r="O43" s="440">
        <v>243.16198456454514173798334198</v>
      </c>
      <c r="P43" s="93"/>
      <c r="Q43" s="420">
        <v>-9.125951626867730493897659230</v>
      </c>
      <c r="R43" s="91">
        <v>12.871438506776515390241433330</v>
      </c>
      <c r="S43" s="421">
        <v>-1.2484842820345607404265912300</v>
      </c>
      <c r="T43" s="420">
        <v>30.999869482825187858759173170</v>
      </c>
      <c r="U43" s="91">
        <v>11.333707673359978609754263710</v>
      </c>
      <c r="V43" s="421">
        <v>6.2334318991031775687559808800</v>
      </c>
      <c r="W43" s="420">
        <v>0</v>
      </c>
      <c r="X43" s="91">
        <v>0</v>
      </c>
      <c r="Y43" s="421">
        <v>19.113650155038217314720432690</v>
      </c>
      <c r="Z43" s="420">
        <v>-4.4626929838883756302766493600</v>
      </c>
      <c r="AA43" s="91">
        <v>12.818330766442369784453690720</v>
      </c>
      <c r="AB43" s="421">
        <v>1.3901460592021829992088865600</v>
      </c>
    </row>
    <row r="44" ht="18" customHeight="1">
      <c r="A44" s="58"/>
      <c r="B44" s="1044" t="s">
        <v>75</v>
      </c>
      <c r="C44" s="1044"/>
      <c r="D44" s="457">
        <v>203.02352207292877868374112563</v>
      </c>
      <c r="E44" s="458">
        <v>280.93201318445538160864846395</v>
      </c>
      <c r="F44" s="459">
        <v>155.96700478056940489242472449</v>
      </c>
      <c r="G44" s="457">
        <v>49.195753907944831000610045501</v>
      </c>
      <c r="H44" s="458">
        <v>28.849543938056578285529391233</v>
      </c>
      <c r="I44" s="459">
        <v>56.256914928358822470962063147</v>
      </c>
      <c r="J44" s="457">
        <v>0</v>
      </c>
      <c r="K44" s="458">
        <v>0</v>
      </c>
      <c r="L44" s="459">
        <v>13.24448668795343751316520607</v>
      </c>
      <c r="M44" s="457">
        <v>252.21927598087360968435117095</v>
      </c>
      <c r="N44" s="458">
        <v>309.78155712251195989417785514</v>
      </c>
      <c r="O44" s="459">
        <v>225.4684063968816648765519935</v>
      </c>
      <c r="P44" s="5"/>
      <c r="Q44" s="430">
        <v>-5.2942165067174738302781502500</v>
      </c>
      <c r="R44" s="431">
        <v>14.638216832715185302633672310</v>
      </c>
      <c r="S44" s="432">
        <v>0.9783777242724707824269751400</v>
      </c>
      <c r="T44" s="430">
        <v>24.354541789185971562277306920</v>
      </c>
      <c r="U44" s="431">
        <v>80.89971686474903716621222271</v>
      </c>
      <c r="V44" s="432">
        <v>8.752904920824039286380360810</v>
      </c>
      <c r="W44" s="430">
        <v>0</v>
      </c>
      <c r="X44" s="431">
        <v>0</v>
      </c>
      <c r="Y44" s="432">
        <v>17.394862464568749902521923530</v>
      </c>
      <c r="Z44" s="430">
        <v>-0.6751733553589083433862518200</v>
      </c>
      <c r="AA44" s="431">
        <v>18.729001123584296227453318320</v>
      </c>
      <c r="AB44" s="432">
        <v>3.6807889203282570536308356200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303.74615080768393934864718736</v>
      </c>
      <c r="E46" s="494">
        <v>411.91944954087249702510246834</v>
      </c>
      <c r="F46" s="495">
        <v>224.96733081517756165030183102</v>
      </c>
      <c r="G46" s="493">
        <v>38.023627653735261963313830164</v>
      </c>
      <c r="H46" s="494">
        <v>13.979134678425208210945670186</v>
      </c>
      <c r="I46" s="495">
        <v>51.238510369614434529170466028</v>
      </c>
      <c r="J46" s="493">
        <v>0</v>
      </c>
      <c r="K46" s="494">
        <v>0</v>
      </c>
      <c r="L46" s="495">
        <v>13.757932341484949681536113612</v>
      </c>
      <c r="M46" s="493">
        <v>341.76977846141920131196101729</v>
      </c>
      <c r="N46" s="494">
        <v>425.89858421929770523604813823</v>
      </c>
      <c r="O46" s="495">
        <v>289.96377352627694586100841043</v>
      </c>
      <c r="P46" s="93"/>
      <c r="Q46" s="479">
        <v>-10.145399324549036989423352230</v>
      </c>
      <c r="R46" s="480">
        <v>14.554445785960496329569127260</v>
      </c>
      <c r="S46" s="481">
        <v>2.875658281155087595472782400</v>
      </c>
      <c r="T46" s="479">
        <v>50.294022550141573978724004930</v>
      </c>
      <c r="U46" s="480">
        <v>3.2381812160956564952525201400</v>
      </c>
      <c r="V46" s="481">
        <v>9.919019924433215245365664470</v>
      </c>
      <c r="W46" s="479">
        <v>0</v>
      </c>
      <c r="X46" s="480">
        <v>0</v>
      </c>
      <c r="Y46" s="481">
        <v>11.620195499455059567016546060</v>
      </c>
      <c r="Z46" s="479">
        <v>-5.9369962632723397860272930200</v>
      </c>
      <c r="AA46" s="480">
        <v>14.181757520309546375219772620</v>
      </c>
      <c r="AB46" s="481">
        <v>4.4478631715752775539689482300</v>
      </c>
    </row>
    <row r="47" ht="18" customHeight="1">
      <c r="A47" s="58"/>
      <c r="B47" s="1046" t="s">
        <v>51</v>
      </c>
      <c r="C47" s="1046"/>
      <c r="D47" s="276">
        <v>318.06505775851232574057949096</v>
      </c>
      <c r="E47" s="94">
        <v>397.89481114062053793316922602</v>
      </c>
      <c r="F47" s="277">
        <v>231.55022466035238400918108618</v>
      </c>
      <c r="G47" s="276">
        <v>24.992184333965372690921124551</v>
      </c>
      <c r="H47" s="94">
        <v>26.787783388340947700858866262</v>
      </c>
      <c r="I47" s="277">
        <v>49.091361337974126665146149425</v>
      </c>
      <c r="J47" s="276">
        <v>0</v>
      </c>
      <c r="K47" s="94">
        <v>0</v>
      </c>
      <c r="L47" s="277">
        <v>13.791663916103950976590941105</v>
      </c>
      <c r="M47" s="276">
        <v>343.05724209247769843150061528</v>
      </c>
      <c r="N47" s="94">
        <v>424.68259452896148563402809199</v>
      </c>
      <c r="O47" s="277">
        <v>294.43324991443046165091817649</v>
      </c>
      <c r="P47" s="5"/>
      <c r="Q47" s="271">
        <v>-7.1608313853802877946172458600</v>
      </c>
      <c r="R47" s="92">
        <v>5.0839839513754986296251210200</v>
      </c>
      <c r="S47" s="272">
        <v>-0.986955477099572571227524800</v>
      </c>
      <c r="T47" s="271">
        <v>40.157960720678345107255713500</v>
      </c>
      <c r="U47" s="92">
        <v>174.15121788064641802874020794</v>
      </c>
      <c r="V47" s="272">
        <v>23.057930345817972108842395770</v>
      </c>
      <c r="W47" s="271">
        <v>0</v>
      </c>
      <c r="X47" s="92">
        <v>0</v>
      </c>
      <c r="Y47" s="272">
        <v>16.196045839912687460135219200</v>
      </c>
      <c r="Z47" s="271">
        <v>-4.819839344981162921316254200</v>
      </c>
      <c r="AA47" s="92">
        <v>9.373498161477795258660182950</v>
      </c>
      <c r="AB47" s="272">
        <v>3.0867834436314625705846462100</v>
      </c>
    </row>
    <row r="48" ht="18" customHeight="1">
      <c r="A48" s="58"/>
      <c r="B48" s="1047" t="s">
        <v>76</v>
      </c>
      <c r="C48" s="1047"/>
      <c r="D48" s="443">
        <v>311.19198242211470027245198526</v>
      </c>
      <c r="E48" s="444">
        <v>404.62663757274147829729718233</v>
      </c>
      <c r="F48" s="445">
        <v>228.39048828242765960465159134</v>
      </c>
      <c r="G48" s="443">
        <v>31.247277127454919541669623247</v>
      </c>
      <c r="H48" s="444">
        <v>20.639632007581392745700532145</v>
      </c>
      <c r="I48" s="445">
        <v>50.121975694466085470880121902</v>
      </c>
      <c r="J48" s="443">
        <v>0</v>
      </c>
      <c r="K48" s="444">
        <v>0</v>
      </c>
      <c r="L48" s="445">
        <v>13.775473030163041475448026646</v>
      </c>
      <c r="M48" s="443">
        <v>342.43925954956961981412160824</v>
      </c>
      <c r="N48" s="444">
        <v>425.2662695803228710429977142</v>
      </c>
      <c r="O48" s="445">
        <v>292.28793700705678655097973966</v>
      </c>
      <c r="P48" s="93"/>
      <c r="Q48" s="273">
        <v>-8.558976600595127185507610030</v>
      </c>
      <c r="R48" s="274">
        <v>9.620963474095474369744483120</v>
      </c>
      <c r="S48" s="275">
        <v>0.9377795101821716062440319100</v>
      </c>
      <c r="T48" s="273">
        <v>44.894965907997685730685599400</v>
      </c>
      <c r="U48" s="274">
        <v>77.074286785197527324757802670</v>
      </c>
      <c r="V48" s="275">
        <v>15.878688592644747410238052880</v>
      </c>
      <c r="W48" s="273">
        <v>0</v>
      </c>
      <c r="X48" s="274">
        <v>0</v>
      </c>
      <c r="Y48" s="275">
        <v>13.870545192617419056863663900</v>
      </c>
      <c r="Z48" s="273">
        <v>-5.3735498479773686029978506200</v>
      </c>
      <c r="AA48" s="274">
        <v>11.722965796627684203602862450</v>
      </c>
      <c r="AB48" s="275">
        <v>3.7894101088595015230052279800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233.08486550902281239359891045</v>
      </c>
      <c r="E50" s="483">
        <v>315.35506318107336981935250118</v>
      </c>
      <c r="F50" s="484">
        <v>175.99619092512686462788867419</v>
      </c>
      <c r="G50" s="482">
        <v>44.477102485529451821586653047</v>
      </c>
      <c r="H50" s="483">
        <v>26.866019912733789835729808724</v>
      </c>
      <c r="I50" s="484">
        <v>54.860271707265322258834098853</v>
      </c>
      <c r="J50" s="482">
        <v>0</v>
      </c>
      <c r="K50" s="483">
        <v>0</v>
      </c>
      <c r="L50" s="484">
        <v>13.381875576237731866137732614</v>
      </c>
      <c r="M50" s="482">
        <v>277.5619679945522642151855635</v>
      </c>
      <c r="N50" s="483">
        <v>342.2210830938071596550823099</v>
      </c>
      <c r="O50" s="484">
        <v>244.23833820862991875286050565</v>
      </c>
      <c r="P50" s="93"/>
      <c r="Q50" s="468">
        <v>-7.1082208213878921668750961500</v>
      </c>
      <c r="R50" s="469">
        <v>12.246906682019317670261800010</v>
      </c>
      <c r="S50" s="470">
        <v>0.6038223036890879830091981900</v>
      </c>
      <c r="T50" s="468">
        <v>30.054168529861777252567728460</v>
      </c>
      <c r="U50" s="469">
        <v>83.06776123694576380129858994</v>
      </c>
      <c r="V50" s="470">
        <v>10.573907936565145404127440780</v>
      </c>
      <c r="W50" s="468">
        <v>0</v>
      </c>
      <c r="X50" s="469">
        <v>0</v>
      </c>
      <c r="Y50" s="470">
        <v>16.789507709805308547020167290</v>
      </c>
      <c r="Z50" s="468">
        <v>-2.6507501934456976538941246900</v>
      </c>
      <c r="AA50" s="469">
        <v>15.762626315243402120864947170</v>
      </c>
      <c r="AB50" s="470">
        <v>3.4855155130463601947580213600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72.610086735928025644726223890</v>
      </c>
      <c r="E11" s="428">
        <v>71.349241257972289421596657160</v>
      </c>
      <c r="F11" s="429">
        <v>54.341066240183405148490590590</v>
      </c>
      <c r="G11" s="427">
        <v>8.974942728268757381294554570</v>
      </c>
      <c r="H11" s="428">
        <v>4.1950736749505168242797448900</v>
      </c>
      <c r="I11" s="429">
        <v>9.494864164407647153934968920</v>
      </c>
      <c r="J11" s="427">
        <v>0</v>
      </c>
      <c r="K11" s="428">
        <v>0</v>
      </c>
      <c r="L11" s="429">
        <v>7.4006770215685794742235449600</v>
      </c>
      <c r="M11" s="427">
        <v>82.10955710955710955710955711</v>
      </c>
      <c r="N11" s="428">
        <v>75.549813063558390147349901030</v>
      </c>
      <c r="O11" s="429">
        <v>71.237520541588738650202325780</v>
      </c>
      <c r="P11" s="5"/>
      <c r="Q11" s="427">
        <v>-5.3857770065370651760141701700</v>
      </c>
      <c r="R11" s="428">
        <v>-2.1278795374233944145012919700</v>
      </c>
      <c r="S11" s="429">
        <v>0.7229008948371422148203114800</v>
      </c>
      <c r="T11" s="427">
        <v>81.20072205820257207898315860</v>
      </c>
      <c r="U11" s="428">
        <v>65.574696929279219997311436610</v>
      </c>
      <c r="V11" s="429">
        <v>9.076643844167237670770515770</v>
      </c>
      <c r="W11" s="427">
        <v>0</v>
      </c>
      <c r="X11" s="428">
        <v>0</v>
      </c>
      <c r="Y11" s="429">
        <v>5.09266756696573022533840500</v>
      </c>
      <c r="Z11" s="427">
        <v>-0.6697215368705372594805232900</v>
      </c>
      <c r="AA11" s="428">
        <v>0.1918853915902923750542868800</v>
      </c>
      <c r="AB11" s="429">
        <v>2.2076906301582785339825089400</v>
      </c>
    </row>
    <row r="12" ht="18" customHeight="1">
      <c r="A12" s="58"/>
      <c r="B12" s="1043" t="s">
        <v>46</v>
      </c>
      <c r="C12" s="1043"/>
      <c r="D12" s="420">
        <v>65.994272753160838854470976480</v>
      </c>
      <c r="E12" s="91">
        <v>65.207829338025071475698262620</v>
      </c>
      <c r="F12" s="421">
        <v>49.131037185619615069699754730</v>
      </c>
      <c r="G12" s="420">
        <v>12.907215016697831970224688900</v>
      </c>
      <c r="H12" s="91">
        <v>5.7840334286342643501209588800</v>
      </c>
      <c r="I12" s="421">
        <v>12.965205153611608553595647060</v>
      </c>
      <c r="J12" s="420">
        <v>0</v>
      </c>
      <c r="K12" s="91">
        <v>0</v>
      </c>
      <c r="L12" s="421">
        <v>7.2422825662752344654850684700</v>
      </c>
      <c r="M12" s="420">
        <v>79.61829836829836829836829837</v>
      </c>
      <c r="N12" s="91">
        <v>70.986364636023751924345722450</v>
      </c>
      <c r="O12" s="421">
        <v>69.338838119972205959512267260</v>
      </c>
      <c r="P12" s="5"/>
      <c r="Q12" s="420">
        <v>0.0449348364687356374939516900</v>
      </c>
      <c r="R12" s="91">
        <v>1.9121445965613216096261136300</v>
      </c>
      <c r="S12" s="421">
        <v>1.7876219719283687530730306300</v>
      </c>
      <c r="T12" s="420">
        <v>34.813681942800194045046088610</v>
      </c>
      <c r="U12" s="91">
        <v>70.123793090763414390121801120</v>
      </c>
      <c r="V12" s="421">
        <v>9.368070771664933043016383390</v>
      </c>
      <c r="W12" s="420">
        <v>0</v>
      </c>
      <c r="X12" s="91">
        <v>0</v>
      </c>
      <c r="Y12" s="421">
        <v>6.054470392197260013503536600</v>
      </c>
      <c r="Z12" s="420">
        <v>4.5438467313347229319040988300</v>
      </c>
      <c r="AA12" s="91">
        <v>5.3610940609147114897934625200</v>
      </c>
      <c r="AB12" s="421">
        <v>3.5637788386548817348188313300</v>
      </c>
    </row>
    <row r="13" ht="18" customHeight="1">
      <c r="A13" s="58"/>
      <c r="B13" s="1043" t="s">
        <v>47</v>
      </c>
      <c r="C13" s="1043"/>
      <c r="D13" s="420">
        <v>65.097580348636190963736716950</v>
      </c>
      <c r="E13" s="91">
        <v>64.119199472179458983945458570</v>
      </c>
      <c r="F13" s="421">
        <v>50.778042316811069056501942060</v>
      </c>
      <c r="G13" s="420">
        <v>14.153568940054158261572621040</v>
      </c>
      <c r="H13" s="91">
        <v>6.5757642401583461623048163600</v>
      </c>
      <c r="I13" s="421">
        <v>15.285943311055150447794715060</v>
      </c>
      <c r="J13" s="420">
        <v>0</v>
      </c>
      <c r="K13" s="91">
        <v>0</v>
      </c>
      <c r="L13" s="421">
        <v>7.3897388363421253066001513700</v>
      </c>
      <c r="M13" s="420">
        <v>79.67657342657342657342657343</v>
      </c>
      <c r="N13" s="91">
        <v>70.683967451066637343303276890</v>
      </c>
      <c r="O13" s="421">
        <v>73.454627962051703844463037280</v>
      </c>
      <c r="P13" s="184"/>
      <c r="Q13" s="420">
        <v>1.4848573634204190349890128600</v>
      </c>
      <c r="R13" s="91">
        <v>2.1633198956446416059941877700</v>
      </c>
      <c r="S13" s="421">
        <v>2.6875621228191196321440541700</v>
      </c>
      <c r="T13" s="420">
        <v>17.803336747425101957641459160</v>
      </c>
      <c r="U13" s="91">
        <v>79.90039387386814448108637913</v>
      </c>
      <c r="V13" s="421">
        <v>7.2457632043302716182563952300</v>
      </c>
      <c r="W13" s="420">
        <v>0</v>
      </c>
      <c r="X13" s="91">
        <v>0</v>
      </c>
      <c r="Y13" s="421">
        <v>8.939785490986448796102243070</v>
      </c>
      <c r="Z13" s="420">
        <v>3.6091649986356809421352544700</v>
      </c>
      <c r="AA13" s="91">
        <v>6.4263728966687698932833530600</v>
      </c>
      <c r="AB13" s="421">
        <v>4.2127971596804065742090942600</v>
      </c>
    </row>
    <row r="14" ht="18" customHeight="1">
      <c r="A14" s="58"/>
      <c r="B14" s="1043" t="s">
        <v>48</v>
      </c>
      <c r="C14" s="1043"/>
      <c r="D14" s="420">
        <v>67.155866489486437895724224230</v>
      </c>
      <c r="E14" s="91">
        <v>65.233514268823561025420540680</v>
      </c>
      <c r="F14" s="421">
        <v>52.447019619230203549210102330</v>
      </c>
      <c r="G14" s="420">
        <v>13.516180723833346361291331210</v>
      </c>
      <c r="H14" s="91">
        <v>5.7236523888859031547267157500</v>
      </c>
      <c r="I14" s="421">
        <v>15.467935700290100674445347930</v>
      </c>
      <c r="J14" s="420">
        <v>0</v>
      </c>
      <c r="K14" s="91">
        <v>0</v>
      </c>
      <c r="L14" s="421">
        <v>7.3688935482330741855543148100</v>
      </c>
      <c r="M14" s="420">
        <v>81.38936535162950257289879931</v>
      </c>
      <c r="N14" s="91">
        <v>70.946418014725640887837910460</v>
      </c>
      <c r="O14" s="421">
        <v>75.283796601002559090737364120</v>
      </c>
      <c r="P14" s="5"/>
      <c r="Q14" s="420">
        <v>0.9034804750118332991194493700</v>
      </c>
      <c r="R14" s="91">
        <v>0.9290596586268503064674149100</v>
      </c>
      <c r="S14" s="421">
        <v>1.4083639125821184590566671400</v>
      </c>
      <c r="T14" s="420">
        <v>8.527631147163566154470123130</v>
      </c>
      <c r="U14" s="91">
        <v>36.577113052539570537494246140</v>
      </c>
      <c r="V14" s="421">
        <v>3.3023849205656984757611442200</v>
      </c>
      <c r="W14" s="420">
        <v>0</v>
      </c>
      <c r="X14" s="91">
        <v>0</v>
      </c>
      <c r="Y14" s="421">
        <v>4.7718771073602442251236650300</v>
      </c>
      <c r="Z14" s="420">
        <v>2.0377358490387122253812385900</v>
      </c>
      <c r="AA14" s="91">
        <v>3.0857053425538868763861044600</v>
      </c>
      <c r="AB14" s="421">
        <v>2.1134606939964083561086668400</v>
      </c>
    </row>
    <row r="15" ht="18" customHeight="1">
      <c r="A15" s="58"/>
      <c r="B15" s="1043" t="s">
        <v>49</v>
      </c>
      <c r="C15" s="1043"/>
      <c r="D15" s="420">
        <v>73.335488107071926753955331180</v>
      </c>
      <c r="E15" s="91">
        <v>71.171220500465421891255544020</v>
      </c>
      <c r="F15" s="421">
        <v>56.801597390525770627212129920</v>
      </c>
      <c r="G15" s="420">
        <v>11.141806472858998518084853370</v>
      </c>
      <c r="H15" s="91">
        <v>4.8513387723813174177298362800</v>
      </c>
      <c r="I15" s="421">
        <v>13.381106559325663285156712900</v>
      </c>
      <c r="J15" s="420">
        <v>0</v>
      </c>
      <c r="K15" s="91">
        <v>0</v>
      </c>
      <c r="L15" s="421">
        <v>7.3965396185220670585714616200</v>
      </c>
      <c r="M15" s="420">
        <v>85.06701631701631701631701632</v>
      </c>
      <c r="N15" s="91">
        <v>76.028034824508569238350763840</v>
      </c>
      <c r="O15" s="421">
        <v>77.578979799494886025044896770</v>
      </c>
      <c r="P15" s="184"/>
      <c r="Q15" s="420">
        <v>-1.9751417709195944271142358900</v>
      </c>
      <c r="R15" s="91">
        <v>-2.4853221057813790615343281600</v>
      </c>
      <c r="S15" s="421">
        <v>2.2353647300973223148930681300</v>
      </c>
      <c r="T15" s="420">
        <v>21.290760109052184927013901480</v>
      </c>
      <c r="U15" s="91">
        <v>56.175714783230348586578795170</v>
      </c>
      <c r="V15" s="421">
        <v>-1.3113828906583219562766896500</v>
      </c>
      <c r="W15" s="420">
        <v>0</v>
      </c>
      <c r="X15" s="91">
        <v>0</v>
      </c>
      <c r="Y15" s="421">
        <v>7.01170050165080574946523100</v>
      </c>
      <c r="Z15" s="420">
        <v>0.3437016670016442453848215600</v>
      </c>
      <c r="AA15" s="91">
        <v>-0.0551359185426556094115985600</v>
      </c>
      <c r="AB15" s="421">
        <v>2.0370195366387931924388622400</v>
      </c>
    </row>
    <row r="16" ht="18" customHeight="1">
      <c r="A16" s="58"/>
      <c r="B16" s="1044" t="s">
        <v>75</v>
      </c>
      <c r="C16" s="1044"/>
      <c r="D16" s="430">
        <v>68.813136890940094601421832540</v>
      </c>
      <c r="E16" s="431">
        <v>67.409278824069820854386770790</v>
      </c>
      <c r="F16" s="432">
        <v>52.698277244105663587740506150</v>
      </c>
      <c r="G16" s="430">
        <v>12.153085951712954001283520730</v>
      </c>
      <c r="H16" s="431">
        <v>5.4268652798740074808058271500</v>
      </c>
      <c r="I16" s="432">
        <v>13.327232693300989509492288180</v>
      </c>
      <c r="J16" s="430">
        <v>0</v>
      </c>
      <c r="K16" s="431">
        <v>0</v>
      </c>
      <c r="L16" s="432">
        <v>7.3596547900713393016450000800</v>
      </c>
      <c r="M16" s="430">
        <v>81.57146174387553697898525485</v>
      </c>
      <c r="N16" s="431">
        <v>72.832863048756480083995012800</v>
      </c>
      <c r="O16" s="432">
        <v>73.385524911304999378287205470</v>
      </c>
      <c r="P16" s="5"/>
      <c r="Q16" s="430">
        <v>-1.1878559023285811069908142800</v>
      </c>
      <c r="R16" s="431">
        <v>-0.0176611950920902524373310600</v>
      </c>
      <c r="S16" s="432">
        <v>1.8012718347183577074462419200</v>
      </c>
      <c r="T16" s="430">
        <v>26.272080160555138750954950090</v>
      </c>
      <c r="U16" s="431">
        <v>60.636356767551501497754380670</v>
      </c>
      <c r="V16" s="432">
        <v>5.1783241440975581613123732500</v>
      </c>
      <c r="W16" s="430">
        <v>0</v>
      </c>
      <c r="X16" s="431">
        <v>0</v>
      </c>
      <c r="Y16" s="432">
        <v>6.3688567076729330497041239100</v>
      </c>
      <c r="Z16" s="629">
        <v>1.9319060901476771034677178600</v>
      </c>
      <c r="AA16" s="214">
        <v>2.8899377008842352913344411400</v>
      </c>
      <c r="AB16" s="630">
        <v>2.8438511281533893199281445800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78.714467450429899982453061990</v>
      </c>
      <c r="E18" s="480">
        <v>77.687126978043037836061983270</v>
      </c>
      <c r="F18" s="481">
        <v>63.969902928779919637920454220</v>
      </c>
      <c r="G18" s="479">
        <v>7.6329180557992630286015090400</v>
      </c>
      <c r="H18" s="480">
        <v>3.1320155505667195969993976900</v>
      </c>
      <c r="I18" s="481">
        <v>12.710070620011502506826558800</v>
      </c>
      <c r="J18" s="479">
        <v>0</v>
      </c>
      <c r="K18" s="480">
        <v>0</v>
      </c>
      <c r="L18" s="481">
        <v>7.6047711349157123462505927700</v>
      </c>
      <c r="M18" s="479">
        <v>87.01923076923076923076923077</v>
      </c>
      <c r="N18" s="480">
        <v>80.81914252860975743306138093</v>
      </c>
      <c r="O18" s="481">
        <v>84.28364794398998432011279795</v>
      </c>
      <c r="P18" s="184"/>
      <c r="Q18" s="479">
        <v>-3.3171132947056732974563023500</v>
      </c>
      <c r="R18" s="480">
        <v>-0.7435059986284442172030802100</v>
      </c>
      <c r="S18" s="481">
        <v>2.8374775919303044250344889400</v>
      </c>
      <c r="T18" s="479">
        <v>45.266077299376363110003984350</v>
      </c>
      <c r="U18" s="480">
        <v>32.702995433962394503726933850</v>
      </c>
      <c r="V18" s="481">
        <v>0.1559356174172539069509998600</v>
      </c>
      <c r="W18" s="479">
        <v>0</v>
      </c>
      <c r="X18" s="480">
        <v>0</v>
      </c>
      <c r="Y18" s="481">
        <v>7.0951327438002961272098914400</v>
      </c>
      <c r="Z18" s="479">
        <v>-1.1256414500834501403133320200</v>
      </c>
      <c r="AA18" s="480">
        <v>0.2664489394710954666541303600</v>
      </c>
      <c r="AB18" s="481">
        <v>2.7897626158775326367964275300</v>
      </c>
    </row>
    <row r="19" ht="18" customHeight="1">
      <c r="A19" s="58"/>
      <c r="B19" s="1046" t="s">
        <v>51</v>
      </c>
      <c r="C19" s="1046"/>
      <c r="D19" s="271">
        <v>81.09975434286716967889103357</v>
      </c>
      <c r="E19" s="92">
        <v>77.848031669232460963272487380</v>
      </c>
      <c r="F19" s="272">
        <v>65.765350386414639407994130480</v>
      </c>
      <c r="G19" s="271">
        <v>5.7391448260460367847628770600</v>
      </c>
      <c r="H19" s="92">
        <v>3.3978447327908511106223883900</v>
      </c>
      <c r="I19" s="272">
        <v>11.434289540730338531317063840</v>
      </c>
      <c r="J19" s="271">
        <v>0</v>
      </c>
      <c r="K19" s="92">
        <v>0</v>
      </c>
      <c r="L19" s="272">
        <v>7.6004359425279544631444253100</v>
      </c>
      <c r="M19" s="271">
        <v>87.51456876456876456876456876</v>
      </c>
      <c r="N19" s="92">
        <v>81.24587640202331207389487574</v>
      </c>
      <c r="O19" s="272">
        <v>84.80039552120860907024148677</v>
      </c>
      <c r="P19" s="5"/>
      <c r="Q19" s="271">
        <v>-3.8625837140470995419193035400</v>
      </c>
      <c r="R19" s="92">
        <v>-3.5967414662768398014405632100</v>
      </c>
      <c r="S19" s="272">
        <v>0.3087338672043285887686304500</v>
      </c>
      <c r="T19" s="271">
        <v>42.772264363996321415524087180</v>
      </c>
      <c r="U19" s="92">
        <v>63.583498627610244246636278940</v>
      </c>
      <c r="V19" s="272">
        <v>1.887956506985450246568211400</v>
      </c>
      <c r="W19" s="271">
        <v>0</v>
      </c>
      <c r="X19" s="92">
        <v>0</v>
      </c>
      <c r="Y19" s="272">
        <v>5.0730219414725583508314810600</v>
      </c>
      <c r="Z19" s="271">
        <v>-2.4204028589833722816897100800</v>
      </c>
      <c r="AA19" s="92">
        <v>-1.9040225783487661110884084400</v>
      </c>
      <c r="AB19" s="272">
        <v>0.9298964417186051953503926400</v>
      </c>
    </row>
    <row r="20" ht="18" customHeight="1">
      <c r="A20" s="58"/>
      <c r="B20" s="1047" t="s">
        <v>76</v>
      </c>
      <c r="C20" s="1047"/>
      <c r="D20" s="273">
        <v>79.90711089664853483067204776</v>
      </c>
      <c r="E20" s="274">
        <v>77.767413788373432827631615060</v>
      </c>
      <c r="F20" s="275">
        <v>64.867535716508196057776437500</v>
      </c>
      <c r="G20" s="273">
        <v>6.6860314409226499066821930500</v>
      </c>
      <c r="H20" s="274">
        <v>3.2646566623686592960412608700</v>
      </c>
      <c r="I20" s="275">
        <v>12.072244699873033240832240160</v>
      </c>
      <c r="J20" s="273">
        <v>0</v>
      </c>
      <c r="K20" s="274">
        <v>0</v>
      </c>
      <c r="L20" s="275">
        <v>7.6026037583033730663602620800</v>
      </c>
      <c r="M20" s="273">
        <v>87.26689976689976689976689977</v>
      </c>
      <c r="N20" s="274">
        <v>81.03207045074209212367287592</v>
      </c>
      <c r="O20" s="275">
        <v>84.54199555894127753375366712</v>
      </c>
      <c r="P20" s="184"/>
      <c r="Q20" s="273">
        <v>-3.5946905167876193595529289700</v>
      </c>
      <c r="R20" s="274">
        <v>-2.192611308197847934004287900</v>
      </c>
      <c r="S20" s="275">
        <v>1.5397322815235825308711953800</v>
      </c>
      <c r="T20" s="273">
        <v>44.185167667937044569168988080</v>
      </c>
      <c r="U20" s="274">
        <v>47.146048634922178878285908220</v>
      </c>
      <c r="V20" s="275">
        <v>0.9693269867094851267947317700</v>
      </c>
      <c r="W20" s="273">
        <v>0</v>
      </c>
      <c r="X20" s="274">
        <v>0</v>
      </c>
      <c r="Y20" s="275">
        <v>6.0747325806972981533345832700</v>
      </c>
      <c r="Z20" s="273">
        <v>-1.7791260145818987352212400200</v>
      </c>
      <c r="AA20" s="274">
        <v>-0.8340557865696692105728035200</v>
      </c>
      <c r="AB20" s="275">
        <v>1.8484664322453372560517275500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72.498962224989622249896222500</v>
      </c>
      <c r="E22" s="469">
        <v>70.291934741815566831287756550</v>
      </c>
      <c r="F22" s="470">
        <v>56.140488363809661806201520700</v>
      </c>
      <c r="G22" s="468">
        <v>10.695309256953092569530925700</v>
      </c>
      <c r="H22" s="469">
        <v>4.8591775856661550281953728200</v>
      </c>
      <c r="I22" s="470">
        <v>12.968025503237618783489073170</v>
      </c>
      <c r="J22" s="468">
        <v>0</v>
      </c>
      <c r="K22" s="469">
        <v>0</v>
      </c>
      <c r="L22" s="470">
        <v>7.4561840819834676392487153500</v>
      </c>
      <c r="M22" s="468">
        <v>83.19427148194271481942714819</v>
      </c>
      <c r="N22" s="469">
        <v>75.151112327481721859483129370</v>
      </c>
      <c r="O22" s="470">
        <v>76.564697949030748228939309220</v>
      </c>
      <c r="P22" s="184"/>
      <c r="Q22" s="468">
        <v>-2.1519202421659467006937510100</v>
      </c>
      <c r="R22" s="469">
        <v>-0.7794609213198862677915655200</v>
      </c>
      <c r="S22" s="470">
        <v>1.7149228502609963775613961300</v>
      </c>
      <c r="T22" s="468">
        <v>27.206248356256662876345087420</v>
      </c>
      <c r="U22" s="469">
        <v>59.038364341253717182748216150</v>
      </c>
      <c r="V22" s="470">
        <v>3.9851008827575301722436677600</v>
      </c>
      <c r="W22" s="468">
        <v>0</v>
      </c>
      <c r="X22" s="469">
        <v>0</v>
      </c>
      <c r="Y22" s="470">
        <v>6.461532698427807177098667800</v>
      </c>
      <c r="Z22" s="468">
        <v>0.8400231781380110902781393600</v>
      </c>
      <c r="AA22" s="469">
        <v>1.6936868725307222215008985100</v>
      </c>
      <c r="AB22" s="470">
        <v>2.5392989296915376627600293100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208.55122340626022297824236213</v>
      </c>
      <c r="E25" s="455">
        <v>284.48547267431728344688597576</v>
      </c>
      <c r="F25" s="456">
        <v>215.08131451197389209330355745</v>
      </c>
      <c r="G25" s="454">
        <v>263.11024394620780626656685383</v>
      </c>
      <c r="H25" s="455">
        <v>333.79340530526851727858371397</v>
      </c>
      <c r="I25" s="456">
        <v>260.41171340760512967558066405</v>
      </c>
      <c r="J25" s="454">
        <v>0</v>
      </c>
      <c r="K25" s="455">
        <v>0</v>
      </c>
      <c r="L25" s="456">
        <v>155.72803363603209931738224701</v>
      </c>
      <c r="M25" s="454">
        <v>214.26905387654412036982990518</v>
      </c>
      <c r="N25" s="455">
        <v>287.20270337985119467096999358</v>
      </c>
      <c r="O25" s="456">
        <v>214.95343336946082790808263619</v>
      </c>
      <c r="P25" s="5"/>
      <c r="Q25" s="427">
        <v>-2.9525131657275270335261107600</v>
      </c>
      <c r="R25" s="428">
        <v>8.711866110319238834285139880</v>
      </c>
      <c r="S25" s="429">
        <v>-1.5092282857990068096180256600</v>
      </c>
      <c r="T25" s="427">
        <v>-21.737518590781208707736437940</v>
      </c>
      <c r="U25" s="428">
        <v>8.607499477827961405183907410</v>
      </c>
      <c r="V25" s="429">
        <v>-2.5855993504388645263959116900</v>
      </c>
      <c r="W25" s="427">
        <v>0</v>
      </c>
      <c r="X25" s="428">
        <v>0</v>
      </c>
      <c r="Y25" s="429">
        <v>8.968874657438680892975511570</v>
      </c>
      <c r="Z25" s="427">
        <v>-3.5908756360788728393800056200</v>
      </c>
      <c r="AA25" s="428">
        <v>9.077878747778353569445253910</v>
      </c>
      <c r="AB25" s="429">
        <v>-0.8800708538616912440669919400</v>
      </c>
    </row>
    <row r="26" ht="18" customHeight="1">
      <c r="A26" s="58"/>
      <c r="B26" s="1043" t="s">
        <v>46</v>
      </c>
      <c r="C26" s="1043"/>
      <c r="D26" s="439">
        <v>200.4259714303717978758951368</v>
      </c>
      <c r="E26" s="95">
        <v>277.29706302906797330698683073</v>
      </c>
      <c r="F26" s="440">
        <v>213.2779366350579048291721882</v>
      </c>
      <c r="G26" s="439">
        <v>248.83159186190792904034514614</v>
      </c>
      <c r="H26" s="95">
        <v>352.45496350011095195890901509</v>
      </c>
      <c r="I26" s="440">
        <v>260.92384572920377977085403445</v>
      </c>
      <c r="J26" s="439">
        <v>0</v>
      </c>
      <c r="K26" s="95">
        <v>0</v>
      </c>
      <c r="L26" s="440">
        <v>156.07547302372009135034179079</v>
      </c>
      <c r="M26" s="439">
        <v>208.34447548632665629511166167</v>
      </c>
      <c r="N26" s="95">
        <v>283.44247456640561419577384371</v>
      </c>
      <c r="O26" s="440">
        <v>216.2103783172872739112778565</v>
      </c>
      <c r="P26" s="5"/>
      <c r="Q26" s="420">
        <v>-1.6069780962130503632582577700</v>
      </c>
      <c r="R26" s="91">
        <v>12.554927114980161656893474010</v>
      </c>
      <c r="S26" s="421">
        <v>0.5767360650341110383508909100</v>
      </c>
      <c r="T26" s="420">
        <v>-2.7868168033483417387711383600</v>
      </c>
      <c r="U26" s="91">
        <v>10.885597266585182745439979610</v>
      </c>
      <c r="V26" s="421">
        <v>0.1299837708862207130509618300</v>
      </c>
      <c r="W26" s="420">
        <v>0</v>
      </c>
      <c r="X26" s="91">
        <v>0</v>
      </c>
      <c r="Y26" s="421">
        <v>5.7297144456869519032037286700</v>
      </c>
      <c r="Z26" s="420">
        <v>-0.3280030286925984046985697500</v>
      </c>
      <c r="AA26" s="91">
        <v>13.381709336131620620917144820</v>
      </c>
      <c r="AB26" s="421">
        <v>0.999181617452339056693956100</v>
      </c>
    </row>
    <row r="27" ht="18" customHeight="1">
      <c r="A27" s="58"/>
      <c r="B27" s="1043" t="s">
        <v>47</v>
      </c>
      <c r="C27" s="1043"/>
      <c r="D27" s="439">
        <v>203.75602159982374446872513362</v>
      </c>
      <c r="E27" s="95">
        <v>282.07209844163372827863833036</v>
      </c>
      <c r="F27" s="440">
        <v>224.03069320228326482241295909</v>
      </c>
      <c r="G27" s="439">
        <v>252.64063881533851027231376895</v>
      </c>
      <c r="H27" s="95">
        <v>351.75388222383128501644071334</v>
      </c>
      <c r="I27" s="440">
        <v>260.9560917116289289160192868</v>
      </c>
      <c r="J27" s="439">
        <v>0</v>
      </c>
      <c r="K27" s="95">
        <v>0</v>
      </c>
      <c r="L27" s="440">
        <v>151.67678068209469250313205506</v>
      </c>
      <c r="M27" s="439">
        <v>211.54015585788148488603565835</v>
      </c>
      <c r="N27" s="95">
        <v>288.59851082498714655142682809</v>
      </c>
      <c r="O27" s="440">
        <v>224.4321735902906216603483119</v>
      </c>
      <c r="P27" s="93"/>
      <c r="Q27" s="420">
        <v>-2.123757093114639628272719900</v>
      </c>
      <c r="R27" s="91">
        <v>13.951498361640146377327326790</v>
      </c>
      <c r="S27" s="421">
        <v>2.4678080064586600236056140400</v>
      </c>
      <c r="T27" s="420">
        <v>1.8705860471733916096162196900</v>
      </c>
      <c r="U27" s="91">
        <v>-0.4418065941806944492428026400</v>
      </c>
      <c r="V27" s="421">
        <v>0.2106216466154461012438735400</v>
      </c>
      <c r="W27" s="420">
        <v>0</v>
      </c>
      <c r="X27" s="91">
        <v>0</v>
      </c>
      <c r="Y27" s="421">
        <v>5.9874197868637200444279927300</v>
      </c>
      <c r="Z27" s="420">
        <v>-0.7231617968372048912111309400</v>
      </c>
      <c r="AA27" s="91">
        <v>13.916859444472604694553339580</v>
      </c>
      <c r="AB27" s="421">
        <v>2.100786970719002210251307600</v>
      </c>
    </row>
    <row r="28" ht="18" customHeight="1">
      <c r="A28" s="58"/>
      <c r="B28" s="1043" t="s">
        <v>48</v>
      </c>
      <c r="C28" s="1043"/>
      <c r="D28" s="439">
        <v>202.63507669531122562798379441</v>
      </c>
      <c r="E28" s="95">
        <v>276.23334601191941803465900049</v>
      </c>
      <c r="F28" s="440">
        <v>220.88170963170823241576380979</v>
      </c>
      <c r="G28" s="439">
        <v>255.2409955505847833547125655</v>
      </c>
      <c r="H28" s="95">
        <v>343.83226803876124283620275219</v>
      </c>
      <c r="I28" s="440">
        <v>260.05919639672659844909483475</v>
      </c>
      <c r="J28" s="439">
        <v>0</v>
      </c>
      <c r="K28" s="95">
        <v>0</v>
      </c>
      <c r="L28" s="440">
        <v>152.15419472819104973120369151</v>
      </c>
      <c r="M28" s="439">
        <v>211.4489240061526330869404589</v>
      </c>
      <c r="N28" s="95">
        <v>281.7287871641510961082680766</v>
      </c>
      <c r="O28" s="440">
        <v>222.20343963216174078949018732</v>
      </c>
      <c r="P28" s="5"/>
      <c r="Q28" s="420">
        <v>-4.4358056549629552770911452700</v>
      </c>
      <c r="R28" s="91">
        <v>8.764095680874329865774581970</v>
      </c>
      <c r="S28" s="421">
        <v>-0.2058487897219828780121075400</v>
      </c>
      <c r="T28" s="420">
        <v>-8.471265532246546230930367020</v>
      </c>
      <c r="U28" s="91">
        <v>0.997926049250108065788480700</v>
      </c>
      <c r="V28" s="421">
        <v>1.9017670651212257060101338600</v>
      </c>
      <c r="W28" s="420">
        <v>0</v>
      </c>
      <c r="X28" s="91">
        <v>0</v>
      </c>
      <c r="Y28" s="421">
        <v>5.2134602970888175752987668200</v>
      </c>
      <c r="Z28" s="420">
        <v>-4.3206450209099001326888205300</v>
      </c>
      <c r="AA28" s="91">
        <v>8.682331343630560234371677400</v>
      </c>
      <c r="AB28" s="421">
        <v>0.5921297002719597646326050400</v>
      </c>
    </row>
    <row r="29" ht="18" customHeight="1">
      <c r="A29" s="58"/>
      <c r="B29" s="1043" t="s">
        <v>49</v>
      </c>
      <c r="C29" s="1043"/>
      <c r="D29" s="439">
        <v>215.39515477522905457384645689</v>
      </c>
      <c r="E29" s="95">
        <v>301.11804846337509150001674718</v>
      </c>
      <c r="F29" s="440">
        <v>225.32738424938515954475165808</v>
      </c>
      <c r="G29" s="439">
        <v>267.99713193507302131185390254</v>
      </c>
      <c r="H29" s="95">
        <v>340.71342570385189958033282999</v>
      </c>
      <c r="I29" s="440">
        <v>256.83359342303994606216113291</v>
      </c>
      <c r="J29" s="439">
        <v>0</v>
      </c>
      <c r="K29" s="95">
        <v>0</v>
      </c>
      <c r="L29" s="440">
        <v>154.27771981970578947666736267</v>
      </c>
      <c r="M29" s="439">
        <v>221.60590268324215938318314468</v>
      </c>
      <c r="N29" s="95">
        <v>303.62293763777905814514890654</v>
      </c>
      <c r="O29" s="440">
        <v>223.98767389874037156542067762</v>
      </c>
      <c r="P29" s="93"/>
      <c r="Q29" s="420">
        <v>-6.6178781746201189572285699600</v>
      </c>
      <c r="R29" s="91">
        <v>7.2070427103995393303345350300</v>
      </c>
      <c r="S29" s="421">
        <v>-1.5100751858758656929781011700</v>
      </c>
      <c r="T29" s="420">
        <v>-19.339830136862302251487358420</v>
      </c>
      <c r="U29" s="91">
        <v>-1.2939842115519442745914846800</v>
      </c>
      <c r="V29" s="421">
        <v>1.0355697475343114598146353900</v>
      </c>
      <c r="W29" s="420">
        <v>0</v>
      </c>
      <c r="X29" s="91">
        <v>0</v>
      </c>
      <c r="Y29" s="421">
        <v>5.3049902956165166314483079200</v>
      </c>
      <c r="Z29" s="420">
        <v>-7.6589659313349273698632664900</v>
      </c>
      <c r="AA29" s="91">
        <v>7.0785958912843794522534771900</v>
      </c>
      <c r="AB29" s="421">
        <v>-0.8182367083862526083155688400</v>
      </c>
    </row>
    <row r="30" ht="18" customHeight="1">
      <c r="A30" s="58"/>
      <c r="B30" s="1044" t="s">
        <v>75</v>
      </c>
      <c r="C30" s="1044"/>
      <c r="D30" s="457">
        <v>206.33735983326603800847867621</v>
      </c>
      <c r="E30" s="458">
        <v>284.52808803870076134207012178</v>
      </c>
      <c r="F30" s="459">
        <v>219.83636721981833144235893993</v>
      </c>
      <c r="G30" s="457">
        <v>256.72807309235736425066091143</v>
      </c>
      <c r="H30" s="458">
        <v>345.46918452733420469019056207</v>
      </c>
      <c r="I30" s="459">
        <v>259.83681752781920236611470074</v>
      </c>
      <c r="J30" s="457">
        <v>0</v>
      </c>
      <c r="K30" s="458">
        <v>0</v>
      </c>
      <c r="L30" s="459">
        <v>153.96871990345846299156316585</v>
      </c>
      <c r="M30" s="457">
        <v>213.53887832709019468862117735</v>
      </c>
      <c r="N30" s="458">
        <v>289.08170105249652744978853242</v>
      </c>
      <c r="O30" s="459">
        <v>220.49303588551424095601034817</v>
      </c>
      <c r="P30" s="5"/>
      <c r="Q30" s="430">
        <v>-3.7247185025584330267555462700</v>
      </c>
      <c r="R30" s="431">
        <v>9.969407133174615207626092710</v>
      </c>
      <c r="S30" s="432">
        <v>-0.0901030611178451056851749800</v>
      </c>
      <c r="T30" s="430">
        <v>-9.136879709412343029605617760</v>
      </c>
      <c r="U30" s="431">
        <v>3.249842283085784456494293300</v>
      </c>
      <c r="V30" s="432">
        <v>0.3817577269500628764363102900</v>
      </c>
      <c r="W30" s="430">
        <v>0</v>
      </c>
      <c r="X30" s="431">
        <v>0</v>
      </c>
      <c r="Y30" s="432">
        <v>6.22510428538024723023834200</v>
      </c>
      <c r="Z30" s="430">
        <v>-3.5523586526201707331423589500</v>
      </c>
      <c r="AA30" s="431">
        <v>10.177878571190065925944915020</v>
      </c>
      <c r="AB30" s="432">
        <v>0.3863106497848958699730543300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275.27789059634222612814326371</v>
      </c>
      <c r="E32" s="494">
        <v>353.09267054636461594161101365</v>
      </c>
      <c r="F32" s="495">
        <v>257.20738314526565023225135817</v>
      </c>
      <c r="G32" s="493">
        <v>324.08872343441639043653662267</v>
      </c>
      <c r="H32" s="494">
        <v>338.7200397660524199595263449</v>
      </c>
      <c r="I32" s="495">
        <v>255.97761400006159731090296026</v>
      </c>
      <c r="J32" s="493">
        <v>0</v>
      </c>
      <c r="K32" s="494">
        <v>0</v>
      </c>
      <c r="L32" s="495">
        <v>154.32168703949970436227684672</v>
      </c>
      <c r="M32" s="493">
        <v>279.592660349984141205128312</v>
      </c>
      <c r="N32" s="494">
        <v>352.5356824158538723032809032</v>
      </c>
      <c r="O32" s="495">
        <v>247.74123509252179724556853309</v>
      </c>
      <c r="P32" s="93"/>
      <c r="Q32" s="479">
        <v>-8.351394697703643304086895170</v>
      </c>
      <c r="R32" s="480">
        <v>4.6383112926326710918203698400</v>
      </c>
      <c r="S32" s="481">
        <v>-1.1264964479512319238105057300</v>
      </c>
      <c r="T32" s="479">
        <v>-20.22051257200945611227378400</v>
      </c>
      <c r="U32" s="480">
        <v>-4.174966989133658567626446400</v>
      </c>
      <c r="V32" s="481">
        <v>1.5705150595918645724177279100</v>
      </c>
      <c r="W32" s="479">
        <v>0</v>
      </c>
      <c r="X32" s="480">
        <v>0</v>
      </c>
      <c r="Y32" s="481">
        <v>3.6168889230805816765524690200</v>
      </c>
      <c r="Z32" s="479">
        <v>-8.801989955753863086820320210</v>
      </c>
      <c r="AA32" s="480">
        <v>4.3044890068798391606174744100</v>
      </c>
      <c r="AB32" s="481">
        <v>-0.6055017430952378467251151100</v>
      </c>
    </row>
    <row r="33" ht="18" customHeight="1">
      <c r="A33" s="58"/>
      <c r="B33" s="1046" t="s">
        <v>51</v>
      </c>
      <c r="C33" s="1046"/>
      <c r="D33" s="276">
        <v>277.98257951933723445575899476</v>
      </c>
      <c r="E33" s="94">
        <v>358.24223913848521671620517936</v>
      </c>
      <c r="F33" s="277">
        <v>259.54649004262433499054654378</v>
      </c>
      <c r="G33" s="276">
        <v>325.87070780817908803687578008</v>
      </c>
      <c r="H33" s="94">
        <v>354.85327457966168441588420898</v>
      </c>
      <c r="I33" s="277">
        <v>260.01475109494495541955155034</v>
      </c>
      <c r="J33" s="276">
        <v>0</v>
      </c>
      <c r="K33" s="94">
        <v>0</v>
      </c>
      <c r="L33" s="277">
        <v>154.02822536745575792218819546</v>
      </c>
      <c r="M33" s="276">
        <v>281.14748495144481159438116283</v>
      </c>
      <c r="N33" s="94">
        <v>358.10050670988990352938793908</v>
      </c>
      <c r="O33" s="277">
        <v>250.15047676703798079422741372</v>
      </c>
      <c r="P33" s="5"/>
      <c r="Q33" s="271">
        <v>-7.7902665385465379963243985500</v>
      </c>
      <c r="R33" s="92">
        <v>5.1861415024325960589664539200</v>
      </c>
      <c r="S33" s="272">
        <v>-1.5728942945684478161423315500</v>
      </c>
      <c r="T33" s="271">
        <v>-20.957939753538015061254051360</v>
      </c>
      <c r="U33" s="92">
        <v>-1.3765621624672744706776277600</v>
      </c>
      <c r="V33" s="272">
        <v>3.1646527184820690066582826100</v>
      </c>
      <c r="W33" s="271">
        <v>0</v>
      </c>
      <c r="X33" s="92">
        <v>0</v>
      </c>
      <c r="Y33" s="272">
        <v>5.9794816190629465726697159600</v>
      </c>
      <c r="Z33" s="271">
        <v>-8.273920921153196431023112280</v>
      </c>
      <c r="AA33" s="92">
        <v>4.995884236102453029617558500</v>
      </c>
      <c r="AB33" s="272">
        <v>-0.712776879180240884309808400</v>
      </c>
    </row>
    <row r="34" ht="18" customHeight="1">
      <c r="A34" s="58"/>
      <c r="B34" s="1047" t="s">
        <v>76</v>
      </c>
      <c r="C34" s="1047"/>
      <c r="D34" s="443">
        <v>276.65041930353372289141094813</v>
      </c>
      <c r="E34" s="444">
        <v>355.66482074553333172696674068</v>
      </c>
      <c r="F34" s="445">
        <v>258.39300396089910937597109381</v>
      </c>
      <c r="G34" s="443">
        <v>324.85353186293940767689840156</v>
      </c>
      <c r="H34" s="444">
        <v>347.09847599698563460997101718</v>
      </c>
      <c r="I34" s="445">
        <v>257.88931805055511319504548307</v>
      </c>
      <c r="J34" s="443">
        <v>0</v>
      </c>
      <c r="K34" s="444">
        <v>0</v>
      </c>
      <c r="L34" s="445">
        <v>154.1750129023577247094137132</v>
      </c>
      <c r="M34" s="633">
        <v>280.37227899614225865322863546</v>
      </c>
      <c r="N34" s="634">
        <v>355.31969597826611570742430535</v>
      </c>
      <c r="O34" s="635">
        <v>248.94941541274533714251557023</v>
      </c>
      <c r="P34" s="93"/>
      <c r="Q34" s="273">
        <v>-8.066605443877181176767124210</v>
      </c>
      <c r="R34" s="274">
        <v>4.9051343762380030947527215900</v>
      </c>
      <c r="S34" s="275">
        <v>-1.362676280768108796636681300</v>
      </c>
      <c r="T34" s="273">
        <v>-20.544668885288292815587375940</v>
      </c>
      <c r="U34" s="274">
        <v>-2.6208072644162893736880413700</v>
      </c>
      <c r="V34" s="275">
        <v>2.3254489982993824690293944400</v>
      </c>
      <c r="W34" s="273">
        <v>0</v>
      </c>
      <c r="X34" s="274">
        <v>0</v>
      </c>
      <c r="Y34" s="275">
        <v>4.7956275345114540214536899100</v>
      </c>
      <c r="Z34" s="273">
        <v>-8.537167469317439655003484900</v>
      </c>
      <c r="AA34" s="274">
        <v>4.6457919584560665640702530500</v>
      </c>
      <c r="AB34" s="275">
        <v>-0.6645181373899052179831586400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228.02922988834812482107071285</v>
      </c>
      <c r="E36" s="483">
        <v>307.12379252067614200882750323</v>
      </c>
      <c r="F36" s="484">
        <v>232.28305438652149879212616043</v>
      </c>
      <c r="G36" s="482">
        <v>270.6931884339219871919270328</v>
      </c>
      <c r="H36" s="483">
        <v>344.04565480074616678112485693</v>
      </c>
      <c r="I36" s="484">
        <v>260.09649949329637268121729302</v>
      </c>
      <c r="J36" s="482">
        <v>0</v>
      </c>
      <c r="K36" s="483">
        <v>0</v>
      </c>
      <c r="L36" s="484">
        <v>154.79298713625720590424069612</v>
      </c>
      <c r="M36" s="482">
        <v>233.51403338073497492702642018</v>
      </c>
      <c r="N36" s="483">
        <v>309.51111427887666871299697212</v>
      </c>
      <c r="O36" s="484">
        <v>229.44761264533924712959817579</v>
      </c>
      <c r="P36" s="93"/>
      <c r="Q36" s="468">
        <v>-5.6664897335547398419810357900</v>
      </c>
      <c r="R36" s="469">
        <v>7.999713580856952408359066420</v>
      </c>
      <c r="S36" s="470">
        <v>-0.5770287992142894277771825600</v>
      </c>
      <c r="T36" s="468">
        <v>-9.399053956639601965077570400</v>
      </c>
      <c r="U36" s="469">
        <v>1.5472135928285196223020347600</v>
      </c>
      <c r="V36" s="470">
        <v>0.8878341568110717999805958800</v>
      </c>
      <c r="W36" s="468">
        <v>0</v>
      </c>
      <c r="X36" s="469">
        <v>0</v>
      </c>
      <c r="Y36" s="470">
        <v>6.1581325160764521943593138500</v>
      </c>
      <c r="Z36" s="468">
        <v>-5.6663583245345749399431431500</v>
      </c>
      <c r="AA36" s="469">
        <v>7.984694499234245296711305760</v>
      </c>
      <c r="AB36" s="470">
        <v>0.0067530178874596764998538800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151.4292242041245781599065533</v>
      </c>
      <c r="E39" s="455">
        <v>202.97822624228147060095883599</v>
      </c>
      <c r="F39" s="456">
        <v>116.87747958920893563818440864</v>
      </c>
      <c r="G39" s="454">
        <v>23.613993706380365941837112531</v>
      </c>
      <c r="H39" s="455">
        <v>14.002879274682201379126862429</v>
      </c>
      <c r="I39" s="456">
        <v>24.725738456258643646411828098</v>
      </c>
      <c r="J39" s="454">
        <v>0</v>
      </c>
      <c r="K39" s="455">
        <v>0</v>
      </c>
      <c r="L39" s="456">
        <v>11.524928801442415985231822367</v>
      </c>
      <c r="M39" s="454">
        <v>175.93537116086868624772164126</v>
      </c>
      <c r="N39" s="455">
        <v>216.98110551696367198008569836</v>
      </c>
      <c r="O39" s="456">
        <v>153.12749625141991964415194796</v>
      </c>
      <c r="P39" s="5"/>
      <c r="Q39" s="427">
        <v>-8.179274397120947974331836430</v>
      </c>
      <c r="R39" s="428">
        <v>6.3986085566512777039659800300</v>
      </c>
      <c r="S39" s="429">
        <v>-0.7972376158380995344632195100</v>
      </c>
      <c r="T39" s="427">
        <v>41.812181414943331719629721890</v>
      </c>
      <c r="U39" s="428">
        <v>79.82653810404826766237470301</v>
      </c>
      <c r="V39" s="429">
        <v>6.2563588492551979958051441500</v>
      </c>
      <c r="W39" s="427">
        <v>0</v>
      </c>
      <c r="X39" s="428">
        <v>0</v>
      </c>
      <c r="Y39" s="429">
        <v>14.518297194879290188980402480</v>
      </c>
      <c r="Z39" s="427">
        <v>-4.2365483054108467917743764100</v>
      </c>
      <c r="AA39" s="428">
        <v>9.287183262541204086266754220</v>
      </c>
      <c r="AB39" s="429">
        <v>1.3081905345203456131395545500</v>
      </c>
    </row>
    <row r="40" ht="18" customHeight="1">
      <c r="A40" s="58"/>
      <c r="B40" s="1043" t="s">
        <v>46</v>
      </c>
      <c r="C40" s="1043"/>
      <c r="D40" s="439">
        <v>132.26966225393178260871903362</v>
      </c>
      <c r="E40" s="95">
        <v>180.81939561935045983180469615</v>
      </c>
      <c r="F40" s="440">
        <v>104.78566235689253920363801128</v>
      </c>
      <c r="G40" s="439">
        <v>32.117228591088440601221462156</v>
      </c>
      <c r="H40" s="95">
        <v>20.386112909727112462105359798</v>
      </c>
      <c r="I40" s="440">
        <v>33.829311893484331439572059613</v>
      </c>
      <c r="J40" s="439">
        <v>0</v>
      </c>
      <c r="K40" s="95">
        <v>0</v>
      </c>
      <c r="L40" s="440">
        <v>11.303426773028486714435205727</v>
      </c>
      <c r="M40" s="439">
        <v>165.88032612656981011841276675</v>
      </c>
      <c r="N40" s="95">
        <v>201.20550852907757229391005587</v>
      </c>
      <c r="O40" s="440">
        <v>149.91776422000330923261375839</v>
      </c>
      <c r="P40" s="5"/>
      <c r="Q40" s="420">
        <v>-1.5627653527060387563986038500</v>
      </c>
      <c r="R40" s="91">
        <v>14.707140071957098365880669750</v>
      </c>
      <c r="S40" s="421">
        <v>2.3746678975954626727281827500</v>
      </c>
      <c r="T40" s="420">
        <v>31.056671601159457893274589820</v>
      </c>
      <c r="U40" s="91">
        <v>88.64278406427950758819189721</v>
      </c>
      <c r="V40" s="421">
        <v>9.510231513877958283677686900</v>
      </c>
      <c r="W40" s="420">
        <v>0</v>
      </c>
      <c r="X40" s="91">
        <v>0</v>
      </c>
      <c r="Y40" s="421">
        <v>12.131088703031443054919758120</v>
      </c>
      <c r="Z40" s="420">
        <v>4.2009397477432544990196756500</v>
      </c>
      <c r="AA40" s="91">
        <v>19.460209421440855604219570520</v>
      </c>
      <c r="AB40" s="421">
        <v>4.5985690791178973701334142700</v>
      </c>
    </row>
    <row r="41" ht="18" customHeight="1">
      <c r="A41" s="58"/>
      <c r="B41" s="1043" t="s">
        <v>47</v>
      </c>
      <c r="C41" s="1043"/>
      <c r="D41" s="439">
        <v>132.64023987612977447939806142</v>
      </c>
      <c r="E41" s="95">
        <v>180.86237145515353745246757257</v>
      </c>
      <c r="F41" s="440">
        <v>113.75840019690057531934171393</v>
      </c>
      <c r="G41" s="439">
        <v>35.757666985322161123769262807</v>
      </c>
      <c r="H41" s="95">
        <v>23.130506000643403171303227036</v>
      </c>
      <c r="I41" s="440">
        <v>39.889600245784686121905745652</v>
      </c>
      <c r="J41" s="439">
        <v>0</v>
      </c>
      <c r="K41" s="95">
        <v>0</v>
      </c>
      <c r="L41" s="440">
        <v>11.208517967778221841148585618</v>
      </c>
      <c r="M41" s="439">
        <v>168.54794760879280898043837638</v>
      </c>
      <c r="N41" s="95">
        <v>203.99287745579694062377079953</v>
      </c>
      <c r="O41" s="440">
        <v>164.85581813789403435714397748</v>
      </c>
      <c r="P41" s="93"/>
      <c r="Q41" s="420">
        <v>-0.6704344933390687044349848900</v>
      </c>
      <c r="R41" s="91">
        <v>16.416633797101972301588519550</v>
      </c>
      <c r="S41" s="421">
        <v>5.2216940025427144893819071400</v>
      </c>
      <c r="T41" s="420">
        <v>20.006949527495092116540063750</v>
      </c>
      <c r="U41" s="91">
        <v>79.105582070133676818945215540</v>
      </c>
      <c r="V41" s="421">
        <v>7.4716459967970266081121470500</v>
      </c>
      <c r="W41" s="420">
        <v>0</v>
      </c>
      <c r="X41" s="91">
        <v>0</v>
      </c>
      <c r="Y41" s="421">
        <v>15.462467762969919411522375700</v>
      </c>
      <c r="Z41" s="420">
        <v>2.8599030992468988901296616600</v>
      </c>
      <c r="AA41" s="91">
        <v>21.237581624610391810103338700</v>
      </c>
      <c r="AB41" s="421">
        <v>6.4020860243150070710350374600</v>
      </c>
    </row>
    <row r="42" ht="18" customHeight="1">
      <c r="A42" s="58"/>
      <c r="B42" s="1043" t="s">
        <v>48</v>
      </c>
      <c r="C42" s="1043"/>
      <c r="D42" s="439">
        <v>136.08134156637165380883418861</v>
      </c>
      <c r="E42" s="95">
        <v>180.19671918593421272127107805</v>
      </c>
      <c r="F42" s="440">
        <v>115.84587358583310683506190777</v>
      </c>
      <c r="G42" s="439">
        <v>34.498834239928469750505539367</v>
      </c>
      <c r="H42" s="95">
        <v>19.679763823361139550736600807</v>
      </c>
      <c r="I42" s="440">
        <v>40.22578928133682063560724209</v>
      </c>
      <c r="J42" s="439">
        <v>0</v>
      </c>
      <c r="K42" s="95">
        <v>0</v>
      </c>
      <c r="L42" s="440">
        <v>11.212080638691658550905597653</v>
      </c>
      <c r="M42" s="439">
        <v>172.09693729145698867882203731</v>
      </c>
      <c r="N42" s="95">
        <v>199.87648300929535227200767879</v>
      </c>
      <c r="O42" s="440">
        <v>167.28318553310815390294237532</v>
      </c>
      <c r="P42" s="5"/>
      <c r="Q42" s="420">
        <v>-3.5724018180352636449347322100</v>
      </c>
      <c r="R42" s="91">
        <v>9.774579017002156835591186430</v>
      </c>
      <c r="S42" s="421">
        <v>1.1996160227357615830606641100</v>
      </c>
      <c r="T42" s="420">
        <v>-0.6660326627302445610098785400</v>
      </c>
      <c r="U42" s="91">
        <v>37.940051641046637627387657960</v>
      </c>
      <c r="V42" s="421">
        <v>5.2669556546601501092573850200</v>
      </c>
      <c r="W42" s="420">
        <v>0</v>
      </c>
      <c r="X42" s="91">
        <v>0</v>
      </c>
      <c r="Y42" s="421">
        <v>10.234117322469231041306853470</v>
      </c>
      <c r="Z42" s="420">
        <v>-2.3709525043461665158905022100</v>
      </c>
      <c r="AA42" s="91">
        <v>12.035947848233996102137194890</v>
      </c>
      <c r="AB42" s="421">
        <v>2.7181048227361988043924279800</v>
      </c>
    </row>
    <row r="43" ht="18" customHeight="1">
      <c r="A43" s="58"/>
      <c r="B43" s="1043" t="s">
        <v>49</v>
      </c>
      <c r="C43" s="1043"/>
      <c r="D43" s="439">
        <v>157.96108811339727264201859172</v>
      </c>
      <c r="E43" s="95">
        <v>214.30939023856701742962370264</v>
      </c>
      <c r="F43" s="440">
        <v>127.98955361193873707646767209</v>
      </c>
      <c r="G43" s="439">
        <v>29.859721793018436118282263993</v>
      </c>
      <c r="H43" s="95">
        <v>16.529162523879580738551984202</v>
      </c>
      <c r="I43" s="440">
        <v>34.367176816082203557441412774</v>
      </c>
      <c r="J43" s="439">
        <v>0</v>
      </c>
      <c r="K43" s="95">
        <v>0</v>
      </c>
      <c r="L43" s="440">
        <v>11.411212669017010043575235223</v>
      </c>
      <c r="M43" s="439">
        <v>188.51352939502490801841584816</v>
      </c>
      <c r="N43" s="95">
        <v>230.83855276244659816817568676</v>
      </c>
      <c r="O43" s="440">
        <v>173.76735228726227226814324953</v>
      </c>
      <c r="P43" s="93"/>
      <c r="Q43" s="420">
        <v>-8.46230746944687238080670900</v>
      </c>
      <c r="R43" s="91">
        <v>4.5426023789128359830989797200</v>
      </c>
      <c r="S43" s="421">
        <v>0.6915338560783872698037337800</v>
      </c>
      <c r="T43" s="420">
        <v>-2.1666668675994985681306366500</v>
      </c>
      <c r="U43" s="91">
        <v>54.154825693154529041989097680</v>
      </c>
      <c r="V43" s="421">
        <v>-0.2893934275055654124872706500</v>
      </c>
      <c r="W43" s="420">
        <v>0</v>
      </c>
      <c r="X43" s="91">
        <v>0</v>
      </c>
      <c r="Y43" s="421">
        <v>12.688660828797711398961281520</v>
      </c>
      <c r="Z43" s="420">
        <v>-7.3415882579407440563226469200</v>
      </c>
      <c r="AA43" s="91">
        <v>7.0195571238975131353691782900</v>
      </c>
      <c r="AB43" s="421">
        <v>1.2021151867377562392341510900</v>
      </c>
    </row>
    <row r="44" ht="18" customHeight="1">
      <c r="A44" s="58"/>
      <c r="B44" s="1044" t="s">
        <v>75</v>
      </c>
      <c r="C44" s="1044"/>
      <c r="D44" s="457">
        <v>141.98720987921700087316273602</v>
      </c>
      <c r="E44" s="458">
        <v>191.79833219880264918212581707</v>
      </c>
      <c r="F44" s="459">
        <v>115.84997828087008620939199226</v>
      </c>
      <c r="G44" s="457">
        <v>31.200383385090647158991011223</v>
      </c>
      <c r="H44" s="458">
        <v>18.748147227777766735270529225</v>
      </c>
      <c r="I44" s="459">
        <v>34.629057294800356670226022853</v>
      </c>
      <c r="J44" s="457">
        <v>0</v>
      </c>
      <c r="K44" s="458">
        <v>0</v>
      </c>
      <c r="L44" s="459">
        <v>11.331566269586404356749829336</v>
      </c>
      <c r="M44" s="457">
        <v>174.18678444288330840979684626</v>
      </c>
      <c r="N44" s="458">
        <v>210.5464794265804159173963463</v>
      </c>
      <c r="O44" s="459">
        <v>161.8099717774567251258429419</v>
      </c>
      <c r="P44" s="5"/>
      <c r="Q44" s="430">
        <v>-4.8683301163937520285216081500</v>
      </c>
      <c r="R44" s="431">
        <v>9.949985221614219991488419620</v>
      </c>
      <c r="S44" s="432">
        <v>1.7095457725636232635945653400</v>
      </c>
      <c r="T44" s="430">
        <v>14.734752090348251616481209420</v>
      </c>
      <c r="U44" s="431">
        <v>65.856785013215144528363574580</v>
      </c>
      <c r="V44" s="432">
        <v>5.5798505236232171966377960900</v>
      </c>
      <c r="W44" s="430">
        <v>0</v>
      </c>
      <c r="X44" s="431">
        <v>0</v>
      </c>
      <c r="Y44" s="432">
        <v>12.990428964977455215171991790</v>
      </c>
      <c r="Z44" s="430">
        <v>-1.6890807956749263517078168600</v>
      </c>
      <c r="AA44" s="431">
        <v>13.361950622139274034369437810</v>
      </c>
      <c r="AB44" s="432">
        <v>3.2411478777085150845841722200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216.68352559168783207961355902</v>
      </c>
      <c r="E46" s="494">
        <v>274.30755131751744899411800162</v>
      </c>
      <c r="F46" s="495">
        <v>164.53531332368148057263043162</v>
      </c>
      <c r="G46" s="493">
        <v>24.737426687834906095787582199</v>
      </c>
      <c r="H46" s="494">
        <v>10.608764318358538258602040703</v>
      </c>
      <c r="I46" s="495">
        <v>32.534935510828279704240606619</v>
      </c>
      <c r="J46" s="493">
        <v>0</v>
      </c>
      <c r="K46" s="494">
        <v>0</v>
      </c>
      <c r="L46" s="495">
        <v>11.73581111089483543652066811</v>
      </c>
      <c r="M46" s="493">
        <v>243.29938232378427672177030997</v>
      </c>
      <c r="N46" s="494">
        <v>284.91631563587598725272004223</v>
      </c>
      <c r="O46" s="495">
        <v>208.80535039747364129286100392</v>
      </c>
      <c r="P46" s="93"/>
      <c r="Q46" s="479">
        <v>-11.391482768641529190704316580</v>
      </c>
      <c r="R46" s="480">
        <v>3.8603191712784541429803350500</v>
      </c>
      <c r="S46" s="481">
        <v>1.6790170597187175675820524500</v>
      </c>
      <c r="T46" s="479">
        <v>15.892531876076466850609035570</v>
      </c>
      <c r="U46" s="480">
        <v>27.162689178677839188765043660</v>
      </c>
      <c r="V46" s="481">
        <v>1.7288996695257346823603565100</v>
      </c>
      <c r="W46" s="479">
        <v>0</v>
      </c>
      <c r="X46" s="480">
        <v>0</v>
      </c>
      <c r="Y46" s="481">
        <v>10.968644736140918663853468100</v>
      </c>
      <c r="Z46" s="479">
        <v>-9.828552558466186984275560530</v>
      </c>
      <c r="AA46" s="480">
        <v>4.582407211716430710561743600</v>
      </c>
      <c r="AB46" s="481">
        <v>2.1673688115171603004328787700</v>
      </c>
    </row>
    <row r="47" ht="18" customHeight="1">
      <c r="A47" s="58"/>
      <c r="B47" s="1046" t="s">
        <v>51</v>
      </c>
      <c r="C47" s="1046"/>
      <c r="D47" s="276">
        <v>225.44318910614788217234797417</v>
      </c>
      <c r="E47" s="94">
        <v>278.88453177709545763606494043</v>
      </c>
      <c r="F47" s="277">
        <v>170.69165859217267668601761685</v>
      </c>
      <c r="G47" s="276">
        <v>18.702191866772708532241256732</v>
      </c>
      <c r="H47" s="94">
        <v>12.057363299440890750440754411</v>
      </c>
      <c r="I47" s="277">
        <v>29.730839488805314420649986199</v>
      </c>
      <c r="J47" s="276">
        <v>0</v>
      </c>
      <c r="K47" s="94">
        <v>0</v>
      </c>
      <c r="L47" s="277">
        <v>11.706816602466067886396140568</v>
      </c>
      <c r="M47" s="276">
        <v>246.04500904768778893465146345</v>
      </c>
      <c r="N47" s="94">
        <v>290.94189507653634838650569473</v>
      </c>
      <c r="O47" s="277">
        <v>212.12859369663725805358522828</v>
      </c>
      <c r="P47" s="5"/>
      <c r="Q47" s="271">
        <v>-11.351944685954027002314817870</v>
      </c>
      <c r="R47" s="92">
        <v>1.402867934294698342389011400</v>
      </c>
      <c r="S47" s="272">
        <v>-1.2690164848225925287250997500</v>
      </c>
      <c r="T47" s="271">
        <v>12.850139214471299755373636570</v>
      </c>
      <c r="U47" s="92">
        <v>61.331670078769385757488553910</v>
      </c>
      <c r="V47" s="272">
        <v>5.1123564919647933025851175500</v>
      </c>
      <c r="W47" s="271">
        <v>0</v>
      </c>
      <c r="X47" s="92">
        <v>0</v>
      </c>
      <c r="Y47" s="272">
        <v>11.355843974720563937181866660</v>
      </c>
      <c r="Z47" s="271">
        <v>-10.494061561622080048601131470</v>
      </c>
      <c r="AA47" s="92">
        <v>2.9967388939419379388323681800</v>
      </c>
      <c r="AB47" s="272">
        <v>0.2104914757790405758500137200</v>
      </c>
    </row>
    <row r="48" ht="18" customHeight="1">
      <c r="A48" s="58"/>
      <c r="B48" s="1047" t="s">
        <v>76</v>
      </c>
      <c r="C48" s="1047"/>
      <c r="D48" s="443">
        <v>221.06335734891785712598076654</v>
      </c>
      <c r="E48" s="444">
        <v>276.59133284885554180857387178</v>
      </c>
      <c r="F48" s="445">
        <v>167.61317413329466750888335727</v>
      </c>
      <c r="G48" s="443">
        <v>21.719809277303807314014419459</v>
      </c>
      <c r="H48" s="444">
        <v>11.331573521615673237657828606</v>
      </c>
      <c r="I48" s="445">
        <v>31.133029529896849263899252481</v>
      </c>
      <c r="J48" s="443">
        <v>0</v>
      </c>
      <c r="K48" s="444">
        <v>0</v>
      </c>
      <c r="L48" s="445">
        <v>11.721315325279358713564393858</v>
      </c>
      <c r="M48" s="443">
        <v>244.67219568573603282821088671</v>
      </c>
      <c r="N48" s="444">
        <v>287.92290637047121504623170028</v>
      </c>
      <c r="O48" s="445">
        <v>210.46680372225343521056889847</v>
      </c>
      <c r="P48" s="93"/>
      <c r="Q48" s="273">
        <v>-11.371326459800305602166253050</v>
      </c>
      <c r="R48" s="274">
        <v>2.6049725369684341452027973200</v>
      </c>
      <c r="S48" s="275">
        <v>0.1560744341660377613780579500</v>
      </c>
      <c r="T48" s="273">
        <v>14.562802389078489483463964550</v>
      </c>
      <c r="U48" s="274">
        <v>43.289634301390667218098428610</v>
      </c>
      <c r="V48" s="275">
        <v>3.3173171896184835174878664400</v>
      </c>
      <c r="W48" s="273">
        <v>0</v>
      </c>
      <c r="X48" s="274">
        <v>0</v>
      </c>
      <c r="Y48" s="275">
        <v>11.161681662794661275154706960</v>
      </c>
      <c r="Z48" s="273">
        <v>-10.16440651655271098015678900</v>
      </c>
      <c r="AA48" s="274">
        <v>3.7729876751987728913481200800</v>
      </c>
      <c r="AB48" s="275">
        <v>1.1716649000859213085480398200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165.31882523868825238688252387</v>
      </c>
      <c r="E50" s="483">
        <v>215.88325581522271245559317728</v>
      </c>
      <c r="F50" s="484">
        <v>130.40484111896677024353274328</v>
      </c>
      <c r="G50" s="482">
        <v>28.951473640514736405147364051</v>
      </c>
      <c r="H50" s="483">
        <v>16.717789342536211577718000736</v>
      </c>
      <c r="I50" s="484">
        <v>33.729380387318977522667817657</v>
      </c>
      <c r="J50" s="482">
        <v>0</v>
      </c>
      <c r="K50" s="483">
        <v>0</v>
      </c>
      <c r="L50" s="484">
        <v>11.541650066880326502158903257</v>
      </c>
      <c r="M50" s="482">
        <v>194.27029887920298879202988792</v>
      </c>
      <c r="N50" s="483">
        <v>232.60104515775892403331117801</v>
      </c>
      <c r="O50" s="484">
        <v>175.67587157316607426835946419</v>
      </c>
      <c r="P50" s="93"/>
      <c r="Q50" s="468">
        <v>-7.6964716361007821244573322700</v>
      </c>
      <c r="R50" s="469">
        <v>7.1578980183019885677246393200</v>
      </c>
      <c r="S50" s="470">
        <v>1.1279984523789655889194117900</v>
      </c>
      <c r="T50" s="468">
        <v>15.250064436685516427656299990</v>
      </c>
      <c r="U50" s="469">
        <v>61.499027535361337950995755770</v>
      </c>
      <c r="V50" s="470">
        <v>4.9083161259826309581625466300</v>
      </c>
      <c r="W50" s="468">
        <v>0</v>
      </c>
      <c r="X50" s="469">
        <v>0</v>
      </c>
      <c r="Y50" s="470">
        <v>13.01757495980624243441426200</v>
      </c>
      <c r="Z50" s="468">
        <v>-4.8739338696322805484475928800</v>
      </c>
      <c r="AA50" s="469">
        <v>9.813617094276229376496691150</v>
      </c>
      <c r="AB50" s="470">
        <v>2.5462234268166440893621546600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v>1</v>
      </c>
      <c r="M8" s="1053"/>
      <c r="N8" s="1053">
        <v>2</v>
      </c>
      <c r="O8" s="1053"/>
      <c r="P8" s="1053">
        <v>3</v>
      </c>
      <c r="Q8" s="1053"/>
      <c r="R8" s="1053">
        <v>4</v>
      </c>
      <c r="S8" s="1053"/>
      <c r="T8" s="1054">
        <v>5</v>
      </c>
      <c r="U8" s="1054"/>
      <c r="Z8" s="1052"/>
      <c r="AA8" s="1052"/>
      <c r="AB8" s="1053">
        <v>1</v>
      </c>
      <c r="AC8" s="1053"/>
      <c r="AD8" s="1053">
        <v>2</v>
      </c>
      <c r="AE8" s="1053"/>
      <c r="AF8" s="1053">
        <v>3</v>
      </c>
      <c r="AG8" s="1053"/>
      <c r="AH8" s="1053">
        <v>4</v>
      </c>
      <c r="AI8" s="1053"/>
      <c r="AJ8" s="1053">
        <v>5</v>
      </c>
      <c r="AK8" s="1053"/>
      <c r="AL8" s="1054">
        <v>6</v>
      </c>
      <c r="AM8" s="1054"/>
    </row>
    <row r="9" ht="15" customHeight="1">
      <c r="D9" s="175" t="s">
        <v>250</v>
      </c>
      <c r="H9" s="1055">
        <v>6</v>
      </c>
      <c r="I9" s="1055"/>
      <c r="J9" s="1056">
        <v>7</v>
      </c>
      <c r="K9" s="1056"/>
      <c r="L9" s="1056">
        <v>8</v>
      </c>
      <c r="M9" s="1056"/>
      <c r="N9" s="1056">
        <v>9</v>
      </c>
      <c r="O9" s="1056"/>
      <c r="P9" s="1056">
        <v>10</v>
      </c>
      <c r="Q9" s="1056"/>
      <c r="R9" s="1056">
        <v>11</v>
      </c>
      <c r="S9" s="1056"/>
      <c r="T9" s="1057">
        <v>12</v>
      </c>
      <c r="U9" s="1057"/>
      <c r="Z9" s="1055">
        <v>7</v>
      </c>
      <c r="AA9" s="1055"/>
      <c r="AB9" s="1056">
        <v>8</v>
      </c>
      <c r="AC9" s="1056"/>
      <c r="AD9" s="1056">
        <v>9</v>
      </c>
      <c r="AE9" s="1056"/>
      <c r="AF9" s="1056">
        <v>10</v>
      </c>
      <c r="AG9" s="1056"/>
      <c r="AH9" s="1056">
        <v>11</v>
      </c>
      <c r="AI9" s="1056"/>
      <c r="AJ9" s="1056">
        <v>12</v>
      </c>
      <c r="AK9" s="1056"/>
      <c r="AL9" s="1057">
        <v>13</v>
      </c>
      <c r="AM9" s="1057"/>
    </row>
    <row r="10" ht="15" customHeight="1">
      <c r="H10" s="1058">
        <v>13</v>
      </c>
      <c r="I10" s="1058"/>
      <c r="J10" s="1059">
        <v>14</v>
      </c>
      <c r="K10" s="1059"/>
      <c r="L10" s="1059">
        <v>15</v>
      </c>
      <c r="M10" s="1059"/>
      <c r="N10" s="1059">
        <v>16</v>
      </c>
      <c r="O10" s="1059"/>
      <c r="P10" s="1059">
        <v>17</v>
      </c>
      <c r="Q10" s="1059"/>
      <c r="R10" s="1059">
        <v>18</v>
      </c>
      <c r="S10" s="1059"/>
      <c r="T10" s="1060">
        <v>19</v>
      </c>
      <c r="U10" s="1060"/>
      <c r="Z10" s="1058">
        <v>14</v>
      </c>
      <c r="AA10" s="1058"/>
      <c r="AB10" s="1059">
        <v>15</v>
      </c>
      <c r="AC10" s="1059"/>
      <c r="AD10" s="1059">
        <v>16</v>
      </c>
      <c r="AE10" s="1059"/>
      <c r="AF10" s="1059">
        <v>17</v>
      </c>
      <c r="AG10" s="1059"/>
      <c r="AH10" s="1059">
        <v>18</v>
      </c>
      <c r="AI10" s="1059"/>
      <c r="AJ10" s="1059">
        <v>19</v>
      </c>
      <c r="AK10" s="1059"/>
      <c r="AL10" s="1060">
        <v>20</v>
      </c>
      <c r="AM10" s="1060"/>
    </row>
    <row r="11" ht="15" customHeight="1">
      <c r="H11" s="1055">
        <v>20</v>
      </c>
      <c r="I11" s="1055"/>
      <c r="J11" s="1056">
        <v>21</v>
      </c>
      <c r="K11" s="1056"/>
      <c r="L11" s="1056">
        <v>22</v>
      </c>
      <c r="M11" s="1056"/>
      <c r="N11" s="1056">
        <v>23</v>
      </c>
      <c r="O11" s="1056"/>
      <c r="P11" s="1056">
        <v>24</v>
      </c>
      <c r="Q11" s="1056"/>
      <c r="R11" s="1056">
        <v>25</v>
      </c>
      <c r="S11" s="1056"/>
      <c r="T11" s="1057">
        <v>26</v>
      </c>
      <c r="U11" s="1057"/>
      <c r="Z11" s="1055">
        <v>21</v>
      </c>
      <c r="AA11" s="1055"/>
      <c r="AB11" s="1056">
        <v>22</v>
      </c>
      <c r="AC11" s="1056"/>
      <c r="AD11" s="1056">
        <v>23</v>
      </c>
      <c r="AE11" s="1056"/>
      <c r="AF11" s="1056">
        <v>24</v>
      </c>
      <c r="AG11" s="1056"/>
      <c r="AH11" s="1056">
        <v>25</v>
      </c>
      <c r="AI11" s="1056"/>
      <c r="AJ11" s="1056">
        <v>26</v>
      </c>
      <c r="AK11" s="1056"/>
      <c r="AL11" s="1057">
        <v>27</v>
      </c>
      <c r="AM11" s="1057"/>
      <c r="AN11" t="s">
        <v>27</v>
      </c>
    </row>
    <row r="12" ht="15" customHeight="1">
      <c r="A12" s="68"/>
      <c r="H12" s="1058">
        <v>27</v>
      </c>
      <c r="I12" s="1058"/>
      <c r="J12" s="1059">
        <v>28</v>
      </c>
      <c r="K12" s="1059"/>
      <c r="L12" s="1059">
        <v>29</v>
      </c>
      <c r="M12" s="1059"/>
      <c r="N12" s="1059">
        <v>30</v>
      </c>
      <c r="O12" s="1059"/>
      <c r="P12" s="1059"/>
      <c r="Q12" s="1059"/>
      <c r="R12" s="1059"/>
      <c r="S12" s="1059"/>
      <c r="T12" s="1060"/>
      <c r="U12" s="1060"/>
      <c r="Z12" s="1058">
        <v>28</v>
      </c>
      <c r="AA12" s="1058"/>
      <c r="AB12" s="1059">
        <v>29</v>
      </c>
      <c r="AC12" s="1059"/>
      <c r="AD12" s="1059">
        <v>30</v>
      </c>
      <c r="AE12" s="1059"/>
      <c r="AF12" s="1059"/>
      <c r="AG12" s="1059"/>
      <c r="AH12" s="1059"/>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252</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3"/>
      <c r="Y21" s="993"/>
      <c r="Z21" s="995">
        <v>2024</v>
      </c>
      <c r="AA21" s="995"/>
      <c r="AB21" s="995"/>
      <c r="AC21" s="995"/>
      <c r="AD21" s="995"/>
      <c r="AE21" s="995"/>
      <c r="AF21" s="995"/>
      <c r="AG21" s="995"/>
      <c r="AH21" s="995"/>
      <c r="AI21" s="995"/>
      <c r="AJ21" s="995"/>
      <c r="AK21" s="995"/>
      <c r="AL21" s="995">
        <v>2025</v>
      </c>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229</v>
      </c>
      <c r="S22" s="618" t="s">
        <v>230</v>
      </c>
      <c r="T22" s="618" t="s">
        <v>233</v>
      </c>
      <c r="U22" s="618" t="s">
        <v>234</v>
      </c>
      <c r="V22" s="618" t="s">
        <v>235</v>
      </c>
      <c r="W22" s="618" t="s">
        <v>236</v>
      </c>
      <c r="X22" s="618" t="s">
        <v>218</v>
      </c>
      <c r="Y22" s="1015" t="s">
        <v>222</v>
      </c>
      <c r="Z22" s="618" t="s">
        <v>224</v>
      </c>
      <c r="AA22" s="618" t="s">
        <v>225</v>
      </c>
      <c r="AB22" s="618" t="s">
        <v>226</v>
      </c>
      <c r="AC22" s="618" t="s">
        <v>228</v>
      </c>
      <c r="AD22" s="618" t="s">
        <v>229</v>
      </c>
      <c r="AE22" s="618" t="s">
        <v>230</v>
      </c>
      <c r="AF22" s="618" t="s">
        <v>233</v>
      </c>
      <c r="AG22" s="618" t="s">
        <v>234</v>
      </c>
      <c r="AH22" s="618" t="s">
        <v>235</v>
      </c>
      <c r="AI22" s="618" t="s">
        <v>236</v>
      </c>
      <c r="AJ22" s="618" t="s">
        <v>218</v>
      </c>
      <c r="AK22" s="1015" t="s">
        <v>222</v>
      </c>
      <c r="AL22" s="618" t="s">
        <v>224</v>
      </c>
      <c r="AM22" s="618" t="s">
        <v>225</v>
      </c>
      <c r="AN22" s="618" t="s">
        <v>226</v>
      </c>
      <c r="AO22" s="1015" t="s">
        <v>228</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66" t="s">
        <v>299</v>
      </c>
      <c r="S23" s="1067" t="s">
        <v>299</v>
      </c>
      <c r="T23" s="1067" t="s">
        <v>299</v>
      </c>
      <c r="U23" s="1067" t="s">
        <v>299</v>
      </c>
      <c r="V23" s="1067" t="s">
        <v>299</v>
      </c>
      <c r="W23" s="1067" t="s">
        <v>299</v>
      </c>
      <c r="X23" s="1067" t="s">
        <v>299</v>
      </c>
      <c r="Y23" s="1067" t="s">
        <v>299</v>
      </c>
      <c r="Z23" s="1067" t="s">
        <v>299</v>
      </c>
      <c r="AA23" s="1067" t="s">
        <v>299</v>
      </c>
      <c r="AB23" s="1067" t="s">
        <v>299</v>
      </c>
      <c r="AC23" s="1067" t="s">
        <v>299</v>
      </c>
      <c r="AD23" s="1067" t="s">
        <v>299</v>
      </c>
      <c r="AE23" s="1067" t="s">
        <v>299</v>
      </c>
      <c r="AF23" s="1067" t="s">
        <v>299</v>
      </c>
      <c r="AG23" s="1067" t="s">
        <v>299</v>
      </c>
      <c r="AH23" s="1067" t="s">
        <v>299</v>
      </c>
      <c r="AI23" s="1067" t="s">
        <v>299</v>
      </c>
      <c r="AJ23" s="1067" t="s">
        <v>299</v>
      </c>
      <c r="AK23" s="1067" t="s">
        <v>299</v>
      </c>
      <c r="AL23" s="1067" t="s">
        <v>299</v>
      </c>
      <c r="AM23" s="1067" t="s">
        <v>299</v>
      </c>
      <c r="AN23" s="1067" t="s">
        <v>299</v>
      </c>
      <c r="AO23" s="1068" t="s">
        <v>299</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259</v>
      </c>
      <c r="E24" s="1021" t="s">
        <v>253</v>
      </c>
      <c r="F24" s="1022" t="s">
        <v>260</v>
      </c>
      <c r="G24" s="1021" t="s">
        <v>261</v>
      </c>
      <c r="H24" s="1023" t="s">
        <v>262</v>
      </c>
      <c r="I24" s="1023"/>
      <c r="J24" s="1023"/>
      <c r="K24" s="1023"/>
      <c r="L24" s="1023" t="s">
        <v>263</v>
      </c>
      <c r="M24" s="1023"/>
      <c r="N24" s="1023"/>
      <c r="O24" s="1023"/>
      <c r="P24" s="80"/>
      <c r="Q24" s="4"/>
      <c r="R24" s="1069" t="s">
        <v>299</v>
      </c>
      <c r="S24" s="1070" t="s">
        <v>299</v>
      </c>
      <c r="T24" s="1070" t="s">
        <v>299</v>
      </c>
      <c r="U24" s="1070" t="s">
        <v>299</v>
      </c>
      <c r="V24" s="1070" t="s">
        <v>299</v>
      </c>
      <c r="W24" s="1070" t="s">
        <v>299</v>
      </c>
      <c r="X24" s="1070" t="s">
        <v>299</v>
      </c>
      <c r="Y24" s="1070" t="s">
        <v>299</v>
      </c>
      <c r="Z24" s="1070" t="s">
        <v>299</v>
      </c>
      <c r="AA24" s="1070" t="s">
        <v>299</v>
      </c>
      <c r="AB24" s="1070" t="s">
        <v>299</v>
      </c>
      <c r="AC24" s="1070" t="s">
        <v>299</v>
      </c>
      <c r="AD24" s="1070" t="s">
        <v>299</v>
      </c>
      <c r="AE24" s="1070" t="s">
        <v>299</v>
      </c>
      <c r="AF24" s="1070" t="s">
        <v>299</v>
      </c>
      <c r="AG24" s="1070" t="s">
        <v>299</v>
      </c>
      <c r="AH24" s="1070" t="s">
        <v>299</v>
      </c>
      <c r="AI24" s="1070" t="s">
        <v>299</v>
      </c>
      <c r="AJ24" s="1070" t="s">
        <v>299</v>
      </c>
      <c r="AK24" s="1070" t="s">
        <v>299</v>
      </c>
      <c r="AL24" s="1070" t="s">
        <v>299</v>
      </c>
      <c r="AM24" s="1070" t="s">
        <v>299</v>
      </c>
      <c r="AN24" s="1070" t="s">
        <v>299</v>
      </c>
      <c r="AO24" s="1071" t="s">
        <v>299</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264</v>
      </c>
      <c r="E25" s="1016" t="s">
        <v>253</v>
      </c>
      <c r="F25" s="1027" t="s">
        <v>260</v>
      </c>
      <c r="G25" s="1016" t="s">
        <v>265</v>
      </c>
      <c r="H25" s="1017" t="s">
        <v>266</v>
      </c>
      <c r="I25" s="1017"/>
      <c r="J25" s="1017"/>
      <c r="K25" s="1017"/>
      <c r="L25" s="1017" t="s">
        <v>267</v>
      </c>
      <c r="M25" s="1017"/>
      <c r="N25" s="1017"/>
      <c r="O25" s="1017"/>
      <c r="P25" s="80"/>
      <c r="Q25" s="4"/>
      <c r="R25" s="1066" t="s">
        <v>299</v>
      </c>
      <c r="S25" s="1067" t="s">
        <v>299</v>
      </c>
      <c r="T25" s="1067" t="s">
        <v>299</v>
      </c>
      <c r="U25" s="1067" t="s">
        <v>299</v>
      </c>
      <c r="V25" s="1067" t="s">
        <v>299</v>
      </c>
      <c r="W25" s="1067" t="s">
        <v>299</v>
      </c>
      <c r="X25" s="1067" t="s">
        <v>299</v>
      </c>
      <c r="Y25" s="1067" t="s">
        <v>299</v>
      </c>
      <c r="Z25" s="1067" t="s">
        <v>299</v>
      </c>
      <c r="AA25" s="1067" t="s">
        <v>299</v>
      </c>
      <c r="AB25" s="1067" t="s">
        <v>299</v>
      </c>
      <c r="AC25" s="1067" t="s">
        <v>299</v>
      </c>
      <c r="AD25" s="1067" t="s">
        <v>299</v>
      </c>
      <c r="AE25" s="1067" t="s">
        <v>265</v>
      </c>
      <c r="AF25" s="1067" t="s">
        <v>265</v>
      </c>
      <c r="AG25" s="1067" t="s">
        <v>265</v>
      </c>
      <c r="AH25" s="1067" t="s">
        <v>265</v>
      </c>
      <c r="AI25" s="1067" t="s">
        <v>265</v>
      </c>
      <c r="AJ25" s="1067" t="s">
        <v>265</v>
      </c>
      <c r="AK25" s="1067" t="s">
        <v>265</v>
      </c>
      <c r="AL25" s="1067" t="s">
        <v>265</v>
      </c>
      <c r="AM25" s="1067" t="s">
        <v>265</v>
      </c>
      <c r="AN25" s="1067" t="s">
        <v>265</v>
      </c>
      <c r="AO25" s="1068" t="s">
        <v>265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268</v>
      </c>
      <c r="E26" s="1021" t="s">
        <v>253</v>
      </c>
      <c r="F26" s="1022" t="s">
        <v>260</v>
      </c>
      <c r="G26" s="1021" t="s">
        <v>269</v>
      </c>
      <c r="H26" s="1023" t="s">
        <v>270</v>
      </c>
      <c r="I26" s="1023"/>
      <c r="J26" s="1023"/>
      <c r="K26" s="1023"/>
      <c r="L26" s="1023" t="s">
        <v>271</v>
      </c>
      <c r="M26" s="1023"/>
      <c r="N26" s="1023"/>
      <c r="O26" s="1023"/>
      <c r="P26" s="80"/>
      <c r="Q26" s="4"/>
      <c r="R26" s="1069" t="s">
        <v>299</v>
      </c>
      <c r="S26" s="1070" t="s">
        <v>299</v>
      </c>
      <c r="T26" s="1070" t="s">
        <v>299</v>
      </c>
      <c r="U26" s="1070" t="s">
        <v>299</v>
      </c>
      <c r="V26" s="1070" t="s">
        <v>299</v>
      </c>
      <c r="W26" s="1070" t="s">
        <v>299</v>
      </c>
      <c r="X26" s="1070" t="s">
        <v>299</v>
      </c>
      <c r="Y26" s="1070" t="s">
        <v>299</v>
      </c>
      <c r="Z26" s="1070" t="s">
        <v>299</v>
      </c>
      <c r="AA26" s="1070" t="s">
        <v>299</v>
      </c>
      <c r="AB26" s="1070" t="s">
        <v>299</v>
      </c>
      <c r="AC26" s="1070" t="s">
        <v>299</v>
      </c>
      <c r="AD26" s="1070" t="s">
        <v>299</v>
      </c>
      <c r="AE26" s="1070" t="s">
        <v>299</v>
      </c>
      <c r="AF26" s="1070" t="s">
        <v>299</v>
      </c>
      <c r="AG26" s="1070" t="s">
        <v>299</v>
      </c>
      <c r="AH26" s="1070" t="s">
        <v>299</v>
      </c>
      <c r="AI26" s="1070" t="s">
        <v>299</v>
      </c>
      <c r="AJ26" s="1070" t="s">
        <v>299</v>
      </c>
      <c r="AK26" s="1070" t="s">
        <v>299</v>
      </c>
      <c r="AL26" s="1070" t="s">
        <v>299</v>
      </c>
      <c r="AM26" s="1070" t="s">
        <v>299</v>
      </c>
      <c r="AN26" s="1070" t="s">
        <v>299</v>
      </c>
      <c r="AO26" s="1071" t="s">
        <v>299</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272</v>
      </c>
      <c r="E27" s="1016" t="s">
        <v>253</v>
      </c>
      <c r="F27" s="1027" t="s">
        <v>260</v>
      </c>
      <c r="G27" s="1016" t="s">
        <v>273</v>
      </c>
      <c r="H27" s="1017" t="s">
        <v>274</v>
      </c>
      <c r="I27" s="1017"/>
      <c r="J27" s="1017"/>
      <c r="K27" s="1017"/>
      <c r="L27" s="1017" t="s">
        <v>275</v>
      </c>
      <c r="M27" s="1017"/>
      <c r="N27" s="1017"/>
      <c r="O27" s="1017"/>
      <c r="P27" s="80"/>
      <c r="Q27" s="4"/>
      <c r="R27" s="1066" t="s">
        <v>299</v>
      </c>
      <c r="S27" s="1067" t="s">
        <v>299</v>
      </c>
      <c r="T27" s="1067" t="s">
        <v>299</v>
      </c>
      <c r="U27" s="1067" t="s">
        <v>299</v>
      </c>
      <c r="V27" s="1067" t="s">
        <v>299</v>
      </c>
      <c r="W27" s="1067" t="s">
        <v>299</v>
      </c>
      <c r="X27" s="1067" t="s">
        <v>299</v>
      </c>
      <c r="Y27" s="1067" t="s">
        <v>299</v>
      </c>
      <c r="Z27" s="1067" t="s">
        <v>299</v>
      </c>
      <c r="AA27" s="1067" t="s">
        <v>299</v>
      </c>
      <c r="AB27" s="1067" t="s">
        <v>299</v>
      </c>
      <c r="AC27" s="1067" t="s">
        <v>299</v>
      </c>
      <c r="AD27" s="1067" t="s">
        <v>299</v>
      </c>
      <c r="AE27" s="1067" t="s">
        <v>299</v>
      </c>
      <c r="AF27" s="1067" t="s">
        <v>299</v>
      </c>
      <c r="AG27" s="1067" t="s">
        <v>299</v>
      </c>
      <c r="AH27" s="1067" t="s">
        <v>299</v>
      </c>
      <c r="AI27" s="1067" t="s">
        <v>299</v>
      </c>
      <c r="AJ27" s="1067" t="s">
        <v>299</v>
      </c>
      <c r="AK27" s="1067" t="s">
        <v>299</v>
      </c>
      <c r="AL27" s="1067" t="s">
        <v>299</v>
      </c>
      <c r="AM27" s="1067" t="s">
        <v>299</v>
      </c>
      <c r="AN27" s="1067" t="s">
        <v>299</v>
      </c>
      <c r="AO27" s="1068" t="s">
        <v>299</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276</v>
      </c>
      <c r="E28" s="1021" t="s">
        <v>253</v>
      </c>
      <c r="F28" s="1021" t="s">
        <v>277</v>
      </c>
      <c r="G28" s="1021" t="s">
        <v>278</v>
      </c>
      <c r="H28" s="1023" t="s">
        <v>279</v>
      </c>
      <c r="I28" s="1023"/>
      <c r="J28" s="1023"/>
      <c r="K28" s="1023"/>
      <c r="L28" s="1023" t="s">
        <v>280</v>
      </c>
      <c r="M28" s="1023"/>
      <c r="N28" s="1023"/>
      <c r="O28" s="1023"/>
      <c r="P28" s="80"/>
      <c r="Q28" s="4"/>
      <c r="R28" s="1069" t="s">
        <v>265</v>
      </c>
      <c r="S28" s="1070" t="s">
        <v>300</v>
      </c>
      <c r="T28" s="1070" t="s">
        <v>300</v>
      </c>
      <c r="U28" s="1070" t="s">
        <v>300</v>
      </c>
      <c r="V28" s="1070" t="s">
        <v>300</v>
      </c>
      <c r="W28" s="1070" t="s">
        <v>300</v>
      </c>
      <c r="X28" s="1070" t="s">
        <v>265</v>
      </c>
      <c r="Y28" s="1070" t="s">
        <v>299</v>
      </c>
      <c r="Z28" s="1070" t="s">
        <v>299</v>
      </c>
      <c r="AA28" s="1070" t="s">
        <v>299</v>
      </c>
      <c r="AB28" s="1070" t="s">
        <v>299</v>
      </c>
      <c r="AC28" s="1070" t="s">
        <v>299</v>
      </c>
      <c r="AD28" s="1070" t="s">
        <v>299</v>
      </c>
      <c r="AE28" s="1070" t="s">
        <v>299</v>
      </c>
      <c r="AF28" s="1070" t="s">
        <v>300</v>
      </c>
      <c r="AG28" s="1070" t="s">
        <v>299</v>
      </c>
      <c r="AH28" s="1070" t="s">
        <v>300</v>
      </c>
      <c r="AI28" s="1070" t="s">
        <v>265</v>
      </c>
      <c r="AJ28" s="1070" t="s">
        <v>300</v>
      </c>
      <c r="AK28" s="1070" t="s">
        <v>300</v>
      </c>
      <c r="AL28" s="1070" t="s">
        <v>300</v>
      </c>
      <c r="AM28" s="1070" t="s">
        <v>300</v>
      </c>
      <c r="AN28" s="1070" t="s">
        <v>299</v>
      </c>
      <c r="AO28" s="1071" t="s">
        <v>299</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997">
        <v>476</v>
      </c>
      <c r="I29" s="997"/>
      <c r="J29" s="997"/>
      <c r="K29" s="997"/>
      <c r="L29" s="1072"/>
      <c r="M29" s="1072"/>
      <c r="N29" s="1072"/>
      <c r="O29" s="1072"/>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6"/>
      <c r="I30" s="996"/>
      <c r="J30" s="996"/>
      <c r="K30" s="996"/>
      <c r="L30" s="1072"/>
      <c r="M30" s="1072"/>
      <c r="N30" s="1072"/>
      <c r="O30" s="1072"/>
      <c r="P30" s="80"/>
      <c r="Q30" s="4"/>
      <c r="R30" s="182"/>
      <c r="S30" s="182"/>
      <c r="T30" s="182"/>
      <c r="U30" s="182"/>
      <c r="V30" s="182"/>
      <c r="W30" s="182"/>
      <c r="X30" s="1028" t="s">
        <v>281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82"/>
      <c r="Y31" s="182"/>
      <c r="Z31" s="182"/>
      <c r="AA31" s="1073" t="s">
        <v>300</v>
      </c>
      <c r="AB31" s="1028" t="s">
        <v>301</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302</v>
      </c>
      <c r="AB32" s="1028" t="s">
        <v>303</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4" t="s">
        <v>299</v>
      </c>
      <c r="AB33" s="1028" t="s">
        <v>304</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Y21"/>
    <mergeCell ref="Z21:AK21"/>
    <mergeCell ref="AL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165</v>
      </c>
      <c r="C1" s="12"/>
      <c r="D1" s="12"/>
      <c r="E1" s="12"/>
      <c r="F1" s="12"/>
      <c r="G1" s="12"/>
      <c r="H1" s="12"/>
      <c r="I1" s="104"/>
      <c r="J1" s="12"/>
      <c r="K1" s="12"/>
      <c r="L1" s="12"/>
      <c r="M1" s="13"/>
      <c r="N1" s="51"/>
      <c r="O1" s="2"/>
      <c r="P1" s="2"/>
      <c r="Q1" s="2"/>
      <c r="R1" s="22"/>
      <c r="S1" s="51"/>
      <c r="T1" s="2"/>
      <c r="U1" s="2"/>
      <c r="V1" s="236"/>
    </row>
    <row r="2" ht="21.75" customHeight="1">
      <c r="B2" s="999" t="s">
        <v>208</v>
      </c>
      <c r="C2" s="999"/>
      <c r="D2" s="999"/>
      <c r="E2" s="999"/>
      <c r="F2" s="999"/>
      <c r="G2" s="999"/>
      <c r="H2" s="999"/>
      <c r="I2" s="999"/>
      <c r="J2" s="999"/>
      <c r="K2" s="999"/>
      <c r="L2" s="999"/>
      <c r="M2" s="999"/>
      <c r="N2" s="999"/>
      <c r="O2" s="999"/>
      <c r="P2" s="999"/>
      <c r="Q2" s="999"/>
      <c r="R2" s="999"/>
      <c r="S2" s="999"/>
      <c r="T2" s="2"/>
      <c r="U2" s="2"/>
    </row>
    <row r="3" ht="19.5" customHeight="1">
      <c r="A3"/>
      <c r="B3" s="1030" t="s">
        <v>209</v>
      </c>
      <c r="C3" s="1030"/>
      <c r="D3" s="1030"/>
      <c r="E3" s="1030"/>
      <c r="F3" s="1030"/>
      <c r="G3" s="1030"/>
      <c r="H3" s="1030"/>
      <c r="I3" s="1030"/>
      <c r="J3" s="1030"/>
      <c r="K3" s="1030"/>
      <c r="L3" s="1030"/>
      <c r="M3" s="1030"/>
      <c r="N3" s="1030"/>
      <c r="O3" s="1030"/>
      <c r="P3" s="1030"/>
      <c r="Q3" s="1030"/>
      <c r="R3" s="1030"/>
      <c r="S3" s="1030"/>
      <c r="T3" s="2"/>
      <c r="U3" s="2"/>
    </row>
    <row r="4" ht="18.75" customHeight="1">
      <c r="A4"/>
      <c r="B4" s="1076" t="s">
        <v>210</v>
      </c>
      <c r="C4" s="1076"/>
      <c r="D4" s="1076"/>
      <c r="E4" s="1076"/>
      <c r="F4" s="1076"/>
      <c r="G4" s="1076"/>
      <c r="H4" s="1076"/>
      <c r="I4" s="1076"/>
      <c r="J4" s="1076"/>
      <c r="K4" s="1076"/>
      <c r="L4" s="1076"/>
      <c r="M4" s="1076"/>
      <c r="N4" s="1076"/>
      <c r="O4" s="1076"/>
      <c r="P4" s="107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1077" t="s">
        <v>211</v>
      </c>
      <c r="C6" s="1077"/>
      <c r="D6" s="1077"/>
      <c r="E6" s="1077"/>
      <c r="F6" s="1077"/>
      <c r="G6" s="1077"/>
      <c r="H6" s="1077"/>
      <c r="I6" s="1077"/>
      <c r="J6" s="1077"/>
      <c r="K6" s="1077"/>
      <c r="L6" s="1077"/>
      <c r="M6" s="1077"/>
      <c r="N6" s="1077"/>
      <c r="O6" s="1077"/>
      <c r="P6" s="1077"/>
      <c r="Q6" s="1077"/>
      <c r="R6" s="1077"/>
      <c r="S6" s="1077"/>
      <c r="T6" s="1077"/>
      <c r="U6" s="2"/>
    </row>
    <row r="7">
      <c r="B7" s="2"/>
      <c r="C7" s="2"/>
      <c r="D7" s="2"/>
      <c r="E7" s="2"/>
      <c r="F7" s="1032" t="s">
        <v>22</v>
      </c>
      <c r="G7" s="1032"/>
      <c r="H7" s="1032"/>
      <c r="I7" s="1032"/>
      <c r="J7" s="1032"/>
      <c r="K7" s="1032" t="s">
        <v>9</v>
      </c>
      <c r="L7" s="1032"/>
      <c r="M7" s="1032"/>
      <c r="N7" s="1032"/>
      <c r="O7" s="1032"/>
      <c r="P7" s="1032" t="s">
        <v>10</v>
      </c>
      <c r="Q7" s="1032"/>
      <c r="R7" s="1032"/>
      <c r="S7" s="1032"/>
      <c r="T7" s="1032"/>
      <c r="U7" s="2"/>
    </row>
    <row r="8" ht="20.1" customHeight="1">
      <c r="B8" s="2"/>
      <c r="C8" s="2"/>
      <c r="D8" s="2"/>
      <c r="E8" s="2"/>
      <c r="F8" s="1032"/>
      <c r="G8" s="1032"/>
      <c r="H8" s="1032"/>
      <c r="I8" s="1032"/>
      <c r="J8" s="1032"/>
      <c r="K8" s="1032"/>
      <c r="L8" s="1032"/>
      <c r="M8" s="1032"/>
      <c r="N8" s="1032"/>
      <c r="O8" s="1032"/>
      <c r="P8" s="1032"/>
      <c r="Q8" s="1032"/>
      <c r="R8" s="1032"/>
      <c r="S8" s="1032"/>
      <c r="T8" s="1032"/>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93.03030303030303030303030303</v>
      </c>
      <c r="H11" s="193">
        <v>88.74152952565343659244917715</v>
      </c>
      <c r="I11" s="193">
        <v>104.83288211001702376648345679</v>
      </c>
      <c r="J11" s="194"/>
      <c r="K11" s="194"/>
      <c r="L11" s="195">
        <v>266.56623235613463626492942454</v>
      </c>
      <c r="M11" s="195">
        <v>266.70483946038325879058943312</v>
      </c>
      <c r="N11" s="193">
        <v>99.94802977533298793251229615</v>
      </c>
      <c r="O11" s="194"/>
      <c r="P11" s="193"/>
      <c r="Q11" s="195">
        <v>247.98737373737373737373737374</v>
      </c>
      <c r="R11" s="195">
        <v>236.67795385608260729267505647</v>
      </c>
      <c r="S11" s="193">
        <v>104.77840022571339927103601516</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91.89393939393939393939393939</v>
      </c>
      <c r="H13" s="196">
        <v>88.93110680864795095191997419</v>
      </c>
      <c r="I13" s="196">
        <v>103.33160430772112685426503933</v>
      </c>
      <c r="J13" s="197"/>
      <c r="K13" s="197"/>
      <c r="L13" s="198">
        <v>295.51504534212695795548227535</v>
      </c>
      <c r="M13" s="198">
        <v>300.56065385208501528497174321</v>
      </c>
      <c r="N13" s="196">
        <v>98.32126778894489396983138503</v>
      </c>
      <c r="O13" s="197"/>
      <c r="P13" s="196"/>
      <c r="Q13" s="198">
        <v>271.56041666666666666666666667</v>
      </c>
      <c r="R13" s="198">
        <v>267.29191610196837689577282995</v>
      </c>
      <c r="S13" s="196">
        <v>101.59694338194567186876017656</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92.33060946544092611508341845</v>
      </c>
      <c r="H15" s="193">
        <v>89.56785624938816798459814873</v>
      </c>
      <c r="I15" s="193">
        <v>103.08453649749983084368887911</v>
      </c>
      <c r="J15" s="194"/>
      <c r="K15" s="194"/>
      <c r="L15" s="195">
        <v>300.6174979256937402046648843</v>
      </c>
      <c r="M15" s="195">
        <v>307.63563743229786510577320088</v>
      </c>
      <c r="N15" s="193">
        <v>97.71868449143811877301390048</v>
      </c>
      <c r="O15" s="194"/>
      <c r="P15" s="193"/>
      <c r="Q15" s="195">
        <v>277.5619679945522642151855635</v>
      </c>
      <c r="R15" s="195">
        <v>275.54264550724952956916149102</v>
      </c>
      <c r="S15" s="193">
        <v>100.73285297948534750518776538</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83.19427148194271481942714819</v>
      </c>
      <c r="H17" s="196">
        <v>78.682650611995915606890424220</v>
      </c>
      <c r="I17" s="196">
        <v>105.73394621921219475684730532</v>
      </c>
      <c r="J17" s="197"/>
      <c r="K17" s="197"/>
      <c r="L17" s="198">
        <v>233.51403338073497492702642018</v>
      </c>
      <c r="M17" s="198">
        <v>239.38703851767458008757234494</v>
      </c>
      <c r="N17" s="196">
        <v>97.54664865176867882747267623</v>
      </c>
      <c r="O17" s="197"/>
      <c r="P17" s="196"/>
      <c r="Q17" s="198">
        <v>194.27029887920298879202988792</v>
      </c>
      <c r="R17" s="198">
        <v>188.35606712726597620973623838</v>
      </c>
      <c r="S17" s="196">
        <v>103.13992102410264774128418032</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77" t="s">
        <v>212</v>
      </c>
      <c r="C20" s="1077"/>
      <c r="D20" s="1077"/>
      <c r="E20" s="1077"/>
      <c r="F20" s="1077"/>
      <c r="G20" s="1077"/>
      <c r="H20" s="1077"/>
      <c r="I20" s="1077"/>
      <c r="J20" s="1077"/>
      <c r="K20" s="1077"/>
      <c r="L20" s="1077"/>
      <c r="M20" s="1077"/>
      <c r="N20" s="1077"/>
      <c r="O20" s="1077"/>
      <c r="P20" s="1077"/>
      <c r="Q20" s="1077"/>
      <c r="R20" s="1077"/>
      <c r="S20" s="1077"/>
      <c r="T20" s="1077"/>
      <c r="U20" s="2"/>
    </row>
    <row r="21">
      <c r="B21" s="2"/>
      <c r="C21" s="2"/>
      <c r="D21" s="2"/>
      <c r="E21" s="2"/>
      <c r="F21" s="1032" t="s">
        <v>72</v>
      </c>
      <c r="G21" s="1032"/>
      <c r="H21" s="1032"/>
      <c r="I21" s="1032"/>
      <c r="J21" s="1032"/>
      <c r="K21" s="1032" t="s">
        <v>9</v>
      </c>
      <c r="L21" s="1032"/>
      <c r="M21" s="1032"/>
      <c r="N21" s="1032"/>
      <c r="O21" s="1032"/>
      <c r="P21" s="1032" t="s">
        <v>10</v>
      </c>
      <c r="Q21" s="1032"/>
      <c r="R21" s="1032"/>
      <c r="S21" s="1032"/>
      <c r="T21" s="1032"/>
      <c r="U21" s="2"/>
    </row>
    <row r="22" ht="20.1" customHeight="1">
      <c r="B22" s="2"/>
      <c r="C22" s="2"/>
      <c r="D22" s="2"/>
      <c r="E22" s="2"/>
      <c r="F22" s="1032"/>
      <c r="G22" s="1032"/>
      <c r="H22" s="1032"/>
      <c r="I22" s="1032"/>
      <c r="J22" s="1032"/>
      <c r="K22" s="1032"/>
      <c r="L22" s="1032"/>
      <c r="M22" s="1032"/>
      <c r="N22" s="1032"/>
      <c r="O22" s="1032"/>
      <c r="P22" s="1032"/>
      <c r="Q22" s="1032"/>
      <c r="R22" s="1032"/>
      <c r="S22" s="1032"/>
      <c r="T22" s="1032"/>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-0.2166847237021124999853212200</v>
      </c>
      <c r="H25" s="193">
        <v>4.3008305837307887432238095300</v>
      </c>
      <c r="I25" s="193">
        <v>-4.3312361773033227440349906200</v>
      </c>
      <c r="J25" s="193"/>
      <c r="K25" s="193"/>
      <c r="L25" s="193">
        <v>3.1414733022789974030718427700</v>
      </c>
      <c r="M25" s="193">
        <v>2.4466606707159943313934101900</v>
      </c>
      <c r="N25" s="193">
        <v>0.6782189160637087787567176900</v>
      </c>
      <c r="O25" s="193"/>
      <c r="P25" s="193"/>
      <c r="Q25" s="193">
        <v>2.9179814858149940578076020500</v>
      </c>
      <c r="R25" s="193">
        <v>6.8527179848306794723441415600</v>
      </c>
      <c r="S25" s="193">
        <v>-3.6823925242133957848967211200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-0.1272455089315015104521240300</v>
      </c>
      <c r="H27" s="196">
        <v>3.8415377064809263591943399800</v>
      </c>
      <c r="I27" s="196">
        <v>-3.8219611372247802008823388100</v>
      </c>
      <c r="J27" s="196"/>
      <c r="K27" s="196"/>
      <c r="L27" s="196">
        <v>-2.1427057084118084790466402400</v>
      </c>
      <c r="M27" s="196">
        <v>-0.4313111320513795338891060100</v>
      </c>
      <c r="N27" s="196">
        <v>-1.7188079865760616382352808600</v>
      </c>
      <c r="O27" s="196"/>
      <c r="P27" s="196"/>
      <c r="Q27" s="196">
        <v>-2.2672247206054097056218913500</v>
      </c>
      <c r="R27" s="196">
        <v>3.3936575946450006258481906900</v>
      </c>
      <c r="S27" s="196">
        <v>-5.4750769505318226017572805600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-0.662231439071906933634007200</v>
      </c>
      <c r="H29" s="193">
        <v>3.0628834322247567231475645300</v>
      </c>
      <c r="I29" s="193">
        <v>-3.6144097149961231099266204700</v>
      </c>
      <c r="J29" s="193"/>
      <c r="K29" s="193"/>
      <c r="L29" s="193">
        <v>-2.0017751386503318450104802400</v>
      </c>
      <c r="M29" s="193">
        <v>0.7136592867170091426652484200</v>
      </c>
      <c r="N29" s="193">
        <v>-2.6961927951017988635920319200</v>
      </c>
      <c r="O29" s="193"/>
      <c r="P29" s="193"/>
      <c r="Q29" s="193">
        <v>-2.6507501934456976538941246900</v>
      </c>
      <c r="R29" s="193">
        <v>3.7984012710279498301836284300</v>
      </c>
      <c r="S29" s="193">
        <v>-6.2131510558193025711145941400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0.8400231781380110902781393600</v>
      </c>
      <c r="H31" s="196">
        <v>5.9964483049966511991797106300</v>
      </c>
      <c r="I31" s="196">
        <v>-4.8647150063052580018341702900</v>
      </c>
      <c r="J31" s="196"/>
      <c r="K31" s="196"/>
      <c r="L31" s="196">
        <v>-5.6663583245345749399431431500</v>
      </c>
      <c r="M31" s="196">
        <v>-3.5874578882636832650069313200</v>
      </c>
      <c r="N31" s="196">
        <v>-2.1562551829060970812609905600</v>
      </c>
      <c r="O31" s="196"/>
      <c r="P31" s="196"/>
      <c r="Q31" s="196">
        <v>-4.8739338696322805484475928800</v>
      </c>
      <c r="R31" s="196">
        <v>2.1938703590200785931822345300</v>
      </c>
      <c r="S31" s="196">
        <v>-6.9160745197966031317976879200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1034" t="s">
        <v>126</v>
      </c>
      <c r="C34" s="1034"/>
      <c r="D34" s="1034"/>
      <c r="E34" s="1034"/>
      <c r="F34" s="1034"/>
      <c r="G34" s="1034"/>
      <c r="H34" s="1034"/>
      <c r="I34" s="1034"/>
      <c r="J34" s="1034"/>
      <c r="K34" s="1034"/>
      <c r="L34" s="1034"/>
      <c r="M34" s="1034"/>
      <c r="N34" s="1034"/>
      <c r="O34" s="1034"/>
      <c r="P34" s="1034"/>
      <c r="Q34" s="1034"/>
      <c r="R34" s="1034"/>
      <c r="S34" s="1034"/>
      <c r="T34" s="1034"/>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167</v>
      </c>
      <c r="E1" s="12"/>
      <c r="F1" s="12"/>
      <c r="G1" s="12"/>
      <c r="H1" s="12"/>
      <c r="I1" s="12"/>
      <c r="J1" s="12"/>
      <c r="K1" s="12"/>
      <c r="L1" s="12"/>
      <c r="M1" s="12"/>
      <c r="N1" s="12"/>
      <c r="O1" s="12"/>
      <c r="Q1" s="231"/>
      <c r="R1" s="2"/>
      <c r="S1" s="2"/>
      <c r="T1" s="2"/>
      <c r="U1" s="2"/>
      <c r="V1" s="236"/>
    </row>
    <row r="2" ht="18" customHeight="1">
      <c r="B2" s="1078" t="s">
        <v>208</v>
      </c>
      <c r="C2" s="1078"/>
      <c r="D2" s="1078"/>
      <c r="E2" s="1078"/>
      <c r="F2" s="1078"/>
      <c r="G2" s="1078"/>
      <c r="H2" s="1078"/>
      <c r="I2" s="1078"/>
      <c r="J2" s="1078"/>
      <c r="K2" s="1078"/>
      <c r="L2" s="1078"/>
      <c r="M2" s="1078"/>
      <c r="N2" s="1078"/>
      <c r="O2" s="1078"/>
      <c r="P2" s="1078"/>
      <c r="Q2" s="1078"/>
      <c r="R2" s="1078"/>
      <c r="S2" s="1078"/>
      <c r="T2" s="1078"/>
      <c r="U2" s="2"/>
    </row>
    <row r="3" ht="18" customHeight="1">
      <c r="B3" s="1079" t="s">
        <v>209</v>
      </c>
      <c r="C3" s="1079"/>
      <c r="D3" s="1079"/>
      <c r="E3" s="1079"/>
      <c r="F3" s="1079"/>
      <c r="G3" s="1079"/>
      <c r="H3" s="1079"/>
      <c r="I3" s="1079"/>
      <c r="J3" s="1079"/>
      <c r="K3" s="1079"/>
      <c r="L3" s="1079"/>
      <c r="M3" s="1079"/>
      <c r="N3" s="1079"/>
      <c r="O3" s="1079"/>
      <c r="P3" s="1079"/>
      <c r="Q3" s="1079"/>
      <c r="R3" s="1079"/>
      <c r="S3" s="1079"/>
      <c r="T3" s="1079"/>
      <c r="U3" s="2"/>
    </row>
    <row r="4" ht="18" customHeight="1">
      <c r="B4" s="1079" t="s">
        <v>210</v>
      </c>
      <c r="C4" s="1079"/>
      <c r="D4" s="1079"/>
      <c r="E4" s="1079"/>
      <c r="F4" s="1079"/>
      <c r="G4" s="1079"/>
      <c r="H4" s="1079"/>
      <c r="I4" s="1079"/>
      <c r="J4" s="1079"/>
      <c r="K4" s="1079"/>
      <c r="L4" s="1079"/>
      <c r="M4" s="1079"/>
      <c r="N4" s="1079"/>
      <c r="O4" s="1079"/>
      <c r="P4" s="1079"/>
      <c r="Q4" s="1079"/>
      <c r="R4" s="1079"/>
      <c r="S4" s="1079"/>
      <c r="T4" s="1079"/>
      <c r="U4" s="2"/>
    </row>
    <row r="5" s="122" customFormat="1" ht="21" customHeight="1">
      <c r="B5" s="1080"/>
      <c r="C5" s="1080"/>
      <c r="D5" s="163"/>
      <c r="E5" s="942" t="s">
        <v>22</v>
      </c>
      <c r="F5" s="942"/>
      <c r="G5" s="942"/>
      <c r="H5" s="942"/>
      <c r="I5" s="942"/>
      <c r="J5" s="942"/>
      <c r="K5" s="942"/>
      <c r="L5" s="942"/>
      <c r="M5" s="537"/>
      <c r="N5" s="1081" t="s">
        <v>28</v>
      </c>
      <c r="O5" s="1081"/>
      <c r="P5" s="1081"/>
      <c r="Q5" s="1081"/>
      <c r="R5" s="1081"/>
      <c r="S5" s="1081"/>
      <c r="T5" s="1081"/>
      <c r="V5" s="236"/>
      <c r="W5" s="236"/>
      <c r="X5" s="236"/>
      <c r="Y5" s="236"/>
      <c r="Z5" s="236"/>
      <c r="AA5" s="236"/>
      <c r="AB5" s="236"/>
      <c r="AC5" s="236"/>
      <c r="AD5" s="236"/>
      <c r="AE5" s="236"/>
      <c r="AF5" s="236"/>
      <c r="AG5" s="236"/>
      <c r="AH5" s="236"/>
      <c r="AI5" s="236"/>
    </row>
    <row r="6" s="122" customFormat="1" ht="15.75" customHeight="1">
      <c r="B6" s="1082"/>
      <c r="C6" s="1082"/>
      <c r="D6" s="163"/>
      <c r="E6" s="940" t="s">
        <v>42</v>
      </c>
      <c r="F6" s="1083" t="s">
        <v>24</v>
      </c>
      <c r="G6" s="943" t="s">
        <v>37</v>
      </c>
      <c r="H6" s="1084" t="s">
        <v>24</v>
      </c>
      <c r="I6" s="943" t="s">
        <v>44</v>
      </c>
      <c r="J6" s="1083" t="s">
        <v>24</v>
      </c>
      <c r="K6" s="943" t="s">
        <v>45</v>
      </c>
      <c r="L6" s="1083" t="s">
        <v>24</v>
      </c>
      <c r="M6" s="538"/>
      <c r="N6" s="1083" t="s">
        <v>63</v>
      </c>
      <c r="O6" s="944" t="s">
        <v>64</v>
      </c>
      <c r="P6" s="944"/>
      <c r="Q6" s="944" t="s">
        <v>65</v>
      </c>
      <c r="R6" s="944"/>
      <c r="S6" s="944" t="s">
        <v>66</v>
      </c>
      <c r="T6" s="944"/>
      <c r="V6" s="236"/>
      <c r="W6" s="236"/>
      <c r="X6" s="236"/>
      <c r="Y6" s="236"/>
      <c r="Z6" s="236"/>
      <c r="AA6" s="236"/>
      <c r="AB6" s="236"/>
      <c r="AC6" s="236"/>
      <c r="AD6" s="236"/>
      <c r="AE6" s="236"/>
      <c r="AF6" s="236"/>
      <c r="AG6" s="236"/>
      <c r="AH6" s="236"/>
      <c r="AI6" s="236"/>
    </row>
    <row r="7" s="122" customFormat="1" ht="24" customHeight="1">
      <c r="B7" s="1085"/>
      <c r="C7" s="1085"/>
      <c r="D7" s="163"/>
      <c r="E7" s="940"/>
      <c r="F7" s="1083"/>
      <c r="G7" s="943"/>
      <c r="H7" s="1084"/>
      <c r="I7" s="943"/>
      <c r="J7" s="1083"/>
      <c r="K7" s="943"/>
      <c r="L7" s="1083"/>
      <c r="M7" s="539"/>
      <c r="N7" s="1083"/>
      <c r="O7" s="944"/>
      <c r="P7" s="944"/>
      <c r="Q7" s="944"/>
      <c r="R7" s="944"/>
      <c r="S7" s="944"/>
      <c r="T7" s="944"/>
      <c r="V7" s="236"/>
      <c r="W7" s="236"/>
      <c r="X7" s="236"/>
      <c r="Y7" s="236"/>
      <c r="Z7" s="236"/>
      <c r="AA7" s="236"/>
      <c r="AB7" s="236"/>
      <c r="AC7" s="236"/>
      <c r="AD7" s="236"/>
      <c r="AE7" s="236"/>
      <c r="AF7" s="236"/>
      <c r="AG7" s="236"/>
      <c r="AH7" s="236"/>
      <c r="AI7" s="236"/>
    </row>
    <row r="8" ht="20.1" customHeight="1">
      <c r="B8" s="1086" t="s">
        <v>213</v>
      </c>
      <c r="C8" s="1086"/>
      <c r="D8" s="345"/>
      <c r="E8" s="238">
        <v>93.03030303030303030303030303</v>
      </c>
      <c r="F8" s="239">
        <v>-0.2166847237021124999853212200</v>
      </c>
      <c r="G8" s="238">
        <v>91.89393939393939393939393939</v>
      </c>
      <c r="H8" s="239">
        <v>-0.1272455089315015104521240300</v>
      </c>
      <c r="I8" s="238">
        <v>92.33060946544092611508341845</v>
      </c>
      <c r="J8" s="239">
        <v>-0.662231439071906933634007200</v>
      </c>
      <c r="K8" s="238">
        <v>83.19427148194271481942714819</v>
      </c>
      <c r="L8" s="239">
        <v>0.8400231781380110902781393600</v>
      </c>
      <c r="M8" s="540"/>
      <c r="N8" s="156">
        <v>0</v>
      </c>
      <c r="O8" s="156"/>
      <c r="P8" s="156">
        <v>-0.8264462809917355371900826400</v>
      </c>
      <c r="Q8" s="156"/>
      <c r="R8" s="156">
        <v>-1.1111111111111111111111111100</v>
      </c>
      <c r="S8" s="156"/>
      <c r="T8" s="243">
        <v>-0.2732240437158469945355191300</v>
      </c>
    </row>
    <row r="9" ht="20.1" customHeight="1">
      <c r="B9" s="1087" t="s">
        <v>214</v>
      </c>
      <c r="C9" s="1087"/>
      <c r="D9" s="345"/>
      <c r="E9" s="240">
        <v>80.43913276641385122194131617</v>
      </c>
      <c r="F9" s="241">
        <v>2.2851528997290032841199540100</v>
      </c>
      <c r="G9" s="240">
        <v>82.10419161065173048497489220</v>
      </c>
      <c r="H9" s="241">
        <v>1.1719189886902155669852113800</v>
      </c>
      <c r="I9" s="240">
        <v>83.06127679776527427220021093</v>
      </c>
      <c r="J9" s="241">
        <v>1.2577766748895213838745444400</v>
      </c>
      <c r="K9" s="240">
        <v>74.217805142959330698710688220</v>
      </c>
      <c r="L9" s="241">
        <v>1.8155870985280834024950111100</v>
      </c>
      <c r="M9" s="540"/>
      <c r="N9" s="121">
        <v>0.5298747708753716054897490800</v>
      </c>
      <c r="O9" s="121"/>
      <c r="P9" s="121">
        <v>-0.0053990973168783823334388100</v>
      </c>
      <c r="Q9" s="121"/>
      <c r="R9" s="121">
        <v>0.0856416022129335186173575900</v>
      </c>
      <c r="S9" s="121"/>
      <c r="T9" s="241">
        <v>-0.6388641649824143671762483800</v>
      </c>
    </row>
    <row r="10" ht="20.1" customHeight="1">
      <c r="B10" s="1088" t="s">
        <v>215</v>
      </c>
      <c r="C10" s="1088"/>
      <c r="D10" s="345"/>
      <c r="E10" s="242">
        <v>82.17066294198287680091047826</v>
      </c>
      <c r="F10" s="243">
        <v>1.3643148997062918127312185700</v>
      </c>
      <c r="G10" s="242">
        <v>84.33425987550405199076067807</v>
      </c>
      <c r="H10" s="243">
        <v>2.4065747506552869877010120100</v>
      </c>
      <c r="I10" s="242">
        <v>85.10304897715618043392095843</v>
      </c>
      <c r="J10" s="243">
        <v>2.4022030704509949497876218100</v>
      </c>
      <c r="K10" s="242">
        <v>75.728868489437074448967940720</v>
      </c>
      <c r="L10" s="243">
        <v>2.8028633147259779891518322800</v>
      </c>
      <c r="M10" s="540"/>
      <c r="N10" s="156">
        <v>2.9559798673803627067188623500</v>
      </c>
      <c r="O10" s="156"/>
      <c r="P10" s="156">
        <v>2.1975493873468367091772943200</v>
      </c>
      <c r="Q10" s="156"/>
      <c r="R10" s="156">
        <v>2.2425195435349087968370922800</v>
      </c>
      <c r="S10" s="156"/>
      <c r="T10" s="243">
        <v>2.0476183247187186962549142700</v>
      </c>
    </row>
    <row r="11" ht="20.1" customHeight="1">
      <c r="B11" s="1087" t="s">
        <v>216</v>
      </c>
      <c r="C11" s="1087"/>
      <c r="D11" s="345"/>
      <c r="E11" s="240">
        <v>81.58203931281953574037026452</v>
      </c>
      <c r="F11" s="241">
        <v>3.568486829443617897008153100</v>
      </c>
      <c r="G11" s="240">
        <v>81.23308357376015972818407915</v>
      </c>
      <c r="H11" s="241">
        <v>1.5482622943434094197882016400</v>
      </c>
      <c r="I11" s="240">
        <v>82.89087791382007954561788398</v>
      </c>
      <c r="J11" s="241">
        <v>2.2589420668902830240016368700</v>
      </c>
      <c r="K11" s="240">
        <v>72.367042108481441453342092640</v>
      </c>
      <c r="L11" s="241">
        <v>2.2655986228516886340665971800</v>
      </c>
      <c r="M11" s="540"/>
      <c r="N11" s="121">
        <v>0.9763840123130200567553268200</v>
      </c>
      <c r="O11" s="121"/>
      <c r="P11" s="121">
        <v>-0.1391260455156694257895836900</v>
      </c>
      <c r="Q11" s="121"/>
      <c r="R11" s="121">
        <v>0.0713341999275470411490186900</v>
      </c>
      <c r="S11" s="121"/>
      <c r="T11" s="241">
        <v>-1.913944358100842956635145500</v>
      </c>
    </row>
    <row r="12" ht="20.1" customHeight="1">
      <c r="B12" s="1088" t="s">
        <v>217</v>
      </c>
      <c r="C12" s="1088"/>
      <c r="D12" s="345"/>
      <c r="E12" s="242">
        <v>83.74064263503397443279972360</v>
      </c>
      <c r="F12" s="243">
        <v>3.3127613516961993087153476100</v>
      </c>
      <c r="G12" s="242">
        <v>82.65647745889753836879493316</v>
      </c>
      <c r="H12" s="243">
        <v>1.868299928570905026136818500</v>
      </c>
      <c r="I12" s="242">
        <v>84.68378429829029486368149989</v>
      </c>
      <c r="J12" s="243">
        <v>3.0762765621922460332896395800</v>
      </c>
      <c r="K12" s="242">
        <v>73.311586056013579816535818160</v>
      </c>
      <c r="L12" s="243">
        <v>0.8743951284615393910424752700</v>
      </c>
      <c r="M12" s="540"/>
      <c r="N12" s="156">
        <v>4.7785688427657777241462531700</v>
      </c>
      <c r="O12" s="156"/>
      <c r="P12" s="156">
        <v>2.9274145640636178310786277800</v>
      </c>
      <c r="Q12" s="156"/>
      <c r="R12" s="156">
        <v>2.8414051462768068320713684800</v>
      </c>
      <c r="S12" s="156"/>
      <c r="T12" s="243">
        <v>3.5915353569513862399739936600</v>
      </c>
    </row>
    <row r="13" ht="20.1" customHeight="1">
      <c r="B13" s="1089" t="s">
        <v>74</v>
      </c>
      <c r="C13" s="1089"/>
      <c r="D13" s="345"/>
      <c r="E13" s="244">
        <v>88.74152952565343659244917715</v>
      </c>
      <c r="F13" s="245">
        <v>4.3008305837307887432238095300</v>
      </c>
      <c r="G13" s="244">
        <v>88.93110680864795095191997419</v>
      </c>
      <c r="H13" s="245">
        <v>3.8415377064809263591943399800</v>
      </c>
      <c r="I13" s="244">
        <v>89.56785624938816798459814873</v>
      </c>
      <c r="J13" s="245">
        <v>3.0628834322247567231475645300</v>
      </c>
      <c r="K13" s="244">
        <v>78.682650611995915606890424220</v>
      </c>
      <c r="L13" s="245">
        <v>5.9964483049966511991797106300</v>
      </c>
      <c r="M13" s="540"/>
      <c r="N13" s="250">
        <v>0</v>
      </c>
      <c r="O13" s="250"/>
      <c r="P13" s="250">
        <v>0</v>
      </c>
      <c r="Q13" s="250"/>
      <c r="R13" s="250">
        <v>0</v>
      </c>
      <c r="S13" s="250"/>
      <c r="T13" s="245">
        <v>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1090" t="s">
        <v>90</v>
      </c>
      <c r="F15" s="1090"/>
      <c r="G15" s="1090"/>
      <c r="H15" s="1090"/>
      <c r="I15" s="1090"/>
      <c r="J15" s="1090"/>
      <c r="K15" s="1090"/>
      <c r="L15" s="1090"/>
      <c r="M15" s="537"/>
      <c r="N15" s="1090" t="s">
        <v>29</v>
      </c>
      <c r="O15" s="1090"/>
      <c r="P15" s="1090"/>
      <c r="Q15" s="1090"/>
      <c r="R15" s="1090"/>
      <c r="S15" s="1090"/>
      <c r="T15" s="1090"/>
    </row>
    <row r="16" ht="22.5" customHeight="1">
      <c r="B16" s="4"/>
      <c r="C16" s="4"/>
      <c r="D16" s="4"/>
      <c r="E16" s="940" t="s">
        <v>42</v>
      </c>
      <c r="F16" s="1083" t="s">
        <v>24</v>
      </c>
      <c r="G16" s="940" t="s">
        <v>37</v>
      </c>
      <c r="H16" s="1083" t="s">
        <v>24</v>
      </c>
      <c r="I16" s="940" t="s">
        <v>44</v>
      </c>
      <c r="J16" s="1083" t="s">
        <v>24</v>
      </c>
      <c r="K16" s="940" t="s">
        <v>45</v>
      </c>
      <c r="L16" s="1083" t="s">
        <v>24</v>
      </c>
      <c r="M16" s="538"/>
      <c r="N16" s="944" t="s">
        <v>63</v>
      </c>
      <c r="O16" s="944" t="s">
        <v>64</v>
      </c>
      <c r="P16" s="944"/>
      <c r="Q16" s="944" t="s">
        <v>65</v>
      </c>
      <c r="R16" s="944"/>
      <c r="S16" s="944" t="s">
        <v>66</v>
      </c>
      <c r="T16" s="944"/>
    </row>
    <row r="17" ht="18.75" customHeight="1">
      <c r="B17" s="4"/>
      <c r="C17" s="4"/>
      <c r="D17" s="4"/>
      <c r="E17" s="940"/>
      <c r="F17" s="1083"/>
      <c r="G17" s="940"/>
      <c r="H17" s="1083"/>
      <c r="I17" s="940"/>
      <c r="J17" s="1083"/>
      <c r="K17" s="940"/>
      <c r="L17" s="1083"/>
      <c r="M17" s="539"/>
      <c r="N17" s="944"/>
      <c r="O17" s="944"/>
      <c r="P17" s="944"/>
      <c r="Q17" s="944"/>
      <c r="R17" s="944"/>
      <c r="S17" s="944"/>
      <c r="T17" s="944"/>
    </row>
    <row r="18" ht="20.1" customHeight="1">
      <c r="B18" s="1091" t="s">
        <v>213</v>
      </c>
      <c r="C18" s="1091"/>
      <c r="D18" s="345"/>
      <c r="E18" s="253">
        <v>266.56623235613463626492942454</v>
      </c>
      <c r="F18" s="239">
        <v>3.1414733022789974030718427700</v>
      </c>
      <c r="G18" s="253">
        <v>295.51504534212695795548227535</v>
      </c>
      <c r="H18" s="239">
        <v>-2.1427057084118084790466402400</v>
      </c>
      <c r="I18" s="253">
        <v>300.6174979256937402046648843</v>
      </c>
      <c r="J18" s="239">
        <v>-2.0017751386503318450104802400</v>
      </c>
      <c r="K18" s="253">
        <v>233.51403338073497492702642018</v>
      </c>
      <c r="L18" s="239">
        <v>-5.6663583245345749399431431500</v>
      </c>
      <c r="M18" s="540"/>
      <c r="N18" s="238">
        <v>-0.2166847237269772481040086700</v>
      </c>
      <c r="O18" s="246"/>
      <c r="P18" s="246">
        <v>-0.9526401741970604246053347800</v>
      </c>
      <c r="Q18" s="246"/>
      <c r="R18" s="246">
        <v>-1.7659844231117551168266618400</v>
      </c>
      <c r="S18" s="246"/>
      <c r="T18" s="239">
        <v>0.5645039891615234080987505600</v>
      </c>
    </row>
    <row r="19" ht="20.1" customHeight="1">
      <c r="B19" s="1092" t="s">
        <v>214</v>
      </c>
      <c r="C19" s="1092"/>
      <c r="D19" s="345"/>
      <c r="E19" s="254">
        <v>253.01821508891030744946849376</v>
      </c>
      <c r="F19" s="241">
        <v>5.8460554675874759752002147100</v>
      </c>
      <c r="G19" s="254">
        <v>274.90274326620827667199971145</v>
      </c>
      <c r="H19" s="241">
        <v>2.9718177792500872091778586700</v>
      </c>
      <c r="I19" s="254">
        <v>280.85437944889454788413538815</v>
      </c>
      <c r="J19" s="241">
        <v>3.2169008277408428310899428100</v>
      </c>
      <c r="K19" s="254">
        <v>225.17471922353533315120826311</v>
      </c>
      <c r="L19" s="241">
        <v>1.9075847742322278408453462300</v>
      </c>
      <c r="M19" s="540"/>
      <c r="N19" s="240">
        <v>2.8271361193375013710650433300</v>
      </c>
      <c r="O19" s="121"/>
      <c r="P19" s="121">
        <v>1.1664566182855490960370138100</v>
      </c>
      <c r="Q19" s="121"/>
      <c r="R19" s="121">
        <v>1.3444954571612193206114245100</v>
      </c>
      <c r="S19" s="121"/>
      <c r="T19" s="241">
        <v>1.1651237982006452697071939100</v>
      </c>
    </row>
    <row r="20" ht="20.1" customHeight="1">
      <c r="B20" s="1093" t="s">
        <v>215</v>
      </c>
      <c r="C20" s="1093"/>
      <c r="D20" s="345"/>
      <c r="E20" s="255">
        <v>244.48951460589272223621254092</v>
      </c>
      <c r="F20" s="243">
        <v>3.0564309592488085879299566700</v>
      </c>
      <c r="G20" s="255">
        <v>272.01846049099025911225618767</v>
      </c>
      <c r="H20" s="243">
        <v>1.8946794790106109149818178100</v>
      </c>
      <c r="I20" s="255">
        <v>276.92368986039153158307266683</v>
      </c>
      <c r="J20" s="243">
        <v>1.9229325000016812792459946700</v>
      </c>
      <c r="K20" s="255">
        <v>223.15832478053349542134579551</v>
      </c>
      <c r="L20" s="243">
        <v>1.0690902472767719455055988600</v>
      </c>
      <c r="M20" s="540"/>
      <c r="N20" s="242">
        <v>4.3606236407955165141291564600</v>
      </c>
      <c r="O20" s="156"/>
      <c r="P20" s="156">
        <v>4.6570098066603669542023859600</v>
      </c>
      <c r="Q20" s="156"/>
      <c r="R20" s="156">
        <v>4.6985924873553077433738352700</v>
      </c>
      <c r="S20" s="156"/>
      <c r="T20" s="243">
        <v>4.9078735823230056051497967100</v>
      </c>
    </row>
    <row r="21" ht="20.1" customHeight="1">
      <c r="B21" s="1092" t="s">
        <v>216</v>
      </c>
      <c r="C21" s="1092"/>
      <c r="D21" s="345"/>
      <c r="E21" s="254">
        <v>334.60682534739792145109182204</v>
      </c>
      <c r="F21" s="241">
        <v>7.231911285674960664880765600</v>
      </c>
      <c r="G21" s="254">
        <v>356.88206655398195586240020379</v>
      </c>
      <c r="H21" s="241">
        <v>3.0705398298860184778950252800</v>
      </c>
      <c r="I21" s="254">
        <v>364.9476936336813873521391257</v>
      </c>
      <c r="J21" s="241">
        <v>3.261032724518080069360065600</v>
      </c>
      <c r="K21" s="254">
        <v>291.45572832865791414673614935</v>
      </c>
      <c r="L21" s="241">
        <v>1.5991378799513050219683683500</v>
      </c>
      <c r="M21" s="540"/>
      <c r="N21" s="240">
        <v>4.5797129767014912918083770400</v>
      </c>
      <c r="O21" s="121"/>
      <c r="P21" s="121">
        <v>1.4069822127002562451750680100</v>
      </c>
      <c r="Q21" s="121"/>
      <c r="R21" s="121">
        <v>2.3318876650693993061055221700</v>
      </c>
      <c r="S21" s="121"/>
      <c r="T21" s="241">
        <v>0.30829196767911478135738200</v>
      </c>
    </row>
    <row r="22" ht="20.1" customHeight="1">
      <c r="B22" s="1093" t="s">
        <v>217</v>
      </c>
      <c r="C22" s="1093"/>
      <c r="D22" s="345"/>
      <c r="E22" s="255">
        <v>444.74924817545017787068617743</v>
      </c>
      <c r="F22" s="243">
        <v>5.9642520193509919128448251300</v>
      </c>
      <c r="G22" s="255">
        <v>475.06598765211969644506665716</v>
      </c>
      <c r="H22" s="243">
        <v>1.6396081400150117991294294200</v>
      </c>
      <c r="I22" s="255">
        <v>487.28424485356995848832493632</v>
      </c>
      <c r="J22" s="243">
        <v>2.364245691499251060578195600</v>
      </c>
      <c r="K22" s="255">
        <v>384.25114023830872777452235126</v>
      </c>
      <c r="L22" s="243">
        <v>-0.3188639960545443114313729900</v>
      </c>
      <c r="M22" s="540"/>
      <c r="N22" s="242">
        <v>8.249632776211838500932946920</v>
      </c>
      <c r="O22" s="156"/>
      <c r="P22" s="156">
        <v>4.85040737680696189172400900</v>
      </c>
      <c r="Q22" s="156"/>
      <c r="R22" s="156">
        <v>6.005091188958463819873026200</v>
      </c>
      <c r="S22" s="156"/>
      <c r="T22" s="243">
        <v>4.4973346956701317276276311500</v>
      </c>
    </row>
    <row r="23" ht="20.1" customHeight="1">
      <c r="B23" s="1094" t="s">
        <v>74</v>
      </c>
      <c r="C23" s="1094"/>
      <c r="D23" s="345"/>
      <c r="E23" s="256">
        <v>266.70483946038325879058943312</v>
      </c>
      <c r="F23" s="245">
        <v>2.4466606707159943313934101900</v>
      </c>
      <c r="G23" s="256">
        <v>300.56065385208501528497174321</v>
      </c>
      <c r="H23" s="245">
        <v>-0.4313111320513795338891060100</v>
      </c>
      <c r="I23" s="256">
        <v>307.63563743229786510577320088</v>
      </c>
      <c r="J23" s="245">
        <v>0.7136592867170091426652484200</v>
      </c>
      <c r="K23" s="256">
        <v>239.38703851767458008757234494</v>
      </c>
      <c r="L23" s="245">
        <v>-3.5874578882636832650069313200</v>
      </c>
      <c r="M23" s="540"/>
      <c r="N23" s="244">
        <v>4.3008305836841506428490158100</v>
      </c>
      <c r="O23" s="250"/>
      <c r="P23" s="250">
        <v>3.8415377064654128467206724100</v>
      </c>
      <c r="Q23" s="250"/>
      <c r="R23" s="250">
        <v>3.0628834322731247746531052900</v>
      </c>
      <c r="S23" s="250"/>
      <c r="T23" s="245">
        <v>5.9964483050229263219783964200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080"/>
      <c r="C25" s="1080"/>
      <c r="D25" s="163"/>
      <c r="E25" s="1090" t="s">
        <v>10</v>
      </c>
      <c r="F25" s="1090"/>
      <c r="G25" s="1090"/>
      <c r="H25" s="1090"/>
      <c r="I25" s="1090"/>
      <c r="J25" s="1090"/>
      <c r="K25" s="1090"/>
      <c r="L25" s="1090"/>
      <c r="M25" s="537"/>
      <c r="N25" s="1090" t="s">
        <v>38</v>
      </c>
      <c r="O25" s="1090"/>
      <c r="P25" s="1090"/>
      <c r="Q25" s="1090"/>
      <c r="R25" s="1090"/>
      <c r="S25" s="1090"/>
      <c r="T25" s="1090"/>
      <c r="V25" s="236"/>
      <c r="W25" s="236"/>
      <c r="X25" s="236"/>
      <c r="Y25" s="236"/>
      <c r="Z25" s="236"/>
      <c r="AA25" s="236"/>
      <c r="AB25" s="236"/>
      <c r="AC25" s="236"/>
      <c r="AD25" s="236"/>
      <c r="AE25" s="236"/>
      <c r="AF25" s="236"/>
      <c r="AG25" s="236"/>
      <c r="AH25" s="236"/>
      <c r="AI25" s="236"/>
    </row>
    <row r="26" s="122" customFormat="1" ht="19.5" customHeight="1">
      <c r="B26" s="163"/>
      <c r="C26" s="163"/>
      <c r="D26" s="163"/>
      <c r="E26" s="940" t="s">
        <v>42</v>
      </c>
      <c r="F26" s="1083" t="s">
        <v>24</v>
      </c>
      <c r="G26" s="940" t="s">
        <v>37</v>
      </c>
      <c r="H26" s="1083" t="s">
        <v>24</v>
      </c>
      <c r="I26" s="940" t="s">
        <v>44</v>
      </c>
      <c r="J26" s="1083" t="s">
        <v>24</v>
      </c>
      <c r="K26" s="940" t="s">
        <v>45</v>
      </c>
      <c r="L26" s="1083" t="s">
        <v>24</v>
      </c>
      <c r="M26" s="538"/>
      <c r="N26" s="944" t="s">
        <v>63</v>
      </c>
      <c r="O26" s="944" t="s">
        <v>64</v>
      </c>
      <c r="P26" s="944"/>
      <c r="Q26" s="944" t="s">
        <v>65</v>
      </c>
      <c r="R26" s="944"/>
      <c r="S26" s="944" t="s">
        <v>66</v>
      </c>
      <c r="T26" s="94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1083"/>
      <c r="G27" s="940"/>
      <c r="H27" s="1083"/>
      <c r="I27" s="940"/>
      <c r="J27" s="1083"/>
      <c r="K27" s="940"/>
      <c r="L27" s="1083"/>
      <c r="M27" s="539"/>
      <c r="N27" s="944"/>
      <c r="O27" s="944"/>
      <c r="P27" s="944"/>
      <c r="Q27" s="944"/>
      <c r="R27" s="944"/>
      <c r="S27" s="944"/>
      <c r="T27" s="944"/>
      <c r="V27" s="236"/>
      <c r="W27" s="236"/>
      <c r="X27" s="236"/>
      <c r="Y27" s="236"/>
      <c r="Z27" s="236"/>
      <c r="AA27" s="236"/>
      <c r="AB27" s="236"/>
      <c r="AC27" s="236"/>
      <c r="AD27" s="236"/>
      <c r="AE27" s="236"/>
      <c r="AF27" s="236"/>
      <c r="AG27" s="236"/>
      <c r="AH27" s="236"/>
      <c r="AI27" s="236"/>
    </row>
    <row r="28" ht="20.1" customHeight="1">
      <c r="B28" s="1091" t="s">
        <v>213</v>
      </c>
      <c r="C28" s="1091"/>
      <c r="D28" s="345"/>
      <c r="E28" s="253">
        <v>247.98737373737373737373737374</v>
      </c>
      <c r="F28" s="239">
        <v>2.9179814858149940578076020500</v>
      </c>
      <c r="G28" s="253">
        <v>271.56041666666666666666666667</v>
      </c>
      <c r="H28" s="239">
        <v>-2.2672247206054097056218913500</v>
      </c>
      <c r="I28" s="253">
        <v>277.5619679945522642151855635</v>
      </c>
      <c r="J28" s="239">
        <v>-2.6507501934456976538941246900</v>
      </c>
      <c r="K28" s="253">
        <v>194.27029887920298879202988792</v>
      </c>
      <c r="L28" s="239">
        <v>-4.8739338696322805484475928800</v>
      </c>
      <c r="M28" s="540"/>
      <c r="N28" s="238">
        <v>2.9179814858093853720497135300</v>
      </c>
      <c r="O28" s="246"/>
      <c r="P28" s="246">
        <v>-3.0749336072115659775095978300</v>
      </c>
      <c r="Q28" s="246"/>
      <c r="R28" s="246">
        <v>-3.7324085246232680871616660600</v>
      </c>
      <c r="S28" s="246"/>
      <c r="T28" s="239">
        <v>-5.1338411541633118707477201600</v>
      </c>
    </row>
    <row r="29" ht="20.1" customHeight="1">
      <c r="B29" s="1092" t="s">
        <v>214</v>
      </c>
      <c r="C29" s="1092"/>
      <c r="D29" s="345"/>
      <c r="E29" s="254">
        <v>203.52565795857912612681631298</v>
      </c>
      <c r="F29" s="241">
        <v>8.264799673417976688240177960</v>
      </c>
      <c r="G29" s="254">
        <v>225.70667507422564084235571633</v>
      </c>
      <c r="H29" s="241">
        <v>4.1785640647793095872216931600</v>
      </c>
      <c r="I29" s="254">
        <v>233.28123351269228988295334814</v>
      </c>
      <c r="J29" s="241">
        <v>4.5151389308662251393932972600</v>
      </c>
      <c r="K29" s="254">
        <v>167.11973434452923916893124883</v>
      </c>
      <c r="L29" s="241">
        <v>3.7578057358242713333355898500</v>
      </c>
      <c r="M29" s="540"/>
      <c r="N29" s="240">
        <v>8.838467532612608021157801710</v>
      </c>
      <c r="O29" s="121"/>
      <c r="P29" s="121">
        <v>4.1729393627058179894679929400</v>
      </c>
      <c r="Q29" s="121"/>
      <c r="R29" s="121">
        <v>4.6046473703927084959247398200</v>
      </c>
      <c r="S29" s="121"/>
      <c r="T29" s="241">
        <v>3.0949342966074931624377278500</v>
      </c>
    </row>
    <row r="30" ht="20.1" customHeight="1">
      <c r="B30" s="1093" t="s">
        <v>215</v>
      </c>
      <c r="C30" s="1093"/>
      <c r="D30" s="345"/>
      <c r="E30" s="255">
        <v>200.89865497529810403248751972</v>
      </c>
      <c r="F30" s="243">
        <v>4.4624452018345195463126084600</v>
      </c>
      <c r="G30" s="255">
        <v>229.40475537981704054600738624</v>
      </c>
      <c r="H30" s="243">
        <v>4.3468511076061187189381277400</v>
      </c>
      <c r="I30" s="255">
        <v>235.67050341123708866755664376</v>
      </c>
      <c r="J30" s="243">
        <v>4.3713283140556754099042536100</v>
      </c>
      <c r="K30" s="255">
        <v>168.99527429628107663858639819</v>
      </c>
      <c r="L30" s="243">
        <v>3.9019187003687898271999145100</v>
      </c>
      <c r="M30" s="540"/>
      <c r="N30" s="242">
        <v>7.550334050996265163607734700</v>
      </c>
      <c r="O30" s="156"/>
      <c r="P30" s="156">
        <v>6.6399246948286028255138871800</v>
      </c>
      <c r="Q30" s="156"/>
      <c r="R30" s="156">
        <v>6.7118757493423002730913169900</v>
      </c>
      <c r="S30" s="156"/>
      <c r="T30" s="243">
        <v>6.0294334274072368815476870500</v>
      </c>
    </row>
    <row r="31" ht="20.1" customHeight="1">
      <c r="B31" s="1092" t="s">
        <v>216</v>
      </c>
      <c r="C31" s="1092"/>
      <c r="D31" s="345"/>
      <c r="E31" s="254">
        <v>272.97907179829157537074084659</v>
      </c>
      <c r="F31" s="241">
        <v>11.058467916918830188284215420</v>
      </c>
      <c r="G31" s="254">
        <v>289.90630738355851711209800411</v>
      </c>
      <c r="H31" s="241">
        <v>4.6663421346230398516495246600</v>
      </c>
      <c r="I31" s="254">
        <v>302.50834717919697362516030768</v>
      </c>
      <c r="J31" s="241">
        <v>5.5936396314113658708823936800</v>
      </c>
      <c r="K31" s="254">
        <v>210.91788964718114605615730998</v>
      </c>
      <c r="L31" s="241">
        <v>3.9009665485361474392585805100</v>
      </c>
      <c r="M31" s="540"/>
      <c r="N31" s="240">
        <v>12.142825041981562356603082550</v>
      </c>
      <c r="O31" s="121"/>
      <c r="P31" s="121">
        <v>4.5207239918282036953214358700</v>
      </c>
      <c r="Q31" s="121"/>
      <c r="R31" s="121">
        <v>5.6689640094330767651475162500</v>
      </c>
      <c r="S31" s="121"/>
      <c r="T31" s="241">
        <v>1.9123598612707180404374597400</v>
      </c>
    </row>
    <row r="32" ht="20.1" customHeight="1">
      <c r="B32" s="1093" t="s">
        <v>217</v>
      </c>
      <c r="C32" s="1093"/>
      <c r="D32" s="345"/>
      <c r="E32" s="255">
        <v>372.43587853660409228761180851</v>
      </c>
      <c r="F32" s="243">
        <v>9.474594806837463113764525660</v>
      </c>
      <c r="G32" s="255">
        <v>392.67281099856327986756692254</v>
      </c>
      <c r="H32" s="243">
        <v>3.5385408662675179555858627800</v>
      </c>
      <c r="I32" s="255">
        <v>412.65073883134991073312032764</v>
      </c>
      <c r="J32" s="243">
        <v>5.5132529897031961345823564100</v>
      </c>
      <c r="K32" s="255">
        <v>281.70060534702112704125887886</v>
      </c>
      <c r="L32" s="243">
        <v>0.5527430012327065578636485300</v>
      </c>
      <c r="M32" s="540"/>
      <c r="N32" s="242">
        <v>14.705913685013100293974051580</v>
      </c>
      <c r="O32" s="156"/>
      <c r="P32" s="156">
        <v>6.5695431909986452571089680600</v>
      </c>
      <c r="Q32" s="156"/>
      <c r="R32" s="156">
        <v>8.511311990161421501360730830</v>
      </c>
      <c r="S32" s="156"/>
      <c r="T32" s="243">
        <v>4.1641303184903593893155112100</v>
      </c>
    </row>
    <row r="33" ht="20.1" customHeight="1">
      <c r="B33" s="1094" t="s">
        <v>74</v>
      </c>
      <c r="C33" s="1094"/>
      <c r="D33" s="345"/>
      <c r="E33" s="256">
        <v>236.67795385608260729267505647</v>
      </c>
      <c r="F33" s="245">
        <v>6.8527179848306794723441415600</v>
      </c>
      <c r="G33" s="256">
        <v>267.29191610196837689577282995</v>
      </c>
      <c r="H33" s="245">
        <v>3.3936575946450006258481906900</v>
      </c>
      <c r="I33" s="256">
        <v>275.54264550724952956916149102</v>
      </c>
      <c r="J33" s="245">
        <v>3.7984012710279498301836284300</v>
      </c>
      <c r="K33" s="256">
        <v>188.35606712726597620973623838</v>
      </c>
      <c r="L33" s="245">
        <v>2.1938703590200785931822345300</v>
      </c>
      <c r="M33" s="540"/>
      <c r="N33" s="244">
        <v>6.8527179848100538223681728900</v>
      </c>
      <c r="O33" s="250"/>
      <c r="P33" s="250">
        <v>3.3936575946529889100200265400</v>
      </c>
      <c r="Q33" s="250"/>
      <c r="R33" s="250">
        <v>3.7984012710346922165627818100</v>
      </c>
      <c r="S33" s="250"/>
      <c r="T33" s="245">
        <v>2.1938703590252804820102795100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1090" t="s">
        <v>30</v>
      </c>
      <c r="F35" s="1090"/>
      <c r="G35" s="1090"/>
      <c r="H35" s="1090"/>
      <c r="I35" s="1090"/>
      <c r="J35" s="1090"/>
      <c r="K35" s="1090"/>
      <c r="L35" s="1090"/>
      <c r="M35" s="113"/>
      <c r="N35" s="1095" t="s">
        <v>56</v>
      </c>
      <c r="O35" s="1095"/>
      <c r="P35" s="1095"/>
      <c r="Q35" s="1095"/>
      <c r="R35" s="1095"/>
      <c r="S35" s="1095"/>
      <c r="T35" s="1095"/>
      <c r="U35" s="123"/>
    </row>
    <row r="36" ht="24.95" customHeight="1">
      <c r="B36" s="9"/>
      <c r="C36" s="155"/>
      <c r="D36" s="252"/>
      <c r="E36" s="257" t="s">
        <v>31</v>
      </c>
      <c r="F36" s="257"/>
      <c r="G36" s="257"/>
      <c r="H36" s="257" t="s">
        <v>32</v>
      </c>
      <c r="I36" s="257"/>
      <c r="J36" s="257"/>
      <c r="K36" s="257" t="s">
        <v>36</v>
      </c>
      <c r="L36" s="257"/>
      <c r="M36" s="113"/>
      <c r="N36" s="1096"/>
      <c r="O36" s="1096"/>
      <c r="P36" s="1096"/>
      <c r="Q36" s="1096"/>
      <c r="R36" s="1096"/>
      <c r="S36" s="1096"/>
      <c r="T36" s="1096"/>
      <c r="U36" s="123"/>
    </row>
    <row r="37" ht="24.95" customHeight="1">
      <c r="B37" s="9"/>
      <c r="C37" s="155"/>
      <c r="D37" s="252"/>
      <c r="E37" s="257" t="s">
        <v>33</v>
      </c>
      <c r="F37" s="257"/>
      <c r="G37" s="257" t="s">
        <v>34</v>
      </c>
      <c r="H37" s="257" t="s">
        <v>33</v>
      </c>
      <c r="I37" s="257"/>
      <c r="J37" s="257" t="s">
        <v>34</v>
      </c>
      <c r="K37" s="257" t="s">
        <v>34</v>
      </c>
      <c r="L37" s="257"/>
      <c r="M37" s="113"/>
      <c r="N37" s="1096"/>
      <c r="O37" s="1096"/>
      <c r="P37" s="1096"/>
      <c r="Q37" s="1096"/>
      <c r="R37" s="1096"/>
      <c r="S37" s="1096"/>
      <c r="T37" s="1096"/>
      <c r="U37" s="123"/>
    </row>
    <row r="38" ht="18.95" customHeight="1">
      <c r="B38" s="1097" t="s">
        <v>214</v>
      </c>
      <c r="C38" s="1097"/>
      <c r="D38" s="4"/>
      <c r="E38" s="1098">
        <v>573</v>
      </c>
      <c r="F38" s="1098"/>
      <c r="G38" s="258">
        <v>65265</v>
      </c>
      <c r="H38" s="1099">
        <v>340</v>
      </c>
      <c r="I38" s="1099"/>
      <c r="J38" s="258">
        <v>53957</v>
      </c>
      <c r="K38" s="1100">
        <v>82.67371485482264613498812534</v>
      </c>
      <c r="L38" s="1100"/>
      <c r="N38" s="692"/>
      <c r="O38" s="1096"/>
      <c r="P38" s="1096"/>
      <c r="Q38" s="1101"/>
      <c r="R38" s="1101"/>
      <c r="S38" s="1096"/>
      <c r="T38" s="1096"/>
      <c r="U38" s="123"/>
    </row>
    <row r="39" ht="18.95" customHeight="1">
      <c r="B39" s="1093" t="s">
        <v>215</v>
      </c>
      <c r="C39" s="1093"/>
      <c r="D39" s="4"/>
      <c r="E39" s="1102">
        <v>80</v>
      </c>
      <c r="F39" s="1102"/>
      <c r="G39" s="4">
        <v>12887</v>
      </c>
      <c r="H39" s="1103">
        <v>59</v>
      </c>
      <c r="I39" s="1103"/>
      <c r="J39" s="4">
        <v>11665</v>
      </c>
      <c r="K39" s="1104">
        <v>90.51757585163342903701404516</v>
      </c>
      <c r="L39" s="1104"/>
      <c r="N39" s="693"/>
      <c r="O39" s="1105"/>
      <c r="P39" s="1105"/>
      <c r="Q39" s="1105"/>
      <c r="R39" s="1105"/>
      <c r="S39" s="1105"/>
      <c r="T39" s="1105"/>
      <c r="U39" s="123"/>
    </row>
    <row r="40" ht="18.95" customHeight="1">
      <c r="B40" s="1092" t="s">
        <v>216</v>
      </c>
      <c r="C40" s="1092"/>
      <c r="D40" s="4"/>
      <c r="E40" s="1106">
        <v>225</v>
      </c>
      <c r="F40" s="1106"/>
      <c r="G40" s="120">
        <v>20994</v>
      </c>
      <c r="H40" s="1107">
        <v>114</v>
      </c>
      <c r="I40" s="1107"/>
      <c r="J40" s="120">
        <v>15789</v>
      </c>
      <c r="K40" s="1108">
        <v>75.207202057730780222920834520</v>
      </c>
      <c r="L40" s="1108"/>
      <c r="N40" s="1109"/>
      <c r="O40" s="1109"/>
      <c r="P40" s="1109"/>
      <c r="Q40" s="1109"/>
      <c r="R40" s="1109"/>
      <c r="S40" s="1109"/>
      <c r="T40" s="1109"/>
      <c r="U40" s="123"/>
    </row>
    <row r="41" ht="18.95" customHeight="1">
      <c r="B41" s="1093" t="s">
        <v>217</v>
      </c>
      <c r="C41" s="1093"/>
      <c r="D41" s="4"/>
      <c r="E41" s="1102">
        <v>51</v>
      </c>
      <c r="F41" s="1102"/>
      <c r="G41" s="4">
        <v>8683</v>
      </c>
      <c r="H41" s="1103">
        <v>45</v>
      </c>
      <c r="I41" s="1103"/>
      <c r="J41" s="4">
        <v>8304</v>
      </c>
      <c r="K41" s="1104">
        <v>95.63514914200161234596337671</v>
      </c>
      <c r="L41" s="1104"/>
      <c r="N41" s="1109"/>
      <c r="O41" s="1109"/>
      <c r="P41" s="1109"/>
      <c r="Q41" s="1109"/>
      <c r="R41" s="1109"/>
      <c r="S41" s="1109"/>
      <c r="T41" s="1109"/>
      <c r="U41" s="123"/>
    </row>
    <row r="42" ht="18.95" customHeight="1">
      <c r="B42" s="1094" t="s">
        <v>74</v>
      </c>
      <c r="C42" s="1094"/>
      <c r="D42" s="4"/>
      <c r="E42" s="1110">
        <v>8</v>
      </c>
      <c r="F42" s="1110"/>
      <c r="G42" s="260">
        <v>1033</v>
      </c>
      <c r="H42" s="1111">
        <v>8</v>
      </c>
      <c r="I42" s="1111"/>
      <c r="J42" s="260">
        <v>1033</v>
      </c>
      <c r="K42" s="1112">
        <v>100</v>
      </c>
      <c r="L42" s="1112"/>
      <c r="N42" s="1109"/>
      <c r="O42" s="1109"/>
      <c r="P42" s="1109"/>
      <c r="Q42" s="1109"/>
      <c r="R42" s="1109"/>
      <c r="S42" s="1109"/>
      <c r="T42" s="1109"/>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1034" t="s">
        <v>126</v>
      </c>
      <c r="C44" s="1034"/>
      <c r="D44" s="1034"/>
      <c r="E44" s="1034"/>
      <c r="F44" s="1034"/>
      <c r="G44" s="1034"/>
      <c r="H44" s="1034"/>
      <c r="I44" s="1034"/>
      <c r="J44" s="1034"/>
      <c r="K44" s="1034"/>
      <c r="L44" s="1034"/>
      <c r="M44" s="1034"/>
      <c r="N44" s="1034"/>
      <c r="O44" s="1034"/>
      <c r="P44" s="1034"/>
      <c r="Q44" s="1034"/>
      <c r="R44" s="1034"/>
      <c r="S44" s="1034"/>
      <c r="T44" s="1034"/>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169</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2023</v>
      </c>
      <c r="D19" s="1002"/>
      <c r="E19" s="1002">
        <v>2024</v>
      </c>
      <c r="F19" s="1002"/>
      <c r="G19" s="1002"/>
      <c r="H19" s="1002"/>
      <c r="I19" s="1002"/>
      <c r="J19" s="1002"/>
      <c r="K19" s="1002"/>
      <c r="L19" s="1002"/>
      <c r="M19" s="1002"/>
      <c r="N19" s="1002"/>
      <c r="O19" s="1002"/>
      <c r="P19" s="1002"/>
      <c r="Q19" s="1002">
        <v>2025</v>
      </c>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1005" t="s">
        <v>222</v>
      </c>
      <c r="E20" s="269" t="s">
        <v>224</v>
      </c>
      <c r="F20" s="269" t="s">
        <v>225</v>
      </c>
      <c r="G20" s="269" t="s">
        <v>226</v>
      </c>
      <c r="H20" s="269" t="s">
        <v>228</v>
      </c>
      <c r="I20" s="269" t="s">
        <v>229</v>
      </c>
      <c r="J20" s="269" t="s">
        <v>230</v>
      </c>
      <c r="K20" s="269" t="s">
        <v>233</v>
      </c>
      <c r="L20" s="269" t="s">
        <v>234</v>
      </c>
      <c r="M20" s="269" t="s">
        <v>235</v>
      </c>
      <c r="N20" s="269" t="s">
        <v>236</v>
      </c>
      <c r="O20" s="269" t="s">
        <v>218</v>
      </c>
      <c r="P20" s="1005" t="s">
        <v>222</v>
      </c>
      <c r="Q20" s="269" t="s">
        <v>224</v>
      </c>
      <c r="R20" s="269" t="s">
        <v>225</v>
      </c>
      <c r="S20" s="269" t="s">
        <v>226</v>
      </c>
      <c r="T20" s="1005" t="s">
        <v>228</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74.343434343434343434343434340</v>
      </c>
      <c r="D21" s="1006">
        <v>84.13978494623655913978494624</v>
      </c>
      <c r="E21" s="574">
        <v>89.29618768328445747800586510</v>
      </c>
      <c r="F21" s="574">
        <v>92.92058516196447230929989551</v>
      </c>
      <c r="G21" s="574">
        <v>92.69305962854349951124144673</v>
      </c>
      <c r="H21" s="574">
        <v>93.23232323232323232323232323</v>
      </c>
      <c r="I21" s="574">
        <v>84.82404692082111436950146628</v>
      </c>
      <c r="J21" s="574">
        <v>78.333333333333333333333333330</v>
      </c>
      <c r="K21" s="574">
        <v>73.704789833822091886608015640</v>
      </c>
      <c r="L21" s="574">
        <v>74.046920821114369501466275660</v>
      </c>
      <c r="M21" s="574">
        <v>66.287878787878787878787878790</v>
      </c>
      <c r="N21" s="574">
        <v>77.541544477028347996089931570</v>
      </c>
      <c r="O21" s="574">
        <v>88.78787878787878787878787879</v>
      </c>
      <c r="P21" s="1006">
        <v>87.82991202346041055718475073</v>
      </c>
      <c r="Q21" s="574">
        <v>90.64027370478983382209188661</v>
      </c>
      <c r="R21" s="574">
        <v>92.69480519480519480519480519</v>
      </c>
      <c r="S21" s="574">
        <v>91.32453567937438905180840665</v>
      </c>
      <c r="T21" s="1006">
        <v>93.03030303030303030303030303</v>
      </c>
      <c r="U21" s="113"/>
      <c r="V21" s="573">
        <v>91.75505050505050505050505051</v>
      </c>
      <c r="W21" s="574">
        <v>92.01101928374655647382920110</v>
      </c>
      <c r="X21" s="575">
        <v>91.89393939393939393939393939</v>
      </c>
      <c r="Y21" s="113"/>
      <c r="Z21" s="573">
        <v>90.83248212461695607763023493</v>
      </c>
      <c r="AA21" s="574">
        <v>92.94612794612794612794612795</v>
      </c>
      <c r="AB21" s="575">
        <v>92.33060946544092611508341845</v>
      </c>
      <c r="AC21" s="113"/>
      <c r="AD21" s="573">
        <v>84.52262349522623495226234952</v>
      </c>
      <c r="AE21" s="574">
        <v>82.50124192747143566815697963</v>
      </c>
      <c r="AF21" s="575">
        <v>83.19427148194271481942714819</v>
      </c>
      <c r="AG21" s="113"/>
    </row>
    <row r="22" ht="21.95" customHeight="1">
      <c r="B22" s="38" t="s">
        <v>35</v>
      </c>
      <c r="C22" s="271">
        <v>77.521781219748305905130687320</v>
      </c>
      <c r="D22" s="1007">
        <v>78.552915092277425600349748620</v>
      </c>
      <c r="E22" s="92">
        <v>82.00980545233113699528463917</v>
      </c>
      <c r="F22" s="92">
        <v>87.62893480655603239524270502</v>
      </c>
      <c r="G22" s="92">
        <v>88.01798707179214939262405146</v>
      </c>
      <c r="H22" s="92">
        <v>85.08228460793804453049370765</v>
      </c>
      <c r="I22" s="92">
        <v>82.40327264778440495893576492</v>
      </c>
      <c r="J22" s="92">
        <v>75.821232655695385608260729270</v>
      </c>
      <c r="K22" s="92">
        <v>71.829622458857696030977734750</v>
      </c>
      <c r="L22" s="92">
        <v>65.830809105955094775630015930</v>
      </c>
      <c r="M22" s="92">
        <v>60.096805421103581800580832530</v>
      </c>
      <c r="N22" s="92">
        <v>72.304281297817193891890203920</v>
      </c>
      <c r="O22" s="92">
        <v>79.099709583736689254598257500</v>
      </c>
      <c r="P22" s="1007">
        <v>81.72563470005933235486993723</v>
      </c>
      <c r="Q22" s="92">
        <v>87.10301970458732785810198920</v>
      </c>
      <c r="R22" s="92">
        <v>92.00663808601853132346839994</v>
      </c>
      <c r="S22" s="92">
        <v>88.16475658120725728382724916</v>
      </c>
      <c r="T22" s="1007">
        <v>88.74152952565343659244917715</v>
      </c>
      <c r="U22" s="113"/>
      <c r="V22" s="271">
        <v>83.28412391093901258470474347</v>
      </c>
      <c r="W22" s="92">
        <v>85.64116900891276767505646983</v>
      </c>
      <c r="X22" s="272">
        <v>88.93110680864795095191997419</v>
      </c>
      <c r="Y22" s="113"/>
      <c r="Z22" s="271">
        <v>82.62832156803028160588228896</v>
      </c>
      <c r="AA22" s="92">
        <v>86.90602597805917836126912995</v>
      </c>
      <c r="AB22" s="272">
        <v>89.56785624938816798459814873</v>
      </c>
      <c r="AC22" s="113"/>
      <c r="AD22" s="271">
        <v>76.124061017614288706756430690</v>
      </c>
      <c r="AE22" s="92">
        <v>74.231402910381590210717553610</v>
      </c>
      <c r="AF22" s="272">
        <v>78.682650611995915606890424220</v>
      </c>
      <c r="AG22" s="113"/>
    </row>
    <row r="23" ht="21.95" customHeight="1">
      <c r="B23" s="40" t="s">
        <v>97</v>
      </c>
      <c r="C23" s="576">
        <v>95.90005953648293069104080002</v>
      </c>
      <c r="D23" s="1008">
        <v>107.11223746104388864912452583</v>
      </c>
      <c r="E23" s="113">
        <v>108.88476955993084577928047706</v>
      </c>
      <c r="F23" s="113">
        <v>106.03870213308346408031013391</v>
      </c>
      <c r="G23" s="113">
        <v>105.31149678863917305561478073</v>
      </c>
      <c r="H23" s="113">
        <v>109.57900773584362673789871025</v>
      </c>
      <c r="I23" s="113">
        <v>102.93771617951115940957802698</v>
      </c>
      <c r="J23" s="113">
        <v>103.31318891772789131122473716</v>
      </c>
      <c r="K23" s="113">
        <v>102.61057668233609177473840874</v>
      </c>
      <c r="L23" s="113">
        <v>112.48064823551672040338825554</v>
      </c>
      <c r="M23" s="113">
        <v>110.30183438769792050041917463</v>
      </c>
      <c r="N23" s="113">
        <v>107.24336524092896561491770033</v>
      </c>
      <c r="O23" s="113">
        <v>112.24804649115326139812510816</v>
      </c>
      <c r="P23" s="1008">
        <v>107.46923207847897120718999049</v>
      </c>
      <c r="Q23" s="113">
        <v>104.06100042476831351755367924</v>
      </c>
      <c r="R23" s="113">
        <v>100.74795375977324002621399857</v>
      </c>
      <c r="S23" s="113">
        <v>103.58394807710292174764962255</v>
      </c>
      <c r="T23" s="1008">
        <v>104.83288211001702376648345679</v>
      </c>
      <c r="U23" s="113"/>
      <c r="V23" s="576">
        <v>110.17111809114180185134971938</v>
      </c>
      <c r="W23" s="113">
        <v>107.43783667196858208465603417</v>
      </c>
      <c r="X23" s="577">
        <v>103.33160430772112685426503933</v>
      </c>
      <c r="Y23" s="113"/>
      <c r="Z23" s="576">
        <v>109.92899335352617636948178234</v>
      </c>
      <c r="AA23" s="113">
        <v>106.95015322591097386551840631</v>
      </c>
      <c r="AB23" s="577">
        <v>103.08453649749983084368887911</v>
      </c>
      <c r="AC23" s="113"/>
      <c r="AD23" s="576">
        <v>111.03273047359424819559976160</v>
      </c>
      <c r="AE23" s="113">
        <v>111.14062067108368110656342829</v>
      </c>
      <c r="AF23" s="577">
        <v>105.73394621921219475684730532</v>
      </c>
      <c r="AG23" s="113"/>
    </row>
    <row r="24" ht="21.95" customHeight="1">
      <c r="A24" s="23"/>
      <c r="B24" s="39" t="s">
        <v>23</v>
      </c>
      <c r="C24" s="273" t="s">
        <v>305</v>
      </c>
      <c r="D24" s="1009" t="s">
        <v>308</v>
      </c>
      <c r="E24" s="274" t="s">
        <v>308</v>
      </c>
      <c r="F24" s="274" t="s">
        <v>308</v>
      </c>
      <c r="G24" s="274" t="s">
        <v>308</v>
      </c>
      <c r="H24" s="274" t="s">
        <v>309</v>
      </c>
      <c r="I24" s="274" t="s">
        <v>311</v>
      </c>
      <c r="J24" s="274" t="s">
        <v>306</v>
      </c>
      <c r="K24" s="274" t="s">
        <v>307</v>
      </c>
      <c r="L24" s="274" t="s">
        <v>306</v>
      </c>
      <c r="M24" s="274" t="s">
        <v>311</v>
      </c>
      <c r="N24" s="274" t="s">
        <v>306</v>
      </c>
      <c r="O24" s="274" t="s">
        <v>309</v>
      </c>
      <c r="P24" s="1009" t="s">
        <v>306</v>
      </c>
      <c r="Q24" s="274" t="s">
        <v>306</v>
      </c>
      <c r="R24" s="274" t="s">
        <v>311</v>
      </c>
      <c r="S24" s="274" t="s">
        <v>306</v>
      </c>
      <c r="T24" s="1009" t="s">
        <v>308</v>
      </c>
      <c r="U24" s="113"/>
      <c r="V24" s="273" t="s">
        <v>309</v>
      </c>
      <c r="W24" s="274" t="s">
        <v>308</v>
      </c>
      <c r="X24" s="275" t="s">
        <v>306</v>
      </c>
      <c r="Y24" s="113"/>
      <c r="Z24" s="273" t="s">
        <v>309</v>
      </c>
      <c r="AA24" s="274" t="s">
        <v>308</v>
      </c>
      <c r="AB24" s="275" t="s">
        <v>308</v>
      </c>
      <c r="AC24" s="113"/>
      <c r="AD24" s="273" t="s">
        <v>309</v>
      </c>
      <c r="AE24" s="274" t="s">
        <v>309</v>
      </c>
      <c r="AF24" s="275" t="s">
        <v>306</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-14.018691588738841820246284900</v>
      </c>
      <c r="D26" s="1006">
        <v>-2.5474101330623116050526380400</v>
      </c>
      <c r="E26" s="574">
        <v>-5.4103028734095475176222319200</v>
      </c>
      <c r="F26" s="574">
        <v>-1.0560406918010891251715855100</v>
      </c>
      <c r="G26" s="574">
        <v>1.1466666666699033600000001100</v>
      </c>
      <c r="H26" s="574">
        <v>7.0144927536380773787019554400</v>
      </c>
      <c r="I26" s="574">
        <v>9.772296015219008817948445420</v>
      </c>
      <c r="J26" s="574">
        <v>-8.845136644091452728483055340</v>
      </c>
      <c r="K26" s="574">
        <v>-10.557532621577147368109993510</v>
      </c>
      <c r="L26" s="574">
        <v>1.6096579476235562266962317700</v>
      </c>
      <c r="M26" s="574">
        <v>-1.9058295964741398379214960500</v>
      </c>
      <c r="N26" s="574">
        <v>-0.2201257861962799335469217300</v>
      </c>
      <c r="O26" s="574">
        <v>19.429347826142127687854467830</v>
      </c>
      <c r="P26" s="1006">
        <v>4.3857101365542146448923279400</v>
      </c>
      <c r="Q26" s="574">
        <v>1.5051997810441824556484006300</v>
      </c>
      <c r="R26" s="574">
        <v>-0.2429816458873724573168059900</v>
      </c>
      <c r="S26" s="574">
        <v>-1.4764039018783622459650259600</v>
      </c>
      <c r="T26" s="1006">
        <v>-0.2166847237021124999853212200</v>
      </c>
      <c r="U26" s="113"/>
      <c r="V26" s="573">
        <v>-1.6511029909803838177334511500</v>
      </c>
      <c r="W26" s="574">
        <v>0.2789696885757030014515007500</v>
      </c>
      <c r="X26" s="575">
        <v>-0.1272455089315015104521240300</v>
      </c>
      <c r="Y26" s="113"/>
      <c r="Z26" s="573">
        <v>-3.1493919041092967790358888300</v>
      </c>
      <c r="AA26" s="574">
        <v>2.3269713345811026556095583100</v>
      </c>
      <c r="AB26" s="575">
        <v>-0.662231439071906933634007200</v>
      </c>
      <c r="AC26" s="113"/>
      <c r="AD26" s="573">
        <v>-0.2913667303311654193693155100</v>
      </c>
      <c r="AE26" s="574">
        <v>-2.39152724340526136120996400</v>
      </c>
      <c r="AF26" s="575">
        <v>0.8400231781380110902781393600</v>
      </c>
      <c r="AG26" s="113"/>
    </row>
    <row r="27" ht="21.95" customHeight="1">
      <c r="B27" s="38" t="s">
        <v>35</v>
      </c>
      <c r="C27" s="271">
        <v>0.8860706336259238816484027800</v>
      </c>
      <c r="D27" s="1007">
        <v>3.659290394345927349435456400</v>
      </c>
      <c r="E27" s="92">
        <v>-3.7069629303529544783751337800</v>
      </c>
      <c r="F27" s="92">
        <v>2.3286895048439395227518633900</v>
      </c>
      <c r="G27" s="92">
        <v>4.1495769131617914146191341800</v>
      </c>
      <c r="H27" s="92">
        <v>9.252506836773615337005906830</v>
      </c>
      <c r="I27" s="92">
        <v>17.782538832375622595704900070</v>
      </c>
      <c r="J27" s="92">
        <v>8.486079689761111834972409620</v>
      </c>
      <c r="K27" s="92">
        <v>6.1565442126390606588479178600</v>
      </c>
      <c r="L27" s="92">
        <v>9.041535198920432658135539510</v>
      </c>
      <c r="M27" s="92">
        <v>2.7134348113916870809738080500</v>
      </c>
      <c r="N27" s="92">
        <v>8.449648711931800954538226190</v>
      </c>
      <c r="O27" s="92">
        <v>2.0354645355281165044995361200</v>
      </c>
      <c r="P27" s="1007">
        <v>4.038958457533210191584595200</v>
      </c>
      <c r="Q27" s="92">
        <v>6.2104942502878312709683047800</v>
      </c>
      <c r="R27" s="92">
        <v>4.9957280538446226461657900300</v>
      </c>
      <c r="S27" s="92">
        <v>0.1667494500726666001519377400</v>
      </c>
      <c r="T27" s="1007">
        <v>4.3008305837307887432238095300</v>
      </c>
      <c r="U27" s="113"/>
      <c r="V27" s="271">
        <v>3.0699284355077847551351373600</v>
      </c>
      <c r="W27" s="92">
        <v>2.8301253436182018991041890800</v>
      </c>
      <c r="X27" s="272">
        <v>3.8415377064809263591943399800</v>
      </c>
      <c r="Y27" s="113"/>
      <c r="Z27" s="271">
        <v>-2.5571356363777817213656370700</v>
      </c>
      <c r="AA27" s="92">
        <v>5.1770438136502489258322410400</v>
      </c>
      <c r="AB27" s="272">
        <v>3.0628834322247567231475645300</v>
      </c>
      <c r="AC27" s="113"/>
      <c r="AD27" s="271">
        <v>2.6026696513052189586435582500</v>
      </c>
      <c r="AE27" s="92">
        <v>-2.4862810547913679009310415500</v>
      </c>
      <c r="AF27" s="272">
        <v>5.9964483049966511991797106300</v>
      </c>
      <c r="AG27" s="113"/>
    </row>
    <row r="28" ht="21.95" customHeight="1">
      <c r="B28" s="40" t="s">
        <v>97</v>
      </c>
      <c r="C28" s="576">
        <v>-14.773855427964521571568224040</v>
      </c>
      <c r="D28" s="1008">
        <v>-5.9875969667130121878236067600</v>
      </c>
      <c r="E28" s="113">
        <v>-1.7689128880516408177466500900</v>
      </c>
      <c r="F28" s="113">
        <v>-3.3077040399014862634932193300</v>
      </c>
      <c r="G28" s="113">
        <v>-2.8832668701611727014212854200</v>
      </c>
      <c r="H28" s="113">
        <v>-2.0484784724297520081551411600</v>
      </c>
      <c r="I28" s="113">
        <v>-6.8008746428651369166940682400</v>
      </c>
      <c r="J28" s="113">
        <v>-15.975520899520004219525628770</v>
      </c>
      <c r="K28" s="113">
        <v>-15.744744667672389915657370610</v>
      </c>
      <c r="L28" s="113">
        <v>-6.8156388643788712772714061200</v>
      </c>
      <c r="M28" s="113">
        <v>-4.497234871275950686080618300</v>
      </c>
      <c r="N28" s="113">
        <v>-7.994285459688310239326152420</v>
      </c>
      <c r="O28" s="113">
        <v>17.046899692936210336974182360</v>
      </c>
      <c r="P28" s="1008">
        <v>0.3332902252265567648405698100</v>
      </c>
      <c r="Q28" s="113">
        <v>-4.4301596583515023624068661400</v>
      </c>
      <c r="R28" s="113">
        <v>-4.9894503298293877501283317600</v>
      </c>
      <c r="S28" s="113">
        <v>-1.6404179640186121637656746700</v>
      </c>
      <c r="T28" s="1008">
        <v>-4.3312361773033227440349906200</v>
      </c>
      <c r="U28" s="113"/>
      <c r="V28" s="576">
        <v>-4.5804159351212631594899956100</v>
      </c>
      <c r="W28" s="113">
        <v>-2.4809418897530656390170453100</v>
      </c>
      <c r="X28" s="577">
        <v>-3.8219611372247802008823388100</v>
      </c>
      <c r="Y28" s="113"/>
      <c r="Z28" s="576">
        <v>-0.6077984998145192481115138200</v>
      </c>
      <c r="AA28" s="113">
        <v>-2.7097856868478125070012935300</v>
      </c>
      <c r="AB28" s="577">
        <v>-3.6144097149961231099266204700</v>
      </c>
      <c r="AC28" s="113"/>
      <c r="AD28" s="576">
        <v>-2.8206248350301105163059804800</v>
      </c>
      <c r="AE28" s="113">
        <v>0.0971697237593683365608139600</v>
      </c>
      <c r="AF28" s="577">
        <v>-4.8647150063052580018341702900</v>
      </c>
      <c r="AG28" s="113"/>
    </row>
    <row r="29" ht="21.95" customHeight="1">
      <c r="A29" s="23"/>
      <c r="B29" s="39" t="s">
        <v>23</v>
      </c>
      <c r="C29" s="273" t="s">
        <v>312</v>
      </c>
      <c r="D29" s="1009" t="s">
        <v>307</v>
      </c>
      <c r="E29" s="274" t="s">
        <v>305</v>
      </c>
      <c r="F29" s="274" t="s">
        <v>313</v>
      </c>
      <c r="G29" s="274" t="s">
        <v>307</v>
      </c>
      <c r="H29" s="274" t="s">
        <v>305</v>
      </c>
      <c r="I29" s="274" t="s">
        <v>305</v>
      </c>
      <c r="J29" s="274" t="s">
        <v>310</v>
      </c>
      <c r="K29" s="274" t="s">
        <v>313</v>
      </c>
      <c r="L29" s="274" t="s">
        <v>310</v>
      </c>
      <c r="M29" s="274" t="s">
        <v>310</v>
      </c>
      <c r="N29" s="274" t="s">
        <v>313</v>
      </c>
      <c r="O29" s="274" t="s">
        <v>308</v>
      </c>
      <c r="P29" s="1009" t="s">
        <v>307</v>
      </c>
      <c r="Q29" s="274" t="s">
        <v>310</v>
      </c>
      <c r="R29" s="274" t="s">
        <v>313</v>
      </c>
      <c r="S29" s="274" t="s">
        <v>305</v>
      </c>
      <c r="T29" s="1009" t="s">
        <v>310</v>
      </c>
      <c r="U29" s="113"/>
      <c r="V29" s="273" t="s">
        <v>310</v>
      </c>
      <c r="W29" s="274" t="s">
        <v>310</v>
      </c>
      <c r="X29" s="275" t="s">
        <v>310</v>
      </c>
      <c r="Y29" s="113"/>
      <c r="Z29" s="273" t="s">
        <v>307</v>
      </c>
      <c r="AA29" s="274" t="s">
        <v>307</v>
      </c>
      <c r="AB29" s="275" t="s">
        <v>310</v>
      </c>
      <c r="AC29" s="113"/>
      <c r="AD29" s="273" t="s">
        <v>310</v>
      </c>
      <c r="AE29" s="274" t="s">
        <v>307</v>
      </c>
      <c r="AF29" s="275" t="s">
        <v>310</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2023</v>
      </c>
      <c r="D31" s="1002"/>
      <c r="E31" s="1002">
        <v>2024</v>
      </c>
      <c r="F31" s="1002"/>
      <c r="G31" s="1002"/>
      <c r="H31" s="1002"/>
      <c r="I31" s="1002"/>
      <c r="J31" s="1002"/>
      <c r="K31" s="1002"/>
      <c r="L31" s="1002"/>
      <c r="M31" s="1002"/>
      <c r="N31" s="1002"/>
      <c r="O31" s="1002"/>
      <c r="P31" s="1002"/>
      <c r="Q31" s="1002">
        <v>2025</v>
      </c>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1005" t="s">
        <v>222</v>
      </c>
      <c r="E32" s="269" t="s">
        <v>224</v>
      </c>
      <c r="F32" s="269" t="s">
        <v>225</v>
      </c>
      <c r="G32" s="269" t="s">
        <v>226</v>
      </c>
      <c r="H32" s="269" t="s">
        <v>228</v>
      </c>
      <c r="I32" s="269" t="s">
        <v>229</v>
      </c>
      <c r="J32" s="269" t="s">
        <v>230</v>
      </c>
      <c r="K32" s="269" t="s">
        <v>233</v>
      </c>
      <c r="L32" s="269" t="s">
        <v>234</v>
      </c>
      <c r="M32" s="269" t="s">
        <v>235</v>
      </c>
      <c r="N32" s="269" t="s">
        <v>236</v>
      </c>
      <c r="O32" s="269" t="s">
        <v>218</v>
      </c>
      <c r="P32" s="1005" t="s">
        <v>222</v>
      </c>
      <c r="Q32" s="269" t="s">
        <v>224</v>
      </c>
      <c r="R32" s="269" t="s">
        <v>225</v>
      </c>
      <c r="S32" s="269" t="s">
        <v>226</v>
      </c>
      <c r="T32" s="1005" t="s">
        <v>228</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228.61922554347826086956521739</v>
      </c>
      <c r="D33" s="1010">
        <v>331.89427824571594539645657857</v>
      </c>
      <c r="E33" s="579">
        <v>287.56403940886699507389162562</v>
      </c>
      <c r="F33" s="579">
        <v>351.08152937868990722518976666</v>
      </c>
      <c r="G33" s="579">
        <v>312.21697864487213287635117321</v>
      </c>
      <c r="H33" s="579">
        <v>258.44718309859154929577464789</v>
      </c>
      <c r="I33" s="579">
        <v>223.86142322097378277153558052</v>
      </c>
      <c r="J33" s="579">
        <v>171.17375886524822695035460993</v>
      </c>
      <c r="K33" s="579">
        <v>179.42672413793103448275862069</v>
      </c>
      <c r="L33" s="579">
        <v>158.6950495049504950495049505</v>
      </c>
      <c r="M33" s="579">
        <v>160.40228571428571428571428571</v>
      </c>
      <c r="N33" s="579">
        <v>192.31705011030570438071225969</v>
      </c>
      <c r="O33" s="579">
        <v>197.74146757679180887372013652</v>
      </c>
      <c r="P33" s="1010">
        <v>278.76683361157484696716750139</v>
      </c>
      <c r="Q33" s="579">
        <v>280.59288217848476678349959558</v>
      </c>
      <c r="R33" s="579">
        <v>341.18622300058377116170461179</v>
      </c>
      <c r="S33" s="579">
        <v>296.99331014182499331014182499</v>
      </c>
      <c r="T33" s="1010">
        <v>266.56623235613463626492942454</v>
      </c>
      <c r="U33" s="113"/>
      <c r="V33" s="578">
        <v>301.32826475849731663685152057</v>
      </c>
      <c r="W33" s="579">
        <v>301.98571039738704409363091998</v>
      </c>
      <c r="X33" s="580">
        <v>295.51504534212695795548227535</v>
      </c>
      <c r="Y33" s="113"/>
      <c r="Z33" s="578">
        <v>308.60566020054352919126604817</v>
      </c>
      <c r="AA33" s="579">
        <v>306.75810541568556420938235827</v>
      </c>
      <c r="AB33" s="580">
        <v>300.6174979256937402046648843</v>
      </c>
      <c r="AC33" s="113"/>
      <c r="AD33" s="578">
        <v>264.9490214375168823514966972</v>
      </c>
      <c r="AE33" s="579">
        <v>247.54056902002107481559536354</v>
      </c>
      <c r="AF33" s="580">
        <v>233.51403338073497492702642018</v>
      </c>
      <c r="AG33" s="113"/>
    </row>
    <row r="34" ht="21.95" customHeight="1">
      <c r="B34" s="38" t="s">
        <v>35</v>
      </c>
      <c r="C34" s="276">
        <v>208.16136863136863136863136864</v>
      </c>
      <c r="D34" s="1011">
        <v>318.8803689127410057642615782</v>
      </c>
      <c r="E34" s="94">
        <v>290.93106122915238748000913867</v>
      </c>
      <c r="F34" s="94">
        <v>351.09296445849681916879356977</v>
      </c>
      <c r="G34" s="94">
        <v>306.62572766621727098559568581</v>
      </c>
      <c r="H34" s="94">
        <v>260.33531763188834528008495466</v>
      </c>
      <c r="I34" s="94">
        <v>226.39446339245111414279217827</v>
      </c>
      <c r="J34" s="94">
        <v>182.55450312805890113631527428</v>
      </c>
      <c r="K34" s="94">
        <v>176.53903921398139292235457787</v>
      </c>
      <c r="L34" s="94">
        <v>155.84656705089891371377069399</v>
      </c>
      <c r="M34" s="94">
        <v>161.98218213058419243986254295</v>
      </c>
      <c r="N34" s="94">
        <v>216.41734819037747257493305691</v>
      </c>
      <c r="O34" s="94">
        <v>196.79732713254191653408395546</v>
      </c>
      <c r="P34" s="1011">
        <v>283.66124221466508731038172024</v>
      </c>
      <c r="Q34" s="94">
        <v>279.67381493564693650736743984</v>
      </c>
      <c r="R34" s="94">
        <v>356.70795393055764316849541562</v>
      </c>
      <c r="S34" s="94">
        <v>301.25039280274855665356143521</v>
      </c>
      <c r="T34" s="1011">
        <v>266.70483946038325879058943312</v>
      </c>
      <c r="U34" s="113"/>
      <c r="V34" s="276">
        <v>308.74952963511851141525973711</v>
      </c>
      <c r="W34" s="94">
        <v>301.86262093967413356919627867</v>
      </c>
      <c r="X34" s="277">
        <v>300.56065385208501528497174321</v>
      </c>
      <c r="Y34" s="113"/>
      <c r="Z34" s="276">
        <v>316.44259747781902430034489114</v>
      </c>
      <c r="AA34" s="94">
        <v>305.45572428913301440389807068</v>
      </c>
      <c r="AB34" s="277">
        <v>307.63563743229786510577320088</v>
      </c>
      <c r="AC34" s="113"/>
      <c r="AD34" s="276">
        <v>263.1334713959288311760689953</v>
      </c>
      <c r="AE34" s="94">
        <v>248.29449911219945537075896744</v>
      </c>
      <c r="AF34" s="277">
        <v>239.38703851767458008757234494</v>
      </c>
      <c r="AG34" s="113"/>
    </row>
    <row r="35" ht="21.95" customHeight="1">
      <c r="B35" s="40" t="s">
        <v>98</v>
      </c>
      <c r="C35" s="576">
        <v>109.82788355331379457207540953</v>
      </c>
      <c r="D35" s="1008">
        <v>104.08112590229057603390952281</v>
      </c>
      <c r="E35" s="113">
        <v>98.84267365398966013427742065</v>
      </c>
      <c r="F35" s="113">
        <v>99.99674300513890120185601459</v>
      </c>
      <c r="G35" s="113">
        <v>101.82347744307969505460128750</v>
      </c>
      <c r="H35" s="113">
        <v>99.27472977908507581464102845</v>
      </c>
      <c r="I35" s="113">
        <v>98.88113864024373847366527997</v>
      </c>
      <c r="J35" s="113">
        <v>93.76583756202069090205137525</v>
      </c>
      <c r="K35" s="113">
        <v>101.63572031250866445126059555</v>
      </c>
      <c r="L35" s="113">
        <v>101.82774796259719428824054790</v>
      </c>
      <c r="M35" s="113">
        <v>99.02464802268160825743914558</v>
      </c>
      <c r="N35" s="113">
        <v>88.86397126588424098537085153</v>
      </c>
      <c r="O35" s="113">
        <v>100.47975267654734791052060404</v>
      </c>
      <c r="P35" s="1008">
        <v>98.27455856679192348888652249</v>
      </c>
      <c r="Q35" s="113">
        <v>100.32862112711424156364483645</v>
      </c>
      <c r="R35" s="113">
        <v>95.64861653378323911334766024</v>
      </c>
      <c r="S35" s="113">
        <v>98.58686237011377866198379044</v>
      </c>
      <c r="T35" s="1008">
        <v>99.94802977533298793251229615</v>
      </c>
      <c r="U35" s="113"/>
      <c r="V35" s="576">
        <v>97.59634779512907752160060760</v>
      </c>
      <c r="W35" s="113">
        <v>100.04077664776906326942535397</v>
      </c>
      <c r="X35" s="577">
        <v>98.32126778894489396983138503</v>
      </c>
      <c r="Y35" s="113"/>
      <c r="Z35" s="576">
        <v>97.52342531008131091140600917</v>
      </c>
      <c r="AA35" s="113">
        <v>100.42637312809136275870549034</v>
      </c>
      <c r="AB35" s="577">
        <v>97.71868449143811877301390048</v>
      </c>
      <c r="AC35" s="113"/>
      <c r="AD35" s="576">
        <v>100.68997305131329303270102422</v>
      </c>
      <c r="AE35" s="113">
        <v>99.69635650613498401175287878</v>
      </c>
      <c r="AF35" s="577">
        <v>97.54664865176867882747267623</v>
      </c>
      <c r="AG35" s="113"/>
    </row>
    <row r="36" ht="21.95" customHeight="1">
      <c r="A36" s="23"/>
      <c r="B36" s="39" t="s">
        <v>23</v>
      </c>
      <c r="C36" s="273" t="s">
        <v>306</v>
      </c>
      <c r="D36" s="1009" t="s">
        <v>306</v>
      </c>
      <c r="E36" s="274" t="s">
        <v>305</v>
      </c>
      <c r="F36" s="274" t="s">
        <v>310</v>
      </c>
      <c r="G36" s="274" t="s">
        <v>307</v>
      </c>
      <c r="H36" s="274" t="s">
        <v>307</v>
      </c>
      <c r="I36" s="274" t="s">
        <v>305</v>
      </c>
      <c r="J36" s="274" t="s">
        <v>310</v>
      </c>
      <c r="K36" s="274" t="s">
        <v>311</v>
      </c>
      <c r="L36" s="274" t="s">
        <v>311</v>
      </c>
      <c r="M36" s="274" t="s">
        <v>305</v>
      </c>
      <c r="N36" s="274" t="s">
        <v>310</v>
      </c>
      <c r="O36" s="274" t="s">
        <v>305</v>
      </c>
      <c r="P36" s="1009" t="s">
        <v>305</v>
      </c>
      <c r="Q36" s="274" t="s">
        <v>307</v>
      </c>
      <c r="R36" s="274" t="s">
        <v>305</v>
      </c>
      <c r="S36" s="274" t="s">
        <v>305</v>
      </c>
      <c r="T36" s="1009" t="s">
        <v>311</v>
      </c>
      <c r="U36" s="113"/>
      <c r="V36" s="273" t="s">
        <v>305</v>
      </c>
      <c r="W36" s="274" t="s">
        <v>310</v>
      </c>
      <c r="X36" s="275" t="s">
        <v>305</v>
      </c>
      <c r="Y36" s="113"/>
      <c r="Z36" s="273" t="s">
        <v>305</v>
      </c>
      <c r="AA36" s="274" t="s">
        <v>305</v>
      </c>
      <c r="AB36" s="275" t="s">
        <v>305</v>
      </c>
      <c r="AC36" s="113"/>
      <c r="AD36" s="273" t="s">
        <v>311</v>
      </c>
      <c r="AE36" s="274" t="s">
        <v>305</v>
      </c>
      <c r="AF36" s="275" t="s">
        <v>305</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-13.051875238990915761515486610</v>
      </c>
      <c r="D38" s="1006">
        <v>3.8038201582109236315383072600</v>
      </c>
      <c r="E38" s="574">
        <v>2.2539092647899099129884983200</v>
      </c>
      <c r="F38" s="574">
        <v>1.2162344522410634697652324300</v>
      </c>
      <c r="G38" s="574">
        <v>-0.7483064832101831910544914300</v>
      </c>
      <c r="H38" s="574">
        <v>-1.9665363402226929105900365600</v>
      </c>
      <c r="I38" s="574">
        <v>-14.640373994918915216975929880</v>
      </c>
      <c r="J38" s="574">
        <v>-7.6972330895483458723735015600</v>
      </c>
      <c r="K38" s="574">
        <v>-3.2597745184463937248828842200</v>
      </c>
      <c r="L38" s="574">
        <v>-6.1624018703361361635951644900</v>
      </c>
      <c r="M38" s="574">
        <v>-1.1041850725666247487794883100</v>
      </c>
      <c r="N38" s="574">
        <v>3.8954704505473957463029178900</v>
      </c>
      <c r="O38" s="574">
        <v>-13.506194806365047538624903530</v>
      </c>
      <c r="P38" s="1006">
        <v>-16.007339721233494521939845730</v>
      </c>
      <c r="Q38" s="574">
        <v>-2.4242103584108571590060360400</v>
      </c>
      <c r="R38" s="574">
        <v>-2.8185209274972965284833102800</v>
      </c>
      <c r="S38" s="574">
        <v>-4.8759899506905570964352785100</v>
      </c>
      <c r="T38" s="1006">
        <v>3.1414733022789974030718427700</v>
      </c>
      <c r="U38" s="113"/>
      <c r="V38" s="573">
        <v>-8.758883111926927059745052090</v>
      </c>
      <c r="W38" s="574">
        <v>0.2181825323999907241947241800</v>
      </c>
      <c r="X38" s="575">
        <v>-2.1427057084118084790466402400</v>
      </c>
      <c r="Y38" s="113"/>
      <c r="Z38" s="573">
        <v>-11.808452825097427195128043790</v>
      </c>
      <c r="AA38" s="574">
        <v>-0.5986781913248402563359780900</v>
      </c>
      <c r="AB38" s="575">
        <v>-2.0017751386503318450104802400</v>
      </c>
      <c r="AC38" s="113"/>
      <c r="AD38" s="573">
        <v>-4.0095043249644541521713745500</v>
      </c>
      <c r="AE38" s="574">
        <v>-6.5704913054700533213040833200</v>
      </c>
      <c r="AF38" s="575">
        <v>-5.6663583245345749399431431500</v>
      </c>
      <c r="AG38" s="113"/>
    </row>
    <row r="39" ht="21.95" customHeight="1">
      <c r="B39" s="38" t="s">
        <v>35</v>
      </c>
      <c r="C39" s="271">
        <v>-17.775367464139088980089792070</v>
      </c>
      <c r="D39" s="1007">
        <v>7.7706230738356267172857161300</v>
      </c>
      <c r="E39" s="92">
        <v>1.2563433706687696834658433200</v>
      </c>
      <c r="F39" s="92">
        <v>-0.125911455332120287384815800</v>
      </c>
      <c r="G39" s="92">
        <v>-5.7824374355353639202196454400</v>
      </c>
      <c r="H39" s="92">
        <v>-3.6979371982706977611119482500</v>
      </c>
      <c r="I39" s="92">
        <v>-11.711556150417320748299806930</v>
      </c>
      <c r="J39" s="92">
        <v>-6.9081094469811955956403575100</v>
      </c>
      <c r="K39" s="92">
        <v>-8.208340852159040342009341700</v>
      </c>
      <c r="L39" s="92">
        <v>-8.094180666139139824587082700</v>
      </c>
      <c r="M39" s="92">
        <v>-2.6175421872479386935034218200</v>
      </c>
      <c r="N39" s="92">
        <v>16.331773086982474074370555520</v>
      </c>
      <c r="O39" s="92">
        <v>-5.4592461481077522928095363800</v>
      </c>
      <c r="P39" s="1007">
        <v>-11.044620532183612222994690910</v>
      </c>
      <c r="Q39" s="92">
        <v>-3.8693861858512351675854676600</v>
      </c>
      <c r="R39" s="92">
        <v>1.599288519129909224921061600</v>
      </c>
      <c r="S39" s="92">
        <v>-1.7530606137861855073220900800</v>
      </c>
      <c r="T39" s="1007">
        <v>2.4466606707159943313934101900</v>
      </c>
      <c r="U39" s="113"/>
      <c r="V39" s="271">
        <v>-12.676414768417878822540006400</v>
      </c>
      <c r="W39" s="92">
        <v>-2.2305811132944095212760394100</v>
      </c>
      <c r="X39" s="272">
        <v>-0.4313111320513795338891060100</v>
      </c>
      <c r="Y39" s="113"/>
      <c r="Z39" s="271">
        <v>-14.611550517295290138762598970</v>
      </c>
      <c r="AA39" s="92">
        <v>-3.4719956403586810490207648200</v>
      </c>
      <c r="AB39" s="272">
        <v>0.7136592867170091426652484200</v>
      </c>
      <c r="AC39" s="113"/>
      <c r="AD39" s="271">
        <v>-7.5454435119394040983846615500</v>
      </c>
      <c r="AE39" s="92">
        <v>-5.6393328469316721354078678100</v>
      </c>
      <c r="AF39" s="272">
        <v>-3.5874578882636832650069313200</v>
      </c>
      <c r="AG39" s="113"/>
    </row>
    <row r="40" ht="21.95" customHeight="1">
      <c r="B40" s="40" t="s">
        <v>98</v>
      </c>
      <c r="C40" s="576">
        <v>5.7446194399663679051849703200</v>
      </c>
      <c r="D40" s="1008">
        <v>-3.6807831322099611936775789300</v>
      </c>
      <c r="E40" s="113">
        <v>0.98518854320669589672486900</v>
      </c>
      <c r="F40" s="113">
        <v>1.3438379535191360758374382200</v>
      </c>
      <c r="G40" s="113">
        <v>5.3430918985152789770739016700</v>
      </c>
      <c r="H40" s="113">
        <v>1.7978855360161679421536155100</v>
      </c>
      <c r="I40" s="113">
        <v>-3.317328652342090785563840800</v>
      </c>
      <c r="J40" s="113">
        <v>-0.8476824758305974504213562800</v>
      </c>
      <c r="K40" s="113">
        <v>5.3910849631320277215804956800</v>
      </c>
      <c r="L40" s="113">
        <v>2.101911293349992489261666400</v>
      </c>
      <c r="M40" s="113">
        <v>1.5540346266076658835334880300</v>
      </c>
      <c r="N40" s="113">
        <v>-10.690374870477980955246744320</v>
      </c>
      <c r="O40" s="113">
        <v>-8.511618884302690968406089400</v>
      </c>
      <c r="P40" s="1008">
        <v>-5.578885974925605732412804900</v>
      </c>
      <c r="Q40" s="113">
        <v>1.5033460935261818667971545500</v>
      </c>
      <c r="R40" s="113">
        <v>-4.3482680941868268788002541100</v>
      </c>
      <c r="S40" s="113">
        <v>-3.1786530515959592171405758100</v>
      </c>
      <c r="T40" s="1008">
        <v>0.6782189160637087787567176900</v>
      </c>
      <c r="U40" s="113"/>
      <c r="V40" s="576">
        <v>4.4862240208648531822686471800</v>
      </c>
      <c r="W40" s="113">
        <v>2.5046314825233554611241286500</v>
      </c>
      <c r="X40" s="577">
        <v>-1.7188079865760616382352808600</v>
      </c>
      <c r="Y40" s="113"/>
      <c r="Z40" s="576">
        <v>3.2827597985037846661173553500</v>
      </c>
      <c r="AA40" s="113">
        <v>2.9766672045826095189897383300</v>
      </c>
      <c r="AB40" s="577">
        <v>-2.6961927951017988635920319200</v>
      </c>
      <c r="AC40" s="113"/>
      <c r="AD40" s="576">
        <v>3.8245158716630654838945096200</v>
      </c>
      <c r="AE40" s="113">
        <v>-0.9868078370214515479660686500</v>
      </c>
      <c r="AF40" s="577">
        <v>-2.1562551829060970812609905600</v>
      </c>
      <c r="AG40" s="113"/>
    </row>
    <row r="41" ht="21.95" customHeight="1">
      <c r="A41" s="23"/>
      <c r="B41" s="39" t="s">
        <v>23</v>
      </c>
      <c r="C41" s="273" t="s">
        <v>306</v>
      </c>
      <c r="D41" s="1009" t="s">
        <v>305</v>
      </c>
      <c r="E41" s="274" t="s">
        <v>307</v>
      </c>
      <c r="F41" s="274" t="s">
        <v>307</v>
      </c>
      <c r="G41" s="274" t="s">
        <v>306</v>
      </c>
      <c r="H41" s="274" t="s">
        <v>307</v>
      </c>
      <c r="I41" s="274" t="s">
        <v>305</v>
      </c>
      <c r="J41" s="274" t="s">
        <v>305</v>
      </c>
      <c r="K41" s="274" t="s">
        <v>306</v>
      </c>
      <c r="L41" s="274" t="s">
        <v>306</v>
      </c>
      <c r="M41" s="274" t="s">
        <v>307</v>
      </c>
      <c r="N41" s="274" t="s">
        <v>312</v>
      </c>
      <c r="O41" s="274" t="s">
        <v>313</v>
      </c>
      <c r="P41" s="1009" t="s">
        <v>307</v>
      </c>
      <c r="Q41" s="274" t="s">
        <v>307</v>
      </c>
      <c r="R41" s="274" t="s">
        <v>313</v>
      </c>
      <c r="S41" s="274" t="s">
        <v>310</v>
      </c>
      <c r="T41" s="1009" t="s">
        <v>311</v>
      </c>
      <c r="U41" s="113"/>
      <c r="V41" s="273" t="s">
        <v>306</v>
      </c>
      <c r="W41" s="274" t="s">
        <v>311</v>
      </c>
      <c r="X41" s="275" t="s">
        <v>310</v>
      </c>
      <c r="Y41" s="113"/>
      <c r="Z41" s="273" t="s">
        <v>306</v>
      </c>
      <c r="AA41" s="274" t="s">
        <v>311</v>
      </c>
      <c r="AB41" s="275" t="s">
        <v>310</v>
      </c>
      <c r="AC41" s="113"/>
      <c r="AD41" s="273" t="s">
        <v>306</v>
      </c>
      <c r="AE41" s="274" t="s">
        <v>310</v>
      </c>
      <c r="AF41" s="275" t="s">
        <v>310</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2023</v>
      </c>
      <c r="D43" s="1002"/>
      <c r="E43" s="1002">
        <v>2024</v>
      </c>
      <c r="F43" s="1002"/>
      <c r="G43" s="1002"/>
      <c r="H43" s="1002"/>
      <c r="I43" s="1002"/>
      <c r="J43" s="1002"/>
      <c r="K43" s="1002"/>
      <c r="L43" s="1002"/>
      <c r="M43" s="1002"/>
      <c r="N43" s="1002"/>
      <c r="O43" s="1002"/>
      <c r="P43" s="1002"/>
      <c r="Q43" s="1002">
        <v>2025</v>
      </c>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1005" t="s">
        <v>222</v>
      </c>
      <c r="E44" s="269" t="s">
        <v>224</v>
      </c>
      <c r="F44" s="269" t="s">
        <v>225</v>
      </c>
      <c r="G44" s="269" t="s">
        <v>226</v>
      </c>
      <c r="H44" s="269" t="s">
        <v>228</v>
      </c>
      <c r="I44" s="269" t="s">
        <v>229</v>
      </c>
      <c r="J44" s="269" t="s">
        <v>230</v>
      </c>
      <c r="K44" s="269" t="s">
        <v>233</v>
      </c>
      <c r="L44" s="269" t="s">
        <v>234</v>
      </c>
      <c r="M44" s="269" t="s">
        <v>235</v>
      </c>
      <c r="N44" s="269" t="s">
        <v>236</v>
      </c>
      <c r="O44" s="269" t="s">
        <v>218</v>
      </c>
      <c r="P44" s="1005" t="s">
        <v>222</v>
      </c>
      <c r="Q44" s="269" t="s">
        <v>224</v>
      </c>
      <c r="R44" s="269" t="s">
        <v>225</v>
      </c>
      <c r="S44" s="269" t="s">
        <v>226</v>
      </c>
      <c r="T44" s="1005" t="s">
        <v>228</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169.96338383838383838383838384</v>
      </c>
      <c r="D45" s="1010">
        <v>279.2551319648093841642228739</v>
      </c>
      <c r="E45" s="579">
        <v>256.78372434017595307917888563</v>
      </c>
      <c r="F45" s="579">
        <v>326.2270114942528735632183908</v>
      </c>
      <c r="G45" s="579">
        <v>289.40347018572825024437927664</v>
      </c>
      <c r="H45" s="579">
        <v>240.95631313131313131313131313</v>
      </c>
      <c r="I45" s="579">
        <v>189.88831867057673509286412512</v>
      </c>
      <c r="J45" s="579">
        <v>134.08611111111111111111111111</v>
      </c>
      <c r="K45" s="579">
        <v>132.24608993157380254154447703</v>
      </c>
      <c r="L45" s="579">
        <v>117.50879765395894428152492669</v>
      </c>
      <c r="M45" s="579">
        <v>106.32727272727272727272727273</v>
      </c>
      <c r="N45" s="579">
        <v>149.12561094819159335288367546</v>
      </c>
      <c r="O45" s="579">
        <v>175.57045454545454545454545455</v>
      </c>
      <c r="P45" s="1010">
        <v>244.84066471163245356793743891</v>
      </c>
      <c r="Q45" s="579">
        <v>254.33015640273704789833822092</v>
      </c>
      <c r="R45" s="579">
        <v>316.26190476190476190476190476</v>
      </c>
      <c r="S45" s="579">
        <v>271.2277614858260019550342131</v>
      </c>
      <c r="T45" s="1010">
        <v>247.98737373737373737373737374</v>
      </c>
      <c r="U45" s="113"/>
      <c r="V45" s="578">
        <v>276.48390151515151515151515152</v>
      </c>
      <c r="W45" s="579">
        <v>277.86013022789882294014525419</v>
      </c>
      <c r="X45" s="580">
        <v>271.56041666666666666666666667</v>
      </c>
      <c r="Y45" s="113"/>
      <c r="Z45" s="578">
        <v>280.31418113721484508001361934</v>
      </c>
      <c r="AA45" s="579">
        <v>285.11978114478114478114478114</v>
      </c>
      <c r="AB45" s="580">
        <v>277.5619679945522642151855635</v>
      </c>
      <c r="AC45" s="113"/>
      <c r="AD45" s="578">
        <v>223.94186384391863843918638439</v>
      </c>
      <c r="AE45" s="579">
        <v>204.22404371584699453551912568</v>
      </c>
      <c r="AF45" s="580">
        <v>194.27029887920298879202988792</v>
      </c>
      <c r="AG45" s="113"/>
    </row>
    <row r="46" ht="21.95" customHeight="1">
      <c r="B46" s="38" t="s">
        <v>35</v>
      </c>
      <c r="C46" s="276">
        <v>161.37040077444336882865440465</v>
      </c>
      <c r="D46" s="1011">
        <v>250.48982543796646160572088811</v>
      </c>
      <c r="E46" s="94">
        <v>238.59199731443025325547262905</v>
      </c>
      <c r="F46" s="94">
        <v>307.65902493574111921681302724</v>
      </c>
      <c r="G46" s="94">
        <v>269.88579333603972145020766324</v>
      </c>
      <c r="H46" s="94">
        <v>221.49923588254275572765408196</v>
      </c>
      <c r="I46" s="94">
        <v>186.55644692876994660088061706</v>
      </c>
      <c r="J46" s="94">
        <v>138.41507454017424975798644724</v>
      </c>
      <c r="K46" s="94">
        <v>126.80732535989757361896137151</v>
      </c>
      <c r="L46" s="94">
        <v>102.59505605346157449333291697</v>
      </c>
      <c r="M46" s="94">
        <v>97.34611681187479832203936754</v>
      </c>
      <c r="N46" s="94">
        <v>156.47900821284701620710114605</v>
      </c>
      <c r="O46" s="94">
        <v>155.66611423039690222652468538</v>
      </c>
      <c r="P46" s="1011">
        <v>231.82395059800768197857789714</v>
      </c>
      <c r="Q46" s="94">
        <v>243.60433813196764825281828686</v>
      </c>
      <c r="R46" s="94">
        <v>328.1949961969298852164292629</v>
      </c>
      <c r="S46" s="94">
        <v>265.59667551447397183274521438</v>
      </c>
      <c r="T46" s="1011">
        <v>236.67795385608260729267505647</v>
      </c>
      <c r="U46" s="113"/>
      <c r="V46" s="276">
        <v>257.13934083575346886092287835</v>
      </c>
      <c r="W46" s="94">
        <v>258.51867737368002688147063569</v>
      </c>
      <c r="X46" s="277">
        <v>267.29191610196837689577282995</v>
      </c>
      <c r="Y46" s="113"/>
      <c r="Z46" s="276">
        <v>261.47120702219998477218095</v>
      </c>
      <c r="AA46" s="94">
        <v>265.4594311021827570208631998</v>
      </c>
      <c r="AB46" s="277">
        <v>275.54264550724952956916149102</v>
      </c>
      <c r="AC46" s="113"/>
      <c r="AD46" s="276">
        <v>200.30788432320350429684703437</v>
      </c>
      <c r="AE46" s="94">
        <v>184.31249004029061818145605962</v>
      </c>
      <c r="AF46" s="277">
        <v>188.35606712726597620973623838</v>
      </c>
      <c r="AG46" s="113"/>
    </row>
    <row r="47" ht="21.95" customHeight="1">
      <c r="B47" s="40" t="s">
        <v>99</v>
      </c>
      <c r="C47" s="576">
        <v>105.32500571526562128173531988</v>
      </c>
      <c r="D47" s="1008">
        <v>111.48362272859231572100325075</v>
      </c>
      <c r="E47" s="113">
        <v>107.62461743501151711450852889</v>
      </c>
      <c r="F47" s="113">
        <v>106.03524845807254908961602536</v>
      </c>
      <c r="G47" s="113">
        <v>107.23182817756891247986059448</v>
      </c>
      <c r="H47" s="113">
        <v>108.78426382433871749640224772</v>
      </c>
      <c r="I47" s="113">
        <v>101.78598584858788451146837016</v>
      </c>
      <c r="J47" s="113">
        <v>96.87247690074997965413775744</v>
      </c>
      <c r="K47" s="113">
        <v>104.28899872798175982305290599</v>
      </c>
      <c r="L47" s="113">
        <v>114.53651099199352345088479862</v>
      </c>
      <c r="M47" s="113">
        <v>109.22600326495492307526501857</v>
      </c>
      <c r="N47" s="113">
        <v>95.30071327228229585240401696</v>
      </c>
      <c r="O47" s="113">
        <v>112.78655949848809893849400943</v>
      </c>
      <c r="P47" s="1008">
        <v>105.61491342031540369942420737</v>
      </c>
      <c r="Q47" s="113">
        <v>104.40296685723434516457128333</v>
      </c>
      <c r="R47" s="113">
        <v>96.36402395731956825228367433</v>
      </c>
      <c r="S47" s="113">
        <v>102.12016432826870158901339538</v>
      </c>
      <c r="T47" s="1008">
        <v>104.77840022571339927103601516</v>
      </c>
      <c r="U47" s="113"/>
      <c r="V47" s="576">
        <v>107.52298758193685374695561088</v>
      </c>
      <c r="W47" s="113">
        <v>107.48164622018389449491033890</v>
      </c>
      <c r="X47" s="577">
        <v>101.59694338194567186876017656</v>
      </c>
      <c r="Y47" s="113"/>
      <c r="Z47" s="576">
        <v>107.20651972720460868969568654</v>
      </c>
      <c r="AA47" s="113">
        <v>107.40615993975066168311029225</v>
      </c>
      <c r="AB47" s="577">
        <v>100.73285297948534750518776538</v>
      </c>
      <c r="AC47" s="113"/>
      <c r="AD47" s="576">
        <v>111.79882639196809224960187300</v>
      </c>
      <c r="AE47" s="113">
        <v>110.80314940739682119444982092</v>
      </c>
      <c r="AF47" s="577">
        <v>103.13992102410264774128418032</v>
      </c>
      <c r="AG47" s="113"/>
    </row>
    <row r="48" ht="21.95" customHeight="1">
      <c r="A48" s="23"/>
      <c r="B48" s="39" t="s">
        <v>23</v>
      </c>
      <c r="C48" s="273" t="s">
        <v>307</v>
      </c>
      <c r="D48" s="1009" t="s">
        <v>309</v>
      </c>
      <c r="E48" s="274" t="s">
        <v>306</v>
      </c>
      <c r="F48" s="274" t="s">
        <v>306</v>
      </c>
      <c r="G48" s="274" t="s">
        <v>306</v>
      </c>
      <c r="H48" s="274" t="s">
        <v>306</v>
      </c>
      <c r="I48" s="274" t="s">
        <v>311</v>
      </c>
      <c r="J48" s="274" t="s">
        <v>305</v>
      </c>
      <c r="K48" s="274" t="s">
        <v>311</v>
      </c>
      <c r="L48" s="274" t="s">
        <v>306</v>
      </c>
      <c r="M48" s="274" t="s">
        <v>311</v>
      </c>
      <c r="N48" s="274" t="s">
        <v>307</v>
      </c>
      <c r="O48" s="274" t="s">
        <v>308</v>
      </c>
      <c r="P48" s="1009" t="s">
        <v>306</v>
      </c>
      <c r="Q48" s="274" t="s">
        <v>306</v>
      </c>
      <c r="R48" s="274" t="s">
        <v>307</v>
      </c>
      <c r="S48" s="274" t="s">
        <v>306</v>
      </c>
      <c r="T48" s="1009" t="s">
        <v>306</v>
      </c>
      <c r="U48" s="113"/>
      <c r="V48" s="273" t="s">
        <v>308</v>
      </c>
      <c r="W48" s="274" t="s">
        <v>308</v>
      </c>
      <c r="X48" s="275" t="s">
        <v>311</v>
      </c>
      <c r="Y48" s="113"/>
      <c r="Z48" s="273" t="s">
        <v>306</v>
      </c>
      <c r="AA48" s="274" t="s">
        <v>308</v>
      </c>
      <c r="AB48" s="275" t="s">
        <v>311</v>
      </c>
      <c r="AC48" s="113"/>
      <c r="AD48" s="273" t="s">
        <v>308</v>
      </c>
      <c r="AE48" s="274" t="s">
        <v>308</v>
      </c>
      <c r="AF48" s="275" t="s">
        <v>306</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-25.240864691475467823792435350</v>
      </c>
      <c r="D50" s="1006">
        <v>1.1595111250441159590923115600</v>
      </c>
      <c r="E50" s="574">
        <v>-3.2783369263201432682346229400</v>
      </c>
      <c r="F50" s="574">
        <v>0.147349829674445464388405100</v>
      </c>
      <c r="G50" s="574">
        <v>0.3897796024556957236371573900</v>
      </c>
      <c r="H50" s="574">
        <v>4.9100138643372400464617334400</v>
      </c>
      <c r="I50" s="574">
        <v>-6.2987786642600053603046342500</v>
      </c>
      <c r="J50" s="574">
        <v>-15.861538949083926065805710980</v>
      </c>
      <c r="K50" s="574">
        <v>-13.473155381894249131028395710</v>
      </c>
      <c r="L50" s="574">
        <v>-4.6519375141507881124224555800</v>
      </c>
      <c r="M50" s="574">
        <v>-2.9889707830734737770673180900</v>
      </c>
      <c r="N50" s="574">
        <v>3.6667697294080710262708322400</v>
      </c>
      <c r="O50" s="574">
        <v>3.2989874527243521923216165700</v>
      </c>
      <c r="P50" s="1006">
        <v>-12.323665105465448187067301180</v>
      </c>
      <c r="Q50" s="574">
        <v>-0.955499786354193472357622200</v>
      </c>
      <c r="R50" s="574">
        <v>-3.0546540848195071602992651500</v>
      </c>
      <c r="S50" s="574">
        <v>-6.2804045467081948954270206200</v>
      </c>
      <c r="T50" s="1006">
        <v>2.9179814858149940578076020500</v>
      </c>
      <c r="U50" s="113"/>
      <c r="V50" s="573">
        <v>-10.265367921826321658764248570</v>
      </c>
      <c r="W50" s="574">
        <v>0.4977608841443389736582238800</v>
      </c>
      <c r="X50" s="575">
        <v>-2.2672247206054097056218913500</v>
      </c>
      <c r="Y50" s="113"/>
      <c r="Z50" s="573">
        <v>-14.585950271961154067583039040</v>
      </c>
      <c r="AA50" s="574">
        <v>1.7143620733297970453147711400</v>
      </c>
      <c r="AB50" s="575">
        <v>-2.6507501934456976538941246900</v>
      </c>
      <c r="AC50" s="113"/>
      <c r="AD50" s="573">
        <v>-4.2891886936373646007539174600</v>
      </c>
      <c r="AE50" s="574">
        <v>-8.804883459305951184034738640</v>
      </c>
      <c r="AF50" s="575">
        <v>-4.8739338696322805484475928800</v>
      </c>
      <c r="AG50" s="113"/>
    </row>
    <row r="51" ht="21.95" customHeight="1">
      <c r="B51" s="38" t="s">
        <v>35</v>
      </c>
      <c r="C51" s="271">
        <v>-17.046799141574024122878981380</v>
      </c>
      <c r="D51" s="1007">
        <v>11.714263131931096452317604660</v>
      </c>
      <c r="E51" s="92">
        <v>-2.4971917427407654540122811400</v>
      </c>
      <c r="F51" s="92">
        <v>2.1998459626171330759658884400</v>
      </c>
      <c r="G51" s="92">
        <v>-1.8728072112419145321247059400</v>
      </c>
      <c r="H51" s="92">
        <v>5.2124177464720894248325341900</v>
      </c>
      <c r="I51" s="92">
        <v>3.9883706615847279645439470600</v>
      </c>
      <c r="J51" s="92">
        <v>0.9917425700284491095360454300</v>
      </c>
      <c r="K51" s="92">
        <v>-2.5571467731906610172259625900</v>
      </c>
      <c r="L51" s="92">
        <v>0.215516338738898625676708100</v>
      </c>
      <c r="M51" s="92">
        <v>0.0248673232141538976535149800</v>
      </c>
      <c r="N51" s="92">
        <v>26.161399253208062618355112310</v>
      </c>
      <c r="O51" s="92">
        <v>-3.5349026318512018266172778100</v>
      </c>
      <c r="P51" s="1007">
        <v>-7.4517497097351775836731192700</v>
      </c>
      <c r="Q51" s="92">
        <v>2.1008000578337641689586647400</v>
      </c>
      <c r="R51" s="92">
        <v>6.6749126782553686076810081900</v>
      </c>
      <c r="S51" s="92">
        <v>-1.5892343826287294202337856200</v>
      </c>
      <c r="T51" s="1007">
        <v>6.8527179848306794723441415600</v>
      </c>
      <c r="U51" s="113"/>
      <c r="V51" s="271">
        <v>-9.995643194511243655291047860</v>
      </c>
      <c r="W51" s="92">
        <v>0.5364159888551716927558072900</v>
      </c>
      <c r="X51" s="272">
        <v>3.3936575946450006258481906900</v>
      </c>
      <c r="Y51" s="113"/>
      <c r="Z51" s="271">
        <v>-16.795048988316601630456980850</v>
      </c>
      <c r="AA51" s="92">
        <v>1.5253014377388559275229007500</v>
      </c>
      <c r="AB51" s="272">
        <v>3.7984012710279498301836284300</v>
      </c>
      <c r="AC51" s="113"/>
      <c r="AD51" s="271">
        <v>-5.1391568289568310871377614400</v>
      </c>
      <c r="AE51" s="92">
        <v>-7.985404237558894747624408310</v>
      </c>
      <c r="AF51" s="272">
        <v>2.1938703590200785931822345300</v>
      </c>
      <c r="AG51" s="113"/>
    </row>
    <row r="52" ht="21.95" customHeight="1">
      <c r="B52" s="40" t="s">
        <v>99</v>
      </c>
      <c r="C52" s="576">
        <v>-9.877937758988491760905459530</v>
      </c>
      <c r="D52" s="1008">
        <v>-9.447989639821703282209803040</v>
      </c>
      <c r="E52" s="113">
        <v>-0.8011514719722847171580795700</v>
      </c>
      <c r="F52" s="113">
        <v>-2.0083162685558228168462950500</v>
      </c>
      <c r="G52" s="113">
        <v>2.3057694298863420639978163800</v>
      </c>
      <c r="H52" s="113">
        <v>-0.2874222345595789568502145400</v>
      </c>
      <c r="I52" s="113">
        <v>-9.892595931994835599410070310</v>
      </c>
      <c r="J52" s="113">
        <v>-16.687781684185680644880262120</v>
      </c>
      <c r="K52" s="113">
        <v>-11.202472266787617044254462120</v>
      </c>
      <c r="L52" s="113">
        <v>-4.8569862539934868294089018100</v>
      </c>
      <c r="M52" s="113">
        <v>-3.0130888317819367481357734600</v>
      </c>
      <c r="N52" s="113">
        <v>-17.830041246296584652259805170</v>
      </c>
      <c r="O52" s="113">
        <v>7.0843136750992826637025467400</v>
      </c>
      <c r="P52" s="1008">
        <v>-5.2641896313071983316720240600</v>
      </c>
      <c r="Q52" s="113">
        <v>-2.9934141969994681407145265500</v>
      </c>
      <c r="R52" s="113">
        <v>-9.120763747351459036620814830</v>
      </c>
      <c r="S52" s="113">
        <v>-4.7669278200360760450736077800</v>
      </c>
      <c r="T52" s="1008">
        <v>-3.6823925242133957848967211200</v>
      </c>
      <c r="U52" s="113"/>
      <c r="V52" s="576">
        <v>-0.299679634272013757380698700</v>
      </c>
      <c r="W52" s="113">
        <v>-0.0384488588401767479717361300</v>
      </c>
      <c r="X52" s="577">
        <v>-5.4750769505318226017572805600</v>
      </c>
      <c r="Y52" s="113"/>
      <c r="Z52" s="576">
        <v>2.6550087338181755861952758400</v>
      </c>
      <c r="AA52" s="113">
        <v>0.1862202159520432453431621700</v>
      </c>
      <c r="AB52" s="577">
        <v>-6.2131510558193025711145941400</v>
      </c>
      <c r="AC52" s="113"/>
      <c r="AD52" s="576">
        <v>0.8960157921336481108001504300</v>
      </c>
      <c r="AE52" s="113">
        <v>-0.890596991700108369729888100</v>
      </c>
      <c r="AF52" s="577">
        <v>-6.9160745197966031317976879200</v>
      </c>
      <c r="AG52" s="113"/>
    </row>
    <row r="53" ht="21.95" customHeight="1">
      <c r="A53" s="23"/>
      <c r="B53" s="39" t="s">
        <v>23</v>
      </c>
      <c r="C53" s="273" t="s">
        <v>310</v>
      </c>
      <c r="D53" s="1009" t="s">
        <v>310</v>
      </c>
      <c r="E53" s="274" t="s">
        <v>307</v>
      </c>
      <c r="F53" s="274" t="s">
        <v>305</v>
      </c>
      <c r="G53" s="274" t="s">
        <v>306</v>
      </c>
      <c r="H53" s="274" t="s">
        <v>310</v>
      </c>
      <c r="I53" s="274" t="s">
        <v>310</v>
      </c>
      <c r="J53" s="274" t="s">
        <v>313</v>
      </c>
      <c r="K53" s="274" t="s">
        <v>313</v>
      </c>
      <c r="L53" s="274" t="s">
        <v>310</v>
      </c>
      <c r="M53" s="274" t="s">
        <v>310</v>
      </c>
      <c r="N53" s="274" t="s">
        <v>313</v>
      </c>
      <c r="O53" s="274" t="s">
        <v>311</v>
      </c>
      <c r="P53" s="1009" t="s">
        <v>305</v>
      </c>
      <c r="Q53" s="274" t="s">
        <v>305</v>
      </c>
      <c r="R53" s="274" t="s">
        <v>313</v>
      </c>
      <c r="S53" s="274" t="s">
        <v>313</v>
      </c>
      <c r="T53" s="1009" t="s">
        <v>310</v>
      </c>
      <c r="U53" s="113"/>
      <c r="V53" s="273" t="s">
        <v>307</v>
      </c>
      <c r="W53" s="274" t="s">
        <v>307</v>
      </c>
      <c r="X53" s="275" t="s">
        <v>312</v>
      </c>
      <c r="Y53" s="113"/>
      <c r="Z53" s="273" t="s">
        <v>306</v>
      </c>
      <c r="AA53" s="274" t="s">
        <v>307</v>
      </c>
      <c r="AB53" s="275" t="s">
        <v>312</v>
      </c>
      <c r="AC53" s="113"/>
      <c r="AD53" s="273" t="s">
        <v>311</v>
      </c>
      <c r="AE53" s="274" t="s">
        <v>310</v>
      </c>
      <c r="AF53" s="275" t="s">
        <v>313</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8">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D19"/>
    <mergeCell ref="C31:D31"/>
    <mergeCell ref="C43:D43"/>
    <mergeCell ref="E19:P19"/>
    <mergeCell ref="E31:P31"/>
    <mergeCell ref="E43:P43"/>
    <mergeCell ref="Q19:T19"/>
    <mergeCell ref="Q31:T31"/>
    <mergeCell ref="Q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171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v>1</v>
      </c>
      <c r="M8" s="1053"/>
      <c r="N8" s="1053">
        <v>2</v>
      </c>
      <c r="O8" s="1053"/>
      <c r="P8" s="1053">
        <v>3</v>
      </c>
      <c r="Q8" s="1053"/>
      <c r="R8" s="1053">
        <v>4</v>
      </c>
      <c r="S8" s="1053"/>
      <c r="T8" s="1054">
        <v>5</v>
      </c>
      <c r="U8" s="1054"/>
      <c r="Z8" s="1052"/>
      <c r="AA8" s="1052"/>
      <c r="AB8" s="1053">
        <v>1</v>
      </c>
      <c r="AC8" s="1053"/>
      <c r="AD8" s="1053">
        <v>2</v>
      </c>
      <c r="AE8" s="1053"/>
      <c r="AF8" s="1053">
        <v>3</v>
      </c>
      <c r="AG8" s="1053"/>
      <c r="AH8" s="1053">
        <v>4</v>
      </c>
      <c r="AI8" s="1053"/>
      <c r="AJ8" s="1053">
        <v>5</v>
      </c>
      <c r="AK8" s="1053"/>
      <c r="AL8" s="1054">
        <v>6</v>
      </c>
      <c r="AM8" s="1054"/>
    </row>
    <row r="9" ht="15" customHeight="1">
      <c r="D9" s="175" t="s">
        <v>250</v>
      </c>
      <c r="H9" s="1055">
        <v>6</v>
      </c>
      <c r="I9" s="1055"/>
      <c r="J9" s="1056">
        <v>7</v>
      </c>
      <c r="K9" s="1056"/>
      <c r="L9" s="1056">
        <v>8</v>
      </c>
      <c r="M9" s="1056"/>
      <c r="N9" s="1056">
        <v>9</v>
      </c>
      <c r="O9" s="1056"/>
      <c r="P9" s="1056">
        <v>10</v>
      </c>
      <c r="Q9" s="1056"/>
      <c r="R9" s="1056">
        <v>11</v>
      </c>
      <c r="S9" s="1056"/>
      <c r="T9" s="1057">
        <v>12</v>
      </c>
      <c r="U9" s="1057"/>
      <c r="Z9" s="1055">
        <v>7</v>
      </c>
      <c r="AA9" s="1055"/>
      <c r="AB9" s="1056">
        <v>8</v>
      </c>
      <c r="AC9" s="1056"/>
      <c r="AD9" s="1056">
        <v>9</v>
      </c>
      <c r="AE9" s="1056"/>
      <c r="AF9" s="1056">
        <v>10</v>
      </c>
      <c r="AG9" s="1056"/>
      <c r="AH9" s="1056">
        <v>11</v>
      </c>
      <c r="AI9" s="1056"/>
      <c r="AJ9" s="1056">
        <v>12</v>
      </c>
      <c r="AK9" s="1056"/>
      <c r="AL9" s="1057">
        <v>13</v>
      </c>
      <c r="AM9" s="1057"/>
    </row>
    <row r="10" ht="15" customHeight="1">
      <c r="H10" s="1058">
        <v>13</v>
      </c>
      <c r="I10" s="1058"/>
      <c r="J10" s="1059">
        <v>14</v>
      </c>
      <c r="K10" s="1059"/>
      <c r="L10" s="1059">
        <v>15</v>
      </c>
      <c r="M10" s="1059"/>
      <c r="N10" s="1059">
        <v>16</v>
      </c>
      <c r="O10" s="1059"/>
      <c r="P10" s="1059">
        <v>17</v>
      </c>
      <c r="Q10" s="1059"/>
      <c r="R10" s="1059">
        <v>18</v>
      </c>
      <c r="S10" s="1059"/>
      <c r="T10" s="1060">
        <v>19</v>
      </c>
      <c r="U10" s="1060"/>
      <c r="Z10" s="1058">
        <v>14</v>
      </c>
      <c r="AA10" s="1058"/>
      <c r="AB10" s="1059">
        <v>15</v>
      </c>
      <c r="AC10" s="1059"/>
      <c r="AD10" s="1059">
        <v>16</v>
      </c>
      <c r="AE10" s="1059"/>
      <c r="AF10" s="1059">
        <v>17</v>
      </c>
      <c r="AG10" s="1059"/>
      <c r="AH10" s="1059">
        <v>18</v>
      </c>
      <c r="AI10" s="1059"/>
      <c r="AJ10" s="1059">
        <v>19</v>
      </c>
      <c r="AK10" s="1059"/>
      <c r="AL10" s="1060">
        <v>20</v>
      </c>
      <c r="AM10" s="1060"/>
    </row>
    <row r="11" ht="15" customHeight="1">
      <c r="H11" s="1055">
        <v>20</v>
      </c>
      <c r="I11" s="1055"/>
      <c r="J11" s="1056">
        <v>21</v>
      </c>
      <c r="K11" s="1056"/>
      <c r="L11" s="1056">
        <v>22</v>
      </c>
      <c r="M11" s="1056"/>
      <c r="N11" s="1056">
        <v>23</v>
      </c>
      <c r="O11" s="1056"/>
      <c r="P11" s="1056">
        <v>24</v>
      </c>
      <c r="Q11" s="1056"/>
      <c r="R11" s="1056">
        <v>25</v>
      </c>
      <c r="S11" s="1056"/>
      <c r="T11" s="1057">
        <v>26</v>
      </c>
      <c r="U11" s="1057"/>
      <c r="Z11" s="1055">
        <v>21</v>
      </c>
      <c r="AA11" s="1055"/>
      <c r="AB11" s="1056">
        <v>22</v>
      </c>
      <c r="AC11" s="1056"/>
      <c r="AD11" s="1056">
        <v>23</v>
      </c>
      <c r="AE11" s="1056"/>
      <c r="AF11" s="1056">
        <v>24</v>
      </c>
      <c r="AG11" s="1056"/>
      <c r="AH11" s="1056">
        <v>25</v>
      </c>
      <c r="AI11" s="1056"/>
      <c r="AJ11" s="1056">
        <v>26</v>
      </c>
      <c r="AK11" s="1056"/>
      <c r="AL11" s="1057">
        <v>27</v>
      </c>
      <c r="AM11" s="1057"/>
      <c r="AN11" t="s">
        <v>27</v>
      </c>
    </row>
    <row r="12" ht="15" customHeight="1">
      <c r="A12" s="68"/>
      <c r="H12" s="1058">
        <v>27</v>
      </c>
      <c r="I12" s="1058"/>
      <c r="J12" s="1059">
        <v>28</v>
      </c>
      <c r="K12" s="1059"/>
      <c r="L12" s="1059">
        <v>29</v>
      </c>
      <c r="M12" s="1059"/>
      <c r="N12" s="1059">
        <v>30</v>
      </c>
      <c r="O12" s="1059"/>
      <c r="P12" s="1059"/>
      <c r="Q12" s="1059"/>
      <c r="R12" s="1059"/>
      <c r="S12" s="1059"/>
      <c r="T12" s="1060"/>
      <c r="U12" s="1060"/>
      <c r="Z12" s="1058">
        <v>28</v>
      </c>
      <c r="AA12" s="1058"/>
      <c r="AB12" s="1059">
        <v>29</v>
      </c>
      <c r="AC12" s="1059"/>
      <c r="AD12" s="1059">
        <v>30</v>
      </c>
      <c r="AE12" s="1059"/>
      <c r="AF12" s="1059"/>
      <c r="AG12" s="1059"/>
      <c r="AH12" s="1059"/>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252</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3"/>
      <c r="Y21" s="993"/>
      <c r="Z21" s="995">
        <v>2024</v>
      </c>
      <c r="AA21" s="995"/>
      <c r="AB21" s="995"/>
      <c r="AC21" s="995"/>
      <c r="AD21" s="995"/>
      <c r="AE21" s="995"/>
      <c r="AF21" s="995"/>
      <c r="AG21" s="995"/>
      <c r="AH21" s="995"/>
      <c r="AI21" s="995"/>
      <c r="AJ21" s="995"/>
      <c r="AK21" s="995"/>
      <c r="AL21" s="995">
        <v>2025</v>
      </c>
      <c r="AM21" s="995"/>
      <c r="AN21" s="995"/>
      <c r="AO21" s="995"/>
    </row>
    <row r="22" s="5" customFormat="1" ht="30" customHeight="1">
      <c r="B22" s="76"/>
      <c r="C22" s="77" t="s">
        <v>71</v>
      </c>
      <c r="D22" s="77" t="s">
        <v>21</v>
      </c>
      <c r="E22" s="177" t="s">
        <v>242</v>
      </c>
      <c r="F22" s="10" t="s">
        <v>60</v>
      </c>
      <c r="G22" s="10" t="s">
        <v>61</v>
      </c>
      <c r="H22" s="1065" t="s">
        <v>34</v>
      </c>
      <c r="I22" s="1065"/>
      <c r="J22" s="1065"/>
      <c r="K22" s="1065"/>
      <c r="L22" s="1065" t="s">
        <v>62</v>
      </c>
      <c r="M22" s="1065"/>
      <c r="N22" s="1065"/>
      <c r="O22" s="1065"/>
      <c r="R22" s="617" t="s">
        <v>229</v>
      </c>
      <c r="S22" s="618" t="s">
        <v>230</v>
      </c>
      <c r="T22" s="618" t="s">
        <v>233</v>
      </c>
      <c r="U22" s="618" t="s">
        <v>234</v>
      </c>
      <c r="V22" s="618" t="s">
        <v>235</v>
      </c>
      <c r="W22" s="618" t="s">
        <v>236</v>
      </c>
      <c r="X22" s="618" t="s">
        <v>218</v>
      </c>
      <c r="Y22" s="1015" t="s">
        <v>222</v>
      </c>
      <c r="Z22" s="618" t="s">
        <v>224</v>
      </c>
      <c r="AA22" s="618" t="s">
        <v>225</v>
      </c>
      <c r="AB22" s="618" t="s">
        <v>226</v>
      </c>
      <c r="AC22" s="618" t="s">
        <v>228</v>
      </c>
      <c r="AD22" s="618" t="s">
        <v>229</v>
      </c>
      <c r="AE22" s="618" t="s">
        <v>230</v>
      </c>
      <c r="AF22" s="618" t="s">
        <v>233</v>
      </c>
      <c r="AG22" s="618" t="s">
        <v>234</v>
      </c>
      <c r="AH22" s="618" t="s">
        <v>235</v>
      </c>
      <c r="AI22" s="618" t="s">
        <v>236</v>
      </c>
      <c r="AJ22" s="618" t="s">
        <v>218</v>
      </c>
      <c r="AK22" s="1015" t="s">
        <v>222</v>
      </c>
      <c r="AL22" s="618" t="s">
        <v>224</v>
      </c>
      <c r="AM22" s="618" t="s">
        <v>225</v>
      </c>
      <c r="AN22" s="618" t="s">
        <v>226</v>
      </c>
      <c r="AO22" s="1015" t="s">
        <v>228</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18" t="s">
        <v>258</v>
      </c>
      <c r="S23" s="1019" t="s">
        <v>258</v>
      </c>
      <c r="T23" s="1019" t="s">
        <v>258</v>
      </c>
      <c r="U23" s="1019" t="s">
        <v>258</v>
      </c>
      <c r="V23" s="1019" t="s">
        <v>258</v>
      </c>
      <c r="W23" s="1019" t="s">
        <v>258</v>
      </c>
      <c r="X23" s="1019" t="s">
        <v>258</v>
      </c>
      <c r="Y23" s="1019" t="s">
        <v>258</v>
      </c>
      <c r="Z23" s="1019" t="s">
        <v>258</v>
      </c>
      <c r="AA23" s="1019" t="s">
        <v>258</v>
      </c>
      <c r="AB23" s="1019" t="s">
        <v>258</v>
      </c>
      <c r="AC23" s="1019" t="s">
        <v>258</v>
      </c>
      <c r="AD23" s="1019" t="s">
        <v>258</v>
      </c>
      <c r="AE23" s="1019" t="s">
        <v>258</v>
      </c>
      <c r="AF23" s="1019" t="s">
        <v>258</v>
      </c>
      <c r="AG23" s="1019" t="s">
        <v>258</v>
      </c>
      <c r="AH23" s="1019" t="s">
        <v>258</v>
      </c>
      <c r="AI23" s="1019" t="s">
        <v>258</v>
      </c>
      <c r="AJ23" s="1019" t="s">
        <v>258</v>
      </c>
      <c r="AK23" s="1019" t="s">
        <v>258</v>
      </c>
      <c r="AL23" s="1019" t="s">
        <v>258</v>
      </c>
      <c r="AM23" s="1019" t="s">
        <v>258</v>
      </c>
      <c r="AN23" s="1019" t="s">
        <v>258</v>
      </c>
      <c r="AO23" s="1020" t="s">
        <v>258</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26819</v>
      </c>
      <c r="D24" s="1021" t="s">
        <v>314</v>
      </c>
      <c r="E24" s="1021" t="s">
        <v>253</v>
      </c>
      <c r="F24" s="1021" t="s">
        <v>315</v>
      </c>
      <c r="G24" s="1021" t="s">
        <v>316</v>
      </c>
      <c r="H24" s="1023" t="s">
        <v>256</v>
      </c>
      <c r="I24" s="1023"/>
      <c r="J24" s="1023"/>
      <c r="K24" s="1023"/>
      <c r="L24" s="1023" t="s">
        <v>317</v>
      </c>
      <c r="M24" s="1023"/>
      <c r="N24" s="1023"/>
      <c r="O24" s="1023"/>
      <c r="P24" s="80"/>
      <c r="Q24" s="4"/>
      <c r="R24" s="1024" t="s">
        <v>258</v>
      </c>
      <c r="S24" s="1025" t="s">
        <v>258</v>
      </c>
      <c r="T24" s="1025" t="s">
        <v>258</v>
      </c>
      <c r="U24" s="1025" t="s">
        <v>258</v>
      </c>
      <c r="V24" s="1025" t="s">
        <v>258</v>
      </c>
      <c r="W24" s="1025" t="s">
        <v>258</v>
      </c>
      <c r="X24" s="1025" t="s">
        <v>258</v>
      </c>
      <c r="Y24" s="1025" t="s">
        <v>258</v>
      </c>
      <c r="Z24" s="1025" t="s">
        <v>258</v>
      </c>
      <c r="AA24" s="1025" t="s">
        <v>258</v>
      </c>
      <c r="AB24" s="1025" t="s">
        <v>258</v>
      </c>
      <c r="AC24" s="1025" t="s">
        <v>258</v>
      </c>
      <c r="AD24" s="1025" t="s">
        <v>258</v>
      </c>
      <c r="AE24" s="1025" t="s">
        <v>258</v>
      </c>
      <c r="AF24" s="1025" t="s">
        <v>258</v>
      </c>
      <c r="AG24" s="1025" t="s">
        <v>258</v>
      </c>
      <c r="AH24" s="1025" t="s">
        <v>258</v>
      </c>
      <c r="AI24" s="1025" t="s">
        <v>258</v>
      </c>
      <c r="AJ24" s="1025" t="s">
        <v>258</v>
      </c>
      <c r="AK24" s="1025" t="s">
        <v>258</v>
      </c>
      <c r="AL24" s="1025" t="s">
        <v>258</v>
      </c>
      <c r="AM24" s="1025" t="s">
        <v>258</v>
      </c>
      <c r="AN24" s="1025" t="s">
        <v>258</v>
      </c>
      <c r="AO24" s="1026" t="s">
        <v>258</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31851</v>
      </c>
      <c r="D25" s="1016" t="s">
        <v>318</v>
      </c>
      <c r="E25" s="1016" t="s">
        <v>253</v>
      </c>
      <c r="F25" s="1016" t="s">
        <v>319</v>
      </c>
      <c r="G25" s="1016" t="s">
        <v>320</v>
      </c>
      <c r="H25" s="1017" t="s">
        <v>321</v>
      </c>
      <c r="I25" s="1017"/>
      <c r="J25" s="1017"/>
      <c r="K25" s="1017"/>
      <c r="L25" s="1017" t="s">
        <v>322</v>
      </c>
      <c r="M25" s="1017"/>
      <c r="N25" s="1017"/>
      <c r="O25" s="1017"/>
      <c r="P25" s="80"/>
      <c r="Q25" s="4"/>
      <c r="R25" s="1018" t="s">
        <v>258</v>
      </c>
      <c r="S25" s="1019" t="s">
        <v>258</v>
      </c>
      <c r="T25" s="1019" t="s">
        <v>258</v>
      </c>
      <c r="U25" s="1019" t="s">
        <v>258</v>
      </c>
      <c r="V25" s="1019" t="s">
        <v>258</v>
      </c>
      <c r="W25" s="1019" t="s">
        <v>258</v>
      </c>
      <c r="X25" s="1019" t="s">
        <v>258</v>
      </c>
      <c r="Y25" s="1019" t="s">
        <v>258</v>
      </c>
      <c r="Z25" s="1019" t="s">
        <v>258</v>
      </c>
      <c r="AA25" s="1019" t="s">
        <v>258</v>
      </c>
      <c r="AB25" s="1019" t="s">
        <v>258</v>
      </c>
      <c r="AC25" s="1019" t="s">
        <v>258</v>
      </c>
      <c r="AD25" s="1019" t="s">
        <v>258</v>
      </c>
      <c r="AE25" s="1019" t="s">
        <v>258</v>
      </c>
      <c r="AF25" s="1019" t="s">
        <v>258</v>
      </c>
      <c r="AG25" s="1019" t="s">
        <v>258</v>
      </c>
      <c r="AH25" s="1019" t="s">
        <v>258</v>
      </c>
      <c r="AI25" s="1019" t="s">
        <v>258</v>
      </c>
      <c r="AJ25" s="1019" t="s">
        <v>258</v>
      </c>
      <c r="AK25" s="1019" t="s">
        <v>258</v>
      </c>
      <c r="AL25" s="1019" t="s">
        <v>258</v>
      </c>
      <c r="AM25" s="1019" t="s">
        <v>258</v>
      </c>
      <c r="AN25" s="1019" t="s">
        <v>258</v>
      </c>
      <c r="AO25" s="1020" t="s">
        <v>258</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33931</v>
      </c>
      <c r="D26" s="1021" t="s">
        <v>259</v>
      </c>
      <c r="E26" s="1021" t="s">
        <v>253</v>
      </c>
      <c r="F26" s="1022" t="s">
        <v>260</v>
      </c>
      <c r="G26" s="1021" t="s">
        <v>261</v>
      </c>
      <c r="H26" s="1023" t="s">
        <v>262</v>
      </c>
      <c r="I26" s="1023"/>
      <c r="J26" s="1023"/>
      <c r="K26" s="1023"/>
      <c r="L26" s="1023" t="s">
        <v>263</v>
      </c>
      <c r="M26" s="1023"/>
      <c r="N26" s="1023"/>
      <c r="O26" s="1023"/>
      <c r="P26" s="80"/>
      <c r="Q26" s="4"/>
      <c r="R26" s="1024" t="s">
        <v>258</v>
      </c>
      <c r="S26" s="1025" t="s">
        <v>258</v>
      </c>
      <c r="T26" s="1025" t="s">
        <v>258</v>
      </c>
      <c r="U26" s="1025" t="s">
        <v>258</v>
      </c>
      <c r="V26" s="1025" t="s">
        <v>258</v>
      </c>
      <c r="W26" s="1025" t="s">
        <v>258</v>
      </c>
      <c r="X26" s="1025" t="s">
        <v>258</v>
      </c>
      <c r="Y26" s="1025" t="s">
        <v>258</v>
      </c>
      <c r="Z26" s="1025" t="s">
        <v>258</v>
      </c>
      <c r="AA26" s="1025" t="s">
        <v>258</v>
      </c>
      <c r="AB26" s="1025" t="s">
        <v>258</v>
      </c>
      <c r="AC26" s="1025" t="s">
        <v>258</v>
      </c>
      <c r="AD26" s="1025" t="s">
        <v>258</v>
      </c>
      <c r="AE26" s="1025" t="s">
        <v>258</v>
      </c>
      <c r="AF26" s="1025" t="s">
        <v>258</v>
      </c>
      <c r="AG26" s="1025" t="s">
        <v>258</v>
      </c>
      <c r="AH26" s="1025" t="s">
        <v>258</v>
      </c>
      <c r="AI26" s="1025" t="s">
        <v>258</v>
      </c>
      <c r="AJ26" s="1025" t="s">
        <v>258</v>
      </c>
      <c r="AK26" s="1025" t="s">
        <v>258</v>
      </c>
      <c r="AL26" s="1025" t="s">
        <v>258</v>
      </c>
      <c r="AM26" s="1025" t="s">
        <v>258</v>
      </c>
      <c r="AN26" s="1025" t="s">
        <v>258</v>
      </c>
      <c r="AO26" s="1026" t="s">
        <v>258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62556</v>
      </c>
      <c r="D27" s="1016" t="s">
        <v>323</v>
      </c>
      <c r="E27" s="1016" t="s">
        <v>253</v>
      </c>
      <c r="F27" s="1027" t="s">
        <v>260</v>
      </c>
      <c r="G27" s="1016" t="s">
        <v>324</v>
      </c>
      <c r="H27" s="1017" t="s">
        <v>325</v>
      </c>
      <c r="I27" s="1017"/>
      <c r="J27" s="1017"/>
      <c r="K27" s="1017"/>
      <c r="L27" s="1017" t="s">
        <v>326</v>
      </c>
      <c r="M27" s="1017"/>
      <c r="N27" s="1017"/>
      <c r="O27" s="1017"/>
      <c r="P27" s="80"/>
      <c r="Q27" s="4"/>
      <c r="R27" s="1018" t="s">
        <v>258</v>
      </c>
      <c r="S27" s="1019" t="s">
        <v>258</v>
      </c>
      <c r="T27" s="1019" t="s">
        <v>258</v>
      </c>
      <c r="U27" s="1019" t="s">
        <v>258</v>
      </c>
      <c r="V27" s="1019" t="s">
        <v>258</v>
      </c>
      <c r="W27" s="1019" t="s">
        <v>258</v>
      </c>
      <c r="X27" s="1019" t="s">
        <v>258</v>
      </c>
      <c r="Y27" s="1019" t="s">
        <v>258</v>
      </c>
      <c r="Z27" s="1019" t="s">
        <v>258</v>
      </c>
      <c r="AA27" s="1019" t="s">
        <v>258</v>
      </c>
      <c r="AB27" s="1019" t="s">
        <v>258</v>
      </c>
      <c r="AC27" s="1019" t="s">
        <v>258</v>
      </c>
      <c r="AD27" s="1019" t="s">
        <v>258</v>
      </c>
      <c r="AE27" s="1019" t="s">
        <v>258</v>
      </c>
      <c r="AF27" s="1019" t="s">
        <v>258</v>
      </c>
      <c r="AG27" s="1019" t="s">
        <v>258</v>
      </c>
      <c r="AH27" s="1019" t="s">
        <v>258</v>
      </c>
      <c r="AI27" s="1019" t="s">
        <v>258</v>
      </c>
      <c r="AJ27" s="1019" t="s">
        <v>258</v>
      </c>
      <c r="AK27" s="1019" t="s">
        <v>258</v>
      </c>
      <c r="AL27" s="1019" t="s">
        <v>258</v>
      </c>
      <c r="AM27" s="1019" t="s">
        <v>258</v>
      </c>
      <c r="AN27" s="1019" t="s">
        <v>258</v>
      </c>
      <c r="AO27" s="1020" t="s">
        <v>258</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64036</v>
      </c>
      <c r="D28" s="1021" t="s">
        <v>327</v>
      </c>
      <c r="E28" s="1021" t="s">
        <v>253</v>
      </c>
      <c r="F28" s="1022" t="s">
        <v>260</v>
      </c>
      <c r="G28" s="1021" t="s">
        <v>328</v>
      </c>
      <c r="H28" s="1023" t="s">
        <v>329</v>
      </c>
      <c r="I28" s="1023"/>
      <c r="J28" s="1023"/>
      <c r="K28" s="1023"/>
      <c r="L28" s="1023" t="s">
        <v>330</v>
      </c>
      <c r="M28" s="1023"/>
      <c r="N28" s="1023"/>
      <c r="O28" s="1023"/>
      <c r="P28" s="80"/>
      <c r="Q28" s="4"/>
      <c r="R28" s="1024" t="s">
        <v>258</v>
      </c>
      <c r="S28" s="1025" t="s">
        <v>258</v>
      </c>
      <c r="T28" s="1025" t="s">
        <v>258</v>
      </c>
      <c r="U28" s="1025" t="s">
        <v>258</v>
      </c>
      <c r="V28" s="1025" t="s">
        <v>258</v>
      </c>
      <c r="W28" s="1025" t="s">
        <v>258</v>
      </c>
      <c r="X28" s="1025" t="s">
        <v>258</v>
      </c>
      <c r="Y28" s="1025" t="s">
        <v>258</v>
      </c>
      <c r="Z28" s="1025" t="s">
        <v>258</v>
      </c>
      <c r="AA28" s="1025" t="s">
        <v>258</v>
      </c>
      <c r="AB28" s="1025" t="s">
        <v>258</v>
      </c>
      <c r="AC28" s="1025" t="s">
        <v>258</v>
      </c>
      <c r="AD28" s="1025" t="s">
        <v>258</v>
      </c>
      <c r="AE28" s="1025" t="s">
        <v>258</v>
      </c>
      <c r="AF28" s="1025" t="s">
        <v>258</v>
      </c>
      <c r="AG28" s="1025" t="s">
        <v>258</v>
      </c>
      <c r="AH28" s="1025" t="s">
        <v>258</v>
      </c>
      <c r="AI28" s="1025" t="s">
        <v>258</v>
      </c>
      <c r="AJ28" s="1025" t="s">
        <v>258</v>
      </c>
      <c r="AK28" s="1025" t="s">
        <v>258</v>
      </c>
      <c r="AL28" s="1025" t="s">
        <v>258</v>
      </c>
      <c r="AM28" s="1025" t="s">
        <v>258</v>
      </c>
      <c r="AN28" s="1025" t="s">
        <v>258</v>
      </c>
      <c r="AO28" s="1026" t="s">
        <v>258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67528</v>
      </c>
      <c r="D29" s="1016" t="s">
        <v>331</v>
      </c>
      <c r="E29" s="1016" t="s">
        <v>253</v>
      </c>
      <c r="F29" s="1027" t="s">
        <v>260</v>
      </c>
      <c r="G29" s="1016" t="s">
        <v>332</v>
      </c>
      <c r="H29" s="1017" t="s">
        <v>333</v>
      </c>
      <c r="I29" s="1017"/>
      <c r="J29" s="1017"/>
      <c r="K29" s="1017"/>
      <c r="L29" s="1017" t="s">
        <v>334</v>
      </c>
      <c r="M29" s="1017"/>
      <c r="N29" s="1017"/>
      <c r="O29" s="1017"/>
      <c r="P29" s="80"/>
      <c r="Q29" s="4"/>
      <c r="R29" s="1018" t="s">
        <v>258</v>
      </c>
      <c r="S29" s="1019" t="s">
        <v>258</v>
      </c>
      <c r="T29" s="1019" t="s">
        <v>258</v>
      </c>
      <c r="U29" s="1019" t="s">
        <v>258</v>
      </c>
      <c r="V29" s="1019" t="s">
        <v>258</v>
      </c>
      <c r="W29" s="1019" t="s">
        <v>258</v>
      </c>
      <c r="X29" s="1019" t="s">
        <v>258</v>
      </c>
      <c r="Y29" s="1019" t="s">
        <v>258</v>
      </c>
      <c r="Z29" s="1019" t="s">
        <v>258</v>
      </c>
      <c r="AA29" s="1019" t="s">
        <v>258</v>
      </c>
      <c r="AB29" s="1019" t="s">
        <v>258</v>
      </c>
      <c r="AC29" s="1019" t="s">
        <v>258</v>
      </c>
      <c r="AD29" s="1019" t="s">
        <v>258</v>
      </c>
      <c r="AE29" s="1019" t="s">
        <v>258</v>
      </c>
      <c r="AF29" s="1019" t="s">
        <v>258</v>
      </c>
      <c r="AG29" s="1019" t="s">
        <v>258</v>
      </c>
      <c r="AH29" s="1019" t="s">
        <v>258</v>
      </c>
      <c r="AI29" s="1019" t="s">
        <v>258</v>
      </c>
      <c r="AJ29" s="1019" t="s">
        <v>258</v>
      </c>
      <c r="AK29" s="1019" t="s">
        <v>258</v>
      </c>
      <c r="AL29" s="1019" t="s">
        <v>258</v>
      </c>
      <c r="AM29" s="1019" t="s">
        <v>258</v>
      </c>
      <c r="AN29" s="1019" t="s">
        <v>258</v>
      </c>
      <c r="AO29" s="1020" t="s">
        <v>258</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1">
        <v>68331</v>
      </c>
      <c r="D30" s="1021" t="s">
        <v>335</v>
      </c>
      <c r="E30" s="1021" t="s">
        <v>253</v>
      </c>
      <c r="F30" s="1021" t="s">
        <v>336</v>
      </c>
      <c r="G30" s="1021" t="s">
        <v>337</v>
      </c>
      <c r="H30" s="1023" t="s">
        <v>338</v>
      </c>
      <c r="I30" s="1023"/>
      <c r="J30" s="1023"/>
      <c r="K30" s="1023"/>
      <c r="L30" s="1023" t="s">
        <v>339</v>
      </c>
      <c r="M30" s="1023"/>
      <c r="N30" s="1023"/>
      <c r="O30" s="1023"/>
      <c r="P30" s="80"/>
      <c r="Q30" s="4"/>
      <c r="R30" s="1024" t="s">
        <v>258</v>
      </c>
      <c r="S30" s="1025" t="s">
        <v>258</v>
      </c>
      <c r="T30" s="1025" t="s">
        <v>258</v>
      </c>
      <c r="U30" s="1025" t="s">
        <v>258</v>
      </c>
      <c r="V30" s="1025" t="s">
        <v>258</v>
      </c>
      <c r="W30" s="1025" t="s">
        <v>258</v>
      </c>
      <c r="X30" s="1025" t="s">
        <v>258</v>
      </c>
      <c r="Y30" s="1025" t="s">
        <v>258</v>
      </c>
      <c r="Z30" s="1025" t="s">
        <v>258</v>
      </c>
      <c r="AA30" s="1025" t="s">
        <v>258</v>
      </c>
      <c r="AB30" s="1025" t="s">
        <v>258</v>
      </c>
      <c r="AC30" s="1025" t="s">
        <v>258</v>
      </c>
      <c r="AD30" s="1025" t="s">
        <v>258</v>
      </c>
      <c r="AE30" s="1025" t="s">
        <v>258</v>
      </c>
      <c r="AF30" s="1025" t="s">
        <v>258</v>
      </c>
      <c r="AG30" s="1025" t="s">
        <v>258</v>
      </c>
      <c r="AH30" s="1025" t="s">
        <v>258</v>
      </c>
      <c r="AI30" s="1025" t="s">
        <v>258</v>
      </c>
      <c r="AJ30" s="1025" t="s">
        <v>258</v>
      </c>
      <c r="AK30" s="1025" t="s">
        <v>258</v>
      </c>
      <c r="AL30" s="1025" t="s">
        <v>258</v>
      </c>
      <c r="AM30" s="1025" t="s">
        <v>258</v>
      </c>
      <c r="AN30" s="1025" t="s">
        <v>258</v>
      </c>
      <c r="AO30" s="1026" t="s">
        <v>258</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016">
        <v>70610</v>
      </c>
      <c r="D31" s="1016" t="s">
        <v>340</v>
      </c>
      <c r="E31" s="1016" t="s">
        <v>253</v>
      </c>
      <c r="F31" s="1016" t="s">
        <v>341</v>
      </c>
      <c r="G31" s="1016" t="s">
        <v>342</v>
      </c>
      <c r="H31" s="1017" t="s">
        <v>343</v>
      </c>
      <c r="I31" s="1017"/>
      <c r="J31" s="1017"/>
      <c r="K31" s="1017"/>
      <c r="L31" s="1017" t="s">
        <v>344</v>
      </c>
      <c r="M31" s="1017"/>
      <c r="N31" s="1017"/>
      <c r="O31" s="1017"/>
      <c r="P31" s="80"/>
      <c r="Q31" s="4"/>
      <c r="R31" s="1018" t="s">
        <v>258</v>
      </c>
      <c r="S31" s="1019" t="s">
        <v>258</v>
      </c>
      <c r="T31" s="1019" t="s">
        <v>258</v>
      </c>
      <c r="U31" s="1019" t="s">
        <v>258</v>
      </c>
      <c r="V31" s="1019" t="s">
        <v>258</v>
      </c>
      <c r="W31" s="1019" t="s">
        <v>258</v>
      </c>
      <c r="X31" s="1019" t="s">
        <v>258</v>
      </c>
      <c r="Y31" s="1019" t="s">
        <v>258</v>
      </c>
      <c r="Z31" s="1019" t="s">
        <v>258</v>
      </c>
      <c r="AA31" s="1019" t="s">
        <v>258</v>
      </c>
      <c r="AB31" s="1019" t="s">
        <v>258</v>
      </c>
      <c r="AC31" s="1019" t="s">
        <v>258</v>
      </c>
      <c r="AD31" s="1019" t="s">
        <v>258</v>
      </c>
      <c r="AE31" s="1019" t="s">
        <v>258</v>
      </c>
      <c r="AF31" s="1019" t="s">
        <v>258</v>
      </c>
      <c r="AG31" s="1019" t="s">
        <v>258</v>
      </c>
      <c r="AH31" s="1019" t="s">
        <v>258</v>
      </c>
      <c r="AI31" s="1019" t="s">
        <v>258</v>
      </c>
      <c r="AJ31" s="1019" t="s">
        <v>258</v>
      </c>
      <c r="AK31" s="1019" t="s">
        <v>258</v>
      </c>
      <c r="AL31" s="1019" t="s">
        <v>258</v>
      </c>
      <c r="AM31" s="1019" t="s">
        <v>258</v>
      </c>
      <c r="AN31" s="1019" t="s">
        <v>258</v>
      </c>
      <c r="AO31" s="1020" t="s">
        <v>258</v>
      </c>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017">
        <v>1165</v>
      </c>
      <c r="I32" s="1017"/>
      <c r="J32" s="1017"/>
      <c r="K32" s="1017"/>
      <c r="L32" s="1072"/>
      <c r="M32" s="1072"/>
      <c r="N32" s="1072"/>
      <c r="O32" s="1072"/>
      <c r="P32" s="80"/>
      <c r="Q32" s="4"/>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028" t="s">
        <v>281</v>
      </c>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29" t="s">
        <v>282</v>
      </c>
      <c r="AB34" s="1028" t="s">
        <v>283</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29" t="s">
        <v>258</v>
      </c>
      <c r="AB35" s="1028" t="s">
        <v>284</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Y21"/>
    <mergeCell ref="Z21:AK21"/>
    <mergeCell ref="AL21:AO21"/>
    <mergeCell ref="H32:K32"/>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173</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1113"/>
      <c r="P3" s="1113"/>
      <c r="Q3" s="1113"/>
      <c r="R3" s="1113"/>
      <c r="S3" s="1113"/>
      <c r="T3" s="1113"/>
      <c r="U3" s="1113"/>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62" t="s">
        <v>22</v>
      </c>
      <c r="E15" s="962"/>
      <c r="F15" s="962"/>
      <c r="G15" s="962"/>
      <c r="H15" s="962"/>
      <c r="I15" s="962"/>
      <c r="J15" s="962" t="s">
        <v>90</v>
      </c>
      <c r="K15" s="962"/>
      <c r="L15" s="962"/>
      <c r="M15" s="962"/>
      <c r="N15" s="962"/>
      <c r="O15" s="962"/>
      <c r="P15" s="962" t="s">
        <v>10</v>
      </c>
      <c r="Q15" s="962"/>
      <c r="R15" s="962"/>
      <c r="S15" s="962"/>
      <c r="T15" s="962"/>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63" t="s">
        <v>19</v>
      </c>
      <c r="E16" s="963"/>
      <c r="F16" s="963" t="s">
        <v>35</v>
      </c>
      <c r="G16" s="963"/>
      <c r="H16" s="963" t="s">
        <v>97</v>
      </c>
      <c r="I16" s="963"/>
      <c r="J16" s="963" t="s">
        <v>19</v>
      </c>
      <c r="K16" s="963"/>
      <c r="L16" s="963" t="s">
        <v>35</v>
      </c>
      <c r="M16" s="963"/>
      <c r="N16" s="963" t="s">
        <v>98</v>
      </c>
      <c r="O16" s="963"/>
      <c r="P16" s="963" t="s">
        <v>19</v>
      </c>
      <c r="Q16" s="963"/>
      <c r="R16" s="963" t="s">
        <v>35</v>
      </c>
      <c r="S16" s="963"/>
      <c r="T16" s="963" t="s">
        <v>99</v>
      </c>
      <c r="U16" s="963"/>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88.44696969696969696969696970</v>
      </c>
      <c r="E18" s="308">
        <v>-2.7083333333430624999999990200</v>
      </c>
      <c r="F18" s="308">
        <v>85.79380445304937076476282672</v>
      </c>
      <c r="G18" s="308">
        <v>2.8728961114776089363495475800</v>
      </c>
      <c r="H18" s="308">
        <v>103.09249049029311609573711615</v>
      </c>
      <c r="I18" s="309">
        <v>-5.4253643629220510300299566100</v>
      </c>
      <c r="J18" s="317">
        <v>234.46185484093733614073549379</v>
      </c>
      <c r="K18" s="308">
        <v>6.4688328070899901104196387800</v>
      </c>
      <c r="L18" s="318">
        <v>244.45179042841812994807973628</v>
      </c>
      <c r="M18" s="308">
        <v>6.3171032733947253693017440200</v>
      </c>
      <c r="N18" s="308">
        <v>95.91333098033138813219401136</v>
      </c>
      <c r="O18" s="309">
        <v>0.1427141344464843406747935700</v>
      </c>
      <c r="P18" s="317">
        <v>207.3744057021169242002338553</v>
      </c>
      <c r="Q18" s="308">
        <v>3.5853019185552286205838193300</v>
      </c>
      <c r="R18" s="318">
        <v>209.72449106213510906726589184</v>
      </c>
      <c r="S18" s="308">
        <v>9.371483199146017255642558330</v>
      </c>
      <c r="T18" s="308">
        <v>98.87944161977381599860662700</v>
      </c>
      <c r="U18" s="309">
        <v>-5.2903929902902369580921958800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89.08199643493761140819964349</v>
      </c>
      <c r="E19" s="134">
        <v>-0.4482071713657067943365717400</v>
      </c>
      <c r="F19" s="134">
        <v>87.29001765275326006491657650</v>
      </c>
      <c r="G19" s="134">
        <v>5.1258634668696417641880435600</v>
      </c>
      <c r="H19" s="134">
        <v>102.05290230237469787444034495</v>
      </c>
      <c r="I19" s="311">
        <v>-5.3022828582980661491469890300</v>
      </c>
      <c r="J19" s="319">
        <v>269.26588622014376095723847181</v>
      </c>
      <c r="K19" s="134">
        <v>2.3635744406249177014164835500</v>
      </c>
      <c r="L19" s="135">
        <v>282.43982180710882247502418582</v>
      </c>
      <c r="M19" s="134">
        <v>2.8051758127397594909319867200</v>
      </c>
      <c r="N19" s="134">
        <v>95.33566637216130995477600843</v>
      </c>
      <c r="O19" s="311">
        <v>-0.4295516919174751447814430700</v>
      </c>
      <c r="P19" s="319">
        <v>239.86742716313163019319059944</v>
      </c>
      <c r="Q19" s="134">
        <v>1.90477355918305905206142700</v>
      </c>
      <c r="R19" s="135">
        <v>246.54177031383014291439244602</v>
      </c>
      <c r="S19" s="134">
        <v>8.074828761802665033345457440</v>
      </c>
      <c r="T19" s="134">
        <v>97.29281446216062227951497498</v>
      </c>
      <c r="U19" s="311">
        <v>-5.7090585044688509952321542400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88.34498834498834498834498834</v>
      </c>
      <c r="E20" s="159">
        <v>-1.8770226537597888585163392500</v>
      </c>
      <c r="F20" s="159">
        <v>87.22913098518132400029786283</v>
      </c>
      <c r="G20" s="159">
        <v>4.3717018047405398873037539800</v>
      </c>
      <c r="H20" s="159">
        <v>101.27922558345522251585466474</v>
      </c>
      <c r="I20" s="313">
        <v>-5.9869910621318582688313183200</v>
      </c>
      <c r="J20" s="320">
        <v>273.0798071719606644109833159</v>
      </c>
      <c r="K20" s="159">
        <v>4.4150110031802683039864535500</v>
      </c>
      <c r="L20" s="160">
        <v>282.47736533015435020868181899</v>
      </c>
      <c r="M20" s="159">
        <v>4.2058496212516595127935970100</v>
      </c>
      <c r="N20" s="159">
        <v>96.67316418529529835820234330</v>
      </c>
      <c r="O20" s="313">
        <v>0.2007194247319782706542050900</v>
      </c>
      <c r="P20" s="320">
        <v>241.25232381858529559851439797</v>
      </c>
      <c r="Q20" s="159">
        <v>2.4551175927607835118944137300</v>
      </c>
      <c r="R20" s="160">
        <v>246.40255100732951510495932889</v>
      </c>
      <c r="S20" s="159">
        <v>8.761418629820460681324473670</v>
      </c>
      <c r="T20" s="159">
        <v>97.90983203393778088768120747</v>
      </c>
      <c r="U20" s="313">
        <v>-5.7982886914234344629248406200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82.10955710955710955710955711</v>
      </c>
      <c r="E21" s="315">
        <v>-0.6697215368705372594805232900</v>
      </c>
      <c r="F21" s="315">
        <v>79.121676967756348201653138730</v>
      </c>
      <c r="G21" s="315">
        <v>7.3226099130026661076934246700</v>
      </c>
      <c r="H21" s="315">
        <v>103.77631043256714783281979566</v>
      </c>
      <c r="I21" s="316">
        <v>-7.4470155509233536487910029500</v>
      </c>
      <c r="J21" s="321">
        <v>214.26905387654412036982990518</v>
      </c>
      <c r="K21" s="315">
        <v>-3.5908756360788728393800056200</v>
      </c>
      <c r="L21" s="322">
        <v>224.09060326567112916020020028</v>
      </c>
      <c r="M21" s="315">
        <v>-0.7418762312506134575565195400</v>
      </c>
      <c r="N21" s="315">
        <v>95.61715250616258378355826017</v>
      </c>
      <c r="O21" s="316">
        <v>-2.8702934295634957671568067400</v>
      </c>
      <c r="P21" s="321">
        <v>175.93537116086868624772164126</v>
      </c>
      <c r="Q21" s="315">
        <v>-4.2365483054108467917743764100</v>
      </c>
      <c r="R21" s="322">
        <v>177.30424323096076886658851575</v>
      </c>
      <c r="S21" s="315">
        <v>6.526408979363885089781107800</v>
      </c>
      <c r="T21" s="315">
        <v>99.22795301162201447760885667</v>
      </c>
      <c r="U21" s="316">
        <v>-10.103557782452047996566633260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93.18181818181818181818181818</v>
      </c>
      <c r="E24" s="308">
        <v>-0.3241491085382556364906519300</v>
      </c>
      <c r="F24" s="308">
        <v>87.41529525653436592449177154</v>
      </c>
      <c r="G24" s="308">
        <v>9.163442940015326487668782990</v>
      </c>
      <c r="H24" s="308">
        <v>106.59669787580954999549028856</v>
      </c>
      <c r="I24" s="309">
        <v>-8.691180667327055385541034510</v>
      </c>
      <c r="J24" s="317">
        <v>245.24796008743175458122712157</v>
      </c>
      <c r="K24" s="308">
        <v>11.854822610326109607830001160</v>
      </c>
      <c r="L24" s="318">
        <v>259.85856162743401538420464471</v>
      </c>
      <c r="M24" s="308">
        <v>14.166692795848277590342225980</v>
      </c>
      <c r="N24" s="308">
        <v>94.37747925314935063731384846</v>
      </c>
      <c r="O24" s="309">
        <v>-2.024995319449045537651735800</v>
      </c>
      <c r="P24" s="317">
        <v>228.52650826328868040523436328</v>
      </c>
      <c r="Q24" s="308">
        <v>11.492246199898685361446621770</v>
      </c>
      <c r="R24" s="318">
        <v>227.15612889600475884989041062</v>
      </c>
      <c r="S24" s="308">
        <v>24.628292546719821341547531130</v>
      </c>
      <c r="T24" s="308">
        <v>100.60327642223384070977788040</v>
      </c>
      <c r="U24" s="309">
        <v>-10.540179985140199286756954470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91.35472370766488413547237077</v>
      </c>
      <c r="E25" s="134">
        <v>1.1457705169284345717504212100</v>
      </c>
      <c r="F25" s="134">
        <v>85.58738112863732133705369854</v>
      </c>
      <c r="G25" s="134">
        <v>6.5007878750976012644097856600</v>
      </c>
      <c r="H25" s="134">
        <v>106.73854311583516930902272035</v>
      </c>
      <c r="I25" s="311">
        <v>-5.0281481151067813237275060200</v>
      </c>
      <c r="J25" s="319">
        <v>270.16959044864355692576277086</v>
      </c>
      <c r="K25" s="134">
        <v>0.771457554984064006587094700</v>
      </c>
      <c r="L25" s="135">
        <v>279.64519316636495079808461273</v>
      </c>
      <c r="M25" s="134">
        <v>3.2899803771432525848891851300</v>
      </c>
      <c r="N25" s="134">
        <v>96.61156245510070934796121831</v>
      </c>
      <c r="O25" s="311">
        <v>-2.4383031277862525778652771900</v>
      </c>
      <c r="P25" s="319">
        <v>246.81268289648809790455155092</v>
      </c>
      <c r="Q25" s="134">
        <v>1.9260672051357965603034931400</v>
      </c>
      <c r="R25" s="135">
        <v>239.34099728321082002706063033</v>
      </c>
      <c r="S25" s="134">
        <v>10.004642897635762678093746970</v>
      </c>
      <c r="T25" s="134">
        <v>103.12177424599231248288872214</v>
      </c>
      <c r="U25" s="311">
        <v>-7.343849750056679922687568500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91.43356643356643356643356643</v>
      </c>
      <c r="E26" s="159">
        <v>-0.7590132827678506745784433500</v>
      </c>
      <c r="F26" s="159">
        <v>84.77920917417529227790602428</v>
      </c>
      <c r="G26" s="159">
        <v>5.1528142917480136781995599300</v>
      </c>
      <c r="H26" s="159">
        <v>107.84904379762896734618496536</v>
      </c>
      <c r="I26" s="313">
        <v>-5.6221296732202619037971978600</v>
      </c>
      <c r="J26" s="320">
        <v>267.68244865917235645349301566</v>
      </c>
      <c r="K26" s="159">
        <v>0.6927145492763150158745609100</v>
      </c>
      <c r="L26" s="160">
        <v>273.76792711787179212568696083</v>
      </c>
      <c r="M26" s="159">
        <v>4.7721646021069364623792484100</v>
      </c>
      <c r="N26" s="159">
        <v>97.77713973919710057963788946</v>
      </c>
      <c r="O26" s="313">
        <v>-3.8936391820826453400326433200</v>
      </c>
      <c r="P26" s="320">
        <v>244.75160952578171752653294963</v>
      </c>
      <c r="Q26" s="159">
        <v>-0.0715565289029083829094378600</v>
      </c>
      <c r="R26" s="160">
        <v>232.09828358306429021899963133</v>
      </c>
      <c r="S26" s="159">
        <v>10.170879673497618026885450830</v>
      </c>
      <c r="T26" s="159">
        <v>105.45171026142093217991944132</v>
      </c>
      <c r="U26" s="313">
        <v>-9.296863411426674965278111200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79.61829836829836829836829837</v>
      </c>
      <c r="E27" s="315">
        <v>4.5438467313347229319040988300</v>
      </c>
      <c r="F27" s="315">
        <v>73.015488867376573088092933200</v>
      </c>
      <c r="G27" s="315">
        <v>11.22609969316395719589838500</v>
      </c>
      <c r="H27" s="315">
        <v>109.04302580633188735826227365</v>
      </c>
      <c r="I27" s="316">
        <v>-6.0078101995125186923422549300</v>
      </c>
      <c r="J27" s="321">
        <v>208.34447548632665629511166167</v>
      </c>
      <c r="K27" s="315">
        <v>-0.3280030286925984046985697500</v>
      </c>
      <c r="L27" s="322">
        <v>216.29943425018321834597562426</v>
      </c>
      <c r="M27" s="315">
        <v>0.1444041620922289310511820800</v>
      </c>
      <c r="N27" s="315">
        <v>96.32224707778402883222339894</v>
      </c>
      <c r="O27" s="316">
        <v>-0.4717259988260830309827431100</v>
      </c>
      <c r="P27" s="321">
        <v>165.88032612656981011841276675</v>
      </c>
      <c r="Q27" s="315">
        <v>4.2009397477432544990196756500</v>
      </c>
      <c r="R27" s="322">
        <v>157.93208933514103817759159206</v>
      </c>
      <c r="S27" s="315">
        <v>11.386714810497144537735804480</v>
      </c>
      <c r="T27" s="315">
        <v>105.03269273833594181879594192</v>
      </c>
      <c r="U27" s="316">
        <v>-6.4511957955625907272056222100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94.39393939393939393939393939</v>
      </c>
      <c r="E30" s="308">
        <v>-0.320000000031897599999989800</v>
      </c>
      <c r="F30" s="308">
        <v>84.72410454985479186834462730</v>
      </c>
      <c r="G30" s="308">
        <v>4.7641848216840872319195843900</v>
      </c>
      <c r="H30" s="308">
        <v>111.41332197656234451328940217</v>
      </c>
      <c r="I30" s="308">
        <v>-4.8529798903838714767051780400</v>
      </c>
      <c r="J30" s="317">
        <v>243.28080932462313226271332006</v>
      </c>
      <c r="K30" s="308">
        <v>11.036366390618664379467410990</v>
      </c>
      <c r="L30" s="318">
        <v>248.30432903964266286801453814</v>
      </c>
      <c r="M30" s="308">
        <v>6.2312350625600206892216830500</v>
      </c>
      <c r="N30" s="308">
        <v>97.97686986191219074452628352</v>
      </c>
      <c r="O30" s="309">
        <v>4.5232754050824998627089920200</v>
      </c>
      <c r="P30" s="317">
        <v>229.64233971097001727222787636</v>
      </c>
      <c r="Q30" s="308">
        <v>10.681050018147669914933150390</v>
      </c>
      <c r="R30" s="318">
        <v>210.37361933736230255768279166</v>
      </c>
      <c r="S30" s="308">
        <v>11.292287439229748986856095700</v>
      </c>
      <c r="T30" s="308">
        <v>109.15928548182963380809391880</v>
      </c>
      <c r="U30" s="309">
        <v>-0.5492181310742988229113781900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91.13190730837789661319073084</v>
      </c>
      <c r="E31" s="134">
        <v>-0.1248100716397101875294845300</v>
      </c>
      <c r="F31" s="134">
        <v>86.94835146062297135698422641</v>
      </c>
      <c r="G31" s="134">
        <v>4.9867201863967353418674442500</v>
      </c>
      <c r="H31" s="134">
        <v>104.81154130872008986717413066</v>
      </c>
      <c r="I31" s="134">
        <v>-4.86873982630370209281558700</v>
      </c>
      <c r="J31" s="319">
        <v>276.62006354790930162455467759</v>
      </c>
      <c r="K31" s="134">
        <v>2.0490297361586795741399299700</v>
      </c>
      <c r="L31" s="135">
        <v>290.95297203776383048789919219</v>
      </c>
      <c r="M31" s="134">
        <v>4.7517327117742279710436326700</v>
      </c>
      <c r="N31" s="134">
        <v>95.07380578053397682410091840</v>
      </c>
      <c r="O31" s="311">
        <v>-2.5801033602688446462072435800</v>
      </c>
      <c r="P31" s="319">
        <v>252.0891399088567387799529036</v>
      </c>
      <c r="Q31" s="134">
        <v>1.9216622690709936545990575800</v>
      </c>
      <c r="R31" s="135">
        <v>252.97881271252297293546681656</v>
      </c>
      <c r="S31" s="134">
        <v>9.975408512557751943557130320</v>
      </c>
      <c r="T31" s="134">
        <v>99.64832121943178786510445589</v>
      </c>
      <c r="U31" s="311">
        <v>-7.3232246666723046216575217700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91.78321678321678321678321678</v>
      </c>
      <c r="E32" s="159">
        <v>-0.8810572687571492335799691800</v>
      </c>
      <c r="F32" s="159">
        <v>87.29615012286841909300766997</v>
      </c>
      <c r="G32" s="159">
        <v>4.6026296006170049570012920800</v>
      </c>
      <c r="H32" s="159">
        <v>105.14005102630489489565633874</v>
      </c>
      <c r="I32" s="159">
        <v>-5.2423986760852197291587330700</v>
      </c>
      <c r="J32" s="320">
        <v>273.70586675291197315183070805</v>
      </c>
      <c r="K32" s="159">
        <v>1.11404988105614280407595900</v>
      </c>
      <c r="L32" s="160">
        <v>292.08132326789872468334092638</v>
      </c>
      <c r="M32" s="159">
        <v>6.3946370082881045004374223700</v>
      </c>
      <c r="N32" s="159">
        <v>93.70878757005155418707227452</v>
      </c>
      <c r="O32" s="313">
        <v>-4.9632079921627354149834922300</v>
      </c>
      <c r="P32" s="320">
        <v>251.21604903020766766557888414</v>
      </c>
      <c r="Q32" s="159">
        <v>0.2231771948803454330242804300</v>
      </c>
      <c r="R32" s="160">
        <v>254.97575044080547691286065083</v>
      </c>
      <c r="S32" s="159">
        <v>11.291588064719823110940333650</v>
      </c>
      <c r="T32" s="159">
        <v>98.52546706732205271788524036</v>
      </c>
      <c r="U32" s="313">
        <v>-9.945415518174284440810371050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79.67657342657342657342657343</v>
      </c>
      <c r="E33" s="315">
        <v>3.6091649986356809421352544700</v>
      </c>
      <c r="F33" s="315">
        <v>73.566535110581577183706902970</v>
      </c>
      <c r="G33" s="315">
        <v>10.721883346979554584788422210</v>
      </c>
      <c r="H33" s="315">
        <v>108.30545887037847991996357398</v>
      </c>
      <c r="I33" s="315">
        <v>-6.4239499306060618927386279500</v>
      </c>
      <c r="J33" s="321">
        <v>211.54015585788148488603565835</v>
      </c>
      <c r="K33" s="315">
        <v>-0.7231617968372048912111309400</v>
      </c>
      <c r="L33" s="322">
        <v>226.17660724302680874816840633</v>
      </c>
      <c r="M33" s="315">
        <v>0.2146576276716159585746910900</v>
      </c>
      <c r="N33" s="315">
        <v>93.52875102180952776563603940</v>
      </c>
      <c r="O33" s="316">
        <v>-0.9358106355603860267549225800</v>
      </c>
      <c r="P33" s="321">
        <v>168.54794760879280898043837638</v>
      </c>
      <c r="Q33" s="315">
        <v>2.8599030992468988901296616600</v>
      </c>
      <c r="R33" s="322">
        <v>166.39029317936351182704168056</v>
      </c>
      <c r="S33" s="315">
        <v>10.959556315117674827108918570</v>
      </c>
      <c r="T33" s="315">
        <v>101.29674296989575713557123677</v>
      </c>
      <c r="U33" s="316">
        <v>-7.29964455955682705306011200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94.69696969696969696969696970</v>
      </c>
      <c r="E36" s="308">
        <v>6.1571125265933709278267142500</v>
      </c>
      <c r="F36" s="308">
        <v>85.63407550822846079380445305</v>
      </c>
      <c r="G36" s="308">
        <v>0.323220867573171627774210200</v>
      </c>
      <c r="H36" s="308">
        <v>110.58328023626747507809906437</v>
      </c>
      <c r="I36" s="308">
        <v>5.8150960550911255654421065600</v>
      </c>
      <c r="J36" s="317">
        <v>238.103150537023356253906916</v>
      </c>
      <c r="K36" s="308">
        <v>4.7687967189372325969829580400</v>
      </c>
      <c r="L36" s="318">
        <v>248.96064546135248420244930344</v>
      </c>
      <c r="M36" s="308">
        <v>0.6478299474329746171802465100</v>
      </c>
      <c r="N36" s="308">
        <v>95.63887099334338786382101653</v>
      </c>
      <c r="O36" s="309">
        <v>4.0944417516395858550721859700</v>
      </c>
      <c r="P36" s="317">
        <v>225.47646831157514796771488258</v>
      </c>
      <c r="Q36" s="308">
        <v>11.219529425643026784812300720</v>
      </c>
      <c r="R36" s="318">
        <v>213.19514712014753874684090399</v>
      </c>
      <c r="S36" s="308">
        <v>0.9731447366313948840442978200</v>
      </c>
      <c r="T36" s="308">
        <v>105.76060072537986359348680034</v>
      </c>
      <c r="U36" s="309">
        <v>10.147633527469848075262748890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92.29797979797979797979797980</v>
      </c>
      <c r="E37" s="134">
        <v>2.0781994413868800697752032400</v>
      </c>
      <c r="F37" s="134">
        <v>87.09798859847262557814348715</v>
      </c>
      <c r="G37" s="134">
        <v>3.753892854069918910187654400</v>
      </c>
      <c r="H37" s="134">
        <v>105.97027702149410157001075835</v>
      </c>
      <c r="I37" s="134">
        <v>-1.6150655812287457271836652900</v>
      </c>
      <c r="J37" s="319">
        <v>275.1169390915670621481342395</v>
      </c>
      <c r="K37" s="134">
        <v>-0.1566268191304005255100384200</v>
      </c>
      <c r="L37" s="135">
        <v>287.39933103270172577864210478</v>
      </c>
      <c r="M37" s="134">
        <v>2.5528008009011576931118852600</v>
      </c>
      <c r="N37" s="134">
        <v>95.72636724762053814876915059</v>
      </c>
      <c r="O37" s="311">
        <v>-2.6419830554127039472416982800</v>
      </c>
      <c r="P37" s="319">
        <v>253.92737686355495256349258721</v>
      </c>
      <c r="Q37" s="134">
        <v>1.9183176046419661149533688500</v>
      </c>
      <c r="R37" s="135">
        <v>250.31903657494914751990474814</v>
      </c>
      <c r="S37" s="134">
        <v>6.4025230618249146406492007600</v>
      </c>
      <c r="T37" s="134">
        <v>101.44149655496747313655545723</v>
      </c>
      <c r="U37" s="311">
        <v>-4.2143788776498847074371649800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93.76456876456876456876456876</v>
      </c>
      <c r="E38" s="159">
        <v>2.7841362789994579566815809700</v>
      </c>
      <c r="F38" s="159">
        <v>87.34827611884727083178196441</v>
      </c>
      <c r="G38" s="159">
        <v>1.0567591131243631116422451600</v>
      </c>
      <c r="H38" s="159">
        <v>107.34564313214623781215194017</v>
      </c>
      <c r="I38" s="159">
        <v>1.709313836132216181387884300</v>
      </c>
      <c r="J38" s="320">
        <v>269.90944526745384052999593961</v>
      </c>
      <c r="K38" s="159">
        <v>-2.8759339829709848118484689700</v>
      </c>
      <c r="L38" s="160">
        <v>288.19200561477264347188623715</v>
      </c>
      <c r="M38" s="159">
        <v>2.0396376542897883494215453800</v>
      </c>
      <c r="N38" s="159">
        <v>93.65611814653082626810706276</v>
      </c>
      <c r="O38" s="313">
        <v>-4.8173158493114671976425406600</v>
      </c>
      <c r="P38" s="320">
        <v>253.07942740986784930813721843</v>
      </c>
      <c r="Q38" s="159">
        <v>-0.17186762538709060967008600</v>
      </c>
      <c r="R38" s="160">
        <v>251.73074881683543882085230187</v>
      </c>
      <c r="S38" s="159">
        <v>3.1179508242117328880475574900</v>
      </c>
      <c r="T38" s="159">
        <v>100.53576235696552348719943524</v>
      </c>
      <c r="U38" s="313">
        <v>-3.1903450595192257831497714200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81.38936535162950257289879931</v>
      </c>
      <c r="E39" s="315">
        <v>2.0377358490387122253812385900</v>
      </c>
      <c r="F39" s="315">
        <v>74.647938775137445432793293030</v>
      </c>
      <c r="G39" s="315">
        <v>8.548610951504419989487990790</v>
      </c>
      <c r="H39" s="315">
        <v>109.03096145339007267377210877</v>
      </c>
      <c r="I39" s="315">
        <v>-5.9981192253871161065520745200</v>
      </c>
      <c r="J39" s="321">
        <v>211.4489240061526330869404589</v>
      </c>
      <c r="K39" s="315">
        <v>-4.3206450209099001326888205300</v>
      </c>
      <c r="L39" s="322">
        <v>221.34192811983071905629458068</v>
      </c>
      <c r="M39" s="315">
        <v>-4.3674151426753000750768576300</v>
      </c>
      <c r="N39" s="315">
        <v>95.53044278701103689134813929</v>
      </c>
      <c r="O39" s="316">
        <v>0.0489060521114698123278016100</v>
      </c>
      <c r="P39" s="321">
        <v>172.09693729145698867882203731</v>
      </c>
      <c r="Q39" s="315">
        <v>-2.3709525043461665158905022100</v>
      </c>
      <c r="R39" s="322">
        <v>165.22718698659996816584235727</v>
      </c>
      <c r="S39" s="315">
        <v>3.8078424795865909939215699600</v>
      </c>
      <c r="T39" s="315">
        <v>104.15776025129213665817307876</v>
      </c>
      <c r="U39" s="316">
        <v>-5.9521466166546152547267980100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93.18181818181818181818181818</v>
      </c>
      <c r="E42" s="308">
        <v>-0.4048582995886901932501757900</v>
      </c>
      <c r="F42" s="308">
        <v>88.35914811229428848015488867</v>
      </c>
      <c r="G42" s="308">
        <v>2.9030439684054250040354993400</v>
      </c>
      <c r="H42" s="308">
        <v>105.45803142351351388039203603</v>
      </c>
      <c r="I42" s="308">
        <v>-3.2145815521590803046852744900</v>
      </c>
      <c r="J42" s="317">
        <v>246.57669036342576871242372699</v>
      </c>
      <c r="K42" s="308">
        <v>-6.7861753766473273968657664400</v>
      </c>
      <c r="L42" s="318">
        <v>239.23349366732852371644742429</v>
      </c>
      <c r="M42" s="308">
        <v>-10.243479292998243631586399970</v>
      </c>
      <c r="N42" s="308">
        <v>103.06946848602139730710822450</v>
      </c>
      <c r="O42" s="309">
        <v>3.8518693562300872477098327900</v>
      </c>
      <c r="P42" s="317">
        <v>229.76464329319219357294029106</v>
      </c>
      <c r="Q42" s="308">
        <v>-7.1635592820037517550866848300</v>
      </c>
      <c r="R42" s="318">
        <v>211.38467700373098743677384949</v>
      </c>
      <c r="S42" s="308">
        <v>-7.6378080323472526031446441700</v>
      </c>
      <c r="T42" s="308">
        <v>108.69503246404680381434202032</v>
      </c>
      <c r="U42" s="309">
        <v>0.5134663223348360509572787300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92.24598930481283422459893048</v>
      </c>
      <c r="E43" s="134">
        <v>-0.4807692307833931213017731300</v>
      </c>
      <c r="F43" s="134">
        <v>88.79904333466203519161778942</v>
      </c>
      <c r="G43" s="134">
        <v>2.5185102755981766764752188900</v>
      </c>
      <c r="H43" s="134">
        <v>103.88173773125084021243603750</v>
      </c>
      <c r="I43" s="134">
        <v>-2.9255980196782949219017321800</v>
      </c>
      <c r="J43" s="319">
        <v>283.72274351595988393982781485</v>
      </c>
      <c r="K43" s="134">
        <v>-5.4510552976423838782134791800</v>
      </c>
      <c r="L43" s="135">
        <v>286.60729777463086394927947093</v>
      </c>
      <c r="M43" s="134">
        <v>-3.7471171771362946670019485500</v>
      </c>
      <c r="N43" s="134">
        <v>98.99355170610182769504401611</v>
      </c>
      <c r="O43" s="311">
        <v>-1.7702722978903019464464276300</v>
      </c>
      <c r="P43" s="319">
        <v>261.72285163905390363433314471</v>
      </c>
      <c r="Q43" s="134">
        <v>-5.9056175317859822255290966100</v>
      </c>
      <c r="R43" s="135">
        <v>254.50453855119831970987210692</v>
      </c>
      <c r="S43" s="134">
        <v>-1.3229784326270218052515541300</v>
      </c>
      <c r="T43" s="134">
        <v>102.83622175421510532165814826</v>
      </c>
      <c r="U43" s="311">
        <v>-4.6440792662144173282943866100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92.73989898989898989898989899</v>
      </c>
      <c r="E44" s="159">
        <v>-0.474254742528005816643528500</v>
      </c>
      <c r="F44" s="159">
        <v>90.59373991610196837689577283</v>
      </c>
      <c r="G44" s="159">
        <v>2.3166362755605257303713196800</v>
      </c>
      <c r="H44" s="159">
        <v>102.36899268733863373304492418</v>
      </c>
      <c r="I44" s="159">
        <v>-2.727700127481206045668445300</v>
      </c>
      <c r="J44" s="320">
        <v>293.66552504854790535324752331</v>
      </c>
      <c r="K44" s="159">
        <v>-4.0074437333224787111773566500</v>
      </c>
      <c r="L44" s="160">
        <v>300.41214831028281526786111413</v>
      </c>
      <c r="M44" s="159">
        <v>-1.6315836762415299357586820400</v>
      </c>
      <c r="N44" s="159">
        <v>97.75421090668297105941610061</v>
      </c>
      <c r="O44" s="313">
        <v>-2.4152671618268586560627693100</v>
      </c>
      <c r="P44" s="320">
        <v>272.34511129817984404287917408</v>
      </c>
      <c r="Q44" s="159">
        <v>-4.4626929838883756302766493600</v>
      </c>
      <c r="R44" s="160">
        <v>272.1546003165921277394385537</v>
      </c>
      <c r="S44" s="159">
        <v>0.6472547399802133397088245200</v>
      </c>
      <c r="T44" s="159">
        <v>100.07000101462853129455289163</v>
      </c>
      <c r="U44" s="313">
        <v>-5.0770860438448536222109660400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85.06701631701631701631701632</v>
      </c>
      <c r="E45" s="315">
        <v>0.3437016670016442453848215600</v>
      </c>
      <c r="F45" s="315">
        <v>79.45677265619182366520217440</v>
      </c>
      <c r="G45" s="315">
        <v>4.4543213073458217922822245700</v>
      </c>
      <c r="H45" s="315">
        <v>107.06074947832474108003036589</v>
      </c>
      <c r="I45" s="315">
        <v>-3.9353275087124323587472693300</v>
      </c>
      <c r="J45" s="321">
        <v>221.60590268324215938318314468</v>
      </c>
      <c r="K45" s="315">
        <v>-7.6589659313349273698632664900</v>
      </c>
      <c r="L45" s="322">
        <v>226.97716378101304370397231403</v>
      </c>
      <c r="M45" s="315">
        <v>-6.3693692187576223049564896500</v>
      </c>
      <c r="N45" s="315">
        <v>97.63356762051167071243506397</v>
      </c>
      <c r="O45" s="316">
        <v>-1.3773235337787143418237864600</v>
      </c>
      <c r="P45" s="321">
        <v>188.51352939502490801841584816</v>
      </c>
      <c r="Q45" s="315">
        <v>-7.3415882579407440563226469200</v>
      </c>
      <c r="R45" s="322">
        <v>180.34872900695170374430788471</v>
      </c>
      <c r="S45" s="315">
        <v>-2.1987600816253560136753614400</v>
      </c>
      <c r="T45" s="315">
        <v>104.52722923692353937899457024</v>
      </c>
      <c r="U45" s="316">
        <v>-5.2584488505981470230743415700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93.18181818181818181818181818</v>
      </c>
      <c r="E48" s="308">
        <v>-2.3809523809058956916099551900</v>
      </c>
      <c r="F48" s="308">
        <v>94.65150048402710551790900290</v>
      </c>
      <c r="G48" s="308">
        <v>5.5885529157864652480069449800</v>
      </c>
      <c r="H48" s="308">
        <v>98.44726993796547896063865867</v>
      </c>
      <c r="I48" s="308">
        <v>-7.5476981894670104132088346100</v>
      </c>
      <c r="J48" s="317">
        <v>329.43193528691836330194864136</v>
      </c>
      <c r="K48" s="308">
        <v>-1.4619523502201178810154805600</v>
      </c>
      <c r="L48" s="318">
        <v>308.39901506951215144597372999</v>
      </c>
      <c r="M48" s="308">
        <v>-0.6853519267137289999521997900</v>
      </c>
      <c r="N48" s="308">
        <v>106.82003482166713116800648186</v>
      </c>
      <c r="O48" s="309">
        <v>-0.7819595986577007240946028800</v>
      </c>
      <c r="P48" s="317">
        <v>306.97066697190120216772487036</v>
      </c>
      <c r="Q48" s="308">
        <v>-3.8080963418829137622030129100</v>
      </c>
      <c r="R48" s="318">
        <v>291.90429524125412011258549322</v>
      </c>
      <c r="S48" s="308">
        <v>4.8648997339832441175922177500</v>
      </c>
      <c r="T48" s="308">
        <v>105.16140802866457466634989105</v>
      </c>
      <c r="U48" s="309">
        <v>-8.270637837665987969276522410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93.22638146167557932263814617</v>
      </c>
      <c r="E49" s="134">
        <v>-1.4601978333018004144101265100</v>
      </c>
      <c r="F49" s="134">
        <v>92.51181595581117248448266044</v>
      </c>
      <c r="G49" s="134">
        <v>2.4009087068021739935226436100</v>
      </c>
      <c r="H49" s="134">
        <v>100.77240458258540957421146851</v>
      </c>
      <c r="I49" s="134">
        <v>-3.7705783950868049866786357100</v>
      </c>
      <c r="J49" s="319">
        <v>341.96594427932209775278006874</v>
      </c>
      <c r="K49" s="134">
        <v>-6.7476185304673227992360544700</v>
      </c>
      <c r="L49" s="135">
        <v>331.31241986868056112622069432</v>
      </c>
      <c r="M49" s="134">
        <v>-5.3162035379211822022475327600</v>
      </c>
      <c r="N49" s="134">
        <v>103.21555238250474221008943621</v>
      </c>
      <c r="O49" s="311">
        <v>-1.5117845355419704145239235900</v>
      </c>
      <c r="P49" s="319">
        <v>318.8024756828617774058894402</v>
      </c>
      <c r="Q49" s="134">
        <v>-8.109287784160195114183972350</v>
      </c>
      <c r="R49" s="135">
        <v>306.50313610765812858359896361</v>
      </c>
      <c r="S49" s="134">
        <v>-3.0429320246794460960117940300</v>
      </c>
      <c r="T49" s="134">
        <v>104.01279403902738477229053435</v>
      </c>
      <c r="U49" s="311">
        <v>-5.2253599096133743029204511800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94.19191919191919191919191919</v>
      </c>
      <c r="E50" s="159">
        <v>-1.6828872668331785272405442100</v>
      </c>
      <c r="F50" s="159">
        <v>93.83672152307195869635366247</v>
      </c>
      <c r="G50" s="159">
        <v>2.2910351549504693492803549500</v>
      </c>
      <c r="H50" s="159">
        <v>100.37852736439833109260525977</v>
      </c>
      <c r="I50" s="159">
        <v>-3.8849175940314352910696030200</v>
      </c>
      <c r="J50" s="320">
        <v>362.84405434509920568240365374</v>
      </c>
      <c r="K50" s="159">
        <v>-4.3269262879791636483113012700</v>
      </c>
      <c r="L50" s="160">
        <v>352.56597567153146607903981094</v>
      </c>
      <c r="M50" s="159">
        <v>-2.7856233266625800540890037900</v>
      </c>
      <c r="N50" s="159">
        <v>102.91522137212006750470387860</v>
      </c>
      <c r="O50" s="313">
        <v>-1.5854681314065181096448192700</v>
      </c>
      <c r="P50" s="320">
        <v>341.76977846141920131196101729</v>
      </c>
      <c r="Q50" s="159">
        <v>-5.9369962632723397860272930200</v>
      </c>
      <c r="R50" s="160">
        <v>330.83635277599661289378759929</v>
      </c>
      <c r="S50" s="159">
        <v>-0.5584077813653133026709208100</v>
      </c>
      <c r="T50" s="159">
        <v>103.30478364716525474502833367</v>
      </c>
      <c r="U50" s="313">
        <v>-5.4087915950830588764948523300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87.01923076923076923076923077</v>
      </c>
      <c r="E51" s="315">
        <v>-1.1256414500834501403133320200</v>
      </c>
      <c r="F51" s="315">
        <v>84.24119442996500111698562812</v>
      </c>
      <c r="G51" s="315">
        <v>1.3649267328981976212434219700</v>
      </c>
      <c r="H51" s="315">
        <v>103.29771717747802264960030526</v>
      </c>
      <c r="I51" s="315">
        <v>-2.4570315032494673539331345400</v>
      </c>
      <c r="J51" s="321">
        <v>279.592660349984141205128312</v>
      </c>
      <c r="K51" s="315">
        <v>-8.801989955753863086820320210</v>
      </c>
      <c r="L51" s="322">
        <v>274.04364240477284787454840457</v>
      </c>
      <c r="M51" s="315">
        <v>-5.1899397391493087238890931900</v>
      </c>
      <c r="N51" s="315">
        <v>102.02486651268029840363837526</v>
      </c>
      <c r="O51" s="316">
        <v>-3.8097752566118441936504402800</v>
      </c>
      <c r="P51" s="321">
        <v>243.29938232378427672177030997</v>
      </c>
      <c r="Q51" s="315">
        <v>-9.828552558466186984275560530</v>
      </c>
      <c r="R51" s="322">
        <v>230.85763762116271016403287391</v>
      </c>
      <c r="S51" s="315">
        <v>-3.8958518811948732633322702800</v>
      </c>
      <c r="T51" s="315">
        <v>105.38935806100518322762097394</v>
      </c>
      <c r="U51" s="316">
        <v>-6.1731993815250519728859254200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93.37121212121212121212121212</v>
      </c>
      <c r="E54" s="308">
        <v>-1.5968063872632603057358192700</v>
      </c>
      <c r="F54" s="308">
        <v>96.58760890609874152952565344</v>
      </c>
      <c r="G54" s="308">
        <v>4.2853409981167182498290420600</v>
      </c>
      <c r="H54" s="308">
        <v>96.66996955270444951392335451</v>
      </c>
      <c r="I54" s="308">
        <v>-5.6404354908014577829659376200</v>
      </c>
      <c r="J54" s="317">
        <v>340.97294180814750255350781838</v>
      </c>
      <c r="K54" s="308">
        <v>0.4577862246394773693638264900</v>
      </c>
      <c r="L54" s="318">
        <v>316.24564175987202982573101128</v>
      </c>
      <c r="M54" s="308">
        <v>2.0552178302241643918659317100</v>
      </c>
      <c r="N54" s="308">
        <v>107.81901686000813318223918676</v>
      </c>
      <c r="O54" s="309">
        <v>-1.5652620605920545283581992200</v>
      </c>
      <c r="P54" s="317">
        <v>318.37056877162257340696847436</v>
      </c>
      <c r="Q54" s="308">
        <v>-1.146330122254849497900481700</v>
      </c>
      <c r="R54" s="318">
        <v>305.45410364560727759789265876</v>
      </c>
      <c r="S54" s="308">
        <v>6.4286319206791749559727313500</v>
      </c>
      <c r="T54" s="308">
        <v>104.22861077060819912179144663</v>
      </c>
      <c r="U54" s="309">
        <v>-7.1174099546661307734458959100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93.85026737967914438502673797</v>
      </c>
      <c r="E55" s="134">
        <v>-0.9407337723140978203826749600</v>
      </c>
      <c r="F55" s="134">
        <v>94.45361881441831330789818347</v>
      </c>
      <c r="G55" s="134">
        <v>1.7062552637353284196299084800</v>
      </c>
      <c r="H55" s="134">
        <v>99.36121935581268464622311684</v>
      </c>
      <c r="I55" s="134">
        <v>-2.6025823378964337297403245200</v>
      </c>
      <c r="J55" s="319">
        <v>350.27944973055719505286535174</v>
      </c>
      <c r="K55" s="134">
        <v>-5.1325510523267138992500838500</v>
      </c>
      <c r="L55" s="135">
        <v>340.75298531530506889231056582</v>
      </c>
      <c r="M55" s="134">
        <v>-3.7805441308911696158856452300</v>
      </c>
      <c r="N55" s="134">
        <v>102.79570974453600816683772205</v>
      </c>
      <c r="O55" s="311">
        <v>-1.4051284214653422549282944200</v>
      </c>
      <c r="P55" s="319">
        <v>328.73820014819672583838432743</v>
      </c>
      <c r="Q55" s="134">
        <v>-6.0250011835138902543114605700</v>
      </c>
      <c r="R55" s="135">
        <v>321.85352584846906085739737801</v>
      </c>
      <c r="S55" s="134">
        <v>-2.138794600395912938147217700</v>
      </c>
      <c r="T55" s="134">
        <v>102.13907064760179693339791150</v>
      </c>
      <c r="U55" s="311">
        <v>-3.9711411352891158989331773800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94.17249417249417249417249417</v>
      </c>
      <c r="E56" s="159">
        <v>-0.8588957054745172193157216800</v>
      </c>
      <c r="F56" s="159">
        <v>96.32884056891801325489612034</v>
      </c>
      <c r="G56" s="159">
        <v>2.419259460467327190104327600</v>
      </c>
      <c r="H56" s="159">
        <v>97.76147373551799067943789751</v>
      </c>
      <c r="I56" s="159">
        <v>-3.2007214104326218568070356800</v>
      </c>
      <c r="J56" s="320">
        <v>364.28603182592310056216278207</v>
      </c>
      <c r="K56" s="159">
        <v>-3.9952587452718002919021347900</v>
      </c>
      <c r="L56" s="160">
        <v>357.72565392849502900008908766</v>
      </c>
      <c r="M56" s="159">
        <v>-1.9777097094640869840234329600</v>
      </c>
      <c r="N56" s="159">
        <v>101.83391317490871048410257713</v>
      </c>
      <c r="O56" s="313">
        <v>-2.0582553517794944503413993100</v>
      </c>
      <c r="P56" s="320">
        <v>343.05724209247769843150061528</v>
      </c>
      <c r="Q56" s="159">
        <v>-4.819839344981162921316254200</v>
      </c>
      <c r="R56" s="160">
        <v>344.59297484689937412652859022</v>
      </c>
      <c r="S56" s="159">
        <v>0.3937038217198171234382552500</v>
      </c>
      <c r="T56" s="159">
        <v>99.55433428232115997655910171</v>
      </c>
      <c r="U56" s="313">
        <v>-5.1930977424449308090558584600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87.51456876456876456876456876</v>
      </c>
      <c r="E57" s="315">
        <v>-2.4204028589833722816897100800</v>
      </c>
      <c r="F57" s="315">
        <v>86.84749422890758805570034999</v>
      </c>
      <c r="G57" s="315">
        <v>0.7883965345707429011876973600</v>
      </c>
      <c r="H57" s="315">
        <v>100.76809877082991765120463609</v>
      </c>
      <c r="I57" s="315">
        <v>-3.1836992192424851854424572300</v>
      </c>
      <c r="J57" s="321">
        <v>281.14748495144481159438116283</v>
      </c>
      <c r="K57" s="315">
        <v>-8.273920921153196431023112280</v>
      </c>
      <c r="L57" s="322">
        <v>277.35639217447491834064562472</v>
      </c>
      <c r="M57" s="315">
        <v>-4.3023476080653012491108114300</v>
      </c>
      <c r="N57" s="315">
        <v>101.36686692065118471033645603</v>
      </c>
      <c r="O57" s="316">
        <v>-4.1501261670015019185052554500</v>
      </c>
      <c r="P57" s="321">
        <v>246.04500904768778893465146345</v>
      </c>
      <c r="Q57" s="315">
        <v>-10.494061561622080048601131470</v>
      </c>
      <c r="R57" s="322">
        <v>240.87707668723340188229687689</v>
      </c>
      <c r="S57" s="315">
        <v>-3.547870632915697902695295300</v>
      </c>
      <c r="T57" s="315">
        <v>102.14546457951198159854992839</v>
      </c>
      <c r="U57" s="316">
        <v>-7.2016978518236031252950380800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14" t="s">
        <v>57</v>
      </c>
      <c r="C59" s="1114"/>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92.94077134986225895316804408</v>
      </c>
      <c r="E60" s="246">
        <v>0.4465947152593837452764818900</v>
      </c>
      <c r="F60" s="246">
        <v>86.27563143536038018129015225</v>
      </c>
      <c r="G60" s="246">
        <v>4.1042794945231522138012605600</v>
      </c>
      <c r="H60" s="246">
        <v>107.72540264680979943103305423</v>
      </c>
      <c r="I60" s="239">
        <v>-3.5134816715263350782238291900</v>
      </c>
      <c r="J60" s="326">
        <v>241.51531216280824249594735605</v>
      </c>
      <c r="K60" s="246">
        <v>5.4107296300712192237723214700</v>
      </c>
      <c r="L60" s="328">
        <v>248.19528157288155784466283859</v>
      </c>
      <c r="M60" s="246">
        <v>3.2317849406169429321467187200</v>
      </c>
      <c r="N60" s="246">
        <v>97.30858323826365140436932689</v>
      </c>
      <c r="O60" s="239">
        <v>2.110730421482085015237228200</v>
      </c>
      <c r="P60" s="326">
        <v>224.46619405214168267787944696</v>
      </c>
      <c r="Q60" s="246">
        <v>5.8814883779430989063984449400</v>
      </c>
      <c r="R60" s="328">
        <v>214.13204636977421036083359484</v>
      </c>
      <c r="S60" s="246">
        <v>7.4687059217940163228954151900</v>
      </c>
      <c r="T60" s="246">
        <v>104.82606310336889104474408650</v>
      </c>
      <c r="U60" s="239">
        <v>-1.4769113764640135521009416600</v>
      </c>
    </row>
    <row r="61" ht="15.95" customHeight="1">
      <c r="B61" s="345" t="s">
        <v>67</v>
      </c>
      <c r="C61" s="304" t="s">
        <v>58</v>
      </c>
      <c r="D61" s="240">
        <v>91.23502466525722339675828048</v>
      </c>
      <c r="E61" s="121">
        <v>0.4451177505718849754485071700</v>
      </c>
      <c r="F61" s="121">
        <v>87.14401494855804948332920597</v>
      </c>
      <c r="G61" s="121">
        <v>4.5974663902593340227198692200</v>
      </c>
      <c r="H61" s="121">
        <v>104.69453894116562842843242131</v>
      </c>
      <c r="I61" s="241">
        <v>-3.9698367303333860325396196400</v>
      </c>
      <c r="J61" s="329">
        <v>275.02517364440520601717192864</v>
      </c>
      <c r="K61" s="121">
        <v>-0.1977743357910647811501602300</v>
      </c>
      <c r="L61" s="136">
        <v>285.45325418691566993483037572</v>
      </c>
      <c r="M61" s="121">
        <v>1.8337926047721062832478691500</v>
      </c>
      <c r="N61" s="121">
        <v>96.34683424009346651989374054</v>
      </c>
      <c r="O61" s="241">
        <v>-1.9949830882260998356024422400</v>
      </c>
      <c r="P61" s="329">
        <v>250.91928501013959819589937147</v>
      </c>
      <c r="Q61" s="121">
        <v>0.2464630860578796165292472100</v>
      </c>
      <c r="R61" s="136">
        <v>248.75542649979119767829941238</v>
      </c>
      <c r="S61" s="121">
        <v>6.5155669936385473968409558700</v>
      </c>
      <c r="T61" s="121">
        <v>100.86987389211440496703439765</v>
      </c>
      <c r="U61" s="241">
        <v>-5.8856222470410407551229894100</v>
      </c>
    </row>
    <row r="62" ht="15.95" customHeight="1">
      <c r="B62" s="345"/>
      <c r="C62" s="305" t="s">
        <v>44</v>
      </c>
      <c r="D62" s="242">
        <v>91.59564393939393939393939394</v>
      </c>
      <c r="E62" s="156">
        <v>-0.2706534346683217678139452800</v>
      </c>
      <c r="F62" s="156">
        <v>87.40016940948693126815101646</v>
      </c>
      <c r="G62" s="156">
        <v>3.4393081004508628444763991800</v>
      </c>
      <c r="H62" s="156">
        <v>104.80030480288509651065425712</v>
      </c>
      <c r="I62" s="243">
        <v>-3.5866070677359456948164450600</v>
      </c>
      <c r="J62" s="330">
        <v>275.36164945546914637030223471</v>
      </c>
      <c r="K62" s="156">
        <v>-0.4056177389861951724586375400</v>
      </c>
      <c r="L62" s="186">
        <v>287.35553826052636261364363354</v>
      </c>
      <c r="M62" s="156">
        <v>2.8692983322879024563647518600</v>
      </c>
      <c r="N62" s="156">
        <v>95.82611531427736603308814469</v>
      </c>
      <c r="O62" s="243">
        <v>-3.1835699517145495325269910200</v>
      </c>
      <c r="P62" s="330">
        <v>252.21927598087360968435117095</v>
      </c>
      <c r="Q62" s="156">
        <v>-0.6751733553589083433862518200</v>
      </c>
      <c r="R62" s="186">
        <v>251.14922724724307666598433617</v>
      </c>
      <c r="S62" s="156">
        <v>6.4072904427904987283089999300</v>
      </c>
      <c r="T62" s="156">
        <v>100.42606093014986148654190895</v>
      </c>
      <c r="U62" s="243">
        <v>-6.6559948746392033971663282500</v>
      </c>
    </row>
    <row r="63" ht="15.95" customHeight="1">
      <c r="B63" s="346"/>
      <c r="C63" s="349" t="s">
        <v>45</v>
      </c>
      <c r="D63" s="244">
        <v>81.57146174387553697898525485</v>
      </c>
      <c r="E63" s="250">
        <v>1.9319060901476771034677178600</v>
      </c>
      <c r="F63" s="250">
        <v>75.956648974641430494820353620</v>
      </c>
      <c r="G63" s="250">
        <v>8.358079528547483785611313220</v>
      </c>
      <c r="H63" s="250">
        <v>107.39212806920054820817884435</v>
      </c>
      <c r="I63" s="245">
        <v>-5.9304977222791529443360534200</v>
      </c>
      <c r="J63" s="332">
        <v>213.53887832709019468862117735</v>
      </c>
      <c r="K63" s="250">
        <v>-3.5523586526201707331423589500</v>
      </c>
      <c r="L63" s="334">
        <v>223.05402837169083517145693924</v>
      </c>
      <c r="M63" s="250">
        <v>-2.4219160091917717988125191100</v>
      </c>
      <c r="N63" s="250">
        <v>95.73415010073091294464513052</v>
      </c>
      <c r="O63" s="245">
        <v>-1.1585005538065880839875333900</v>
      </c>
      <c r="P63" s="332">
        <v>174.18678444288330840979684626</v>
      </c>
      <c r="Q63" s="250">
        <v>-1.6890807956749263517078168600</v>
      </c>
      <c r="R63" s="334">
        <v>169.42436535408231221761374686</v>
      </c>
      <c r="S63" s="250">
        <v>5.7337378531896078743877881800</v>
      </c>
      <c r="T63" s="250">
        <v>102.81094108207504041001961446</v>
      </c>
      <c r="U63" s="245">
        <v>-7.0202934271867157665069295900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93.27651515151515151515151515</v>
      </c>
      <c r="E66" s="246">
        <v>-1.9900497512905918170342094700</v>
      </c>
      <c r="F66" s="246">
        <v>95.61955469506292352371732817</v>
      </c>
      <c r="G66" s="246">
        <v>4.9263046076037731389229246500</v>
      </c>
      <c r="H66" s="246">
        <v>97.54962303363987852141698919</v>
      </c>
      <c r="I66" s="239">
        <v>-6.591630558960595445777526300</v>
      </c>
      <c r="J66" s="326">
        <v>335.20829692647771929283054417</v>
      </c>
      <c r="K66" s="246">
        <v>-0.4908302981466254728388279700</v>
      </c>
      <c r="L66" s="328">
        <v>312.36204811446612191087012453</v>
      </c>
      <c r="M66" s="246">
        <v>0.6980249627478785829757197900</v>
      </c>
      <c r="N66" s="246">
        <v>107.31402836864584676136169066</v>
      </c>
      <c r="O66" s="239">
        <v>-1.1806142785368571160135844600</v>
      </c>
      <c r="P66" s="326">
        <v>312.67061787176188778734667236</v>
      </c>
      <c r="Q66" s="246">
        <v>-2.4711122822714937132346999100</v>
      </c>
      <c r="R66" s="328">
        <v>298.67919944343069885523907599</v>
      </c>
      <c r="S66" s="246">
        <v>5.6587164062855712868885787600</v>
      </c>
      <c r="T66" s="246">
        <v>104.68443013589008739936055099</v>
      </c>
      <c r="U66" s="239">
        <v>-7.6944231058592356495549055700</v>
      </c>
    </row>
    <row r="67" ht="15.95" customHeight="1">
      <c r="B67" s="345" t="s">
        <v>55</v>
      </c>
      <c r="C67" s="304" t="s">
        <v>58</v>
      </c>
      <c r="D67" s="240">
        <v>93.53832442067736185383244207</v>
      </c>
      <c r="E67" s="121">
        <v>-1.2002824193500137725703939800</v>
      </c>
      <c r="F67" s="121">
        <v>93.48271738511474289619042196</v>
      </c>
      <c r="G67" s="121">
        <v>2.0487927731888016209926192600</v>
      </c>
      <c r="H67" s="121">
        <v>100.05948376034929525286188040</v>
      </c>
      <c r="I67" s="241">
        <v>-3.1838448101970840928930627400</v>
      </c>
      <c r="J67" s="329">
        <v>346.13655944852198220108392916</v>
      </c>
      <c r="K67" s="121">
        <v>-5.9337795450279639987658004900</v>
      </c>
      <c r="L67" s="136">
        <v>336.08172693971155769418989291</v>
      </c>
      <c r="M67" s="121">
        <v>-4.5377404145968221660990451400</v>
      </c>
      <c r="N67" s="121">
        <v>102.99178196933807910615586395</v>
      </c>
      <c r="O67" s="241">
        <v>-1.4623990008824919514076409600</v>
      </c>
      <c r="P67" s="329">
        <v>323.77033791552925162213688382</v>
      </c>
      <c r="Q67" s="121">
        <v>-7.0628398517236819379380947500</v>
      </c>
      <c r="R67" s="136">
        <v>314.17833097806359472049817078</v>
      </c>
      <c r="S67" s="121">
        <v>-2.581916539082807111782683500</v>
      </c>
      <c r="T67" s="121">
        <v>103.05304535407245146855107289</v>
      </c>
      <c r="U67" s="241">
        <v>-4.5996832964424252013746316300</v>
      </c>
    </row>
    <row r="68" ht="15.95" customHeight="1">
      <c r="B68" s="345"/>
      <c r="C68" s="305" t="s">
        <v>44</v>
      </c>
      <c r="D68" s="342">
        <v>94.18181818181818181818181818</v>
      </c>
      <c r="E68" s="161">
        <v>-1.2730604765120056721306853400</v>
      </c>
      <c r="F68" s="161">
        <v>95.13262342691190706679574056</v>
      </c>
      <c r="G68" s="161">
        <v>2.4096023196208752577984703300</v>
      </c>
      <c r="H68" s="161">
        <v>99.00054764513834956604340015</v>
      </c>
      <c r="I68" s="336">
        <v>-3.5960131791192545491142261700</v>
      </c>
      <c r="J68" s="335">
        <v>363.59380840205268513082410142</v>
      </c>
      <c r="K68" s="161">
        <v>-4.1533642096895685698482226800</v>
      </c>
      <c r="L68" s="162">
        <v>355.28274536919023561447995433</v>
      </c>
      <c r="M68" s="161">
        <v>-2.3465748137960077521020302100</v>
      </c>
      <c r="N68" s="161">
        <v>102.33928135863059106761854117</v>
      </c>
      <c r="O68" s="336">
        <v>-1.8502058606541528252458017500</v>
      </c>
      <c r="P68" s="335">
        <v>342.43925954956961981412160824</v>
      </c>
      <c r="Q68" s="161">
        <v>-5.3735498479773686029978506200</v>
      </c>
      <c r="R68" s="162">
        <v>337.98979625286604873481291454</v>
      </c>
      <c r="S68" s="161">
        <v>0.006484384697660733996350300</v>
      </c>
      <c r="T68" s="161">
        <v>101.31644900112319375768404891</v>
      </c>
      <c r="U68" s="336">
        <v>-5.3796853932189275759957980300</v>
      </c>
    </row>
    <row r="69" ht="15.95" customHeight="1">
      <c r="B69" s="346"/>
      <c r="C69" s="349" t="s">
        <v>45</v>
      </c>
      <c r="D69" s="343">
        <v>87.26689976689976689976689977</v>
      </c>
      <c r="E69" s="338">
        <v>-1.7791260145818987352212400200</v>
      </c>
      <c r="F69" s="338">
        <v>85.54434432943629458634298905</v>
      </c>
      <c r="G69" s="338">
        <v>1.0714484234965003033466224100</v>
      </c>
      <c r="H69" s="338">
        <v>102.01364035343685092207371750</v>
      </c>
      <c r="I69" s="340">
        <v>-2.8203557804633189177868243400</v>
      </c>
      <c r="J69" s="337">
        <v>280.37227899614225865322863546</v>
      </c>
      <c r="K69" s="338">
        <v>-8.537167469317439655003484900</v>
      </c>
      <c r="L69" s="339">
        <v>275.72524987257954728602912773</v>
      </c>
      <c r="M69" s="338">
        <v>-4.7391509379620517465394872800</v>
      </c>
      <c r="N69" s="338">
        <v>101.68538395583626737593457259</v>
      </c>
      <c r="O69" s="340">
        <v>-3.9869648116363020283240971500</v>
      </c>
      <c r="P69" s="337">
        <v>244.67219568573603282821088671</v>
      </c>
      <c r="Q69" s="338">
        <v>-10.16440651655271098015678900</v>
      </c>
      <c r="R69" s="339">
        <v>235.86735715419805602316487543</v>
      </c>
      <c r="S69" s="338">
        <v>-3.718480072496860404993609200</v>
      </c>
      <c r="T69" s="338">
        <v>103.73296188068101581695374673</v>
      </c>
      <c r="U69" s="340">
        <v>-6.6948739996392160571612819400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93.03030303030303030303030303</v>
      </c>
      <c r="E72" s="246">
        <v>-0.2166847237021124999853212200</v>
      </c>
      <c r="F72" s="246">
        <v>88.74152952565343659244917715</v>
      </c>
      <c r="G72" s="246">
        <v>4.3008305837307887432238095300</v>
      </c>
      <c r="H72" s="246">
        <v>104.83288211001702376648345679</v>
      </c>
      <c r="I72" s="239">
        <v>-4.3312361773033227440349906200</v>
      </c>
      <c r="J72" s="326">
        <v>266.56623235613463626492942454</v>
      </c>
      <c r="K72" s="246">
        <v>3.1414733022789974030718427700</v>
      </c>
      <c r="L72" s="328">
        <v>266.70483946038325879058943312</v>
      </c>
      <c r="M72" s="246">
        <v>2.4466606707159943313934101900</v>
      </c>
      <c r="N72" s="246">
        <v>99.94802977533298793251229615</v>
      </c>
      <c r="O72" s="239">
        <v>0.6782189160637087787567176900</v>
      </c>
      <c r="P72" s="326">
        <v>247.98737373737373737373737374</v>
      </c>
      <c r="Q72" s="246">
        <v>2.9179814858149940578076020500</v>
      </c>
      <c r="R72" s="328">
        <v>236.67795385608260729267505647</v>
      </c>
      <c r="S72" s="246">
        <v>6.8527179848306794723441415600</v>
      </c>
      <c r="T72" s="246">
        <v>104.77840022571339927103601516</v>
      </c>
      <c r="U72" s="239">
        <v>-3.6823925242133957848967211200</v>
      </c>
    </row>
    <row r="73" ht="15.95" customHeight="1">
      <c r="B73" s="345"/>
      <c r="C73" s="304" t="s">
        <v>58</v>
      </c>
      <c r="D73" s="240">
        <v>91.89393939393939393939393939</v>
      </c>
      <c r="E73" s="121">
        <v>-0.1272455089315015104521240300</v>
      </c>
      <c r="F73" s="121">
        <v>88.93110680864795095191997419</v>
      </c>
      <c r="G73" s="121">
        <v>3.8415377064809263591943399800</v>
      </c>
      <c r="H73" s="121">
        <v>103.33160430772112685426503933</v>
      </c>
      <c r="I73" s="241">
        <v>-3.8219611372247802008823388100</v>
      </c>
      <c r="J73" s="329">
        <v>295.51504534212695795548227535</v>
      </c>
      <c r="K73" s="121">
        <v>-2.1427057084118084790466402400</v>
      </c>
      <c r="L73" s="136">
        <v>300.56065385208501528497174321</v>
      </c>
      <c r="M73" s="121">
        <v>-0.4313111320513795338891060100</v>
      </c>
      <c r="N73" s="121">
        <v>98.32126778894489396983138503</v>
      </c>
      <c r="O73" s="241">
        <v>-1.7188079865760616382352808600</v>
      </c>
      <c r="P73" s="329">
        <v>271.56041666666666666666666667</v>
      </c>
      <c r="Q73" s="121">
        <v>-2.2672247206054097056218913500</v>
      </c>
      <c r="R73" s="136">
        <v>267.29191610196837689577282995</v>
      </c>
      <c r="S73" s="121">
        <v>3.3936575946450006258481906900</v>
      </c>
      <c r="T73" s="121">
        <v>101.59694338194567186876017656</v>
      </c>
      <c r="U73" s="241">
        <v>-5.4750769505318226017572805600</v>
      </c>
    </row>
    <row r="74" ht="15.95" customHeight="1">
      <c r="B74" s="345"/>
      <c r="C74" s="305" t="s">
        <v>44</v>
      </c>
      <c r="D74" s="242">
        <v>92.33060946544092611508341845</v>
      </c>
      <c r="E74" s="156">
        <v>-0.662231439071906933634007200</v>
      </c>
      <c r="F74" s="156">
        <v>89.56785624938816798459814873</v>
      </c>
      <c r="G74" s="156">
        <v>3.0628834322247567231475645300</v>
      </c>
      <c r="H74" s="156">
        <v>103.08453649749983084368887911</v>
      </c>
      <c r="I74" s="243">
        <v>-3.6144097149961231099266204700</v>
      </c>
      <c r="J74" s="330">
        <v>300.6174979256937402046648843</v>
      </c>
      <c r="K74" s="156">
        <v>-2.0017751386503318450104802400</v>
      </c>
      <c r="L74" s="186">
        <v>307.63563743229786510577320088</v>
      </c>
      <c r="M74" s="156">
        <v>0.7136592867170091426652484200</v>
      </c>
      <c r="N74" s="156">
        <v>97.71868449143811877301390048</v>
      </c>
      <c r="O74" s="243">
        <v>-2.6961927951017988635920319200</v>
      </c>
      <c r="P74" s="330">
        <v>277.5619679945522642151855635</v>
      </c>
      <c r="Q74" s="156">
        <v>-2.6507501934456976538941246900</v>
      </c>
      <c r="R74" s="186">
        <v>275.54264550724952956916149102</v>
      </c>
      <c r="S74" s="156">
        <v>3.7984012710279498301836284300</v>
      </c>
      <c r="T74" s="156">
        <v>100.73285297948534750518776538</v>
      </c>
      <c r="U74" s="243">
        <v>-6.2131510558193025711145941400</v>
      </c>
    </row>
    <row r="75" ht="15.95" customHeight="1">
      <c r="B75" s="346"/>
      <c r="C75" s="349" t="s">
        <v>45</v>
      </c>
      <c r="D75" s="244">
        <v>83.19427148194271481942714819</v>
      </c>
      <c r="E75" s="250">
        <v>0.8400231781380110902781393600</v>
      </c>
      <c r="F75" s="250">
        <v>78.682650611995915606890424220</v>
      </c>
      <c r="G75" s="250">
        <v>5.9964483049966511991797106300</v>
      </c>
      <c r="H75" s="250">
        <v>105.73394621921219475684730532</v>
      </c>
      <c r="I75" s="245">
        <v>-4.8647150063052580018341702900</v>
      </c>
      <c r="J75" s="332">
        <v>233.51403338073497492702642018</v>
      </c>
      <c r="K75" s="250">
        <v>-5.6663583245345749399431431500</v>
      </c>
      <c r="L75" s="334">
        <v>239.38703851767458008757234494</v>
      </c>
      <c r="M75" s="250">
        <v>-3.5874578882636832650069313200</v>
      </c>
      <c r="N75" s="250">
        <v>97.54664865176867882747267623</v>
      </c>
      <c r="O75" s="245">
        <v>-2.1562551829060970812609905600</v>
      </c>
      <c r="P75" s="332">
        <v>194.27029887920298879202988792</v>
      </c>
      <c r="Q75" s="250">
        <v>-4.8739338696322805484475928800</v>
      </c>
      <c r="R75" s="334">
        <v>188.35606712726597620973623838</v>
      </c>
      <c r="S75" s="250">
        <v>2.1938703590200785931822345300</v>
      </c>
      <c r="T75" s="250">
        <v>103.13992102410264774128418032</v>
      </c>
      <c r="U75" s="245">
        <v>-6.9160745197966031317976879200</v>
      </c>
    </row>
    <row r="76" ht="9.95" customHeight="1"/>
    <row r="77" ht="24" customHeight="1">
      <c r="B77" s="1048" t="s">
        <v>126</v>
      </c>
      <c r="C77" s="1048"/>
      <c r="D77" s="1048"/>
      <c r="E77" s="1048"/>
      <c r="F77" s="1048"/>
      <c r="G77" s="1048"/>
      <c r="H77" s="1048"/>
      <c r="I77" s="1048"/>
      <c r="J77" s="1048"/>
      <c r="K77" s="1048"/>
      <c r="L77" s="1048"/>
      <c r="M77" s="1048"/>
      <c r="N77" s="1048"/>
      <c r="O77" s="1048"/>
      <c r="P77" s="1048"/>
      <c r="Q77" s="1048"/>
      <c r="R77" s="1048"/>
      <c r="S77" s="1048"/>
      <c r="T77" s="1048"/>
      <c r="U77" s="1048"/>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2" width="10.28515625" customWidth="1"/>
    <col min="33" max="33" width="0" customWidth="1"/>
    <col min="34" max="34" width="2.7109375" customWidth="1"/>
    <col min="35" max="38" width="9.28515625" style="236" customWidth="1"/>
    <col min="39" max="49" width="9.140625" style="236" customWidth="1"/>
  </cols>
  <sheetData>
    <row r="1" ht="39.95" customHeight="1">
      <c r="A1" s="7"/>
      <c r="B1" s="656" t="s">
        <v>175</v>
      </c>
      <c r="AA1" s="998"/>
      <c r="AB1" s="998"/>
      <c r="AC1" s="998"/>
      <c r="AD1" s="998"/>
      <c r="AE1" s="998"/>
      <c r="AF1" s="998"/>
      <c r="AG1" s="998"/>
      <c r="AH1"/>
    </row>
    <row r="2" ht="21.95"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row>
    <row r="3" ht="21.95"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c r="AG3" s="1000"/>
    </row>
    <row r="4" ht="21.95" customHeight="1">
      <c r="A4" s="6"/>
      <c r="B4" s="999" t="s">
        <v>285</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999"/>
      <c r="AG4" s="999"/>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01"/>
      <c r="Y22" s="1001"/>
      <c r="Z22" s="1001"/>
      <c r="AA22" s="1001"/>
      <c r="AB22" s="1001"/>
      <c r="AC22" s="1001"/>
      <c r="AD22" s="1001"/>
      <c r="AE22"/>
      <c r="AF22"/>
      <c r="AG22"/>
    </row>
    <row r="23" s="82" customFormat="1" ht="21.95" customHeight="1">
      <c r="B23" s="25"/>
      <c r="C23" s="41" t="s">
        <v>286</v>
      </c>
      <c r="D23" s="41" t="s">
        <v>288</v>
      </c>
      <c r="E23" s="41" t="s">
        <v>289</v>
      </c>
      <c r="F23" s="41" t="s">
        <v>290</v>
      </c>
      <c r="G23" s="41" t="s">
        <v>291</v>
      </c>
      <c r="H23" s="41" t="s">
        <v>292</v>
      </c>
      <c r="I23" s="41" t="s">
        <v>293</v>
      </c>
      <c r="J23" s="41" t="s">
        <v>286</v>
      </c>
      <c r="K23" s="41" t="s">
        <v>288</v>
      </c>
      <c r="L23" s="41" t="s">
        <v>289</v>
      </c>
      <c r="M23" s="41" t="s">
        <v>290</v>
      </c>
      <c r="N23" s="41" t="s">
        <v>291</v>
      </c>
      <c r="O23" s="41" t="s">
        <v>292</v>
      </c>
      <c r="P23" s="41" t="s">
        <v>293</v>
      </c>
      <c r="Q23" s="41" t="s">
        <v>286</v>
      </c>
      <c r="R23" s="41" t="s">
        <v>288</v>
      </c>
      <c r="S23" s="41" t="s">
        <v>289</v>
      </c>
      <c r="T23" s="41" t="s">
        <v>290</v>
      </c>
      <c r="U23" s="41" t="s">
        <v>291</v>
      </c>
      <c r="V23" s="41" t="s">
        <v>292</v>
      </c>
      <c r="W23" s="41" t="s">
        <v>293</v>
      </c>
      <c r="X23" s="41" t="s">
        <v>286</v>
      </c>
      <c r="Y23" s="41" t="s">
        <v>288</v>
      </c>
      <c r="Z23" s="41" t="s">
        <v>289</v>
      </c>
      <c r="AA23" s="41" t="s">
        <v>290</v>
      </c>
      <c r="AB23" s="41" t="s">
        <v>291</v>
      </c>
      <c r="AC23" s="41" t="s">
        <v>292</v>
      </c>
      <c r="AD23" s="41" t="s">
        <v>293</v>
      </c>
      <c r="AE23" s="41" t="s">
        <v>286</v>
      </c>
      <c r="AF23" s="41" t="s">
        <v>288</v>
      </c>
      <c r="AG23" s="41"/>
      <c r="AH23" s="93"/>
      <c r="AI23" s="236"/>
      <c r="AJ23" s="236"/>
      <c r="AK23" s="236"/>
      <c r="AL23" s="236"/>
      <c r="AM23" s="236"/>
      <c r="AN23" s="236"/>
      <c r="AO23" s="236"/>
      <c r="AP23" s="236"/>
      <c r="AQ23" s="236"/>
      <c r="AR23" s="236"/>
      <c r="AS23" s="236"/>
      <c r="AT23" s="236"/>
      <c r="AU23" s="236"/>
      <c r="AV23" s="236"/>
      <c r="AW23" s="236"/>
    </row>
    <row r="24" s="35" customFormat="1" ht="20.1" customHeight="1">
      <c r="B24" s="964" t="s">
        <v>22</v>
      </c>
      <c r="C24" s="350" t="s">
        <v>287</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94.69696969696969696969696970</v>
      </c>
      <c r="D26" s="574">
        <v>91.66666666666666666666666667</v>
      </c>
      <c r="E26" s="574">
        <v>96.96969696969696969696969697</v>
      </c>
      <c r="F26" s="574">
        <v>96.21212121212121212121212121</v>
      </c>
      <c r="G26" s="574">
        <v>96.21212121212121212121212121</v>
      </c>
      <c r="H26" s="574">
        <v>84.84848484848484848484848485</v>
      </c>
      <c r="I26" s="574">
        <v>95.45454545454545454545454545</v>
      </c>
      <c r="J26" s="574">
        <v>93.18181818181818181818181818</v>
      </c>
      <c r="K26" s="574">
        <v>96.96969696969696969696969697</v>
      </c>
      <c r="L26" s="574">
        <v>92.42424242424242424242424242</v>
      </c>
      <c r="M26" s="574">
        <v>98.48484848484848484848484848</v>
      </c>
      <c r="N26" s="574">
        <v>95.45454545454545454545454545</v>
      </c>
      <c r="O26" s="574">
        <v>94.69696969696969696969696970</v>
      </c>
      <c r="P26" s="574">
        <v>96.96969696969696969696969697</v>
      </c>
      <c r="Q26" s="574">
        <v>97.72727272727272727272727273</v>
      </c>
      <c r="R26" s="574">
        <v>97.72727272727272727272727273</v>
      </c>
      <c r="S26" s="574">
        <v>97.72727272727272727272727273</v>
      </c>
      <c r="T26" s="574">
        <v>94.69696969696969696969696970</v>
      </c>
      <c r="U26" s="574">
        <v>93.93939393939393939393939394</v>
      </c>
      <c r="V26" s="574">
        <v>92.42424242424242424242424242</v>
      </c>
      <c r="W26" s="574">
        <v>86.36363636363636363636363636</v>
      </c>
      <c r="X26" s="574">
        <v>89.39393939393939393939393939</v>
      </c>
      <c r="Y26" s="574">
        <v>91.66666666666666666666666667</v>
      </c>
      <c r="Z26" s="574">
        <v>85.60606060606060606060606061</v>
      </c>
      <c r="AA26" s="574">
        <v>83.33333333333333333333333333</v>
      </c>
      <c r="AB26" s="574">
        <v>87.87878787878787878787878788</v>
      </c>
      <c r="AC26" s="574">
        <v>81.81818181818181818181818182</v>
      </c>
      <c r="AD26" s="574">
        <v>93.93939393939393939393939394</v>
      </c>
      <c r="AE26" s="574">
        <v>96.96969696969696969696969697</v>
      </c>
      <c r="AF26" s="574">
        <v>95.45454545454545454545454545</v>
      </c>
      <c r="AG26" s="575"/>
      <c r="AH26" s="342"/>
    </row>
    <row r="27" ht="24.95" customHeight="1">
      <c r="B27" s="38" t="s">
        <v>35</v>
      </c>
      <c r="C27" s="271">
        <v>73.184898354307841239109390130</v>
      </c>
      <c r="D27" s="92">
        <v>76.766698935140367860600193610</v>
      </c>
      <c r="E27" s="92">
        <v>86.15682478218780251694094869</v>
      </c>
      <c r="F27" s="92">
        <v>92.35237173281703775411423040</v>
      </c>
      <c r="G27" s="92">
        <v>98.54791868344627299128751210</v>
      </c>
      <c r="H27" s="92">
        <v>92.44917715392061955469506292</v>
      </c>
      <c r="I27" s="92">
        <v>92.83639883833494675701839303</v>
      </c>
      <c r="J27" s="92">
        <v>94.28848015488867376573088093</v>
      </c>
      <c r="K27" s="92">
        <v>92.93320425943852855759922556</v>
      </c>
      <c r="L27" s="92">
        <v>84.02710551790900290416263311</v>
      </c>
      <c r="M27" s="92">
        <v>95.64375605033881897386253630</v>
      </c>
      <c r="N27" s="92">
        <v>99.12875121006776379477250726</v>
      </c>
      <c r="O27" s="92">
        <v>86.64085188770571151984511133</v>
      </c>
      <c r="P27" s="92">
        <v>84.60793804453049370764762827</v>
      </c>
      <c r="Q27" s="92">
        <v>88.48015488867376573088092933</v>
      </c>
      <c r="R27" s="92">
        <v>90.60987415295256534365924492</v>
      </c>
      <c r="S27" s="92">
        <v>95.45014520813165537270087125</v>
      </c>
      <c r="T27" s="92">
        <v>97.96708615682478218780251694</v>
      </c>
      <c r="U27" s="92">
        <v>93.70764762826718296224588577</v>
      </c>
      <c r="V27" s="92">
        <v>76.960309777347531461761858660</v>
      </c>
      <c r="W27" s="92">
        <v>74.927395934172313649564375610</v>
      </c>
      <c r="X27" s="92">
        <v>70.087124878993223620522749270</v>
      </c>
      <c r="Y27" s="92">
        <v>74.830590513068731848983543080</v>
      </c>
      <c r="Z27" s="92">
        <v>87.80251694094869312681510165</v>
      </c>
      <c r="AA27" s="92">
        <v>92.64278799612778315585672798</v>
      </c>
      <c r="AB27" s="92">
        <v>94.96611810261374636979670862</v>
      </c>
      <c r="AC27" s="92">
        <v>87.12487899322362052274927396</v>
      </c>
      <c r="AD27" s="92">
        <v>97.28944820909970958373668925</v>
      </c>
      <c r="AE27" s="92">
        <v>97.57986447241045498547918683</v>
      </c>
      <c r="AF27" s="92">
        <v>93.03000968054211035818005808</v>
      </c>
      <c r="AG27" s="272"/>
      <c r="AH27" s="342"/>
    </row>
    <row r="28" ht="24.95" customHeight="1">
      <c r="A28" s="23"/>
      <c r="B28" s="40" t="s">
        <v>97</v>
      </c>
      <c r="C28" s="581">
        <v>129.39413981082034113098101342</v>
      </c>
      <c r="D28" s="582">
        <v>119.40941572095392231150353651</v>
      </c>
      <c r="E28" s="582">
        <v>112.55022131425032401020685554</v>
      </c>
      <c r="F28" s="582">
        <v>104.17937233976891791482591252</v>
      </c>
      <c r="G28" s="582">
        <v>97.62978508071500899654293024</v>
      </c>
      <c r="H28" s="582">
        <v>91.77851816597319089970454151</v>
      </c>
      <c r="I28" s="582">
        <v>102.82017252824043026875624635</v>
      </c>
      <c r="J28" s="582">
        <v>98.82630203470905455938784109</v>
      </c>
      <c r="K28" s="582">
        <v>104.34343434347760248316500110</v>
      </c>
      <c r="L28" s="582">
        <v>109.99336684821734288656811824</v>
      </c>
      <c r="M28" s="582">
        <v>102.97049441790463159589719457</v>
      </c>
      <c r="N28" s="582">
        <v>96.29350142042323125925932081</v>
      </c>
      <c r="O28" s="582">
        <v>109.29829016421915706013034484</v>
      </c>
      <c r="P28" s="582">
        <v>114.61063726514081469989498436</v>
      </c>
      <c r="Q28" s="582">
        <v>110.45106425300086984060690317</v>
      </c>
      <c r="R28" s="582">
        <v>107.85499222993576744287885065</v>
      </c>
      <c r="S28" s="582">
        <v>102.38567213722739085954984390</v>
      </c>
      <c r="T28" s="582">
        <v>96.66202539228699846659821657</v>
      </c>
      <c r="U28" s="582">
        <v>100.24730778859499540970977297</v>
      </c>
      <c r="V28" s="582">
        <v>120.09338669723445295005356545</v>
      </c>
      <c r="W28" s="582">
        <v>115.26309607700697466522688936</v>
      </c>
      <c r="X28" s="582">
        <v>127.54687761592605753861992343</v>
      </c>
      <c r="Y28" s="582">
        <v>122.49892194906481179156160250</v>
      </c>
      <c r="Z28" s="582">
        <v>97.49841301665892807315704526</v>
      </c>
      <c r="AA28" s="582">
        <v>89.95123650298761686333301022</v>
      </c>
      <c r="AB28" s="582">
        <v>92.53699070214171156020233639</v>
      </c>
      <c r="AC28" s="582">
        <v>93.90909090911636888888889579</v>
      </c>
      <c r="AD28" s="582">
        <v>96.55661088496880569562859605</v>
      </c>
      <c r="AE28" s="582">
        <v>99.37469937471002198859341831</v>
      </c>
      <c r="AF28" s="582">
        <v>102.60618673734660586543734779</v>
      </c>
      <c r="AG28" s="583"/>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5.9322033898771904625107933400</v>
      </c>
      <c r="D30" s="574">
        <v>-0.0000000000363636363636231400</v>
      </c>
      <c r="E30" s="574">
        <v>4.0650406504268094388260995400</v>
      </c>
      <c r="F30" s="574">
        <v>-1.5503875969266991166396173600</v>
      </c>
      <c r="G30" s="574">
        <v>-1.5503875969266991166396173600</v>
      </c>
      <c r="H30" s="574">
        <v>-3.4482758620822829964328162400</v>
      </c>
      <c r="I30" s="574">
        <v>-1.5625000000030761718749999100</v>
      </c>
      <c r="J30" s="574">
        <v>-6.10687022898469786142998100</v>
      </c>
      <c r="K30" s="574">
        <v>16.363636363682909090909109530</v>
      </c>
      <c r="L30" s="574">
        <v>3.3898305085201378914105342900</v>
      </c>
      <c r="M30" s="574">
        <v>2.3622047244320168640337330400</v>
      </c>
      <c r="N30" s="574">
        <v>-3.8167938931062758580502244400</v>
      </c>
      <c r="O30" s="574">
        <v>-3.8461538461065088757396216600</v>
      </c>
      <c r="P30" s="574">
        <v>-0.000000000003124999999999900</v>
      </c>
      <c r="Q30" s="574">
        <v>0.781249999996850585937500100</v>
      </c>
      <c r="R30" s="574">
        <v>1.5748031496286936573873197100</v>
      </c>
      <c r="S30" s="574">
        <v>4.8780487805082688875669284500</v>
      </c>
      <c r="T30" s="574">
        <v>-0.0000000000319999999999897600</v>
      </c>
      <c r="U30" s="574">
        <v>5.0847457627581729388107069900</v>
      </c>
      <c r="V30" s="574">
        <v>16.190476190409795918367384870</v>
      </c>
      <c r="W30" s="574">
        <v>-8.064516129038189386056191090</v>
      </c>
      <c r="X30" s="574">
        <v>-2.4793388430106686701727895100</v>
      </c>
      <c r="Y30" s="574">
        <v>7.0796460176498394549299310500</v>
      </c>
      <c r="Z30" s="574">
        <v>-13.076923076880284023668617980</v>
      </c>
      <c r="AA30" s="574">
        <v>-10.569105691039460638508820710</v>
      </c>
      <c r="AB30" s="574">
        <v>-5.6910569105507039460638472900</v>
      </c>
      <c r="AC30" s="574">
        <v>-16.279069767465224445646288770</v>
      </c>
      <c r="AD30" s="574">
        <v>1.6393442623417360924482880100</v>
      </c>
      <c r="AE30" s="574">
        <v>0.7874015748253704507409063800</v>
      </c>
      <c r="AF30" s="574">
        <v>1.6129032257998959417273677400</v>
      </c>
      <c r="AG30" s="575"/>
      <c r="AH30" s="342"/>
    </row>
    <row r="31" ht="24.95" customHeight="1">
      <c r="B31" s="38" t="s">
        <v>35</v>
      </c>
      <c r="C31" s="271">
        <v>-10.532544378669108224501933730</v>
      </c>
      <c r="D31" s="92">
        <v>-11.594202898537616531756416390</v>
      </c>
      <c r="E31" s="92">
        <v>1.3667425968643881569730617400</v>
      </c>
      <c r="F31" s="92">
        <v>1.9230769230235659105851692900</v>
      </c>
      <c r="G31" s="92">
        <v>5.7113187954868193782626197200</v>
      </c>
      <c r="H31" s="92">
        <v>6.942889137736165572970810700</v>
      </c>
      <c r="I31" s="92">
        <v>8.361581920865875195505774820</v>
      </c>
      <c r="J31" s="92">
        <v>7.3869900772370624652798789900</v>
      </c>
      <c r="K31" s="92">
        <v>6.3122923588457816874721929700</v>
      </c>
      <c r="L31" s="92">
        <v>6.1124694376928957861323314300</v>
      </c>
      <c r="M31" s="92">
        <v>9.292035398277480617119607050</v>
      </c>
      <c r="N31" s="92">
        <v>5.1334702258600609691823145500</v>
      </c>
      <c r="O31" s="92">
        <v>2.4027459954602481292775400300</v>
      </c>
      <c r="P31" s="92">
        <v>1.9836639439532988675864628600</v>
      </c>
      <c r="Q31" s="92">
        <v>4.8165137614968586924501384600</v>
      </c>
      <c r="R31" s="92">
        <v>6.242905788820924524679831100</v>
      </c>
      <c r="S31" s="92">
        <v>7.4074074073930162188332142300</v>
      </c>
      <c r="T31" s="92">
        <v>7.2033898304864433711577178300</v>
      </c>
      <c r="U31" s="92">
        <v>3.7513397642495397414556868200</v>
      </c>
      <c r="V31" s="92">
        <v>-1.6089108910965369510342117800</v>
      </c>
      <c r="W31" s="92">
        <v>-4.5622688039398620387671972700</v>
      </c>
      <c r="X31" s="92">
        <v>-13.809523809514574829931971800</v>
      </c>
      <c r="Y31" s="92">
        <v>-8.194774346775467865787257930</v>
      </c>
      <c r="Z31" s="92">
        <v>-2.4731182795362299687825065900</v>
      </c>
      <c r="AA31" s="92">
        <v>4.4759825327286225234072625200</v>
      </c>
      <c r="AB31" s="92">
        <v>2.938090241358141022606032300</v>
      </c>
      <c r="AC31" s="92">
        <v>3.8062283737091270458926501900</v>
      </c>
      <c r="AD31" s="92">
        <v>34.178905206910702476466181430</v>
      </c>
      <c r="AE31" s="92">
        <v>42.372881356006808388394178700</v>
      </c>
      <c r="AF31" s="92">
        <v>26.613965744432555838501885440</v>
      </c>
      <c r="AG31" s="272"/>
      <c r="AH31" s="342"/>
    </row>
    <row r="32" ht="24.95" customHeight="1">
      <c r="A32" s="23"/>
      <c r="B32" s="40" t="s">
        <v>97</v>
      </c>
      <c r="C32" s="581">
        <v>18.403058021647324244020206460</v>
      </c>
      <c r="D32" s="582">
        <v>13.114754098352724337434658310</v>
      </c>
      <c r="E32" s="582">
        <v>2.6619165067099067688001985800</v>
      </c>
      <c r="F32" s="582">
        <v>-3.4079274534610849256444738700</v>
      </c>
      <c r="G32" s="582">
        <v>-6.8693745145739462272042270700</v>
      </c>
      <c r="H32" s="582">
        <v>-9.716555334835612512911526250</v>
      </c>
      <c r="I32" s="582">
        <v>-9.158302919638492551322615450</v>
      </c>
      <c r="J32" s="582">
        <v>-12.565637882733661980068280130</v>
      </c>
      <c r="K32" s="582">
        <v>9.454545454592146454134784250</v>
      </c>
      <c r="L32" s="582">
        <v>-2.5658048894827340147718228800</v>
      </c>
      <c r="M32" s="582">
        <v>-6.340654786602179680085255900</v>
      </c>
      <c r="N32" s="582">
        <v>-8.513239503821519841660479740</v>
      </c>
      <c r="O32" s="582">
        <v>-6.1022776106781812908909732100</v>
      </c>
      <c r="P32" s="582">
        <v>-1.9450800914934652851344657600</v>
      </c>
      <c r="Q32" s="582">
        <v>-3.8498358862481628315823934400</v>
      </c>
      <c r="R32" s="582">
        <v>-4.3938017363252859884563274300</v>
      </c>
      <c r="S32" s="582">
        <v>-2.3549201009053611578313545300</v>
      </c>
      <c r="T32" s="582">
        <v>-6.7193675888801284796575983600</v>
      </c>
      <c r="U32" s="582">
        <v>1.2851940046534974009654666600</v>
      </c>
      <c r="V32" s="582">
        <v>18.090446241475427334440901840</v>
      </c>
      <c r="W32" s="582">
        <v>-3.6696674169139910869739933300</v>
      </c>
      <c r="X32" s="582">
        <v>13.145518469439849288216761610</v>
      </c>
      <c r="Y32" s="582">
        <v>16.637855041190837646312896980</v>
      </c>
      <c r="Z32" s="582">
        <v>-10.872699516562128807699044540</v>
      </c>
      <c r="AA32" s="582">
        <v>-14.400523315547170799507499070</v>
      </c>
      <c r="AB32" s="582">
        <v>-8.382851412605308560382869220</v>
      </c>
      <c r="AC32" s="582">
        <v>-19.348837209299212608027392810</v>
      </c>
      <c r="AD32" s="582">
        <v>-24.250876763730988655078874840</v>
      </c>
      <c r="AE32" s="582">
        <v>-29.208848893916569323172941130</v>
      </c>
      <c r="AF32" s="582">
        <v>-19.745896411673937261320690090</v>
      </c>
      <c r="AG32" s="583"/>
      <c r="AH32" s="342"/>
    </row>
    <row r="33" ht="30" customHeight="1">
      <c r="A33" s="8"/>
      <c r="B33" s="25"/>
      <c r="X33" s="1001"/>
      <c r="Y33" s="1001"/>
      <c r="Z33" s="1001"/>
      <c r="AA33" s="1001"/>
      <c r="AB33" s="1001"/>
      <c r="AC33" s="1001"/>
      <c r="AD33" s="1001"/>
      <c r="AE33"/>
      <c r="AF33"/>
      <c r="AG33" s="4"/>
      <c r="AH33" s="4"/>
    </row>
    <row r="34" s="35" customFormat="1" ht="20.1" customHeight="1">
      <c r="B34" s="964" t="s">
        <v>9</v>
      </c>
      <c r="C34" s="350" t="s">
        <v>287</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202.456000000</v>
      </c>
      <c r="D36" s="579">
        <v>202.99173553719008264462809917</v>
      </c>
      <c r="E36" s="579">
        <v>247.898437500</v>
      </c>
      <c r="F36" s="579">
        <v>328.6377952755905511811023622</v>
      </c>
      <c r="G36" s="579">
        <v>342.85826771653543307086614173</v>
      </c>
      <c r="H36" s="579">
        <v>268.47321428571428571428571429</v>
      </c>
      <c r="I36" s="579">
        <v>290.91269841269841269841269841</v>
      </c>
      <c r="J36" s="579">
        <v>289.08943089430894308943089431</v>
      </c>
      <c r="K36" s="579">
        <v>300.132812500</v>
      </c>
      <c r="L36" s="579">
        <v>267.6557377049180327868852459</v>
      </c>
      <c r="M36" s="579">
        <v>311.94615384615384615384615385</v>
      </c>
      <c r="N36" s="579">
        <v>350.66666666666666666666666667</v>
      </c>
      <c r="O36" s="579">
        <v>218.168000000</v>
      </c>
      <c r="P36" s="579">
        <v>207.414062500</v>
      </c>
      <c r="Q36" s="579">
        <v>211.13178294573643410852713178</v>
      </c>
      <c r="R36" s="579">
        <v>221.68992248062015503875968992</v>
      </c>
      <c r="S36" s="579">
        <v>256.06976744186046511627906977</v>
      </c>
      <c r="T36" s="579">
        <v>373.208000000</v>
      </c>
      <c r="U36" s="579">
        <v>348.64516129032258064516129032</v>
      </c>
      <c r="V36" s="579">
        <v>210.82786885245901639344262295</v>
      </c>
      <c r="W36" s="579">
        <v>197.21929824561403508771929825</v>
      </c>
      <c r="X36" s="579">
        <v>204.38983050847457627118644068</v>
      </c>
      <c r="Y36" s="579">
        <v>198.97520661157024793388429752</v>
      </c>
      <c r="Z36" s="579">
        <v>215.20353982300884955752212389</v>
      </c>
      <c r="AA36" s="579">
        <v>306.37272727272727272727272727</v>
      </c>
      <c r="AB36" s="579">
        <v>325.19827586206896551724137931</v>
      </c>
      <c r="AC36" s="579">
        <v>248.25925925925925925925925926</v>
      </c>
      <c r="AD36" s="579">
        <v>285.42741935483870967741935484</v>
      </c>
      <c r="AE36" s="579">
        <v>311.484375000</v>
      </c>
      <c r="AF36" s="579">
        <v>267.27777777777777777777777778</v>
      </c>
      <c r="AG36" s="580"/>
      <c r="AH36" s="342"/>
    </row>
    <row r="37" ht="24.95" customHeight="1">
      <c r="B37" s="38" t="s">
        <v>35</v>
      </c>
      <c r="C37" s="276">
        <v>191.86071428571428571428571428</v>
      </c>
      <c r="D37" s="94">
        <v>199.39218158890290037831021438</v>
      </c>
      <c r="E37" s="94">
        <v>234.95292134831460674157303371</v>
      </c>
      <c r="F37" s="94">
        <v>312.19046121593291404612159329</v>
      </c>
      <c r="G37" s="94">
        <v>334.57396856581532416502946955</v>
      </c>
      <c r="H37" s="94">
        <v>283.2134031413612565445026178</v>
      </c>
      <c r="I37" s="94">
        <v>303.2004171011470281543274244</v>
      </c>
      <c r="J37" s="94">
        <v>287.54917864476386036960985626</v>
      </c>
      <c r="K37" s="94">
        <v>279.12608333333333333333333333</v>
      </c>
      <c r="L37" s="94">
        <v>246.85296082949308755760368664</v>
      </c>
      <c r="M37" s="94">
        <v>277.0277834008097165991902834</v>
      </c>
      <c r="N37" s="94">
        <v>304.26994140625</v>
      </c>
      <c r="O37" s="94">
        <v>224.38444692737430167597765363</v>
      </c>
      <c r="P37" s="94">
        <v>210.18729977116704805491990847</v>
      </c>
      <c r="Q37" s="94">
        <v>211.70013129102844638949671771</v>
      </c>
      <c r="R37" s="94">
        <v>222.55181623931623931623931624</v>
      </c>
      <c r="S37" s="94">
        <v>260.51096348884381338742393509</v>
      </c>
      <c r="T37" s="94">
        <v>349.97224308300395256916996047</v>
      </c>
      <c r="U37" s="94">
        <v>316.10503099173553719008264463</v>
      </c>
      <c r="V37" s="94">
        <v>211.88894339622641509433962264</v>
      </c>
      <c r="W37" s="94">
        <v>199.02542635658914728682170541</v>
      </c>
      <c r="X37" s="94">
        <v>191.46034530386740331491712708</v>
      </c>
      <c r="Y37" s="94">
        <v>190.49486416558861578266494178</v>
      </c>
      <c r="Z37" s="94">
        <v>213.20942668136714443219404631</v>
      </c>
      <c r="AA37" s="94">
        <v>293.30376175548589341692789969</v>
      </c>
      <c r="AB37" s="94">
        <v>310.13017329255861365953109073</v>
      </c>
      <c r="AC37" s="94">
        <v>252.23926666666666666666666667</v>
      </c>
      <c r="AD37" s="94">
        <v>308.74</v>
      </c>
      <c r="AE37" s="94">
        <v>326.95688492063492063492063492</v>
      </c>
      <c r="AF37" s="94">
        <v>332.71536940686784599375650364</v>
      </c>
      <c r="AG37" s="277"/>
      <c r="AH37" s="342"/>
    </row>
    <row r="38" ht="24.95" customHeight="1">
      <c r="A38" s="23"/>
      <c r="B38" s="40" t="s">
        <v>98</v>
      </c>
      <c r="C38" s="581">
        <v>105.52238417007170546968001874</v>
      </c>
      <c r="D38" s="582">
        <v>101.80526333560636806577796430</v>
      </c>
      <c r="E38" s="582">
        <v>105.50983408821261169626210923</v>
      </c>
      <c r="F38" s="582">
        <v>105.26836534198786759463177706</v>
      </c>
      <c r="G38" s="582">
        <v>102.47607403117680877146657079</v>
      </c>
      <c r="H38" s="582">
        <v>94.79537737543926270516745171</v>
      </c>
      <c r="I38" s="582">
        <v>95.94732790743347301662763122</v>
      </c>
      <c r="J38" s="582">
        <v>100.53564828693583778398720106</v>
      </c>
      <c r="K38" s="582">
        <v>107.52589257006705463063676028</v>
      </c>
      <c r="L38" s="582">
        <v>108.42719358338440098620313879</v>
      </c>
      <c r="M38" s="582">
        <v>112.60464564842379957066023417</v>
      </c>
      <c r="N38" s="582">
        <v>115.24854050519801268655464693</v>
      </c>
      <c r="O38" s="582">
        <v>97.22955534016520190321387854</v>
      </c>
      <c r="P38" s="582">
        <v>98.68058761199234418836841403</v>
      </c>
      <c r="Q38" s="582">
        <v>99.73153141578248607158400734</v>
      </c>
      <c r="R38" s="582">
        <v>99.61272220858755463653896748</v>
      </c>
      <c r="S38" s="582">
        <v>98.29519802642376212133526239</v>
      </c>
      <c r="T38" s="582">
        <v>106.63931422455390817768946785</v>
      </c>
      <c r="U38" s="582">
        <v>110.29408807463016618528782420</v>
      </c>
      <c r="V38" s="582">
        <v>99.49923081085125990781403407</v>
      </c>
      <c r="W38" s="582">
        <v>99.09251388425624099729928118</v>
      </c>
      <c r="X38" s="582">
        <v>106.75308779165311880763226068</v>
      </c>
      <c r="Y38" s="582">
        <v>104.45174334915305692844655132</v>
      </c>
      <c r="Z38" s="582">
        <v>100.93528375956315647126162972</v>
      </c>
      <c r="AA38" s="582">
        <v>104.45577835040576492640241775</v>
      </c>
      <c r="AB38" s="582">
        <v>104.85863803882526148645287223</v>
      </c>
      <c r="AC38" s="582">
        <v>98.42213012270616016269936714</v>
      </c>
      <c r="AD38" s="582">
        <v>92.44912202981107393840103480</v>
      </c>
      <c r="AE38" s="582">
        <v>95.26772163725580239118717659</v>
      </c>
      <c r="AF38" s="582">
        <v>80.33226065096674544931950244</v>
      </c>
      <c r="AG38" s="583"/>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-8.450630388959192977829727960</v>
      </c>
      <c r="D40" s="574">
        <v>-12.742903833187108999365305220</v>
      </c>
      <c r="E40" s="574">
        <v>-5.2705734668311163110732584100</v>
      </c>
      <c r="F40" s="574">
        <v>-6.7765951478655086567673483600</v>
      </c>
      <c r="G40" s="574">
        <v>-4.3165530126360788263630663500</v>
      </c>
      <c r="H40" s="574">
        <v>14.84637997250520079439765800</v>
      </c>
      <c r="I40" s="574">
        <v>15.131018757769523004658891870</v>
      </c>
      <c r="J40" s="574">
        <v>7.5994870074814761645395993200</v>
      </c>
      <c r="K40" s="574">
        <v>18.980140460595174452295768190</v>
      </c>
      <c r="L40" s="574">
        <v>3.0553628386933489666453969500</v>
      </c>
      <c r="M40" s="574">
        <v>2.1930031688455168898480596300</v>
      </c>
      <c r="N40" s="574">
        <v>2.8693419324036104623539783300</v>
      </c>
      <c r="O40" s="574">
        <v>1.3973043509530222917219536300</v>
      </c>
      <c r="P40" s="574">
        <v>10.280800864002658469718368360</v>
      </c>
      <c r="Q40" s="574">
        <v>9.964470284237726098191214470</v>
      </c>
      <c r="R40" s="574">
        <v>2.2057579955778337483658763400</v>
      </c>
      <c r="S40" s="574">
        <v>-9.560152198500043970840891630</v>
      </c>
      <c r="T40" s="574">
        <v>13.566872778616290958664005060</v>
      </c>
      <c r="U40" s="574">
        <v>7.7220524004495683039884327900</v>
      </c>
      <c r="V40" s="574">
        <v>-6.0322343598409603525779938700</v>
      </c>
      <c r="W40" s="574">
        <v>-14.053584794916632380076293960</v>
      </c>
      <c r="X40" s="574">
        <v>-2.8550181022758797849849739900</v>
      </c>
      <c r="Y40" s="574">
        <v>-5.0137368632213759496848255300</v>
      </c>
      <c r="Z40" s="574">
        <v>-15.491737873444431541442472620</v>
      </c>
      <c r="AA40" s="574">
        <v>-12.952240755480309286784036280</v>
      </c>
      <c r="AB40" s="574">
        <v>-2.6636785636938463170342986100</v>
      </c>
      <c r="AC40" s="574">
        <v>18.044395298346388832166190340</v>
      </c>
      <c r="AD40" s="574">
        <v>39.668478907793841615267961070</v>
      </c>
      <c r="AE40" s="574">
        <v>53.888258091494352817341186950</v>
      </c>
      <c r="AF40" s="574">
        <v>36.019225332202431439072660450</v>
      </c>
      <c r="AG40" s="575"/>
      <c r="AH40" s="342"/>
    </row>
    <row r="41" ht="24.95" customHeight="1">
      <c r="B41" s="38" t="s">
        <v>35</v>
      </c>
      <c r="C41" s="271">
        <v>-12.649159693074133909576030440</v>
      </c>
      <c r="D41" s="92">
        <v>-12.927448873564515834067367850</v>
      </c>
      <c r="E41" s="92">
        <v>-12.029122074100441678855853390</v>
      </c>
      <c r="F41" s="92">
        <v>-9.532667296482766628602503980</v>
      </c>
      <c r="G41" s="92">
        <v>-3.0155459022969629433608099300</v>
      </c>
      <c r="H41" s="92">
        <v>-0.1347403422920994740290344700</v>
      </c>
      <c r="I41" s="92">
        <v>5.9245995994337620386765652300</v>
      </c>
      <c r="J41" s="92">
        <v>-8.040923413652814924496568370</v>
      </c>
      <c r="K41" s="92">
        <v>-5.0326556758270264822454422100</v>
      </c>
      <c r="L41" s="92">
        <v>-6.5949135180798739093114925600</v>
      </c>
      <c r="M41" s="92">
        <v>-1.0607906203070990259238483300</v>
      </c>
      <c r="N41" s="92">
        <v>-2.342418681648470521158211200</v>
      </c>
      <c r="O41" s="92">
        <v>4.0552571294132616648914977200</v>
      </c>
      <c r="P41" s="92">
        <v>-3.3607767426119530720929469100</v>
      </c>
      <c r="Q41" s="92">
        <v>-1.4301697605889425876196482600</v>
      </c>
      <c r="R41" s="92">
        <v>-8.661774950006935463713391300</v>
      </c>
      <c r="S41" s="92">
        <v>-3.1106742625099239258240133800</v>
      </c>
      <c r="T41" s="92">
        <v>12.461565482380305577256948380</v>
      </c>
      <c r="U41" s="92">
        <v>11.170821062786253751583930480</v>
      </c>
      <c r="V41" s="92">
        <v>3.7293619836332449195047100500</v>
      </c>
      <c r="W41" s="92">
        <v>-8.503424752334699419904745550</v>
      </c>
      <c r="X41" s="92">
        <v>-11.945149368758154822928041190</v>
      </c>
      <c r="Y41" s="92">
        <v>-13.582799588782829558249414970</v>
      </c>
      <c r="Z41" s="92">
        <v>-19.626467917199805878095546920</v>
      </c>
      <c r="AA41" s="92">
        <v>-3.5422861641212827363635716800</v>
      </c>
      <c r="AB41" s="92">
        <v>4.399905583178680758961877900</v>
      </c>
      <c r="AC41" s="92">
        <v>18.638053578422025263062124500</v>
      </c>
      <c r="AD41" s="92">
        <v>57.748535558296518762358440040</v>
      </c>
      <c r="AE41" s="92">
        <v>70.602431317376797184219190190</v>
      </c>
      <c r="AF41" s="92">
        <v>53.050971469503813601280777790</v>
      </c>
      <c r="AG41" s="272"/>
      <c r="AH41" s="342"/>
    </row>
    <row r="42" ht="24.95" customHeight="1">
      <c r="A42" s="23"/>
      <c r="B42" s="40" t="s">
        <v>98</v>
      </c>
      <c r="C42" s="581">
        <v>4.8065127815594195554135693700</v>
      </c>
      <c r="D42" s="582">
        <v>0.2119439915839423753927825500</v>
      </c>
      <c r="E42" s="582">
        <v>7.682711331969747616950306400</v>
      </c>
      <c r="F42" s="582">
        <v>3.0464832622593501653183130800</v>
      </c>
      <c r="G42" s="582">
        <v>-1.3414594353405620318099279500</v>
      </c>
      <c r="H42" s="582">
        <v>15.00133316236516155280348600</v>
      </c>
      <c r="I42" s="582">
        <v>8.691483558228528327742228460</v>
      </c>
      <c r="J42" s="582">
        <v>17.008011608718039450930698580</v>
      </c>
      <c r="K42" s="582">
        <v>25.285319187686273757063141350</v>
      </c>
      <c r="L42" s="582">
        <v>10.331639014855403962479683640</v>
      </c>
      <c r="M42" s="582">
        <v>3.2886797959173537120823505300</v>
      </c>
      <c r="N42" s="582">
        <v>5.3367701142064763837748706800</v>
      </c>
      <c r="O42" s="582">
        <v>-2.5543666430736797064799323100</v>
      </c>
      <c r="P42" s="582">
        <v>14.115984324827970414597374980</v>
      </c>
      <c r="Q42" s="582">
        <v>11.559967200018910564597873760</v>
      </c>
      <c r="R42" s="582">
        <v>11.898121448774034225775365640</v>
      </c>
      <c r="S42" s="582">
        <v>-6.6565412514854287407198842900</v>
      </c>
      <c r="T42" s="582">
        <v>0.9828311489853521143886219300</v>
      </c>
      <c r="U42" s="582">
        <v>-3.1022246929498673680843767600</v>
      </c>
      <c r="V42" s="582">
        <v>-9.410639530405325347272888770</v>
      </c>
      <c r="W42" s="582">
        <v>-6.0659757237822854182784563400</v>
      </c>
      <c r="X42" s="582">
        <v>10.323260105808378257338657170</v>
      </c>
      <c r="Y42" s="582">
        <v>9.915922622842629523769208890</v>
      </c>
      <c r="Z42" s="582">
        <v>5.1443926085483365787611043700</v>
      </c>
      <c r="AA42" s="582">
        <v>-9.755523137703826541218104340</v>
      </c>
      <c r="AB42" s="582">
        <v>-6.7658913170503194649884246700</v>
      </c>
      <c r="AC42" s="582">
        <v>-0.5003944874371497874871300600</v>
      </c>
      <c r="AD42" s="582">
        <v>-11.461315052199619844404313840</v>
      </c>
      <c r="AE42" s="582">
        <v>-9.797148315387357929973435510</v>
      </c>
      <c r="AF42" s="582">
        <v>-11.128152911263704015758108800</v>
      </c>
      <c r="AG42" s="583"/>
      <c r="AH42" s="342"/>
    </row>
    <row r="43" ht="30" customHeight="1">
      <c r="A43" s="8"/>
      <c r="B43" s="25"/>
      <c r="X43" s="1001"/>
      <c r="Y43" s="1001"/>
      <c r="Z43" s="1001"/>
      <c r="AA43" s="1001"/>
      <c r="AB43" s="1001"/>
      <c r="AC43" s="1001"/>
      <c r="AD43" s="1001"/>
      <c r="AE43"/>
      <c r="AF43"/>
      <c r="AG43" s="4"/>
      <c r="AH43" s="4"/>
    </row>
    <row r="44" s="35" customFormat="1" ht="20.1" customHeight="1">
      <c r="B44" s="964" t="s">
        <v>10</v>
      </c>
      <c r="C44" s="350" t="s">
        <v>287</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191.71969696969696969696969697</v>
      </c>
      <c r="D46" s="579">
        <v>186.07575757575757575757575758</v>
      </c>
      <c r="E46" s="579">
        <v>240.38636363636363636363636364</v>
      </c>
      <c r="F46" s="579">
        <v>316.18939393939393939393939394</v>
      </c>
      <c r="G46" s="579">
        <v>329.87121212121212121212121212</v>
      </c>
      <c r="H46" s="579">
        <v>227.79545454545454545454545455</v>
      </c>
      <c r="I46" s="579">
        <v>277.68939393939393939393939394</v>
      </c>
      <c r="J46" s="579">
        <v>269.37878787878787878787878788</v>
      </c>
      <c r="K46" s="579">
        <v>291.03787878787878787878787879</v>
      </c>
      <c r="L46" s="579">
        <v>247.37878787878787878787878788</v>
      </c>
      <c r="M46" s="579">
        <v>307.21969696969696969696969697</v>
      </c>
      <c r="N46" s="579">
        <v>334.72727272727272727272727273</v>
      </c>
      <c r="O46" s="579">
        <v>206.59848484848484848484848485</v>
      </c>
      <c r="P46" s="579">
        <v>201.12878787878787878787878788</v>
      </c>
      <c r="Q46" s="579">
        <v>206.33333333333333333333333333</v>
      </c>
      <c r="R46" s="579">
        <v>216.65151515151515151515151515</v>
      </c>
      <c r="S46" s="579">
        <v>250.250000000</v>
      </c>
      <c r="T46" s="579">
        <v>353.41666666666666666666666667</v>
      </c>
      <c r="U46" s="579">
        <v>327.51515151515151515151515152</v>
      </c>
      <c r="V46" s="579">
        <v>194.85606060606060606060606061</v>
      </c>
      <c r="W46" s="579">
        <v>170.32575757575757575757575758</v>
      </c>
      <c r="X46" s="579">
        <v>182.71212121212121212121212121</v>
      </c>
      <c r="Y46" s="579">
        <v>182.39393939393939393939393939</v>
      </c>
      <c r="Z46" s="579">
        <v>184.22727272727272727272727273</v>
      </c>
      <c r="AA46" s="579">
        <v>255.31060606060606060606060606</v>
      </c>
      <c r="AB46" s="579">
        <v>285.78030303030303030303030303</v>
      </c>
      <c r="AC46" s="579">
        <v>203.12121212121212121212121212</v>
      </c>
      <c r="AD46" s="579">
        <v>268.12878787878787878787878788</v>
      </c>
      <c r="AE46" s="579">
        <v>302.04545454545454545454545455</v>
      </c>
      <c r="AF46" s="579">
        <v>255.12878787878787878787878788</v>
      </c>
      <c r="AG46" s="580"/>
      <c r="AH46" s="342"/>
    </row>
    <row r="47" ht="24.95" customHeight="1">
      <c r="B47" s="38" t="s">
        <v>35</v>
      </c>
      <c r="C47" s="276">
        <v>140.41306873184898354307841239</v>
      </c>
      <c r="D47" s="94">
        <v>153.06679574056147144240077444</v>
      </c>
      <c r="E47" s="94">
        <v>202.4279767666989351403678606</v>
      </c>
      <c r="F47" s="94">
        <v>288.31529525653436592449177154</v>
      </c>
      <c r="G47" s="94">
        <v>329.71568247821878025169409487</v>
      </c>
      <c r="H47" s="94">
        <v>261.82846079380445304937076476</v>
      </c>
      <c r="I47" s="94">
        <v>281.480348499515972894482091</v>
      </c>
      <c r="J47" s="94">
        <v>271.12575024201355275895450145</v>
      </c>
      <c r="K47" s="94">
        <v>259.40081316553727008712487899</v>
      </c>
      <c r="L47" s="94">
        <v>207.42339787028073572120038722</v>
      </c>
      <c r="M47" s="94">
        <v>264.95977734753146176185866409</v>
      </c>
      <c r="N47" s="94">
        <v>301.61899322362052274927395934</v>
      </c>
      <c r="O47" s="94">
        <v>194.40859632139399806389157793</v>
      </c>
      <c r="P47" s="94">
        <v>177.83514036786060019361084221</v>
      </c>
      <c r="Q47" s="94">
        <v>187.31260406582768635043562439</v>
      </c>
      <c r="R47" s="94">
        <v>201.65392061955469506292352372</v>
      </c>
      <c r="S47" s="94">
        <v>248.6580929332042594385285576</v>
      </c>
      <c r="T47" s="94">
        <v>342.85760890609874152952565344</v>
      </c>
      <c r="U47" s="94">
        <v>296.21458857696030977734753146</v>
      </c>
      <c r="V47" s="94">
        <v>163.07038722168441432720232333</v>
      </c>
      <c r="W47" s="94">
        <v>149.1245692158760890609874153</v>
      </c>
      <c r="X47" s="94">
        <v>134.18905130687318489835430784</v>
      </c>
      <c r="Y47" s="94">
        <v>142.54843175217812197483059051</v>
      </c>
      <c r="Z47" s="94">
        <v>187.20324298160696999031945789</v>
      </c>
      <c r="AA47" s="94">
        <v>271.72478218780251694094869313</v>
      </c>
      <c r="AB47" s="94">
        <v>294.51858664085188770571151985</v>
      </c>
      <c r="AC47" s="94">
        <v>219.76315585672797676669893514</v>
      </c>
      <c r="AD47" s="94">
        <v>300.3714424007744433688286544</v>
      </c>
      <c r="AE47" s="94">
        <v>319.04408518877057115198451113</v>
      </c>
      <c r="AF47" s="94">
        <v>309.52514036786060019361084221</v>
      </c>
      <c r="AG47" s="277"/>
      <c r="AH47" s="342"/>
    </row>
    <row r="48" ht="24.95" customHeight="1">
      <c r="A48" s="23"/>
      <c r="B48" s="40" t="s">
        <v>99</v>
      </c>
      <c r="C48" s="581">
        <v>136.53978130475637075942431210</v>
      </c>
      <c r="D48" s="582">
        <v>121.56507012212979727777175902</v>
      </c>
      <c r="E48" s="582">
        <v>118.75155177459042958956006159</v>
      </c>
      <c r="F48" s="582">
        <v>109.66792228559907608487359777</v>
      </c>
      <c r="G48" s="582">
        <v>100.04717083574646300129019221</v>
      </c>
      <c r="H48" s="582">
        <v>87.00179264501434085447457348</v>
      </c>
      <c r="I48" s="582">
        <v>98.65320809061283560063251027</v>
      </c>
      <c r="J48" s="582">
        <v>99.35566342862939919598033083</v>
      </c>
      <c r="K48" s="582">
        <v>112.19620911604238564654680961</v>
      </c>
      <c r="L48" s="582">
        <v>119.26272080137826479309069911</v>
      </c>
      <c r="M48" s="582">
        <v>115.94956036167415986319764733</v>
      </c>
      <c r="N48" s="582">
        <v>110.97685498841529502707101507</v>
      </c>
      <c r="O48" s="582">
        <v>106.27024152107568959353588382</v>
      </c>
      <c r="P48" s="582">
        <v>113.09845031904193966621191506</v>
      </c>
      <c r="Q48" s="582">
        <v>110.15453784458180263811745802</v>
      </c>
      <c r="R48" s="582">
        <v>107.43729379812387437941994358</v>
      </c>
      <c r="S48" s="582">
        <v>100.64019917792406340494748118</v>
      </c>
      <c r="T48" s="582">
        <v>103.07972099387140178064763700</v>
      </c>
      <c r="U48" s="582">
        <v>110.56685394481002667227223043</v>
      </c>
      <c r="V48" s="582">
        <v>119.49199601834933456552450929</v>
      </c>
      <c r="W48" s="582">
        <v>114.21709948356186563232627997</v>
      </c>
      <c r="X48" s="582">
        <v>136.16023023685104198576996670</v>
      </c>
      <c r="Y48" s="582">
        <v>127.95225955975797273482053863</v>
      </c>
      <c r="Z48" s="582">
        <v>98.41029983939980272840510377</v>
      </c>
      <c r="AA48" s="582">
        <v>93.95926422498723815023046842</v>
      </c>
      <c r="AB48" s="582">
        <v>97.03302813236321629043623407</v>
      </c>
      <c r="AC48" s="582">
        <v>92.42732765161985648626763736</v>
      </c>
      <c r="AD48" s="582">
        <v>89.26573902488732493288439503</v>
      </c>
      <c r="AE48" s="582">
        <v>94.67201197812953869363755341</v>
      </c>
      <c r="AF48" s="582">
        <v>82.42586937382311025255769701</v>
      </c>
      <c r="AG48" s="583"/>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-3.0197355815320016942531049800</v>
      </c>
      <c r="D50" s="574">
        <v>-12.742903833173469750257557990</v>
      </c>
      <c r="E50" s="574">
        <v>-1.4197837703553237365620507400</v>
      </c>
      <c r="F50" s="574">
        <v>-8.221919254124975365396552030</v>
      </c>
      <c r="G50" s="574">
        <v>-5.8000173070217618562118564400</v>
      </c>
      <c r="H50" s="574">
        <v>10.886159973458204328795084260</v>
      </c>
      <c r="I50" s="574">
        <v>13.332096589691988855323343260</v>
      </c>
      <c r="J50" s="574">
        <v>1.0285259688463195554991913200</v>
      </c>
      <c r="K50" s="574">
        <v>38.449617990499771476516267820</v>
      </c>
      <c r="L50" s="574">
        <v>6.548764968858180999243828300</v>
      </c>
      <c r="M50" s="574">
        <v>4.6070111177010424946760347500</v>
      </c>
      <c r="N50" s="574">
        <v>-1.0569688283680631466166578300</v>
      </c>
      <c r="O50" s="574">
        <v>-2.502591970247935546957223400</v>
      </c>
      <c r="P50" s="574">
        <v>10.280800863995329015478009780</v>
      </c>
      <c r="Q50" s="574">
        <v>10.823567708344155947367351320</v>
      </c>
      <c r="R50" s="574">
        <v>3.8152974915568645501145952200</v>
      </c>
      <c r="S50" s="574">
        <v>-5.1484523057365948771074840900</v>
      </c>
      <c r="T50" s="574">
        <v>13.566872778605232302178430770</v>
      </c>
      <c r="U50" s="574">
        <v>13.199444895377604228969806640</v>
      </c>
      <c r="V50" s="574">
        <v>9.181594362847284462274168480</v>
      </c>
      <c r="W50" s="574">
        <v>-20.984747311447838187876894570</v>
      </c>
      <c r="X50" s="574">
        <v>-5.263571372438733016835089400</v>
      </c>
      <c r="Y50" s="574">
        <v>1.7109543322812901295145631700</v>
      </c>
      <c r="Z50" s="574">
        <v>-26.542818305405248243170746670</v>
      </c>
      <c r="AA50" s="574">
        <v>-22.152410431724423708142773980</v>
      </c>
      <c r="AB50" s="574">
        <v>-8.203144011296547244229641510</v>
      </c>
      <c r="AC50" s="574">
        <v>-1.172134168815350860806027500</v>
      </c>
      <c r="AD50" s="574">
        <v>41.958126102991050336845628680</v>
      </c>
      <c r="AE50" s="574">
        <v>55.099976659165032285276173970</v>
      </c>
      <c r="AF50" s="574">
        <v>38.213083805309277505563751590</v>
      </c>
      <c r="AG50" s="575"/>
      <c r="AH50" s="342"/>
    </row>
    <row r="51" ht="24.95" customHeight="1">
      <c r="B51" s="38" t="s">
        <v>35</v>
      </c>
      <c r="C51" s="271">
        <v>-21.849425713553358916108415380</v>
      </c>
      <c r="D51" s="92">
        <v>-23.022817120105849145324916410</v>
      </c>
      <c r="E51" s="92">
        <v>-10.826786612703606996832628650</v>
      </c>
      <c r="F51" s="92">
        <v>-7.7929108983417728245730538900</v>
      </c>
      <c r="G51" s="92">
        <v>2.5235454532310627309492125900</v>
      </c>
      <c r="H51" s="92">
        <v>6.7987939228577676073853180600</v>
      </c>
      <c r="I51" s="92">
        <v>14.781571769325115531838003660</v>
      </c>
      <c r="J51" s="92">
        <v>-1.2479155511539251040103259100</v>
      </c>
      <c r="K51" s="92">
        <v>0.961960743279883169738755400</v>
      </c>
      <c r="L51" s="92">
        <v>-0.8855561536738161204763036800</v>
      </c>
      <c r="M51" s="92">
        <v>8.132675737967655450731956010</v>
      </c>
      <c r="N51" s="92">
        <v>2.6708041786335044934682892100</v>
      </c>
      <c r="O51" s="92">
        <v>6.5554406531541658949329358900</v>
      </c>
      <c r="P51" s="92">
        <v>-1.4437793151207470999284941300</v>
      </c>
      <c r="Q51" s="92">
        <v>3.3174596775527383977379286100</v>
      </c>
      <c r="R51" s="92">
        <v>-2.9596156108924587302134855700</v>
      </c>
      <c r="S51" s="92">
        <v>4.0663128291862796870985546900</v>
      </c>
      <c r="T51" s="92">
        <v>20.562610453564695464309326860</v>
      </c>
      <c r="U51" s="92">
        <v>15.341216279501590876950924120</v>
      </c>
      <c r="V51" s="92">
        <v>2.060448981464547078302940300</v>
      </c>
      <c r="W51" s="92">
        <v>-12.677744461562774828645874410</v>
      </c>
      <c r="X51" s="92">
        <v>-24.105104932130179868493331810</v>
      </c>
      <c r="Y51" s="92">
        <v>-20.664494159310432852235780310</v>
      </c>
      <c r="Z51" s="92">
        <v>-21.614200431064325433698749830</v>
      </c>
      <c r="AA51" s="92">
        <v>0.7751442586795650216878400600</v>
      </c>
      <c r="AB51" s="92">
        <v>7.4672690210558963255034272300</v>
      </c>
      <c r="AC51" s="92">
        <v>23.153688835775432043620138900</v>
      </c>
      <c r="AD51" s="92">
        <v>111.66525799209540399844879030</v>
      </c>
      <c r="AE51" s="92">
        <v>142.89159712983014186870517819</v>
      </c>
      <c r="AF51" s="92">
        <v>93.78390458787800367600108762</v>
      </c>
      <c r="AG51" s="272"/>
      <c r="AH51" s="342"/>
    </row>
    <row r="52" ht="24.95" customHeight="1">
      <c r="A52" s="23"/>
      <c r="B52" s="40" t="s">
        <v>99</v>
      </c>
      <c r="C52" s="581">
        <v>24.094116139206535520700918780</v>
      </c>
      <c r="D52" s="582">
        <v>13.354494023170255140513904810</v>
      </c>
      <c r="E52" s="582">
        <v>10.549135199975030121011262690</v>
      </c>
      <c r="F52" s="582">
        <v>-0.4652661307406433649037946200</v>
      </c>
      <c r="G52" s="582">
        <v>-8.118684077346379012572185170</v>
      </c>
      <c r="H52" s="582">
        <v>3.8271649897930481995440008300</v>
      </c>
      <c r="I52" s="582">
        <v>-1.2628117539045858750799414900</v>
      </c>
      <c r="J52" s="582">
        <v>2.3052085763440503267855359900</v>
      </c>
      <c r="K52" s="582">
        <v>37.130476638230185283009066400</v>
      </c>
      <c r="L52" s="582">
        <v>7.5007444263192294414153094400</v>
      </c>
      <c r="M52" s="582">
        <v>-3.2604988234948276609385870400</v>
      </c>
      <c r="N52" s="582">
        <v>-3.6308014112264437876413386400</v>
      </c>
      <c r="O52" s="582">
        <v>-8.500769709991724860245947330</v>
      </c>
      <c r="P52" s="582">
        <v>11.896337032435539742187584050</v>
      </c>
      <c r="Q52" s="582">
        <v>7.2650915481733196392042073400</v>
      </c>
      <c r="R52" s="582">
        <v>6.981539845584628637656888300</v>
      </c>
      <c r="S52" s="582">
        <v>-8.854705124496344988700200700</v>
      </c>
      <c r="T52" s="582">
        <v>-5.8025764775852414715325208800</v>
      </c>
      <c r="U52" s="582">
        <v>-1.8569002938948078738602997500</v>
      </c>
      <c r="V52" s="582">
        <v>6.9773800256809398225970757100</v>
      </c>
      <c r="W52" s="582">
        <v>-9.513042005962872460549035750</v>
      </c>
      <c r="X52" s="582">
        <v>24.825824639216737859804942310</v>
      </c>
      <c r="Y52" s="582">
        <v>28.203574496104125098155022480</v>
      </c>
      <c r="Z52" s="582">
        <v>-6.2876412582434383768898205800</v>
      </c>
      <c r="AA52" s="582">
        <v>-22.751200069286889599595158060</v>
      </c>
      <c r="AB52" s="582">
        <v>-14.581568113818262413120169420</v>
      </c>
      <c r="AC52" s="582">
        <v>-19.752411181941688624527806490</v>
      </c>
      <c r="AD52" s="582">
        <v>-32.932722427108409531131225020</v>
      </c>
      <c r="AE52" s="582">
        <v>-36.144362961949294610168271440</v>
      </c>
      <c r="AF52" s="582">
        <v>-28.676695776535852964420404750</v>
      </c>
      <c r="AG52" s="583"/>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48" t="s">
        <v>126</v>
      </c>
      <c r="C56" s="1048"/>
      <c r="D56" s="1048"/>
      <c r="E56" s="1048"/>
      <c r="F56" s="1048"/>
      <c r="G56" s="1048"/>
      <c r="H56" s="1048"/>
      <c r="I56" s="1048"/>
      <c r="J56" s="1048"/>
      <c r="K56" s="1048"/>
      <c r="L56" s="1048"/>
      <c r="M56" s="1048"/>
      <c r="N56" s="1048"/>
      <c r="O56" s="1048"/>
      <c r="P56" s="1048"/>
      <c r="Q56" s="1048"/>
      <c r="R56" s="1048"/>
      <c r="S56" s="1048"/>
      <c r="T56" s="1048"/>
      <c r="U56" s="1048"/>
      <c r="V56" s="1048"/>
      <c r="W56" s="1048"/>
      <c r="X56" s="1048"/>
      <c r="Y56" s="1048"/>
      <c r="Z56" s="1048"/>
      <c r="AA56" s="1048"/>
      <c r="AB56" s="1048"/>
      <c r="AC56" s="1048"/>
      <c r="AD56" s="1048"/>
      <c r="AE56" s="1048"/>
      <c r="AF56" s="1048"/>
      <c r="AG56" s="1048"/>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177</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82.39898989898989898989898990</v>
      </c>
      <c r="F10" s="113">
        <v>-8.316942961467914884962903210</v>
      </c>
      <c r="G10" s="659"/>
      <c r="H10" s="18" t="s">
        <v>19</v>
      </c>
      <c r="I10" s="667">
        <v>10.631313131313131313131313130</v>
      </c>
      <c r="J10" s="113">
        <v>216.54135338212584091809029717</v>
      </c>
      <c r="K10" s="9"/>
      <c r="L10" s="18" t="s">
        <v>19</v>
      </c>
      <c r="M10" s="667">
        <v>0</v>
      </c>
      <c r="N10" s="113">
        <v>0</v>
      </c>
      <c r="O10" s="9"/>
      <c r="P10" s="18" t="s">
        <v>19</v>
      </c>
      <c r="Q10" s="667">
        <v>93.03030303030303030303030303</v>
      </c>
      <c r="R10" s="113">
        <v>-0.2166847237021124999853212200</v>
      </c>
      <c r="S10" s="674"/>
      <c r="T10" s="9"/>
    </row>
    <row r="11" ht="15" customHeight="1">
      <c r="A11" s="2"/>
      <c r="B11" s="44"/>
      <c r="C11" s="45"/>
      <c r="D11" s="133" t="s">
        <v>16</v>
      </c>
      <c r="E11" s="92">
        <v>79.015811552113585027428202650</v>
      </c>
      <c r="F11" s="92">
        <v>9.866295764569110204970611570</v>
      </c>
      <c r="G11" s="661"/>
      <c r="H11" s="133" t="s">
        <v>16</v>
      </c>
      <c r="I11" s="668">
        <v>9.725717973539851565020974510</v>
      </c>
      <c r="J11" s="92">
        <v>-20.684210526615310941827123740</v>
      </c>
      <c r="K11" s="120"/>
      <c r="L11" s="133" t="s">
        <v>16</v>
      </c>
      <c r="M11" s="668">
        <v>0</v>
      </c>
      <c r="N11" s="92">
        <v>-100</v>
      </c>
      <c r="O11" s="120"/>
      <c r="P11" s="133" t="s">
        <v>16</v>
      </c>
      <c r="Q11" s="668">
        <v>88.74152952565343659244917715</v>
      </c>
      <c r="R11" s="92">
        <v>4.3008305837307887432238095300</v>
      </c>
      <c r="S11" s="674"/>
      <c r="T11" s="9"/>
    </row>
    <row r="12" ht="15" customHeight="1">
      <c r="A12" s="2"/>
      <c r="B12" s="44"/>
      <c r="C12" s="45"/>
      <c r="D12" s="19" t="s">
        <v>97</v>
      </c>
      <c r="E12" s="113">
        <v>104.28164728101180199420193395</v>
      </c>
      <c r="F12" s="113">
        <v>-16.550333839445600155330023500</v>
      </c>
      <c r="G12" s="113"/>
      <c r="H12" s="19" t="s">
        <v>97</v>
      </c>
      <c r="I12" s="667">
        <v>109.31134503674317667722069414</v>
      </c>
      <c r="J12" s="113">
        <v>299.08996113759970442872774353</v>
      </c>
      <c r="K12" s="9"/>
      <c r="L12" s="19" t="s">
        <v>97</v>
      </c>
      <c r="M12" s="667">
        <v>0</v>
      </c>
      <c r="N12" s="113">
        <v>0</v>
      </c>
      <c r="O12" s="9"/>
      <c r="P12" s="19" t="s">
        <v>97</v>
      </c>
      <c r="Q12" s="667">
        <v>104.83288211001702376648345679</v>
      </c>
      <c r="R12" s="113">
        <v>-4.3312361773033227440349906200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264.2133006435795280416794361</v>
      </c>
      <c r="F14" s="113">
        <v>2.4890666781314954155256716700</v>
      </c>
      <c r="G14" s="664"/>
      <c r="H14" s="53" t="s">
        <v>19</v>
      </c>
      <c r="I14" s="670">
        <v>284.80285035629453681710213777</v>
      </c>
      <c r="J14" s="113">
        <v>3.242876876974183653565297100</v>
      </c>
      <c r="K14" s="671"/>
      <c r="L14" s="53" t="s">
        <v>19</v>
      </c>
      <c r="M14" s="670">
        <v>0</v>
      </c>
      <c r="N14" s="113">
        <v>0</v>
      </c>
      <c r="O14" s="671"/>
      <c r="P14" s="53" t="s">
        <v>19</v>
      </c>
      <c r="Q14" s="670">
        <v>266.56623235613463626492942454</v>
      </c>
      <c r="R14" s="113">
        <v>3.1414733022789974030718427700</v>
      </c>
      <c r="S14" s="675"/>
      <c r="T14" s="9"/>
    </row>
    <row r="15" ht="15" customHeight="1">
      <c r="A15" s="2"/>
      <c r="B15" s="44"/>
      <c r="C15" s="45"/>
      <c r="D15" s="133" t="s">
        <v>16</v>
      </c>
      <c r="E15" s="665">
        <v>263.69587189630124207346963408</v>
      </c>
      <c r="F15" s="92">
        <v>1.9460910872921717917364814900</v>
      </c>
      <c r="G15" s="666"/>
      <c r="H15" s="143" t="s">
        <v>16</v>
      </c>
      <c r="I15" s="672">
        <v>291.15095384050148817085237906</v>
      </c>
      <c r="J15" s="92">
        <v>5.1345118185901393910094191700</v>
      </c>
      <c r="K15" s="673"/>
      <c r="L15" s="143" t="s">
        <v>16</v>
      </c>
      <c r="M15" s="672">
        <v>0</v>
      </c>
      <c r="N15" s="92">
        <v>-100</v>
      </c>
      <c r="O15" s="673"/>
      <c r="P15" s="143" t="s">
        <v>16</v>
      </c>
      <c r="Q15" s="672">
        <v>266.70483946038325879058943312</v>
      </c>
      <c r="R15" s="92">
        <v>2.4466606707159943313934101900</v>
      </c>
      <c r="S15" s="675"/>
      <c r="T15" s="9"/>
    </row>
    <row r="16" ht="15" customHeight="1">
      <c r="A16" s="2"/>
      <c r="B16" s="44"/>
      <c r="C16" s="45"/>
      <c r="D16" s="19" t="s">
        <v>98</v>
      </c>
      <c r="E16" s="113">
        <v>100.19622178517948511264922727</v>
      </c>
      <c r="F16" s="113">
        <v>0.5326105052240728852605699200</v>
      </c>
      <c r="G16" s="113"/>
      <c r="H16" s="19" t="s">
        <v>98</v>
      </c>
      <c r="I16" s="667">
        <v>97.81965217682813501588011734</v>
      </c>
      <c r="J16" s="113">
        <v>-1.7992521284453975709962486200</v>
      </c>
      <c r="K16" s="9"/>
      <c r="L16" s="19" t="s">
        <v>98</v>
      </c>
      <c r="M16" s="667">
        <v>0</v>
      </c>
      <c r="N16" s="113">
        <v>0</v>
      </c>
      <c r="O16" s="9"/>
      <c r="P16" s="19" t="s">
        <v>98</v>
      </c>
      <c r="Q16" s="667">
        <v>99.94802977533298793251229615</v>
      </c>
      <c r="R16" s="113">
        <v>0.6782189160637087787567176900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217.70909090909090909090909091</v>
      </c>
      <c r="F18" s="113">
        <v>-6.0348905392651950782129212800</v>
      </c>
      <c r="G18" s="664"/>
      <c r="H18" s="53" t="s">
        <v>19</v>
      </c>
      <c r="I18" s="670">
        <v>30.278282828282828282828282828</v>
      </c>
      <c r="J18" s="113">
        <v>226.80639973830556227755040414</v>
      </c>
      <c r="K18" s="671"/>
      <c r="L18" s="53" t="s">
        <v>19</v>
      </c>
      <c r="M18" s="670">
        <v>0</v>
      </c>
      <c r="N18" s="113">
        <v>0</v>
      </c>
      <c r="O18" s="671"/>
      <c r="P18" s="53" t="s">
        <v>19</v>
      </c>
      <c r="Q18" s="670">
        <v>247.98737373737373737373737374</v>
      </c>
      <c r="R18" s="113">
        <v>2.9179814858149940578076020500</v>
      </c>
      <c r="S18" s="675"/>
      <c r="T18" s="9"/>
    </row>
    <row r="19" ht="15" customHeight="1">
      <c r="A19" s="2"/>
      <c r="B19" s="44"/>
      <c r="C19" s="45"/>
      <c r="D19" s="133" t="s">
        <v>16</v>
      </c>
      <c r="E19" s="665">
        <v>208.36143320828423732342855533</v>
      </c>
      <c r="F19" s="92">
        <v>12.004393954347383583292623380</v>
      </c>
      <c r="G19" s="666"/>
      <c r="H19" s="143" t="s">
        <v>16</v>
      </c>
      <c r="I19" s="672">
        <v>28.316520647798369969246501146</v>
      </c>
      <c r="J19" s="92">
        <v>-16.611731941733697050566749760</v>
      </c>
      <c r="K19" s="673"/>
      <c r="L19" s="143" t="s">
        <v>16</v>
      </c>
      <c r="M19" s="672">
        <v>0</v>
      </c>
      <c r="N19" s="92">
        <v>-100</v>
      </c>
      <c r="O19" s="673"/>
      <c r="P19" s="143" t="s">
        <v>16</v>
      </c>
      <c r="Q19" s="672">
        <v>236.67795385608260729267505647</v>
      </c>
      <c r="R19" s="92">
        <v>6.8527179848306794723441415600</v>
      </c>
      <c r="S19" s="675"/>
      <c r="T19" s="9"/>
    </row>
    <row r="20" ht="15" customHeight="1">
      <c r="A20" s="2"/>
      <c r="B20" s="44"/>
      <c r="C20" s="45"/>
      <c r="D20" s="19" t="s">
        <v>99</v>
      </c>
      <c r="E20" s="113">
        <v>104.48627059089481662860093109</v>
      </c>
      <c r="F20" s="113">
        <v>-16.105872150880980334052387830</v>
      </c>
      <c r="G20" s="113"/>
      <c r="H20" s="19" t="s">
        <v>99</v>
      </c>
      <c r="I20" s="667">
        <v>106.92797750430981635423170815</v>
      </c>
      <c r="J20" s="113">
        <v>291.90932651325117696117286631</v>
      </c>
      <c r="K20" s="9"/>
      <c r="L20" s="19" t="s">
        <v>99</v>
      </c>
      <c r="M20" s="667">
        <v>0</v>
      </c>
      <c r="N20" s="113">
        <v>0</v>
      </c>
      <c r="O20" s="9"/>
      <c r="P20" s="19" t="s">
        <v>99</v>
      </c>
      <c r="Q20" s="667">
        <v>104.77840022571339927103601516</v>
      </c>
      <c r="R20" s="113">
        <v>-3.6823925242133957848967211200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76.704545454545454545454545450</v>
      </c>
      <c r="F27" s="113">
        <v>-4.5927108480137639387979252900</v>
      </c>
      <c r="G27" s="9"/>
      <c r="H27" s="18" t="s">
        <v>19</v>
      </c>
      <c r="I27" s="667">
        <v>15.189393939393939393939393940</v>
      </c>
      <c r="J27" s="113">
        <v>30.784366576859453110628386080</v>
      </c>
      <c r="K27" s="9"/>
      <c r="L27" s="18" t="s">
        <v>19</v>
      </c>
      <c r="M27" s="667">
        <v>0</v>
      </c>
      <c r="N27" s="113">
        <v>0</v>
      </c>
      <c r="O27" s="9"/>
      <c r="P27" s="18" t="s">
        <v>19</v>
      </c>
      <c r="Q27" s="667">
        <v>91.89393939393939393939393939</v>
      </c>
      <c r="R27" s="113">
        <v>-0.1272455089315015104521240300</v>
      </c>
      <c r="S27" s="674"/>
      <c r="T27" s="9"/>
    </row>
    <row r="28" ht="15" customHeight="1">
      <c r="A28" s="2"/>
      <c r="B28" s="44"/>
      <c r="C28" s="45"/>
      <c r="D28" s="133" t="s">
        <v>16</v>
      </c>
      <c r="E28" s="668">
        <v>77.856566634398192965472733140</v>
      </c>
      <c r="F28" s="92">
        <v>7.3731656376844363717363802200</v>
      </c>
      <c r="G28" s="120"/>
      <c r="H28" s="133" t="s">
        <v>16</v>
      </c>
      <c r="I28" s="668">
        <v>10.738141335914811229428848020</v>
      </c>
      <c r="J28" s="92">
        <v>-13.679359201367086154554966020</v>
      </c>
      <c r="K28" s="120"/>
      <c r="L28" s="133" t="s">
        <v>16</v>
      </c>
      <c r="M28" s="668">
        <v>0.3363988383349467570183930300</v>
      </c>
      <c r="N28" s="92">
        <v>-51.322304073032501877514471960</v>
      </c>
      <c r="O28" s="120"/>
      <c r="P28" s="133" t="s">
        <v>16</v>
      </c>
      <c r="Q28" s="668">
        <v>88.93110680864795095191997419</v>
      </c>
      <c r="R28" s="92">
        <v>3.8415377064809263591943399800</v>
      </c>
      <c r="S28" s="674"/>
      <c r="T28" s="9"/>
    </row>
    <row r="29" ht="15" customHeight="1">
      <c r="A29" s="2"/>
      <c r="B29" s="44"/>
      <c r="C29" s="45"/>
      <c r="D29" s="19" t="s">
        <v>97</v>
      </c>
      <c r="E29" s="667">
        <v>98.52032881790919024689406739</v>
      </c>
      <c r="F29" s="113">
        <v>-11.144196424355974649192934030</v>
      </c>
      <c r="G29" s="676"/>
      <c r="H29" s="19" t="s">
        <v>97</v>
      </c>
      <c r="I29" s="667">
        <v>141.45272877543909543783670157</v>
      </c>
      <c r="J29" s="113">
        <v>51.509957950952854728162592230</v>
      </c>
      <c r="K29" s="676"/>
      <c r="L29" s="19" t="s">
        <v>97</v>
      </c>
      <c r="M29" s="667">
        <v>0</v>
      </c>
      <c r="N29" s="113">
        <v>0</v>
      </c>
      <c r="O29" s="676"/>
      <c r="P29" s="19" t="s">
        <v>97</v>
      </c>
      <c r="Q29" s="667">
        <v>103.33160430772112685426503933</v>
      </c>
      <c r="R29" s="113">
        <v>-3.8219611372247802008823388100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292.23349794238683127572016461</v>
      </c>
      <c r="F31" s="113">
        <v>-2.8384028492127436714320543800</v>
      </c>
      <c r="G31" s="671"/>
      <c r="H31" s="53" t="s">
        <v>19</v>
      </c>
      <c r="I31" s="670">
        <v>312.08645054031587697423108894</v>
      </c>
      <c r="J31" s="113">
        <v>0.5441883460906646351835708700</v>
      </c>
      <c r="K31" s="671"/>
      <c r="L31" s="53" t="s">
        <v>19</v>
      </c>
      <c r="M31" s="670">
        <v>0</v>
      </c>
      <c r="N31" s="113">
        <v>0</v>
      </c>
      <c r="O31" s="671"/>
      <c r="P31" s="53" t="s">
        <v>19</v>
      </c>
      <c r="Q31" s="670">
        <v>295.51504534212695795548227535</v>
      </c>
      <c r="R31" s="113">
        <v>-2.1427057084118084790466402400</v>
      </c>
      <c r="S31" s="675"/>
      <c r="T31" s="9"/>
    </row>
    <row r="32" ht="15" customHeight="1">
      <c r="A32" s="2"/>
      <c r="B32" s="44"/>
      <c r="C32" s="45"/>
      <c r="D32" s="133" t="s">
        <v>16</v>
      </c>
      <c r="E32" s="672">
        <v>298.20371710010971412854927753</v>
      </c>
      <c r="F32" s="92">
        <v>-0.3821058891775027046883454800</v>
      </c>
      <c r="G32" s="673"/>
      <c r="H32" s="143" t="s">
        <v>16</v>
      </c>
      <c r="I32" s="672">
        <v>321.85913753610704276679156296</v>
      </c>
      <c r="J32" s="92">
        <v>-0.6554786041219512088749909500</v>
      </c>
      <c r="K32" s="673"/>
      <c r="L32" s="143" t="s">
        <v>16</v>
      </c>
      <c r="M32" s="672">
        <v>166.18704846088856947438413101</v>
      </c>
      <c r="N32" s="92">
        <v>-0.8289072293538649082676274200</v>
      </c>
      <c r="O32" s="673"/>
      <c r="P32" s="143" t="s">
        <v>16</v>
      </c>
      <c r="Q32" s="672">
        <v>300.56065385208501528497174321</v>
      </c>
      <c r="R32" s="92">
        <v>-0.4313111320513795338891060100</v>
      </c>
      <c r="S32" s="675"/>
      <c r="T32" s="9"/>
    </row>
    <row r="33" ht="15" customHeight="1">
      <c r="A33" s="2"/>
      <c r="B33" s="44"/>
      <c r="C33" s="45"/>
      <c r="D33" s="19" t="s">
        <v>98</v>
      </c>
      <c r="E33" s="667">
        <v>97.99793938996772932456856920</v>
      </c>
      <c r="F33" s="113">
        <v>-2.4657186160259270839821021500</v>
      </c>
      <c r="G33" s="676"/>
      <c r="H33" s="19" t="s">
        <v>98</v>
      </c>
      <c r="I33" s="667">
        <v>96.96367576493365518419996369</v>
      </c>
      <c r="J33" s="113">
        <v>1.2075823944126275228886264900</v>
      </c>
      <c r="K33" s="676"/>
      <c r="L33" s="19" t="s">
        <v>98</v>
      </c>
      <c r="M33" s="667">
        <v>0</v>
      </c>
      <c r="N33" s="113">
        <v>0</v>
      </c>
      <c r="O33" s="676"/>
      <c r="P33" s="19" t="s">
        <v>98</v>
      </c>
      <c r="Q33" s="667">
        <v>98.32126778894489396983138503</v>
      </c>
      <c r="R33" s="113">
        <v>-1.7188079865760616382352808600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224.15637626262626262626262626</v>
      </c>
      <c r="F35" s="113">
        <v>-7.3007540616865414418923566600</v>
      </c>
      <c r="G35" s="671"/>
      <c r="H35" s="53" t="s">
        <v>19</v>
      </c>
      <c r="I35" s="670">
        <v>47.404040404040404040404040404</v>
      </c>
      <c r="J35" s="113">
        <v>31.496079858087721769975027760</v>
      </c>
      <c r="K35" s="671"/>
      <c r="L35" s="53" t="s">
        <v>19</v>
      </c>
      <c r="M35" s="670">
        <v>0</v>
      </c>
      <c r="N35" s="113">
        <v>0</v>
      </c>
      <c r="O35" s="671"/>
      <c r="P35" s="53" t="s">
        <v>19</v>
      </c>
      <c r="Q35" s="670">
        <v>271.56041666666666666666666667</v>
      </c>
      <c r="R35" s="113">
        <v>-2.2672247206054097056218913500</v>
      </c>
      <c r="S35" s="675"/>
      <c r="T35" s="9"/>
    </row>
    <row r="36" ht="15" customHeight="1">
      <c r="A36" s="2"/>
      <c r="B36" s="44"/>
      <c r="C36" s="45"/>
      <c r="D36" s="133" t="s">
        <v>16</v>
      </c>
      <c r="E36" s="672">
        <v>232.17117571029919829187172736</v>
      </c>
      <c r="F36" s="92">
        <v>6.9628864484249313406985756700</v>
      </c>
      <c r="G36" s="673"/>
      <c r="H36" s="143" t="s">
        <v>16</v>
      </c>
      <c r="I36" s="672">
        <v>34.561689091183614442310120157</v>
      </c>
      <c r="J36" s="92">
        <v>-14.245172532849624676955364140</v>
      </c>
      <c r="K36" s="673"/>
      <c r="L36" s="143" t="s">
        <v>16</v>
      </c>
      <c r="M36" s="672">
        <v>0.5590513004855641615909824349</v>
      </c>
      <c r="N36" s="92">
        <v>-51.725797012116033894479802680</v>
      </c>
      <c r="O36" s="673"/>
      <c r="P36" s="143" t="s">
        <v>16</v>
      </c>
      <c r="Q36" s="672">
        <v>267.29191610196837689577282995</v>
      </c>
      <c r="R36" s="92">
        <v>3.3936575946450006258481906900</v>
      </c>
      <c r="S36" s="675"/>
      <c r="T36" s="9"/>
    </row>
    <row r="37" ht="15" customHeight="1">
      <c r="A37" s="2"/>
      <c r="B37" s="44"/>
      <c r="C37" s="45"/>
      <c r="D37" s="19" t="s">
        <v>99</v>
      </c>
      <c r="E37" s="667">
        <v>96.54789212177032092176302108</v>
      </c>
      <c r="F37" s="113">
        <v>-13.335130514650138951582663410</v>
      </c>
      <c r="G37" s="676"/>
      <c r="H37" s="19" t="s">
        <v>99</v>
      </c>
      <c r="I37" s="667">
        <v>137.15776529021056261380052144</v>
      </c>
      <c r="J37" s="113">
        <v>53.339565528800607837431935440</v>
      </c>
      <c r="K37" s="676"/>
      <c r="L37" s="19" t="s">
        <v>99</v>
      </c>
      <c r="M37" s="667">
        <v>0</v>
      </c>
      <c r="N37" s="113">
        <v>0</v>
      </c>
      <c r="O37" s="676"/>
      <c r="P37" s="19" t="s">
        <v>99</v>
      </c>
      <c r="Q37" s="667">
        <v>101.59694338194567186876017656</v>
      </c>
      <c r="R37" s="113">
        <v>-5.4750769505318226017572805600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179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15">
        <v>62.045454545454545454545454550</v>
      </c>
      <c r="E9" s="416">
        <v>63.136495643756050338818973860</v>
      </c>
      <c r="F9" s="417">
        <v>54.692640032789374244958900110</v>
      </c>
      <c r="G9" s="415">
        <v>12.297979797979797979797979800</v>
      </c>
      <c r="H9" s="416">
        <v>13.588254275572765408196192320</v>
      </c>
      <c r="I9" s="417">
        <v>14.895776661633069396100527300</v>
      </c>
      <c r="J9" s="415">
        <v>0</v>
      </c>
      <c r="K9" s="416">
        <v>0.7970313004194901581155211400</v>
      </c>
      <c r="L9" s="417">
        <v>6.9059077012482581728712585700</v>
      </c>
      <c r="M9" s="415">
        <v>74.343434343434343434343434340</v>
      </c>
      <c r="N9" s="416">
        <v>77.521781219748305905130687320</v>
      </c>
      <c r="O9" s="417">
        <v>76.494324395670701813930685980</v>
      </c>
      <c r="P9" s="5"/>
      <c r="Q9" s="415">
        <v>-16.286201022189862001514913590</v>
      </c>
      <c r="R9" s="416">
        <v>-2.7824704362173186693877145500</v>
      </c>
      <c r="S9" s="417">
        <v>7.2559280452259087768702597400</v>
      </c>
      <c r="T9" s="415">
        <v>-0.4089979551324224973965655200</v>
      </c>
      <c r="U9" s="416">
        <v>14.212096555755092276583094020</v>
      </c>
      <c r="V9" s="417">
        <v>-10.403568717198268261941363230</v>
      </c>
      <c r="W9" s="415">
        <v>0</v>
      </c>
      <c r="X9" s="416">
        <v>0</v>
      </c>
      <c r="Y9" s="417">
        <v>-8.256414093112912855377463770</v>
      </c>
      <c r="Z9" s="415">
        <v>-14.018691588738841820246284900</v>
      </c>
      <c r="AA9" s="416">
        <v>0.8860706336259238816484027800</v>
      </c>
      <c r="AB9" s="417">
        <v>1.7949990042271912130654800400</v>
      </c>
    </row>
    <row r="10" ht="18" customHeight="1">
      <c r="A10" s="58"/>
      <c r="B10" s="286"/>
      <c r="C10" s="287" t="s">
        <v>222</v>
      </c>
      <c r="D10" s="271">
        <v>70.967741935483870967741935480</v>
      </c>
      <c r="E10" s="92">
        <v>68.116666146207413421603222680</v>
      </c>
      <c r="F10" s="272">
        <v>60.516879536940513916330500460</v>
      </c>
      <c r="G10" s="271">
        <v>13.172043010752688172043010750</v>
      </c>
      <c r="H10" s="92">
        <v>9.758610998344939574680698250</v>
      </c>
      <c r="I10" s="272">
        <v>9.456703288113479246878501470</v>
      </c>
      <c r="J10" s="271">
        <v>0</v>
      </c>
      <c r="K10" s="92">
        <v>0.6776379477250726040658276900</v>
      </c>
      <c r="L10" s="272">
        <v>7.5624987430219495281859176400</v>
      </c>
      <c r="M10" s="271">
        <v>84.13978494623655913978494624</v>
      </c>
      <c r="N10" s="92">
        <v>78.552915092277425600349748620</v>
      </c>
      <c r="O10" s="272">
        <v>77.536081568075942691394919570</v>
      </c>
      <c r="P10" s="5"/>
      <c r="Q10" s="271">
        <v>-11.544319220182293911286107730</v>
      </c>
      <c r="R10" s="92">
        <v>-1.5392254219790545512458647700</v>
      </c>
      <c r="S10" s="272">
        <v>7.0459398556788790140402840700</v>
      </c>
      <c r="T10" s="271">
        <v>115.60000000118321280000649343</v>
      </c>
      <c r="U10" s="92">
        <v>47.893989589180173711120415850</v>
      </c>
      <c r="V10" s="272">
        <v>-4.7319716372220390583417485400</v>
      </c>
      <c r="W10" s="271">
        <v>0</v>
      </c>
      <c r="X10" s="92">
        <v>0</v>
      </c>
      <c r="Y10" s="272">
        <v>-9.979675346255173449251139290</v>
      </c>
      <c r="Z10" s="271">
        <v>-2.5474101330623116050526380400</v>
      </c>
      <c r="AA10" s="92">
        <v>3.659290394345927349435456400</v>
      </c>
      <c r="AB10" s="272">
        <v>3.573596260605303528319077900</v>
      </c>
    </row>
    <row r="11" ht="18" customHeight="1">
      <c r="A11" s="58"/>
      <c r="B11" s="288">
        <v>2024</v>
      </c>
      <c r="C11" s="289" t="s">
        <v>224</v>
      </c>
      <c r="D11" s="420">
        <v>75.366568914956011730205278590</v>
      </c>
      <c r="E11" s="91">
        <v>68.285294944258813977453705150</v>
      </c>
      <c r="F11" s="421">
        <v>54.871157426845232905313898740</v>
      </c>
      <c r="G11" s="420">
        <v>13.929618768328445747800586510</v>
      </c>
      <c r="H11" s="91">
        <v>13.099959404178246885051369330</v>
      </c>
      <c r="I11" s="421">
        <v>18.241119271632356311571947760</v>
      </c>
      <c r="J11" s="420">
        <v>0</v>
      </c>
      <c r="K11" s="91">
        <v>0.6245511038940761327795646900</v>
      </c>
      <c r="L11" s="421">
        <v>7.6429311770607776636626284900</v>
      </c>
      <c r="M11" s="420">
        <v>89.29618768328445747800586510</v>
      </c>
      <c r="N11" s="91">
        <v>82.00980545233113699528463917</v>
      </c>
      <c r="O11" s="421">
        <v>80.75520787553836688054847499</v>
      </c>
      <c r="P11" s="5"/>
      <c r="Q11" s="420">
        <v>-1.6895122728286723120926637600</v>
      </c>
      <c r="R11" s="91">
        <v>-5.4604409856674951710934696200</v>
      </c>
      <c r="S11" s="421">
        <v>1.5690564816711018736554141700</v>
      </c>
      <c r="T11" s="420">
        <v>-21.487603305913598797896108330</v>
      </c>
      <c r="U11" s="91">
        <v>1.2551291332103907326132143400</v>
      </c>
      <c r="V11" s="421">
        <v>10.359459291901340745568101660</v>
      </c>
      <c r="W11" s="420">
        <v>0</v>
      </c>
      <c r="X11" s="91">
        <v>0</v>
      </c>
      <c r="Y11" s="421">
        <v>-10.885813274413998097074124030</v>
      </c>
      <c r="Z11" s="420">
        <v>-5.4103028734095475176222319200</v>
      </c>
      <c r="AA11" s="91">
        <v>-3.7069629303529544783751337800</v>
      </c>
      <c r="AB11" s="421">
        <v>2.0552895503236436508778923200</v>
      </c>
    </row>
    <row r="12" ht="18" customHeight="1">
      <c r="A12" s="58"/>
      <c r="B12" s="286"/>
      <c r="C12" s="287" t="s">
        <v>225</v>
      </c>
      <c r="D12" s="271">
        <v>71.969696969696969696969696970</v>
      </c>
      <c r="E12" s="92">
        <v>68.468137663985020778592172590</v>
      </c>
      <c r="F12" s="272">
        <v>58.73290078118991685952253100</v>
      </c>
      <c r="G12" s="271">
        <v>20.950888192267502612330198540</v>
      </c>
      <c r="H12" s="92">
        <v>18.449778015155048990457751350</v>
      </c>
      <c r="I12" s="272">
        <v>19.997159919987786911337653630</v>
      </c>
      <c r="J12" s="271">
        <v>0</v>
      </c>
      <c r="K12" s="92">
        <v>0.7110191274159626261927810800</v>
      </c>
      <c r="L12" s="272">
        <v>7.5389155541745733797820886300</v>
      </c>
      <c r="M12" s="271">
        <v>92.92058516196447230929989551</v>
      </c>
      <c r="N12" s="92">
        <v>87.62893480655603239524270502</v>
      </c>
      <c r="O12" s="272">
        <v>86.26897625535227715064227326</v>
      </c>
      <c r="P12" s="5"/>
      <c r="Q12" s="271">
        <v>-8.465244322044345206940642600</v>
      </c>
      <c r="R12" s="92">
        <v>-1.030863878432645407630148500</v>
      </c>
      <c r="S12" s="272">
        <v>5.5970134899465836514678352400</v>
      </c>
      <c r="T12" s="271">
        <v>37.052181873633888452907236580</v>
      </c>
      <c r="U12" s="92">
        <v>12.133090840864014344020270330</v>
      </c>
      <c r="V12" s="272">
        <v>3.745991401367870891520778100</v>
      </c>
      <c r="W12" s="271">
        <v>0</v>
      </c>
      <c r="X12" s="92">
        <v>0</v>
      </c>
      <c r="Y12" s="272">
        <v>-11.331269122685432283169432190</v>
      </c>
      <c r="Z12" s="271">
        <v>-1.0560406918010891251715855100</v>
      </c>
      <c r="AA12" s="92">
        <v>2.3286895048439395227518633900</v>
      </c>
      <c r="AB12" s="272">
        <v>3.4433629182440700652865714200</v>
      </c>
    </row>
    <row r="13" ht="18" customHeight="1">
      <c r="A13" s="58"/>
      <c r="B13" s="288"/>
      <c r="C13" s="289" t="s">
        <v>226</v>
      </c>
      <c r="D13" s="420">
        <v>84.13978494623655913978494624</v>
      </c>
      <c r="E13" s="91">
        <v>80.95743684226961871155107267</v>
      </c>
      <c r="F13" s="421">
        <v>63.569674851612356275377027940</v>
      </c>
      <c r="G13" s="420">
        <v>8.553274682306940371456500490</v>
      </c>
      <c r="H13" s="91">
        <v>6.5234362801736252068825531600</v>
      </c>
      <c r="I13" s="421">
        <v>12.592453891123598786947854430</v>
      </c>
      <c r="J13" s="420">
        <v>0</v>
      </c>
      <c r="K13" s="91">
        <v>0.5371139493489054741904256300</v>
      </c>
      <c r="L13" s="421">
        <v>7.2577713804707319202156602200</v>
      </c>
      <c r="M13" s="420">
        <v>92.69305962854349951124144673</v>
      </c>
      <c r="N13" s="91">
        <v>88.01798707179214939262405146</v>
      </c>
      <c r="O13" s="421">
        <v>83.41990012320668698254054259</v>
      </c>
      <c r="P13" s="5"/>
      <c r="Q13" s="420">
        <v>3.5488721804714327412516292900</v>
      </c>
      <c r="R13" s="91">
        <v>4.5953360768079030852520077300</v>
      </c>
      <c r="S13" s="421">
        <v>8.040763096104611776631626740</v>
      </c>
      <c r="T13" s="420">
        <v>-17.647058823632498269896064720</v>
      </c>
      <c r="U13" s="91">
        <v>0.674698795196879361300626700</v>
      </c>
      <c r="V13" s="421">
        <v>-27.178030859615642487340404130</v>
      </c>
      <c r="W13" s="420">
        <v>0</v>
      </c>
      <c r="X13" s="91">
        <v>-14.851485144058043328852107640</v>
      </c>
      <c r="Y13" s="421">
        <v>-4.5558174003514582143444794500</v>
      </c>
      <c r="Z13" s="420">
        <v>1.1466666666699033600000001100</v>
      </c>
      <c r="AA13" s="91">
        <v>4.1495769131617914146191341800</v>
      </c>
      <c r="AB13" s="421">
        <v>-0.3762058581566743385942818500</v>
      </c>
    </row>
    <row r="14" ht="18" customHeight="1">
      <c r="A14" s="58"/>
      <c r="B14" s="286"/>
      <c r="C14" s="287" t="s">
        <v>228</v>
      </c>
      <c r="D14" s="271">
        <v>89.87373737373737373737373737</v>
      </c>
      <c r="E14" s="92">
        <v>71.919974185221039044853178440</v>
      </c>
      <c r="F14" s="272">
        <v>57.443203145219848811514562980</v>
      </c>
      <c r="G14" s="271">
        <v>3.3585858585858585858585858600</v>
      </c>
      <c r="H14" s="92">
        <v>12.262020006453694740238786710</v>
      </c>
      <c r="I14" s="272">
        <v>17.129765556762480200246844480</v>
      </c>
      <c r="J14" s="271">
        <v>0</v>
      </c>
      <c r="K14" s="92">
        <v>0.900290416263310745401742500</v>
      </c>
      <c r="L14" s="272">
        <v>6.6705527747659847972552769600</v>
      </c>
      <c r="M14" s="271">
        <v>93.23232323232323232323232323</v>
      </c>
      <c r="N14" s="92">
        <v>85.08228460793804453049370765</v>
      </c>
      <c r="O14" s="272">
        <v>81.24352147674831380901668442</v>
      </c>
      <c r="P14" s="5"/>
      <c r="Q14" s="271">
        <v>10.631022691913255746471995710</v>
      </c>
      <c r="R14" s="92">
        <v>5.8762054058930064500548948700</v>
      </c>
      <c r="S14" s="272">
        <v>1.2394686054808339625557288500</v>
      </c>
      <c r="T14" s="271">
        <v>-42.918454935249940135199913750</v>
      </c>
      <c r="U14" s="92">
        <v>30.899069927054566830685882270</v>
      </c>
      <c r="V14" s="272">
        <v>16.221959344784638542226444810</v>
      </c>
      <c r="W14" s="271">
        <v>0</v>
      </c>
      <c r="X14" s="92">
        <v>55.000000005735000000212195420</v>
      </c>
      <c r="Y14" s="272">
        <v>-6.1237529507463843388004050300</v>
      </c>
      <c r="Z14" s="271">
        <v>7.0144927536380773787019554400</v>
      </c>
      <c r="AA14" s="92">
        <v>9.252506836773615337005906830</v>
      </c>
      <c r="AB14" s="272">
        <v>3.3837062140670381907827418300</v>
      </c>
    </row>
    <row r="15" ht="18" customHeight="1">
      <c r="A15" s="58"/>
      <c r="B15" s="288"/>
      <c r="C15" s="289" t="s">
        <v>229</v>
      </c>
      <c r="D15" s="420">
        <v>76.368523949169110459433040080</v>
      </c>
      <c r="E15" s="91">
        <v>73.131811510476844767823127130</v>
      </c>
      <c r="F15" s="421">
        <v>56.923814370591510364981393800</v>
      </c>
      <c r="G15" s="420">
        <v>8.455522971652003910068426200</v>
      </c>
      <c r="H15" s="91">
        <v>8.465790213284201979826999340</v>
      </c>
      <c r="I15" s="421">
        <v>11.277413607404903399758566770</v>
      </c>
      <c r="J15" s="420">
        <v>0</v>
      </c>
      <c r="K15" s="91">
        <v>0.8056709240233582112856384500</v>
      </c>
      <c r="L15" s="421">
        <v>6.2798603452025968505336661400</v>
      </c>
      <c r="M15" s="420">
        <v>84.82404692082111436950146628</v>
      </c>
      <c r="N15" s="91">
        <v>82.40327264778440495893576492</v>
      </c>
      <c r="O15" s="421">
        <v>74.481088323199010615273626710</v>
      </c>
      <c r="P15" s="5"/>
      <c r="Q15" s="420">
        <v>13.430127041721206451889161070</v>
      </c>
      <c r="R15" s="91">
        <v>15.947123477503558112884288550</v>
      </c>
      <c r="S15" s="421">
        <v>6.2903061221580032495314323100</v>
      </c>
      <c r="T15" s="420">
        <v>-14.987714987374938574937214720</v>
      </c>
      <c r="U15" s="91">
        <v>36.781029263155844884485424570</v>
      </c>
      <c r="V15" s="421">
        <v>-1.0670176686777506518292919600</v>
      </c>
      <c r="W15" s="420">
        <v>0</v>
      </c>
      <c r="X15" s="91">
        <v>15.178571422209869260555444560</v>
      </c>
      <c r="Y15" s="421">
        <v>-5.9668840634037042087087107100</v>
      </c>
      <c r="Z15" s="420">
        <v>9.772296015219008817948445420</v>
      </c>
      <c r="AA15" s="91">
        <v>17.782538832375622595704900070</v>
      </c>
      <c r="AB15" s="421">
        <v>3.9767694702838232742336446900</v>
      </c>
    </row>
    <row r="16" ht="18" customHeight="1">
      <c r="A16" s="58"/>
      <c r="B16" s="286"/>
      <c r="C16" s="287" t="s">
        <v>230</v>
      </c>
      <c r="D16" s="271">
        <v>66.035353535353535353535353540</v>
      </c>
      <c r="E16" s="92">
        <v>67.357212003872216844143272020</v>
      </c>
      <c r="F16" s="272">
        <v>54.334030686216237450831116650</v>
      </c>
      <c r="G16" s="271">
        <v>12.297979797979797979797979800</v>
      </c>
      <c r="H16" s="92">
        <v>7.7734753146176185866408518900</v>
      </c>
      <c r="I16" s="272">
        <v>9.832234977163818370957386780</v>
      </c>
      <c r="J16" s="271">
        <v>0</v>
      </c>
      <c r="K16" s="92">
        <v>0.6905453372055501774766053600</v>
      </c>
      <c r="L16" s="272">
        <v>7.3597095234339167907468035200</v>
      </c>
      <c r="M16" s="271">
        <v>78.333333333333333333333333330</v>
      </c>
      <c r="N16" s="92">
        <v>75.821232655695385608260729270</v>
      </c>
      <c r="O16" s="272">
        <v>71.525975186813972612535306950</v>
      </c>
      <c r="P16" s="5"/>
      <c r="Q16" s="271">
        <v>-14.149704530540864115085432340</v>
      </c>
      <c r="R16" s="92">
        <v>8.877529730908554610488257240</v>
      </c>
      <c r="S16" s="272">
        <v>2.4051437695204606298467590200</v>
      </c>
      <c r="T16" s="271">
        <v>36.414565825596874043739086860</v>
      </c>
      <c r="U16" s="92">
        <v>5.3344993435915697343751100100</v>
      </c>
      <c r="V16" s="272">
        <v>-5.0743224767833646735993154300</v>
      </c>
      <c r="W16" s="271">
        <v>0</v>
      </c>
      <c r="X16" s="92">
        <v>7.0000000039590000001464835300</v>
      </c>
      <c r="Y16" s="272">
        <v>2.0683188771678056655778235300</v>
      </c>
      <c r="Z16" s="271">
        <v>-8.845136644091452728483055340</v>
      </c>
      <c r="AA16" s="92">
        <v>8.486079689761111834972409620</v>
      </c>
      <c r="AB16" s="272">
        <v>1.2738415626989131397783988100</v>
      </c>
    </row>
    <row r="17" ht="18" customHeight="1">
      <c r="A17" s="58"/>
      <c r="B17" s="288"/>
      <c r="C17" s="289" t="s">
        <v>233</v>
      </c>
      <c r="D17" s="420">
        <v>69.941348973607038123167155430</v>
      </c>
      <c r="E17" s="91">
        <v>68.700621428348374605752115670</v>
      </c>
      <c r="F17" s="421">
        <v>57.524775286908441643968478550</v>
      </c>
      <c r="G17" s="420">
        <v>3.7634408602150537634408602200</v>
      </c>
      <c r="H17" s="91">
        <v>2.7167973019392311775911063900</v>
      </c>
      <c r="I17" s="421">
        <v>7.5098246919272685950083510200</v>
      </c>
      <c r="J17" s="420">
        <v>0</v>
      </c>
      <c r="K17" s="91">
        <v>0.4122037285700902476345126900</v>
      </c>
      <c r="L17" s="421">
        <v>7.3337356717400704212152225800</v>
      </c>
      <c r="M17" s="420">
        <v>73.704789833822091886608015640</v>
      </c>
      <c r="N17" s="91">
        <v>71.829622458857696030977734750</v>
      </c>
      <c r="O17" s="421">
        <v>72.368335650575780660192052140</v>
      </c>
      <c r="P17" s="5"/>
      <c r="Q17" s="420">
        <v>-14.796070259023412548621221670</v>
      </c>
      <c r="R17" s="91">
        <v>7.7058650739287586432870968700</v>
      </c>
      <c r="S17" s="421">
        <v>6.3175915074391796229295676900</v>
      </c>
      <c r="T17" s="420">
        <v>1084.6153847218177514888525503</v>
      </c>
      <c r="U17" s="91">
        <v>-11.675126904175698420465092940</v>
      </c>
      <c r="V17" s="421">
        <v>-4.6186979118251534751778682100</v>
      </c>
      <c r="W17" s="420">
        <v>0</v>
      </c>
      <c r="X17" s="91">
        <v>-48.638132295471029084466387390</v>
      </c>
      <c r="Y17" s="421">
        <v>0.1056461332711712597196576900</v>
      </c>
      <c r="Z17" s="420">
        <v>-10.557532621577147368109993510</v>
      </c>
      <c r="AA17" s="91">
        <v>6.1565442126390606588479178600</v>
      </c>
      <c r="AB17" s="421">
        <v>4.4185456135042699543646940600</v>
      </c>
    </row>
    <row r="18" ht="18" customHeight="1">
      <c r="A18" s="58"/>
      <c r="B18" s="286"/>
      <c r="C18" s="287" t="s">
        <v>234</v>
      </c>
      <c r="D18" s="271">
        <v>71.554252199413489736070381230</v>
      </c>
      <c r="E18" s="92">
        <v>62.748649408237829060362864190</v>
      </c>
      <c r="F18" s="272">
        <v>56.961892651872599966187740030</v>
      </c>
      <c r="G18" s="271">
        <v>2.4926686217008797653958944300</v>
      </c>
      <c r="H18" s="92">
        <v>2.5856415701214751897073978100</v>
      </c>
      <c r="I18" s="272">
        <v>5.1043408854584037742079629600</v>
      </c>
      <c r="J18" s="271">
        <v>0</v>
      </c>
      <c r="K18" s="92">
        <v>0.4965181275957905255597539300</v>
      </c>
      <c r="L18" s="272">
        <v>7.4036909418888645579011638200</v>
      </c>
      <c r="M18" s="271">
        <v>74.046920821114369501466275660</v>
      </c>
      <c r="N18" s="92">
        <v>65.830809105955094775630015930</v>
      </c>
      <c r="O18" s="272">
        <v>69.469924479219868298296866810</v>
      </c>
      <c r="P18" s="5"/>
      <c r="Q18" s="271">
        <v>0.0341646737969489440641785400</v>
      </c>
      <c r="R18" s="92">
        <v>8.136906683885049360318176460</v>
      </c>
      <c r="S18" s="272">
        <v>12.446491997448096927487232640</v>
      </c>
      <c r="T18" s="271">
        <v>85.45454545528727272727569468</v>
      </c>
      <c r="U18" s="92">
        <v>48.920863311542404637473328720</v>
      </c>
      <c r="V18" s="272">
        <v>-24.184254292112830385312889940</v>
      </c>
      <c r="W18" s="271">
        <v>0</v>
      </c>
      <c r="X18" s="92">
        <v>-18.461538461977096646940440640</v>
      </c>
      <c r="Y18" s="272">
        <v>5.2924839018640661045805427500</v>
      </c>
      <c r="Z18" s="271">
        <v>1.6096579476235562266962317700</v>
      </c>
      <c r="AA18" s="92">
        <v>9.041535198920432658135539510</v>
      </c>
      <c r="AB18" s="272">
        <v>7.837397410121982984072404200</v>
      </c>
    </row>
    <row r="19" ht="18" customHeight="1">
      <c r="A19" s="58"/>
      <c r="B19" s="288"/>
      <c r="C19" s="289" t="s">
        <v>235</v>
      </c>
      <c r="D19" s="420">
        <v>52.954545454545454545454545450</v>
      </c>
      <c r="E19" s="91">
        <v>48.16069699903194578896418200</v>
      </c>
      <c r="F19" s="421">
        <v>49.978711052332909794087665110</v>
      </c>
      <c r="G19" s="420">
        <v>13.333333333333333333333333330</v>
      </c>
      <c r="H19" s="91">
        <v>11.377863827040980961600516300</v>
      </c>
      <c r="I19" s="421">
        <v>9.869293189765744967688902480</v>
      </c>
      <c r="J19" s="420">
        <v>0</v>
      </c>
      <c r="K19" s="91">
        <v>0.5582445950306550500161342400</v>
      </c>
      <c r="L19" s="421">
        <v>6.3065882546671925862182577700</v>
      </c>
      <c r="M19" s="420">
        <v>66.287878787878787878787878790</v>
      </c>
      <c r="N19" s="91">
        <v>60.096805421103581800580832530</v>
      </c>
      <c r="O19" s="421">
        <v>66.154592496765847347994825360</v>
      </c>
      <c r="P19" s="5"/>
      <c r="Q19" s="420">
        <v>-19.470046082978997218033924800</v>
      </c>
      <c r="R19" s="91">
        <v>-1.8479547546310882219058885800</v>
      </c>
      <c r="S19" s="421">
        <v>2.242857922033208581667734200</v>
      </c>
      <c r="T19" s="420">
        <v>633.33333332600000000007333315</v>
      </c>
      <c r="U19" s="91">
        <v>27.939042090691100667553884200</v>
      </c>
      <c r="V19" s="421">
        <v>10.395348600988331349573730170</v>
      </c>
      <c r="W19" s="420">
        <v>0</v>
      </c>
      <c r="X19" s="91">
        <v>1.7647058861182352942569635200</v>
      </c>
      <c r="Y19" s="421">
        <v>1.4780794104647133700689577500</v>
      </c>
      <c r="Z19" s="420">
        <v>-1.9058295964741398379214960500</v>
      </c>
      <c r="AA19" s="91">
        <v>2.7134348113916870809738080500</v>
      </c>
      <c r="AB19" s="421">
        <v>3.3067735273252238565296163600</v>
      </c>
    </row>
    <row r="20" ht="18" customHeight="1">
      <c r="A20" s="58"/>
      <c r="B20" s="286"/>
      <c r="C20" s="287" t="s">
        <v>236</v>
      </c>
      <c r="D20" s="271">
        <v>66.666666666666666666666666670</v>
      </c>
      <c r="E20" s="92">
        <v>56.156512506635855478874558910</v>
      </c>
      <c r="F20" s="272">
        <v>50.746115372462648785704042980</v>
      </c>
      <c r="G20" s="271">
        <v>10.874877810361681329423264910</v>
      </c>
      <c r="H20" s="92">
        <v>15.654373419105018268119788900</v>
      </c>
      <c r="I20" s="272">
        <v>13.494069497594511036184624600</v>
      </c>
      <c r="J20" s="271">
        <v>0</v>
      </c>
      <c r="K20" s="92">
        <v>0.493395372076320144895856100</v>
      </c>
      <c r="L20" s="272">
        <v>6.1860973149781028747686791700</v>
      </c>
      <c r="M20" s="271">
        <v>77.541544477028347996089931570</v>
      </c>
      <c r="N20" s="92">
        <v>72.304281297817193891890203920</v>
      </c>
      <c r="O20" s="272">
        <v>70.426282185035262696657346740</v>
      </c>
      <c r="P20" s="5"/>
      <c r="Q20" s="271">
        <v>-6.0282466413787692990811216300</v>
      </c>
      <c r="R20" s="92">
        <v>-6.103801169595776384720939500</v>
      </c>
      <c r="S20" s="272">
        <v>-1.4438684601419002539045372200</v>
      </c>
      <c r="T20" s="271">
        <v>60.649819493501466199227939610</v>
      </c>
      <c r="U20" s="92">
        <v>150.77538769470224441886067026</v>
      </c>
      <c r="V20" s="272">
        <v>10.262983286457326729691502070</v>
      </c>
      <c r="W20" s="271">
        <v>0</v>
      </c>
      <c r="X20" s="92">
        <v>-20.603015078621388348646487330</v>
      </c>
      <c r="Y20" s="272">
        <v>3.7452374938551755575496402300</v>
      </c>
      <c r="Z20" s="271">
        <v>-0.2201257861962799335469217300</v>
      </c>
      <c r="AA20" s="92">
        <v>8.449648711931800954538226190</v>
      </c>
      <c r="AB20" s="272">
        <v>1.0559136314975639644321577200</v>
      </c>
    </row>
    <row r="21" ht="18" customHeight="1">
      <c r="A21" s="58"/>
      <c r="B21" s="288"/>
      <c r="C21" s="289" t="s">
        <v>218</v>
      </c>
      <c r="D21" s="420">
        <v>79.82323232323232323232323232</v>
      </c>
      <c r="E21" s="91">
        <v>68.141335914811229428848015490</v>
      </c>
      <c r="F21" s="421">
        <v>53.502366555222974424494008100</v>
      </c>
      <c r="G21" s="420">
        <v>8.964646464646464646464646460</v>
      </c>
      <c r="H21" s="91">
        <v>10.187157147466924814456276220</v>
      </c>
      <c r="I21" s="421">
        <v>15.025706254967979104463883700</v>
      </c>
      <c r="J21" s="420">
        <v>0</v>
      </c>
      <c r="K21" s="91">
        <v>0.771216521458535011293965800</v>
      </c>
      <c r="L21" s="421">
        <v>7.9176051677450889232135926300</v>
      </c>
      <c r="M21" s="420">
        <v>88.78787878787878787878787879</v>
      </c>
      <c r="N21" s="91">
        <v>79.099709583736689254598257500</v>
      </c>
      <c r="O21" s="421">
        <v>76.445677977936042452171484430</v>
      </c>
      <c r="P21" s="5"/>
      <c r="Q21" s="420">
        <v>28.652828652734401672130678900</v>
      </c>
      <c r="R21" s="91">
        <v>7.927016252608097415856050180</v>
      </c>
      <c r="S21" s="421">
        <v>-2.1762955250710162158614003300</v>
      </c>
      <c r="T21" s="420">
        <v>-27.104722792727548709991412690</v>
      </c>
      <c r="U21" s="91">
        <v>-25.029684160682201250459235850</v>
      </c>
      <c r="V21" s="421">
        <v>0.8722579313566519166794305900</v>
      </c>
      <c r="W21" s="420">
        <v>0</v>
      </c>
      <c r="X21" s="91">
        <v>-3.2388663943949909029236664100</v>
      </c>
      <c r="Y21" s="421">
        <v>14.649739184456404666400562720</v>
      </c>
      <c r="Z21" s="420">
        <v>19.429347826142127687854467830</v>
      </c>
      <c r="AA21" s="91">
        <v>2.0354645355281165044995361200</v>
      </c>
      <c r="AB21" s="421">
        <v>-0.063594806736657869636916300</v>
      </c>
    </row>
    <row r="22" ht="18" customHeight="1">
      <c r="A22" s="58"/>
      <c r="B22" s="286"/>
      <c r="C22" s="287" t="s">
        <v>222</v>
      </c>
      <c r="D22" s="271">
        <v>79.76539589442815249266862170</v>
      </c>
      <c r="E22" s="92">
        <v>72.841395247166099366080629550</v>
      </c>
      <c r="F22" s="272">
        <v>60.503885590221134022435665850</v>
      </c>
      <c r="G22" s="271">
        <v>8.064516129032258064516129030</v>
      </c>
      <c r="H22" s="92">
        <v>7.0699184960809418230646722700</v>
      </c>
      <c r="I22" s="272">
        <v>9.782757950689264574500043120</v>
      </c>
      <c r="J22" s="271">
        <v>0</v>
      </c>
      <c r="K22" s="92">
        <v>1.8143209568122911657246354200</v>
      </c>
      <c r="L22" s="272">
        <v>8.019799784544333701903053740</v>
      </c>
      <c r="M22" s="271">
        <v>87.82991202346041055718475073</v>
      </c>
      <c r="N22" s="92">
        <v>81.72563470005933235486993723</v>
      </c>
      <c r="O22" s="272">
        <v>78.306443325454732298838762720</v>
      </c>
      <c r="P22" s="5"/>
      <c r="Q22" s="271">
        <v>12.396694214850488354620591830</v>
      </c>
      <c r="R22" s="92">
        <v>6.936230688133400569002596100</v>
      </c>
      <c r="S22" s="272">
        <v>-0.0214716072247957770168643700</v>
      </c>
      <c r="T22" s="271">
        <v>-38.775510204301541024572304690</v>
      </c>
      <c r="U22" s="92">
        <v>-27.551999999666368266238463550</v>
      </c>
      <c r="V22" s="272">
        <v>3.4478681698680436205959883600</v>
      </c>
      <c r="W22" s="271">
        <v>0</v>
      </c>
      <c r="X22" s="92">
        <v>167.74193549377741935520524864</v>
      </c>
      <c r="Y22" s="272">
        <v>6.0469569263415836828662563100</v>
      </c>
      <c r="Z22" s="271">
        <v>4.3857101365542146448923279400</v>
      </c>
      <c r="AA22" s="92">
        <v>4.038958457533210191584595200</v>
      </c>
      <c r="AB22" s="272">
        <v>0.9935526038649799133925943900</v>
      </c>
    </row>
    <row r="23" ht="18" customHeight="1">
      <c r="A23" s="58"/>
      <c r="B23" s="288">
        <v>2025</v>
      </c>
      <c r="C23" s="289" t="s">
        <v>224</v>
      </c>
      <c r="D23" s="420">
        <v>73.484848484848484848484848480</v>
      </c>
      <c r="E23" s="91">
        <v>75.626893170533678918277488060</v>
      </c>
      <c r="F23" s="421">
        <v>54.171095105799672927696474050</v>
      </c>
      <c r="G23" s="420">
        <v>17.155425219941348973607038120</v>
      </c>
      <c r="H23" s="91">
        <v>10.907785029510039658995097270</v>
      </c>
      <c r="I23" s="421">
        <v>20.107172000377979249592421530</v>
      </c>
      <c r="J23" s="420">
        <v>0</v>
      </c>
      <c r="K23" s="91">
        <v>0.5683415045436092808294038700</v>
      </c>
      <c r="L23" s="421">
        <v>8.576350657852396430753525980</v>
      </c>
      <c r="M23" s="420">
        <v>90.64027370478983382209188661</v>
      </c>
      <c r="N23" s="91">
        <v>87.10301970458732785810198920</v>
      </c>
      <c r="O23" s="421">
        <v>82.85461776403004860804242156</v>
      </c>
      <c r="P23" s="5"/>
      <c r="Q23" s="420">
        <v>-2.4967574579038605176964244700</v>
      </c>
      <c r="R23" s="91">
        <v>10.751360497486591681821861690</v>
      </c>
      <c r="S23" s="421">
        <v>-1.2758293315285615088080344800</v>
      </c>
      <c r="T23" s="420">
        <v>23.157894737093606648199959550</v>
      </c>
      <c r="U23" s="91">
        <v>-16.734207389887968894236481650</v>
      </c>
      <c r="V23" s="421">
        <v>10.229924496372751679565425610</v>
      </c>
      <c r="W23" s="420">
        <v>0</v>
      </c>
      <c r="X23" s="91">
        <v>-9.000000000863134999991812520</v>
      </c>
      <c r="Y23" s="421">
        <v>12.212846866253857723142390690</v>
      </c>
      <c r="Z23" s="420">
        <v>1.5051997810441824556484006300</v>
      </c>
      <c r="AA23" s="91">
        <v>6.2104942502878312709683047800</v>
      </c>
      <c r="AB23" s="421">
        <v>2.5997207409418113696332460900</v>
      </c>
    </row>
    <row r="24" ht="18" customHeight="1">
      <c r="A24" s="59"/>
      <c r="B24" s="286"/>
      <c r="C24" s="287" t="s">
        <v>225</v>
      </c>
      <c r="D24" s="271">
        <v>75.568181818181818181818181820</v>
      </c>
      <c r="E24" s="92">
        <v>76.846217673904024339648734610</v>
      </c>
      <c r="F24" s="272">
        <v>58.229685820274970353575060040</v>
      </c>
      <c r="G24" s="271">
        <v>17.126623376623376623376623380</v>
      </c>
      <c r="H24" s="92">
        <v>14.354861015073987000414880380</v>
      </c>
      <c r="I24" s="272">
        <v>21.345731992772412353563751480</v>
      </c>
      <c r="J24" s="271">
        <v>0</v>
      </c>
      <c r="K24" s="92">
        <v>0.8055593970405199834047849500</v>
      </c>
      <c r="L24" s="272">
        <v>8.529117971900773375037889210</v>
      </c>
      <c r="M24" s="271">
        <v>92.69480519480519480519480519</v>
      </c>
      <c r="N24" s="92">
        <v>92.00663808601853132346839994</v>
      </c>
      <c r="O24" s="272">
        <v>88.10453578494815608217670073</v>
      </c>
      <c r="P24" s="93"/>
      <c r="Q24" s="271">
        <v>4.9999999999955789473684212400</v>
      </c>
      <c r="R24" s="92">
        <v>12.236465450569939923828120980</v>
      </c>
      <c r="S24" s="272">
        <v>-0.8567854715701447442897749300</v>
      </c>
      <c r="T24" s="271">
        <v>-18.253473459335918908641984810</v>
      </c>
      <c r="U24" s="92">
        <v>-22.194939130174803468088068550</v>
      </c>
      <c r="V24" s="272">
        <v>6.7438180129951791352366775500</v>
      </c>
      <c r="W24" s="271">
        <v>0</v>
      </c>
      <c r="X24" s="92">
        <v>13.296445341242444809760394920</v>
      </c>
      <c r="Y24" s="272">
        <v>13.134547145167614922292761100</v>
      </c>
      <c r="Z24" s="271">
        <v>-0.2429816458873724573168059900</v>
      </c>
      <c r="AA24" s="92">
        <v>4.9957280538446226461657900300</v>
      </c>
      <c r="AB24" s="272">
        <v>2.1277168331219873183415844900</v>
      </c>
    </row>
    <row r="25" ht="18" customHeight="1">
      <c r="A25" s="60"/>
      <c r="B25" s="288"/>
      <c r="C25" s="289" t="s">
        <v>226</v>
      </c>
      <c r="D25" s="420">
        <v>75.439882697947214076246334310</v>
      </c>
      <c r="E25" s="91">
        <v>79.87696343253286700184242576</v>
      </c>
      <c r="F25" s="421">
        <v>61.671463383227906896464678750</v>
      </c>
      <c r="G25" s="420">
        <v>15.884652981427174975562072340</v>
      </c>
      <c r="H25" s="91">
        <v>8.281547637635449520657027760</v>
      </c>
      <c r="I25" s="421">
        <v>14.837634344613134530445753930</v>
      </c>
      <c r="J25" s="420">
        <v>0</v>
      </c>
      <c r="K25" s="91">
        <v>0.0062455110389407613277956500</v>
      </c>
      <c r="L25" s="421">
        <v>8.467707235661627429932019110</v>
      </c>
      <c r="M25" s="420">
        <v>91.32453567937438905180840665</v>
      </c>
      <c r="N25" s="91">
        <v>88.16475658120725728382724916</v>
      </c>
      <c r="O25" s="421">
        <v>84.97680496350266885684245179</v>
      </c>
      <c r="P25" s="93"/>
      <c r="Q25" s="420">
        <v>-10.339819924445503447751080590</v>
      </c>
      <c r="R25" s="91">
        <v>-1.3346190935760816004180751500</v>
      </c>
      <c r="S25" s="421">
        <v>-2.9860329989155459327517270100</v>
      </c>
      <c r="T25" s="420">
        <v>85.71428571443640816326542844</v>
      </c>
      <c r="U25" s="91">
        <v>26.950694111502046164449140100</v>
      </c>
      <c r="V25" s="421">
        <v>17.829570574008345677028817200</v>
      </c>
      <c r="W25" s="420">
        <v>0</v>
      </c>
      <c r="X25" s="91">
        <v>-98.83720930221970659815152747</v>
      </c>
      <c r="Y25" s="421">
        <v>16.670900635041399261556956260</v>
      </c>
      <c r="Z25" s="420">
        <v>-1.4764039018783622459650259600</v>
      </c>
      <c r="AA25" s="91">
        <v>0.1667494500726666001519377400</v>
      </c>
      <c r="AB25" s="421">
        <v>1.8663470442943821537448174600</v>
      </c>
    </row>
    <row r="26" ht="18" customHeight="1">
      <c r="A26" s="60"/>
      <c r="B26" s="290"/>
      <c r="C26" s="291" t="s">
        <v>228</v>
      </c>
      <c r="D26" s="273">
        <v>82.39898989898989898989898990</v>
      </c>
      <c r="E26" s="274">
        <v>79.015811552113585027428202650</v>
      </c>
      <c r="F26" s="275">
        <v>58.6290968408073850222103200</v>
      </c>
      <c r="G26" s="273">
        <v>10.631313131313131313131313130</v>
      </c>
      <c r="H26" s="274">
        <v>9.725717973539851565020974510</v>
      </c>
      <c r="I26" s="275">
        <v>17.893549493209955064331306880</v>
      </c>
      <c r="J26" s="273">
        <v>0</v>
      </c>
      <c r="K26" s="274">
        <v>0</v>
      </c>
      <c r="L26" s="275">
        <v>7.0369407789010208768615636200</v>
      </c>
      <c r="M26" s="273">
        <v>93.03030303030303030303030303</v>
      </c>
      <c r="N26" s="274">
        <v>88.74152952565343659244917715</v>
      </c>
      <c r="O26" s="275">
        <v>83.55958711291836096340319049</v>
      </c>
      <c r="P26" s="184"/>
      <c r="Q26" s="273">
        <v>-8.316942961467914884962903210</v>
      </c>
      <c r="R26" s="274">
        <v>9.866295764569110204970611570</v>
      </c>
      <c r="S26" s="275">
        <v>2.0644630359657776986913678600</v>
      </c>
      <c r="T26" s="273">
        <v>216.54135338212584091809029717</v>
      </c>
      <c r="U26" s="274">
        <v>-20.684210526615310941827123740</v>
      </c>
      <c r="V26" s="275">
        <v>4.4588113823119773541447706500</v>
      </c>
      <c r="W26" s="273">
        <v>0</v>
      </c>
      <c r="X26" s="274">
        <v>-100</v>
      </c>
      <c r="Y26" s="275">
        <v>5.4926183252032829245095086700</v>
      </c>
      <c r="Z26" s="273">
        <v>-0.2166847237021124999853212200</v>
      </c>
      <c r="AA26" s="274">
        <v>4.3008305837307887432238095300</v>
      </c>
      <c r="AB26" s="275">
        <v>2.8507696295298946231468510800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79.45075757575757575757575758</v>
      </c>
      <c r="E29" s="428">
        <v>71.778799612778315585672797680</v>
      </c>
      <c r="F29" s="429">
        <v>56.319133888068951181954514940</v>
      </c>
      <c r="G29" s="427">
        <v>12.304292929292929292929292930</v>
      </c>
      <c r="H29" s="428">
        <v>11.197160374314294933849628910</v>
      </c>
      <c r="I29" s="429">
        <v>16.918954164852536586305217360</v>
      </c>
      <c r="J29" s="427">
        <v>0</v>
      </c>
      <c r="K29" s="428">
        <v>0.3081639238464020651823168800</v>
      </c>
      <c r="L29" s="429">
        <v>7.940181509118009713259413110</v>
      </c>
      <c r="M29" s="427">
        <v>91.75505050505050505050505051</v>
      </c>
      <c r="N29" s="428">
        <v>83.28412391093901258470474347</v>
      </c>
      <c r="O29" s="429">
        <v>81.17826956203949748151914541</v>
      </c>
      <c r="P29" s="5"/>
      <c r="Q29" s="427">
        <v>-1.5258215962219400912517307600</v>
      </c>
      <c r="R29" s="428">
        <v>4.4704014526757262154218439800</v>
      </c>
      <c r="S29" s="429">
        <v>-1.0579221606974749225082303500</v>
      </c>
      <c r="T29" s="427">
        <v>-2.4524524521712342973596127600</v>
      </c>
      <c r="U29" s="428">
        <v>-6.2121776861536644947530429900</v>
      </c>
      <c r="V29" s="429">
        <v>15.141831204937873084848932040</v>
      </c>
      <c r="W29" s="427">
        <v>0</v>
      </c>
      <c r="X29" s="428">
        <v>95.80191927825555234846679039</v>
      </c>
      <c r="Y29" s="429">
        <v>9.938363836404086985567140960</v>
      </c>
      <c r="Z29" s="427">
        <v>-1.6511029909803838177334511500</v>
      </c>
      <c r="AA29" s="428">
        <v>3.0699284355077847551351373600</v>
      </c>
      <c r="AB29" s="429">
        <v>2.9688160875306001021399718100</v>
      </c>
    </row>
    <row r="30" ht="18" customHeight="1">
      <c r="A30" s="58"/>
      <c r="B30" s="286">
        <v>2024</v>
      </c>
      <c r="C30" s="287"/>
      <c r="D30" s="271">
        <v>80.39694465314300025043826697</v>
      </c>
      <c r="E30" s="92">
        <v>72.510264712754943054211035820</v>
      </c>
      <c r="F30" s="272">
        <v>58.67880659806252971183333100</v>
      </c>
      <c r="G30" s="271">
        <v>11.614074630603556223390934130</v>
      </c>
      <c r="H30" s="92">
        <v>12.439830423607168739916101970</v>
      </c>
      <c r="I30" s="272">
        <v>16.894330921734164182706657740</v>
      </c>
      <c r="J30" s="271">
        <v>0</v>
      </c>
      <c r="K30" s="92">
        <v>0.6910738725506558809293320400</v>
      </c>
      <c r="L30" s="272">
        <v>7.2724692567327611110226461800</v>
      </c>
      <c r="M30" s="271">
        <v>92.01101928374655647382920110</v>
      </c>
      <c r="N30" s="92">
        <v>85.64116900891276767505646983</v>
      </c>
      <c r="O30" s="272">
        <v>82.84560677652945500556263491</v>
      </c>
      <c r="P30" s="5"/>
      <c r="Q30" s="271">
        <v>1.1909100758923417601296902900</v>
      </c>
      <c r="R30" s="92">
        <v>1.0190545173515329671103048100</v>
      </c>
      <c r="S30" s="272">
        <v>4.1898242161375262085727788800</v>
      </c>
      <c r="T30" s="271">
        <v>-5.6095730381454010773139458900</v>
      </c>
      <c r="U30" s="92">
        <v>11.098082083019689842544028030</v>
      </c>
      <c r="V30" s="272">
        <v>-0.1455364375708228282851021200</v>
      </c>
      <c r="W30" s="271">
        <v>0</v>
      </c>
      <c r="X30" s="92">
        <v>124.25528077036247840290902994</v>
      </c>
      <c r="Y30" s="272">
        <v>-8.409281974246989559632582330</v>
      </c>
      <c r="Z30" s="271">
        <v>0.2789696885757030014515007500</v>
      </c>
      <c r="AA30" s="92">
        <v>2.8301253436182018991041890800</v>
      </c>
      <c r="AB30" s="272">
        <v>2.053920616349211808988024300</v>
      </c>
    </row>
    <row r="31" ht="18" customHeight="1">
      <c r="A31" s="58"/>
      <c r="B31" s="425">
        <v>2025</v>
      </c>
      <c r="C31" s="426"/>
      <c r="D31" s="430">
        <v>76.704545454545454545454545450</v>
      </c>
      <c r="E31" s="431">
        <v>77.856566634398192965472733140</v>
      </c>
      <c r="F31" s="432">
        <v>58.166503765034734265483248270</v>
      </c>
      <c r="G31" s="430">
        <v>15.189393939393939393939393940</v>
      </c>
      <c r="H31" s="431">
        <v>10.738141335914811229428848020</v>
      </c>
      <c r="I31" s="432">
        <v>18.483092417967155903419897340</v>
      </c>
      <c r="J31" s="430">
        <v>0</v>
      </c>
      <c r="K31" s="431">
        <v>0.3363988383349467570183930300</v>
      </c>
      <c r="L31" s="432">
        <v>8.153135419056351514046804210</v>
      </c>
      <c r="M31" s="430">
        <v>91.89393939393939393939393939</v>
      </c>
      <c r="N31" s="431">
        <v>88.93110680864795095191997419</v>
      </c>
      <c r="O31" s="432">
        <v>84.80273160205824168294994983</v>
      </c>
      <c r="P31" s="184"/>
      <c r="Q31" s="430">
        <v>-4.5927108480137639387979252900</v>
      </c>
      <c r="R31" s="431">
        <v>7.3731656376844363717363802200</v>
      </c>
      <c r="S31" s="432">
        <v>-0.8730628019995449732863910800</v>
      </c>
      <c r="T31" s="430">
        <v>30.784366576859453110628386080</v>
      </c>
      <c r="U31" s="431">
        <v>-13.679359201367086154554966020</v>
      </c>
      <c r="V31" s="432">
        <v>9.404110193120841450505001920</v>
      </c>
      <c r="W31" s="430">
        <v>0</v>
      </c>
      <c r="X31" s="431">
        <v>-51.322304073032501877514471960</v>
      </c>
      <c r="Y31" s="432">
        <v>12.109589346768417450693521200</v>
      </c>
      <c r="Z31" s="430">
        <v>-0.1272455089315015104521240300</v>
      </c>
      <c r="AA31" s="431">
        <v>3.8415377064809263591943399800</v>
      </c>
      <c r="AB31" s="432">
        <v>2.3623761134831836002901942400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80.42219952332311882873680626</v>
      </c>
      <c r="E34" s="428">
        <v>71.621871498961245200517745850</v>
      </c>
      <c r="F34" s="429">
        <v>57.118524713109655697861433060</v>
      </c>
      <c r="G34" s="427">
        <v>10.410282601293837248893428670</v>
      </c>
      <c r="H34" s="428">
        <v>10.590948149276134744444565300</v>
      </c>
      <c r="I34" s="429">
        <v>17.054806548615943084442236960</v>
      </c>
      <c r="J34" s="427">
        <v>0</v>
      </c>
      <c r="K34" s="428">
        <v>0.4155019197929016609199778100</v>
      </c>
      <c r="L34" s="429">
        <v>7.7185807244329254320879867800</v>
      </c>
      <c r="M34" s="427">
        <v>90.83248212461695607763023493</v>
      </c>
      <c r="N34" s="428">
        <v>82.62832156803028160588228896</v>
      </c>
      <c r="O34" s="429">
        <v>81.89191198615852421439165681</v>
      </c>
      <c r="P34" s="5"/>
      <c r="Q34" s="427">
        <v>-0.0951676007226781497668765400</v>
      </c>
      <c r="R34" s="428">
        <v>2.1729001634256898166799226600</v>
      </c>
      <c r="S34" s="429">
        <v>-3.3654571869362513407196590600</v>
      </c>
      <c r="T34" s="427">
        <v>-21.652786674919504695037884030</v>
      </c>
      <c r="U34" s="428">
        <v>-27.062391933843424022880307670</v>
      </c>
      <c r="V34" s="429">
        <v>3.5535786904183086250599680200</v>
      </c>
      <c r="W34" s="427">
        <v>0</v>
      </c>
      <c r="X34" s="428">
        <v>134.17470455813295644262624680</v>
      </c>
      <c r="Y34" s="429">
        <v>7.7136840179514705382222953800</v>
      </c>
      <c r="Z34" s="427">
        <v>-3.1493919041092967790358888300</v>
      </c>
      <c r="AA34" s="428">
        <v>-2.5571356363777817213656370700</v>
      </c>
      <c r="AB34" s="429">
        <v>-1.0287725410489571483852119700</v>
      </c>
    </row>
    <row r="35" ht="18" customHeight="1">
      <c r="A35" s="58"/>
      <c r="B35" s="286">
        <v>2024</v>
      </c>
      <c r="C35" s="287"/>
      <c r="D35" s="271">
        <v>82.12962962962962962962962963</v>
      </c>
      <c r="E35" s="92">
        <v>73.981883396163707114654600430</v>
      </c>
      <c r="F35" s="272">
        <v>59.986202582551680698900850830</v>
      </c>
      <c r="G35" s="271">
        <v>10.816498316498316498316498320</v>
      </c>
      <c r="H35" s="92">
        <v>12.209897857340838150037525700</v>
      </c>
      <c r="I35" s="272">
        <v>16.431897120342018892387978570</v>
      </c>
      <c r="J35" s="271">
        <v>0</v>
      </c>
      <c r="K35" s="92">
        <v>0.7142447245546330965770038200</v>
      </c>
      <c r="L35" s="272">
        <v>7.1452672994977813764581685800</v>
      </c>
      <c r="M35" s="271">
        <v>92.94612794612794612794612795</v>
      </c>
      <c r="N35" s="92">
        <v>86.90602597805917836126912995</v>
      </c>
      <c r="O35" s="272">
        <v>83.56336700239148096774699797</v>
      </c>
      <c r="P35" s="5"/>
      <c r="Q35" s="271">
        <v>2.1230830746365638423496614900</v>
      </c>
      <c r="R35" s="92">
        <v>3.2950994546360857230615110200</v>
      </c>
      <c r="S35" s="272">
        <v>5.0205741199649463095909458300</v>
      </c>
      <c r="T35" s="271">
        <v>3.9020623239141431963202848900</v>
      </c>
      <c r="U35" s="92">
        <v>15.286164045169471425971545330</v>
      </c>
      <c r="V35" s="272">
        <v>-3.652398087793699898877675800</v>
      </c>
      <c r="W35" s="271">
        <v>0</v>
      </c>
      <c r="X35" s="92">
        <v>71.899259791249969713618593970</v>
      </c>
      <c r="Y35" s="272">
        <v>-7.4277052397710701533209376500</v>
      </c>
      <c r="Z35" s="271">
        <v>2.3269713345811026556095583100</v>
      </c>
      <c r="AA35" s="92">
        <v>5.1770438136502489258322410400</v>
      </c>
      <c r="AB35" s="272">
        <v>2.0410501790129724806654754500</v>
      </c>
    </row>
    <row r="36" ht="18" customHeight="1">
      <c r="A36" s="58"/>
      <c r="B36" s="425">
        <v>2025</v>
      </c>
      <c r="C36" s="426"/>
      <c r="D36" s="430">
        <v>77.826012938372488934286687100</v>
      </c>
      <c r="E36" s="431">
        <v>78.633194470126282127978942100</v>
      </c>
      <c r="F36" s="432">
        <v>59.563533747291769011281086810</v>
      </c>
      <c r="G36" s="430">
        <v>14.504596527068437180796731360</v>
      </c>
      <c r="H36" s="431">
        <v>10.679051959494001326995660070</v>
      </c>
      <c r="I36" s="432">
        <v>17.915218624893434739160126870</v>
      </c>
      <c r="J36" s="430">
        <v>0</v>
      </c>
      <c r="K36" s="431">
        <v>0.2556098197678845296235465600</v>
      </c>
      <c r="L36" s="432">
        <v>8.005154466925326773129352880</v>
      </c>
      <c r="M36" s="430">
        <v>92.33060946544092611508341845</v>
      </c>
      <c r="N36" s="431">
        <v>89.56785624938816798459814873</v>
      </c>
      <c r="O36" s="432">
        <v>85.48390683911053052357056655</v>
      </c>
      <c r="P36" s="184"/>
      <c r="Q36" s="430">
        <v>-5.2400293421954777456142959200</v>
      </c>
      <c r="R36" s="431">
        <v>6.2870947053575439616106458400</v>
      </c>
      <c r="S36" s="432">
        <v>-0.7046100888387176290049906500</v>
      </c>
      <c r="T36" s="430">
        <v>34.096970226884213473789721180</v>
      </c>
      <c r="U36" s="431">
        <v>-12.537745325123610794748101370</v>
      </c>
      <c r="V36" s="432">
        <v>9.027086122398711079520991650</v>
      </c>
      <c r="W36" s="430">
        <v>0</v>
      </c>
      <c r="X36" s="431">
        <v>-64.212571550873652805758985650</v>
      </c>
      <c r="Y36" s="432">
        <v>12.034359687082645201597512050</v>
      </c>
      <c r="Z36" s="430">
        <v>-0.662231439071906933634007200</v>
      </c>
      <c r="AA36" s="431">
        <v>3.0628834322247567231475645300</v>
      </c>
      <c r="AB36" s="432">
        <v>2.2983035576526867786298056500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75.110004151100041511000415110</v>
      </c>
      <c r="E39" s="428">
        <v>65.956403110805887515677326810</v>
      </c>
      <c r="F39" s="429">
        <v>53.677331422944705773587998430</v>
      </c>
      <c r="G39" s="427">
        <v>9.412619344126193441261934410</v>
      </c>
      <c r="H39" s="428">
        <v>10.035345245892076354216107140</v>
      </c>
      <c r="I39" s="429">
        <v>13.733581482172811256716137140</v>
      </c>
      <c r="J39" s="427">
        <v>0</v>
      </c>
      <c r="K39" s="428">
        <v>0.1323126609163248368629967400</v>
      </c>
      <c r="L39" s="429">
        <v>7.5426249456371511485454954100</v>
      </c>
      <c r="M39" s="427">
        <v>84.52262349522623495226234952</v>
      </c>
      <c r="N39" s="428">
        <v>76.124061017614288706756430690</v>
      </c>
      <c r="O39" s="429">
        <v>74.953537850754668178849630980</v>
      </c>
      <c r="P39" s="5"/>
      <c r="Q39" s="427">
        <v>-4.5070719865495136985687459800</v>
      </c>
      <c r="R39" s="428">
        <v>-1.3315063368404769053256540800</v>
      </c>
      <c r="S39" s="429">
        <v>-3.578549168305546208547350500</v>
      </c>
      <c r="T39" s="427">
        <v>53.937542431564733429851682040</v>
      </c>
      <c r="U39" s="428">
        <v>39.528580498029560858563165330</v>
      </c>
      <c r="V39" s="429">
        <v>40.776443779198155473934193670</v>
      </c>
      <c r="W39" s="427">
        <v>0</v>
      </c>
      <c r="X39" s="428">
        <v>-14.233251466493529875206114950</v>
      </c>
      <c r="Y39" s="429">
        <v>26.169721449131601692885134790</v>
      </c>
      <c r="Z39" s="427">
        <v>-0.2913667303311654193693155100</v>
      </c>
      <c r="AA39" s="428">
        <v>2.6026696513052189586435582500</v>
      </c>
      <c r="AB39" s="429">
        <v>4.9721721949642641607522212700</v>
      </c>
    </row>
    <row r="40" ht="18" customHeight="1">
      <c r="A40" s="58"/>
      <c r="B40" s="286">
        <v>2024</v>
      </c>
      <c r="C40" s="287"/>
      <c r="D40" s="271">
        <v>74.093392945851962245404868360</v>
      </c>
      <c r="E40" s="92">
        <v>64.713422572353705104165285310</v>
      </c>
      <c r="F40" s="272">
        <v>55.193954623968220447573430370</v>
      </c>
      <c r="G40" s="271">
        <v>8.407848981619473422752111280</v>
      </c>
      <c r="H40" s="92">
        <v>8.837516421939939893116206290</v>
      </c>
      <c r="I40" s="272">
        <v>12.471041902331415320718189140</v>
      </c>
      <c r="J40" s="271">
        <v>0</v>
      </c>
      <c r="K40" s="92">
        <v>0.6804639160879452134360620100</v>
      </c>
      <c r="L40" s="272">
        <v>7.0036414966492325320445505200</v>
      </c>
      <c r="M40" s="271">
        <v>82.50124192747143566815697963</v>
      </c>
      <c r="N40" s="92">
        <v>74.231402910381590210717553610</v>
      </c>
      <c r="O40" s="272">
        <v>74.668638022948868300336170040</v>
      </c>
      <c r="P40" s="5"/>
      <c r="Q40" s="271">
        <v>-1.3534964040248282880049055700</v>
      </c>
      <c r="R40" s="92">
        <v>-1.8845487015994716001454781500</v>
      </c>
      <c r="S40" s="272">
        <v>2.8254444862756229722260609800</v>
      </c>
      <c r="T40" s="271">
        <v>-10.674715780473315414543076470</v>
      </c>
      <c r="U40" s="92">
        <v>-11.936099801344056386489543270</v>
      </c>
      <c r="V40" s="272">
        <v>-9.193083257305849163106157060</v>
      </c>
      <c r="W40" s="271">
        <v>0</v>
      </c>
      <c r="X40" s="92">
        <v>414.28480952569612590722375080</v>
      </c>
      <c r="Y40" s="272">
        <v>-7.1458338819456237017466568200</v>
      </c>
      <c r="Z40" s="271">
        <v>-2.39152724340526136120996400</v>
      </c>
      <c r="AA40" s="92">
        <v>-2.4862810547913679009310415500</v>
      </c>
      <c r="AB40" s="272">
        <v>-0.3801019084892880535270366200</v>
      </c>
    </row>
    <row r="41" ht="18" customHeight="1">
      <c r="A41" s="58"/>
      <c r="B41" s="425">
        <v>2025</v>
      </c>
      <c r="C41" s="426"/>
      <c r="D41" s="430">
        <v>72.498962224989622249896222500</v>
      </c>
      <c r="E41" s="431">
        <v>69.023326128180986354413929370</v>
      </c>
      <c r="F41" s="432">
        <v>56.140488363809661806201520700</v>
      </c>
      <c r="G41" s="430">
        <v>10.695309256953092569530925700</v>
      </c>
      <c r="H41" s="431">
        <v>9.041095890410958904109589040</v>
      </c>
      <c r="I41" s="432">
        <v>12.968025503237618783489073170</v>
      </c>
      <c r="J41" s="430">
        <v>0</v>
      </c>
      <c r="K41" s="431">
        <v>0.6182285934039703483669058100</v>
      </c>
      <c r="L41" s="432">
        <v>7.4561840819834676392487153500</v>
      </c>
      <c r="M41" s="430">
        <v>83.19427148194271481942714819</v>
      </c>
      <c r="N41" s="431">
        <v>78.682650611995915606890424220</v>
      </c>
      <c r="O41" s="432">
        <v>76.564697949030748228939309220</v>
      </c>
      <c r="P41" s="184"/>
      <c r="Q41" s="430">
        <v>-2.1519202421659467006937510100</v>
      </c>
      <c r="R41" s="431">
        <v>6.659983948398275451701813400</v>
      </c>
      <c r="S41" s="432">
        <v>1.7149228502609963775613961300</v>
      </c>
      <c r="T41" s="430">
        <v>27.206248356256662876345087420</v>
      </c>
      <c r="U41" s="431">
        <v>2.3035823504268050848100120800</v>
      </c>
      <c r="V41" s="432">
        <v>3.9851008827575301722436677600</v>
      </c>
      <c r="W41" s="430">
        <v>0</v>
      </c>
      <c r="X41" s="431">
        <v>-9.146013656789353981895027630</v>
      </c>
      <c r="Y41" s="432">
        <v>6.461532698427807177098667800</v>
      </c>
      <c r="Z41" s="430">
        <v>0.8400231781380110902781393600</v>
      </c>
      <c r="AA41" s="431">
        <v>5.9964483049966511991797106300</v>
      </c>
      <c r="AB41" s="432">
        <v>2.5392989296915376627600293100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34">
        <v>225.53398453398453398453398453</v>
      </c>
      <c r="E9" s="435">
        <v>195.35432822182496402456439824</v>
      </c>
      <c r="F9" s="436">
        <v>208.94122631553446187301248042</v>
      </c>
      <c r="G9" s="434">
        <v>244.18480492813141683778234086</v>
      </c>
      <c r="H9" s="435">
        <v>270.19969990350419438588156139</v>
      </c>
      <c r="I9" s="436">
        <v>235.16419957517746002027704883</v>
      </c>
      <c r="J9" s="434">
        <v>0</v>
      </c>
      <c r="K9" s="435">
        <v>164.9999907616056329409948551</v>
      </c>
      <c r="L9" s="436">
        <v>146.45759307481846233489678712</v>
      </c>
      <c r="M9" s="434">
        <v>228.61922554347826086956521739</v>
      </c>
      <c r="N9" s="435">
        <v>208.16136863136863136863136864</v>
      </c>
      <c r="O9" s="436">
        <v>208.40661605206073752711496746</v>
      </c>
      <c r="P9" s="5"/>
      <c r="Q9" s="415">
        <v>-14.074540400539092015461223560</v>
      </c>
      <c r="R9" s="416">
        <v>-21.748752216528980918040205010</v>
      </c>
      <c r="S9" s="417">
        <v>-11.526326185460293135329648760</v>
      </c>
      <c r="T9" s="415">
        <v>-8.099461548639302382597309550</v>
      </c>
      <c r="U9" s="416">
        <v>-0.7825779024560890232572700</v>
      </c>
      <c r="V9" s="417">
        <v>0.6416413718542336618615732400</v>
      </c>
      <c r="W9" s="415">
        <v>0</v>
      </c>
      <c r="X9" s="416">
        <v>0</v>
      </c>
      <c r="Y9" s="417">
        <v>21.697199760364834154563946570</v>
      </c>
      <c r="Z9" s="415">
        <v>-13.051875238990915761515486610</v>
      </c>
      <c r="AA9" s="416">
        <v>-17.775367464139088980089792070</v>
      </c>
      <c r="AB9" s="417">
        <v>-6.9647113732862149337951186300</v>
      </c>
    </row>
    <row r="10" ht="18" customHeight="1">
      <c r="A10" s="58"/>
      <c r="B10" s="286"/>
      <c r="C10" s="287" t="s">
        <v>222</v>
      </c>
      <c r="D10" s="276">
        <v>322.59366391184573002754820937</v>
      </c>
      <c r="E10" s="94">
        <v>308.66656266455547054739762962</v>
      </c>
      <c r="F10" s="277">
        <v>272.31996205427680516878509172</v>
      </c>
      <c r="G10" s="276">
        <v>382.00371057513914656771799629</v>
      </c>
      <c r="H10" s="94">
        <v>400.00222404266807090401269798</v>
      </c>
      <c r="I10" s="277">
        <v>288.30578356769647006141249953</v>
      </c>
      <c r="J10" s="276">
        <v>0</v>
      </c>
      <c r="K10" s="94">
        <v>177.35022333969492799343697733</v>
      </c>
      <c r="L10" s="277">
        <v>150.74784268568036380763097689</v>
      </c>
      <c r="M10" s="276">
        <v>331.89427824571594539645657857</v>
      </c>
      <c r="N10" s="94">
        <v>318.8803689127410057642615782</v>
      </c>
      <c r="O10" s="277">
        <v>262.41211252788710935374458129</v>
      </c>
      <c r="P10" s="5"/>
      <c r="Q10" s="271">
        <v>1.5491134616005009576212388700</v>
      </c>
      <c r="R10" s="92">
        <v>6.2824378274987997877584249400</v>
      </c>
      <c r="S10" s="272">
        <v>-0.887600845845222576185249700</v>
      </c>
      <c r="T10" s="271">
        <v>10.157365065787861632077396700</v>
      </c>
      <c r="U10" s="92">
        <v>13.248580362410543096875990690</v>
      </c>
      <c r="V10" s="272">
        <v>17.785292601890803171932550610</v>
      </c>
      <c r="W10" s="271">
        <v>0</v>
      </c>
      <c r="X10" s="92">
        <v>0</v>
      </c>
      <c r="Y10" s="272">
        <v>22.152980575544280490605907170</v>
      </c>
      <c r="Z10" s="271">
        <v>3.8038201582109236315383072600</v>
      </c>
      <c r="AA10" s="92">
        <v>7.7706230738356267172857161300</v>
      </c>
      <c r="AB10" s="272">
        <v>3.3940290776839411431750854400</v>
      </c>
    </row>
    <row r="11" ht="18" customHeight="1">
      <c r="A11" s="58"/>
      <c r="B11" s="288">
        <v>2024</v>
      </c>
      <c r="C11" s="289" t="s">
        <v>224</v>
      </c>
      <c r="D11" s="439">
        <v>285.75064850843060959792477302</v>
      </c>
      <c r="E11" s="95">
        <v>290.71187675265499321271477946</v>
      </c>
      <c r="F11" s="440">
        <v>268.34304765510803374899418604</v>
      </c>
      <c r="G11" s="439">
        <v>297.3754385964912280701754386</v>
      </c>
      <c r="H11" s="95">
        <v>297.90725223447074873260728055</v>
      </c>
      <c r="I11" s="440">
        <v>292.09472666989915617093543151</v>
      </c>
      <c r="J11" s="439">
        <v>0</v>
      </c>
      <c r="K11" s="95">
        <v>168.56998963044236242139187942</v>
      </c>
      <c r="L11" s="440">
        <v>153.90026678487910006314263885</v>
      </c>
      <c r="M11" s="439">
        <v>287.56403940886699507389162562</v>
      </c>
      <c r="N11" s="95">
        <v>290.93106122915238748000913867</v>
      </c>
      <c r="O11" s="440">
        <v>262.87688516596426456758733586</v>
      </c>
      <c r="P11" s="5"/>
      <c r="Q11" s="420">
        <v>2.2021565037568591095660146900</v>
      </c>
      <c r="R11" s="91">
        <v>1.8305487782818872998665767100</v>
      </c>
      <c r="S11" s="421">
        <v>-2.5996288248536432895091231600</v>
      </c>
      <c r="T11" s="420">
        <v>3.1561947455799254277663107600</v>
      </c>
      <c r="U11" s="91">
        <v>0.1139410727888294782475018200</v>
      </c>
      <c r="V11" s="421">
        <v>5.8849611029173251988344470700</v>
      </c>
      <c r="W11" s="420">
        <v>0</v>
      </c>
      <c r="X11" s="91">
        <v>0</v>
      </c>
      <c r="Y11" s="421">
        <v>20.939945271393030958396736890</v>
      </c>
      <c r="Z11" s="420">
        <v>2.2539092647899099129884983200</v>
      </c>
      <c r="AA11" s="91">
        <v>1.2563433706687696834658433200</v>
      </c>
      <c r="AB11" s="421">
        <v>1.2970949609208357156312936600</v>
      </c>
    </row>
    <row r="12" ht="18" customHeight="1">
      <c r="A12" s="58"/>
      <c r="B12" s="286"/>
      <c r="C12" s="287" t="s">
        <v>225</v>
      </c>
      <c r="D12" s="276">
        <v>358.93212341197822141560798548</v>
      </c>
      <c r="E12" s="94">
        <v>345.63333408261494569660543107</v>
      </c>
      <c r="F12" s="277">
        <v>325.08912390903549465060426368</v>
      </c>
      <c r="G12" s="276">
        <v>324.11346633416458852867830424</v>
      </c>
      <c r="H12" s="94">
        <v>378.4932319631062743004407956</v>
      </c>
      <c r="I12" s="277">
        <v>329.94814353191228114353648123</v>
      </c>
      <c r="J12" s="276">
        <v>0</v>
      </c>
      <c r="K12" s="94">
        <v>165.84038296430267961685317184</v>
      </c>
      <c r="L12" s="277">
        <v>161.24715604381606561051383565</v>
      </c>
      <c r="M12" s="276">
        <v>351.08152937868990722518976666</v>
      </c>
      <c r="N12" s="94">
        <v>351.09296445849681916879356977</v>
      </c>
      <c r="O12" s="277">
        <v>311.89754314720812182741116751</v>
      </c>
      <c r="P12" s="5"/>
      <c r="Q12" s="271">
        <v>2.7181658109170109422969713700</v>
      </c>
      <c r="R12" s="92">
        <v>-0.9989816520739269746677734900</v>
      </c>
      <c r="S12" s="272">
        <v>-0.8400505975715131352003163800</v>
      </c>
      <c r="T12" s="271">
        <v>-2.8550239892621267524306489800</v>
      </c>
      <c r="U12" s="92">
        <v>4.6462849639130222153901147100</v>
      </c>
      <c r="V12" s="272">
        <v>2.557813501803020794781679100</v>
      </c>
      <c r="W12" s="271">
        <v>0</v>
      </c>
      <c r="X12" s="92">
        <v>0</v>
      </c>
      <c r="Y12" s="272">
        <v>19.671043051446040474235262200</v>
      </c>
      <c r="Z12" s="271">
        <v>1.2162344522410634697652324300</v>
      </c>
      <c r="AA12" s="92">
        <v>-0.125911455332120287384815800</v>
      </c>
      <c r="AB12" s="272">
        <v>1.6810268016846806390922774700</v>
      </c>
    </row>
    <row r="13" ht="18" customHeight="1">
      <c r="A13" s="58"/>
      <c r="B13" s="288"/>
      <c r="C13" s="289" t="s">
        <v>226</v>
      </c>
      <c r="D13" s="439">
        <v>312.10688353180365959918675574</v>
      </c>
      <c r="E13" s="95">
        <v>306.2521805022579502465246957</v>
      </c>
      <c r="F13" s="440">
        <v>301.97310356133677660958784904</v>
      </c>
      <c r="G13" s="439">
        <v>313.3</v>
      </c>
      <c r="H13" s="95">
        <v>322.6854864915313732494366855</v>
      </c>
      <c r="I13" s="440">
        <v>298.34321416331667500240338605</v>
      </c>
      <c r="J13" s="439">
        <v>0</v>
      </c>
      <c r="K13" s="95">
        <v>167.87790231484651826031411762</v>
      </c>
      <c r="L13" s="440">
        <v>161.83087792786904866911637798</v>
      </c>
      <c r="M13" s="439">
        <v>312.21697864487213287635117321</v>
      </c>
      <c r="N13" s="95">
        <v>306.62572766621727098559568581</v>
      </c>
      <c r="O13" s="440">
        <v>289.23238524708851333181639534</v>
      </c>
      <c r="P13" s="5"/>
      <c r="Q13" s="420">
        <v>-2.010080068198589874516326600</v>
      </c>
      <c r="R13" s="91">
        <v>-6.0487803393756309545837230300</v>
      </c>
      <c r="S13" s="421">
        <v>-4.0320349995118024952070656800</v>
      </c>
      <c r="T13" s="420">
        <v>10.410205807724837891175641390</v>
      </c>
      <c r="U13" s="91">
        <v>-3.3607982116064203256954551200</v>
      </c>
      <c r="V13" s="421">
        <v>1.7389759561247412753857988400</v>
      </c>
      <c r="W13" s="420">
        <v>0</v>
      </c>
      <c r="X13" s="91">
        <v>-3.5678237023973841950589456600</v>
      </c>
      <c r="Y13" s="421">
        <v>21.106932329191958849970428310</v>
      </c>
      <c r="Z13" s="420">
        <v>-0.7483064832101831910544914300</v>
      </c>
      <c r="AA13" s="91">
        <v>-5.7824374355353639202196454400</v>
      </c>
      <c r="AB13" s="421">
        <v>-1.5537917500624694771619684600</v>
      </c>
    </row>
    <row r="14" ht="18" customHeight="1">
      <c r="A14" s="58"/>
      <c r="B14" s="286"/>
      <c r="C14" s="287" t="s">
        <v>228</v>
      </c>
      <c r="D14" s="276">
        <v>257.79657207080640629390278168</v>
      </c>
      <c r="E14" s="94">
        <v>258.66207235988633425261890251</v>
      </c>
      <c r="F14" s="277">
        <v>248.66859628019859644862730042</v>
      </c>
      <c r="G14" s="276">
        <v>275.85714285714285714285714286</v>
      </c>
      <c r="H14" s="94">
        <v>276.93185501534764822577328234</v>
      </c>
      <c r="I14" s="277">
        <v>274.83569373217252665185515918</v>
      </c>
      <c r="J14" s="276">
        <v>0</v>
      </c>
      <c r="K14" s="94">
        <v>167.95699707717677032147465167</v>
      </c>
      <c r="L14" s="277">
        <v>157.79790005972876096267832644</v>
      </c>
      <c r="M14" s="276">
        <v>258.44718309859154929577464789</v>
      </c>
      <c r="N14" s="94">
        <v>260.33531763188834528008495466</v>
      </c>
      <c r="O14" s="277">
        <v>246.72479168760350078431201199</v>
      </c>
      <c r="P14" s="5"/>
      <c r="Q14" s="271">
        <v>-3.1029055926922857151135757200</v>
      </c>
      <c r="R14" s="92">
        <v>-3.1896508239601552215990149700</v>
      </c>
      <c r="S14" s="272">
        <v>-1.5160275024691840526056730600</v>
      </c>
      <c r="T14" s="271">
        <v>19.826089272386604369375135290</v>
      </c>
      <c r="U14" s="92">
        <v>-7.5584005442679960693879328300</v>
      </c>
      <c r="V14" s="272">
        <v>8.565451368316240528814778810</v>
      </c>
      <c r="W14" s="271">
        <v>0</v>
      </c>
      <c r="X14" s="92">
        <v>0.6735228698956675585291681500</v>
      </c>
      <c r="Y14" s="272">
        <v>21.501492297137062397462537910</v>
      </c>
      <c r="Z14" s="271">
        <v>-1.9665363402226929105900365600</v>
      </c>
      <c r="AA14" s="92">
        <v>-3.6979371982706977611119482500</v>
      </c>
      <c r="AB14" s="272">
        <v>2.1500487162751909321004346300</v>
      </c>
    </row>
    <row r="15" ht="18" customHeight="1">
      <c r="A15" s="58"/>
      <c r="B15" s="288"/>
      <c r="C15" s="289" t="s">
        <v>229</v>
      </c>
      <c r="D15" s="439">
        <v>205.17344</v>
      </c>
      <c r="E15" s="95">
        <v>221.32021379049156595019234115</v>
      </c>
      <c r="F15" s="440">
        <v>222.52562514929471910116410023</v>
      </c>
      <c r="G15" s="439">
        <v>392.64739884393063583815028902</v>
      </c>
      <c r="H15" s="95">
        <v>275.94614995286876007521399453</v>
      </c>
      <c r="I15" s="440">
        <v>256.23231557372949527756428753</v>
      </c>
      <c r="J15" s="439">
        <v>0</v>
      </c>
      <c r="K15" s="95">
        <v>166.31395627228995522690086732</v>
      </c>
      <c r="L15" s="440">
        <v>154.30982083016693910292467441</v>
      </c>
      <c r="M15" s="439">
        <v>223.86142322097378277153558052</v>
      </c>
      <c r="N15" s="95">
        <v>226.39446339245111414279217827</v>
      </c>
      <c r="O15" s="440">
        <v>221.87765616423823954023624698</v>
      </c>
      <c r="P15" s="5"/>
      <c r="Q15" s="420">
        <v>-13.046454389792187145753872520</v>
      </c>
      <c r="R15" s="91">
        <v>-11.312095286230012719739228980</v>
      </c>
      <c r="S15" s="421">
        <v>-3.433649668086378594437050600</v>
      </c>
      <c r="T15" s="420">
        <v>-10.818228764798428887459509300</v>
      </c>
      <c r="U15" s="91">
        <v>-18.670034365641889164862191300</v>
      </c>
      <c r="V15" s="421">
        <v>-5.9014074887219580312043115900</v>
      </c>
      <c r="W15" s="420">
        <v>0</v>
      </c>
      <c r="X15" s="91">
        <v>16.096884253029747314205172110</v>
      </c>
      <c r="Y15" s="421">
        <v>10.913964859410191779072776860</v>
      </c>
      <c r="Z15" s="420">
        <v>-14.640373994918915216975929880</v>
      </c>
      <c r="AA15" s="91">
        <v>-11.711556150417320748299806930</v>
      </c>
      <c r="AB15" s="421">
        <v>-2.9350698305808965773953416400</v>
      </c>
    </row>
    <row r="16" ht="18" customHeight="1">
      <c r="A16" s="58"/>
      <c r="B16" s="286"/>
      <c r="C16" s="287" t="s">
        <v>230</v>
      </c>
      <c r="D16" s="276">
        <v>172.02562141491395793499043977</v>
      </c>
      <c r="E16" s="94">
        <v>183.13849927202945332752354979</v>
      </c>
      <c r="F16" s="277">
        <v>182.54145122123395703193833686</v>
      </c>
      <c r="G16" s="276">
        <v>166.59958932238193018480492813</v>
      </c>
      <c r="H16" s="94">
        <v>178.88298735395002566975747658</v>
      </c>
      <c r="I16" s="277">
        <v>198.42306323796927488881812573</v>
      </c>
      <c r="J16" s="276">
        <v>0</v>
      </c>
      <c r="K16" s="94">
        <v>166.92060588781111870480215316</v>
      </c>
      <c r="L16" s="277">
        <v>145.84654116787893688188075446</v>
      </c>
      <c r="M16" s="276">
        <v>171.17375886524822695035460993</v>
      </c>
      <c r="N16" s="94">
        <v>182.55450312805890113631527428</v>
      </c>
      <c r="O16" s="277">
        <v>180.94885304247416908688284487</v>
      </c>
      <c r="P16" s="5"/>
      <c r="Q16" s="271">
        <v>-8.117702262421714646494802410</v>
      </c>
      <c r="R16" s="92">
        <v>-7.4930912228860470421796698100</v>
      </c>
      <c r="S16" s="272">
        <v>-2.2356784292044149131910909400</v>
      </c>
      <c r="T16" s="271">
        <v>-2.1711076582459457887296809100</v>
      </c>
      <c r="U16" s="92">
        <v>-1.8901623338352730419925360300</v>
      </c>
      <c r="V16" s="272">
        <v>0.9575023468174029213329655100</v>
      </c>
      <c r="W16" s="271">
        <v>0</v>
      </c>
      <c r="X16" s="92">
        <v>-4.1760351422447814157898619500</v>
      </c>
      <c r="Y16" s="272">
        <v>11.016542456382079095304280300</v>
      </c>
      <c r="Z16" s="271">
        <v>-7.6972330895483458723735015600</v>
      </c>
      <c r="AA16" s="92">
        <v>-6.9081094469811955956403575100</v>
      </c>
      <c r="AB16" s="272">
        <v>-0.8535481562652848153378457200</v>
      </c>
    </row>
    <row r="17" ht="18" customHeight="1">
      <c r="A17" s="58"/>
      <c r="B17" s="288"/>
      <c r="C17" s="289" t="s">
        <v>233</v>
      </c>
      <c r="D17" s="439">
        <v>173.54926624737945492662473795</v>
      </c>
      <c r="E17" s="95">
        <v>175.58049691911592686080157605</v>
      </c>
      <c r="F17" s="440">
        <v>177.73190796211763121803704537</v>
      </c>
      <c r="G17" s="439">
        <v>288.65584415584415584415584416</v>
      </c>
      <c r="H17" s="95">
        <v>202.52878450940139731279468926</v>
      </c>
      <c r="I17" s="440">
        <v>180.94155715589621552803052143</v>
      </c>
      <c r="J17" s="439">
        <v>0</v>
      </c>
      <c r="K17" s="95">
        <v>165.00003982023025303207535552</v>
      </c>
      <c r="L17" s="440">
        <v>140.68192407037401966701232004</v>
      </c>
      <c r="M17" s="439">
        <v>179.42672413793103448275862069</v>
      </c>
      <c r="N17" s="95">
        <v>176.53903921398139292235457787</v>
      </c>
      <c r="O17" s="440">
        <v>174.31037168509200079302889835</v>
      </c>
      <c r="P17" s="5"/>
      <c r="Q17" s="420">
        <v>-6.4765906987051062593857972700</v>
      </c>
      <c r="R17" s="91">
        <v>-8.099310954787932454824272120</v>
      </c>
      <c r="S17" s="421">
        <v>-3.6887239152055242594603412100</v>
      </c>
      <c r="T17" s="420">
        <v>79.37504655953326485823840221</v>
      </c>
      <c r="U17" s="91">
        <v>-10.039982869781694064298672180</v>
      </c>
      <c r="V17" s="421">
        <v>2.9107080413795035079501365400</v>
      </c>
      <c r="W17" s="420">
        <v>0</v>
      </c>
      <c r="X17" s="91">
        <v>-1.5645519340505925395111013600</v>
      </c>
      <c r="Y17" s="421">
        <v>6.5756256585996627098378024200</v>
      </c>
      <c r="Z17" s="420">
        <v>-3.2597745184463937248828842200</v>
      </c>
      <c r="AA17" s="91">
        <v>-8.208340852159040342009341700</v>
      </c>
      <c r="AB17" s="421">
        <v>-2.0703617852700484962625577600</v>
      </c>
    </row>
    <row r="18" ht="18" customHeight="1">
      <c r="A18" s="58"/>
      <c r="B18" s="286"/>
      <c r="C18" s="287" t="s">
        <v>234</v>
      </c>
      <c r="D18" s="276">
        <v>158.49419398907103825136612022</v>
      </c>
      <c r="E18" s="94">
        <v>155.39457327398649337015713643</v>
      </c>
      <c r="F18" s="277">
        <v>161.01742905237788190563889835</v>
      </c>
      <c r="G18" s="276">
        <v>164.46078431372549019607843137</v>
      </c>
      <c r="H18" s="94">
        <v>163.85258119798510707340911204</v>
      </c>
      <c r="I18" s="277">
        <v>168.08907298808827316243937875</v>
      </c>
      <c r="J18" s="276">
        <v>0</v>
      </c>
      <c r="K18" s="94">
        <v>171.27665031813668907723116943</v>
      </c>
      <c r="L18" s="277">
        <v>140.88465175673507454275855267</v>
      </c>
      <c r="M18" s="276">
        <v>158.6950495049504950495049505</v>
      </c>
      <c r="N18" s="94">
        <v>155.84656705089891371377069399</v>
      </c>
      <c r="O18" s="277">
        <v>159.39139043959437138838106348</v>
      </c>
      <c r="P18" s="5"/>
      <c r="Q18" s="271">
        <v>-6.1206120702392382886962618600</v>
      </c>
      <c r="R18" s="92">
        <v>-8.436998234448004930016007660</v>
      </c>
      <c r="S18" s="272">
        <v>-5.2078429548081435581965226400</v>
      </c>
      <c r="T18" s="271">
        <v>-10.865755446842172944801459040</v>
      </c>
      <c r="U18" s="92">
        <v>-2.5896461629190784658157627800</v>
      </c>
      <c r="V18" s="272">
        <v>0.9382662528511145740094809500</v>
      </c>
      <c r="W18" s="271">
        <v>0</v>
      </c>
      <c r="X18" s="92">
        <v>7.0479348570825731272713841900</v>
      </c>
      <c r="Y18" s="272">
        <v>6.5649062570143872790335186700</v>
      </c>
      <c r="Z18" s="271">
        <v>-6.1624018703361361635951644900</v>
      </c>
      <c r="AA18" s="92">
        <v>-8.094180666139139824587082700</v>
      </c>
      <c r="AB18" s="272">
        <v>-3.635410025788580169445959100</v>
      </c>
    </row>
    <row r="19" ht="18" customHeight="1">
      <c r="A19" s="58"/>
      <c r="B19" s="288"/>
      <c r="C19" s="289" t="s">
        <v>235</v>
      </c>
      <c r="D19" s="439">
        <v>146.70195517405817835002384359</v>
      </c>
      <c r="E19" s="95">
        <v>155.12282229761649324921959667</v>
      </c>
      <c r="F19" s="440">
        <v>162.61709215544584406674460128</v>
      </c>
      <c r="G19" s="439">
        <v>214.81439393939393939393939394</v>
      </c>
      <c r="H19" s="95">
        <v>190.58792842927481236588525441</v>
      </c>
      <c r="I19" s="440">
        <v>179.02585752759736087521832884</v>
      </c>
      <c r="J19" s="439">
        <v>0</v>
      </c>
      <c r="K19" s="95">
        <v>170.72255240723034597275209613</v>
      </c>
      <c r="L19" s="440">
        <v>142.65869608961554386510168838</v>
      </c>
      <c r="M19" s="439">
        <v>160.40228571428571428571428571</v>
      </c>
      <c r="N19" s="95">
        <v>161.98218213058419243986254295</v>
      </c>
      <c r="O19" s="440">
        <v>163.1623835519704500393818409</v>
      </c>
      <c r="P19" s="5"/>
      <c r="Q19" s="420">
        <v>-9.508234903326450621869025650</v>
      </c>
      <c r="R19" s="91">
        <v>-5.6765162500487834214811247200</v>
      </c>
      <c r="S19" s="421">
        <v>-1.9051321980524213610875218400</v>
      </c>
      <c r="T19" s="420">
        <v>30.212463071547794542623178380</v>
      </c>
      <c r="U19" s="91">
        <v>7.9215125852910012371896798400</v>
      </c>
      <c r="V19" s="421">
        <v>-2.9124682830739552353810463900</v>
      </c>
      <c r="W19" s="420">
        <v>0</v>
      </c>
      <c r="X19" s="91">
        <v>1.6668721494337276000157791200</v>
      </c>
      <c r="Y19" s="421">
        <v>5.4024741265481783005650461600</v>
      </c>
      <c r="Z19" s="420">
        <v>-1.1041850725666247487794883100</v>
      </c>
      <c r="AA19" s="91">
        <v>-2.6175421872479386935034218200</v>
      </c>
      <c r="AB19" s="421">
        <v>-1.3658882326767788199325164400</v>
      </c>
    </row>
    <row r="20" ht="18" customHeight="1">
      <c r="A20" s="58"/>
      <c r="B20" s="286"/>
      <c r="C20" s="287" t="s">
        <v>236</v>
      </c>
      <c r="D20" s="276">
        <v>192.05425219941348973607038123</v>
      </c>
      <c r="E20" s="94">
        <v>212.90087582073985055000708652</v>
      </c>
      <c r="F20" s="277">
        <v>213.15339025386049283526612043</v>
      </c>
      <c r="G20" s="276">
        <v>193.92808988764044943820224719</v>
      </c>
      <c r="H20" s="94">
        <v>230.42206942499212599856574933</v>
      </c>
      <c r="I20" s="277">
        <v>229.59613554788790286218163696</v>
      </c>
      <c r="J20" s="276">
        <v>0</v>
      </c>
      <c r="K20" s="94">
        <v>172.31010182373253119248393496</v>
      </c>
      <c r="L20" s="277">
        <v>150.33712374821121521212367317</v>
      </c>
      <c r="M20" s="276">
        <v>192.31705011030570438071225969</v>
      </c>
      <c r="N20" s="94">
        <v>216.41734819037747257493305691</v>
      </c>
      <c r="O20" s="277">
        <v>210.78626274596943436288669975</v>
      </c>
      <c r="P20" s="5"/>
      <c r="Q20" s="271">
        <v>3.2995496104086049608435914500</v>
      </c>
      <c r="R20" s="92">
        <v>16.267862125330186550765041490</v>
      </c>
      <c r="S20" s="272">
        <v>8.247902876438473196967676780</v>
      </c>
      <c r="T20" s="271">
        <v>9.823729681032513264534190400</v>
      </c>
      <c r="U20" s="92">
        <v>6.7780357163996255078627679500</v>
      </c>
      <c r="V20" s="272">
        <v>4.238193113125110217142020400</v>
      </c>
      <c r="W20" s="271">
        <v>0</v>
      </c>
      <c r="X20" s="92">
        <v>2.372631296880886054095987900</v>
      </c>
      <c r="Y20" s="272">
        <v>4.7616626325558775625294256200</v>
      </c>
      <c r="Z20" s="271">
        <v>3.8954704505473957463029178900</v>
      </c>
      <c r="AA20" s="92">
        <v>16.331773086982474074370555520</v>
      </c>
      <c r="AB20" s="272">
        <v>7.3016038874891913180656614700</v>
      </c>
    </row>
    <row r="21" ht="18" customHeight="1">
      <c r="A21" s="58"/>
      <c r="B21" s="288"/>
      <c r="C21" s="289" t="s">
        <v>218</v>
      </c>
      <c r="D21" s="441">
        <v>196.78108193609617209743751977</v>
      </c>
      <c r="E21" s="154">
        <v>193.69947900989306294255286011</v>
      </c>
      <c r="F21" s="442">
        <v>211.66153409468294063953419587</v>
      </c>
      <c r="G21" s="441">
        <v>206.29295774647887323943661972</v>
      </c>
      <c r="H21" s="154">
        <v>217.53309563412931672532176835</v>
      </c>
      <c r="I21" s="442">
        <v>235.35173434227129227732113304</v>
      </c>
      <c r="J21" s="441">
        <v>0</v>
      </c>
      <c r="K21" s="154">
        <v>196.60668967004994535678004229</v>
      </c>
      <c r="L21" s="442">
        <v>149.50726774924139651066973863</v>
      </c>
      <c r="M21" s="441">
        <v>197.74146757679180887372013652</v>
      </c>
      <c r="N21" s="154">
        <v>196.79732713254191653408395546</v>
      </c>
      <c r="O21" s="442">
        <v>209.88051842481424480867329464</v>
      </c>
      <c r="P21" s="5"/>
      <c r="Q21" s="420">
        <v>-12.748811518278848120269728960</v>
      </c>
      <c r="R21" s="91">
        <v>-0.8471013808447930545635973300</v>
      </c>
      <c r="S21" s="421">
        <v>1.301948795435560519748746200</v>
      </c>
      <c r="T21" s="420">
        <v>-15.517692508662997140338881950</v>
      </c>
      <c r="U21" s="91">
        <v>-19.491733073049380028982594500</v>
      </c>
      <c r="V21" s="421">
        <v>0.079746308073275861724024700</v>
      </c>
      <c r="W21" s="420">
        <v>0</v>
      </c>
      <c r="X21" s="91">
        <v>19.15557616855678431074545700</v>
      </c>
      <c r="Y21" s="421">
        <v>2.0822919525134092093058695400</v>
      </c>
      <c r="Z21" s="420">
        <v>-13.506194806365047538624903530</v>
      </c>
      <c r="AA21" s="91">
        <v>-5.4592461481077522928095363800</v>
      </c>
      <c r="AB21" s="421">
        <v>0.7072243677454946598614181800</v>
      </c>
    </row>
    <row r="22" ht="18" customHeight="1">
      <c r="A22" s="58"/>
      <c r="B22" s="286"/>
      <c r="C22" s="287" t="s">
        <v>222</v>
      </c>
      <c r="D22" s="276">
        <v>278.51041666666666666666666667</v>
      </c>
      <c r="E22" s="94">
        <v>280.94690233469982819915718492</v>
      </c>
      <c r="F22" s="277">
        <v>271.67907186448222431556661429</v>
      </c>
      <c r="G22" s="276">
        <v>281.3030303030303030303030303</v>
      </c>
      <c r="H22" s="94">
        <v>326.76808180999812044495831632</v>
      </c>
      <c r="I22" s="277">
        <v>277.15286480561257934422688086</v>
      </c>
      <c r="J22" s="276">
        <v>0</v>
      </c>
      <c r="K22" s="94">
        <v>224.66091036653367080735607021</v>
      </c>
      <c r="L22" s="277">
        <v>161.85200607427575982632355008</v>
      </c>
      <c r="M22" s="276">
        <v>278.76683361157484696716750139</v>
      </c>
      <c r="N22" s="94">
        <v>283.66124221466508731038172024</v>
      </c>
      <c r="O22" s="277">
        <v>261.11490559647785962238591144</v>
      </c>
      <c r="P22" s="5"/>
      <c r="Q22" s="271">
        <v>-13.665255141894568756466445350</v>
      </c>
      <c r="R22" s="92">
        <v>-8.980454536638818347398844050</v>
      </c>
      <c r="S22" s="272">
        <v>-0.2353445502059755698965399300</v>
      </c>
      <c r="T22" s="271">
        <v>-26.361178565639207807355034750</v>
      </c>
      <c r="U22" s="92">
        <v>-18.308433761329331593654854050</v>
      </c>
      <c r="V22" s="272">
        <v>-3.8684339329143186901036015400</v>
      </c>
      <c r="W22" s="271">
        <v>0</v>
      </c>
      <c r="X22" s="92">
        <v>26.676418070370218041568766180</v>
      </c>
      <c r="Y22" s="272">
        <v>7.3660512752592148097689611600</v>
      </c>
      <c r="Z22" s="271">
        <v>-16.007339721233494521939845730</v>
      </c>
      <c r="AA22" s="92">
        <v>-11.044620532183612222994690910</v>
      </c>
      <c r="AB22" s="272">
        <v>-0.494339578659586315844343500</v>
      </c>
    </row>
    <row r="23" ht="18" customHeight="1">
      <c r="A23" s="58"/>
      <c r="B23" s="288">
        <v>2025</v>
      </c>
      <c r="C23" s="289" t="s">
        <v>224</v>
      </c>
      <c r="D23" s="439">
        <v>270.1549717326238776188892584</v>
      </c>
      <c r="E23" s="95">
        <v>276.54309850575522941138598106</v>
      </c>
      <c r="F23" s="440">
        <v>272.9367825118087135904434102</v>
      </c>
      <c r="G23" s="439">
        <v>325.3034188034188034188034188</v>
      </c>
      <c r="H23" s="95">
        <v>307.26051001355121785664578918</v>
      </c>
      <c r="I23" s="440">
        <v>290.97211010088366439675673912</v>
      </c>
      <c r="J23" s="439">
        <v>0</v>
      </c>
      <c r="K23" s="95">
        <v>166.81318082574423154829982618</v>
      </c>
      <c r="L23" s="440">
        <v>162.34674215076778614916905361</v>
      </c>
      <c r="M23" s="439">
        <v>280.59288217848476678349959558</v>
      </c>
      <c r="N23" s="95">
        <v>279.67381493564693650736743984</v>
      </c>
      <c r="O23" s="440">
        <v>265.86633131313131313131313131</v>
      </c>
      <c r="P23" s="5"/>
      <c r="Q23" s="420">
        <v>-5.457792259504764634440485400</v>
      </c>
      <c r="R23" s="91">
        <v>-4.8738216013780996669847305300</v>
      </c>
      <c r="S23" s="421">
        <v>1.7118889037188764507772212100</v>
      </c>
      <c r="T23" s="420">
        <v>9.391488530030706280849683300</v>
      </c>
      <c r="U23" s="91">
        <v>3.1396542745756080428569051100</v>
      </c>
      <c r="V23" s="421">
        <v>-0.3843330490129042959528872200</v>
      </c>
      <c r="W23" s="420">
        <v>0</v>
      </c>
      <c r="X23" s="91">
        <v>-1.0421836108002848414584509300</v>
      </c>
      <c r="Y23" s="421">
        <v>5.4882785730794562948113430500</v>
      </c>
      <c r="Z23" s="420">
        <v>-2.4242103584108571590060360400</v>
      </c>
      <c r="AA23" s="91">
        <v>-3.8693861858512351675854676600</v>
      </c>
      <c r="AB23" s="421">
        <v>1.137203883575976900584853500</v>
      </c>
    </row>
    <row r="24" ht="18" customHeight="1">
      <c r="A24" s="59"/>
      <c r="B24" s="286"/>
      <c r="C24" s="287" t="s">
        <v>225</v>
      </c>
      <c r="D24" s="276">
        <v>343.84138918725384890798424633</v>
      </c>
      <c r="E24" s="94">
        <v>356.49242175869002743847434854</v>
      </c>
      <c r="F24" s="277">
        <v>336.87725790868769038537364814</v>
      </c>
      <c r="G24" s="276">
        <v>329.47077409162717219589257504</v>
      </c>
      <c r="H24" s="94">
        <v>368.58020503007793914666666072</v>
      </c>
      <c r="I24" s="277">
        <v>323.77920442483927057493015103</v>
      </c>
      <c r="J24" s="276">
        <v>0</v>
      </c>
      <c r="K24" s="94">
        <v>165.70815572838264715910163051</v>
      </c>
      <c r="L24" s="277">
        <v>170.59625376152781035609103408</v>
      </c>
      <c r="M24" s="276">
        <v>341.18622300058377116170461179</v>
      </c>
      <c r="N24" s="94">
        <v>356.70795393055764316849541562</v>
      </c>
      <c r="O24" s="277">
        <v>317.60676490825203989885985167</v>
      </c>
      <c r="P24" s="93"/>
      <c r="Q24" s="271">
        <v>-4.2043420581289855220131226100</v>
      </c>
      <c r="R24" s="92">
        <v>3.1417940937070917809890092200</v>
      </c>
      <c r="S24" s="272">
        <v>3.6261237712115718202790993700</v>
      </c>
      <c r="T24" s="271">
        <v>1.6529111912626126415534131500</v>
      </c>
      <c r="U24" s="92">
        <v>-2.6190764050408436489013390300</v>
      </c>
      <c r="V24" s="272">
        <v>-1.8696692883390340767562758200</v>
      </c>
      <c r="W24" s="271">
        <v>0</v>
      </c>
      <c r="X24" s="92">
        <v>-0.0797316272151982619421442500</v>
      </c>
      <c r="Y24" s="272">
        <v>5.7979923163347387792293331900</v>
      </c>
      <c r="Z24" s="271">
        <v>-2.8185209274972965284833102800</v>
      </c>
      <c r="AA24" s="92">
        <v>1.599288519129909224921061600</v>
      </c>
      <c r="AB24" s="272">
        <v>1.8304798760013231400754907500</v>
      </c>
    </row>
    <row r="25" ht="18" customHeight="1">
      <c r="A25" s="60"/>
      <c r="B25" s="288"/>
      <c r="C25" s="289" t="s">
        <v>226</v>
      </c>
      <c r="D25" s="439">
        <v>296.66472303206997084548104956</v>
      </c>
      <c r="E25" s="95">
        <v>301.09622377267198560723458144</v>
      </c>
      <c r="F25" s="440">
        <v>300.30539174513236139046304821</v>
      </c>
      <c r="G25" s="439">
        <v>298.55384615384615384615384615</v>
      </c>
      <c r="H25" s="95">
        <v>302.84013276984591010995086995</v>
      </c>
      <c r="I25" s="440">
        <v>302.03661719694871479133139843</v>
      </c>
      <c r="J25" s="439">
        <v>0</v>
      </c>
      <c r="K25" s="95">
        <v>165.00000659596327047846717809</v>
      </c>
      <c r="L25" s="440">
        <v>167.45968628729723971560015366</v>
      </c>
      <c r="M25" s="439">
        <v>296.99331014182499331014182499</v>
      </c>
      <c r="N25" s="95">
        <v>301.25039280274855665356143521</v>
      </c>
      <c r="O25" s="440">
        <v>287.36996481796260426137486658</v>
      </c>
      <c r="P25" s="93"/>
      <c r="Q25" s="420">
        <v>-4.9477154508694633263807720900</v>
      </c>
      <c r="R25" s="91">
        <v>-1.6835657206330625231877681700</v>
      </c>
      <c r="S25" s="421">
        <v>-0.5522716415798588145611115100</v>
      </c>
      <c r="T25" s="420">
        <v>-4.7067200274988337548184340400</v>
      </c>
      <c r="U25" s="91">
        <v>-6.1500608339807824176615072400</v>
      </c>
      <c r="V25" s="421">
        <v>1.2379711883197409815412330500</v>
      </c>
      <c r="W25" s="420">
        <v>0</v>
      </c>
      <c r="X25" s="91">
        <v>-1.7142790558820416123714453600</v>
      </c>
      <c r="Y25" s="421">
        <v>3.4782041792450912420038062500</v>
      </c>
      <c r="Z25" s="420">
        <v>-4.8759899506905570964352785100</v>
      </c>
      <c r="AA25" s="91">
        <v>-1.7530606137861855073220900800</v>
      </c>
      <c r="AB25" s="421">
        <v>-0.6439183591236760963785330600</v>
      </c>
    </row>
    <row r="26" ht="18" customHeight="1">
      <c r="A26" s="60"/>
      <c r="B26" s="290"/>
      <c r="C26" s="291" t="s">
        <v>228</v>
      </c>
      <c r="D26" s="443">
        <v>264.2133006435795280416794361</v>
      </c>
      <c r="E26" s="444">
        <v>263.69587189630124207346963408</v>
      </c>
      <c r="F26" s="445">
        <v>251.79538873351245811548968453</v>
      </c>
      <c r="G26" s="443">
        <v>284.80285035629453681710213777</v>
      </c>
      <c r="H26" s="444">
        <v>291.15095384050148817085237906</v>
      </c>
      <c r="I26" s="445">
        <v>290.23896294018052750251646104</v>
      </c>
      <c r="J26" s="443">
        <v>0</v>
      </c>
      <c r="K26" s="444">
        <v>0</v>
      </c>
      <c r="L26" s="445">
        <v>162.91416487242856323647171602</v>
      </c>
      <c r="M26" s="443">
        <v>266.56623235613463626492942454</v>
      </c>
      <c r="N26" s="444">
        <v>266.70483946038325879058943312</v>
      </c>
      <c r="O26" s="445">
        <v>252.54264097892906757172685151</v>
      </c>
      <c r="P26" s="184"/>
      <c r="Q26" s="273">
        <v>2.4890666781314954155256716700</v>
      </c>
      <c r="R26" s="274">
        <v>1.9460910872921717917364814900</v>
      </c>
      <c r="S26" s="275">
        <v>1.2574134812701421859359941600</v>
      </c>
      <c r="T26" s="273">
        <v>3.242876876974183653565297100</v>
      </c>
      <c r="U26" s="274">
        <v>5.1345118185901393910094191700</v>
      </c>
      <c r="V26" s="275">
        <v>5.6045373869776458602362605300</v>
      </c>
      <c r="W26" s="273">
        <v>0</v>
      </c>
      <c r="X26" s="274">
        <v>-100</v>
      </c>
      <c r="Y26" s="275">
        <v>3.2422895430122431155886148500</v>
      </c>
      <c r="Z26" s="273">
        <v>3.1414733022789974030718427700</v>
      </c>
      <c r="AA26" s="274">
        <v>2.4466606707159943313934101900</v>
      </c>
      <c r="AB26" s="275">
        <v>2.3580318992408185817642390600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302.54048470401271354787445371</v>
      </c>
      <c r="E29" s="455">
        <v>306.7441438422959354737583679</v>
      </c>
      <c r="F29" s="456">
        <v>292.33214264993140392244207489</v>
      </c>
      <c r="G29" s="454">
        <v>293.50076962544894817855310416</v>
      </c>
      <c r="H29" s="455">
        <v>325.40511568777469766521798202</v>
      </c>
      <c r="I29" s="456">
        <v>287.68999313026850006509671409</v>
      </c>
      <c r="J29" s="454">
        <v>0</v>
      </c>
      <c r="K29" s="455">
        <v>170.67015077937629779627253298</v>
      </c>
      <c r="L29" s="456">
        <v>131.28706766668415563855451866</v>
      </c>
      <c r="M29" s="454">
        <v>301.32826475849731663685152057</v>
      </c>
      <c r="N29" s="455">
        <v>308.74952963511851141525973711</v>
      </c>
      <c r="O29" s="456">
        <v>275.61255194186885951832947811</v>
      </c>
      <c r="P29" s="5"/>
      <c r="Q29" s="427">
        <v>-10.111649537382354260813505940</v>
      </c>
      <c r="R29" s="428">
        <v>-14.673248866127895786797591480</v>
      </c>
      <c r="S29" s="429">
        <v>-3.1616499910407930618411372700</v>
      </c>
      <c r="T29" s="427">
        <v>1.2637866108078028312105199800</v>
      </c>
      <c r="U29" s="428">
        <v>1.9284209915957579462211292900</v>
      </c>
      <c r="V29" s="429">
        <v>3.1510058368584292592187349600</v>
      </c>
      <c r="W29" s="427">
        <v>0</v>
      </c>
      <c r="X29" s="428">
        <v>-53.981708055415620138656183420</v>
      </c>
      <c r="Y29" s="429">
        <v>1.4233077537646571530260869900</v>
      </c>
      <c r="Z29" s="427">
        <v>-8.758883111926927059745052090</v>
      </c>
      <c r="AA29" s="428">
        <v>-12.676414768417878822540006400</v>
      </c>
      <c r="AB29" s="429">
        <v>-2.1948933566032839016177421600</v>
      </c>
    </row>
    <row r="30" ht="18" customHeight="1">
      <c r="A30" s="58"/>
      <c r="B30" s="286">
        <v>2024</v>
      </c>
      <c r="C30" s="287"/>
      <c r="D30" s="276">
        <v>300.7705786153726345300210264</v>
      </c>
      <c r="E30" s="94">
        <v>299.34754168601911951428433365</v>
      </c>
      <c r="F30" s="277">
        <v>286.066795600186620684737452</v>
      </c>
      <c r="G30" s="276">
        <v>310.39730458221024258760107817</v>
      </c>
      <c r="H30" s="94">
        <v>323.98277530926712344410399734</v>
      </c>
      <c r="I30" s="277">
        <v>299.2214190130173001919891596</v>
      </c>
      <c r="J30" s="276">
        <v>0</v>
      </c>
      <c r="K30" s="94">
        <v>167.57609885897671652898435368</v>
      </c>
      <c r="L30" s="277">
        <v>158.62442748826905448915099422</v>
      </c>
      <c r="M30" s="276">
        <v>301.98571039738704409363091998</v>
      </c>
      <c r="N30" s="94">
        <v>301.86262093967413356919627867</v>
      </c>
      <c r="O30" s="277">
        <v>277.56203390639457376197402947</v>
      </c>
      <c r="P30" s="5"/>
      <c r="Q30" s="271">
        <v>-0.5850146271693220715238051300</v>
      </c>
      <c r="R30" s="92">
        <v>-2.4113262811248784690897309200</v>
      </c>
      <c r="S30" s="272">
        <v>-2.143228928888885063625225300</v>
      </c>
      <c r="T30" s="271">
        <v>5.7568963033301671201325584900</v>
      </c>
      <c r="U30" s="92">
        <v>-0.4370983460190888923109611400</v>
      </c>
      <c r="V30" s="272">
        <v>4.0082818860837154299009901200</v>
      </c>
      <c r="W30" s="271">
        <v>0</v>
      </c>
      <c r="X30" s="92">
        <v>-1.8128840375974740058416389300</v>
      </c>
      <c r="Y30" s="272">
        <v>20.822583905195237237811358490</v>
      </c>
      <c r="Z30" s="271">
        <v>0.2181825323999907241947241800</v>
      </c>
      <c r="AA30" s="92">
        <v>-2.2305811132944095212760394100</v>
      </c>
      <c r="AB30" s="272">
        <v>0.7073269888323267448594327100</v>
      </c>
    </row>
    <row r="31" ht="18" customHeight="1">
      <c r="A31" s="58"/>
      <c r="B31" s="425">
        <v>2025</v>
      </c>
      <c r="C31" s="426"/>
      <c r="D31" s="457">
        <v>292.23349794238683127572016461</v>
      </c>
      <c r="E31" s="458">
        <v>298.20371710010971412854927753</v>
      </c>
      <c r="F31" s="459">
        <v>290.03812541668543652590070862</v>
      </c>
      <c r="G31" s="457">
        <v>312.08645054031587697423108894</v>
      </c>
      <c r="H31" s="458">
        <v>321.85913753610704276679156296</v>
      </c>
      <c r="I31" s="459">
        <v>301.92375113032262583117815855</v>
      </c>
      <c r="J31" s="457">
        <v>0</v>
      </c>
      <c r="K31" s="458">
        <v>166.18704846088856947438413101</v>
      </c>
      <c r="L31" s="459">
        <v>165.85246553149499344470687576</v>
      </c>
      <c r="M31" s="457">
        <v>295.51504534212695795548227535</v>
      </c>
      <c r="N31" s="458">
        <v>300.56065385208501528497174321</v>
      </c>
      <c r="O31" s="459">
        <v>280.68914138444152404133790825</v>
      </c>
      <c r="P31" s="93"/>
      <c r="Q31" s="430">
        <v>-2.8384028492127436714320543800</v>
      </c>
      <c r="R31" s="431">
        <v>-0.3821058891775027046883454800</v>
      </c>
      <c r="S31" s="432">
        <v>1.3882526310518297778417891200</v>
      </c>
      <c r="T31" s="430">
        <v>0.5441883460906646351835708700</v>
      </c>
      <c r="U31" s="431">
        <v>-0.6554786041219512088749909500</v>
      </c>
      <c r="V31" s="432">
        <v>0.9031212157994679094561167500</v>
      </c>
      <c r="W31" s="430">
        <v>0</v>
      </c>
      <c r="X31" s="431">
        <v>-0.8289072293538649082676274200</v>
      </c>
      <c r="Y31" s="432">
        <v>4.5566992156539869957534707200</v>
      </c>
      <c r="Z31" s="430">
        <v>-2.1427057084118084790466402400</v>
      </c>
      <c r="AA31" s="431">
        <v>-0.4313111320513795338891060100</v>
      </c>
      <c r="AB31" s="432">
        <v>1.1266337236511435878421969800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310.15950465707027942421676545</v>
      </c>
      <c r="E34" s="455">
        <v>314.21149647779804275617638178</v>
      </c>
      <c r="F34" s="456">
        <v>297.87416388882932412290229966</v>
      </c>
      <c r="G34" s="454">
        <v>296.60179885527391659852820932</v>
      </c>
      <c r="H34" s="455">
        <v>337.2494560777149566474147767</v>
      </c>
      <c r="I34" s="456">
        <v>291.68225859491334329288337862</v>
      </c>
      <c r="J34" s="454">
        <v>0</v>
      </c>
      <c r="K34" s="455">
        <v>170.67015077937629779627253298</v>
      </c>
      <c r="L34" s="456">
        <v>132.8477888722246602353779295</v>
      </c>
      <c r="M34" s="454">
        <v>308.60566020054352919126604817</v>
      </c>
      <c r="N34" s="455">
        <v>316.44259747781902430034489114</v>
      </c>
      <c r="O34" s="456">
        <v>281.03036197082751796928256745</v>
      </c>
      <c r="P34" s="5"/>
      <c r="Q34" s="427">
        <v>-13.471299750097663768868479760</v>
      </c>
      <c r="R34" s="428">
        <v>-17.440328663829182378241555860</v>
      </c>
      <c r="S34" s="429">
        <v>-5.5442288462961725849906148900</v>
      </c>
      <c r="T34" s="427">
        <v>-0.5717913118504793780377371900</v>
      </c>
      <c r="U34" s="428">
        <v>4.6924862905121420169823686300</v>
      </c>
      <c r="V34" s="429">
        <v>2.0104896680977366364839216800</v>
      </c>
      <c r="W34" s="427">
        <v>0</v>
      </c>
      <c r="X34" s="428">
        <v>-55.945174781863282618223378420</v>
      </c>
      <c r="Y34" s="429">
        <v>2.381978120046587505463879800</v>
      </c>
      <c r="Z34" s="427">
        <v>-11.808452825097427195128043790</v>
      </c>
      <c r="AA34" s="428">
        <v>-14.611550517295290138762598970</v>
      </c>
      <c r="AB34" s="429">
        <v>-4.2250489917636365073072229300</v>
      </c>
    </row>
    <row r="35" ht="18" customHeight="1">
      <c r="A35" s="58"/>
      <c r="B35" s="286">
        <v>2024</v>
      </c>
      <c r="C35" s="287"/>
      <c r="D35" s="276">
        <v>305.51808957671415394076047966</v>
      </c>
      <c r="E35" s="94">
        <v>302.12386012080484803171635263</v>
      </c>
      <c r="F35" s="277">
        <v>291.63350482377617669411692474</v>
      </c>
      <c r="G35" s="276">
        <v>316.1735408560311284046692607</v>
      </c>
      <c r="H35" s="94">
        <v>333.72734431268103186038067833</v>
      </c>
      <c r="I35" s="277">
        <v>301.93787083477402837491770387</v>
      </c>
      <c r="J35" s="276">
        <v>0</v>
      </c>
      <c r="K35" s="94">
        <v>167.273385711127073782529349</v>
      </c>
      <c r="L35" s="277">
        <v>160.35949489524623311057287797</v>
      </c>
      <c r="M35" s="276">
        <v>306.75810541568556420938235827</v>
      </c>
      <c r="N35" s="94">
        <v>305.45572428913301440389807068</v>
      </c>
      <c r="O35" s="277">
        <v>282.43488543100795575864305702</v>
      </c>
      <c r="P35" s="5"/>
      <c r="Q35" s="271">
        <v>-1.4964606954467540125608724600</v>
      </c>
      <c r="R35" s="92">
        <v>-3.8469745672877314093507472100</v>
      </c>
      <c r="S35" s="272">
        <v>-2.0950655751915215532072956900</v>
      </c>
      <c r="T35" s="271">
        <v>6.5986592381657767093634990400</v>
      </c>
      <c r="U35" s="92">
        <v>-1.0443639571675090692808017800</v>
      </c>
      <c r="V35" s="272">
        <v>3.5160219511730513918982419400</v>
      </c>
      <c r="W35" s="271">
        <v>0</v>
      </c>
      <c r="X35" s="92">
        <v>-1.99025140176000712025691400</v>
      </c>
      <c r="Y35" s="272">
        <v>20.709193774773762139717467170</v>
      </c>
      <c r="Z35" s="271">
        <v>-0.5986781913248402563359780900</v>
      </c>
      <c r="AA35" s="92">
        <v>-3.4719956403586810490207648200</v>
      </c>
      <c r="AB35" s="272">
        <v>0.4997764121849191764557643800</v>
      </c>
    </row>
    <row r="36" ht="18" customHeight="1">
      <c r="A36" s="58"/>
      <c r="B36" s="425">
        <v>2025</v>
      </c>
      <c r="C36" s="426"/>
      <c r="D36" s="457">
        <v>299.49480476867548944547741442</v>
      </c>
      <c r="E36" s="458">
        <v>305.45997788771123724808036233</v>
      </c>
      <c r="F36" s="459">
        <v>295.47640956263621332912942271</v>
      </c>
      <c r="G36" s="457">
        <v>306.64143192488262910798122066</v>
      </c>
      <c r="H36" s="458">
        <v>327.05296580421536385164990353</v>
      </c>
      <c r="I36" s="459">
        <v>306.22161446043557908873653328</v>
      </c>
      <c r="J36" s="457">
        <v>0</v>
      </c>
      <c r="K36" s="458">
        <v>165.70212892725567374054303943</v>
      </c>
      <c r="L36" s="459">
        <v>167.16573841925541344132486344</v>
      </c>
      <c r="M36" s="457">
        <v>300.6174979256937402046648843</v>
      </c>
      <c r="N36" s="458">
        <v>307.63563743229786510577320088</v>
      </c>
      <c r="O36" s="459">
        <v>285.71265310593664204191456877</v>
      </c>
      <c r="P36" s="93"/>
      <c r="Q36" s="430">
        <v>-1.9714985833964411266251765500</v>
      </c>
      <c r="R36" s="431">
        <v>1.1042218795885029462874765200</v>
      </c>
      <c r="S36" s="432">
        <v>1.3177171605018535047726044300</v>
      </c>
      <c r="T36" s="430">
        <v>-3.0148344815035400275268059100</v>
      </c>
      <c r="U36" s="431">
        <v>-1.9999495463071176801885731900</v>
      </c>
      <c r="V36" s="432">
        <v>1.4187500275443599899529714800</v>
      </c>
      <c r="W36" s="430">
        <v>0</v>
      </c>
      <c r="X36" s="431">
        <v>-0.9393345971714017379220984900</v>
      </c>
      <c r="Y36" s="432">
        <v>4.2443657785923488829206184900</v>
      </c>
      <c r="Z36" s="430">
        <v>-2.0017751386503318450104802400</v>
      </c>
      <c r="AA36" s="431">
        <v>0.7136592867170091426652484200</v>
      </c>
      <c r="AB36" s="432">
        <v>1.1605392407296704563849076600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261.8808997457720791422571018</v>
      </c>
      <c r="E39" s="455">
        <v>260.27311588904226902077967863</v>
      </c>
      <c r="F39" s="456">
        <v>243.73850710653972972845180422</v>
      </c>
      <c r="G39" s="454">
        <v>289.43175303197353914002205072</v>
      </c>
      <c r="H39" s="455">
        <v>282.90002081298299130389622451</v>
      </c>
      <c r="I39" s="456">
        <v>249.02454850294803182713548798</v>
      </c>
      <c r="J39" s="454">
        <v>0</v>
      </c>
      <c r="K39" s="455">
        <v>189.78155782630155967650832004</v>
      </c>
      <c r="L39" s="456">
        <v>124.12569507990289368453025602</v>
      </c>
      <c r="M39" s="454">
        <v>264.9490214375168823514966972</v>
      </c>
      <c r="N39" s="455">
        <v>263.1334713959288311760689953</v>
      </c>
      <c r="O39" s="456">
        <v>232.67033976764668394268667384</v>
      </c>
      <c r="P39" s="5"/>
      <c r="Q39" s="427">
        <v>-5.0011010497738227128299855600</v>
      </c>
      <c r="R39" s="428">
        <v>-8.820775473749485482758305420</v>
      </c>
      <c r="S39" s="429">
        <v>-0.369499901105795993171510100</v>
      </c>
      <c r="T39" s="427">
        <v>3.1842256798479640427886098800</v>
      </c>
      <c r="U39" s="428">
        <v>2.1095623480123777207353722900</v>
      </c>
      <c r="V39" s="429">
        <v>8.613473766190595622929685260</v>
      </c>
      <c r="W39" s="427">
        <v>0</v>
      </c>
      <c r="X39" s="428">
        <v>-30.003719626521294498013624090</v>
      </c>
      <c r="Y39" s="429">
        <v>6.84788489139683951820857800</v>
      </c>
      <c r="Z39" s="427">
        <v>-4.0095043249644541521713745500</v>
      </c>
      <c r="AA39" s="428">
        <v>-7.5454435119394040983846615500</v>
      </c>
      <c r="AB39" s="429">
        <v>0.3811839544733784070649685500</v>
      </c>
    </row>
    <row r="40" ht="18" customHeight="1">
      <c r="A40" s="58"/>
      <c r="B40" s="286">
        <v>2024</v>
      </c>
      <c r="C40" s="287"/>
      <c r="D40" s="276">
        <v>241.72664543524416135881104034</v>
      </c>
      <c r="E40" s="94">
        <v>243.28597969156670567569702536</v>
      </c>
      <c r="F40" s="277">
        <v>233.63117354184624605190083234</v>
      </c>
      <c r="G40" s="276">
        <v>298.77523387493845396356474643</v>
      </c>
      <c r="H40" s="94">
        <v>291.30187276239606930242536934</v>
      </c>
      <c r="I40" s="277">
        <v>257.80759560068376950313288467</v>
      </c>
      <c r="J40" s="276">
        <v>0</v>
      </c>
      <c r="K40" s="94">
        <v>166.05657900235499047654802717</v>
      </c>
      <c r="L40" s="277">
        <v>145.81359286137973515447034608</v>
      </c>
      <c r="M40" s="276">
        <v>247.54056902002107481559536354</v>
      </c>
      <c r="N40" s="94">
        <v>248.29449911219945537075896744</v>
      </c>
      <c r="O40" s="277">
        <v>229.43211905328732318607540323</v>
      </c>
      <c r="P40" s="5"/>
      <c r="Q40" s="271">
        <v>-7.6959619163211115558550567200</v>
      </c>
      <c r="R40" s="92">
        <v>-6.5266580220593681019244696900</v>
      </c>
      <c r="S40" s="272">
        <v>-4.146793908209759582984470200</v>
      </c>
      <c r="T40" s="271">
        <v>3.2282155447904242176330289100</v>
      </c>
      <c r="U40" s="92">
        <v>2.9699014956770841311961290600</v>
      </c>
      <c r="V40" s="272">
        <v>3.5269804324859511071820263100</v>
      </c>
      <c r="W40" s="271">
        <v>0</v>
      </c>
      <c r="X40" s="92">
        <v>-12.501203539313129714763369760</v>
      </c>
      <c r="Y40" s="272">
        <v>17.472528768132323181539986430</v>
      </c>
      <c r="Z40" s="271">
        <v>-6.5704913054700533213040833200</v>
      </c>
      <c r="AA40" s="92">
        <v>-5.6393328469316721354078678100</v>
      </c>
      <c r="AB40" s="272">
        <v>-1.3917634355746138670704651900</v>
      </c>
    </row>
    <row r="41" ht="18" customHeight="1">
      <c r="A41" s="58"/>
      <c r="B41" s="425">
        <v>2025</v>
      </c>
      <c r="C41" s="426"/>
      <c r="D41" s="457">
        <v>228.02922988834812482107071285</v>
      </c>
      <c r="E41" s="458">
        <v>236.53756004437288634208424113</v>
      </c>
      <c r="F41" s="459">
        <v>232.28305438652149879212616043</v>
      </c>
      <c r="G41" s="457">
        <v>270.6931884339219871919270328</v>
      </c>
      <c r="H41" s="458">
        <v>264.86050862037651631353737211</v>
      </c>
      <c r="I41" s="459">
        <v>260.09649949329637268121729302</v>
      </c>
      <c r="J41" s="457">
        <v>0</v>
      </c>
      <c r="K41" s="458">
        <v>184.9935596962615348548875381</v>
      </c>
      <c r="L41" s="459">
        <v>154.79298713625720590424069612</v>
      </c>
      <c r="M41" s="457">
        <v>233.51403338073497492702642018</v>
      </c>
      <c r="N41" s="458">
        <v>239.38703851767458008757234494</v>
      </c>
      <c r="O41" s="459">
        <v>229.44761264533924712959817579</v>
      </c>
      <c r="P41" s="93"/>
      <c r="Q41" s="430">
        <v>-5.6664897335547398419810357900</v>
      </c>
      <c r="R41" s="431">
        <v>-2.7738629475408763744346557100</v>
      </c>
      <c r="S41" s="432">
        <v>-0.5770287992142894277771825600</v>
      </c>
      <c r="T41" s="430">
        <v>-9.399053956639601965077570400</v>
      </c>
      <c r="U41" s="431">
        <v>-9.076963320311486131612589710</v>
      </c>
      <c r="V41" s="432">
        <v>0.8878341568110717999805958800</v>
      </c>
      <c r="W41" s="430">
        <v>0</v>
      </c>
      <c r="X41" s="431">
        <v>11.403932808701208078891417550</v>
      </c>
      <c r="Y41" s="432">
        <v>6.1581325160764521943593138500</v>
      </c>
      <c r="Z41" s="430">
        <v>-5.6663583245345749399431431500</v>
      </c>
      <c r="AA41" s="431">
        <v>-3.5874578882636832650069313200</v>
      </c>
      <c r="AB41" s="432">
        <v>0.0067530178874596764998538800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2023</v>
      </c>
      <c r="C9" s="285" t="s">
        <v>218</v>
      </c>
      <c r="D9" s="434">
        <v>139.93358585858585858585858586</v>
      </c>
      <c r="E9" s="435">
        <v>123.33987692766141484687405666</v>
      </c>
      <c r="F9" s="436">
        <v>114.27547278885104795675111773</v>
      </c>
      <c r="G9" s="434">
        <v>30.02979797979797979797979798</v>
      </c>
      <c r="H9" s="435">
        <v>36.715422274722689982541053727</v>
      </c>
      <c r="I9" s="436">
        <v>35.029533956835497817128249233</v>
      </c>
      <c r="J9" s="434">
        <v>0</v>
      </c>
      <c r="K9" s="435">
        <v>1.315101572059263999239294263</v>
      </c>
      <c r="L9" s="436">
        <v>10.114226199216723826754188872</v>
      </c>
      <c r="M9" s="434">
        <v>169.96338383838383838383838384</v>
      </c>
      <c r="N9" s="435">
        <v>161.37040077444336882865440465</v>
      </c>
      <c r="O9" s="436">
        <v>159.41923294490326960063355583</v>
      </c>
      <c r="P9" s="5"/>
      <c r="Q9" s="415">
        <v>-28.068533480112726479446275390</v>
      </c>
      <c r="R9" s="416">
        <v>-23.926070052128049625354424340</v>
      </c>
      <c r="S9" s="417">
        <v>-5.106740074445827626160888400</v>
      </c>
      <c r="T9" s="415">
        <v>-8.475332871529311229038072060</v>
      </c>
      <c r="U9" s="416">
        <v>13.318297925837075875541259570</v>
      </c>
      <c r="V9" s="417">
        <v>-9.828680946764870840400415390</v>
      </c>
      <c r="W9" s="415">
        <v>0</v>
      </c>
      <c r="X9" s="416">
        <v>0</v>
      </c>
      <c r="Y9" s="417">
        <v>11.649375007788927066990197060</v>
      </c>
      <c r="Z9" s="415">
        <v>-25.240864691475467823792435350</v>
      </c>
      <c r="AA9" s="416">
        <v>-17.046799141574024122878981380</v>
      </c>
      <c r="AB9" s="417">
        <v>-5.2947288688606289886456531600</v>
      </c>
    </row>
    <row r="10" ht="18" customHeight="1">
      <c r="A10" s="58"/>
      <c r="B10" s="286"/>
      <c r="C10" s="287" t="s">
        <v>222</v>
      </c>
      <c r="D10" s="276">
        <v>228.93743890518084066471163245</v>
      </c>
      <c r="E10" s="94">
        <v>210.25337199518934762671781204</v>
      </c>
      <c r="F10" s="277">
        <v>164.79954339142881226004950697</v>
      </c>
      <c r="G10" s="276">
        <v>50.317693059628543499511241447</v>
      </c>
      <c r="H10" s="94">
        <v>39.034661029052172550199534122</v>
      </c>
      <c r="I10" s="277">
        <v>27.264222514467683022057315871</v>
      </c>
      <c r="J10" s="276">
        <v>0</v>
      </c>
      <c r="K10" s="94">
        <v>1.2017924137249414288035419567</v>
      </c>
      <c r="L10" s="277">
        <v>11.400303708237283394169875767</v>
      </c>
      <c r="M10" s="276">
        <v>279.2551319648093841642228739</v>
      </c>
      <c r="N10" s="94">
        <v>250.48982543796646160572088811</v>
      </c>
      <c r="O10" s="277">
        <v>203.4640696141337786762766986</v>
      </c>
      <c r="P10" s="5"/>
      <c r="Q10" s="271">
        <v>-10.174040361701715968425176790</v>
      </c>
      <c r="R10" s="92">
        <v>4.6465115252878062199934203800</v>
      </c>
      <c r="S10" s="272">
        <v>6.0957991880583056804605709100</v>
      </c>
      <c r="T10" s="271">
        <v>137.49927908155043630936756323</v>
      </c>
      <c r="U10" s="92">
        <v>67.487843649816836774496063190</v>
      </c>
      <c r="V10" s="272">
        <v>12.211725962767411058587542510</v>
      </c>
      <c r="W10" s="271">
        <v>0</v>
      </c>
      <c r="X10" s="92">
        <v>0</v>
      </c>
      <c r="Y10" s="272">
        <v>9.962509688035559089128403530</v>
      </c>
      <c r="Z10" s="271">
        <v>1.1595111250441159590923115600</v>
      </c>
      <c r="AA10" s="92">
        <v>11.714263131931096452317604660</v>
      </c>
      <c r="AB10" s="272">
        <v>7.0889142344664051591049087800</v>
      </c>
    </row>
    <row r="11" ht="18" customHeight="1">
      <c r="A11" s="58"/>
      <c r="B11" s="288">
        <v>2024</v>
      </c>
      <c r="C11" s="289" t="s">
        <v>224</v>
      </c>
      <c r="D11" s="439">
        <v>215.36045943304007820136852395</v>
      </c>
      <c r="E11" s="95">
        <v>198.51346247854063443719932806</v>
      </c>
      <c r="F11" s="440">
        <v>147.24293612282865446668693896</v>
      </c>
      <c r="G11" s="439">
        <v>41.423264907135874877810361681</v>
      </c>
      <c r="H11" s="95">
        <v>39.025729104818561375676468223</v>
      </c>
      <c r="I11" s="440">
        <v>53.281347478004830972428825402</v>
      </c>
      <c r="J11" s="439">
        <v>0</v>
      </c>
      <c r="K11" s="95">
        <v>1.0528057310710574425968327728</v>
      </c>
      <c r="L11" s="440">
        <v>11.762491471681237247005357204</v>
      </c>
      <c r="M11" s="439">
        <v>256.78372434017595307917888563</v>
      </c>
      <c r="N11" s="95">
        <v>238.59199731443025325547262905</v>
      </c>
      <c r="O11" s="440">
        <v>212.28677507251472268612112156</v>
      </c>
      <c r="P11" s="5"/>
      <c r="Q11" s="420">
        <v>0.4754385264649683696185938600</v>
      </c>
      <c r="R11" s="91">
        <v>-3.7298482431953254399715428300</v>
      </c>
      <c r="S11" s="421">
        <v>-1.0713619878805934226001436400</v>
      </c>
      <c r="T11" s="420">
        <v>-19.009599166777730955386945370</v>
      </c>
      <c r="U11" s="91">
        <v>1.3705003137926588821365329900</v>
      </c>
      <c r="V11" s="421">
        <v>16.854070544819442952634862030</v>
      </c>
      <c r="W11" s="420">
        <v>0</v>
      </c>
      <c r="X11" s="91">
        <v>0</v>
      </c>
      <c r="Y11" s="421">
        <v>7.774648655640757715778675100</v>
      </c>
      <c r="Z11" s="420">
        <v>-3.2783369263201432682346229400</v>
      </c>
      <c r="AA11" s="91">
        <v>-2.4971917427407654540122811400</v>
      </c>
      <c r="AB11" s="421">
        <v>3.3790435684643358690963652400</v>
      </c>
    </row>
    <row r="12" ht="18" customHeight="1">
      <c r="A12" s="58"/>
      <c r="B12" s="286"/>
      <c r="C12" s="287" t="s">
        <v>225</v>
      </c>
      <c r="D12" s="276">
        <v>258.32236154649947753396029258</v>
      </c>
      <c r="E12" s="94">
        <v>236.64870699230605932821915963</v>
      </c>
      <c r="F12" s="277">
        <v>190.93427259593336482198931447</v>
      </c>
      <c r="G12" s="276">
        <v>67.904649947753396029258098224</v>
      </c>
      <c r="H12" s="94">
        <v>69.831161099578984242078032278</v>
      </c>
      <c r="I12" s="277">
        <v>65.98025791510733823508367659</v>
      </c>
      <c r="J12" s="276">
        <v>0</v>
      </c>
      <c r="K12" s="94">
        <v>1.1791568438560756465158353198</v>
      </c>
      <c r="L12" s="277">
        <v>12.156286927651395035570060718</v>
      </c>
      <c r="M12" s="276">
        <v>326.2270114942528735632183908</v>
      </c>
      <c r="N12" s="94">
        <v>307.65902493574111921681302724</v>
      </c>
      <c r="O12" s="277">
        <v>269.07081743869209809264305177</v>
      </c>
      <c r="P12" s="5"/>
      <c r="Q12" s="271">
        <v>-5.9771778881461756255101006800</v>
      </c>
      <c r="R12" s="92">
        <v>-2.0195473894835789901809029700</v>
      </c>
      <c r="S12" s="272">
        <v>4.7099451471122679688967279700</v>
      </c>
      <c r="T12" s="271">
        <v>33.139309203380393568614385830</v>
      </c>
      <c r="U12" s="92">
        <v>17.343113779793680383898415950</v>
      </c>
      <c r="V12" s="272">
        <v>6.3996203768111536821369289900</v>
      </c>
      <c r="W12" s="271">
        <v>0</v>
      </c>
      <c r="X12" s="92">
        <v>0</v>
      </c>
      <c r="Y12" s="272">
        <v>6.1107951021647019977879615800</v>
      </c>
      <c r="Z12" s="271">
        <v>0.147349829674445464388405100</v>
      </c>
      <c r="AA12" s="92">
        <v>2.1998459626171330759658884400</v>
      </c>
      <c r="AB12" s="272">
        <v>5.1822735734951209993087795500</v>
      </c>
    </row>
    <row r="13" ht="18" customHeight="1">
      <c r="A13" s="58"/>
      <c r="B13" s="288"/>
      <c r="C13" s="289" t="s">
        <v>226</v>
      </c>
      <c r="D13" s="439">
        <v>262.60606060606060606060606061</v>
      </c>
      <c r="E13" s="95">
        <v>247.93391560818903163792126709</v>
      </c>
      <c r="F13" s="440">
        <v>191.96332007326444148940783451</v>
      </c>
      <c r="G13" s="439">
        <v>26.797409579667644183773216031</v>
      </c>
      <c r="H13" s="95">
        <v>21.050182096643320073636862131</v>
      </c>
      <c r="I13" s="440">
        <v>37.568731680811782329639068385</v>
      </c>
      <c r="J13" s="439">
        <v>0</v>
      </c>
      <c r="K13" s="95">
        <v>0.9016956312073697386495340296</v>
      </c>
      <c r="L13" s="440">
        <v>11.745315143013406457357118401</v>
      </c>
      <c r="M13" s="439">
        <v>289.40347018572825024437927664</v>
      </c>
      <c r="N13" s="95">
        <v>269.88579333603972145020766324</v>
      </c>
      <c r="O13" s="440">
        <v>241.2773668970896302764040213</v>
      </c>
      <c r="P13" s="5"/>
      <c r="Q13" s="420">
        <v>1.4674569399131841813854979500</v>
      </c>
      <c r="R13" s="91">
        <v>-1.7314060477064361277353701700</v>
      </c>
      <c r="S13" s="421">
        <v>3.6845217143258745569202693300</v>
      </c>
      <c r="T13" s="420">
        <v>-9.073948158313188001991098550</v>
      </c>
      <c r="U13" s="91">
        <v>-2.7087746813529413722849448800</v>
      </c>
      <c r="V13" s="421">
        <v>-25.911674325340009454473087190</v>
      </c>
      <c r="W13" s="420">
        <v>0</v>
      </c>
      <c r="X13" s="91">
        <v>-17.889434042801494396489985100</v>
      </c>
      <c r="Y13" s="421">
        <v>15.589521633400232107905702690</v>
      </c>
      <c r="Z13" s="420">
        <v>0.3897796024556957236371573900</v>
      </c>
      <c r="AA13" s="91">
        <v>-1.8728072112419145321247059400</v>
      </c>
      <c r="AB13" s="421">
        <v>-1.9241521525875783281678063900</v>
      </c>
    </row>
    <row r="14" ht="18" customHeight="1">
      <c r="A14" s="58"/>
      <c r="B14" s="286"/>
      <c r="C14" s="287" t="s">
        <v>228</v>
      </c>
      <c r="D14" s="276">
        <v>231.69141414141414141414141414</v>
      </c>
      <c r="E14" s="94">
        <v>186.02969566818801606396805741</v>
      </c>
      <c r="F14" s="277">
        <v>142.84320691960108812095569913</v>
      </c>
      <c r="G14" s="276">
        <v>9.26489898989898989898989899</v>
      </c>
      <c r="H14" s="94">
        <v>33.957439466225268256145158854</v>
      </c>
      <c r="I14" s="277">
        <v>47.078710002622908108823278374</v>
      </c>
      <c r="J14" s="276">
        <v>0</v>
      </c>
      <c r="K14" s="94">
        <v>1.5121007481294714075408656927</v>
      </c>
      <c r="L14" s="277">
        <v>10.525992200956692446117366115</v>
      </c>
      <c r="M14" s="276">
        <v>240.95631313131313131313131313</v>
      </c>
      <c r="N14" s="94">
        <v>221.49923588254275572765408196</v>
      </c>
      <c r="O14" s="277">
        <v>200.44790912318068867589634363</v>
      </c>
      <c r="P14" s="5"/>
      <c r="Q14" s="271">
        <v>7.1982465015837297806092978300</v>
      </c>
      <c r="R14" s="92">
        <v>2.4991241477983010612636427900</v>
      </c>
      <c r="S14" s="272">
        <v>-0.2953495820173145116711610500</v>
      </c>
      <c r="T14" s="271">
        <v>-31.601416853324230890499657690</v>
      </c>
      <c r="U14" s="92">
        <v>21.005193913746061954337833840</v>
      </c>
      <c r="V14" s="272">
        <v>26.176894751370751125464790630</v>
      </c>
      <c r="W14" s="271">
        <v>0</v>
      </c>
      <c r="X14" s="92">
        <v>56.043960443521343368049705550</v>
      </c>
      <c r="Y14" s="272">
        <v>14.061041077980493018169073660</v>
      </c>
      <c r="Z14" s="271">
        <v>4.9100138643372400464617334400</v>
      </c>
      <c r="AA14" s="92">
        <v>5.2124177464720894248325341900</v>
      </c>
      <c r="AB14" s="272">
        <v>5.6065062624107300531935657700</v>
      </c>
    </row>
    <row r="15" ht="18" customHeight="1">
      <c r="A15" s="58"/>
      <c r="B15" s="288"/>
      <c r="C15" s="289" t="s">
        <v>229</v>
      </c>
      <c r="D15" s="439">
        <v>156.68792766373411534701857283</v>
      </c>
      <c r="E15" s="95">
        <v>161.8554815838466721727369215</v>
      </c>
      <c r="F15" s="440">
        <v>126.67007378698282340285730635</v>
      </c>
      <c r="G15" s="439">
        <v>33.200391006842619745845552297</v>
      </c>
      <c r="H15" s="95">
        <v>23.361022156644512024604351222</v>
      </c>
      <c r="I15" s="440">
        <v>28.896378023080443574842587664</v>
      </c>
      <c r="J15" s="439">
        <v>0</v>
      </c>
      <c r="K15" s="95">
        <v>1.339943188278762403539344339</v>
      </c>
      <c r="L15" s="440">
        <v>9.690441247066830243090926702</v>
      </c>
      <c r="M15" s="439">
        <v>189.88831867057673509286412512</v>
      </c>
      <c r="N15" s="95">
        <v>186.55644692876994660088061706</v>
      </c>
      <c r="O15" s="440">
        <v>165.25689305713009722079082071</v>
      </c>
      <c r="P15" s="5"/>
      <c r="Q15" s="420">
        <v>-1.3684827470568844136751379100</v>
      </c>
      <c r="R15" s="91">
        <v>2.8310743881139614852206002600</v>
      </c>
      <c r="S15" s="421">
        <v>2.6406693787284090040275035800</v>
      </c>
      <c r="T15" s="420">
        <v>-24.184538458576692041972762200</v>
      </c>
      <c r="U15" s="91">
        <v>11.243964094280121000743520260</v>
      </c>
      <c r="V15" s="421">
        <v>-6.9054560970371236389485417900</v>
      </c>
      <c r="W15" s="420">
        <v>0</v>
      </c>
      <c r="X15" s="91">
        <v>33.718732756738540038010161300</v>
      </c>
      <c r="Y15" s="421">
        <v>4.2958571668179929722678732100</v>
      </c>
      <c r="Z15" s="420">
        <v>-6.2987786642600053603046342500</v>
      </c>
      <c r="AA15" s="91">
        <v>3.9883706615847279645439470600</v>
      </c>
      <c r="AB15" s="421">
        <v>0.9249786787248882516104536700</v>
      </c>
    </row>
    <row r="16" ht="18" customHeight="1">
      <c r="A16" s="58"/>
      <c r="B16" s="286"/>
      <c r="C16" s="287" t="s">
        <v>230</v>
      </c>
      <c r="D16" s="276">
        <v>113.59772727272727272727272727</v>
      </c>
      <c r="E16" s="94">
        <v>123.35698721537085539718381989</v>
      </c>
      <c r="F16" s="277">
        <v>99.18212812160970294241635333</v>
      </c>
      <c r="G16" s="276">
        <v>20.488383838383838383838383838</v>
      </c>
      <c r="H16" s="94">
        <v>13.90542486400986162757166057</v>
      </c>
      <c r="I16" s="277">
        <v>19.509421826443497219931840274</v>
      </c>
      <c r="J16" s="276">
        <v>0</v>
      </c>
      <c r="K16" s="94">
        <v>1.1526624607935327332309667885</v>
      </c>
      <c r="L16" s="277">
        <v>10.733881779931354165657813042</v>
      </c>
      <c r="M16" s="276">
        <v>134.08611111111111111111111111</v>
      </c>
      <c r="N16" s="94">
        <v>138.41507454017424975798644724</v>
      </c>
      <c r="O16" s="277">
        <v>129.42543172798455432800600665</v>
      </c>
      <c r="P16" s="5"/>
      <c r="Q16" s="271">
        <v>-21.118775908137926412348861390</v>
      </c>
      <c r="R16" s="92">
        <v>0.7192371068849607722413674900</v>
      </c>
      <c r="S16" s="272">
        <v>0.1156940597997434797864375800</v>
      </c>
      <c r="T16" s="271">
        <v>33.452858740926134710739071870</v>
      </c>
      <c r="U16" s="92">
        <v>3.3435063133598851852096387200</v>
      </c>
      <c r="V16" s="272">
        <v>-4.1654068874253195435070315800</v>
      </c>
      <c r="W16" s="271">
        <v>0</v>
      </c>
      <c r="X16" s="92">
        <v>2.5316423950345951743364116800</v>
      </c>
      <c r="Y16" s="272">
        <v>13.312718561262282932179610640</v>
      </c>
      <c r="Z16" s="271">
        <v>-15.861538949083926065805710980</v>
      </c>
      <c r="AA16" s="92">
        <v>0.9917425700284491095360454300</v>
      </c>
      <c r="AB16" s="272">
        <v>0.4094205553244274793656375800</v>
      </c>
    </row>
    <row r="17" ht="18" customHeight="1">
      <c r="A17" s="58"/>
      <c r="B17" s="288"/>
      <c r="C17" s="289" t="s">
        <v>233</v>
      </c>
      <c r="D17" s="439">
        <v>121.38269794721407624633431085</v>
      </c>
      <c r="E17" s="95">
        <v>120.62489249041471414101223099</v>
      </c>
      <c r="F17" s="440">
        <v>102.23988066834310003170959968</v>
      </c>
      <c r="G17" s="439">
        <v>10.863391984359726295210166178</v>
      </c>
      <c r="H17" s="95">
        <v>5.5022965532017367411588976567</v>
      </c>
      <c r="I17" s="440">
        <v>13.588393737251185590884323384</v>
      </c>
      <c r="J17" s="439">
        <v>0</v>
      </c>
      <c r="K17" s="95">
        <v>0.6801363162811227367902428545</v>
      </c>
      <c r="L17" s="440">
        <v>10.31724044923929993147753454</v>
      </c>
      <c r="M17" s="439">
        <v>132.24608993157380254154447703</v>
      </c>
      <c r="N17" s="95">
        <v>126.80732535989757361896137151</v>
      </c>
      <c r="O17" s="440">
        <v>126.14551485483358555407145761</v>
      </c>
      <c r="P17" s="5"/>
      <c r="Q17" s="420">
        <v>-20.314380047530342966543661320</v>
      </c>
      <c r="R17" s="91">
        <v>-1.0175678549174946620183535400</v>
      </c>
      <c r="S17" s="421">
        <v>2.3958290833122108227151919800</v>
      </c>
      <c r="T17" s="420">
        <v>2024.9043978107744242892907411</v>
      </c>
      <c r="U17" s="91">
        <v>-20.542929032186303792823454440</v>
      </c>
      <c r="V17" s="421">
        <v>-1.8424266821664746582163741300</v>
      </c>
      <c r="W17" s="420">
        <v>0</v>
      </c>
      <c r="X17" s="91">
        <v>-49.441715389639155087445788420</v>
      </c>
      <c r="Y17" s="421">
        <v>6.6882186867444983964924011300</v>
      </c>
      <c r="Z17" s="420">
        <v>-13.473155381894249131028395710</v>
      </c>
      <c r="AA17" s="91">
        <v>-2.5571467731906610172259625900</v>
      </c>
      <c r="AB17" s="421">
        <v>2.2567039483749288522814639400</v>
      </c>
    </row>
    <row r="18" ht="18" customHeight="1">
      <c r="A18" s="58"/>
      <c r="B18" s="286"/>
      <c r="C18" s="287" t="s">
        <v>234</v>
      </c>
      <c r="D18" s="276">
        <v>113.40933528836754643206256109</v>
      </c>
      <c r="E18" s="94">
        <v>97.5079959831210254435854698</v>
      </c>
      <c r="F18" s="277">
        <v>91.71857508762061368542500009</v>
      </c>
      <c r="G18" s="276">
        <v>4.0994623655913978494623655914</v>
      </c>
      <c r="H18" s="94">
        <v>4.2366404531721471647497968576</v>
      </c>
      <c r="I18" s="277">
        <v>8.579839276519007561529449903</v>
      </c>
      <c r="J18" s="276">
        <v>0</v>
      </c>
      <c r="K18" s="94">
        <v>0.850419617168401884997650312</v>
      </c>
      <c r="L18" s="277">
        <v>10.430664200625065808279909578</v>
      </c>
      <c r="M18" s="276">
        <v>117.50879765395894428152492669</v>
      </c>
      <c r="N18" s="94">
        <v>102.59505605346157449333291697</v>
      </c>
      <c r="O18" s="277">
        <v>110.72907856476468705523435957</v>
      </c>
      <c r="P18" s="5"/>
      <c r="Q18" s="271">
        <v>-6.0885384836776993992807770900</v>
      </c>
      <c r="R18" s="92">
        <v>-0.9866022238481189716323110400</v>
      </c>
      <c r="S18" s="272">
        <v>6.590455285993263985834154300</v>
      </c>
      <c r="T18" s="271">
        <v>65.303508081458961955108982770</v>
      </c>
      <c r="U18" s="92">
        <v>45.064339886141617523987223510</v>
      </c>
      <c r="V18" s="272">
        <v>-23.472900735141750958916275330</v>
      </c>
      <c r="W18" s="271">
        <v>0</v>
      </c>
      <c r="X18" s="92">
        <v>-12.714760807378615066059685660</v>
      </c>
      <c r="Y18" s="272">
        <v>12.204836764804340646589873510</v>
      </c>
      <c r="Z18" s="271">
        <v>-4.6519375141507881124224555800</v>
      </c>
      <c r="AA18" s="92">
        <v>0.215516338738898625676708100</v>
      </c>
      <c r="AB18" s="272">
        <v>3.9170658531523692951509252600</v>
      </c>
    </row>
    <row r="19" ht="18" customHeight="1">
      <c r="A19" s="58"/>
      <c r="B19" s="288"/>
      <c r="C19" s="289" t="s">
        <v>235</v>
      </c>
      <c r="D19" s="439">
        <v>77.685353535353535353535353535</v>
      </c>
      <c r="E19" s="95">
        <v>74.708232423101844522252419503</v>
      </c>
      <c r="F19" s="440">
        <v>81.27392661007620531510681366</v>
      </c>
      <c r="G19" s="439">
        <v>28.641919191919191919191919192</v>
      </c>
      <c r="H19" s="95">
        <v>21.684834967461212920365001843</v>
      </c>
      <c r="I19" s="440">
        <v>17.668586764890891627081154324</v>
      </c>
      <c r="J19" s="439">
        <v>0</v>
      </c>
      <c r="K19" s="95">
        <v>0.9530494213117408794219461966</v>
      </c>
      <c r="L19" s="440">
        <v>8.996896571849059447060271193</v>
      </c>
      <c r="M19" s="439">
        <v>106.32727272727272727272727273</v>
      </c>
      <c r="N19" s="95">
        <v>97.34611681187479832203936754</v>
      </c>
      <c r="O19" s="440">
        <v>107.93940994681615638924823918</v>
      </c>
      <c r="P19" s="5"/>
      <c r="Q19" s="420">
        <v>-27.127023268933386164863025780</v>
      </c>
      <c r="R19" s="91">
        <v>-7.4195715527918011192126776800</v>
      </c>
      <c r="S19" s="421">
        <v>0.2949963156400726175679450800</v>
      </c>
      <c r="T19" s="420">
        <v>854.8913958562807014718702127</v>
      </c>
      <c r="U19" s="91">
        <v>38.073749410485400920749232530</v>
      </c>
      <c r="V19" s="421">
        <v>7.1801190874330899593108753700</v>
      </c>
      <c r="W19" s="420">
        <v>0</v>
      </c>
      <c r="X19" s="91">
        <v>3.4609934215028978701973431300</v>
      </c>
      <c r="Y19" s="421">
        <v>6.9604063942139296506772589100</v>
      </c>
      <c r="Z19" s="420">
        <v>-2.9889707830734737770673180900</v>
      </c>
      <c r="AA19" s="91">
        <v>0.0248673232141538976535149800</v>
      </c>
      <c r="AB19" s="421">
        <v>1.8957184642291084528240522200</v>
      </c>
    </row>
    <row r="20" ht="18" customHeight="1">
      <c r="A20" s="58"/>
      <c r="B20" s="286"/>
      <c r="C20" s="287" t="s">
        <v>236</v>
      </c>
      <c r="D20" s="276">
        <v>128.03616813294232649071358749</v>
      </c>
      <c r="E20" s="94">
        <v>119.5577069570110461993185347</v>
      </c>
      <c r="F20" s="277">
        <v>108.16706533853960094980842484</v>
      </c>
      <c r="G20" s="276">
        <v>21.089442815249266862170087977</v>
      </c>
      <c r="H20" s="94">
        <v>36.071131187817678781838369341</v>
      </c>
      <c r="I20" s="277">
        <v>30.981862094623289692364245806</v>
      </c>
      <c r="J20" s="276">
        <v>0</v>
      </c>
      <c r="K20" s="94">
        <v>0.8501700680182912259442420049</v>
      </c>
      <c r="L20" s="277">
        <v>9.300000775603401836509742528</v>
      </c>
      <c r="M20" s="276">
        <v>149.12561094819159335288367546</v>
      </c>
      <c r="N20" s="94">
        <v>156.47900821284701620710114605</v>
      </c>
      <c r="O20" s="277">
        <v>148.44892820876629247868241316</v>
      </c>
      <c r="P20" s="5"/>
      <c r="Q20" s="271">
        <v>-2.927602019555120982701776100</v>
      </c>
      <c r="R20" s="92">
        <v>9.171102997086250055741913270</v>
      </c>
      <c r="S20" s="272">
        <v>6.6849455480135465237428765500</v>
      </c>
      <c r="T20" s="271">
        <v>76.431623494219511322807689320</v>
      </c>
      <c r="U20" s="92">
        <v>167.77303304047923724638839495</v>
      </c>
      <c r="V20" s="272">
        <v>14.936141450810747902514981940</v>
      </c>
      <c r="W20" s="271">
        <v>0</v>
      </c>
      <c r="X20" s="92">
        <v>-18.719217358955571533845834710</v>
      </c>
      <c r="Y20" s="272">
        <v>8.685235700432383693548690700</v>
      </c>
      <c r="Z20" s="271">
        <v>3.6667697294080710262708322400</v>
      </c>
      <c r="AA20" s="92">
        <v>26.161399253208062618355112310</v>
      </c>
      <c r="AB20" s="272">
        <v>8.434616149726089795227258240</v>
      </c>
    </row>
    <row r="21" ht="18" customHeight="1">
      <c r="A21" s="58"/>
      <c r="B21" s="288"/>
      <c r="C21" s="289" t="s">
        <v>218</v>
      </c>
      <c r="D21" s="439">
        <v>157.0770202020202020202020202</v>
      </c>
      <c r="E21" s="95">
        <v>131.98941265737050048912193439</v>
      </c>
      <c r="F21" s="440">
        <v>113.24392982774551875353945474</v>
      </c>
      <c r="G21" s="439">
        <v>18.493434343434343434343434343</v>
      </c>
      <c r="H21" s="95">
        <v>22.160438299998265663176535098</v>
      </c>
      <c r="I21" s="440">
        <v>35.363260268242278939786596785</v>
      </c>
      <c r="J21" s="439">
        <v>0</v>
      </c>
      <c r="K21" s="95">
        <v>1.5162632730281360742262158795</v>
      </c>
      <c r="L21" s="440">
        <v>11.837395157468423504830630505</v>
      </c>
      <c r="M21" s="439">
        <v>175.57045454545454545454545455</v>
      </c>
      <c r="N21" s="95">
        <v>155.66611423039690222652468538</v>
      </c>
      <c r="O21" s="440">
        <v>160.44458525345622119815668203</v>
      </c>
      <c r="P21" s="5"/>
      <c r="Q21" s="420">
        <v>12.251122014941637062977500630</v>
      </c>
      <c r="R21" s="91">
        <v>7.0127650076550097335158737200</v>
      </c>
      <c r="S21" s="421">
        <v>-0.9026809830487779312683444100</v>
      </c>
      <c r="T21" s="420">
        <v>-38.416387763000493355908239260</v>
      </c>
      <c r="U21" s="91">
        <v>-39.642698007946750302893813450</v>
      </c>
      <c r="V21" s="421">
        <v>0.9526998328149191695288948600</v>
      </c>
      <c r="W21" s="420">
        <v>0</v>
      </c>
      <c r="X21" s="91">
        <v>15.296286248590978642494155640</v>
      </c>
      <c r="Y21" s="421">
        <v>17.037081476432869937614144570</v>
      </c>
      <c r="Z21" s="420">
        <v>3.2989874527243521923216165700</v>
      </c>
      <c r="AA21" s="91">
        <v>-3.5349026318512018266172778100</v>
      </c>
      <c r="AB21" s="421">
        <v>0.6431798030985466287270251900</v>
      </c>
    </row>
    <row r="22" ht="18" customHeight="1">
      <c r="A22" s="58"/>
      <c r="B22" s="286"/>
      <c r="C22" s="287" t="s">
        <v>222</v>
      </c>
      <c r="D22" s="276">
        <v>222.15493646138807429130009775</v>
      </c>
      <c r="E22" s="94">
        <v>204.64564356428842371337914922</v>
      </c>
      <c r="F22" s="277">
        <v>164.37639481346097970550739775</v>
      </c>
      <c r="G22" s="276">
        <v>22.685728250244379276637341153</v>
      </c>
      <c r="H22" s="94">
        <v>23.102237055173960737200937705</v>
      </c>
      <c r="I22" s="277">
        <v>27.113193917334133166314498354</v>
      </c>
      <c r="J22" s="276">
        <v>0</v>
      </c>
      <c r="K22" s="94">
        <v>4.0760699785452975279978102236</v>
      </c>
      <c r="L22" s="277">
        <v>12.980206834425449282384315498</v>
      </c>
      <c r="M22" s="276">
        <v>244.84066471163245356793743891</v>
      </c>
      <c r="N22" s="94">
        <v>231.82395059800768197857789714</v>
      </c>
      <c r="O22" s="277">
        <v>204.46979556522056215420621161</v>
      </c>
      <c r="P22" s="5"/>
      <c r="Q22" s="271">
        <v>-2.962600820663705985934915400</v>
      </c>
      <c r="R22" s="92">
        <v>-2.6671288920111105154771948600</v>
      </c>
      <c r="S22" s="272">
        <v>-0.2567656252141667877102993200</v>
      </c>
      <c r="T22" s="271">
        <v>-54.915007285064274273195218590</v>
      </c>
      <c r="U22" s="92">
        <v>-40.816094091475665389228418470</v>
      </c>
      <c r="V22" s="272">
        <v>-0.5539442655500075792762861500</v>
      </c>
      <c r="W22" s="271">
        <v>0</v>
      </c>
      <c r="X22" s="92">
        <v>239.16589355029788103228149239</v>
      </c>
      <c r="Y22" s="272">
        <v>13.858430149444685496666648340</v>
      </c>
      <c r="Z22" s="271">
        <v>-12.323665105465448187067301180</v>
      </c>
      <c r="AA22" s="92">
        <v>-7.4517497097351775836731192700</v>
      </c>
      <c r="AB22" s="272">
        <v>0.4943015015024872197358038700</v>
      </c>
    </row>
    <row r="23" ht="18" customHeight="1">
      <c r="A23" s="58"/>
      <c r="B23" s="288">
        <v>2025</v>
      </c>
      <c r="C23" s="289" t="s">
        <v>224</v>
      </c>
      <c r="D23" s="439">
        <v>198.52297165200391006842619746</v>
      </c>
      <c r="E23" s="95">
        <v>209.14095367743122586531385847</v>
      </c>
      <c r="F23" s="440">
        <v>147.85284403318150765422889865</v>
      </c>
      <c r="G23" s="439">
        <v>55.80718475073313782991202346</v>
      </c>
      <c r="H23" s="95">
        <v>33.515315912854336070114097421</v>
      </c>
      <c r="I23" s="440">
        <v>58.5062626511138661184411946</v>
      </c>
      <c r="J23" s="439">
        <v>0</v>
      </c>
      <c r="K23" s="95">
        <v>0.9480685416820863173903309612</v>
      </c>
      <c r="L23" s="440">
        <v>13.923425888449306793486389838</v>
      </c>
      <c r="M23" s="439">
        <v>254.33015640273704789833822092</v>
      </c>
      <c r="N23" s="95">
        <v>243.60433813196764825281828686</v>
      </c>
      <c r="O23" s="440">
        <v>220.28253257274468056615648308</v>
      </c>
      <c r="P23" s="5"/>
      <c r="Q23" s="420">
        <v>-7.8182818820714574081607023100</v>
      </c>
      <c r="R23" s="91">
        <v>5.3535367658413777705226186800</v>
      </c>
      <c r="S23" s="421">
        <v>0.4142187913672456099557272100</v>
      </c>
      <c r="T23" s="420">
        <v>34.724254295000575328785787260</v>
      </c>
      <c r="U23" s="91">
        <v>-14.119949372753439115103521540</v>
      </c>
      <c r="V23" s="421">
        <v>9.806274466446717589226647220</v>
      </c>
      <c r="W23" s="420">
        <v>0</v>
      </c>
      <c r="X23" s="91">
        <v>-9.948387088326487797333480800</v>
      </c>
      <c r="Y23" s="421">
        <v>18.371400497491650763586328660</v>
      </c>
      <c r="Z23" s="420">
        <v>-0.955499786354193472357622200</v>
      </c>
      <c r="AA23" s="91">
        <v>2.1008000578337641689586647400</v>
      </c>
      <c r="AB23" s="421">
        <v>3.7664887497179116422165239200</v>
      </c>
    </row>
    <row r="24" ht="18" customHeight="1">
      <c r="A24" s="59"/>
      <c r="B24" s="286"/>
      <c r="C24" s="287" t="s">
        <v>225</v>
      </c>
      <c r="D24" s="276">
        <v>259.83468614718614718614718615</v>
      </c>
      <c r="E24" s="94">
        <v>273.95094241565493154041520346</v>
      </c>
      <c r="F24" s="277">
        <v>196.16256888018625718360290802</v>
      </c>
      <c r="G24" s="276">
        <v>56.427218614718614718614718615</v>
      </c>
      <c r="H24" s="94">
        <v>52.909176161142428548505046857</v>
      </c>
      <c r="I24" s="277">
        <v>69.113041224856906346940198762</v>
      </c>
      <c r="J24" s="276">
        <v>0</v>
      </c>
      <c r="K24" s="94">
        <v>1.3348776201325251275090125816</v>
      </c>
      <c r="L24" s="277">
        <v>14.550355738963917589940075568</v>
      </c>
      <c r="M24" s="276">
        <v>316.26190476190476190476190476</v>
      </c>
      <c r="N24" s="94">
        <v>328.1949961969298852164292629</v>
      </c>
      <c r="O24" s="277">
        <v>279.82596584400708112048318234</v>
      </c>
      <c r="P24" s="93"/>
      <c r="Q24" s="271">
        <v>0.585440838970464891799899400</v>
      </c>
      <c r="R24" s="92">
        <v>15.762704093104831439279436030</v>
      </c>
      <c r="S24" s="272">
        <v>2.7382701980129083759483404900</v>
      </c>
      <c r="T24" s="271">
        <v>-16.902275973595877954753215980</v>
      </c>
      <c r="U24" s="92">
        <v>-24.232713121183520323822436380</v>
      </c>
      <c r="V24" s="272">
        <v>4.7480616304774235214653621600</v>
      </c>
      <c r="W24" s="271">
        <v>0</v>
      </c>
      <c r="X24" s="92">
        <v>13.206112235034548104954825650</v>
      </c>
      <c r="Y24" s="272">
        <v>19.694079495677726803546774170</v>
      </c>
      <c r="Z24" s="271">
        <v>-3.0546540848195071602992651500</v>
      </c>
      <c r="AA24" s="92">
        <v>6.6749126782553686076810081900</v>
      </c>
      <c r="AB24" s="272">
        <v>3.9971441376236687119912181700</v>
      </c>
    </row>
    <row r="25" ht="18" customHeight="1">
      <c r="A25" s="60"/>
      <c r="B25" s="288"/>
      <c r="C25" s="289" t="s">
        <v>226</v>
      </c>
      <c r="D25" s="439">
        <v>223.80351906158357771260997067</v>
      </c>
      <c r="E25" s="95">
        <v>240.50652055963453517307726817</v>
      </c>
      <c r="F25" s="440">
        <v>185.20272970795842563804507516</v>
      </c>
      <c r="G25" s="439">
        <v>47.424242424242424242424242424</v>
      </c>
      <c r="H25" s="95">
        <v>25.079849861213232789294872657</v>
      </c>
      <c r="I25" s="440">
        <v>44.815088846522163420569946277</v>
      </c>
      <c r="J25" s="439">
        <v>0</v>
      </c>
      <c r="K25" s="95">
        <v>0.010305093626203870373073552</v>
      </c>
      <c r="L25" s="440">
        <v>14.179995972565730471908034197</v>
      </c>
      <c r="M25" s="439">
        <v>271.2277614858260019550342131</v>
      </c>
      <c r="N25" s="95">
        <v>265.59667551447397183274521438</v>
      </c>
      <c r="O25" s="440">
        <v>244.19781452704631953052305563</v>
      </c>
      <c r="P25" s="93"/>
      <c r="Q25" s="420">
        <v>-14.775950507371911471581757820</v>
      </c>
      <c r="R25" s="91">
        <v>-2.9957156246032425205264115700</v>
      </c>
      <c r="S25" s="421">
        <v>-3.5218136270825514860356731700</v>
      </c>
      <c r="T25" s="420">
        <v>76.973234234431341423440438560</v>
      </c>
      <c r="U25" s="91">
        <v>19.14314919519912306094322500</v>
      </c>
      <c r="V25" s="421">
        <v>19.288266708842637423045432920</v>
      </c>
      <c r="W25" s="420">
        <v>0</v>
      </c>
      <c r="X25" s="91">
        <v>-98.85714277971053450379925141</v>
      </c>
      <c r="Y25" s="421">
        <v>20.728952777540048947395316360</v>
      </c>
      <c r="Z25" s="420">
        <v>-6.2804045467081948954270206200</v>
      </c>
      <c r="AA25" s="91">
        <v>-1.5892343826287294202337856200</v>
      </c>
      <c r="AB25" s="421">
        <v>1.2104109338990890022043460900</v>
      </c>
    </row>
    <row r="26" ht="18" customHeight="1">
      <c r="A26" s="60"/>
      <c r="B26" s="290"/>
      <c r="C26" s="291" t="s">
        <v>228</v>
      </c>
      <c r="D26" s="443">
        <v>217.70909090909090909090909091</v>
      </c>
      <c r="E26" s="444">
        <v>208.36143320828423732342855533</v>
      </c>
      <c r="F26" s="445">
        <v>147.62536230125842685724551732</v>
      </c>
      <c r="G26" s="443">
        <v>30.278282828282828282828282828</v>
      </c>
      <c r="H26" s="444">
        <v>28.316520647798369969246501146</v>
      </c>
      <c r="I26" s="445">
        <v>51.934052482280502073566833726</v>
      </c>
      <c r="J26" s="443">
        <v>0</v>
      </c>
      <c r="K26" s="444">
        <v>0</v>
      </c>
      <c r="L26" s="445">
        <v>11.464173302513967882172044045</v>
      </c>
      <c r="M26" s="443">
        <v>247.98737373737373737373737374</v>
      </c>
      <c r="N26" s="444">
        <v>236.67795385608260729267505647</v>
      </c>
      <c r="O26" s="445">
        <v>211.02358808605289681298439509</v>
      </c>
      <c r="P26" s="184"/>
      <c r="Q26" s="273">
        <v>-6.0348905392651950782129212800</v>
      </c>
      <c r="R26" s="274">
        <v>12.004393954347383583292623380</v>
      </c>
      <c r="S26" s="275">
        <v>3.3478353537316524135766329200</v>
      </c>
      <c r="T26" s="273">
        <v>226.80639973830556227755040414</v>
      </c>
      <c r="U26" s="274">
        <v>-16.611731941733697050566749760</v>
      </c>
      <c r="V26" s="275">
        <v>10.313244520532439644231947510</v>
      </c>
      <c r="W26" s="273">
        <v>0</v>
      </c>
      <c r="X26" s="274">
        <v>-100</v>
      </c>
      <c r="Y26" s="275">
        <v>8.912994457898590667709768380</v>
      </c>
      <c r="Z26" s="273">
        <v>2.9179814858149940578076020500</v>
      </c>
      <c r="AA26" s="274">
        <v>6.8527179848306794723441415600</v>
      </c>
      <c r="AB26" s="275">
        <v>5.2760235859346558487237195800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240.37070707070707070707070707</v>
      </c>
      <c r="E29" s="455">
        <v>220.1772643324940743033930163</v>
      </c>
      <c r="F29" s="456">
        <v>164.63893081687558498282832222</v>
      </c>
      <c r="G29" s="454">
        <v>36.113194444444444444444444444</v>
      </c>
      <c r="H29" s="455">
        <v>36.436132669783097802462290985</v>
      </c>
      <c r="I29" s="456">
        <v>48.674138074577538782718528615</v>
      </c>
      <c r="J29" s="454">
        <v>0</v>
      </c>
      <c r="K29" s="455">
        <v>0.5259438334762967550675710519</v>
      </c>
      <c r="L29" s="456">
        <v>10.424431470733304571545432396</v>
      </c>
      <c r="M29" s="454">
        <v>276.48390151515151515151515152</v>
      </c>
      <c r="N29" s="455">
        <v>257.13934083575346886092287835</v>
      </c>
      <c r="O29" s="456">
        <v>223.73750036218642833709228323</v>
      </c>
      <c r="P29" s="5"/>
      <c r="Q29" s="427">
        <v>-11.483185401263772916803229100</v>
      </c>
      <c r="R29" s="428">
        <v>-10.858800543906496321294120610</v>
      </c>
      <c r="S29" s="429">
        <v>-4.1861243558054976226129200500</v>
      </c>
      <c r="T29" s="427">
        <v>-1.219659607412629976750888600</v>
      </c>
      <c r="U29" s="428">
        <v>-4.4035536334390631043888609100</v>
      </c>
      <c r="V29" s="429">
        <v>18.769957026493631135645790560</v>
      </c>
      <c r="W29" s="427">
        <v>0</v>
      </c>
      <c r="X29" s="428">
        <v>-9.895301150990778640464704770</v>
      </c>
      <c r="Y29" s="429">
        <v>11.503125094022131413849907480</v>
      </c>
      <c r="Z29" s="427">
        <v>-10.265367921826321658764248570</v>
      </c>
      <c r="AA29" s="428">
        <v>-9.995643194511243655291047860</v>
      </c>
      <c r="AB29" s="429">
        <v>0.7087603838426544995624151400</v>
      </c>
    </row>
    <row r="30" ht="18" customHeight="1">
      <c r="A30" s="58"/>
      <c r="B30" s="286">
        <v>2024</v>
      </c>
      <c r="C30" s="287"/>
      <c r="D30" s="276">
        <v>241.81035562233909341347357876</v>
      </c>
      <c r="E30" s="94">
        <v>217.05769488765691492864930535</v>
      </c>
      <c r="F30" s="277">
        <v>167.86058173150835722160859346</v>
      </c>
      <c r="G30" s="276">
        <v>36.049774605559729526671675432</v>
      </c>
      <c r="H30" s="94">
        <v>40.302907850169066094927107586</v>
      </c>
      <c r="I30" s="277">
        <v>50.551456716767931246794799194</v>
      </c>
      <c r="J30" s="276">
        <v>0</v>
      </c>
      <c r="K30" s="94">
        <v>1.1580746358540458578942227551</v>
      </c>
      <c r="L30" s="277">
        <v>11.535912722752718111501745995</v>
      </c>
      <c r="M30" s="276">
        <v>277.86013022789882294014525419</v>
      </c>
      <c r="N30" s="94">
        <v>258.51867737368002688147063569</v>
      </c>
      <c r="O30" s="277">
        <v>229.94795117102900657990513865</v>
      </c>
      <c r="P30" s="5"/>
      <c r="Q30" s="271">
        <v>0.5989284506350646956638472700</v>
      </c>
      <c r="R30" s="92">
        <v>-1.4168444931407981941575678100</v>
      </c>
      <c r="S30" s="272">
        <v>1.9567977626089262720890343100</v>
      </c>
      <c r="T30" s="271">
        <v>-0.1756140375172622244424329900</v>
      </c>
      <c r="U30" s="92">
        <v>10.612474203591956136475148850</v>
      </c>
      <c r="V30" s="272">
        <v>3.8569119381028893433511729400</v>
      </c>
      <c r="W30" s="271">
        <v>0</v>
      </c>
      <c r="X30" s="92">
        <v>120.18979253875896196703345417</v>
      </c>
      <c r="Y30" s="272">
        <v>10.662272136152113881647314410</v>
      </c>
      <c r="Z30" s="271">
        <v>0.4977608841443389736582238800</v>
      </c>
      <c r="AA30" s="92">
        <v>0.5364159888551716927558072900</v>
      </c>
      <c r="AB30" s="272">
        <v>2.7757755399855400074093581700</v>
      </c>
    </row>
    <row r="31" ht="18" customHeight="1">
      <c r="A31" s="58"/>
      <c r="B31" s="425">
        <v>2025</v>
      </c>
      <c r="C31" s="426"/>
      <c r="D31" s="457">
        <v>224.15637626262626262626262626</v>
      </c>
      <c r="E31" s="458">
        <v>232.17117571029919829187172736</v>
      </c>
      <c r="F31" s="459">
        <v>168.70503714053249898752958898</v>
      </c>
      <c r="G31" s="457">
        <v>47.404040404040404040404040404</v>
      </c>
      <c r="H31" s="458">
        <v>34.561689091183614442310120157</v>
      </c>
      <c r="I31" s="459">
        <v>55.804845953210686425521487754</v>
      </c>
      <c r="J31" s="457">
        <v>0</v>
      </c>
      <c r="K31" s="458">
        <v>0.5590513004855641615909824349</v>
      </c>
      <c r="L31" s="459">
        <v>13.522176110626545286163075986</v>
      </c>
      <c r="M31" s="457">
        <v>271.56041666666666666666666667</v>
      </c>
      <c r="N31" s="458">
        <v>267.29191610196837689577282995</v>
      </c>
      <c r="O31" s="459">
        <v>238.03205920436973069921415271</v>
      </c>
      <c r="P31" s="93"/>
      <c r="Q31" s="430">
        <v>-7.3007540616865414418923566600</v>
      </c>
      <c r="R31" s="431">
        <v>6.9628864484249313406985756700</v>
      </c>
      <c r="S31" s="432">
        <v>0.503069511806673365835528300</v>
      </c>
      <c r="T31" s="430">
        <v>31.496079858087721769975027760</v>
      </c>
      <c r="U31" s="431">
        <v>-14.245172532849624676955364140</v>
      </c>
      <c r="V31" s="432">
        <v>10.392161922931892924994443820</v>
      </c>
      <c r="W31" s="430">
        <v>0</v>
      </c>
      <c r="X31" s="431">
        <v>-51.725797012116033894479802680</v>
      </c>
      <c r="Y31" s="432">
        <v>17.218086124219903725874571990</v>
      </c>
      <c r="Z31" s="430">
        <v>-2.2672247206054097056218913500</v>
      </c>
      <c r="AA31" s="431">
        <v>3.3936575946450006258481906900</v>
      </c>
      <c r="AB31" s="432">
        <v>3.5156251630865854813970886600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249.43709567585972080354102826</v>
      </c>
      <c r="E34" s="455">
        <v>225.04415424229165321215556534</v>
      </c>
      <c r="F34" s="456">
        <v>170.14132791480973533869202516</v>
      </c>
      <c r="G34" s="454">
        <v>30.877085461355124276472591079</v>
      </c>
      <c r="H34" s="455">
        <v>35.717915026906583126226412442</v>
      </c>
      <c r="I34" s="456">
        <v>49.745844939996170367200684349</v>
      </c>
      <c r="J34" s="454">
        <v>0</v>
      </c>
      <c r="K34" s="455">
        <v>0.7091377530017484337989722048</v>
      </c>
      <c r="L34" s="456">
        <v>10.253963824726881478896788921</v>
      </c>
      <c r="M34" s="454">
        <v>280.31418113721484508001361934</v>
      </c>
      <c r="N34" s="455">
        <v>261.47120702219998477218095</v>
      </c>
      <c r="O34" s="456">
        <v>230.14113667953278718478949842</v>
      </c>
      <c r="P34" s="5"/>
      <c r="Q34" s="427">
        <v>-13.553647038061582709776236100</v>
      </c>
      <c r="R34" s="428">
        <v>-15.646389430474838132000563830</v>
      </c>
      <c r="S34" s="429">
        <v>-8.723097384972433802494844770</v>
      </c>
      <c r="T34" s="427">
        <v>-22.100769234112354430470066920</v>
      </c>
      <c r="U34" s="428">
        <v>-23.639804674591609657395339930</v>
      </c>
      <c r="V34" s="429">
        <v>5.6355126909210315904217534800</v>
      </c>
      <c r="W34" s="427">
        <v>0</v>
      </c>
      <c r="X34" s="428">
        <v>3.1652568158603756086614255200</v>
      </c>
      <c r="Y34" s="429">
        <v>10.279400404636363043353048930</v>
      </c>
      <c r="Z34" s="427">
        <v>-14.585950271961154067583039040</v>
      </c>
      <c r="AA34" s="428">
        <v>-16.795048988316601630456980850</v>
      </c>
      <c r="AB34" s="429">
        <v>-5.2103553889685020121976744100</v>
      </c>
    </row>
    <row r="35" ht="18" customHeight="1">
      <c r="A35" s="58"/>
      <c r="B35" s="286">
        <v>2024</v>
      </c>
      <c r="C35" s="287"/>
      <c r="D35" s="276">
        <v>250.92087542087542087542087542</v>
      </c>
      <c r="E35" s="94">
        <v>223.51692190656258566162626372</v>
      </c>
      <c r="F35" s="277">
        <v>174.93986500218600521162810387</v>
      </c>
      <c r="G35" s="276">
        <v>34.198905723905723905723905724</v>
      </c>
      <c r="H35" s="94">
        <v>40.747767862594522794890813432</v>
      </c>
      <c r="I35" s="277">
        <v>49.614120302921238088575024503</v>
      </c>
      <c r="J35" s="276">
        <v>0</v>
      </c>
      <c r="K35" s="94">
        <v>1.1947413330256485643461226366</v>
      </c>
      <c r="L35" s="277">
        <v>11.458114550389843100949997634</v>
      </c>
      <c r="M35" s="276">
        <v>285.11978114478114478114478114</v>
      </c>
      <c r="N35" s="94">
        <v>265.4594311021827570208631998</v>
      </c>
      <c r="O35" s="277">
        <v>236.01209985549708640115312601</v>
      </c>
      <c r="P35" s="5"/>
      <c r="Q35" s="271">
        <v>0.5948512754106686116273789500</v>
      </c>
      <c r="R35" s="92">
        <v>-0.6786367505876546749576303200</v>
      </c>
      <c r="S35" s="272">
        <v>2.8203242246874442234645108400</v>
      </c>
      <c r="T35" s="271">
        <v>10.758205358010202011831212830</v>
      </c>
      <c r="U35" s="92">
        <v>14.082156900553748976226229770</v>
      </c>
      <c r="V35" s="272">
        <v>-0.2647952552371742093581484500</v>
      </c>
      <c r="W35" s="271">
        <v>0</v>
      </c>
      <c r="X35" s="92">
        <v>68.478032366956574140556670740</v>
      </c>
      <c r="Y35" s="272">
        <v>11.743270663675009726699739580</v>
      </c>
      <c r="Z35" s="271">
        <v>1.7143620733297970453147711400</v>
      </c>
      <c r="AA35" s="92">
        <v>1.5253014377388559275229007500</v>
      </c>
      <c r="AB35" s="272">
        <v>2.5510272786099639496862572900</v>
      </c>
    </row>
    <row r="36" ht="18" customHeight="1">
      <c r="A36" s="58"/>
      <c r="B36" s="425">
        <v>2025</v>
      </c>
      <c r="C36" s="426"/>
      <c r="D36" s="457">
        <v>233.08486550902281239359891045</v>
      </c>
      <c r="E36" s="458">
        <v>240.1929384408487167775267154</v>
      </c>
      <c r="F36" s="459">
        <v>175.99619092512686462788867419</v>
      </c>
      <c r="G36" s="457">
        <v>44.477102485529451821586653047</v>
      </c>
      <c r="H36" s="458">
        <v>34.926156153298306909030083132</v>
      </c>
      <c r="I36" s="459">
        <v>54.860271707265322258834098853</v>
      </c>
      <c r="J36" s="457">
        <v>0</v>
      </c>
      <c r="K36" s="458">
        <v>0.4235509131025058826046924988</v>
      </c>
      <c r="L36" s="459">
        <v>13.381875576237731866137732614</v>
      </c>
      <c r="M36" s="457">
        <v>277.5619679945522642151855635</v>
      </c>
      <c r="N36" s="458">
        <v>275.54264550724952956916149102</v>
      </c>
      <c r="O36" s="459">
        <v>244.23833820862991875286050565</v>
      </c>
      <c r="P36" s="93"/>
      <c r="Q36" s="430">
        <v>-7.1082208213878921668750961500</v>
      </c>
      <c r="R36" s="431">
        <v>7.460740060306059508931755500</v>
      </c>
      <c r="S36" s="432">
        <v>0.6038223036890879830091981900</v>
      </c>
      <c r="T36" s="430">
        <v>30.054168529861777252567728460</v>
      </c>
      <c r="U36" s="431">
        <v>-14.286946290977108966489807710</v>
      </c>
      <c r="V36" s="432">
        <v>10.573907936565145404127440780</v>
      </c>
      <c r="W36" s="430">
        <v>0</v>
      </c>
      <c r="X36" s="431">
        <v>-64.548735244727162828919010970</v>
      </c>
      <c r="Y36" s="432">
        <v>16.789507709805308547020167290</v>
      </c>
      <c r="Z36" s="430">
        <v>-2.6507501934456976538941246900</v>
      </c>
      <c r="AA36" s="431">
        <v>3.7984012710279498301836284300</v>
      </c>
      <c r="AB36" s="432">
        <v>3.4855155130463601947580213600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196.698754669987546699875467</v>
      </c>
      <c r="E39" s="455">
        <v>171.66678550483168782125026699</v>
      </c>
      <c r="F39" s="456">
        <v>130.83232626491496511153681025</v>
      </c>
      <c r="G39" s="454">
        <v>27.243109173931091739310917393</v>
      </c>
      <c r="H39" s="455">
        <v>28.389993789283383152219380249</v>
      </c>
      <c r="I39" s="456">
        <v>34.199989279265321574894576597</v>
      </c>
      <c r="J39" s="454">
        <v>0</v>
      </c>
      <c r="K39" s="455">
        <v>0.2511050290884333233773871344</v>
      </c>
      <c r="L39" s="456">
        <v>9.362335641042261632667889473</v>
      </c>
      <c r="M39" s="454">
        <v>223.94186384391863843918638439</v>
      </c>
      <c r="N39" s="455">
        <v>200.30788432320350429684703437</v>
      </c>
      <c r="O39" s="456">
        <v>174.39465118522254831909927633</v>
      </c>
      <c r="P39" s="5"/>
      <c r="Q39" s="427">
        <v>-9.282769811845109287801197180</v>
      </c>
      <c r="R39" s="428">
        <v>-10.034832626213113947907571710</v>
      </c>
      <c r="S39" s="429">
        <v>-3.934826333775853443121839500</v>
      </c>
      <c r="T39" s="427">
        <v>58.839261187537086344920118250</v>
      </c>
      <c r="U39" s="428">
        <v>42.472022896186843374955021880</v>
      </c>
      <c r="V39" s="429">
        <v>52.902185833002348557380780570</v>
      </c>
      <c r="W39" s="427">
        <v>0</v>
      </c>
      <c r="X39" s="428">
        <v>-39.966466238890189653250347880</v>
      </c>
      <c r="Y39" s="429">
        <v>34.809678742990935618493125320</v>
      </c>
      <c r="Z39" s="427">
        <v>-4.2891886936373646007539174600</v>
      </c>
      <c r="AA39" s="428">
        <v>-5.1391568289568310871377614400</v>
      </c>
      <c r="AB39" s="429">
        <v>5.3723092719634569159573096900</v>
      </c>
    </row>
    <row r="40" ht="18" customHeight="1">
      <c r="A40" s="58"/>
      <c r="B40" s="286">
        <v>2024</v>
      </c>
      <c r="C40" s="287"/>
      <c r="D40" s="276">
        <v>179.10347325716178175194568637</v>
      </c>
      <c r="E40" s="94">
        <v>157.43868409709417941906091481</v>
      </c>
      <c r="F40" s="277">
        <v>128.95028391213106375645299599</v>
      </c>
      <c r="G40" s="276">
        <v>25.120570458685212783573439311</v>
      </c>
      <c r="H40" s="94">
        <v>25.743850842795341449148755019</v>
      </c>
      <c r="I40" s="277">
        <v>32.151293274754395363044657441</v>
      </c>
      <c r="J40" s="276">
        <v>0</v>
      </c>
      <c r="K40" s="94">
        <v>1.1299551004010973132463897923</v>
      </c>
      <c r="L40" s="277">
        <v>10.212261297394754170412452479</v>
      </c>
      <c r="M40" s="276">
        <v>204.22404371584699453551912568</v>
      </c>
      <c r="N40" s="94">
        <v>184.31249004029061818145605962</v>
      </c>
      <c r="O40" s="277">
        <v>171.31383848428021328991010591</v>
      </c>
      <c r="P40" s="5"/>
      <c r="Q40" s="271">
        <v>-8.945293752549520525164346550</v>
      </c>
      <c r="R40" s="92">
        <v>-8.288208674652433894706887470</v>
      </c>
      <c r="S40" s="272">
        <v>-1.4385147818577425478209750700</v>
      </c>
      <c r="T40" s="271">
        <v>-7.791103070013260886169416300</v>
      </c>
      <c r="U40" s="92">
        <v>-9.320688712168624154660039990</v>
      </c>
      <c r="V40" s="272">
        <v>-5.9903410723745613538448585400</v>
      </c>
      <c r="W40" s="271">
        <v>0</v>
      </c>
      <c r="X40" s="92">
        <v>349.99301863886776023411384249</v>
      </c>
      <c r="Y40" s="272">
        <v>9.078137005393376394253247630</v>
      </c>
      <c r="Z40" s="271">
        <v>-8.804883459305951184034738640</v>
      </c>
      <c r="AA40" s="92">
        <v>-7.985404237558894747624408310</v>
      </c>
      <c r="AB40" s="272">
        <v>-1.7665752246312241503742376600</v>
      </c>
    </row>
    <row r="41" ht="18" customHeight="1">
      <c r="A41" s="58"/>
      <c r="B41" s="425">
        <v>2025</v>
      </c>
      <c r="C41" s="426"/>
      <c r="D41" s="457">
        <v>165.31882523868825238688252387</v>
      </c>
      <c r="E41" s="458">
        <v>163.26609148506941955904754518</v>
      </c>
      <c r="F41" s="459">
        <v>130.40484111896677024353274328</v>
      </c>
      <c r="G41" s="457">
        <v>28.951473640514736405147364051</v>
      </c>
      <c r="H41" s="458">
        <v>23.946292560198424762593789808</v>
      </c>
      <c r="I41" s="459">
        <v>33.729380387318977522667817657</v>
      </c>
      <c r="J41" s="457">
        <v>0</v>
      </c>
      <c r="K41" s="458">
        <v>1.1436830819981318880949033969</v>
      </c>
      <c r="L41" s="459">
        <v>11.541650066880326502158903257</v>
      </c>
      <c r="M41" s="457">
        <v>194.27029887920298879202988792</v>
      </c>
      <c r="N41" s="458">
        <v>188.35606712726597620973623838</v>
      </c>
      <c r="O41" s="459">
        <v>175.67587157316607426835946419</v>
      </c>
      <c r="P41" s="93"/>
      <c r="Q41" s="430">
        <v>-7.6964716361007821244573322700</v>
      </c>
      <c r="R41" s="431">
        <v>3.7013821738851535803011800200</v>
      </c>
      <c r="S41" s="432">
        <v>1.1279984523789655889194117900</v>
      </c>
      <c r="T41" s="430">
        <v>15.250064436685516427656299990</v>
      </c>
      <c r="U41" s="431">
        <v>-6.9824762953220478694212044800</v>
      </c>
      <c r="V41" s="432">
        <v>4.9083161259826309581625466300</v>
      </c>
      <c r="W41" s="430">
        <v>0</v>
      </c>
      <c r="X41" s="431">
        <v>1.214913901735762110190072900</v>
      </c>
      <c r="Y41" s="432">
        <v>13.01757495980624243441426200</v>
      </c>
      <c r="Z41" s="430">
        <v>-4.8739338696322805484475928800</v>
      </c>
      <c r="AA41" s="431">
        <v>2.1938703590200785931822345300</v>
      </c>
      <c r="AB41" s="432">
        <v>2.5462234268166440893621546600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185</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2023</v>
      </c>
      <c r="C9" s="285" t="s">
        <v>218</v>
      </c>
      <c r="D9" s="415">
        <v>98.27193275898486660084770840</v>
      </c>
      <c r="E9" s="416">
        <v>115.44867553582911746192027135</v>
      </c>
      <c r="F9" s="417">
        <v>113.45364479373758721336398075</v>
      </c>
      <c r="G9" s="415">
        <v>90.50448680565900772388972500</v>
      </c>
      <c r="H9" s="416">
        <v>90.37197488203738664363743519</v>
      </c>
      <c r="I9" s="417">
        <v>81.79069208334020686196729464</v>
      </c>
      <c r="J9" s="415">
        <v>0</v>
      </c>
      <c r="K9" s="416">
        <v>0</v>
      </c>
      <c r="L9" s="417">
        <v>0</v>
      </c>
      <c r="M9" s="415">
        <v>95.90005953648293069104080002</v>
      </c>
      <c r="N9" s="416">
        <v>109.82788355331379457207540953</v>
      </c>
      <c r="O9" s="417">
        <v>105.32500571526562128173531988</v>
      </c>
      <c r="P9" s="5"/>
      <c r="Q9" s="415">
        <v>-13.890221903981443192546806900</v>
      </c>
      <c r="R9" s="416">
        <v>9.807143059585408733081803310</v>
      </c>
      <c r="S9" s="417">
        <v>-5.4453127777762215032532258300</v>
      </c>
      <c r="T9" s="415">
        <v>-12.801703980517907217023933370</v>
      </c>
      <c r="U9" s="416">
        <v>-7.3745956017077170805993456200</v>
      </c>
      <c r="V9" s="417">
        <v>-19.232225683081936043190169240</v>
      </c>
      <c r="W9" s="415">
        <v>0</v>
      </c>
      <c r="X9" s="416">
        <v>0</v>
      </c>
      <c r="Y9" s="417">
        <v>0</v>
      </c>
      <c r="Z9" s="415">
        <v>-14.773855427964521571568224040</v>
      </c>
      <c r="AA9" s="416">
        <v>5.7446194399663679051849703200</v>
      </c>
      <c r="AB9" s="417">
        <v>-9.877937758988491760905459530</v>
      </c>
    </row>
    <row r="10" ht="18.95" customHeight="1">
      <c r="A10" s="58"/>
      <c r="B10" s="286"/>
      <c r="C10" s="287" t="s">
        <v>222</v>
      </c>
      <c r="D10" s="271">
        <v>104.18557740797906462021576776</v>
      </c>
      <c r="E10" s="92">
        <v>104.51202136279952347102067259</v>
      </c>
      <c r="F10" s="272">
        <v>108.88645291758145520004099734</v>
      </c>
      <c r="G10" s="271">
        <v>134.97866666728825962410952915</v>
      </c>
      <c r="H10" s="92">
        <v>95.50039665138473760025312093</v>
      </c>
      <c r="I10" s="272">
        <v>128.90516206126944804178479241</v>
      </c>
      <c r="J10" s="271">
        <v>0</v>
      </c>
      <c r="K10" s="92">
        <v>0</v>
      </c>
      <c r="L10" s="272">
        <v>0</v>
      </c>
      <c r="M10" s="271">
        <v>107.11223746104388864912452583</v>
      </c>
      <c r="N10" s="92">
        <v>104.08112590229057603390952281</v>
      </c>
      <c r="O10" s="272">
        <v>111.48362272859231572100325075</v>
      </c>
      <c r="P10" s="5"/>
      <c r="Q10" s="271">
        <v>-10.161502223685968445442374130</v>
      </c>
      <c r="R10" s="92">
        <v>-4.453533869431029829110234900</v>
      </c>
      <c r="S10" s="272">
        <v>-14.162490149946115812038581350</v>
      </c>
      <c r="T10" s="271">
        <v>45.780095999803775892575299150</v>
      </c>
      <c r="U10" s="92">
        <v>-2.7295841473241898464673142700</v>
      </c>
      <c r="V10" s="272">
        <v>41.800905609684828058394809950</v>
      </c>
      <c r="W10" s="271">
        <v>0</v>
      </c>
      <c r="X10" s="92">
        <v>0</v>
      </c>
      <c r="Y10" s="272">
        <v>0</v>
      </c>
      <c r="Z10" s="271">
        <v>-5.9875969667130121878236067600</v>
      </c>
      <c r="AA10" s="92">
        <v>-3.6807831322099611936775789300</v>
      </c>
      <c r="AB10" s="272">
        <v>-9.447989639821703282209803040</v>
      </c>
    </row>
    <row r="11" ht="18.95" customHeight="1">
      <c r="A11" s="58"/>
      <c r="B11" s="288">
        <v>2024</v>
      </c>
      <c r="C11" s="289" t="s">
        <v>224</v>
      </c>
      <c r="D11" s="420">
        <v>110.37013016701791247037045946</v>
      </c>
      <c r="E11" s="91">
        <v>98.29342086065174398991498235</v>
      </c>
      <c r="F11" s="421">
        <v>108.48657654962050352607039546</v>
      </c>
      <c r="G11" s="420">
        <v>106.33329721512302751690527647</v>
      </c>
      <c r="H11" s="91">
        <v>99.82148348721965630183629923</v>
      </c>
      <c r="I11" s="421">
        <v>106.14347472124739391785120236</v>
      </c>
      <c r="J11" s="420">
        <v>0</v>
      </c>
      <c r="K11" s="91">
        <v>0</v>
      </c>
      <c r="L11" s="421">
        <v>0</v>
      </c>
      <c r="M11" s="420">
        <v>108.88476955993084577928047706</v>
      </c>
      <c r="N11" s="91">
        <v>98.84267365398966013427742065</v>
      </c>
      <c r="O11" s="421">
        <v>107.62461743501151711450852889</v>
      </c>
      <c r="P11" s="5"/>
      <c r="Q11" s="420">
        <v>3.988731015982737122915293800</v>
      </c>
      <c r="R11" s="91">
        <v>0.3649275486407058865436021800</v>
      </c>
      <c r="S11" s="421">
        <v>4.3682145430714839945675827800</v>
      </c>
      <c r="T11" s="420">
        <v>-22.460820141973856930848133710</v>
      </c>
      <c r="U11" s="91">
        <v>3.0387912414675589003697785800</v>
      </c>
      <c r="V11" s="421">
        <v>-20.104566335767638598143230050</v>
      </c>
      <c r="W11" s="420">
        <v>0</v>
      </c>
      <c r="X11" s="91">
        <v>0</v>
      </c>
      <c r="Y11" s="421">
        <v>0</v>
      </c>
      <c r="Z11" s="420">
        <v>-1.7689128880516408177466500900</v>
      </c>
      <c r="AA11" s="91">
        <v>0.98518854320669589672486900</v>
      </c>
      <c r="AB11" s="421">
        <v>-0.8011514719722847171580795700</v>
      </c>
    </row>
    <row r="12" ht="18.95" customHeight="1">
      <c r="A12" s="58"/>
      <c r="B12" s="286"/>
      <c r="C12" s="287" t="s">
        <v>225</v>
      </c>
      <c r="D12" s="271">
        <v>105.11414422118576421656722246</v>
      </c>
      <c r="E12" s="92">
        <v>103.84765820249271898651679227</v>
      </c>
      <c r="F12" s="272">
        <v>109.15857721331420077413965589</v>
      </c>
      <c r="G12" s="271">
        <v>113.55631582671044934345665427</v>
      </c>
      <c r="H12" s="92">
        <v>85.63256591223882316349963954</v>
      </c>
      <c r="I12" s="272">
        <v>97.24118699802395348865278146</v>
      </c>
      <c r="J12" s="271">
        <v>0</v>
      </c>
      <c r="K12" s="92">
        <v>0</v>
      </c>
      <c r="L12" s="272">
        <v>0</v>
      </c>
      <c r="M12" s="271">
        <v>106.03870213308346408031013391</v>
      </c>
      <c r="N12" s="92">
        <v>99.99674300513890120185601459</v>
      </c>
      <c r="O12" s="272">
        <v>106.03524845807254908961602536</v>
      </c>
      <c r="P12" s="5"/>
      <c r="Q12" s="271">
        <v>-7.5118170522882661880942483300</v>
      </c>
      <c r="R12" s="92">
        <v>3.7546557853865702892670018600</v>
      </c>
      <c r="S12" s="272">
        <v>-4.0392041404499960303892369800</v>
      </c>
      <c r="T12" s="271">
        <v>22.222780845104030166517865270</v>
      </c>
      <c r="U12" s="92">
        <v>-7.1682515588309705568365585100</v>
      </c>
      <c r="V12" s="272">
        <v>13.461544452614128109249184950</v>
      </c>
      <c r="W12" s="271">
        <v>0</v>
      </c>
      <c r="X12" s="92">
        <v>0</v>
      </c>
      <c r="Y12" s="272">
        <v>0</v>
      </c>
      <c r="Z12" s="271">
        <v>-3.3077040399014862634932193300</v>
      </c>
      <c r="AA12" s="92">
        <v>1.3438379535191360758374382200</v>
      </c>
      <c r="AB12" s="272">
        <v>-2.0083162685558228168462950500</v>
      </c>
    </row>
    <row r="13" ht="18.95" customHeight="1">
      <c r="A13" s="58"/>
      <c r="B13" s="288"/>
      <c r="C13" s="289" t="s">
        <v>226</v>
      </c>
      <c r="D13" s="420">
        <v>103.93089038890345958344222533</v>
      </c>
      <c r="E13" s="91">
        <v>101.91172615323132038815391728</v>
      </c>
      <c r="F13" s="421">
        <v>105.91776440180390930737922006</v>
      </c>
      <c r="G13" s="420">
        <v>131.11609150330672331561253547</v>
      </c>
      <c r="H13" s="91">
        <v>97.09144449180325089762079409</v>
      </c>
      <c r="I13" s="421">
        <v>127.30250720251930470786222980</v>
      </c>
      <c r="J13" s="420">
        <v>0</v>
      </c>
      <c r="K13" s="91">
        <v>0</v>
      </c>
      <c r="L13" s="421">
        <v>0</v>
      </c>
      <c r="M13" s="420">
        <v>105.31149678863917305561478073</v>
      </c>
      <c r="N13" s="91">
        <v>101.82347744307969505460128750</v>
      </c>
      <c r="O13" s="421">
        <v>107.23182817756891247986059448</v>
      </c>
      <c r="P13" s="5"/>
      <c r="Q13" s="420">
        <v>-1.0004881055346400527984573700</v>
      </c>
      <c r="R13" s="91">
        <v>4.2987204271805842290655380100</v>
      </c>
      <c r="S13" s="421">
        <v>3.2552241351285010830072022500</v>
      </c>
      <c r="T13" s="420">
        <v>-18.198969391845893697660562800</v>
      </c>
      <c r="U13" s="91">
        <v>14.249914904561287696734589770</v>
      </c>
      <c r="V13" s="421">
        <v>-6.5423921385823718311817732200</v>
      </c>
      <c r="W13" s="420">
        <v>0</v>
      </c>
      <c r="X13" s="91">
        <v>0</v>
      </c>
      <c r="Y13" s="421">
        <v>0</v>
      </c>
      <c r="Z13" s="420">
        <v>-2.8832668701611727014212854200</v>
      </c>
      <c r="AA13" s="91">
        <v>5.3430918985152789770739016700</v>
      </c>
      <c r="AB13" s="421">
        <v>2.3057694298863420639978163800</v>
      </c>
    </row>
    <row r="14" ht="18.95" customHeight="1">
      <c r="A14" s="58"/>
      <c r="B14" s="286"/>
      <c r="C14" s="287" t="s">
        <v>228</v>
      </c>
      <c r="D14" s="271">
        <v>124.96352841048707709648458798</v>
      </c>
      <c r="E14" s="92">
        <v>99.66539342966009154235651225</v>
      </c>
      <c r="F14" s="272">
        <v>124.54539223385913227858310054</v>
      </c>
      <c r="G14" s="271">
        <v>27.390151515048081289872798900</v>
      </c>
      <c r="H14" s="92">
        <v>99.61192180000463764179690823</v>
      </c>
      <c r="I14" s="272">
        <v>27.283856308191120626625861360</v>
      </c>
      <c r="J14" s="271">
        <v>0</v>
      </c>
      <c r="K14" s="92">
        <v>0</v>
      </c>
      <c r="L14" s="272">
        <v>0</v>
      </c>
      <c r="M14" s="271">
        <v>109.57900773584362673789871025</v>
      </c>
      <c r="N14" s="92">
        <v>99.27472977908507581464102845</v>
      </c>
      <c r="O14" s="272">
        <v>108.78426382433871749640224772</v>
      </c>
      <c r="P14" s="5"/>
      <c r="Q14" s="271">
        <v>4.4909215133688523005325188400</v>
      </c>
      <c r="R14" s="92">
        <v>0.0896032624274512011335236700</v>
      </c>
      <c r="S14" s="272">
        <v>4.5845487879184249055191815600</v>
      </c>
      <c r="T14" s="271">
        <v>-56.392703862624415614434753650</v>
      </c>
      <c r="U14" s="92">
        <v>29.623556902942099707186584510</v>
      </c>
      <c r="V14" s="272">
        <v>-43.474671677609104204782486830</v>
      </c>
      <c r="W14" s="271">
        <v>0</v>
      </c>
      <c r="X14" s="92">
        <v>0</v>
      </c>
      <c r="Y14" s="272">
        <v>0</v>
      </c>
      <c r="Z14" s="271">
        <v>-2.0484784724297520081551411600</v>
      </c>
      <c r="AA14" s="92">
        <v>1.7978855360161679421536155100</v>
      </c>
      <c r="AB14" s="272">
        <v>-0.2874222345595789568502145400</v>
      </c>
    </row>
    <row r="15" ht="18.95" customHeight="1">
      <c r="A15" s="58"/>
      <c r="B15" s="288"/>
      <c r="C15" s="289" t="s">
        <v>229</v>
      </c>
      <c r="D15" s="420">
        <v>104.42586115647414947187962708</v>
      </c>
      <c r="E15" s="91">
        <v>92.70433842713327080229743603</v>
      </c>
      <c r="F15" s="421">
        <v>96.80730373200835636795876462</v>
      </c>
      <c r="G15" s="420">
        <v>99.87872081176939681428789038</v>
      </c>
      <c r="H15" s="91">
        <v>142.29131260245879280211315883</v>
      </c>
      <c r="I15" s="421">
        <v>142.11874285416395068770880623</v>
      </c>
      <c r="J15" s="420">
        <v>0</v>
      </c>
      <c r="K15" s="91">
        <v>0</v>
      </c>
      <c r="L15" s="421">
        <v>0</v>
      </c>
      <c r="M15" s="420">
        <v>102.93771617951115940957802698</v>
      </c>
      <c r="N15" s="91">
        <v>98.88113864024373847366527997</v>
      </c>
      <c r="O15" s="421">
        <v>101.78598584858788451146837016</v>
      </c>
      <c r="P15" s="5"/>
      <c r="Q15" s="420">
        <v>-2.1708140403605057877343781400</v>
      </c>
      <c r="R15" s="91">
        <v>-1.9555756889216704132756299700</v>
      </c>
      <c r="S15" s="421">
        <v>-4.0839378175716921714103475100</v>
      </c>
      <c r="T15" s="420">
        <v>-37.847897862687345668523795050</v>
      </c>
      <c r="U15" s="91">
        <v>9.654259090816480364634520230</v>
      </c>
      <c r="V15" s="421">
        <v>-31.847572891815661923906063820</v>
      </c>
      <c r="W15" s="420">
        <v>0</v>
      </c>
      <c r="X15" s="91">
        <v>0</v>
      </c>
      <c r="Y15" s="421">
        <v>0</v>
      </c>
      <c r="Z15" s="420">
        <v>-6.8008746428651369166940682400</v>
      </c>
      <c r="AA15" s="91">
        <v>-3.317328652342090785563840800</v>
      </c>
      <c r="AB15" s="421">
        <v>-9.892595931994835599410070310</v>
      </c>
    </row>
    <row r="16" ht="18.95" customHeight="1">
      <c r="A16" s="58"/>
      <c r="B16" s="286"/>
      <c r="C16" s="287" t="s">
        <v>230</v>
      </c>
      <c r="D16" s="271">
        <v>98.03753981315329871554418685</v>
      </c>
      <c r="E16" s="92">
        <v>93.93198158701681180553123986</v>
      </c>
      <c r="F16" s="272">
        <v>92.08860384565684961462934661</v>
      </c>
      <c r="G16" s="271">
        <v>158.20439765058436504985952040</v>
      </c>
      <c r="H16" s="92">
        <v>93.13327767312501731757328428</v>
      </c>
      <c r="I16" s="272">
        <v>147.34094095482531517304082740</v>
      </c>
      <c r="J16" s="271">
        <v>0</v>
      </c>
      <c r="K16" s="92">
        <v>0</v>
      </c>
      <c r="L16" s="272">
        <v>0</v>
      </c>
      <c r="M16" s="271">
        <v>103.31318891772789131122473716</v>
      </c>
      <c r="N16" s="92">
        <v>93.76583756202069090205137525</v>
      </c>
      <c r="O16" s="272">
        <v>96.87247690074997965413775744</v>
      </c>
      <c r="P16" s="5"/>
      <c r="Q16" s="271">
        <v>-21.149666343784507274082546040</v>
      </c>
      <c r="R16" s="92">
        <v>-0.6752047471550341029555848400</v>
      </c>
      <c r="S16" s="272">
        <v>-21.682067539734195127751017470</v>
      </c>
      <c r="T16" s="271">
        <v>29.506065606898851380037083630</v>
      </c>
      <c r="U16" s="92">
        <v>-0.2863579546252215086811818200</v>
      </c>
      <c r="V16" s="272">
        <v>29.135214685064332747613738570</v>
      </c>
      <c r="W16" s="271">
        <v>0</v>
      </c>
      <c r="X16" s="92">
        <v>0</v>
      </c>
      <c r="Y16" s="272">
        <v>0</v>
      </c>
      <c r="Z16" s="271">
        <v>-15.975520899520004219525628770</v>
      </c>
      <c r="AA16" s="92">
        <v>-0.8476824758305974504213562800</v>
      </c>
      <c r="AB16" s="272">
        <v>-16.687781684185680644880262120</v>
      </c>
    </row>
    <row r="17" ht="18.95" customHeight="1">
      <c r="A17" s="58"/>
      <c r="B17" s="288"/>
      <c r="C17" s="289" t="s">
        <v>233</v>
      </c>
      <c r="D17" s="420">
        <v>101.80599173560887538346173343</v>
      </c>
      <c r="E17" s="91">
        <v>98.84313422768335740433664115</v>
      </c>
      <c r="F17" s="421">
        <v>100.62823306298439737086672471</v>
      </c>
      <c r="G17" s="420">
        <v>138.52490421655971843487276617</v>
      </c>
      <c r="H17" s="91">
        <v>142.52583644101548795830569372</v>
      </c>
      <c r="I17" s="421">
        <v>197.43377841097723796909664135</v>
      </c>
      <c r="J17" s="420">
        <v>0</v>
      </c>
      <c r="K17" s="91">
        <v>0</v>
      </c>
      <c r="L17" s="421">
        <v>0</v>
      </c>
      <c r="M17" s="420">
        <v>102.61057668233609177473840874</v>
      </c>
      <c r="N17" s="91">
        <v>101.63572031250866445126059555</v>
      </c>
      <c r="O17" s="421">
        <v>104.28899872798175982305290599</v>
      </c>
      <c r="P17" s="5"/>
      <c r="Q17" s="420">
        <v>-20.892024141358681185688846620</v>
      </c>
      <c r="R17" s="91">
        <v>1.7657324150495457240456994900</v>
      </c>
      <c r="S17" s="421">
        <v>-19.495188968799372678916563980</v>
      </c>
      <c r="T17" s="420">
        <v>1241.2024757163147529417057452</v>
      </c>
      <c r="U17" s="91">
        <v>99.39418897603908791015084666</v>
      </c>
      <c r="V17" s="421">
        <v>2574.2797989203378522692673407</v>
      </c>
      <c r="W17" s="420">
        <v>0</v>
      </c>
      <c r="X17" s="91">
        <v>0</v>
      </c>
      <c r="Y17" s="421">
        <v>0</v>
      </c>
      <c r="Z17" s="420">
        <v>-15.744744667672389915657370610</v>
      </c>
      <c r="AA17" s="91">
        <v>5.3910849631320277215804956800</v>
      </c>
      <c r="AB17" s="421">
        <v>-11.202472266787617044254462120</v>
      </c>
    </row>
    <row r="18" ht="18.95" customHeight="1">
      <c r="A18" s="58"/>
      <c r="B18" s="286"/>
      <c r="C18" s="287" t="s">
        <v>234</v>
      </c>
      <c r="D18" s="271">
        <v>114.03313517384291724980978159</v>
      </c>
      <c r="E18" s="92">
        <v>101.99467758092531434777375327</v>
      </c>
      <c r="F18" s="272">
        <v>116.30772855594689132778155519</v>
      </c>
      <c r="G18" s="271">
        <v>96.40425999201720389279931116</v>
      </c>
      <c r="H18" s="92">
        <v>100.37118921855160495967180007</v>
      </c>
      <c r="I18" s="272">
        <v>96.76210220990102142714359690</v>
      </c>
      <c r="J18" s="271">
        <v>0</v>
      </c>
      <c r="K18" s="92">
        <v>0</v>
      </c>
      <c r="L18" s="272">
        <v>0</v>
      </c>
      <c r="M18" s="271">
        <v>112.48064823551672040338825554</v>
      </c>
      <c r="N18" s="92">
        <v>101.82774796259719428824054790</v>
      </c>
      <c r="O18" s="272">
        <v>114.53651099199352345088479862</v>
      </c>
      <c r="P18" s="5"/>
      <c r="Q18" s="271">
        <v>-7.49304031209266683286362700</v>
      </c>
      <c r="R18" s="92">
        <v>2.5298276810327010383757923100</v>
      </c>
      <c r="S18" s="272">
        <v>-5.1527736390904997571513773500</v>
      </c>
      <c r="T18" s="271">
        <v>24.532279314095686135899538210</v>
      </c>
      <c r="U18" s="92">
        <v>-8.496128961557373470463782500</v>
      </c>
      <c r="V18" s="272">
        <v>13.951856265285003757003997130</v>
      </c>
      <c r="W18" s="271">
        <v>0</v>
      </c>
      <c r="X18" s="92">
        <v>0</v>
      </c>
      <c r="Y18" s="272">
        <v>0</v>
      </c>
      <c r="Z18" s="271">
        <v>-6.8156388643788712772714061200</v>
      </c>
      <c r="AA18" s="92">
        <v>2.101911293349992489261666400</v>
      </c>
      <c r="AB18" s="272">
        <v>-4.8569862539934868294089018100</v>
      </c>
    </row>
    <row r="19" ht="18.95" customHeight="1">
      <c r="A19" s="58"/>
      <c r="B19" s="288"/>
      <c r="C19" s="289" t="s">
        <v>235</v>
      </c>
      <c r="D19" s="420">
        <v>109.95386021021455139562596232</v>
      </c>
      <c r="E19" s="91">
        <v>94.57148406738851215940078205</v>
      </c>
      <c r="F19" s="421">
        <v>103.98499739010422759837813665</v>
      </c>
      <c r="G19" s="420">
        <v>117.18661372702446681631684930</v>
      </c>
      <c r="H19" s="91">
        <v>112.71143755522843921643542102</v>
      </c>
      <c r="I19" s="421">
        <v>132.08271695332740566863121640</v>
      </c>
      <c r="J19" s="420">
        <v>0</v>
      </c>
      <c r="K19" s="91">
        <v>0</v>
      </c>
      <c r="L19" s="421">
        <v>0</v>
      </c>
      <c r="M19" s="420">
        <v>110.30183438769792050041917463</v>
      </c>
      <c r="N19" s="91">
        <v>99.02464802268160825743914558</v>
      </c>
      <c r="O19" s="421">
        <v>109.22600326495492307526501857</v>
      </c>
      <c r="P19" s="5"/>
      <c r="Q19" s="420">
        <v>-17.953870736166561858892790050</v>
      </c>
      <c r="R19" s="91">
        <v>-4.0623167221565977798862911400</v>
      </c>
      <c r="S19" s="421">
        <v>-21.286844365121945755226388390</v>
      </c>
      <c r="T19" s="420">
        <v>473.18963887331085307687093610</v>
      </c>
      <c r="U19" s="91">
        <v>20.654779526559087806443664570</v>
      </c>
      <c r="V19" s="421">
        <v>591.58069504985756847696121711</v>
      </c>
      <c r="W19" s="420">
        <v>0</v>
      </c>
      <c r="X19" s="91">
        <v>0</v>
      </c>
      <c r="Y19" s="421">
        <v>0</v>
      </c>
      <c r="Z19" s="420">
        <v>-4.497234871275950686080618300</v>
      </c>
      <c r="AA19" s="91">
        <v>1.5540346266076658835334880300</v>
      </c>
      <c r="AB19" s="421">
        <v>-3.0130888317819367481357734600</v>
      </c>
    </row>
    <row r="20" ht="18.95" customHeight="1">
      <c r="A20" s="58"/>
      <c r="B20" s="286"/>
      <c r="C20" s="287" t="s">
        <v>236</v>
      </c>
      <c r="D20" s="271">
        <v>118.71582420441693609298680877</v>
      </c>
      <c r="E20" s="92">
        <v>90.20829597768163453872005297</v>
      </c>
      <c r="F20" s="272">
        <v>107.09152207058611535688420078</v>
      </c>
      <c r="G20" s="271">
        <v>69.468624001859915677417155610</v>
      </c>
      <c r="H20" s="92">
        <v>84.16211622939270433479323275</v>
      </c>
      <c r="I20" s="272">
        <v>58.466264075417050074024204950</v>
      </c>
      <c r="J20" s="271">
        <v>0</v>
      </c>
      <c r="K20" s="92">
        <v>0</v>
      </c>
      <c r="L20" s="272">
        <v>0</v>
      </c>
      <c r="M20" s="271">
        <v>107.24336524092896561491770033</v>
      </c>
      <c r="N20" s="92">
        <v>88.86397126588424098537085153</v>
      </c>
      <c r="O20" s="272">
        <v>95.30071327228229585240401696</v>
      </c>
      <c r="P20" s="5"/>
      <c r="Q20" s="271">
        <v>0.0804660137204172478127810400</v>
      </c>
      <c r="R20" s="92">
        <v>-11.153823832151294528582156080</v>
      </c>
      <c r="S20" s="272">
        <v>-11.082332855959366451130834880</v>
      </c>
      <c r="T20" s="271">
        <v>-35.938761386678741745104368810</v>
      </c>
      <c r="U20" s="92">
        <v>2.8523599860511218010106457100</v>
      </c>
      <c r="V20" s="272">
        <v>-34.111504249897088876913559110</v>
      </c>
      <c r="W20" s="271">
        <v>0</v>
      </c>
      <c r="X20" s="92">
        <v>0</v>
      </c>
      <c r="Y20" s="272">
        <v>0</v>
      </c>
      <c r="Z20" s="271">
        <v>-7.994285459688310239326152420</v>
      </c>
      <c r="AA20" s="92">
        <v>-10.690374870477980955246744320</v>
      </c>
      <c r="AB20" s="272">
        <v>-17.830041246296584652259805170</v>
      </c>
    </row>
    <row r="21" ht="18.95" customHeight="1">
      <c r="A21" s="58"/>
      <c r="B21" s="288"/>
      <c r="C21" s="289" t="s">
        <v>218</v>
      </c>
      <c r="D21" s="420">
        <v>117.14362692131350839567093529</v>
      </c>
      <c r="E21" s="91">
        <v>101.59091957394406365936433803</v>
      </c>
      <c r="F21" s="421">
        <v>119.00728781159074482944470098</v>
      </c>
      <c r="G21" s="420">
        <v>87.99949126971553519430624313</v>
      </c>
      <c r="H21" s="91">
        <v>94.83290675616205042208085992</v>
      </c>
      <c r="I21" s="421">
        <v>83.45247550195946907035423728</v>
      </c>
      <c r="J21" s="420">
        <v>0</v>
      </c>
      <c r="K21" s="91">
        <v>0</v>
      </c>
      <c r="L21" s="421">
        <v>0</v>
      </c>
      <c r="M21" s="420">
        <v>112.24804649115326139812510816</v>
      </c>
      <c r="N21" s="91">
        <v>100.47975267654734791052060404</v>
      </c>
      <c r="O21" s="421">
        <v>112.78655949848809893849400943</v>
      </c>
      <c r="P21" s="5"/>
      <c r="Q21" s="420">
        <v>19.203544320832734824578881760</v>
      </c>
      <c r="R21" s="91">
        <v>-12.003391028560325365024274780</v>
      </c>
      <c r="S21" s="421">
        <v>4.8950767760606441674551839200</v>
      </c>
      <c r="T21" s="420">
        <v>-2.7678136459271093594841660800</v>
      </c>
      <c r="U21" s="91">
        <v>4.9361894326053557560905133600</v>
      </c>
      <c r="V21" s="421">
        <v>2.031751262071508416934130800</v>
      </c>
      <c r="W21" s="420">
        <v>0</v>
      </c>
      <c r="X21" s="91">
        <v>0</v>
      </c>
      <c r="Y21" s="421">
        <v>0</v>
      </c>
      <c r="Z21" s="420">
        <v>17.046899692936210336974182360</v>
      </c>
      <c r="AA21" s="91">
        <v>-8.511618884302690968406089400</v>
      </c>
      <c r="AB21" s="421">
        <v>7.0843136750992826637025467400</v>
      </c>
    </row>
    <row r="22" ht="18.95" customHeight="1">
      <c r="A22" s="58"/>
      <c r="B22" s="286"/>
      <c r="C22" s="287" t="s">
        <v>222</v>
      </c>
      <c r="D22" s="271">
        <v>109.50558487207767875518117111</v>
      </c>
      <c r="E22" s="92">
        <v>99.13275937631421934460162672</v>
      </c>
      <c r="F22" s="272">
        <v>108.55590795490675836267926814</v>
      </c>
      <c r="G22" s="271">
        <v>114.06802120110593766193005759</v>
      </c>
      <c r="H22" s="92">
        <v>86.08644661524639104723550487</v>
      </c>
      <c r="I22" s="272">
        <v>98.19710617651258909343883873</v>
      </c>
      <c r="J22" s="271">
        <v>0</v>
      </c>
      <c r="K22" s="92">
        <v>0</v>
      </c>
      <c r="L22" s="272">
        <v>0</v>
      </c>
      <c r="M22" s="271">
        <v>107.46923207847897120718999049</v>
      </c>
      <c r="N22" s="92">
        <v>98.27455856679192348888652249</v>
      </c>
      <c r="O22" s="272">
        <v>105.61491342031540369942420737</v>
      </c>
      <c r="P22" s="5"/>
      <c r="Q22" s="271">
        <v>5.106280155499888166614105700</v>
      </c>
      <c r="R22" s="92">
        <v>-5.1470270274577951179237961500</v>
      </c>
      <c r="S22" s="272">
        <v>-0.3035684916133525576502472400</v>
      </c>
      <c r="T22" s="271">
        <v>-15.491815101222870410950518770</v>
      </c>
      <c r="U22" s="92">
        <v>-9.857498362563716090794480600</v>
      </c>
      <c r="V22" s="272">
        <v>-23.822208043293407734922440370</v>
      </c>
      <c r="W22" s="271">
        <v>0</v>
      </c>
      <c r="X22" s="92">
        <v>0</v>
      </c>
      <c r="Y22" s="272">
        <v>0</v>
      </c>
      <c r="Z22" s="271">
        <v>0.3332902252265567648405698100</v>
      </c>
      <c r="AA22" s="92">
        <v>-5.578885974925605732412804900</v>
      </c>
      <c r="AB22" s="272">
        <v>-5.2641896313071983316720240600</v>
      </c>
    </row>
    <row r="23" ht="18.95" customHeight="1">
      <c r="A23" s="58"/>
      <c r="B23" s="288">
        <v>2025</v>
      </c>
      <c r="C23" s="289" t="s">
        <v>224</v>
      </c>
      <c r="D23" s="420">
        <v>97.16761512227892406607168557</v>
      </c>
      <c r="E23" s="91">
        <v>97.69000679905156165903893198</v>
      </c>
      <c r="F23" s="421">
        <v>94.92304981941780220906328437</v>
      </c>
      <c r="G23" s="420">
        <v>157.27689144537287815282423576</v>
      </c>
      <c r="H23" s="91">
        <v>105.87218604467596116296477152</v>
      </c>
      <c r="I23" s="421">
        <v>166.51248311597453123797442390</v>
      </c>
      <c r="J23" s="420">
        <v>0</v>
      </c>
      <c r="K23" s="91">
        <v>0</v>
      </c>
      <c r="L23" s="421">
        <v>0</v>
      </c>
      <c r="M23" s="420">
        <v>104.06100042476831351755367924</v>
      </c>
      <c r="N23" s="91">
        <v>100.32862112711424156364483645</v>
      </c>
      <c r="O23" s="421">
        <v>104.40296685723434516457128333</v>
      </c>
      <c r="P23" s="5"/>
      <c r="Q23" s="420">
        <v>-11.962036308867693911495135140</v>
      </c>
      <c r="R23" s="91">
        <v>-0.6138905904023708091221797600</v>
      </c>
      <c r="S23" s="421">
        <v>-12.502493084000084767420671240</v>
      </c>
      <c r="T23" s="420">
        <v>47.909352540079577179961856390</v>
      </c>
      <c r="U23" s="91">
        <v>6.061523377632267061330241300</v>
      </c>
      <c r="V23" s="421">
        <v>56.874912521322471633250630630</v>
      </c>
      <c r="W23" s="420">
        <v>0</v>
      </c>
      <c r="X23" s="91">
        <v>0</v>
      </c>
      <c r="Y23" s="421">
        <v>0</v>
      </c>
      <c r="Z23" s="420">
        <v>-4.4301596583515023624068661400</v>
      </c>
      <c r="AA23" s="91">
        <v>1.5033460935261818667971545500</v>
      </c>
      <c r="AB23" s="421">
        <v>-2.9934141969994681407145265500</v>
      </c>
    </row>
    <row r="24" ht="18.95" customHeight="1">
      <c r="A24" s="59"/>
      <c r="B24" s="286"/>
      <c r="C24" s="287" t="s">
        <v>225</v>
      </c>
      <c r="D24" s="271">
        <v>98.33689165920751218035724158</v>
      </c>
      <c r="E24" s="92">
        <v>96.45124782483895545732544235</v>
      </c>
      <c r="F24" s="272">
        <v>94.84715907744770846642938795</v>
      </c>
      <c r="G24" s="271">
        <v>119.30887633539423542124228045</v>
      </c>
      <c r="H24" s="92">
        <v>89.38916675265320691960219615</v>
      </c>
      <c r="I24" s="272">
        <v>106.64921041844752361007428670</v>
      </c>
      <c r="J24" s="271">
        <v>0</v>
      </c>
      <c r="K24" s="92">
        <v>0</v>
      </c>
      <c r="L24" s="272">
        <v>0</v>
      </c>
      <c r="M24" s="271">
        <v>100.74795375977324002621399857</v>
      </c>
      <c r="N24" s="92">
        <v>95.64861653378323911334766024</v>
      </c>
      <c r="O24" s="272">
        <v>96.36402395731956825228367433</v>
      </c>
      <c r="P24" s="93"/>
      <c r="Q24" s="271">
        <v>-6.447517232058303878048790700</v>
      </c>
      <c r="R24" s="92">
        <v>-7.1223660751581448668580607700</v>
      </c>
      <c r="S24" s="272">
        <v>-13.110667527195080326178588530</v>
      </c>
      <c r="T24" s="271">
        <v>5.0658217174580623570045214500</v>
      </c>
      <c r="U24" s="92">
        <v>4.3868834250568768040912542400</v>
      </c>
      <c r="V24" s="272">
        <v>9.674936835809112806068964330</v>
      </c>
      <c r="W24" s="271">
        <v>0</v>
      </c>
      <c r="X24" s="92">
        <v>0</v>
      </c>
      <c r="Y24" s="272">
        <v>0</v>
      </c>
      <c r="Z24" s="271">
        <v>-4.9894503298293877501283317600</v>
      </c>
      <c r="AA24" s="92">
        <v>-4.3482680941868268788002541100</v>
      </c>
      <c r="AB24" s="272">
        <v>-9.120763747351459036620814830</v>
      </c>
    </row>
    <row r="25" ht="18.95" customHeight="1">
      <c r="A25" s="60"/>
      <c r="B25" s="288"/>
      <c r="C25" s="289" t="s">
        <v>226</v>
      </c>
      <c r="D25" s="420">
        <v>94.44510589301214555311624053</v>
      </c>
      <c r="E25" s="91">
        <v>98.52821111965342837393181399</v>
      </c>
      <c r="F25" s="421">
        <v>93.05507332643097882664561990</v>
      </c>
      <c r="G25" s="420">
        <v>191.80778372036946689412438791</v>
      </c>
      <c r="H25" s="91">
        <v>98.58463718901747697200756352</v>
      </c>
      <c r="I25" s="421">
        <v>189.09300768028325090723188011</v>
      </c>
      <c r="J25" s="420">
        <v>0</v>
      </c>
      <c r="K25" s="91">
        <v>0</v>
      </c>
      <c r="L25" s="421">
        <v>0</v>
      </c>
      <c r="M25" s="420">
        <v>103.58394807710292174764962255</v>
      </c>
      <c r="N25" s="91">
        <v>98.58686237011377866198379044</v>
      </c>
      <c r="O25" s="421">
        <v>102.12016432826870158901339538</v>
      </c>
      <c r="P25" s="93"/>
      <c r="Q25" s="420">
        <v>-9.127011671306678945183751480</v>
      </c>
      <c r="R25" s="91">
        <v>-3.3200448675162884485277308600</v>
      </c>
      <c r="S25" s="421">
        <v>-12.144035656355326672227217270</v>
      </c>
      <c r="T25" s="420">
        <v>46.288515407387617168012208890</v>
      </c>
      <c r="U25" s="91">
        <v>1.5379240725413110379215246100</v>
      </c>
      <c r="V25" s="421">
        <v>48.538321699739306363589355490</v>
      </c>
      <c r="W25" s="420">
        <v>0</v>
      </c>
      <c r="X25" s="91">
        <v>0</v>
      </c>
      <c r="Y25" s="421">
        <v>0</v>
      </c>
      <c r="Z25" s="420">
        <v>-1.6404179640186121637656746700</v>
      </c>
      <c r="AA25" s="91">
        <v>-3.1786530515959592171405758100</v>
      </c>
      <c r="AB25" s="421">
        <v>-4.7669278200360760450736077800</v>
      </c>
    </row>
    <row r="26" ht="18.95" customHeight="1">
      <c r="A26" s="60"/>
      <c r="B26" s="290"/>
      <c r="C26" s="291" t="s">
        <v>228</v>
      </c>
      <c r="D26" s="273">
        <v>104.28164728101180199420193395</v>
      </c>
      <c r="E26" s="274">
        <v>100.19622178517948511264922727</v>
      </c>
      <c r="F26" s="275">
        <v>104.48627059089481662860093109</v>
      </c>
      <c r="G26" s="273">
        <v>109.31134503674317667722069414</v>
      </c>
      <c r="H26" s="274">
        <v>97.81965217682813501588011734</v>
      </c>
      <c r="I26" s="275">
        <v>106.92797750430981635423170815</v>
      </c>
      <c r="J26" s="273">
        <v>0</v>
      </c>
      <c r="K26" s="274">
        <v>0</v>
      </c>
      <c r="L26" s="275">
        <v>0</v>
      </c>
      <c r="M26" s="273">
        <v>104.83288211001702376648345679</v>
      </c>
      <c r="N26" s="274">
        <v>99.94802977533298793251229615</v>
      </c>
      <c r="O26" s="275">
        <v>104.77840022571339927103601516</v>
      </c>
      <c r="P26" s="184"/>
      <c r="Q26" s="273">
        <v>-16.550333839445600155330023500</v>
      </c>
      <c r="R26" s="274">
        <v>0.5326105052240728852605699200</v>
      </c>
      <c r="S26" s="275">
        <v>-16.105872150880980334052387830</v>
      </c>
      <c r="T26" s="273">
        <v>299.08996113759970442872774353</v>
      </c>
      <c r="U26" s="274">
        <v>-1.7992521284453975709962486200</v>
      </c>
      <c r="V26" s="275">
        <v>291.90932651325117696117286631</v>
      </c>
      <c r="W26" s="273">
        <v>0</v>
      </c>
      <c r="X26" s="274">
        <v>0</v>
      </c>
      <c r="Y26" s="275">
        <v>0</v>
      </c>
      <c r="Z26" s="273">
        <v>-4.3312361773033227440349906200</v>
      </c>
      <c r="AA26" s="274">
        <v>0.6782189160637087787567176900</v>
      </c>
      <c r="AB26" s="275">
        <v>-3.6823925242133957848967211200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110.68833416599721038568066921</v>
      </c>
      <c r="E29" s="428">
        <v>98.62958781033862981416149641</v>
      </c>
      <c r="F29" s="429">
        <v>109.17144774208476265044281378</v>
      </c>
      <c r="G29" s="427">
        <v>109.88761898538175243227205449</v>
      </c>
      <c r="H29" s="428">
        <v>90.19549954065236569435797987</v>
      </c>
      <c r="I29" s="429">
        <v>99.11368687702901543474510154</v>
      </c>
      <c r="J29" s="427">
        <v>0</v>
      </c>
      <c r="K29" s="428">
        <v>0</v>
      </c>
      <c r="L29" s="429">
        <v>0</v>
      </c>
      <c r="M29" s="427">
        <v>110.17111809114180185134971938</v>
      </c>
      <c r="N29" s="428">
        <v>97.59634779512907752160060760</v>
      </c>
      <c r="O29" s="429">
        <v>107.52298758193685374695561088</v>
      </c>
      <c r="P29" s="5"/>
      <c r="Q29" s="427">
        <v>-5.7396381803786270090222822400</v>
      </c>
      <c r="R29" s="428">
        <v>5.3460365807141158130768115600</v>
      </c>
      <c r="S29" s="429">
        <v>-0.7004447563950354112779764200</v>
      </c>
      <c r="T29" s="427">
        <v>4.0087562981050950164456697100</v>
      </c>
      <c r="U29" s="428">
        <v>-0.6520599203797946213202525900</v>
      </c>
      <c r="V29" s="429">
        <v>3.3305568846836043885898097100</v>
      </c>
      <c r="W29" s="427">
        <v>0</v>
      </c>
      <c r="X29" s="428">
        <v>0</v>
      </c>
      <c r="Y29" s="429">
        <v>0</v>
      </c>
      <c r="Z29" s="427">
        <v>-4.5804159351212631594899956100</v>
      </c>
      <c r="AA29" s="428">
        <v>4.4862240208648531822686471800</v>
      </c>
      <c r="AB29" s="429">
        <v>-0.299679634272013757380698700</v>
      </c>
    </row>
    <row r="30" ht="18.95" customHeight="1">
      <c r="A30" s="58"/>
      <c r="B30" s="286">
        <v>2024</v>
      </c>
      <c r="C30" s="287"/>
      <c r="D30" s="271">
        <v>110.87663928904508663507953775</v>
      </c>
      <c r="E30" s="92">
        <v>100.47537952754104332899446439</v>
      </c>
      <c r="F30" s="272">
        <v>111.40372413309073221980656850</v>
      </c>
      <c r="G30" s="271">
        <v>93.36200121000141559671585273</v>
      </c>
      <c r="H30" s="92">
        <v>95.80673055407961888832911470</v>
      </c>
      <c r="I30" s="272">
        <v>89.44708093905148673979257916</v>
      </c>
      <c r="J30" s="271">
        <v>0</v>
      </c>
      <c r="K30" s="92">
        <v>0</v>
      </c>
      <c r="L30" s="272">
        <v>0</v>
      </c>
      <c r="M30" s="271">
        <v>107.43783667196858208465603417</v>
      </c>
      <c r="N30" s="92">
        <v>100.04077664776906326942535397</v>
      </c>
      <c r="O30" s="272">
        <v>107.48164622018389449491033890</v>
      </c>
      <c r="P30" s="5"/>
      <c r="Q30" s="271">
        <v>0.1701219233841610103751588400</v>
      </c>
      <c r="R30" s="92">
        <v>1.8714381335458498197629513600</v>
      </c>
      <c r="S30" s="272">
        <v>2.044743783433307981113404100</v>
      </c>
      <c r="T30" s="271">
        <v>-15.038653060263529552025895280</v>
      </c>
      <c r="U30" s="92">
        <v>6.2211873563021796163057199900</v>
      </c>
      <c r="V30" s="272">
        <v>-9.753048486577603453191962360</v>
      </c>
      <c r="W30" s="271">
        <v>0</v>
      </c>
      <c r="X30" s="92">
        <v>0</v>
      </c>
      <c r="Y30" s="272">
        <v>0</v>
      </c>
      <c r="Z30" s="271">
        <v>-2.4809418897530656390170453100</v>
      </c>
      <c r="AA30" s="92">
        <v>2.5046314825233554611241286500</v>
      </c>
      <c r="AB30" s="272">
        <v>-0.0384488588401767479717361300</v>
      </c>
    </row>
    <row r="31" ht="18.95" customHeight="1">
      <c r="A31" s="58"/>
      <c r="B31" s="425">
        <v>2025</v>
      </c>
      <c r="C31" s="426"/>
      <c r="D31" s="430">
        <v>98.52032881790919024689406739</v>
      </c>
      <c r="E31" s="431">
        <v>97.99793938996772932456856920</v>
      </c>
      <c r="F31" s="432">
        <v>96.54789212177032092176302108</v>
      </c>
      <c r="G31" s="430">
        <v>141.45272877543909543783670157</v>
      </c>
      <c r="H31" s="431">
        <v>96.96367576493365518419996369</v>
      </c>
      <c r="I31" s="432">
        <v>137.15776529021056261380052144</v>
      </c>
      <c r="J31" s="430">
        <v>0</v>
      </c>
      <c r="K31" s="431">
        <v>0</v>
      </c>
      <c r="L31" s="432">
        <v>0</v>
      </c>
      <c r="M31" s="430">
        <v>103.33160430772112685426503933</v>
      </c>
      <c r="N31" s="431">
        <v>98.32126778894489396983138503</v>
      </c>
      <c r="O31" s="432">
        <v>101.59694338194567186876017656</v>
      </c>
      <c r="P31" s="184"/>
      <c r="Q31" s="430">
        <v>-11.144196424355974649192934030</v>
      </c>
      <c r="R31" s="431">
        <v>-2.4657186160259270839821021500</v>
      </c>
      <c r="S31" s="432">
        <v>-13.335130514650138951582663410</v>
      </c>
      <c r="T31" s="430">
        <v>51.509957950952854728162592230</v>
      </c>
      <c r="U31" s="431">
        <v>1.2075823944126275228886264900</v>
      </c>
      <c r="V31" s="432">
        <v>53.339565528800607837431935440</v>
      </c>
      <c r="W31" s="430">
        <v>0</v>
      </c>
      <c r="X31" s="431">
        <v>0</v>
      </c>
      <c r="Y31" s="432">
        <v>0</v>
      </c>
      <c r="Z31" s="430">
        <v>-3.8219611372247802008823388100</v>
      </c>
      <c r="AA31" s="431">
        <v>-1.7188079865760616382352808600</v>
      </c>
      <c r="AB31" s="432">
        <v>-5.4750769505318226017572805600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112.28720758078206725517445733</v>
      </c>
      <c r="E34" s="428">
        <v>98.71042534530050012058469556</v>
      </c>
      <c r="F34" s="429">
        <v>110.83918021140704110505432977</v>
      </c>
      <c r="G34" s="427">
        <v>98.29415133131301665576202246</v>
      </c>
      <c r="H34" s="428">
        <v>87.94730236331022062856527421</v>
      </c>
      <c r="I34" s="429">
        <v>86.44705447700647314424106167</v>
      </c>
      <c r="J34" s="427">
        <v>0</v>
      </c>
      <c r="K34" s="428">
        <v>0</v>
      </c>
      <c r="L34" s="429">
        <v>0</v>
      </c>
      <c r="M34" s="427">
        <v>109.92899335352617636948178234</v>
      </c>
      <c r="N34" s="428">
        <v>97.52342531008131091140600917</v>
      </c>
      <c r="O34" s="429">
        <v>107.20651972720460868969568654</v>
      </c>
      <c r="P34" s="5"/>
      <c r="Q34" s="427">
        <v>-2.2198330090903819155951673400</v>
      </c>
      <c r="R34" s="428">
        <v>4.8074669502545745739428559200</v>
      </c>
      <c r="S34" s="429">
        <v>2.4809162029864475780370214900</v>
      </c>
      <c r="T34" s="427">
        <v>7.416757146087386284530305400</v>
      </c>
      <c r="U34" s="428">
        <v>-5.028324179604640885262544800</v>
      </c>
      <c r="V34" s="429">
        <v>2.0154943736781341174813559600</v>
      </c>
      <c r="W34" s="427">
        <v>0</v>
      </c>
      <c r="X34" s="428">
        <v>0</v>
      </c>
      <c r="Y34" s="429">
        <v>0</v>
      </c>
      <c r="Z34" s="427">
        <v>-0.6077984998145192481115138200</v>
      </c>
      <c r="AA34" s="428">
        <v>3.2827597985037846661173553500</v>
      </c>
      <c r="AB34" s="429">
        <v>2.6550087338181755861952758400</v>
      </c>
    </row>
    <row r="35" ht="18.95" customHeight="1">
      <c r="A35" s="58"/>
      <c r="B35" s="286">
        <v>2024</v>
      </c>
      <c r="C35" s="287"/>
      <c r="D35" s="271">
        <v>111.01316411451094507548187877</v>
      </c>
      <c r="E35" s="92">
        <v>101.12345627205908820445796671</v>
      </c>
      <c r="F35" s="272">
        <v>112.26034846960114561081346021</v>
      </c>
      <c r="G35" s="271">
        <v>88.58795088143506527347187065</v>
      </c>
      <c r="H35" s="92">
        <v>94.74007636598663297072506573</v>
      </c>
      <c r="I35" s="272">
        <v>83.92829231584708528746360024</v>
      </c>
      <c r="J35" s="271">
        <v>0</v>
      </c>
      <c r="K35" s="92">
        <v>0</v>
      </c>
      <c r="L35" s="272">
        <v>0</v>
      </c>
      <c r="M35" s="271">
        <v>106.95015322591097386551840631</v>
      </c>
      <c r="N35" s="92">
        <v>100.42637312809136275870549034</v>
      </c>
      <c r="O35" s="272">
        <v>107.40615993975066168311029225</v>
      </c>
      <c r="P35" s="5"/>
      <c r="Q35" s="271">
        <v>-1.1346292188914525420483251200</v>
      </c>
      <c r="R35" s="92">
        <v>2.4445552922277852419290305700</v>
      </c>
      <c r="S35" s="272">
        <v>1.2821894347202831578281088100</v>
      </c>
      <c r="T35" s="271">
        <v>-9.874646983979981950912266540</v>
      </c>
      <c r="U35" s="92">
        <v>7.7236865943044842621970079400</v>
      </c>
      <c r="V35" s="272">
        <v>-2.9136471755935346101617756300</v>
      </c>
      <c r="W35" s="271">
        <v>0</v>
      </c>
      <c r="X35" s="92">
        <v>0</v>
      </c>
      <c r="Y35" s="272">
        <v>0</v>
      </c>
      <c r="Z35" s="271">
        <v>-2.7097856868478125070012935300</v>
      </c>
      <c r="AA35" s="92">
        <v>2.9766672045826095189897383300</v>
      </c>
      <c r="AB35" s="272">
        <v>0.1862202159520432453431621700</v>
      </c>
    </row>
    <row r="36" ht="18.95" customHeight="1">
      <c r="A36" s="58"/>
      <c r="B36" s="425">
        <v>2025</v>
      </c>
      <c r="C36" s="426"/>
      <c r="D36" s="430">
        <v>98.97348500570654159420286942</v>
      </c>
      <c r="E36" s="431">
        <v>98.04715067411627969557111555</v>
      </c>
      <c r="F36" s="432">
        <v>97.04068197095265401418238681</v>
      </c>
      <c r="G36" s="430">
        <v>135.82288560891646423678711721</v>
      </c>
      <c r="H36" s="431">
        <v>93.75895160310598019369826778</v>
      </c>
      <c r="I36" s="432">
        <v>127.34611358406536263886140840</v>
      </c>
      <c r="J36" s="430">
        <v>0</v>
      </c>
      <c r="K36" s="431">
        <v>0</v>
      </c>
      <c r="L36" s="432">
        <v>0</v>
      </c>
      <c r="M36" s="430">
        <v>103.08453649749983084368887911</v>
      </c>
      <c r="N36" s="431">
        <v>97.71868449143811877301390048</v>
      </c>
      <c r="O36" s="432">
        <v>100.73285297948534750518776538</v>
      </c>
      <c r="P36" s="184"/>
      <c r="Q36" s="430">
        <v>-10.845271553899339790533658260</v>
      </c>
      <c r="R36" s="431">
        <v>-3.0421286132725609651970815400</v>
      </c>
      <c r="S36" s="432">
        <v>-13.557473058057376149573467200</v>
      </c>
      <c r="T36" s="430">
        <v>53.319818618170510702902861930</v>
      </c>
      <c r="U36" s="431">
        <v>-1.0355963395086755088733302900</v>
      </c>
      <c r="V36" s="432">
        <v>51.732044189455883468425317660</v>
      </c>
      <c r="W36" s="430">
        <v>0</v>
      </c>
      <c r="X36" s="431">
        <v>0</v>
      </c>
      <c r="Y36" s="432">
        <v>0</v>
      </c>
      <c r="Z36" s="430">
        <v>-3.6144097149961231099266204700</v>
      </c>
      <c r="AA36" s="431">
        <v>-2.6961927951017988635920319200</v>
      </c>
      <c r="AB36" s="432">
        <v>-6.2131510558193025711145941400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113.87825989377093464102676965</v>
      </c>
      <c r="E39" s="428">
        <v>100.61772951512124629269881457</v>
      </c>
      <c r="F39" s="429">
        <v>114.58171951643355269973681453</v>
      </c>
      <c r="G39" s="427">
        <v>93.79467386009240757836132365</v>
      </c>
      <c r="H39" s="428">
        <v>102.30884826385045952097062942</v>
      </c>
      <c r="I39" s="429">
        <v>95.96025055912072284121750931</v>
      </c>
      <c r="J39" s="427">
        <v>0</v>
      </c>
      <c r="K39" s="428">
        <v>0</v>
      </c>
      <c r="L39" s="429">
        <v>0</v>
      </c>
      <c r="M39" s="427">
        <v>111.03273047359424819559976160</v>
      </c>
      <c r="N39" s="428">
        <v>100.68997305131329303270102422</v>
      </c>
      <c r="O39" s="429">
        <v>111.79882639196809224960187300</v>
      </c>
      <c r="P39" s="5"/>
      <c r="Q39" s="427">
        <v>-3.218419103920656832028920700</v>
      </c>
      <c r="R39" s="428">
        <v>4.1891938035789739442035505900</v>
      </c>
      <c r="S39" s="429">
        <v>0.8359488859288021172908553900</v>
      </c>
      <c r="T39" s="427">
        <v>10.326889215665227657945273960</v>
      </c>
      <c r="U39" s="428">
        <v>1.0524610106183009683009427800</v>
      </c>
      <c r="V39" s="429">
        <v>11.488036709517577981649585830</v>
      </c>
      <c r="W39" s="427">
        <v>0</v>
      </c>
      <c r="X39" s="428">
        <v>0</v>
      </c>
      <c r="Y39" s="429">
        <v>0</v>
      </c>
      <c r="Z39" s="427">
        <v>-2.8206248350301105163059804800</v>
      </c>
      <c r="AA39" s="428">
        <v>3.8245158716630654838945096200</v>
      </c>
      <c r="AB39" s="429">
        <v>0.8960157921336481108001504300</v>
      </c>
    </row>
    <row r="40" ht="18.95" customHeight="1">
      <c r="A40" s="58"/>
      <c r="B40" s="286">
        <v>2024</v>
      </c>
      <c r="C40" s="287"/>
      <c r="D40" s="271">
        <v>114.49462878115873257645420620</v>
      </c>
      <c r="E40" s="92">
        <v>99.35905297200746246227672247</v>
      </c>
      <c r="F40" s="272">
        <v>113.76077886086755239775968465</v>
      </c>
      <c r="G40" s="271">
        <v>95.13814266623844883440206103</v>
      </c>
      <c r="H40" s="92">
        <v>102.56550397073282511919377151</v>
      </c>
      <c r="I40" s="272">
        <v>97.57891549356492134551856933</v>
      </c>
      <c r="J40" s="271">
        <v>0</v>
      </c>
      <c r="K40" s="92">
        <v>0</v>
      </c>
      <c r="L40" s="272">
        <v>0</v>
      </c>
      <c r="M40" s="271">
        <v>111.14062067108368110656342829</v>
      </c>
      <c r="N40" s="92">
        <v>99.69635650613498401175287878</v>
      </c>
      <c r="O40" s="272">
        <v>110.80314940739682119444982092</v>
      </c>
      <c r="P40" s="5"/>
      <c r="Q40" s="271">
        <v>0.5412524637569477202796079600</v>
      </c>
      <c r="R40" s="92">
        <v>-1.2509490615206579765185997100</v>
      </c>
      <c r="S40" s="272">
        <v>-0.7164673902584844262508417900</v>
      </c>
      <c r="T40" s="271">
        <v>1.4323508477062436086116103300</v>
      </c>
      <c r="U40" s="92">
        <v>0.2508636458997133441131386700</v>
      </c>
      <c r="V40" s="272">
        <v>1.6868077407405454519326280500</v>
      </c>
      <c r="W40" s="271">
        <v>0</v>
      </c>
      <c r="X40" s="92">
        <v>0</v>
      </c>
      <c r="Y40" s="272">
        <v>0</v>
      </c>
      <c r="Z40" s="271">
        <v>0.0971697237593683365608139600</v>
      </c>
      <c r="AA40" s="92">
        <v>-0.9868078370214515479660686500</v>
      </c>
      <c r="AB40" s="272">
        <v>-0.890596991700108369729888100</v>
      </c>
    </row>
    <row r="41" ht="18.95" customHeight="1">
      <c r="A41" s="58"/>
      <c r="B41" s="425">
        <v>2025</v>
      </c>
      <c r="C41" s="426"/>
      <c r="D41" s="430">
        <v>105.03545147959716321559563684</v>
      </c>
      <c r="E41" s="431">
        <v>96.40296866406553222846537207</v>
      </c>
      <c r="F41" s="432">
        <v>101.25729337605634364066032601</v>
      </c>
      <c r="G41" s="430">
        <v>118.29660238765486824164527501</v>
      </c>
      <c r="H41" s="431">
        <v>102.20217043450649948019004405</v>
      </c>
      <c r="I41" s="432">
        <v>120.90169519031773248646356881</v>
      </c>
      <c r="J41" s="430">
        <v>0</v>
      </c>
      <c r="K41" s="431">
        <v>0</v>
      </c>
      <c r="L41" s="432">
        <v>0</v>
      </c>
      <c r="M41" s="430">
        <v>105.73394621921219475684730532</v>
      </c>
      <c r="N41" s="431">
        <v>97.54664865176867882747267623</v>
      </c>
      <c r="O41" s="432">
        <v>103.13992102410264774128418032</v>
      </c>
      <c r="P41" s="184"/>
      <c r="Q41" s="430">
        <v>-8.261677776762251231854874920</v>
      </c>
      <c r="R41" s="431">
        <v>-2.9751534656509968366112618300</v>
      </c>
      <c r="S41" s="432">
        <v>-10.991033649771494766374466550</v>
      </c>
      <c r="T41" s="430">
        <v>24.341929611457971472800329710</v>
      </c>
      <c r="U41" s="431">
        <v>-0.3542453574812974248651633400</v>
      </c>
      <c r="V41" s="432">
        <v>23.901454098705806531310281300</v>
      </c>
      <c r="W41" s="430">
        <v>0</v>
      </c>
      <c r="X41" s="431">
        <v>0</v>
      </c>
      <c r="Y41" s="432">
        <v>0</v>
      </c>
      <c r="Z41" s="430">
        <v>-4.8647150063052580018341702900</v>
      </c>
      <c r="AA41" s="431">
        <v>-2.1562551829060970812609905600</v>
      </c>
      <c r="AB41" s="432">
        <v>-6.9160745197966031317976879200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187</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2023</v>
      </c>
      <c r="C9" s="285" t="s">
        <v>218</v>
      </c>
      <c r="D9" s="415" t="s">
        <v>307</v>
      </c>
      <c r="E9" s="416" t="s">
        <v>308</v>
      </c>
      <c r="F9" s="417" t="s">
        <v>308</v>
      </c>
      <c r="G9" s="415" t="s">
        <v>311</v>
      </c>
      <c r="H9" s="416" t="s">
        <v>306</v>
      </c>
      <c r="I9" s="417" t="s">
        <v>311</v>
      </c>
      <c r="J9" s="415" t="s">
        <v>265</v>
      </c>
      <c r="K9" s="416" t="s">
        <v>265</v>
      </c>
      <c r="L9" s="417" t="s">
        <v>265</v>
      </c>
      <c r="M9" s="415" t="s">
        <v>305</v>
      </c>
      <c r="N9" s="416" t="s">
        <v>306</v>
      </c>
      <c r="O9" s="417" t="s">
        <v>307</v>
      </c>
      <c r="P9" s="5"/>
      <c r="Q9" s="415" t="s">
        <v>313</v>
      </c>
      <c r="R9" s="416" t="s">
        <v>308</v>
      </c>
      <c r="S9" s="417" t="s">
        <v>305</v>
      </c>
      <c r="T9" s="415" t="s">
        <v>307</v>
      </c>
      <c r="U9" s="416" t="s">
        <v>311</v>
      </c>
      <c r="V9" s="417" t="s">
        <v>307</v>
      </c>
      <c r="W9" s="415"/>
      <c r="X9" s="416"/>
      <c r="Y9" s="417"/>
      <c r="Z9" s="415" t="s">
        <v>312</v>
      </c>
      <c r="AA9" s="416" t="s">
        <v>306</v>
      </c>
      <c r="AB9" s="417" t="s">
        <v>310</v>
      </c>
    </row>
    <row r="10" ht="18.95" customHeight="1">
      <c r="A10" s="58"/>
      <c r="B10" s="286"/>
      <c r="C10" s="287" t="s">
        <v>222</v>
      </c>
      <c r="D10" s="271" t="s">
        <v>307</v>
      </c>
      <c r="E10" s="92" t="s">
        <v>307</v>
      </c>
      <c r="F10" s="272" t="s">
        <v>311</v>
      </c>
      <c r="G10" s="271" t="s">
        <v>311</v>
      </c>
      <c r="H10" s="92" t="s">
        <v>307</v>
      </c>
      <c r="I10" s="272" t="s">
        <v>311</v>
      </c>
      <c r="J10" s="271" t="s">
        <v>265</v>
      </c>
      <c r="K10" s="92" t="s">
        <v>265</v>
      </c>
      <c r="L10" s="272" t="s">
        <v>265</v>
      </c>
      <c r="M10" s="271" t="s">
        <v>308</v>
      </c>
      <c r="N10" s="92" t="s">
        <v>306</v>
      </c>
      <c r="O10" s="272" t="s">
        <v>309</v>
      </c>
      <c r="P10" s="5"/>
      <c r="Q10" s="271" t="s">
        <v>310</v>
      </c>
      <c r="R10" s="92" t="s">
        <v>305</v>
      </c>
      <c r="S10" s="272" t="s">
        <v>310</v>
      </c>
      <c r="T10" s="271" t="s">
        <v>307</v>
      </c>
      <c r="U10" s="92" t="s">
        <v>311</v>
      </c>
      <c r="V10" s="272" t="s">
        <v>311</v>
      </c>
      <c r="W10" s="271"/>
      <c r="X10" s="92"/>
      <c r="Y10" s="272"/>
      <c r="Z10" s="271" t="s">
        <v>307</v>
      </c>
      <c r="AA10" s="92" t="s">
        <v>305</v>
      </c>
      <c r="AB10" s="272" t="s">
        <v>310</v>
      </c>
    </row>
    <row r="11" ht="18.95" customHeight="1">
      <c r="A11" s="58"/>
      <c r="B11" s="288">
        <v>2024</v>
      </c>
      <c r="C11" s="289" t="s">
        <v>224</v>
      </c>
      <c r="D11" s="420" t="s">
        <v>308</v>
      </c>
      <c r="E11" s="91" t="s">
        <v>305</v>
      </c>
      <c r="F11" s="421" t="s">
        <v>306</v>
      </c>
      <c r="G11" s="420" t="s">
        <v>311</v>
      </c>
      <c r="H11" s="91" t="s">
        <v>311</v>
      </c>
      <c r="I11" s="421" t="s">
        <v>311</v>
      </c>
      <c r="J11" s="420" t="s">
        <v>265</v>
      </c>
      <c r="K11" s="91" t="s">
        <v>265</v>
      </c>
      <c r="L11" s="421" t="s">
        <v>265</v>
      </c>
      <c r="M11" s="420" t="s">
        <v>308</v>
      </c>
      <c r="N11" s="91" t="s">
        <v>305</v>
      </c>
      <c r="O11" s="421" t="s">
        <v>306</v>
      </c>
      <c r="P11" s="5"/>
      <c r="Q11" s="420" t="s">
        <v>307</v>
      </c>
      <c r="R11" s="91" t="s">
        <v>307</v>
      </c>
      <c r="S11" s="421" t="s">
        <v>306</v>
      </c>
      <c r="T11" s="420" t="s">
        <v>305</v>
      </c>
      <c r="U11" s="91" t="s">
        <v>306</v>
      </c>
      <c r="V11" s="421" t="s">
        <v>310</v>
      </c>
      <c r="W11" s="420"/>
      <c r="X11" s="91"/>
      <c r="Y11" s="421"/>
      <c r="Z11" s="420" t="s">
        <v>305</v>
      </c>
      <c r="AA11" s="91" t="s">
        <v>307</v>
      </c>
      <c r="AB11" s="421" t="s">
        <v>307</v>
      </c>
    </row>
    <row r="12" ht="18.95" customHeight="1">
      <c r="A12" s="58"/>
      <c r="B12" s="286"/>
      <c r="C12" s="287" t="s">
        <v>225</v>
      </c>
      <c r="D12" s="271" t="s">
        <v>306</v>
      </c>
      <c r="E12" s="92" t="s">
        <v>307</v>
      </c>
      <c r="F12" s="272" t="s">
        <v>308</v>
      </c>
      <c r="G12" s="271" t="s">
        <v>311</v>
      </c>
      <c r="H12" s="92" t="s">
        <v>310</v>
      </c>
      <c r="I12" s="272" t="s">
        <v>307</v>
      </c>
      <c r="J12" s="271" t="s">
        <v>265</v>
      </c>
      <c r="K12" s="92" t="s">
        <v>265</v>
      </c>
      <c r="L12" s="272" t="s">
        <v>265</v>
      </c>
      <c r="M12" s="271" t="s">
        <v>308</v>
      </c>
      <c r="N12" s="92" t="s">
        <v>310</v>
      </c>
      <c r="O12" s="272" t="s">
        <v>306</v>
      </c>
      <c r="P12" s="5"/>
      <c r="Q12" s="271" t="s">
        <v>313</v>
      </c>
      <c r="R12" s="92" t="s">
        <v>306</v>
      </c>
      <c r="S12" s="272" t="s">
        <v>310</v>
      </c>
      <c r="T12" s="271" t="s">
        <v>306</v>
      </c>
      <c r="U12" s="92" t="s">
        <v>310</v>
      </c>
      <c r="V12" s="272" t="s">
        <v>306</v>
      </c>
      <c r="W12" s="271"/>
      <c r="X12" s="92"/>
      <c r="Y12" s="272"/>
      <c r="Z12" s="271" t="s">
        <v>313</v>
      </c>
      <c r="AA12" s="92" t="s">
        <v>307</v>
      </c>
      <c r="AB12" s="272" t="s">
        <v>305</v>
      </c>
    </row>
    <row r="13" ht="18.95" customHeight="1">
      <c r="A13" s="58"/>
      <c r="B13" s="288"/>
      <c r="C13" s="289" t="s">
        <v>226</v>
      </c>
      <c r="D13" s="420" t="s">
        <v>308</v>
      </c>
      <c r="E13" s="91" t="s">
        <v>307</v>
      </c>
      <c r="F13" s="421" t="s">
        <v>306</v>
      </c>
      <c r="G13" s="420" t="s">
        <v>306</v>
      </c>
      <c r="H13" s="91" t="s">
        <v>305</v>
      </c>
      <c r="I13" s="421" t="s">
        <v>306</v>
      </c>
      <c r="J13" s="420" t="s">
        <v>265</v>
      </c>
      <c r="K13" s="91" t="s">
        <v>265</v>
      </c>
      <c r="L13" s="421" t="s">
        <v>265</v>
      </c>
      <c r="M13" s="420" t="s">
        <v>308</v>
      </c>
      <c r="N13" s="91" t="s">
        <v>307</v>
      </c>
      <c r="O13" s="421" t="s">
        <v>306</v>
      </c>
      <c r="P13" s="5"/>
      <c r="Q13" s="420" t="s">
        <v>305</v>
      </c>
      <c r="R13" s="91" t="s">
        <v>306</v>
      </c>
      <c r="S13" s="421" t="s">
        <v>311</v>
      </c>
      <c r="T13" s="420" t="s">
        <v>305</v>
      </c>
      <c r="U13" s="91" t="s">
        <v>311</v>
      </c>
      <c r="V13" s="421" t="s">
        <v>311</v>
      </c>
      <c r="W13" s="420"/>
      <c r="X13" s="91"/>
      <c r="Y13" s="421"/>
      <c r="Z13" s="420" t="s">
        <v>307</v>
      </c>
      <c r="AA13" s="91" t="s">
        <v>306</v>
      </c>
      <c r="AB13" s="421" t="s">
        <v>306</v>
      </c>
    </row>
    <row r="14" ht="18.95" customHeight="1">
      <c r="A14" s="58"/>
      <c r="B14" s="286"/>
      <c r="C14" s="287" t="s">
        <v>228</v>
      </c>
      <c r="D14" s="271" t="s">
        <v>309</v>
      </c>
      <c r="E14" s="92" t="s">
        <v>305</v>
      </c>
      <c r="F14" s="272" t="s">
        <v>309</v>
      </c>
      <c r="G14" s="271" t="s">
        <v>313</v>
      </c>
      <c r="H14" s="92" t="s">
        <v>307</v>
      </c>
      <c r="I14" s="272" t="s">
        <v>313</v>
      </c>
      <c r="J14" s="271" t="s">
        <v>265</v>
      </c>
      <c r="K14" s="92" t="s">
        <v>265</v>
      </c>
      <c r="L14" s="272" t="s">
        <v>265</v>
      </c>
      <c r="M14" s="271" t="s">
        <v>309</v>
      </c>
      <c r="N14" s="92" t="s">
        <v>307</v>
      </c>
      <c r="O14" s="272" t="s">
        <v>306</v>
      </c>
      <c r="P14" s="5"/>
      <c r="Q14" s="271" t="s">
        <v>307</v>
      </c>
      <c r="R14" s="92" t="s">
        <v>305</v>
      </c>
      <c r="S14" s="272" t="s">
        <v>307</v>
      </c>
      <c r="T14" s="271" t="s">
        <v>313</v>
      </c>
      <c r="U14" s="92" t="s">
        <v>308</v>
      </c>
      <c r="V14" s="272" t="s">
        <v>313</v>
      </c>
      <c r="W14" s="271"/>
      <c r="X14" s="92"/>
      <c r="Y14" s="272"/>
      <c r="Z14" s="271" t="s">
        <v>305</v>
      </c>
      <c r="AA14" s="92" t="s">
        <v>307</v>
      </c>
      <c r="AB14" s="272" t="s">
        <v>310</v>
      </c>
    </row>
    <row r="15" ht="18.95" customHeight="1">
      <c r="A15" s="58"/>
      <c r="B15" s="288"/>
      <c r="C15" s="289" t="s">
        <v>229</v>
      </c>
      <c r="D15" s="420" t="s">
        <v>311</v>
      </c>
      <c r="E15" s="91" t="s">
        <v>310</v>
      </c>
      <c r="F15" s="421" t="s">
        <v>305</v>
      </c>
      <c r="G15" s="420" t="s">
        <v>311</v>
      </c>
      <c r="H15" s="91" t="s">
        <v>309</v>
      </c>
      <c r="I15" s="421" t="s">
        <v>308</v>
      </c>
      <c r="J15" s="420" t="s">
        <v>265</v>
      </c>
      <c r="K15" s="91" t="s">
        <v>265</v>
      </c>
      <c r="L15" s="421" t="s">
        <v>265</v>
      </c>
      <c r="M15" s="420" t="s">
        <v>311</v>
      </c>
      <c r="N15" s="91" t="s">
        <v>305</v>
      </c>
      <c r="O15" s="421" t="s">
        <v>311</v>
      </c>
      <c r="P15" s="5"/>
      <c r="Q15" s="420" t="s">
        <v>307</v>
      </c>
      <c r="R15" s="91" t="s">
        <v>305</v>
      </c>
      <c r="S15" s="421" t="s">
        <v>305</v>
      </c>
      <c r="T15" s="420" t="s">
        <v>307</v>
      </c>
      <c r="U15" s="91" t="s">
        <v>308</v>
      </c>
      <c r="V15" s="421" t="s">
        <v>311</v>
      </c>
      <c r="W15" s="420"/>
      <c r="X15" s="91"/>
      <c r="Y15" s="421"/>
      <c r="Z15" s="420" t="s">
        <v>305</v>
      </c>
      <c r="AA15" s="91" t="s">
        <v>305</v>
      </c>
      <c r="AB15" s="421" t="s">
        <v>310</v>
      </c>
    </row>
    <row r="16" ht="18.95" customHeight="1">
      <c r="A16" s="58"/>
      <c r="B16" s="286"/>
      <c r="C16" s="287" t="s">
        <v>230</v>
      </c>
      <c r="D16" s="271" t="s">
        <v>311</v>
      </c>
      <c r="E16" s="92" t="s">
        <v>305</v>
      </c>
      <c r="F16" s="272" t="s">
        <v>305</v>
      </c>
      <c r="G16" s="271" t="s">
        <v>306</v>
      </c>
      <c r="H16" s="92" t="s">
        <v>305</v>
      </c>
      <c r="I16" s="272" t="s">
        <v>308</v>
      </c>
      <c r="J16" s="271" t="s">
        <v>265</v>
      </c>
      <c r="K16" s="92" t="s">
        <v>265</v>
      </c>
      <c r="L16" s="272" t="s">
        <v>265</v>
      </c>
      <c r="M16" s="271" t="s">
        <v>306</v>
      </c>
      <c r="N16" s="92" t="s">
        <v>310</v>
      </c>
      <c r="O16" s="272" t="s">
        <v>305</v>
      </c>
      <c r="P16" s="5"/>
      <c r="Q16" s="271" t="s">
        <v>313</v>
      </c>
      <c r="R16" s="92" t="s">
        <v>305</v>
      </c>
      <c r="S16" s="272" t="s">
        <v>313</v>
      </c>
      <c r="T16" s="271" t="s">
        <v>306</v>
      </c>
      <c r="U16" s="92" t="s">
        <v>305</v>
      </c>
      <c r="V16" s="272" t="s">
        <v>306</v>
      </c>
      <c r="W16" s="271"/>
      <c r="X16" s="92"/>
      <c r="Y16" s="272"/>
      <c r="Z16" s="271" t="s">
        <v>310</v>
      </c>
      <c r="AA16" s="92" t="s">
        <v>305</v>
      </c>
      <c r="AB16" s="272" t="s">
        <v>313</v>
      </c>
    </row>
    <row r="17" ht="18.95" customHeight="1">
      <c r="A17" s="58"/>
      <c r="B17" s="288"/>
      <c r="C17" s="289" t="s">
        <v>233</v>
      </c>
      <c r="D17" s="420" t="s">
        <v>307</v>
      </c>
      <c r="E17" s="91" t="s">
        <v>307</v>
      </c>
      <c r="F17" s="421" t="s">
        <v>311</v>
      </c>
      <c r="G17" s="420" t="s">
        <v>311</v>
      </c>
      <c r="H17" s="91" t="s">
        <v>309</v>
      </c>
      <c r="I17" s="421" t="s">
        <v>306</v>
      </c>
      <c r="J17" s="420" t="s">
        <v>265</v>
      </c>
      <c r="K17" s="91" t="s">
        <v>265</v>
      </c>
      <c r="L17" s="421" t="s">
        <v>265</v>
      </c>
      <c r="M17" s="420" t="s">
        <v>307</v>
      </c>
      <c r="N17" s="91" t="s">
        <v>311</v>
      </c>
      <c r="O17" s="421" t="s">
        <v>311</v>
      </c>
      <c r="P17" s="5"/>
      <c r="Q17" s="420" t="s">
        <v>313</v>
      </c>
      <c r="R17" s="91" t="s">
        <v>311</v>
      </c>
      <c r="S17" s="421" t="s">
        <v>313</v>
      </c>
      <c r="T17" s="420" t="s">
        <v>309</v>
      </c>
      <c r="U17" s="91" t="s">
        <v>309</v>
      </c>
      <c r="V17" s="421" t="s">
        <v>309</v>
      </c>
      <c r="W17" s="420"/>
      <c r="X17" s="91"/>
      <c r="Y17" s="421"/>
      <c r="Z17" s="420" t="s">
        <v>313</v>
      </c>
      <c r="AA17" s="91" t="s">
        <v>306</v>
      </c>
      <c r="AB17" s="421" t="s">
        <v>313</v>
      </c>
    </row>
    <row r="18" ht="18.95" customHeight="1">
      <c r="A18" s="58"/>
      <c r="B18" s="286"/>
      <c r="C18" s="287" t="s">
        <v>234</v>
      </c>
      <c r="D18" s="271" t="s">
        <v>306</v>
      </c>
      <c r="E18" s="92" t="s">
        <v>311</v>
      </c>
      <c r="F18" s="272" t="s">
        <v>306</v>
      </c>
      <c r="G18" s="271" t="s">
        <v>306</v>
      </c>
      <c r="H18" s="92" t="s">
        <v>306</v>
      </c>
      <c r="I18" s="272" t="s">
        <v>306</v>
      </c>
      <c r="J18" s="271" t="s">
        <v>265</v>
      </c>
      <c r="K18" s="92" t="s">
        <v>265</v>
      </c>
      <c r="L18" s="272" t="s">
        <v>265</v>
      </c>
      <c r="M18" s="271" t="s">
        <v>306</v>
      </c>
      <c r="N18" s="92" t="s">
        <v>311</v>
      </c>
      <c r="O18" s="272" t="s">
        <v>306</v>
      </c>
      <c r="P18" s="5"/>
      <c r="Q18" s="271" t="s">
        <v>310</v>
      </c>
      <c r="R18" s="92" t="s">
        <v>306</v>
      </c>
      <c r="S18" s="272" t="s">
        <v>310</v>
      </c>
      <c r="T18" s="271" t="s">
        <v>306</v>
      </c>
      <c r="U18" s="92" t="s">
        <v>307</v>
      </c>
      <c r="V18" s="272" t="s">
        <v>306</v>
      </c>
      <c r="W18" s="271"/>
      <c r="X18" s="92"/>
      <c r="Y18" s="272"/>
      <c r="Z18" s="271" t="s">
        <v>310</v>
      </c>
      <c r="AA18" s="92" t="s">
        <v>306</v>
      </c>
      <c r="AB18" s="272" t="s">
        <v>310</v>
      </c>
    </row>
    <row r="19" ht="18.95" customHeight="1">
      <c r="A19" s="58"/>
      <c r="B19" s="288"/>
      <c r="C19" s="289" t="s">
        <v>235</v>
      </c>
      <c r="D19" s="420" t="s">
        <v>307</v>
      </c>
      <c r="E19" s="91" t="s">
        <v>310</v>
      </c>
      <c r="F19" s="421" t="s">
        <v>311</v>
      </c>
      <c r="G19" s="420" t="s">
        <v>311</v>
      </c>
      <c r="H19" s="91" t="s">
        <v>306</v>
      </c>
      <c r="I19" s="421" t="s">
        <v>311</v>
      </c>
      <c r="J19" s="420" t="s">
        <v>265</v>
      </c>
      <c r="K19" s="91" t="s">
        <v>265</v>
      </c>
      <c r="L19" s="421" t="s">
        <v>265</v>
      </c>
      <c r="M19" s="420" t="s">
        <v>311</v>
      </c>
      <c r="N19" s="91" t="s">
        <v>305</v>
      </c>
      <c r="O19" s="421" t="s">
        <v>311</v>
      </c>
      <c r="P19" s="5"/>
      <c r="Q19" s="420" t="s">
        <v>310</v>
      </c>
      <c r="R19" s="91" t="s">
        <v>305</v>
      </c>
      <c r="S19" s="421" t="s">
        <v>310</v>
      </c>
      <c r="T19" s="420" t="s">
        <v>308</v>
      </c>
      <c r="U19" s="91" t="s">
        <v>306</v>
      </c>
      <c r="V19" s="421" t="s">
        <v>308</v>
      </c>
      <c r="W19" s="420"/>
      <c r="X19" s="91"/>
      <c r="Y19" s="421"/>
      <c r="Z19" s="420" t="s">
        <v>310</v>
      </c>
      <c r="AA19" s="91" t="s">
        <v>307</v>
      </c>
      <c r="AB19" s="421" t="s">
        <v>310</v>
      </c>
    </row>
    <row r="20" ht="18.95" customHeight="1">
      <c r="A20" s="58"/>
      <c r="B20" s="286"/>
      <c r="C20" s="287" t="s">
        <v>236</v>
      </c>
      <c r="D20" s="271" t="s">
        <v>306</v>
      </c>
      <c r="E20" s="92" t="s">
        <v>310</v>
      </c>
      <c r="F20" s="272" t="s">
        <v>308</v>
      </c>
      <c r="G20" s="271" t="s">
        <v>305</v>
      </c>
      <c r="H20" s="92" t="s">
        <v>313</v>
      </c>
      <c r="I20" s="272" t="s">
        <v>310</v>
      </c>
      <c r="J20" s="271" t="s">
        <v>265</v>
      </c>
      <c r="K20" s="92" t="s">
        <v>265</v>
      </c>
      <c r="L20" s="272" t="s">
        <v>265</v>
      </c>
      <c r="M20" s="271" t="s">
        <v>306</v>
      </c>
      <c r="N20" s="92" t="s">
        <v>310</v>
      </c>
      <c r="O20" s="272" t="s">
        <v>307</v>
      </c>
      <c r="P20" s="5"/>
      <c r="Q20" s="271" t="s">
        <v>311</v>
      </c>
      <c r="R20" s="92" t="s">
        <v>312</v>
      </c>
      <c r="S20" s="272" t="s">
        <v>310</v>
      </c>
      <c r="T20" s="271" t="s">
        <v>310</v>
      </c>
      <c r="U20" s="92" t="s">
        <v>310</v>
      </c>
      <c r="V20" s="272" t="s">
        <v>310</v>
      </c>
      <c r="W20" s="271"/>
      <c r="X20" s="92"/>
      <c r="Y20" s="272"/>
      <c r="Z20" s="271" t="s">
        <v>313</v>
      </c>
      <c r="AA20" s="92" t="s">
        <v>312</v>
      </c>
      <c r="AB20" s="272" t="s">
        <v>313</v>
      </c>
    </row>
    <row r="21" ht="18.95" customHeight="1">
      <c r="A21" s="58"/>
      <c r="B21" s="288"/>
      <c r="C21" s="289" t="s">
        <v>218</v>
      </c>
      <c r="D21" s="420" t="s">
        <v>308</v>
      </c>
      <c r="E21" s="91" t="s">
        <v>305</v>
      </c>
      <c r="F21" s="421" t="s">
        <v>308</v>
      </c>
      <c r="G21" s="420" t="s">
        <v>307</v>
      </c>
      <c r="H21" s="91" t="s">
        <v>305</v>
      </c>
      <c r="I21" s="421" t="s">
        <v>305</v>
      </c>
      <c r="J21" s="420" t="s">
        <v>265</v>
      </c>
      <c r="K21" s="91" t="s">
        <v>265</v>
      </c>
      <c r="L21" s="421" t="s">
        <v>265</v>
      </c>
      <c r="M21" s="420" t="s">
        <v>309</v>
      </c>
      <c r="N21" s="91" t="s">
        <v>305</v>
      </c>
      <c r="O21" s="421" t="s">
        <v>308</v>
      </c>
      <c r="P21" s="5"/>
      <c r="Q21" s="420" t="s">
        <v>309</v>
      </c>
      <c r="R21" s="91" t="s">
        <v>312</v>
      </c>
      <c r="S21" s="421" t="s">
        <v>307</v>
      </c>
      <c r="T21" s="420" t="s">
        <v>305</v>
      </c>
      <c r="U21" s="91" t="s">
        <v>310</v>
      </c>
      <c r="V21" s="421" t="s">
        <v>305</v>
      </c>
      <c r="W21" s="420"/>
      <c r="X21" s="91"/>
      <c r="Y21" s="421"/>
      <c r="Z21" s="420" t="s">
        <v>308</v>
      </c>
      <c r="AA21" s="91" t="s">
        <v>313</v>
      </c>
      <c r="AB21" s="421" t="s">
        <v>311</v>
      </c>
    </row>
    <row r="22" ht="18.95" customHeight="1">
      <c r="A22" s="58"/>
      <c r="B22" s="286"/>
      <c r="C22" s="287" t="s">
        <v>222</v>
      </c>
      <c r="D22" s="271" t="s">
        <v>306</v>
      </c>
      <c r="E22" s="92" t="s">
        <v>307</v>
      </c>
      <c r="F22" s="272" t="s">
        <v>306</v>
      </c>
      <c r="G22" s="271" t="s">
        <v>311</v>
      </c>
      <c r="H22" s="92" t="s">
        <v>313</v>
      </c>
      <c r="I22" s="272" t="s">
        <v>311</v>
      </c>
      <c r="J22" s="271" t="s">
        <v>265</v>
      </c>
      <c r="K22" s="92" t="s">
        <v>265</v>
      </c>
      <c r="L22" s="272" t="s">
        <v>265</v>
      </c>
      <c r="M22" s="271" t="s">
        <v>306</v>
      </c>
      <c r="N22" s="92" t="s">
        <v>305</v>
      </c>
      <c r="O22" s="272" t="s">
        <v>306</v>
      </c>
      <c r="P22" s="5"/>
      <c r="Q22" s="271" t="s">
        <v>311</v>
      </c>
      <c r="R22" s="92" t="s">
        <v>307</v>
      </c>
      <c r="S22" s="272" t="s">
        <v>305</v>
      </c>
      <c r="T22" s="271" t="s">
        <v>310</v>
      </c>
      <c r="U22" s="92" t="s">
        <v>313</v>
      </c>
      <c r="V22" s="272" t="s">
        <v>310</v>
      </c>
      <c r="W22" s="271"/>
      <c r="X22" s="92"/>
      <c r="Y22" s="272"/>
      <c r="Z22" s="271" t="s">
        <v>307</v>
      </c>
      <c r="AA22" s="92" t="s">
        <v>307</v>
      </c>
      <c r="AB22" s="272" t="s">
        <v>305</v>
      </c>
    </row>
    <row r="23" ht="18.95" customHeight="1">
      <c r="A23" s="58"/>
      <c r="B23" s="288">
        <v>2025</v>
      </c>
      <c r="C23" s="289" t="s">
        <v>224</v>
      </c>
      <c r="D23" s="420" t="s">
        <v>305</v>
      </c>
      <c r="E23" s="91" t="s">
        <v>305</v>
      </c>
      <c r="F23" s="421" t="s">
        <v>310</v>
      </c>
      <c r="G23" s="420" t="s">
        <v>308</v>
      </c>
      <c r="H23" s="91" t="s">
        <v>306</v>
      </c>
      <c r="I23" s="421" t="s">
        <v>308</v>
      </c>
      <c r="J23" s="420" t="s">
        <v>265</v>
      </c>
      <c r="K23" s="91" t="s">
        <v>265</v>
      </c>
      <c r="L23" s="421" t="s">
        <v>265</v>
      </c>
      <c r="M23" s="420" t="s">
        <v>306</v>
      </c>
      <c r="N23" s="91" t="s">
        <v>307</v>
      </c>
      <c r="O23" s="421" t="s">
        <v>306</v>
      </c>
      <c r="P23" s="5"/>
      <c r="Q23" s="420" t="s">
        <v>313</v>
      </c>
      <c r="R23" s="91" t="s">
        <v>305</v>
      </c>
      <c r="S23" s="421" t="s">
        <v>312</v>
      </c>
      <c r="T23" s="420" t="s">
        <v>308</v>
      </c>
      <c r="U23" s="91" t="s">
        <v>308</v>
      </c>
      <c r="V23" s="421" t="s">
        <v>308</v>
      </c>
      <c r="W23" s="420"/>
      <c r="X23" s="91"/>
      <c r="Y23" s="421"/>
      <c r="Z23" s="420" t="s">
        <v>310</v>
      </c>
      <c r="AA23" s="91" t="s">
        <v>307</v>
      </c>
      <c r="AB23" s="421" t="s">
        <v>305</v>
      </c>
    </row>
    <row r="24" ht="18.95" customHeight="1">
      <c r="A24" s="59"/>
      <c r="B24" s="286"/>
      <c r="C24" s="287" t="s">
        <v>225</v>
      </c>
      <c r="D24" s="271" t="s">
        <v>305</v>
      </c>
      <c r="E24" s="92" t="s">
        <v>305</v>
      </c>
      <c r="F24" s="272" t="s">
        <v>305</v>
      </c>
      <c r="G24" s="271" t="s">
        <v>306</v>
      </c>
      <c r="H24" s="92" t="s">
        <v>305</v>
      </c>
      <c r="I24" s="272" t="s">
        <v>311</v>
      </c>
      <c r="J24" s="271" t="s">
        <v>265</v>
      </c>
      <c r="K24" s="92" t="s">
        <v>265</v>
      </c>
      <c r="L24" s="272" t="s">
        <v>265</v>
      </c>
      <c r="M24" s="271" t="s">
        <v>311</v>
      </c>
      <c r="N24" s="92" t="s">
        <v>305</v>
      </c>
      <c r="O24" s="272" t="s">
        <v>307</v>
      </c>
      <c r="P24" s="93"/>
      <c r="Q24" s="271" t="s">
        <v>310</v>
      </c>
      <c r="R24" s="92" t="s">
        <v>313</v>
      </c>
      <c r="S24" s="272" t="s">
        <v>312</v>
      </c>
      <c r="T24" s="271" t="s">
        <v>307</v>
      </c>
      <c r="U24" s="92" t="s">
        <v>311</v>
      </c>
      <c r="V24" s="272" t="s">
        <v>311</v>
      </c>
      <c r="W24" s="271"/>
      <c r="X24" s="92"/>
      <c r="Y24" s="272"/>
      <c r="Z24" s="271" t="s">
        <v>313</v>
      </c>
      <c r="AA24" s="92" t="s">
        <v>313</v>
      </c>
      <c r="AB24" s="272" t="s">
        <v>313</v>
      </c>
    </row>
    <row r="25" ht="18.95" customHeight="1">
      <c r="A25" s="60"/>
      <c r="B25" s="288"/>
      <c r="C25" s="289" t="s">
        <v>226</v>
      </c>
      <c r="D25" s="420" t="s">
        <v>310</v>
      </c>
      <c r="E25" s="91" t="s">
        <v>305</v>
      </c>
      <c r="F25" s="421" t="s">
        <v>313</v>
      </c>
      <c r="G25" s="420" t="s">
        <v>309</v>
      </c>
      <c r="H25" s="91" t="s">
        <v>305</v>
      </c>
      <c r="I25" s="421" t="s">
        <v>309</v>
      </c>
      <c r="J25" s="420" t="s">
        <v>265</v>
      </c>
      <c r="K25" s="91" t="s">
        <v>265</v>
      </c>
      <c r="L25" s="421" t="s">
        <v>265</v>
      </c>
      <c r="M25" s="420" t="s">
        <v>306</v>
      </c>
      <c r="N25" s="91" t="s">
        <v>305</v>
      </c>
      <c r="O25" s="421" t="s">
        <v>306</v>
      </c>
      <c r="P25" s="93"/>
      <c r="Q25" s="420" t="s">
        <v>310</v>
      </c>
      <c r="R25" s="91" t="s">
        <v>305</v>
      </c>
      <c r="S25" s="421" t="s">
        <v>313</v>
      </c>
      <c r="T25" s="420" t="s">
        <v>306</v>
      </c>
      <c r="U25" s="91" t="s">
        <v>307</v>
      </c>
      <c r="V25" s="421" t="s">
        <v>306</v>
      </c>
      <c r="W25" s="420"/>
      <c r="X25" s="91"/>
      <c r="Y25" s="421"/>
      <c r="Z25" s="420" t="s">
        <v>305</v>
      </c>
      <c r="AA25" s="91" t="s">
        <v>310</v>
      </c>
      <c r="AB25" s="421" t="s">
        <v>313</v>
      </c>
    </row>
    <row r="26" ht="18.95" customHeight="1">
      <c r="A26" s="60"/>
      <c r="B26" s="290"/>
      <c r="C26" s="291" t="s">
        <v>228</v>
      </c>
      <c r="D26" s="273" t="s">
        <v>306</v>
      </c>
      <c r="E26" s="274" t="s">
        <v>311</v>
      </c>
      <c r="F26" s="275" t="s">
        <v>307</v>
      </c>
      <c r="G26" s="273" t="s">
        <v>311</v>
      </c>
      <c r="H26" s="274" t="s">
        <v>305</v>
      </c>
      <c r="I26" s="275" t="s">
        <v>311</v>
      </c>
      <c r="J26" s="273" t="s">
        <v>265</v>
      </c>
      <c r="K26" s="274" t="s">
        <v>265</v>
      </c>
      <c r="L26" s="275" t="s">
        <v>265</v>
      </c>
      <c r="M26" s="273" t="s">
        <v>308</v>
      </c>
      <c r="N26" s="274" t="s">
        <v>311</v>
      </c>
      <c r="O26" s="275" t="s">
        <v>306</v>
      </c>
      <c r="P26" s="184"/>
      <c r="Q26" s="273" t="s">
        <v>313</v>
      </c>
      <c r="R26" s="274" t="s">
        <v>311</v>
      </c>
      <c r="S26" s="275" t="s">
        <v>310</v>
      </c>
      <c r="T26" s="273" t="s">
        <v>308</v>
      </c>
      <c r="U26" s="274" t="s">
        <v>305</v>
      </c>
      <c r="V26" s="275" t="s">
        <v>306</v>
      </c>
      <c r="W26" s="273"/>
      <c r="X26" s="274"/>
      <c r="Y26" s="275"/>
      <c r="Z26" s="273" t="s">
        <v>310</v>
      </c>
      <c r="AA26" s="274" t="s">
        <v>311</v>
      </c>
      <c r="AB26" s="275" t="s">
        <v>310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309</v>
      </c>
      <c r="E29" s="428" t="s">
        <v>305</v>
      </c>
      <c r="F29" s="429" t="s">
        <v>308</v>
      </c>
      <c r="G29" s="427" t="s">
        <v>311</v>
      </c>
      <c r="H29" s="428" t="s">
        <v>310</v>
      </c>
      <c r="I29" s="429" t="s">
        <v>311</v>
      </c>
      <c r="J29" s="427" t="s">
        <v>265</v>
      </c>
      <c r="K29" s="428" t="s">
        <v>265</v>
      </c>
      <c r="L29" s="429" t="s">
        <v>265</v>
      </c>
      <c r="M29" s="427" t="s">
        <v>309</v>
      </c>
      <c r="N29" s="428" t="s">
        <v>305</v>
      </c>
      <c r="O29" s="429" t="s">
        <v>308</v>
      </c>
      <c r="P29" s="5"/>
      <c r="Q29" s="427" t="s">
        <v>313</v>
      </c>
      <c r="R29" s="428" t="s">
        <v>306</v>
      </c>
      <c r="S29" s="429" t="s">
        <v>310</v>
      </c>
      <c r="T29" s="427" t="s">
        <v>310</v>
      </c>
      <c r="U29" s="428" t="s">
        <v>307</v>
      </c>
      <c r="V29" s="429" t="s">
        <v>305</v>
      </c>
      <c r="W29" s="427"/>
      <c r="X29" s="428"/>
      <c r="Y29" s="429"/>
      <c r="Z29" s="427" t="s">
        <v>310</v>
      </c>
      <c r="AA29" s="428" t="s">
        <v>306</v>
      </c>
      <c r="AB29" s="429" t="s">
        <v>307</v>
      </c>
    </row>
    <row r="30" ht="18.95" customHeight="1">
      <c r="A30" s="58"/>
      <c r="B30" s="286">
        <v>2024</v>
      </c>
      <c r="C30" s="287"/>
      <c r="D30" s="271" t="s">
        <v>308</v>
      </c>
      <c r="E30" s="92" t="s">
        <v>310</v>
      </c>
      <c r="F30" s="272" t="s">
        <v>308</v>
      </c>
      <c r="G30" s="271" t="s">
        <v>305</v>
      </c>
      <c r="H30" s="92" t="s">
        <v>307</v>
      </c>
      <c r="I30" s="272" t="s">
        <v>305</v>
      </c>
      <c r="J30" s="271" t="s">
        <v>265</v>
      </c>
      <c r="K30" s="92" t="s">
        <v>265</v>
      </c>
      <c r="L30" s="272" t="s">
        <v>265</v>
      </c>
      <c r="M30" s="271" t="s">
        <v>308</v>
      </c>
      <c r="N30" s="92" t="s">
        <v>310</v>
      </c>
      <c r="O30" s="272" t="s">
        <v>308</v>
      </c>
      <c r="P30" s="5"/>
      <c r="Q30" s="271" t="s">
        <v>307</v>
      </c>
      <c r="R30" s="92" t="s">
        <v>311</v>
      </c>
      <c r="S30" s="272" t="s">
        <v>307</v>
      </c>
      <c r="T30" s="271" t="s">
        <v>310</v>
      </c>
      <c r="U30" s="92" t="s">
        <v>308</v>
      </c>
      <c r="V30" s="272" t="s">
        <v>310</v>
      </c>
      <c r="W30" s="271"/>
      <c r="X30" s="92"/>
      <c r="Y30" s="272"/>
      <c r="Z30" s="271" t="s">
        <v>310</v>
      </c>
      <c r="AA30" s="92" t="s">
        <v>311</v>
      </c>
      <c r="AB30" s="272" t="s">
        <v>307</v>
      </c>
    </row>
    <row r="31" ht="18.95" customHeight="1">
      <c r="A31" s="58"/>
      <c r="B31" s="425">
        <v>2025</v>
      </c>
      <c r="C31" s="426"/>
      <c r="D31" s="430" t="s">
        <v>305</v>
      </c>
      <c r="E31" s="431" t="s">
        <v>305</v>
      </c>
      <c r="F31" s="432" t="s">
        <v>305</v>
      </c>
      <c r="G31" s="430" t="s">
        <v>308</v>
      </c>
      <c r="H31" s="431" t="s">
        <v>307</v>
      </c>
      <c r="I31" s="432" t="s">
        <v>308</v>
      </c>
      <c r="J31" s="430" t="s">
        <v>265</v>
      </c>
      <c r="K31" s="431" t="s">
        <v>265</v>
      </c>
      <c r="L31" s="432" t="s">
        <v>265</v>
      </c>
      <c r="M31" s="430" t="s">
        <v>306</v>
      </c>
      <c r="N31" s="431" t="s">
        <v>305</v>
      </c>
      <c r="O31" s="432" t="s">
        <v>311</v>
      </c>
      <c r="P31" s="184"/>
      <c r="Q31" s="430" t="s">
        <v>313</v>
      </c>
      <c r="R31" s="431" t="s">
        <v>310</v>
      </c>
      <c r="S31" s="432" t="s">
        <v>312</v>
      </c>
      <c r="T31" s="430" t="s">
        <v>308</v>
      </c>
      <c r="U31" s="431" t="s">
        <v>310</v>
      </c>
      <c r="V31" s="432" t="s">
        <v>308</v>
      </c>
      <c r="W31" s="430"/>
      <c r="X31" s="431"/>
      <c r="Y31" s="432"/>
      <c r="Z31" s="430" t="s">
        <v>310</v>
      </c>
      <c r="AA31" s="431" t="s">
        <v>310</v>
      </c>
      <c r="AB31" s="432" t="s">
        <v>312</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309</v>
      </c>
      <c r="E34" s="428" t="s">
        <v>305</v>
      </c>
      <c r="F34" s="429" t="s">
        <v>308</v>
      </c>
      <c r="G34" s="427" t="s">
        <v>307</v>
      </c>
      <c r="H34" s="428" t="s">
        <v>312</v>
      </c>
      <c r="I34" s="429" t="s">
        <v>307</v>
      </c>
      <c r="J34" s="427" t="s">
        <v>265</v>
      </c>
      <c r="K34" s="428" t="s">
        <v>265</v>
      </c>
      <c r="L34" s="429" t="s">
        <v>265</v>
      </c>
      <c r="M34" s="427" t="s">
        <v>309</v>
      </c>
      <c r="N34" s="428" t="s">
        <v>305</v>
      </c>
      <c r="O34" s="429" t="s">
        <v>306</v>
      </c>
      <c r="P34" s="5"/>
      <c r="Q34" s="427" t="s">
        <v>305</v>
      </c>
      <c r="R34" s="428" t="s">
        <v>306</v>
      </c>
      <c r="S34" s="429" t="s">
        <v>306</v>
      </c>
      <c r="T34" s="427" t="s">
        <v>311</v>
      </c>
      <c r="U34" s="428" t="s">
        <v>313</v>
      </c>
      <c r="V34" s="429" t="s">
        <v>311</v>
      </c>
      <c r="W34" s="427"/>
      <c r="X34" s="428"/>
      <c r="Y34" s="429"/>
      <c r="Z34" s="427" t="s">
        <v>307</v>
      </c>
      <c r="AA34" s="428" t="s">
        <v>306</v>
      </c>
      <c r="AB34" s="429" t="s">
        <v>306</v>
      </c>
    </row>
    <row r="35" ht="18.95" customHeight="1">
      <c r="A35" s="58"/>
      <c r="B35" s="286">
        <v>2024</v>
      </c>
      <c r="C35" s="287"/>
      <c r="D35" s="271" t="s">
        <v>308</v>
      </c>
      <c r="E35" s="92" t="s">
        <v>305</v>
      </c>
      <c r="F35" s="272" t="s">
        <v>308</v>
      </c>
      <c r="G35" s="271" t="s">
        <v>305</v>
      </c>
      <c r="H35" s="92" t="s">
        <v>305</v>
      </c>
      <c r="I35" s="272" t="s">
        <v>310</v>
      </c>
      <c r="J35" s="271" t="s">
        <v>265</v>
      </c>
      <c r="K35" s="92" t="s">
        <v>265</v>
      </c>
      <c r="L35" s="272" t="s">
        <v>265</v>
      </c>
      <c r="M35" s="271" t="s">
        <v>308</v>
      </c>
      <c r="N35" s="92" t="s">
        <v>305</v>
      </c>
      <c r="O35" s="272" t="s">
        <v>308</v>
      </c>
      <c r="P35" s="5"/>
      <c r="Q35" s="271" t="s">
        <v>305</v>
      </c>
      <c r="R35" s="92" t="s">
        <v>311</v>
      </c>
      <c r="S35" s="272" t="s">
        <v>307</v>
      </c>
      <c r="T35" s="271" t="s">
        <v>305</v>
      </c>
      <c r="U35" s="92" t="s">
        <v>306</v>
      </c>
      <c r="V35" s="272" t="s">
        <v>307</v>
      </c>
      <c r="W35" s="271"/>
      <c r="X35" s="92"/>
      <c r="Y35" s="272"/>
      <c r="Z35" s="271" t="s">
        <v>307</v>
      </c>
      <c r="AA35" s="92" t="s">
        <v>311</v>
      </c>
      <c r="AB35" s="272" t="s">
        <v>307</v>
      </c>
    </row>
    <row r="36" ht="18.95" customHeight="1">
      <c r="A36" s="58"/>
      <c r="B36" s="425">
        <v>2025</v>
      </c>
      <c r="C36" s="426"/>
      <c r="D36" s="430" t="s">
        <v>307</v>
      </c>
      <c r="E36" s="431" t="s">
        <v>305</v>
      </c>
      <c r="F36" s="432" t="s">
        <v>305</v>
      </c>
      <c r="G36" s="430" t="s">
        <v>308</v>
      </c>
      <c r="H36" s="431" t="s">
        <v>305</v>
      </c>
      <c r="I36" s="432" t="s">
        <v>308</v>
      </c>
      <c r="J36" s="430" t="s">
        <v>265</v>
      </c>
      <c r="K36" s="431" t="s">
        <v>265</v>
      </c>
      <c r="L36" s="432" t="s">
        <v>265</v>
      </c>
      <c r="M36" s="430" t="s">
        <v>308</v>
      </c>
      <c r="N36" s="431" t="s">
        <v>305</v>
      </c>
      <c r="O36" s="432" t="s">
        <v>311</v>
      </c>
      <c r="P36" s="184"/>
      <c r="Q36" s="430" t="s">
        <v>313</v>
      </c>
      <c r="R36" s="431" t="s">
        <v>310</v>
      </c>
      <c r="S36" s="432" t="s">
        <v>312</v>
      </c>
      <c r="T36" s="430" t="s">
        <v>306</v>
      </c>
      <c r="U36" s="431" t="s">
        <v>305</v>
      </c>
      <c r="V36" s="432" t="s">
        <v>308</v>
      </c>
      <c r="W36" s="430"/>
      <c r="X36" s="431"/>
      <c r="Y36" s="432"/>
      <c r="Z36" s="430" t="s">
        <v>310</v>
      </c>
      <c r="AA36" s="431" t="s">
        <v>310</v>
      </c>
      <c r="AB36" s="432" t="s">
        <v>312</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309</v>
      </c>
      <c r="E39" s="428" t="s">
        <v>311</v>
      </c>
      <c r="F39" s="429" t="s">
        <v>309</v>
      </c>
      <c r="G39" s="427" t="s">
        <v>306</v>
      </c>
      <c r="H39" s="428" t="s">
        <v>308</v>
      </c>
      <c r="I39" s="429" t="s">
        <v>306</v>
      </c>
      <c r="J39" s="427" t="s">
        <v>265</v>
      </c>
      <c r="K39" s="428" t="s">
        <v>265</v>
      </c>
      <c r="L39" s="429" t="s">
        <v>265</v>
      </c>
      <c r="M39" s="427" t="s">
        <v>309</v>
      </c>
      <c r="N39" s="428" t="s">
        <v>311</v>
      </c>
      <c r="O39" s="429" t="s">
        <v>308</v>
      </c>
      <c r="P39" s="5"/>
      <c r="Q39" s="427" t="s">
        <v>345</v>
      </c>
      <c r="R39" s="428" t="s">
        <v>346</v>
      </c>
      <c r="S39" s="429" t="s">
        <v>347</v>
      </c>
      <c r="T39" s="427" t="s">
        <v>345</v>
      </c>
      <c r="U39" s="428" t="s">
        <v>346</v>
      </c>
      <c r="V39" s="429" t="s">
        <v>347</v>
      </c>
      <c r="W39" s="427"/>
      <c r="X39" s="428"/>
      <c r="Y39" s="429"/>
      <c r="Z39" s="427" t="s">
        <v>310</v>
      </c>
      <c r="AA39" s="428" t="s">
        <v>306</v>
      </c>
      <c r="AB39" s="429" t="s">
        <v>311</v>
      </c>
    </row>
    <row r="40" ht="18.95" customHeight="1">
      <c r="A40" s="58"/>
      <c r="B40" s="286">
        <v>2024</v>
      </c>
      <c r="C40" s="287"/>
      <c r="D40" s="271" t="s">
        <v>309</v>
      </c>
      <c r="E40" s="92" t="s">
        <v>305</v>
      </c>
      <c r="F40" s="272" t="s">
        <v>309</v>
      </c>
      <c r="G40" s="271" t="s">
        <v>307</v>
      </c>
      <c r="H40" s="92" t="s">
        <v>307</v>
      </c>
      <c r="I40" s="272" t="s">
        <v>307</v>
      </c>
      <c r="J40" s="271" t="s">
        <v>265</v>
      </c>
      <c r="K40" s="92" t="s">
        <v>265</v>
      </c>
      <c r="L40" s="272" t="s">
        <v>265</v>
      </c>
      <c r="M40" s="271" t="s">
        <v>309</v>
      </c>
      <c r="N40" s="92" t="s">
        <v>305</v>
      </c>
      <c r="O40" s="272" t="s">
        <v>308</v>
      </c>
      <c r="P40" s="5"/>
      <c r="Q40" s="271" t="s">
        <v>311</v>
      </c>
      <c r="R40" s="92" t="s">
        <v>305</v>
      </c>
      <c r="S40" s="272" t="s">
        <v>311</v>
      </c>
      <c r="T40" s="271" t="s">
        <v>311</v>
      </c>
      <c r="U40" s="92" t="s">
        <v>307</v>
      </c>
      <c r="V40" s="272" t="s">
        <v>307</v>
      </c>
      <c r="W40" s="271"/>
      <c r="X40" s="92"/>
      <c r="Y40" s="272"/>
      <c r="Z40" s="271" t="s">
        <v>307</v>
      </c>
      <c r="AA40" s="92" t="s">
        <v>310</v>
      </c>
      <c r="AB40" s="272" t="s">
        <v>310</v>
      </c>
    </row>
    <row r="41" ht="18.95" customHeight="1">
      <c r="A41" s="58"/>
      <c r="B41" s="425">
        <v>2025</v>
      </c>
      <c r="C41" s="426"/>
      <c r="D41" s="430" t="s">
        <v>306</v>
      </c>
      <c r="E41" s="431" t="s">
        <v>305</v>
      </c>
      <c r="F41" s="432" t="s">
        <v>311</v>
      </c>
      <c r="G41" s="430" t="s">
        <v>306</v>
      </c>
      <c r="H41" s="431" t="s">
        <v>311</v>
      </c>
      <c r="I41" s="432" t="s">
        <v>308</v>
      </c>
      <c r="J41" s="430" t="s">
        <v>265</v>
      </c>
      <c r="K41" s="431" t="s">
        <v>265</v>
      </c>
      <c r="L41" s="432" t="s">
        <v>265</v>
      </c>
      <c r="M41" s="430" t="s">
        <v>306</v>
      </c>
      <c r="N41" s="431" t="s">
        <v>305</v>
      </c>
      <c r="O41" s="432" t="s">
        <v>306</v>
      </c>
      <c r="P41" s="184"/>
      <c r="Q41" s="430" t="s">
        <v>310</v>
      </c>
      <c r="R41" s="431" t="s">
        <v>310</v>
      </c>
      <c r="S41" s="432" t="s">
        <v>312</v>
      </c>
      <c r="T41" s="430" t="s">
        <v>311</v>
      </c>
      <c r="U41" s="431" t="s">
        <v>305</v>
      </c>
      <c r="V41" s="432" t="s">
        <v>307</v>
      </c>
      <c r="W41" s="430"/>
      <c r="X41" s="431"/>
      <c r="Y41" s="432"/>
      <c r="Z41" s="430" t="s">
        <v>310</v>
      </c>
      <c r="AA41" s="431" t="s">
        <v>310</v>
      </c>
      <c r="AB41" s="432" t="s">
        <v>313</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189</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83.14393939393939393939393948</v>
      </c>
      <c r="E11" s="428">
        <v>77.758954501452081316553727080</v>
      </c>
      <c r="F11" s="429">
        <v>55.333124804504222708789490200</v>
      </c>
      <c r="G11" s="427">
        <v>5.3030303030303030303030303100</v>
      </c>
      <c r="H11" s="428">
        <v>8.034849951597289448209099720</v>
      </c>
      <c r="I11" s="429">
        <v>13.244187258888541340840371200</v>
      </c>
      <c r="J11" s="427">
        <v>0</v>
      </c>
      <c r="K11" s="428">
        <v>0</v>
      </c>
      <c r="L11" s="429">
        <v>7.1368991763111250130330518300</v>
      </c>
      <c r="M11" s="427">
        <v>88.44696969696969696969696970</v>
      </c>
      <c r="N11" s="428">
        <v>85.79380445304937076476282672</v>
      </c>
      <c r="O11" s="429">
        <v>75.711604629340006255864873320</v>
      </c>
      <c r="P11" s="5"/>
      <c r="Q11" s="427">
        <v>-7.7731092436819786738224674600</v>
      </c>
      <c r="R11" s="428">
        <v>9.137228260925023537186937540</v>
      </c>
      <c r="S11" s="429">
        <v>3.8377300852275150862365872700</v>
      </c>
      <c r="T11" s="427">
        <v>599.99999997760000000071680092</v>
      </c>
      <c r="U11" s="428">
        <v>-27.668845315669654121633369070</v>
      </c>
      <c r="V11" s="429">
        <v>-1.5337146783756625261270159200</v>
      </c>
      <c r="W11" s="427">
        <v>0</v>
      </c>
      <c r="X11" s="428">
        <v>-100</v>
      </c>
      <c r="Y11" s="429">
        <v>6.2472980820033253499478178500</v>
      </c>
      <c r="Z11" s="427">
        <v>-2.7083333333430624999999990200</v>
      </c>
      <c r="AA11" s="428">
        <v>2.8728961114776089363495475800</v>
      </c>
      <c r="AB11" s="429">
        <v>3.0709630256034289637029432500</v>
      </c>
    </row>
    <row r="12" ht="18" customHeight="1">
      <c r="A12" s="58"/>
      <c r="B12" s="1043" t="s">
        <v>46</v>
      </c>
      <c r="C12" s="1043"/>
      <c r="D12" s="420">
        <v>82.57575757575757575757575766</v>
      </c>
      <c r="E12" s="91">
        <v>74.903194578896418199419167550</v>
      </c>
      <c r="F12" s="421">
        <v>53.148785319570430612032113500</v>
      </c>
      <c r="G12" s="420">
        <v>10.606060606060606060606060620</v>
      </c>
      <c r="H12" s="91">
        <v>12.512100677637947725072604080</v>
      </c>
      <c r="I12" s="421">
        <v>18.261912209362944427067042040</v>
      </c>
      <c r="J12" s="420">
        <v>0</v>
      </c>
      <c r="K12" s="91">
        <v>0</v>
      </c>
      <c r="L12" s="421">
        <v>6.7172349077259931185486393600</v>
      </c>
      <c r="M12" s="420">
        <v>93.18181818181818181818181818</v>
      </c>
      <c r="N12" s="91">
        <v>87.41529525653436592449177154</v>
      </c>
      <c r="O12" s="421">
        <v>78.127932436659368157647794810</v>
      </c>
      <c r="P12" s="5"/>
      <c r="Q12" s="420">
        <v>-7.1550255536690183968958316600</v>
      </c>
      <c r="R12" s="91">
        <v>14.867874109215568971943588610</v>
      </c>
      <c r="S12" s="421">
        <v>4.3811374028521861726321277200</v>
      </c>
      <c r="T12" s="420">
        <v>133.33333333100000000002333364</v>
      </c>
      <c r="U12" s="91">
        <v>-7.2812051647227845717136114500</v>
      </c>
      <c r="V12" s="421">
        <v>3.7382671785004276944137055900</v>
      </c>
      <c r="W12" s="420">
        <v>0</v>
      </c>
      <c r="X12" s="91">
        <v>-100</v>
      </c>
      <c r="Y12" s="421">
        <v>2.9625135226113582456996183900</v>
      </c>
      <c r="Z12" s="420">
        <v>-0.3241491085382556364906519300</v>
      </c>
      <c r="AA12" s="91">
        <v>9.163442940015326487668782990</v>
      </c>
      <c r="AB12" s="421">
        <v>4.1070110660917664007245531600</v>
      </c>
    </row>
    <row r="13" ht="18" customHeight="1">
      <c r="A13" s="58"/>
      <c r="B13" s="1043" t="s">
        <v>47</v>
      </c>
      <c r="C13" s="1043"/>
      <c r="D13" s="420">
        <v>81.06060606060606060606060614</v>
      </c>
      <c r="E13" s="91">
        <v>73.843175217812197483059051380</v>
      </c>
      <c r="F13" s="421">
        <v>55.483265561463872380356584360</v>
      </c>
      <c r="G13" s="420">
        <v>13.333333333333333333333333350</v>
      </c>
      <c r="H13" s="91">
        <v>10.88092933204259438528557600</v>
      </c>
      <c r="I13" s="421">
        <v>18.876029611093733708685225750</v>
      </c>
      <c r="J13" s="420">
        <v>0</v>
      </c>
      <c r="K13" s="91">
        <v>0</v>
      </c>
      <c r="L13" s="421">
        <v>7.0357626941924721092691064600</v>
      </c>
      <c r="M13" s="420">
        <v>94.39393939393939393939393939</v>
      </c>
      <c r="N13" s="91">
        <v>84.72410454985479186834462730</v>
      </c>
      <c r="O13" s="421">
        <v>81.40131373162339693462621207</v>
      </c>
      <c r="P13" s="184"/>
      <c r="Q13" s="420">
        <v>-9.013605442167586422324030620</v>
      </c>
      <c r="R13" s="91">
        <v>14.157437892870029521743813440</v>
      </c>
      <c r="S13" s="421">
        <v>5.990939419355467036679705100</v>
      </c>
      <c r="T13" s="420">
        <v>137.83783783616654492331342458</v>
      </c>
      <c r="U13" s="91">
        <v>-28.589580686132242653410159780</v>
      </c>
      <c r="V13" s="421">
        <v>-7.433717334448996983512800600</v>
      </c>
      <c r="W13" s="420">
        <v>0</v>
      </c>
      <c r="X13" s="91">
        <v>-100</v>
      </c>
      <c r="Y13" s="421">
        <v>4.600715166018799514892589900</v>
      </c>
      <c r="Z13" s="420">
        <v>-0.320000000031897599999989800</v>
      </c>
      <c r="AA13" s="91">
        <v>4.7641848216840872319195843900</v>
      </c>
      <c r="AB13" s="421">
        <v>2.4361864348946067397116084300</v>
      </c>
    </row>
    <row r="14" ht="18" customHeight="1">
      <c r="A14" s="58"/>
      <c r="B14" s="1043" t="s">
        <v>48</v>
      </c>
      <c r="C14" s="1043"/>
      <c r="D14" s="420">
        <v>79.24242424242424242424242432</v>
      </c>
      <c r="E14" s="91">
        <v>74.230396902226524685382381490</v>
      </c>
      <c r="F14" s="421">
        <v>54.863934939005317485142320980</v>
      </c>
      <c r="G14" s="420">
        <v>15.454545454545454545454545470</v>
      </c>
      <c r="H14" s="91">
        <v>11.403678606001936108422071650</v>
      </c>
      <c r="I14" s="421">
        <v>20.988426649984360337816703180</v>
      </c>
      <c r="J14" s="420">
        <v>0</v>
      </c>
      <c r="K14" s="91">
        <v>0</v>
      </c>
      <c r="L14" s="421">
        <v>6.7813575226775101657804191500</v>
      </c>
      <c r="M14" s="420">
        <v>94.69696969696969696969696970</v>
      </c>
      <c r="N14" s="91">
        <v>85.63407550822846079380445305</v>
      </c>
      <c r="O14" s="421">
        <v>82.63580439995829423417787509</v>
      </c>
      <c r="P14" s="5"/>
      <c r="Q14" s="420">
        <v>-8.845315904120368519230491320</v>
      </c>
      <c r="R14" s="91">
        <v>6.3891779396562392842176853300</v>
      </c>
      <c r="S14" s="421">
        <v>-3.1221194909666419830832656200</v>
      </c>
      <c r="T14" s="420">
        <v>580.00000000816000000009792068</v>
      </c>
      <c r="U14" s="91">
        <v>-23.506493506741862034069019830</v>
      </c>
      <c r="V14" s="421">
        <v>15.913145856952563261040830070</v>
      </c>
      <c r="W14" s="420">
        <v>0</v>
      </c>
      <c r="X14" s="91">
        <v>-100</v>
      </c>
      <c r="Y14" s="421">
        <v>0.1997594612402442700524466200</v>
      </c>
      <c r="Z14" s="420">
        <v>6.1571125265933709278267142500</v>
      </c>
      <c r="AA14" s="91">
        <v>0.323220867573171627774210200</v>
      </c>
      <c r="AB14" s="421">
        <v>1.3883256545465081028975892400</v>
      </c>
    </row>
    <row r="15" ht="18" customHeight="1">
      <c r="A15" s="58"/>
      <c r="B15" s="1043" t="s">
        <v>49</v>
      </c>
      <c r="C15" s="1043"/>
      <c r="D15" s="420">
        <v>81.25000000000000000000000008</v>
      </c>
      <c r="E15" s="91">
        <v>81.12294288480154888673765739</v>
      </c>
      <c r="F15" s="421">
        <v>58.831195912834949431758940730</v>
      </c>
      <c r="G15" s="420">
        <v>11.931818181818181818181818190</v>
      </c>
      <c r="H15" s="91">
        <v>7.2362052274927395934172313700</v>
      </c>
      <c r="I15" s="421">
        <v>17.477322489834219580857053510</v>
      </c>
      <c r="J15" s="420">
        <v>0</v>
      </c>
      <c r="K15" s="91">
        <v>0</v>
      </c>
      <c r="L15" s="421">
        <v>7.2646230841413825461370034500</v>
      </c>
      <c r="M15" s="420">
        <v>93.18181818181818181818181818</v>
      </c>
      <c r="N15" s="91">
        <v>88.35914811229428848015488867</v>
      </c>
      <c r="O15" s="421">
        <v>83.57314148681055155875299760</v>
      </c>
      <c r="P15" s="184"/>
      <c r="Q15" s="420">
        <v>-9.873949579816785537744506930</v>
      </c>
      <c r="R15" s="91">
        <v>11.214333112217867602152183290</v>
      </c>
      <c r="S15" s="421">
        <v>1.937524495298438796755770300</v>
      </c>
      <c r="T15" s="420">
        <v>249.99999999906666666666915580</v>
      </c>
      <c r="U15" s="91">
        <v>-41.372549019576115340253731350</v>
      </c>
      <c r="V15" s="421">
        <v>-10.309026818314010422236977920</v>
      </c>
      <c r="W15" s="420">
        <v>0</v>
      </c>
      <c r="X15" s="91">
        <v>-100</v>
      </c>
      <c r="Y15" s="421">
        <v>11.781746431481329282328068020</v>
      </c>
      <c r="Z15" s="420">
        <v>-0.4048582995886901932501757900</v>
      </c>
      <c r="AA15" s="91">
        <v>2.9030439684054250040354993400</v>
      </c>
      <c r="AB15" s="421">
        <v>-0.1429236760570573172440584400</v>
      </c>
    </row>
    <row r="16" ht="18" customHeight="1">
      <c r="A16" s="58"/>
      <c r="B16" s="1044" t="s">
        <v>75</v>
      </c>
      <c r="C16" s="1044"/>
      <c r="D16" s="430">
        <v>81.33608815426997245179063368</v>
      </c>
      <c r="E16" s="431">
        <v>76.159464930036082020593153290</v>
      </c>
      <c r="F16" s="432">
        <v>55.499473938635652742628032020</v>
      </c>
      <c r="G16" s="430">
        <v>11.604683195592286501377410480</v>
      </c>
      <c r="H16" s="431">
        <v>10.116166505324298160696999040</v>
      </c>
      <c r="I16" s="432">
        <v>17.966180415351513255798523260</v>
      </c>
      <c r="J16" s="430">
        <v>0</v>
      </c>
      <c r="K16" s="431">
        <v>0</v>
      </c>
      <c r="L16" s="432">
        <v>6.9800286253210870039146548400</v>
      </c>
      <c r="M16" s="430">
        <v>92.94077134986225895316804408</v>
      </c>
      <c r="N16" s="431">
        <v>86.27563143536038018129015225</v>
      </c>
      <c r="O16" s="432">
        <v>80.44710476677946180604923176</v>
      </c>
      <c r="P16" s="5"/>
      <c r="Q16" s="430">
        <v>-8.66202629547850481712162300</v>
      </c>
      <c r="R16" s="431">
        <v>11.305466237904929697583784420</v>
      </c>
      <c r="S16" s="432">
        <v>2.8756646828189036949052555500</v>
      </c>
      <c r="T16" s="430">
        <v>233.66336633729438290363820703</v>
      </c>
      <c r="U16" s="431">
        <v>-25.089605734491548155855155240</v>
      </c>
      <c r="V16" s="432">
        <v>0.2797425145249937326960945600</v>
      </c>
      <c r="W16" s="430">
        <v>0</v>
      </c>
      <c r="X16" s="431">
        <v>-100</v>
      </c>
      <c r="Y16" s="432">
        <v>5.043659460421360447875663200</v>
      </c>
      <c r="Z16" s="629">
        <v>0.4465947152593837452764818900</v>
      </c>
      <c r="AA16" s="214">
        <v>4.1042794945231522138012605600</v>
      </c>
      <c r="AB16" s="630">
        <v>2.4704675807635601646270291600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82.76515151515151515151515160</v>
      </c>
      <c r="E18" s="480">
        <v>87.19748305905130687318489844</v>
      </c>
      <c r="F18" s="481">
        <v>67.250547388176415389427588430</v>
      </c>
      <c r="G18" s="479">
        <v>10.416666666666666666666666680</v>
      </c>
      <c r="H18" s="480">
        <v>7.4540174249757986447241045600</v>
      </c>
      <c r="I18" s="481">
        <v>16.937754144510478573662808900</v>
      </c>
      <c r="J18" s="479">
        <v>0</v>
      </c>
      <c r="K18" s="480">
        <v>0</v>
      </c>
      <c r="L18" s="481">
        <v>7.3350015639662183296840788300</v>
      </c>
      <c r="M18" s="479">
        <v>93.18181818181818181818181818</v>
      </c>
      <c r="N18" s="480">
        <v>94.65150048402710551790900290</v>
      </c>
      <c r="O18" s="481">
        <v>91.52330309665311229277447607</v>
      </c>
      <c r="P18" s="184"/>
      <c r="Q18" s="479">
        <v>-9.523809523836498077491858180</v>
      </c>
      <c r="R18" s="480">
        <v>9.281164695214822309304277430</v>
      </c>
      <c r="S18" s="481">
        <v>1.7535675112174210992684875100</v>
      </c>
      <c r="T18" s="479">
        <v>161.90476190296598639457013833</v>
      </c>
      <c r="U18" s="480">
        <v>-17.426273458362687865218527820</v>
      </c>
      <c r="V18" s="481">
        <v>7.681456612824533754750317200</v>
      </c>
      <c r="W18" s="479">
        <v>0</v>
      </c>
      <c r="X18" s="480">
        <v>-100</v>
      </c>
      <c r="Y18" s="481">
        <v>4.753862639051916999223907500</v>
      </c>
      <c r="Z18" s="479">
        <v>-2.3809523809058956916099551900</v>
      </c>
      <c r="AA18" s="480">
        <v>5.5885529157864652480069449800</v>
      </c>
      <c r="AB18" s="481">
        <v>3.0336669556688339125846037400</v>
      </c>
    </row>
    <row r="19" ht="18" customHeight="1">
      <c r="A19" s="58"/>
      <c r="B19" s="1046" t="s">
        <v>51</v>
      </c>
      <c r="C19" s="1046"/>
      <c r="D19" s="271">
        <v>87.87878787878787878787878797</v>
      </c>
      <c r="E19" s="92">
        <v>86.78606001936108422071636020</v>
      </c>
      <c r="F19" s="272">
        <v>68.788447502867271400271087550</v>
      </c>
      <c r="G19" s="271">
        <v>5.4924242424242424242424242500</v>
      </c>
      <c r="H19" s="92">
        <v>9.801548886737657308809293330</v>
      </c>
      <c r="I19" s="272">
        <v>16.643207173391721405484308220</v>
      </c>
      <c r="J19" s="271">
        <v>0</v>
      </c>
      <c r="K19" s="92">
        <v>0</v>
      </c>
      <c r="L19" s="272">
        <v>7.2880825774163278073193619100</v>
      </c>
      <c r="M19" s="271">
        <v>93.37121212121212121212121212</v>
      </c>
      <c r="N19" s="92">
        <v>96.58760890609874152952565344</v>
      </c>
      <c r="O19" s="272">
        <v>92.71973725367532061307475759</v>
      </c>
      <c r="P19" s="5"/>
      <c r="Q19" s="271">
        <v>-5.4989816700364640929811906700</v>
      </c>
      <c r="R19" s="92">
        <v>3.7315591553005098131521998600</v>
      </c>
      <c r="S19" s="272">
        <v>-0.1972308324741843530879495400</v>
      </c>
      <c r="T19" s="271">
        <v>190.00000000603200000012546600</v>
      </c>
      <c r="U19" s="92">
        <v>19.822485206407181121113217730</v>
      </c>
      <c r="V19" s="272">
        <v>29.773481717606208829720164030</v>
      </c>
      <c r="W19" s="271">
        <v>0</v>
      </c>
      <c r="X19" s="92">
        <v>-100</v>
      </c>
      <c r="Y19" s="272">
        <v>4.8010649335885130185646705600</v>
      </c>
      <c r="Z19" s="271">
        <v>-1.5968063872632603057358192700</v>
      </c>
      <c r="AA19" s="92">
        <v>4.2853409981167182498290420600</v>
      </c>
      <c r="AB19" s="272">
        <v>4.5246812908821931822573722300</v>
      </c>
    </row>
    <row r="20" ht="18" customHeight="1">
      <c r="A20" s="58"/>
      <c r="B20" s="1047" t="s">
        <v>76</v>
      </c>
      <c r="C20" s="1047"/>
      <c r="D20" s="273">
        <v>85.32196969696969696969696978</v>
      </c>
      <c r="E20" s="274">
        <v>86.99177153920619554695062932</v>
      </c>
      <c r="F20" s="275">
        <v>68.019497445521843394849337990</v>
      </c>
      <c r="G20" s="273">
        <v>7.954545454545454545454545460</v>
      </c>
      <c r="H20" s="274">
        <v>8.627783155856727976766698940</v>
      </c>
      <c r="I20" s="275">
        <v>16.790480658951099989573558560</v>
      </c>
      <c r="J20" s="273">
        <v>0</v>
      </c>
      <c r="K20" s="274">
        <v>0</v>
      </c>
      <c r="L20" s="275">
        <v>7.3115420706912730685017203700</v>
      </c>
      <c r="M20" s="273">
        <v>93.27651515151515151515151515</v>
      </c>
      <c r="N20" s="274">
        <v>95.61955469506292352371732817</v>
      </c>
      <c r="O20" s="275">
        <v>92.12152017516421645292461683</v>
      </c>
      <c r="P20" s="184"/>
      <c r="Q20" s="273">
        <v>-7.4948665297255003815844141400</v>
      </c>
      <c r="R20" s="274">
        <v>6.4406277761312752775770952200</v>
      </c>
      <c r="S20" s="275">
        <v>0.7577032676916664584546197700</v>
      </c>
      <c r="T20" s="273">
        <v>170.96774193604328824141634762</v>
      </c>
      <c r="U20" s="274">
        <v>0.2812939519566166390718716700</v>
      </c>
      <c r="V20" s="275">
        <v>17.603814182027156244103062250</v>
      </c>
      <c r="W20" s="273">
        <v>0</v>
      </c>
      <c r="X20" s="274">
        <v>-100</v>
      </c>
      <c r="Y20" s="275">
        <v>4.7773827453596020905058641300</v>
      </c>
      <c r="Z20" s="273">
        <v>-1.9900497512905918170342094700</v>
      </c>
      <c r="AA20" s="274">
        <v>4.9263046076037731389229246500</v>
      </c>
      <c r="AB20" s="275">
        <v>3.7786598416143320937855161300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82.39898989898989898989898990</v>
      </c>
      <c r="E22" s="469">
        <v>79.015811552113585027428202650</v>
      </c>
      <c r="F22" s="470">
        <v>58.6290968408073850222103200</v>
      </c>
      <c r="G22" s="468">
        <v>10.631313131313131313131313130</v>
      </c>
      <c r="H22" s="469">
        <v>9.725717973539851565020974510</v>
      </c>
      <c r="I22" s="470">
        <v>17.893549493209955064331306880</v>
      </c>
      <c r="J22" s="468">
        <v>0</v>
      </c>
      <c r="K22" s="469">
        <v>0</v>
      </c>
      <c r="L22" s="470">
        <v>7.0369407789010208768615636200</v>
      </c>
      <c r="M22" s="468">
        <v>93.03030303030303030303030303</v>
      </c>
      <c r="N22" s="469">
        <v>88.74152952565343659244917715</v>
      </c>
      <c r="O22" s="470">
        <v>83.55958711291836096340319049</v>
      </c>
      <c r="P22" s="184"/>
      <c r="Q22" s="468">
        <v>-8.316942961467914884962903210</v>
      </c>
      <c r="R22" s="469">
        <v>9.866295764569110204970611570</v>
      </c>
      <c r="S22" s="470">
        <v>2.0644630359657776986913678600</v>
      </c>
      <c r="T22" s="468">
        <v>216.54135338212584091809029717</v>
      </c>
      <c r="U22" s="469">
        <v>-20.684210526615310941827123740</v>
      </c>
      <c r="V22" s="470">
        <v>4.4588113823119773541447706500</v>
      </c>
      <c r="W22" s="468">
        <v>0</v>
      </c>
      <c r="X22" s="469">
        <v>-100</v>
      </c>
      <c r="Y22" s="470">
        <v>5.4926183252032829245095086700</v>
      </c>
      <c r="Z22" s="468">
        <v>-0.2166847237021124999853212200</v>
      </c>
      <c r="AA22" s="469">
        <v>4.3008305837307887432238095300</v>
      </c>
      <c r="AB22" s="470">
        <v>2.8507696295298946231468510800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231.54638419418924042628409303</v>
      </c>
      <c r="E25" s="455">
        <v>239.58313717861247443704511168</v>
      </c>
      <c r="F25" s="456">
        <v>232.7013075861715247934068435</v>
      </c>
      <c r="G25" s="454">
        <v>280.17226962388069394945566982</v>
      </c>
      <c r="H25" s="455">
        <v>291.56920877668792258950819645</v>
      </c>
      <c r="I25" s="456">
        <v>290.22576524823938046683341547</v>
      </c>
      <c r="J25" s="454">
        <v>0</v>
      </c>
      <c r="K25" s="455">
        <v>0</v>
      </c>
      <c r="L25" s="456">
        <v>170.37437344648907805315965346</v>
      </c>
      <c r="M25" s="454">
        <v>234.46185484093733614073549379</v>
      </c>
      <c r="N25" s="455">
        <v>244.45179042841812994807973628</v>
      </c>
      <c r="O25" s="456">
        <v>236.89683623087655843062632338</v>
      </c>
      <c r="P25" s="5"/>
      <c r="Q25" s="427">
        <v>5.2096484593884630892620386400</v>
      </c>
      <c r="R25" s="428">
        <v>6.1828949624496824432085417900</v>
      </c>
      <c r="S25" s="429">
        <v>5.6468390357775699929165616300</v>
      </c>
      <c r="T25" s="427">
        <v>18.546900166126151377479214680</v>
      </c>
      <c r="U25" s="428">
        <v>10.639580975583728762164349290</v>
      </c>
      <c r="V25" s="429">
        <v>-3.7792403274576755387326026600</v>
      </c>
      <c r="W25" s="427">
        <v>0</v>
      </c>
      <c r="X25" s="428">
        <v>-100</v>
      </c>
      <c r="Y25" s="429">
        <v>4.7251546601274596361145649500</v>
      </c>
      <c r="Z25" s="427">
        <v>6.4688328070899901104196387800</v>
      </c>
      <c r="AA25" s="428">
        <v>6.3171032733947253693017440200</v>
      </c>
      <c r="AB25" s="429">
        <v>3.0450605633692282201895437400</v>
      </c>
    </row>
    <row r="26" ht="18" customHeight="1">
      <c r="A26" s="58"/>
      <c r="B26" s="1043" t="s">
        <v>46</v>
      </c>
      <c r="C26" s="1043"/>
      <c r="D26" s="439">
        <v>239.01373914731086877298205018</v>
      </c>
      <c r="E26" s="95">
        <v>255.83532315721067566600943098</v>
      </c>
      <c r="F26" s="440">
        <v>237.23752961413659773824831755</v>
      </c>
      <c r="G26" s="439">
        <v>293.7858231212300798025637487</v>
      </c>
      <c r="H26" s="95">
        <v>283.9435192006278962890676748</v>
      </c>
      <c r="I26" s="440">
        <v>283.3819049479392174292283874</v>
      </c>
      <c r="J26" s="439">
        <v>0</v>
      </c>
      <c r="K26" s="95">
        <v>0</v>
      </c>
      <c r="L26" s="440">
        <v>172.56557146587752751236236151</v>
      </c>
      <c r="M26" s="439">
        <v>245.24796008743175458122712157</v>
      </c>
      <c r="N26" s="95">
        <v>259.85856162743401538420464471</v>
      </c>
      <c r="O26" s="440">
        <v>242.46316126397336848468338447</v>
      </c>
      <c r="P26" s="5"/>
      <c r="Q26" s="420">
        <v>9.858359404186960135836675810</v>
      </c>
      <c r="R26" s="91">
        <v>14.980150804696478706533043890</v>
      </c>
      <c r="S26" s="421">
        <v>4.6660891814370087826700655900</v>
      </c>
      <c r="T26" s="420">
        <v>16.430202107523218621503217540</v>
      </c>
      <c r="U26" s="91">
        <v>9.777077705760766995686731850</v>
      </c>
      <c r="V26" s="421">
        <v>0.1239370144210999654936548300</v>
      </c>
      <c r="W26" s="420">
        <v>0</v>
      </c>
      <c r="X26" s="91">
        <v>-100</v>
      </c>
      <c r="Y26" s="421">
        <v>8.584258387495247511130141550</v>
      </c>
      <c r="Z26" s="420">
        <v>11.854822610326109607830001160</v>
      </c>
      <c r="AA26" s="91">
        <v>14.166692795848277590342225980</v>
      </c>
      <c r="AB26" s="421">
        <v>3.6187051908449079011220855500</v>
      </c>
    </row>
    <row r="27" ht="18" customHeight="1">
      <c r="A27" s="58"/>
      <c r="B27" s="1043" t="s">
        <v>47</v>
      </c>
      <c r="C27" s="1043"/>
      <c r="D27" s="439">
        <v>240.68769235835122703052081421</v>
      </c>
      <c r="E27" s="95">
        <v>243.97005354350254204902589528</v>
      </c>
      <c r="F27" s="440">
        <v>247.78841112267235296431151067</v>
      </c>
      <c r="G27" s="439">
        <v>259.04578179002619248115639553</v>
      </c>
      <c r="H27" s="95">
        <v>277.71878943515586714492322829</v>
      </c>
      <c r="I27" s="440">
        <v>269.21636164517108661835061329</v>
      </c>
      <c r="J27" s="439">
        <v>0</v>
      </c>
      <c r="K27" s="95">
        <v>0</v>
      </c>
      <c r="L27" s="440">
        <v>156.24950368130630125726576413</v>
      </c>
      <c r="M27" s="439">
        <v>243.28080932462313226271332006</v>
      </c>
      <c r="N27" s="95">
        <v>248.30432903964266286801453814</v>
      </c>
      <c r="O27" s="440">
        <v>244.82627794276461296835640957</v>
      </c>
      <c r="P27" s="93"/>
      <c r="Q27" s="420">
        <v>10.684579117935048311842984810</v>
      </c>
      <c r="R27" s="91">
        <v>6.852595939770216698714361800</v>
      </c>
      <c r="S27" s="421">
        <v>5.8263027148959678615703672700</v>
      </c>
      <c r="T27" s="420">
        <v>5.6186889452686763937889110700</v>
      </c>
      <c r="U27" s="91">
        <v>6.4082521779546367606017287400</v>
      </c>
      <c r="V27" s="421">
        <v>-3.6074386448181168377527930300</v>
      </c>
      <c r="W27" s="420">
        <v>0</v>
      </c>
      <c r="X27" s="91">
        <v>-100</v>
      </c>
      <c r="Y27" s="421">
        <v>3.9048629928284699258145489300</v>
      </c>
      <c r="Z27" s="420">
        <v>11.036366390618664379467410990</v>
      </c>
      <c r="AA27" s="91">
        <v>6.2312350625600206892216830500</v>
      </c>
      <c r="AB27" s="421">
        <v>2.5920182712811367122390350800</v>
      </c>
    </row>
    <row r="28" ht="18" customHeight="1">
      <c r="A28" s="58"/>
      <c r="B28" s="1043" t="s">
        <v>48</v>
      </c>
      <c r="C28" s="1043"/>
      <c r="D28" s="439">
        <v>232.98065904789307146587975465</v>
      </c>
      <c r="E28" s="95">
        <v>244.54263784770034253533966873</v>
      </c>
      <c r="F28" s="440">
        <v>238.20927914918250180762370182</v>
      </c>
      <c r="G28" s="439">
        <v>264.36847454501491452977167461</v>
      </c>
      <c r="H28" s="95">
        <v>277.7189496901170192647554826</v>
      </c>
      <c r="I28" s="440">
        <v>273.78203718987078310150616219</v>
      </c>
      <c r="J28" s="439">
        <v>0</v>
      </c>
      <c r="K28" s="95">
        <v>0</v>
      </c>
      <c r="L28" s="440">
        <v>162.22136685021372274967301264</v>
      </c>
      <c r="M28" s="439">
        <v>238.103150537023356253906916</v>
      </c>
      <c r="N28" s="95">
        <v>248.96064546135248420244930344</v>
      </c>
      <c r="O28" s="440">
        <v>241.00247864459311801900615105</v>
      </c>
      <c r="P28" s="5"/>
      <c r="Q28" s="420">
        <v>3.4223269550937624561300792500</v>
      </c>
      <c r="R28" s="91">
        <v>0.4512550229168273819476058200</v>
      </c>
      <c r="S28" s="421">
        <v>-0.8719906822186290640206999800</v>
      </c>
      <c r="T28" s="420">
        <v>-12.905731168144723239778369490</v>
      </c>
      <c r="U28" s="91">
        <v>3.2902539578120886195918698500</v>
      </c>
      <c r="V28" s="421">
        <v>5.5094047868954515059576825300</v>
      </c>
      <c r="W28" s="420">
        <v>0</v>
      </c>
      <c r="X28" s="91">
        <v>-100</v>
      </c>
      <c r="Y28" s="421">
        <v>6.5829691497276914713524501700</v>
      </c>
      <c r="Z28" s="420">
        <v>4.7687967189372325969829580400</v>
      </c>
      <c r="AA28" s="91">
        <v>0.6478299474329746171802465100</v>
      </c>
      <c r="AB28" s="421">
        <v>1.5781823978973859930625196400</v>
      </c>
    </row>
    <row r="29" ht="18" customHeight="1">
      <c r="A29" s="58"/>
      <c r="B29" s="1043" t="s">
        <v>49</v>
      </c>
      <c r="C29" s="1043"/>
      <c r="D29" s="439">
        <v>242.28885532644696138473486879</v>
      </c>
      <c r="E29" s="95">
        <v>235.67780307744582487974983855</v>
      </c>
      <c r="F29" s="440">
        <v>236.30857236525524430451063076</v>
      </c>
      <c r="G29" s="439">
        <v>275.77480513904336146763833292</v>
      </c>
      <c r="H29" s="95">
        <v>279.09528248768573609307052612</v>
      </c>
      <c r="I29" s="440">
        <v>292.56545442039336143783445119</v>
      </c>
      <c r="J29" s="439">
        <v>0</v>
      </c>
      <c r="K29" s="95">
        <v>0</v>
      </c>
      <c r="L29" s="440">
        <v>161.61855754996285021260720584</v>
      </c>
      <c r="M29" s="439">
        <v>246.57669036342576871242372699</v>
      </c>
      <c r="N29" s="95">
        <v>239.23349366732852371644742429</v>
      </c>
      <c r="O29" s="440">
        <v>241.58089857352301216193691017</v>
      </c>
      <c r="P29" s="93"/>
      <c r="Q29" s="420">
        <v>-7.7922201013967852931850974700</v>
      </c>
      <c r="R29" s="91">
        <v>-11.427738396612359321505192330</v>
      </c>
      <c r="S29" s="421">
        <v>-5.9037025273437755202920701300</v>
      </c>
      <c r="T29" s="420">
        <v>-11.376749762868108839217541310</v>
      </c>
      <c r="U29" s="91">
        <v>1.9929016585592791306415791400</v>
      </c>
      <c r="V29" s="421">
        <v>12.617306661570629069002962550</v>
      </c>
      <c r="W29" s="420">
        <v>0</v>
      </c>
      <c r="X29" s="91">
        <v>-100</v>
      </c>
      <c r="Y29" s="421">
        <v>0.3407441567178904411178453500</v>
      </c>
      <c r="Z29" s="420">
        <v>-6.7861753766473273968657664400</v>
      </c>
      <c r="AA29" s="91">
        <v>-10.243479292998243631586399970</v>
      </c>
      <c r="AB29" s="421">
        <v>-1.8648349822042632260803449700</v>
      </c>
    </row>
    <row r="30" ht="18" customHeight="1">
      <c r="A30" s="58"/>
      <c r="B30" s="1044" t="s">
        <v>75</v>
      </c>
      <c r="C30" s="1044"/>
      <c r="D30" s="457">
        <v>237.2640016758206370043157903</v>
      </c>
      <c r="E30" s="458">
        <v>243.79831283597464381817215426</v>
      </c>
      <c r="F30" s="459">
        <v>238.85174376594714263293748829</v>
      </c>
      <c r="G30" s="457">
        <v>271.3123310656709254966410008</v>
      </c>
      <c r="H30" s="458">
        <v>281.29781958870794669655529794</v>
      </c>
      <c r="I30" s="459">
        <v>279.99221348778501268532021248</v>
      </c>
      <c r="J30" s="457">
        <v>0</v>
      </c>
      <c r="K30" s="458">
        <v>0</v>
      </c>
      <c r="L30" s="459">
        <v>164.06485215055828588235989576</v>
      </c>
      <c r="M30" s="457">
        <v>241.51531216280824249594735605</v>
      </c>
      <c r="N30" s="458">
        <v>248.19528157288155784466283859</v>
      </c>
      <c r="O30" s="459">
        <v>241.54646921731482293082768295</v>
      </c>
      <c r="P30" s="5"/>
      <c r="Q30" s="430">
        <v>4.2046738359518784875204597400</v>
      </c>
      <c r="R30" s="431">
        <v>3.0091902628170562190814933600</v>
      </c>
      <c r="S30" s="432">
        <v>1.843924167300864445671963800</v>
      </c>
      <c r="T30" s="430">
        <v>2.1199202824770833888538171500</v>
      </c>
      <c r="U30" s="431">
        <v>6.3406820318459823571801280400</v>
      </c>
      <c r="V30" s="432">
        <v>1.5646703544489993544518104100</v>
      </c>
      <c r="W30" s="430">
        <v>0</v>
      </c>
      <c r="X30" s="431">
        <v>-100</v>
      </c>
      <c r="Y30" s="432">
        <v>4.6425090172393710788663535900</v>
      </c>
      <c r="Z30" s="430">
        <v>5.4107296300712192237723214700</v>
      </c>
      <c r="AA30" s="431">
        <v>3.2317849406169429321467187200</v>
      </c>
      <c r="AB30" s="432">
        <v>1.7711955945677377202556393600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330.46160484241059916469535503</v>
      </c>
      <c r="E32" s="494">
        <v>306.71146072248552862407081027</v>
      </c>
      <c r="F32" s="495">
        <v>282.64887486971797203511773314</v>
      </c>
      <c r="G32" s="493">
        <v>321.2507426369164165379429346</v>
      </c>
      <c r="H32" s="494">
        <v>328.14011348619046971648093701</v>
      </c>
      <c r="I32" s="495">
        <v>304.91928078099793845515751896</v>
      </c>
      <c r="J32" s="493">
        <v>0</v>
      </c>
      <c r="K32" s="494">
        <v>0</v>
      </c>
      <c r="L32" s="495">
        <v>159.42811672791915564784135348</v>
      </c>
      <c r="M32" s="493">
        <v>329.43193528691836330194864136</v>
      </c>
      <c r="N32" s="494">
        <v>308.39901506951215144597372999</v>
      </c>
      <c r="O32" s="495">
        <v>276.89499825205094516349614496</v>
      </c>
      <c r="P32" s="93"/>
      <c r="Q32" s="479">
        <v>-1.4013950888480055181670699900</v>
      </c>
      <c r="R32" s="480">
        <v>-0.5814177907318492745819797200</v>
      </c>
      <c r="S32" s="481">
        <v>-0.0611610941572392987904302400</v>
      </c>
      <c r="T32" s="479">
        <v>1.9768621892421031148264133200</v>
      </c>
      <c r="U32" s="480">
        <v>-3.7016574332277308117644595500</v>
      </c>
      <c r="V32" s="481">
        <v>20.707733539602529001402483220</v>
      </c>
      <c r="W32" s="479">
        <v>0</v>
      </c>
      <c r="X32" s="480">
        <v>-100</v>
      </c>
      <c r="Y32" s="481">
        <v>-1.3455026179939370973252751200</v>
      </c>
      <c r="Z32" s="479">
        <v>-1.4619523502201178810154805600</v>
      </c>
      <c r="AA32" s="480">
        <v>-0.6853519267137289999521997900</v>
      </c>
      <c r="AB32" s="481">
        <v>3.3577586422374718782451817100</v>
      </c>
    </row>
    <row r="33" ht="18" customHeight="1">
      <c r="A33" s="58"/>
      <c r="B33" s="1046" t="s">
        <v>51</v>
      </c>
      <c r="C33" s="1046"/>
      <c r="D33" s="276">
        <v>339.83780221035913253238698608</v>
      </c>
      <c r="E33" s="94">
        <v>315.17642331570128518399432147</v>
      </c>
      <c r="F33" s="277">
        <v>287.2371334747476668659081954</v>
      </c>
      <c r="G33" s="276">
        <v>359.13517537276142289144113524</v>
      </c>
      <c r="H33" s="94">
        <v>325.71284507048015398688599798</v>
      </c>
      <c r="I33" s="277">
        <v>308.20421365816897224999210395</v>
      </c>
      <c r="J33" s="276">
        <v>0</v>
      </c>
      <c r="K33" s="94">
        <v>0</v>
      </c>
      <c r="L33" s="277">
        <v>159.55026733722560036425659985</v>
      </c>
      <c r="M33" s="276">
        <v>340.97294180814750255350781838</v>
      </c>
      <c r="N33" s="94">
        <v>316.24564175987202982573101128</v>
      </c>
      <c r="O33" s="277">
        <v>280.96411132891632495645268095</v>
      </c>
      <c r="P33" s="5"/>
      <c r="Q33" s="271">
        <v>0.0180913369904106847360886500</v>
      </c>
      <c r="R33" s="92">
        <v>2.084154282043307107393486700</v>
      </c>
      <c r="S33" s="272">
        <v>0.9587863504294636002308056300</v>
      </c>
      <c r="T33" s="271">
        <v>11.574106666875152268249081260</v>
      </c>
      <c r="U33" s="92">
        <v>-2.8081412911163587128134118200</v>
      </c>
      <c r="V33" s="272">
        <v>19.515836918390582277920136610</v>
      </c>
      <c r="W33" s="271">
        <v>0</v>
      </c>
      <c r="X33" s="92">
        <v>-100</v>
      </c>
      <c r="Y33" s="272">
        <v>-2.614107175617186428325018400</v>
      </c>
      <c r="Z33" s="271">
        <v>0.4577862246394773693638264900</v>
      </c>
      <c r="AA33" s="92">
        <v>2.0552178302241643918659317100</v>
      </c>
      <c r="AB33" s="272">
        <v>3.6042122351777510132162902600</v>
      </c>
    </row>
    <row r="34" ht="18" customHeight="1">
      <c r="A34" s="58"/>
      <c r="B34" s="1047" t="s">
        <v>76</v>
      </c>
      <c r="C34" s="1047"/>
      <c r="D34" s="443">
        <v>335.29019039038853421753544027</v>
      </c>
      <c r="E34" s="444">
        <v>310.93393336948395719882191768</v>
      </c>
      <c r="F34" s="445">
        <v>284.96893895453754755886864901</v>
      </c>
      <c r="G34" s="443">
        <v>334.32989203381528777903159911</v>
      </c>
      <c r="H34" s="444">
        <v>326.76137055721055685464930966</v>
      </c>
      <c r="I34" s="445">
        <v>306.54734073758701326537399224</v>
      </c>
      <c r="J34" s="443">
        <v>0</v>
      </c>
      <c r="K34" s="444">
        <v>0</v>
      </c>
      <c r="L34" s="445">
        <v>159.48899606902803611612959392</v>
      </c>
      <c r="M34" s="633">
        <v>335.20829692647771929283054417</v>
      </c>
      <c r="N34" s="634">
        <v>312.36204811446612191087012453</v>
      </c>
      <c r="O34" s="635">
        <v>278.9427667573093301303942243</v>
      </c>
      <c r="P34" s="93"/>
      <c r="Q34" s="273">
        <v>-0.650749187233560492885950900</v>
      </c>
      <c r="R34" s="274">
        <v>0.7477212688042635508280238800</v>
      </c>
      <c r="S34" s="275">
        <v>0.4532033552430660222023990100</v>
      </c>
      <c r="T34" s="273">
        <v>5.3886567521229250282764158100</v>
      </c>
      <c r="U34" s="274">
        <v>-3.3471115843447820934760635100</v>
      </c>
      <c r="V34" s="275">
        <v>20.226193304420460818848288150</v>
      </c>
      <c r="W34" s="273">
        <v>0</v>
      </c>
      <c r="X34" s="274">
        <v>-100</v>
      </c>
      <c r="Y34" s="275">
        <v>-1.9819659724979143301942889400</v>
      </c>
      <c r="Z34" s="273">
        <v>-0.4908302981466254728388279700</v>
      </c>
      <c r="AA34" s="274">
        <v>0.6980249627478785829757197900</v>
      </c>
      <c r="AB34" s="275">
        <v>3.4870748463505188635418150900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264.2133006435795280416794361</v>
      </c>
      <c r="E36" s="483">
        <v>263.69587189630124207346963408</v>
      </c>
      <c r="F36" s="484">
        <v>251.79538873351245811548968453</v>
      </c>
      <c r="G36" s="482">
        <v>284.80285035629453681710213777</v>
      </c>
      <c r="H36" s="483">
        <v>291.15095384050148817085237906</v>
      </c>
      <c r="I36" s="484">
        <v>290.23896294018052750251646104</v>
      </c>
      <c r="J36" s="482">
        <v>0</v>
      </c>
      <c r="K36" s="483">
        <v>0</v>
      </c>
      <c r="L36" s="484">
        <v>162.91416487242856323647171602</v>
      </c>
      <c r="M36" s="482">
        <v>266.56623235613463626492942454</v>
      </c>
      <c r="N36" s="483">
        <v>266.70483946038325879058943312</v>
      </c>
      <c r="O36" s="484">
        <v>252.54264097892906757172685151</v>
      </c>
      <c r="P36" s="93"/>
      <c r="Q36" s="468">
        <v>2.4890666781314954155256716700</v>
      </c>
      <c r="R36" s="469">
        <v>1.9460910872921717917364814900</v>
      </c>
      <c r="S36" s="470">
        <v>1.2574134812701421859359941600</v>
      </c>
      <c r="T36" s="468">
        <v>3.242876876974183653565297100</v>
      </c>
      <c r="U36" s="469">
        <v>5.1345118185901393910094191700</v>
      </c>
      <c r="V36" s="470">
        <v>5.6045373869776458602362605300</v>
      </c>
      <c r="W36" s="468">
        <v>0</v>
      </c>
      <c r="X36" s="469">
        <v>-100</v>
      </c>
      <c r="Y36" s="470">
        <v>3.2422895430122431155886148500</v>
      </c>
      <c r="Z36" s="468">
        <v>3.1414733022789974030718427700</v>
      </c>
      <c r="AA36" s="469">
        <v>2.4466606707159943313934101900</v>
      </c>
      <c r="AB36" s="470">
        <v>2.3580318992408185817642390600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192.51678534327476618776272148</v>
      </c>
      <c r="E39" s="455">
        <v>186.29734263186879970140995754</v>
      </c>
      <c r="F39" s="456">
        <v>128.7609049483695424959451694</v>
      </c>
      <c r="G39" s="454">
        <v>14.85762035884215801247113402</v>
      </c>
      <c r="H39" s="455">
        <v>23.42714843026630936585593449</v>
      </c>
      <c r="I39" s="456">
        <v>38.438043823019088003127426377</v>
      </c>
      <c r="J39" s="454">
        <v>0</v>
      </c>
      <c r="K39" s="455">
        <v>0</v>
      </c>
      <c r="L39" s="456">
        <v>12.159447255147719104096317685</v>
      </c>
      <c r="M39" s="454">
        <v>207.3744057021169242002338553</v>
      </c>
      <c r="N39" s="455">
        <v>209.72449106213510906726589184</v>
      </c>
      <c r="O39" s="456">
        <v>179.35839602653634960316891327</v>
      </c>
      <c r="P39" s="5"/>
      <c r="Q39" s="427">
        <v>-2.9684124502676608544257984100</v>
      </c>
      <c r="R39" s="428">
        <v>15.885068449179804236442883980</v>
      </c>
      <c r="S39" s="429">
        <v>9.701279561636352902159490780</v>
      </c>
      <c r="T39" s="427">
        <v>729.82830115059392392015910365</v>
      </c>
      <c r="U39" s="428">
        <v>-19.973113542647422157039152940</v>
      </c>
      <c r="V39" s="429">
        <v>-5.2549922423491498910570985400</v>
      </c>
      <c r="W39" s="427">
        <v>0</v>
      </c>
      <c r="X39" s="428">
        <v>-100</v>
      </c>
      <c r="Y39" s="429">
        <v>11.267647239077681710838334280</v>
      </c>
      <c r="Z39" s="427">
        <v>3.5853019185552286205838193300</v>
      </c>
      <c r="AA39" s="428">
        <v>9.371483199146017255642558330</v>
      </c>
      <c r="AB39" s="429">
        <v>6.2095362729900597702480002400</v>
      </c>
    </row>
    <row r="40" ht="18" customHeight="1">
      <c r="A40" s="58"/>
      <c r="B40" s="1043" t="s">
        <v>46</v>
      </c>
      <c r="C40" s="1043"/>
      <c r="D40" s="439">
        <v>197.36740581103700527465942042</v>
      </c>
      <c r="E40" s="95">
        <v>191.62882990599395962882361802</v>
      </c>
      <c r="F40" s="440">
        <v>126.08886531206978489945999374</v>
      </c>
      <c r="G40" s="439">
        <v>31.159102452251675130574943074</v>
      </c>
      <c r="H40" s="95">
        <v>35.527298990010799221066792839</v>
      </c>
      <c r="I40" s="440">
        <v>51.750954698813005872932282457</v>
      </c>
      <c r="J40" s="439">
        <v>0</v>
      </c>
      <c r="K40" s="95">
        <v>0</v>
      </c>
      <c r="L40" s="440">
        <v>11.591634805222771045755338496</v>
      </c>
      <c r="M40" s="439">
        <v>228.52650826328868040523436328</v>
      </c>
      <c r="N40" s="95">
        <v>227.15612889600475884989041062</v>
      </c>
      <c r="O40" s="440">
        <v>189.4314548161055618181476145</v>
      </c>
      <c r="P40" s="5"/>
      <c r="Q40" s="420">
        <v>1.9979657159696843330952018500</v>
      </c>
      <c r="R40" s="91">
        <v>32.075254876972818484744954900</v>
      </c>
      <c r="S40" s="421">
        <v>9.251654362730405526811066520</v>
      </c>
      <c r="T40" s="420">
        <v>171.67047158379018076431551053</v>
      </c>
      <c r="U40" s="91">
        <v>1.7839834539147063675745898900</v>
      </c>
      <c r="V40" s="421">
        <v>3.866837289648320559452447900</v>
      </c>
      <c r="W40" s="420">
        <v>0</v>
      </c>
      <c r="X40" s="91">
        <v>-100</v>
      </c>
      <c r="Y40" s="421">
        <v>11.801081725403834202516244270</v>
      </c>
      <c r="Z40" s="420">
        <v>11.492246199898685361446621770</v>
      </c>
      <c r="AA40" s="91">
        <v>24.628292546719821341547531130</v>
      </c>
      <c r="AB40" s="421">
        <v>7.8743368795228632126330484500</v>
      </c>
    </row>
    <row r="41" ht="18" customHeight="1">
      <c r="A41" s="58"/>
      <c r="B41" s="1043" t="s">
        <v>47</v>
      </c>
      <c r="C41" s="1043"/>
      <c r="D41" s="439">
        <v>195.10290213896652494140702383</v>
      </c>
      <c r="E41" s="95">
        <v>180.15523411711881807840944153</v>
      </c>
      <c r="F41" s="440">
        <v>137.48110217372418507603871069</v>
      </c>
      <c r="G41" s="439">
        <v>34.539437572003492330820852772</v>
      </c>
      <c r="H41" s="95">
        <v>30.218385220243484479273350329</v>
      </c>
      <c r="I41" s="440">
        <v>50.817360142051687541847768826</v>
      </c>
      <c r="J41" s="439">
        <v>0</v>
      </c>
      <c r="K41" s="95">
        <v>0</v>
      </c>
      <c r="L41" s="440">
        <v>10.993344289870242111187877984</v>
      </c>
      <c r="M41" s="439">
        <v>229.64233971097001727222787636</v>
      </c>
      <c r="N41" s="95">
        <v>210.37361933736230255768279166</v>
      </c>
      <c r="O41" s="440">
        <v>199.29180660564611472907435729</v>
      </c>
      <c r="P41" s="93"/>
      <c r="Q41" s="420">
        <v>0.7079078708819360564862211100</v>
      </c>
      <c r="R41" s="91">
        <v>21.980185846874278035129141510</v>
      </c>
      <c r="S41" s="421">
        <v>12.166292400356251815098177730</v>
      </c>
      <c r="T41" s="420">
        <v>151.20120613993515475697587528</v>
      </c>
      <c r="U41" s="91">
        <v>-24.013420935137617556269933750</v>
      </c>
      <c r="V41" s="421">
        <v>-10.772989187343086372058523990</v>
      </c>
      <c r="W41" s="420">
        <v>0</v>
      </c>
      <c r="X41" s="91">
        <v>-100</v>
      </c>
      <c r="Y41" s="421">
        <v>8.685229782216703932503740990</v>
      </c>
      <c r="Z41" s="420">
        <v>10.681050018147669914933150390</v>
      </c>
      <c r="AA41" s="91">
        <v>11.292287439229748986856095700</v>
      </c>
      <c r="AB41" s="421">
        <v>5.0913511037164401853559770800</v>
      </c>
    </row>
    <row r="42" ht="18" customHeight="1">
      <c r="A42" s="58"/>
      <c r="B42" s="1043" t="s">
        <v>48</v>
      </c>
      <c r="C42" s="1043"/>
      <c r="D42" s="439">
        <v>184.61952224552738844947744212</v>
      </c>
      <c r="E42" s="95">
        <v>181.52497066952238398460644546</v>
      </c>
      <c r="F42" s="440">
        <v>130.69098393108104728513355441</v>
      </c>
      <c r="G42" s="439">
        <v>40.856946066047759518237440661</v>
      </c>
      <c r="H42" s="95">
        <v>31.670176450625154762234458743</v>
      </c>
      <c r="I42" s="440">
        <v>57.462542056428931955305172042</v>
      </c>
      <c r="J42" s="439">
        <v>0</v>
      </c>
      <c r="K42" s="95">
        <v>0</v>
      </c>
      <c r="L42" s="440">
        <v>11.000810864287249012239320982</v>
      </c>
      <c r="M42" s="439">
        <v>225.47646831157514796771488258</v>
      </c>
      <c r="N42" s="95">
        <v>213.19514712014753874684090399</v>
      </c>
      <c r="O42" s="440">
        <v>199.15433685179722825267804721</v>
      </c>
      <c r="P42" s="5"/>
      <c r="Q42" s="420">
        <v>-5.7257045794779043313844348300</v>
      </c>
      <c r="R42" s="91">
        <v>6.8692644489755950314103484100</v>
      </c>
      <c r="S42" s="421">
        <v>-3.9668855820806280672279961600</v>
      </c>
      <c r="T42" s="420">
        <v>492.24102805622566298141060514</v>
      </c>
      <c r="U42" s="91">
        <v>-20.989662881678907176814614780</v>
      </c>
      <c r="V42" s="421">
        <v>22.299270263513120079994400710</v>
      </c>
      <c r="W42" s="420">
        <v>0</v>
      </c>
      <c r="X42" s="91">
        <v>-100</v>
      </c>
      <c r="Y42" s="421">
        <v>6.7958787152573730104314077500</v>
      </c>
      <c r="Z42" s="420">
        <v>11.219529425643026784812300720</v>
      </c>
      <c r="AA42" s="91">
        <v>0.9731447366313948840442978200</v>
      </c>
      <c r="AB42" s="421">
        <v>2.9884183635291509194131028700</v>
      </c>
    </row>
    <row r="43" ht="18" customHeight="1">
      <c r="A43" s="58"/>
      <c r="B43" s="1043" t="s">
        <v>49</v>
      </c>
      <c r="C43" s="1043"/>
      <c r="D43" s="439">
        <v>196.85969495273815612509708108</v>
      </c>
      <c r="E43" s="95">
        <v>191.18876958267144361009715866</v>
      </c>
      <c r="F43" s="440">
        <v>139.02315916702666207780223496</v>
      </c>
      <c r="G43" s="439">
        <v>32.90494834045403744784321021</v>
      </c>
      <c r="H43" s="95">
        <v>20.195907421059543826676691043</v>
      </c>
      <c r="I43" s="440">
        <v>51.13260796290109186843603371</v>
      </c>
      <c r="J43" s="439">
        <v>0</v>
      </c>
      <c r="K43" s="95">
        <v>0</v>
      </c>
      <c r="L43" s="440">
        <v>11.74097904003092648166344185</v>
      </c>
      <c r="M43" s="439">
        <v>229.76464329319219357294029106</v>
      </c>
      <c r="N43" s="95">
        <v>211.38467700373098743677384949</v>
      </c>
      <c r="O43" s="440">
        <v>201.8967461699586804279017103</v>
      </c>
      <c r="P43" s="93"/>
      <c r="Q43" s="420">
        <v>-16.896769797281356560227076410</v>
      </c>
      <c r="R43" s="91">
        <v>-1.4949499354778676010234046500</v>
      </c>
      <c r="S43" s="421">
        <v>-4.0805637145707719428445211400</v>
      </c>
      <c r="T43" s="420">
        <v>210.18137583016097941891932602</v>
      </c>
      <c r="U43" s="91">
        <v>-40.204161576618843821623006010</v>
      </c>
      <c r="V43" s="421">
        <v>1.0075583159093340912670581400</v>
      </c>
      <c r="W43" s="420">
        <v>0</v>
      </c>
      <c r="X43" s="91">
        <v>-100</v>
      </c>
      <c r="Y43" s="421">
        <v>12.162636201012445152742610770</v>
      </c>
      <c r="Z43" s="420">
        <v>-7.1635592820037517550866848300</v>
      </c>
      <c r="AA43" s="91">
        <v>-7.6378080323472526031446441700</v>
      </c>
      <c r="AB43" s="421">
        <v>-2.0050933674791601551192353400</v>
      </c>
    </row>
    <row r="44" ht="18" customHeight="1">
      <c r="A44" s="58"/>
      <c r="B44" s="1044" t="s">
        <v>75</v>
      </c>
      <c r="C44" s="1044"/>
      <c r="D44" s="457">
        <v>192.98125756139405805929541913</v>
      </c>
      <c r="E44" s="458">
        <v>185.67549056433376463983647144</v>
      </c>
      <c r="F44" s="459">
        <v>132.56146128335864180448595082</v>
      </c>
      <c r="G44" s="457">
        <v>31.484936490747624618584028012</v>
      </c>
      <c r="H44" s="458">
        <v>28.456555805440445720997123585</v>
      </c>
      <c r="I44" s="459">
        <v>50.303906224151629111988530659</v>
      </c>
      <c r="J44" s="457">
        <v>0</v>
      </c>
      <c r="K44" s="458">
        <v>0</v>
      </c>
      <c r="L44" s="459">
        <v>11.451773644199687370145290316</v>
      </c>
      <c r="M44" s="457">
        <v>224.46619405214168267787944696</v>
      </c>
      <c r="N44" s="458">
        <v>214.13204636977421036083359484</v>
      </c>
      <c r="O44" s="459">
        <v>194.31714115170995828661977158</v>
      </c>
      <c r="P44" s="5"/>
      <c r="Q44" s="430">
        <v>-4.8215624127730082579304266100</v>
      </c>
      <c r="R44" s="431">
        <v>14.654859489991802245312184490</v>
      </c>
      <c r="S44" s="432">
        <v>4.772613926215567732208829100</v>
      </c>
      <c r="T44" s="430">
        <v>240.73676371502960879799277368</v>
      </c>
      <c r="U44" s="431">
        <v>-20.339775825662218085858136290</v>
      </c>
      <c r="V44" s="432">
        <v>1.8487899171704698921038987300</v>
      </c>
      <c r="W44" s="430">
        <v>0</v>
      </c>
      <c r="X44" s="431">
        <v>-100</v>
      </c>
      <c r="Y44" s="432">
        <v>9.920320822971732847167393630</v>
      </c>
      <c r="Z44" s="430">
        <v>5.8814883779430989063984449400</v>
      </c>
      <c r="AA44" s="431">
        <v>7.4687059217940163228954151900</v>
      </c>
      <c r="AB44" s="432">
        <v>4.2854199883280022811969942400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273.50704794722240877835581495</v>
      </c>
      <c r="E46" s="494">
        <v>267.44467400365812188589717582</v>
      </c>
      <c r="F46" s="495">
        <v>190.08291553640714415874354923</v>
      </c>
      <c r="G46" s="493">
        <v>33.46361902467879338936905572</v>
      </c>
      <c r="H46" s="494">
        <v>24.459621237595998226688317691</v>
      </c>
      <c r="I46" s="495">
        <v>51.646478117895021480596745915</v>
      </c>
      <c r="J46" s="493">
        <v>0</v>
      </c>
      <c r="K46" s="494">
        <v>0</v>
      </c>
      <c r="L46" s="495">
        <v>11.694054855394758210640849993</v>
      </c>
      <c r="M46" s="493">
        <v>306.97066697190120216772487036</v>
      </c>
      <c r="N46" s="494">
        <v>291.90429524125412011258549322</v>
      </c>
      <c r="O46" s="495">
        <v>253.42344850969692384998114488</v>
      </c>
      <c r="P46" s="93"/>
      <c r="Q46" s="479">
        <v>-10.791738413718962754816428590</v>
      </c>
      <c r="R46" s="480">
        <v>8.645784561736102442724929030</v>
      </c>
      <c r="S46" s="481">
        <v>1.6913339160516592017204066200</v>
      </c>
      <c r="T46" s="479">
        <v>167.08225811402766773956893325</v>
      </c>
      <c r="U46" s="480">
        <v>-20.482869944804215035053167980</v>
      </c>
      <c r="V46" s="481">
        <v>29.979845719649095474856264970</v>
      </c>
      <c r="W46" s="479">
        <v>0</v>
      </c>
      <c r="X46" s="480">
        <v>-100</v>
      </c>
      <c r="Y46" s="481">
        <v>3.3443966756740491548635917200</v>
      </c>
      <c r="Z46" s="479">
        <v>-3.8080963418829137622030129100</v>
      </c>
      <c r="AA46" s="480">
        <v>4.8648997339832441175922177500</v>
      </c>
      <c r="AB46" s="481">
        <v>6.4932888123361367867225938700</v>
      </c>
    </row>
    <row r="47" ht="18" customHeight="1">
      <c r="A47" s="58"/>
      <c r="B47" s="1046" t="s">
        <v>51</v>
      </c>
      <c r="C47" s="1046"/>
      <c r="D47" s="276">
        <v>298.64534133637620737694613957</v>
      </c>
      <c r="E47" s="94">
        <v>273.52919990564007954254686299</v>
      </c>
      <c r="F47" s="277">
        <v>197.58596476901759275861008457</v>
      </c>
      <c r="G47" s="276">
        <v>19.725227435246366030022335099</v>
      </c>
      <c r="H47" s="94">
        <v>31.924903739967198055345796057</v>
      </c>
      <c r="I47" s="277">
        <v>51.295065796251925967474705082</v>
      </c>
      <c r="J47" s="276">
        <v>0</v>
      </c>
      <c r="K47" s="94">
        <v>0</v>
      </c>
      <c r="L47" s="277">
        <v>11.628155236025512944908285206</v>
      </c>
      <c r="M47" s="276">
        <v>318.37056877162257340696847436</v>
      </c>
      <c r="N47" s="94">
        <v>305.45410364560727759789265876</v>
      </c>
      <c r="O47" s="277">
        <v>260.5091858012950316709930746</v>
      </c>
      <c r="P47" s="5"/>
      <c r="Q47" s="271">
        <v>-5.4818851723932805724765213200</v>
      </c>
      <c r="R47" s="92">
        <v>5.8934848873146393254338836700</v>
      </c>
      <c r="S47" s="272">
        <v>0.7596644955943592723980471700</v>
      </c>
      <c r="T47" s="271">
        <v>223.56490933588809428576088596</v>
      </c>
      <c r="U47" s="92">
        <v>16.457700524074181892827292500</v>
      </c>
      <c r="V47" s="272">
        <v>55.099862772438615691159495820</v>
      </c>
      <c r="W47" s="271">
        <v>0</v>
      </c>
      <c r="X47" s="92">
        <v>-100</v>
      </c>
      <c r="Y47" s="272">
        <v>2.0614527759061007884451330200</v>
      </c>
      <c r="Z47" s="271">
        <v>-1.146330122254849497900481700</v>
      </c>
      <c r="AA47" s="92">
        <v>6.4286319206791749559727313500</v>
      </c>
      <c r="AB47" s="272">
        <v>8.29197264269981398094058700</v>
      </c>
    </row>
    <row r="48" ht="18" customHeight="1">
      <c r="A48" s="58"/>
      <c r="B48" s="1047" t="s">
        <v>76</v>
      </c>
      <c r="C48" s="1047"/>
      <c r="D48" s="443">
        <v>286.07619464179930807765097724</v>
      </c>
      <c r="E48" s="444">
        <v>270.48693695464910071422201941</v>
      </c>
      <c r="F48" s="445">
        <v>193.83444015271236845867681691</v>
      </c>
      <c r="G48" s="443">
        <v>26.594423229962579709695695409</v>
      </c>
      <c r="H48" s="444">
        <v>28.192262488781598141017056875</v>
      </c>
      <c r="I48" s="445">
        <v>51.470771957073473724035725499</v>
      </c>
      <c r="J48" s="443">
        <v>0</v>
      </c>
      <c r="K48" s="444">
        <v>0</v>
      </c>
      <c r="L48" s="445">
        <v>11.6611050457101355777745676</v>
      </c>
      <c r="M48" s="443">
        <v>312.67061787176188778734667236</v>
      </c>
      <c r="N48" s="444">
        <v>298.67919944343069885523907599</v>
      </c>
      <c r="O48" s="445">
        <v>256.96631715549597776048710974</v>
      </c>
      <c r="P48" s="93"/>
      <c r="Q48" s="273">
        <v>-8.096842933990672097696783380</v>
      </c>
      <c r="R48" s="274">
        <v>7.236506988656402827579286300</v>
      </c>
      <c r="S48" s="275">
        <v>1.2143405595167589732852781400</v>
      </c>
      <c r="T48" s="273">
        <v>185.56926345744665196137386770</v>
      </c>
      <c r="U48" s="274">
        <v>-3.0752328545461682659918115200</v>
      </c>
      <c r="V48" s="275">
        <v>41.390588971790983885542948590</v>
      </c>
      <c r="W48" s="273">
        <v>0</v>
      </c>
      <c r="X48" s="274">
        <v>-100</v>
      </c>
      <c r="Y48" s="275">
        <v>2.7007306721742656271722266400</v>
      </c>
      <c r="Z48" s="273">
        <v>-2.4711122822714937132346999100</v>
      </c>
      <c r="AA48" s="274">
        <v>5.6587164062855712868885787600</v>
      </c>
      <c r="AB48" s="275">
        <v>7.3974993848451588164092667100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217.70909090909090909090909091</v>
      </c>
      <c r="E50" s="483">
        <v>208.36143320828423732342855533</v>
      </c>
      <c r="F50" s="484">
        <v>147.62536230125842685724551732</v>
      </c>
      <c r="G50" s="482">
        <v>30.278282828282828282828282828</v>
      </c>
      <c r="H50" s="483">
        <v>28.316520647798369969246501146</v>
      </c>
      <c r="I50" s="484">
        <v>51.934052482280502073566833726</v>
      </c>
      <c r="J50" s="482">
        <v>0</v>
      </c>
      <c r="K50" s="483">
        <v>0</v>
      </c>
      <c r="L50" s="484">
        <v>11.464173302513967882172044045</v>
      </c>
      <c r="M50" s="482">
        <v>247.98737373737373737373737374</v>
      </c>
      <c r="N50" s="483">
        <v>236.67795385608260729267505647</v>
      </c>
      <c r="O50" s="484">
        <v>211.02358808605289681298439509</v>
      </c>
      <c r="P50" s="93"/>
      <c r="Q50" s="468">
        <v>-6.0348905392651950782129212800</v>
      </c>
      <c r="R50" s="469">
        <v>12.004393954347383583292623380</v>
      </c>
      <c r="S50" s="470">
        <v>3.3478353537316524135766329200</v>
      </c>
      <c r="T50" s="468">
        <v>226.80639973830556227755040414</v>
      </c>
      <c r="U50" s="469">
        <v>-16.611731941733697050566749760</v>
      </c>
      <c r="V50" s="470">
        <v>10.313244520532439644231947510</v>
      </c>
      <c r="W50" s="468">
        <v>0</v>
      </c>
      <c r="X50" s="469">
        <v>-100</v>
      </c>
      <c r="Y50" s="470">
        <v>8.912994457898590667709768380</v>
      </c>
      <c r="Z50" s="468">
        <v>2.9179814858149940578076020500</v>
      </c>
      <c r="AA50" s="469">
        <v>6.8527179848306794723441415600</v>
      </c>
      <c r="AB50" s="470">
        <v>5.2760235859346558487237195800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191</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78.074866310160427807486631070</v>
      </c>
      <c r="E11" s="428">
        <v>78.503502078469335459256306650</v>
      </c>
      <c r="F11" s="429">
        <v>56.254323935470046224018122310</v>
      </c>
      <c r="G11" s="427">
        <v>11.007130124777183600713012490</v>
      </c>
      <c r="H11" s="428">
        <v>8.387905016798587779739194810</v>
      </c>
      <c r="I11" s="429">
        <v>13.504760155508617259007561160</v>
      </c>
      <c r="J11" s="427">
        <v>0</v>
      </c>
      <c r="K11" s="428">
        <v>0.4156938670918512613176926100</v>
      </c>
      <c r="L11" s="429">
        <v>8.008081550188263385067499320</v>
      </c>
      <c r="M11" s="427">
        <v>89.08199643493761140819964349</v>
      </c>
      <c r="N11" s="428">
        <v>87.29001765275326006491657650</v>
      </c>
      <c r="O11" s="429">
        <v>77.767777879817552882113447820</v>
      </c>
      <c r="P11" s="5"/>
      <c r="Q11" s="427">
        <v>-7.3506081437967109084446406300</v>
      </c>
      <c r="R11" s="428">
        <v>8.087471698894081074046741650</v>
      </c>
      <c r="S11" s="429">
        <v>-0.8547517811680539551730378500</v>
      </c>
      <c r="T11" s="427">
        <v>111.11111111173903133903320693</v>
      </c>
      <c r="U11" s="428">
        <v>-12.407153384816708545671641600</v>
      </c>
      <c r="V11" s="429">
        <v>11.151354620332617555934731470</v>
      </c>
      <c r="W11" s="427">
        <v>0</v>
      </c>
      <c r="X11" s="428">
        <v>-50.063649719586809581883158830</v>
      </c>
      <c r="Y11" s="429">
        <v>9.453914791301741192623628590</v>
      </c>
      <c r="Z11" s="427">
        <v>-0.4482071713657067943365717400</v>
      </c>
      <c r="AA11" s="428">
        <v>5.1258634668696417641880435600</v>
      </c>
      <c r="AB11" s="429">
        <v>2.0492514178376586363264855800</v>
      </c>
    </row>
    <row r="12" ht="18" customHeight="1">
      <c r="A12" s="58"/>
      <c r="B12" s="1043" t="s">
        <v>46</v>
      </c>
      <c r="C12" s="1043"/>
      <c r="D12" s="420">
        <v>70.944741532976827094474153350</v>
      </c>
      <c r="E12" s="91">
        <v>72.211149706736518421502192420</v>
      </c>
      <c r="F12" s="421">
        <v>52.181100192855174947194416430</v>
      </c>
      <c r="G12" s="420">
        <v>20.409982174688057040998217480</v>
      </c>
      <c r="H12" s="91">
        <v>12.932065372131427595239451070</v>
      </c>
      <c r="I12" s="421">
        <v>19.815716166161569779900205120</v>
      </c>
      <c r="J12" s="420">
        <v>0</v>
      </c>
      <c r="K12" s="91">
        <v>0.4498604863048801321109276200</v>
      </c>
      <c r="L12" s="421">
        <v>8.000734686380751216824318130</v>
      </c>
      <c r="M12" s="420">
        <v>91.35472370766488413547237077</v>
      </c>
      <c r="N12" s="91">
        <v>85.58738112863732133705369854</v>
      </c>
      <c r="O12" s="421">
        <v>79.99632656809624391587840940</v>
      </c>
      <c r="P12" s="5"/>
      <c r="Q12" s="420">
        <v>-5.8823529411916050842447506700</v>
      </c>
      <c r="R12" s="91">
        <v>8.981291823484179991376914660</v>
      </c>
      <c r="S12" s="421">
        <v>-0.7547259911578104709994676300</v>
      </c>
      <c r="T12" s="420">
        <v>36.219431592543508321142608240</v>
      </c>
      <c r="U12" s="91">
        <v>-1.6015558022087537631573632400</v>
      </c>
      <c r="V12" s="421">
        <v>16.402124259183259817719513200</v>
      </c>
      <c r="W12" s="420">
        <v>0</v>
      </c>
      <c r="X12" s="91">
        <v>-53.367367869561209529080747040</v>
      </c>
      <c r="Y12" s="421">
        <v>12.351776960024650945357394040</v>
      </c>
      <c r="Z12" s="420">
        <v>1.1457705169284345717504212100</v>
      </c>
      <c r="AA12" s="91">
        <v>6.5007878750976012644097856600</v>
      </c>
      <c r="AB12" s="421">
        <v>4.2671453274949176192099275300</v>
      </c>
    </row>
    <row r="13" ht="18" customHeight="1">
      <c r="A13" s="58"/>
      <c r="B13" s="1043" t="s">
        <v>47</v>
      </c>
      <c r="C13" s="1043"/>
      <c r="D13" s="420">
        <v>68.672014260249554367201426070</v>
      </c>
      <c r="E13" s="91">
        <v>71.618928307044017994419452250</v>
      </c>
      <c r="F13" s="421">
        <v>53.445013868224316232251428200</v>
      </c>
      <c r="G13" s="420">
        <v>22.459893048128342245989304830</v>
      </c>
      <c r="H13" s="91">
        <v>14.982062524913159842833551630</v>
      </c>
      <c r="I13" s="421">
        <v>23.405154203633291085762568670</v>
      </c>
      <c r="J13" s="420">
        <v>0</v>
      </c>
      <c r="K13" s="91">
        <v>0.358749501736803143328967600</v>
      </c>
      <c r="L13" s="421">
        <v>8.215009521010512910000428610</v>
      </c>
      <c r="M13" s="420">
        <v>91.13190730837789661319073084</v>
      </c>
      <c r="N13" s="91">
        <v>86.94835146062297135698422641</v>
      </c>
      <c r="O13" s="421">
        <v>85.06885129467374466547883642</v>
      </c>
      <c r="P13" s="184"/>
      <c r="Q13" s="420">
        <v>-5.4117647058691928388746784100</v>
      </c>
      <c r="R13" s="91">
        <v>8.727817217849579838648613220</v>
      </c>
      <c r="S13" s="421">
        <v>-0.5623657683801252608375932300</v>
      </c>
      <c r="T13" s="420">
        <v>21.008403361384050763162420810</v>
      </c>
      <c r="U13" s="91">
        <v>-7.5754647309663547919370910100</v>
      </c>
      <c r="V13" s="421">
        <v>15.280689762442525332963848860</v>
      </c>
      <c r="W13" s="420">
        <v>0</v>
      </c>
      <c r="X13" s="91">
        <v>-51.682681631631835511218785180</v>
      </c>
      <c r="Y13" s="421">
        <v>13.361850048919816074717721400</v>
      </c>
      <c r="Z13" s="420">
        <v>-0.1248100716397101875294845300</v>
      </c>
      <c r="AA13" s="91">
        <v>4.9867201863967353418674442500</v>
      </c>
      <c r="AB13" s="421">
        <v>4.6416674571051496339505860500</v>
      </c>
    </row>
    <row r="14" ht="18" customHeight="1">
      <c r="A14" s="58"/>
      <c r="B14" s="1043" t="s">
        <v>48</v>
      </c>
      <c r="C14" s="1043"/>
      <c r="D14" s="420">
        <v>70.538720538720538720538720590</v>
      </c>
      <c r="E14" s="91">
        <v>73.055824459503065505001613480</v>
      </c>
      <c r="F14" s="421">
        <v>54.912435895212160107308668580</v>
      </c>
      <c r="G14" s="420">
        <v>21.759259259259259259259259270</v>
      </c>
      <c r="H14" s="91">
        <v>13.697967086156824782187802530</v>
      </c>
      <c r="I14" s="421">
        <v>22.560838117704195792066327880</v>
      </c>
      <c r="J14" s="420">
        <v>0</v>
      </c>
      <c r="K14" s="91">
        <v>0.3603312896633322577175432900</v>
      </c>
      <c r="L14" s="421">
        <v>7.948704606293977185344503620</v>
      </c>
      <c r="M14" s="420">
        <v>92.29797979797979797979797980</v>
      </c>
      <c r="N14" s="91">
        <v>87.09798859847262557814348715</v>
      </c>
      <c r="O14" s="421">
        <v>85.421978619210333084719500</v>
      </c>
      <c r="P14" s="5"/>
      <c r="Q14" s="420">
        <v>-2.6513598468937253234770820500</v>
      </c>
      <c r="R14" s="91">
        <v>7.7679656107261006744920215400</v>
      </c>
      <c r="S14" s="421">
        <v>-1.4134657881057060331644588400</v>
      </c>
      <c r="T14" s="420">
        <v>21.4621337753889503560145500</v>
      </c>
      <c r="U14" s="91">
        <v>-12.247783794592003089725348820</v>
      </c>
      <c r="V14" s="421">
        <v>8.068415229242926856742166770</v>
      </c>
      <c r="W14" s="420">
        <v>0</v>
      </c>
      <c r="X14" s="91">
        <v>-33.932244406648480204732996030</v>
      </c>
      <c r="Y14" s="421">
        <v>8.050854542319488397520387280</v>
      </c>
      <c r="Z14" s="420">
        <v>2.0781994413868800697752032400</v>
      </c>
      <c r="AA14" s="91">
        <v>3.753892854069918910187654400</v>
      </c>
      <c r="AB14" s="421">
        <v>1.7746809584718697253060455700</v>
      </c>
    </row>
    <row r="15" ht="18" customHeight="1">
      <c r="A15" s="58"/>
      <c r="B15" s="1043" t="s">
        <v>49</v>
      </c>
      <c r="C15" s="1043"/>
      <c r="D15" s="420">
        <v>78.074866310160427807486631070</v>
      </c>
      <c r="E15" s="91">
        <v>78.571835316895393200842776670</v>
      </c>
      <c r="F15" s="421">
        <v>58.597154889574457666128005530</v>
      </c>
      <c r="G15" s="420">
        <v>14.171122994652406417112299480</v>
      </c>
      <c r="H15" s="91">
        <v>9.948180627526906212630260240</v>
      </c>
      <c r="I15" s="421">
        <v>18.209808530434356789579354600</v>
      </c>
      <c r="J15" s="420">
        <v>0</v>
      </c>
      <c r="K15" s="91">
        <v>0.3131940094527646489379875900</v>
      </c>
      <c r="L15" s="421">
        <v>8.276406640223299544586455130</v>
      </c>
      <c r="M15" s="420">
        <v>92.24598930481283422459893048</v>
      </c>
      <c r="N15" s="91">
        <v>88.79904333466203519161778942</v>
      </c>
      <c r="O15" s="421">
        <v>85.08153371529308065226972234</v>
      </c>
      <c r="P15" s="184"/>
      <c r="Q15" s="420">
        <v>-1.0728402033364313245490286900</v>
      </c>
      <c r="R15" s="91">
        <v>7.3072034249246636968944231400</v>
      </c>
      <c r="S15" s="421">
        <v>-0.9398444081955661506344783500</v>
      </c>
      <c r="T15" s="420">
        <v>3.2467532465910018552878246400</v>
      </c>
      <c r="U15" s="91">
        <v>-21.787338432311314689660445060</v>
      </c>
      <c r="V15" s="421">
        <v>1.4924634840788590097686362900</v>
      </c>
      <c r="W15" s="420">
        <v>0</v>
      </c>
      <c r="X15" s="91">
        <v>-53.468213100317368748169388410</v>
      </c>
      <c r="Y15" s="421">
        <v>15.949329267075689720306687330</v>
      </c>
      <c r="Z15" s="420">
        <v>-0.4807692307833931213017731300</v>
      </c>
      <c r="AA15" s="91">
        <v>2.5185102755981766764752188900</v>
      </c>
      <c r="AB15" s="421">
        <v>1.0100311542076905618386793600</v>
      </c>
    </row>
    <row r="16" ht="18" customHeight="1">
      <c r="A16" s="58"/>
      <c r="B16" s="1044" t="s">
        <v>75</v>
      </c>
      <c r="C16" s="1044"/>
      <c r="D16" s="430">
        <v>73.229386892177589852008456690</v>
      </c>
      <c r="E16" s="431">
        <v>74.772057002634007969562574620</v>
      </c>
      <c r="F16" s="432">
        <v>55.076241649724077839093813570</v>
      </c>
      <c r="G16" s="430">
        <v>18.005637773079633544749823830</v>
      </c>
      <c r="H16" s="431">
        <v>12.009500439001328260429095670</v>
      </c>
      <c r="I16" s="432">
        <v>19.534804918191499661148223460</v>
      </c>
      <c r="J16" s="430">
        <v>0</v>
      </c>
      <c r="K16" s="431">
        <v>0.3793421733942682185551228100</v>
      </c>
      <c r="L16" s="432">
        <v>8.088149869300029044437990130</v>
      </c>
      <c r="M16" s="430">
        <v>91.23502466525722339675828048</v>
      </c>
      <c r="N16" s="431">
        <v>87.14401494855804948332920597</v>
      </c>
      <c r="O16" s="432">
        <v>82.69943847419885758543905509</v>
      </c>
      <c r="P16" s="5"/>
      <c r="Q16" s="430">
        <v>-4.479068710795718687636418400</v>
      </c>
      <c r="R16" s="431">
        <v>8.238300678950149342047638580</v>
      </c>
      <c r="S16" s="432">
        <v>-0.8090436838987603162387713100</v>
      </c>
      <c r="T16" s="430">
        <v>27.325581395476162790697801820</v>
      </c>
      <c r="U16" s="431">
        <v>-10.910413392259182336504912710</v>
      </c>
      <c r="V16" s="432">
        <v>10.483472582449811127296016300</v>
      </c>
      <c r="W16" s="430">
        <v>0</v>
      </c>
      <c r="X16" s="431">
        <v>-49.690328218893230408259819840</v>
      </c>
      <c r="Y16" s="432">
        <v>11.798610475444166769096607300</v>
      </c>
      <c r="Z16" s="629">
        <v>0.4451177505718849754485071700</v>
      </c>
      <c r="AA16" s="214">
        <v>4.5974663902593340227198692200</v>
      </c>
      <c r="AB16" s="630">
        <v>2.808129868059440861436893800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84.49197860962566844919786102</v>
      </c>
      <c r="E18" s="480">
        <v>84.79016001366664768521154838</v>
      </c>
      <c r="F18" s="481">
        <v>65.291856422310366779295822980</v>
      </c>
      <c r="G18" s="479">
        <v>8.734402852049910873440285210</v>
      </c>
      <c r="H18" s="480">
        <v>7.5166562268663515745117020700</v>
      </c>
      <c r="I18" s="481">
        <v>15.787057440869692963126193640</v>
      </c>
      <c r="J18" s="479">
        <v>0</v>
      </c>
      <c r="K18" s="480">
        <v>0.2391663344912020955526450700</v>
      </c>
      <c r="L18" s="481">
        <v>8.325987953577199941236961960</v>
      </c>
      <c r="M18" s="479">
        <v>93.22638146167557932263814617</v>
      </c>
      <c r="N18" s="480">
        <v>92.51181595581117248448266044</v>
      </c>
      <c r="O18" s="481">
        <v>89.40612604671661524900837373</v>
      </c>
      <c r="P18" s="184"/>
      <c r="Q18" s="479">
        <v>-4.194037392633768056253112100</v>
      </c>
      <c r="R18" s="480">
        <v>6.3602811535440068845870131400</v>
      </c>
      <c r="S18" s="481">
        <v>-0.0658363404623014448578184200</v>
      </c>
      <c r="T18" s="479">
        <v>37.062937063105755782679067300</v>
      </c>
      <c r="U18" s="480">
        <v>-25.140648322023260585268326580</v>
      </c>
      <c r="V18" s="481">
        <v>1.2115258098392468983117418500</v>
      </c>
      <c r="W18" s="479">
        <v>0</v>
      </c>
      <c r="X18" s="480">
        <v>-58.3407707877084247447793400</v>
      </c>
      <c r="Y18" s="481">
        <v>11.452164045254990587065995430</v>
      </c>
      <c r="Z18" s="479">
        <v>-1.4601978333018004144101265100</v>
      </c>
      <c r="AA18" s="480">
        <v>2.4009087068021739935226436100</v>
      </c>
      <c r="AB18" s="481">
        <v>1.1366918337804251125048417800</v>
      </c>
    </row>
    <row r="19" ht="18" customHeight="1">
      <c r="A19" s="58"/>
      <c r="B19" s="1046" t="s">
        <v>51</v>
      </c>
      <c r="C19" s="1046"/>
      <c r="D19" s="271">
        <v>86.49732620320855614973262038</v>
      </c>
      <c r="E19" s="92">
        <v>86.53835203006662490746540637</v>
      </c>
      <c r="F19" s="272">
        <v>67.137478188998071448250528110</v>
      </c>
      <c r="G19" s="271">
        <v>7.3529411764705882352941176500</v>
      </c>
      <c r="H19" s="92">
        <v>7.7387392517510392346677296300</v>
      </c>
      <c r="I19" s="272">
        <v>15.342700584687911347843389370</v>
      </c>
      <c r="J19" s="271">
        <v>0</v>
      </c>
      <c r="K19" s="92">
        <v>0.2163885883491828483571550600</v>
      </c>
      <c r="L19" s="272">
        <v>8.360118774298221446719931440</v>
      </c>
      <c r="M19" s="271">
        <v>93.85026737967914438502673797</v>
      </c>
      <c r="N19" s="92">
        <v>94.45361881441831330789818347</v>
      </c>
      <c r="O19" s="272">
        <v>90.84213426393608228487464414</v>
      </c>
      <c r="P19" s="5"/>
      <c r="Q19" s="271">
        <v>-4.3842364531840719260355713400</v>
      </c>
      <c r="R19" s="92">
        <v>4.0570051688946908817174411500</v>
      </c>
      <c r="S19" s="272">
        <v>-1.9385709780343785224342830200</v>
      </c>
      <c r="T19" s="271">
        <v>73.684210524377839335201678910</v>
      </c>
      <c r="U19" s="92">
        <v>-15.540499321616296756151271310</v>
      </c>
      <c r="V19" s="272">
        <v>12.404023819094494695465014930</v>
      </c>
      <c r="W19" s="271">
        <v>0</v>
      </c>
      <c r="X19" s="92">
        <v>-59.471307989865196376227575670</v>
      </c>
      <c r="Y19" s="272">
        <v>11.947359669523829994886851010</v>
      </c>
      <c r="Z19" s="271">
        <v>-0.9407337723140978203826749600</v>
      </c>
      <c r="AA19" s="92">
        <v>1.7062552637353284196299084800</v>
      </c>
      <c r="AB19" s="272">
        <v>1.404524893779171633105539600</v>
      </c>
    </row>
    <row r="20" ht="18" customHeight="1">
      <c r="A20" s="58"/>
      <c r="B20" s="1047" t="s">
        <v>76</v>
      </c>
      <c r="C20" s="1047"/>
      <c r="D20" s="273">
        <v>85.49465240641711229946524069</v>
      </c>
      <c r="E20" s="274">
        <v>85.66425602186663629633847737</v>
      </c>
      <c r="F20" s="275">
        <v>66.214574093289623909177448680</v>
      </c>
      <c r="G20" s="273">
        <v>8.043672014260249554367201430</v>
      </c>
      <c r="H20" s="274">
        <v>7.6276977393086954045897158500</v>
      </c>
      <c r="I20" s="275">
        <v>15.564901454838186364985935250</v>
      </c>
      <c r="J20" s="273">
        <v>0</v>
      </c>
      <c r="K20" s="274">
        <v>0.2277774614201924719549000600</v>
      </c>
      <c r="L20" s="275">
        <v>8.343051640174715261261757630</v>
      </c>
      <c r="M20" s="273">
        <v>93.53832442067736185383244207</v>
      </c>
      <c r="N20" s="274">
        <v>93.48271738511474289619042196</v>
      </c>
      <c r="O20" s="275">
        <v>90.12405763032479040596505083</v>
      </c>
      <c r="P20" s="184"/>
      <c r="Q20" s="273">
        <v>-4.2903467199303086638251498800</v>
      </c>
      <c r="R20" s="274">
        <v>5.1842887696631829737888638100</v>
      </c>
      <c r="S20" s="275">
        <v>-1.0242465290357813511595359800</v>
      </c>
      <c r="T20" s="273">
        <v>51.680672269774309723894508740</v>
      </c>
      <c r="U20" s="274">
        <v>-20.560128798958413396641679450</v>
      </c>
      <c r="V20" s="275">
        <v>6.4351059522713134136958239100</v>
      </c>
      <c r="W20" s="273">
        <v>0</v>
      </c>
      <c r="X20" s="274">
        <v>-58.885537422537110739437767730</v>
      </c>
      <c r="Y20" s="275">
        <v>11.699696397423990901062801380</v>
      </c>
      <c r="Z20" s="273">
        <v>-1.2002824193500137725703939800</v>
      </c>
      <c r="AA20" s="274">
        <v>2.0487927731888016209926192600</v>
      </c>
      <c r="AB20" s="275">
        <v>1.2714166822561856960402772600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76.704545454545454545454545450</v>
      </c>
      <c r="E22" s="469">
        <v>77.856566634398192965472733140</v>
      </c>
      <c r="F22" s="470">
        <v>58.166503765034734265483248270</v>
      </c>
      <c r="G22" s="468">
        <v>15.189393939393939393939393940</v>
      </c>
      <c r="H22" s="469">
        <v>10.738141335914811229428848020</v>
      </c>
      <c r="I22" s="470">
        <v>18.483092417967155903419897340</v>
      </c>
      <c r="J22" s="468">
        <v>0</v>
      </c>
      <c r="K22" s="469">
        <v>0.3363988383349467570183930300</v>
      </c>
      <c r="L22" s="470">
        <v>8.153135419056351514046804210</v>
      </c>
      <c r="M22" s="468">
        <v>91.89393939393939393939393939</v>
      </c>
      <c r="N22" s="469">
        <v>88.93110680864795095191997419</v>
      </c>
      <c r="O22" s="470">
        <v>84.80273160205824168294994983</v>
      </c>
      <c r="P22" s="184"/>
      <c r="Q22" s="468">
        <v>-4.5927108480137639387979252900</v>
      </c>
      <c r="R22" s="469">
        <v>7.3731656376844363717363802200</v>
      </c>
      <c r="S22" s="470">
        <v>-0.8730628019995449732863910800</v>
      </c>
      <c r="T22" s="468">
        <v>30.784366576859453110628386080</v>
      </c>
      <c r="U22" s="469">
        <v>-13.679359201367086154554966020</v>
      </c>
      <c r="V22" s="470">
        <v>9.404110193120841450505001920</v>
      </c>
      <c r="W22" s="468">
        <v>0</v>
      </c>
      <c r="X22" s="469">
        <v>-51.322304073032501877514471960</v>
      </c>
      <c r="Y22" s="470">
        <v>12.109589346768417450693521200</v>
      </c>
      <c r="Z22" s="468">
        <v>-0.1272455089315015104521240300</v>
      </c>
      <c r="AA22" s="469">
        <v>3.8415377064809263591943399800</v>
      </c>
      <c r="AB22" s="470">
        <v>2.3623761134831836002901942400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264.12051153043550368777366702</v>
      </c>
      <c r="E25" s="455">
        <v>279.6593698889721003475577929</v>
      </c>
      <c r="F25" s="456">
        <v>265.07334226049256608883306768</v>
      </c>
      <c r="G25" s="454">
        <v>305.76263300706224976736939488</v>
      </c>
      <c r="H25" s="455">
        <v>313.68927513097446533791381602</v>
      </c>
      <c r="I25" s="456">
        <v>298.61891996735637574735791657</v>
      </c>
      <c r="J25" s="454">
        <v>0</v>
      </c>
      <c r="K25" s="455">
        <v>165.36510854625173815708165301</v>
      </c>
      <c r="L25" s="456">
        <v>170.72274112674801159892126738</v>
      </c>
      <c r="M25" s="454">
        <v>269.26588622014376095723847181</v>
      </c>
      <c r="N25" s="455">
        <v>282.43982180710882247502418582</v>
      </c>
      <c r="O25" s="456">
        <v>261.18092533182164804434948165</v>
      </c>
      <c r="P25" s="5"/>
      <c r="Q25" s="427">
        <v>1.9573746616818961032557791300</v>
      </c>
      <c r="R25" s="428">
        <v>2.9522300139215612483462100200</v>
      </c>
      <c r="S25" s="429">
        <v>0.9736217380101350908718298800</v>
      </c>
      <c r="T25" s="427">
        <v>-6.6873838738178759414710180800</v>
      </c>
      <c r="U25" s="428">
        <v>2.0429316334028558868634379500</v>
      </c>
      <c r="V25" s="429">
        <v>-3.3289885447977878743770689500</v>
      </c>
      <c r="W25" s="427">
        <v>0</v>
      </c>
      <c r="X25" s="428">
        <v>0.265154859080457221675610700</v>
      </c>
      <c r="Y25" s="429">
        <v>9.763310065082992754318592290</v>
      </c>
      <c r="Z25" s="427">
        <v>2.3635744406249177014164835500</v>
      </c>
      <c r="AA25" s="428">
        <v>2.8051758127397594909319867200</v>
      </c>
      <c r="AB25" s="429">
        <v>0.5944840974630794084667512400</v>
      </c>
    </row>
    <row r="26" ht="18" customHeight="1">
      <c r="A26" s="58"/>
      <c r="B26" s="1043" t="s">
        <v>46</v>
      </c>
      <c r="C26" s="1043"/>
      <c r="D26" s="439">
        <v>261.47585153413868247538437198</v>
      </c>
      <c r="E26" s="95">
        <v>276.5240342620538200232076509</v>
      </c>
      <c r="F26" s="440">
        <v>265.10925724540124132970840837</v>
      </c>
      <c r="G26" s="439">
        <v>300.38887505976093711135755474</v>
      </c>
      <c r="H26" s="95">
        <v>301.09151332325152383084254602</v>
      </c>
      <c r="I26" s="440">
        <v>302.71989520803679154163431162</v>
      </c>
      <c r="J26" s="439">
        <v>0</v>
      </c>
      <c r="K26" s="95">
        <v>160.59681083868997672243146954</v>
      </c>
      <c r="L26" s="440">
        <v>170.39187571217061913926223404</v>
      </c>
      <c r="M26" s="439">
        <v>270.16959044864355692576277086</v>
      </c>
      <c r="N26" s="95">
        <v>279.64519316636495079808461273</v>
      </c>
      <c r="O26" s="440">
        <v>264.95672158037923990509453895</v>
      </c>
      <c r="P26" s="5"/>
      <c r="Q26" s="420">
        <v>-0.0502132114388391412198660100</v>
      </c>
      <c r="R26" s="91">
        <v>3.5806910849957108868663802900</v>
      </c>
      <c r="S26" s="421">
        <v>1.0253353951132962392079837700</v>
      </c>
      <c r="T26" s="420">
        <v>0.1231777182181507091848931300</v>
      </c>
      <c r="U26" s="91">
        <v>1.2328391486962119815599616400</v>
      </c>
      <c r="V26" s="421">
        <v>0.156484544874051764697609400</v>
      </c>
      <c r="W26" s="420">
        <v>0</v>
      </c>
      <c r="X26" s="91">
        <v>-1.6458937450013814760401377100</v>
      </c>
      <c r="Y26" s="421">
        <v>4.4017997828289079327483999300</v>
      </c>
      <c r="Z26" s="420">
        <v>0.771457554984064006587094700</v>
      </c>
      <c r="AA26" s="91">
        <v>3.2899803771432525848891851300</v>
      </c>
      <c r="AB26" s="421">
        <v>1.1110150168199228451269148200</v>
      </c>
    </row>
    <row r="27" ht="18" customHeight="1">
      <c r="A27" s="58"/>
      <c r="B27" s="1043" t="s">
        <v>47</v>
      </c>
      <c r="C27" s="1043"/>
      <c r="D27" s="439">
        <v>268.6047480032620136923241657</v>
      </c>
      <c r="E27" s="95">
        <v>287.94316245208261753303789353</v>
      </c>
      <c r="F27" s="440">
        <v>283.01768276108510650461487636</v>
      </c>
      <c r="G27" s="439">
        <v>301.12720889374555302052138171</v>
      </c>
      <c r="H27" s="95">
        <v>307.98311048743735193379893489</v>
      </c>
      <c r="I27" s="440">
        <v>301.75447038556127679766804159</v>
      </c>
      <c r="J27" s="439">
        <v>0</v>
      </c>
      <c r="K27" s="95">
        <v>171.36844749722498522047906498</v>
      </c>
      <c r="L27" s="440">
        <v>161.65916395970575645512285064</v>
      </c>
      <c r="M27" s="439">
        <v>276.62006354790930162455467759</v>
      </c>
      <c r="N27" s="95">
        <v>290.95297203776383048789919219</v>
      </c>
      <c r="O27" s="440">
        <v>276.44108394923911037233325301</v>
      </c>
      <c r="P27" s="93"/>
      <c r="Q27" s="420">
        <v>0.9951250055806381811581459600</v>
      </c>
      <c r="R27" s="91">
        <v>5.6289633280778294922309335900</v>
      </c>
      <c r="S27" s="421">
        <v>4.5194699756071730884882097400</v>
      </c>
      <c r="T27" s="420">
        <v>3.0289686312433917744988873500</v>
      </c>
      <c r="U27" s="91">
        <v>1.4239378258470422173106599700</v>
      </c>
      <c r="V27" s="421">
        <v>0.5505935339934461028519327400</v>
      </c>
      <c r="W27" s="420">
        <v>0</v>
      </c>
      <c r="X27" s="91">
        <v>3.4961164393888759194369642200</v>
      </c>
      <c r="Y27" s="421">
        <v>5.7208909068648308520840845800</v>
      </c>
      <c r="Z27" s="420">
        <v>2.0490297361586795741399299700</v>
      </c>
      <c r="AA27" s="91">
        <v>4.7517327117742279710436326700</v>
      </c>
      <c r="AB27" s="421">
        <v>3.3046169312985558146461927500</v>
      </c>
    </row>
    <row r="28" ht="18" customHeight="1">
      <c r="A28" s="58"/>
      <c r="B28" s="1043" t="s">
        <v>48</v>
      </c>
      <c r="C28" s="1043"/>
      <c r="D28" s="439">
        <v>265.69971278116501791838417801</v>
      </c>
      <c r="E28" s="95">
        <v>282.8519535924503681269395131</v>
      </c>
      <c r="F28" s="440">
        <v>279.6524432219786369462409403</v>
      </c>
      <c r="G28" s="439">
        <v>305.64551026416633899351354911</v>
      </c>
      <c r="H28" s="95">
        <v>314.52380709272301935802209015</v>
      </c>
      <c r="I28" s="440">
        <v>300.39674387282262327163759442</v>
      </c>
      <c r="J28" s="439">
        <v>0</v>
      </c>
      <c r="K28" s="95">
        <v>165.35957924765847826686981125</v>
      </c>
      <c r="L28" s="440">
        <v>163.02426113851876286484633426</v>
      </c>
      <c r="M28" s="439">
        <v>275.1169390915670621481342395</v>
      </c>
      <c r="N28" s="95">
        <v>287.39933103270172577864210478</v>
      </c>
      <c r="O28" s="440">
        <v>274.27871895661044744089246689</v>
      </c>
      <c r="P28" s="5"/>
      <c r="Q28" s="420">
        <v>-1.7770931034960926926790960900</v>
      </c>
      <c r="R28" s="91">
        <v>3.3400703615497489453985710300</v>
      </c>
      <c r="S28" s="421">
        <v>2.1710744628043586866665543100</v>
      </c>
      <c r="T28" s="420">
        <v>3.0405926096456118685323786600</v>
      </c>
      <c r="U28" s="91">
        <v>0.6773525606667131528685753200</v>
      </c>
      <c r="V28" s="421">
        <v>2.1447711248157861757365402400</v>
      </c>
      <c r="W28" s="420">
        <v>0</v>
      </c>
      <c r="X28" s="91">
        <v>-2.2028515477670688257944862600</v>
      </c>
      <c r="Y28" s="421">
        <v>3.6376409163363283184229478300</v>
      </c>
      <c r="Z28" s="420">
        <v>-0.1566268191304005255100384200</v>
      </c>
      <c r="AA28" s="91">
        <v>2.5528008009011576931118852600</v>
      </c>
      <c r="AB28" s="421">
        <v>2.1240638408133949324421244100</v>
      </c>
    </row>
    <row r="29" ht="18" customHeight="1">
      <c r="A29" s="58"/>
      <c r="B29" s="1043" t="s">
        <v>49</v>
      </c>
      <c r="C29" s="1043"/>
      <c r="D29" s="439">
        <v>279.48729646881570382207255055</v>
      </c>
      <c r="E29" s="95">
        <v>280.33998087547427084263251661</v>
      </c>
      <c r="F29" s="440">
        <v>281.48011681749495850629518343</v>
      </c>
      <c r="G29" s="439">
        <v>307.05765932286744232444172381</v>
      </c>
      <c r="H29" s="95">
        <v>338.84585141459285375623950021</v>
      </c>
      <c r="I29" s="440">
        <v>304.13003628652251176486615466</v>
      </c>
      <c r="J29" s="439">
        <v>0</v>
      </c>
      <c r="K29" s="95">
        <v>168.35350830010886956854906325</v>
      </c>
      <c r="L29" s="440">
        <v>163.78132067401700745451951698</v>
      </c>
      <c r="M29" s="439">
        <v>283.72274351595988393982781485</v>
      </c>
      <c r="N29" s="95">
        <v>286.60729777463086394927947093</v>
      </c>
      <c r="O29" s="440">
        <v>274.88461386761573745384538575</v>
      </c>
      <c r="P29" s="93"/>
      <c r="Q29" s="420">
        <v>-6.5595601208128263580231588800</v>
      </c>
      <c r="R29" s="91">
        <v>-4.2270190292432463180160602300</v>
      </c>
      <c r="S29" s="421">
        <v>-0.0973075175006558953044341600</v>
      </c>
      <c r="T29" s="420">
        <v>0.1334278513827485956426959100</v>
      </c>
      <c r="U29" s="91">
        <v>1.5979857532892075941231717200</v>
      </c>
      <c r="V29" s="421">
        <v>2.8372027345495351943168584600</v>
      </c>
      <c r="W29" s="420">
        <v>0</v>
      </c>
      <c r="X29" s="91">
        <v>-0.4917858407823088298003555300</v>
      </c>
      <c r="Y29" s="421">
        <v>2.4779847055073642640865302500</v>
      </c>
      <c r="Z29" s="420">
        <v>-5.4510552976423838782134791800</v>
      </c>
      <c r="AA29" s="91">
        <v>-3.7471171771362946670019485500</v>
      </c>
      <c r="AB29" s="421">
        <v>0.1749103278615063302340174800</v>
      </c>
    </row>
    <row r="30" ht="18" customHeight="1">
      <c r="A30" s="58"/>
      <c r="B30" s="1044" t="s">
        <v>75</v>
      </c>
      <c r="C30" s="1044"/>
      <c r="D30" s="457">
        <v>268.00229406367090475028821305</v>
      </c>
      <c r="E30" s="458">
        <v>281.42351638885311079308908191</v>
      </c>
      <c r="F30" s="459">
        <v>275.0153237818631284371144984</v>
      </c>
      <c r="G30" s="457">
        <v>303.58740356350708783302531805</v>
      </c>
      <c r="H30" s="458">
        <v>313.91906756059016935208999358</v>
      </c>
      <c r="I30" s="459">
        <v>301.62916888892888665168497967</v>
      </c>
      <c r="J30" s="457">
        <v>0</v>
      </c>
      <c r="K30" s="458">
        <v>165.85622533696488126284778543</v>
      </c>
      <c r="L30" s="459">
        <v>165.850618959775289323437444</v>
      </c>
      <c r="M30" s="457">
        <v>275.02517364440520601717192864</v>
      </c>
      <c r="N30" s="458">
        <v>285.45325418691566993483037572</v>
      </c>
      <c r="O30" s="459">
        <v>270.62459524333680172508719892</v>
      </c>
      <c r="P30" s="5"/>
      <c r="Q30" s="430">
        <v>-1.1417631000447329829014208500</v>
      </c>
      <c r="R30" s="431">
        <v>2.0929032144405914323452330800</v>
      </c>
      <c r="S30" s="432">
        <v>1.7284475948899541955805681800</v>
      </c>
      <c r="T30" s="430">
        <v>1.0859582273452950235091687600</v>
      </c>
      <c r="U30" s="431">
        <v>1.1349795072266708066251551100</v>
      </c>
      <c r="V30" s="432">
        <v>0.7235486168962087414425032700</v>
      </c>
      <c r="W30" s="430">
        <v>0</v>
      </c>
      <c r="X30" s="431">
        <v>-0.0590631361354946207630306800</v>
      </c>
      <c r="Y30" s="432">
        <v>5.1480619754301324338531919500</v>
      </c>
      <c r="Z30" s="430">
        <v>-0.1977743357910647811501602300</v>
      </c>
      <c r="AA30" s="431">
        <v>1.8337926047721062832478691500</v>
      </c>
      <c r="AB30" s="432">
        <v>1.5039251295907611280217146500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341.16046597577853122652046795</v>
      </c>
      <c r="E32" s="494">
        <v>329.46157496424765560024571838</v>
      </c>
      <c r="F32" s="495">
        <v>319.22009243320283807904026033</v>
      </c>
      <c r="G32" s="493">
        <v>349.75771399115170047618926833</v>
      </c>
      <c r="H32" s="494">
        <v>355.83934169452520625508424023</v>
      </c>
      <c r="I32" s="495">
        <v>302.41838674154099848143528976</v>
      </c>
      <c r="J32" s="493">
        <v>0</v>
      </c>
      <c r="K32" s="494">
        <v>169.30454600389361695741562139</v>
      </c>
      <c r="L32" s="495">
        <v>165.78025224178318763242322321</v>
      </c>
      <c r="M32" s="493">
        <v>341.96594427932209775278006874</v>
      </c>
      <c r="N32" s="494">
        <v>331.31241986868056112622069432</v>
      </c>
      <c r="O32" s="495">
        <v>301.95977011607364550803997405</v>
      </c>
      <c r="P32" s="93"/>
      <c r="Q32" s="479">
        <v>-7.0326281484637150559189994500</v>
      </c>
      <c r="R32" s="480">
        <v>-4.9797215346621150097047908500</v>
      </c>
      <c r="S32" s="481">
        <v>0.7095705905272509720617250800</v>
      </c>
      <c r="T32" s="479">
        <v>-4.3611291028939949233712616700</v>
      </c>
      <c r="U32" s="480">
        <v>-7.6170417921180104644224191800</v>
      </c>
      <c r="V32" s="481">
        <v>2.990486281547022658453041700</v>
      </c>
      <c r="W32" s="479">
        <v>0</v>
      </c>
      <c r="X32" s="480">
        <v>-3.6329469326187507190272288200</v>
      </c>
      <c r="Y32" s="481">
        <v>0.9129602899023206396257041400</v>
      </c>
      <c r="Z32" s="479">
        <v>-6.7476185304673227992360544700</v>
      </c>
      <c r="AA32" s="480">
        <v>-5.3162035379211822022475327600</v>
      </c>
      <c r="AB32" s="481">
        <v>0.6682721752777596884452500900</v>
      </c>
    </row>
    <row r="33" ht="18" customHeight="1">
      <c r="A33" s="58"/>
      <c r="B33" s="1046" t="s">
        <v>51</v>
      </c>
      <c r="C33" s="1046"/>
      <c r="D33" s="276">
        <v>350.88896293873892896639580774</v>
      </c>
      <c r="E33" s="94">
        <v>340.22278751983933926480436409</v>
      </c>
      <c r="F33" s="277">
        <v>324.27416182171465182089892447</v>
      </c>
      <c r="G33" s="276">
        <v>343.10935799067388883369798752</v>
      </c>
      <c r="H33" s="94">
        <v>349.70968620537306887715868235</v>
      </c>
      <c r="I33" s="277">
        <v>302.62408919777717708267210648</v>
      </c>
      <c r="J33" s="276">
        <v>0</v>
      </c>
      <c r="K33" s="94">
        <v>169.70005086486153435433644589</v>
      </c>
      <c r="L33" s="277">
        <v>166.53155444125526922529599052</v>
      </c>
      <c r="M33" s="276">
        <v>350.27944973055719505286535174</v>
      </c>
      <c r="N33" s="94">
        <v>340.75298531530506889231056582</v>
      </c>
      <c r="O33" s="277">
        <v>306.09412754267200282382805219</v>
      </c>
      <c r="P33" s="5"/>
      <c r="Q33" s="271">
        <v>-4.8983932488257051963469619800</v>
      </c>
      <c r="R33" s="92">
        <v>-3.7774261004217578725414860400</v>
      </c>
      <c r="S33" s="272">
        <v>0.1821485116108489367581318900</v>
      </c>
      <c r="T33" s="271">
        <v>-9.433544840815783795948126560</v>
      </c>
      <c r="U33" s="92">
        <v>-5.5630419929193503800438042400</v>
      </c>
      <c r="V33" s="272">
        <v>2.4475163494173067098904328100</v>
      </c>
      <c r="W33" s="271">
        <v>0</v>
      </c>
      <c r="X33" s="92">
        <v>3.299247800783663095435824500</v>
      </c>
      <c r="Y33" s="272">
        <v>4.0305204856326520490891780900</v>
      </c>
      <c r="Z33" s="271">
        <v>-5.1325510523267138992500838500</v>
      </c>
      <c r="AA33" s="92">
        <v>-3.7805441308911696158856452300</v>
      </c>
      <c r="AB33" s="272">
        <v>0.1202306636739566861038339500</v>
      </c>
    </row>
    <row r="34" ht="18" customHeight="1">
      <c r="A34" s="58"/>
      <c r="B34" s="1047" t="s">
        <v>76</v>
      </c>
      <c r="C34" s="1047"/>
      <c r="D34" s="443">
        <v>346.0817619374950107712423951</v>
      </c>
      <c r="E34" s="444">
        <v>334.89708356288915580466283335</v>
      </c>
      <c r="F34" s="445">
        <v>321.78209033023192386717607103</v>
      </c>
      <c r="G34" s="443">
        <v>346.7189917194651660689564115</v>
      </c>
      <c r="H34" s="444">
        <v>352.72989719666863488643891247</v>
      </c>
      <c r="I34" s="445">
        <v>302.51975944912351673568780451</v>
      </c>
      <c r="J34" s="443">
        <v>0</v>
      </c>
      <c r="K34" s="444">
        <v>169.49241081285337772095301304</v>
      </c>
      <c r="L34" s="445">
        <v>166.1566337780414432787040919</v>
      </c>
      <c r="M34" s="633">
        <v>346.13655944852198220108392916</v>
      </c>
      <c r="N34" s="634">
        <v>336.08172693971155769418989291</v>
      </c>
      <c r="O34" s="635">
        <v>304.04320891095197121139581698</v>
      </c>
      <c r="P34" s="93"/>
      <c r="Q34" s="273">
        <v>-5.9503576352458462911713618600</v>
      </c>
      <c r="R34" s="274">
        <v>-4.3767969431676612985924375500</v>
      </c>
      <c r="S34" s="275">
        <v>0.4293924153094659249357502500</v>
      </c>
      <c r="T34" s="273">
        <v>-6.5327079503105836110744813700</v>
      </c>
      <c r="U34" s="274">
        <v>-6.706046588334401384080713100</v>
      </c>
      <c r="V34" s="275">
        <v>2.7381061184908592151030022800</v>
      </c>
      <c r="W34" s="273">
        <v>0</v>
      </c>
      <c r="X34" s="274">
        <v>-0.4101642277855379582164849700</v>
      </c>
      <c r="Y34" s="275">
        <v>2.4517752359164737849458699100</v>
      </c>
      <c r="Z34" s="273">
        <v>-5.9337795450279639987658004900</v>
      </c>
      <c r="AA34" s="274">
        <v>-4.5377404145968221660990451400</v>
      </c>
      <c r="AB34" s="275">
        <v>0.3906535189262133917912961500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292.23349794238683127572016461</v>
      </c>
      <c r="E36" s="483">
        <v>298.20371710010971412854927753</v>
      </c>
      <c r="F36" s="484">
        <v>290.03812541668543652590070862</v>
      </c>
      <c r="G36" s="482">
        <v>312.08645054031587697423108894</v>
      </c>
      <c r="H36" s="483">
        <v>321.85913753610704276679156296</v>
      </c>
      <c r="I36" s="484">
        <v>301.92375113032262583117815855</v>
      </c>
      <c r="J36" s="482">
        <v>0</v>
      </c>
      <c r="K36" s="483">
        <v>166.18704846088856947438413101</v>
      </c>
      <c r="L36" s="484">
        <v>165.85246553149499344470687576</v>
      </c>
      <c r="M36" s="482">
        <v>295.51504534212695795548227535</v>
      </c>
      <c r="N36" s="483">
        <v>300.56065385208501528497174321</v>
      </c>
      <c r="O36" s="484">
        <v>280.68914138444152404133790825</v>
      </c>
      <c r="P36" s="93"/>
      <c r="Q36" s="468">
        <v>-2.8384028492127436714320543800</v>
      </c>
      <c r="R36" s="469">
        <v>-0.3821058891775027046883454800</v>
      </c>
      <c r="S36" s="470">
        <v>1.3882526310518297778417891200</v>
      </c>
      <c r="T36" s="468">
        <v>0.5441883460906646351835708700</v>
      </c>
      <c r="U36" s="469">
        <v>-0.6554786041219512088749909500</v>
      </c>
      <c r="V36" s="470">
        <v>0.9031212157994679094561167500</v>
      </c>
      <c r="W36" s="468">
        <v>0</v>
      </c>
      <c r="X36" s="469">
        <v>-0.8289072293538649082676274200</v>
      </c>
      <c r="Y36" s="470">
        <v>4.5566992156539869957534707200</v>
      </c>
      <c r="Z36" s="468">
        <v>-2.1427057084118084790466402400</v>
      </c>
      <c r="AA36" s="469">
        <v>-0.4313111320513795338891060100</v>
      </c>
      <c r="AB36" s="470">
        <v>1.1266337236511435878421969800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206.21173627509937721077516262</v>
      </c>
      <c r="E39" s="455">
        <v>219.54239925342345967720697773</v>
      </c>
      <c r="F39" s="456">
        <v>149.11521662179470689038019273</v>
      </c>
      <c r="G39" s="454">
        <v>33.655690888032252982415436981</v>
      </c>
      <c r="H39" s="455">
        <v>26.311958445870131965306477499</v>
      </c>
      <c r="I39" s="456">
        <v>40.327768920561710204397226126</v>
      </c>
      <c r="J39" s="454">
        <v>0</v>
      </c>
      <c r="K39" s="455">
        <v>0.6874126145365512718789909845</v>
      </c>
      <c r="L39" s="456">
        <v>13.671616334146778043370313645</v>
      </c>
      <c r="M39" s="454">
        <v>239.86742716313163019319059944</v>
      </c>
      <c r="N39" s="455">
        <v>246.54177031383014291439244602</v>
      </c>
      <c r="O39" s="456">
        <v>203.11460187650319513814773232</v>
      </c>
      <c r="P39" s="5"/>
      <c r="Q39" s="427">
        <v>-5.5371124234110942452337297700</v>
      </c>
      <c r="R39" s="428">
        <v>11.278462479656943822042004470</v>
      </c>
      <c r="S39" s="429">
        <v>0.1105479077305055318029256600</v>
      </c>
      <c r="T39" s="427">
        <v>96.99330071034952286616022842</v>
      </c>
      <c r="U39" s="428">
        <v>-10.61769141274152864893522100</v>
      </c>
      <c r="V39" s="429">
        <v>7.4511387573027482552514266200</v>
      </c>
      <c r="W39" s="427">
        <v>0</v>
      </c>
      <c r="X39" s="428">
        <v>-49.931241058217522410355161070</v>
      </c>
      <c r="Y39" s="429">
        <v>20.140239870721745114489231340</v>
      </c>
      <c r="Z39" s="427">
        <v>1.90477355918305905206142700</v>
      </c>
      <c r="AA39" s="428">
        <v>8.074828761802665033345457440</v>
      </c>
      <c r="AB39" s="429">
        <v>2.6559179890928648916350799900</v>
      </c>
    </row>
    <row r="40" ht="18" customHeight="1">
      <c r="A40" s="58"/>
      <c r="B40" s="1043" t="s">
        <v>46</v>
      </c>
      <c r="C40" s="1043"/>
      <c r="D40" s="439">
        <v>185.50336704204491198788410003</v>
      </c>
      <c r="E40" s="95">
        <v>199.68118435607906677947134126</v>
      </c>
      <c r="F40" s="440">
        <v>138.33692714375698900132272731</v>
      </c>
      <c r="G40" s="439">
        <v>61.309315854443185916667451053</v>
      </c>
      <c r="H40" s="95">
        <v>38.937351332902694073221537644</v>
      </c>
      <c r="I40" s="440">
        <v>59.98611521292630970114510753</v>
      </c>
      <c r="J40" s="439">
        <v>0</v>
      </c>
      <c r="K40" s="95">
        <v>0.7224615942290591743677516146</v>
      </c>
      <c r="L40" s="440">
        <v>13.632601902878413389119777612</v>
      </c>
      <c r="M40" s="439">
        <v>246.81268289648809790455155092</v>
      </c>
      <c r="N40" s="95">
        <v>239.34099728321082002706063033</v>
      </c>
      <c r="O40" s="440">
        <v>211.95564425956171209158761226</v>
      </c>
      <c r="P40" s="5"/>
      <c r="Q40" s="420">
        <v>-5.9296124343002568252854148300</v>
      </c>
      <c r="R40" s="91">
        <v>12.883575224110791099292254740</v>
      </c>
      <c r="S40" s="421">
        <v>0.2628709311804462644114860800</v>
      </c>
      <c r="T40" s="420">
        <v>36.3872235805070159098995300</v>
      </c>
      <c r="U40" s="91">
        <v>-0.388461259997537115577653200</v>
      </c>
      <c r="V40" s="421">
        <v>16.584275593461073656692728430</v>
      </c>
      <c r="W40" s="420">
        <v>0</v>
      </c>
      <c r="X40" s="91">
        <v>-54.134891445164849004855661110</v>
      </c>
      <c r="Y40" s="421">
        <v>17.297277234294231572974687210</v>
      </c>
      <c r="Z40" s="420">
        <v>1.9260672051357965603034931400</v>
      </c>
      <c r="AA40" s="91">
        <v>10.004642897635762678093746970</v>
      </c>
      <c r="AB40" s="421">
        <v>5.4255689697251557870468440400</v>
      </c>
    </row>
    <row r="41" ht="18" customHeight="1">
      <c r="A41" s="58"/>
      <c r="B41" s="1043" t="s">
        <v>47</v>
      </c>
      <c r="C41" s="1043"/>
      <c r="D41" s="439">
        <v>184.45629085250747018710852924</v>
      </c>
      <c r="E41" s="95">
        <v>206.22180708159233988457477306</v>
      </c>
      <c r="F41" s="440">
        <v>151.25883980118903508124895666</v>
      </c>
      <c r="G41" s="439">
        <v>67.632849056349268592844374546</v>
      </c>
      <c r="H41" s="95">
        <v>46.14222217940024331973264611</v>
      </c>
      <c r="I41" s="440">
        <v>70.626099110097569643391675195</v>
      </c>
      <c r="J41" s="439">
        <v>0</v>
      </c>
      <c r="K41" s="95">
        <v>0.6147834515303897311593975914</v>
      </c>
      <c r="L41" s="440">
        <v>13.280315710875823578787943455</v>
      </c>
      <c r="M41" s="439">
        <v>252.0891399088567387799529036</v>
      </c>
      <c r="N41" s="95">
        <v>252.97881271252297293546681656</v>
      </c>
      <c r="O41" s="440">
        <v>235.16525462216242830342857511</v>
      </c>
      <c r="P41" s="93"/>
      <c r="Q41" s="420">
        <v>-4.4704935241194570775463989900</v>
      </c>
      <c r="R41" s="91">
        <v>14.848066176485068114543753730</v>
      </c>
      <c r="S41" s="421">
        <v>3.9316882551373066106862509100</v>
      </c>
      <c r="T41" s="420">
        <v>24.673709940355124649915912010</v>
      </c>
      <c r="U41" s="91">
        <v>-6.2593968128304989832117841700</v>
      </c>
      <c r="V41" s="421">
        <v>15.915417786417779608079287180</v>
      </c>
      <c r="W41" s="420">
        <v>0</v>
      </c>
      <c r="X41" s="91">
        <v>-49.993451920109205212263688310</v>
      </c>
      <c r="Y41" s="421">
        <v>19.847157820294010845825194250</v>
      </c>
      <c r="Z41" s="420">
        <v>1.9216622690709936545990575800</v>
      </c>
      <c r="AA41" s="91">
        <v>9.975408512557751943557130320</v>
      </c>
      <c r="AB41" s="421">
        <v>8.099673717096562740579835970</v>
      </c>
    </row>
    <row r="42" ht="18" customHeight="1">
      <c r="A42" s="58"/>
      <c r="B42" s="1043" t="s">
        <v>48</v>
      </c>
      <c r="C42" s="1043"/>
      <c r="D42" s="439">
        <v>187.42117787088912880101510213</v>
      </c>
      <c r="E42" s="95">
        <v>206.63982669677561582426300684</v>
      </c>
      <c r="F42" s="440">
        <v>153.56396861366360248733040529</v>
      </c>
      <c r="G42" s="439">
        <v>66.506198992665823762477485271</v>
      </c>
      <c r="H42" s="95">
        <v>43.083367573688583968209221483</v>
      </c>
      <c r="I42" s="440">
        <v>67.772023096002009624723608382</v>
      </c>
      <c r="J42" s="439">
        <v>0</v>
      </c>
      <c r="K42" s="95">
        <v>0.595842304484947727432520026</v>
      </c>
      <c r="L42" s="440">
        <v>12.958316954494163078335949013</v>
      </c>
      <c r="M42" s="439">
        <v>253.92737686355495256349258721</v>
      </c>
      <c r="N42" s="95">
        <v>250.31903657494914751990474814</v>
      </c>
      <c r="O42" s="440">
        <v>234.29430866415977519038996248</v>
      </c>
      <c r="P42" s="5"/>
      <c r="Q42" s="420">
        <v>-4.3813358174365970139240357600</v>
      </c>
      <c r="R42" s="91">
        <v>11.367491489288606675512386110</v>
      </c>
      <c r="S42" s="421">
        <v>0.7269212798947401346780714700</v>
      </c>
      <c r="T42" s="420">
        <v>25.155302438744963742010855940</v>
      </c>
      <c r="U42" s="91">
        <v>-11.653391911224796689309634890</v>
      </c>
      <c r="V42" s="421">
        <v>10.386235394172694117572059330</v>
      </c>
      <c r="W42" s="420">
        <v>0</v>
      </c>
      <c r="X42" s="91">
        <v>-35.387618979999021002970677630</v>
      </c>
      <c r="Y42" s="421">
        <v>11.981356638006353201704099280</v>
      </c>
      <c r="Z42" s="420">
        <v>1.9183176046419661149533688500</v>
      </c>
      <c r="AA42" s="91">
        <v>6.4025230618249146406492007600</v>
      </c>
      <c r="AB42" s="421">
        <v>3.9364401557527475470385622200</v>
      </c>
    </row>
    <row r="43" ht="18" customHeight="1">
      <c r="A43" s="58"/>
      <c r="B43" s="1043" t="s">
        <v>49</v>
      </c>
      <c r="C43" s="1043"/>
      <c r="D43" s="439">
        <v>218.20933307190958694129728561</v>
      </c>
      <c r="E43" s="95">
        <v>220.26826810089368424842796351</v>
      </c>
      <c r="F43" s="440">
        <v>164.9393400349026423953842346</v>
      </c>
      <c r="G43" s="439">
        <v>43.513518567144316693035859287</v>
      </c>
      <c r="H43" s="95">
        <v>33.708997347605131570648050074</v>
      </c>
      <c r="I43" s="440">
        <v>55.381497291316281049489515956</v>
      </c>
      <c r="J43" s="439">
        <v>0</v>
      </c>
      <c r="K43" s="95">
        <v>0.5272731026995038907960935303</v>
      </c>
      <c r="L43" s="440">
        <v>13.55520809970975930287790994</v>
      </c>
      <c r="M43" s="439">
        <v>261.72285163905390363433314471</v>
      </c>
      <c r="N43" s="95">
        <v>254.50453855119831970987210692</v>
      </c>
      <c r="O43" s="440">
        <v>233.87604542592868274775166029</v>
      </c>
      <c r="P43" s="93"/>
      <c r="Q43" s="420">
        <v>-7.5620267259585378577130339800</v>
      </c>
      <c r="R43" s="91">
        <v>2.7713075164327664727299426200</v>
      </c>
      <c r="S43" s="421">
        <v>-1.0362373864619859644687508500</v>
      </c>
      <c r="T43" s="420">
        <v>3.3845131713243481815726021600</v>
      </c>
      <c r="U43" s="91">
        <v>-20.537511243100673799000574010</v>
      </c>
      <c r="V43" s="421">
        <v>4.3720104332997085809562862500</v>
      </c>
      <c r="W43" s="420">
        <v>0</v>
      </c>
      <c r="X43" s="91">
        <v>-53.697049840561181997760834200</v>
      </c>
      <c r="Y43" s="421">
        <v>18.822535911193040562195006160</v>
      </c>
      <c r="Z43" s="420">
        <v>-5.9056175317859822255290966100</v>
      </c>
      <c r="AA43" s="91">
        <v>-1.3229784326270218052515541300</v>
      </c>
      <c r="AB43" s="421">
        <v>1.1867081308520600652985987200</v>
      </c>
    </row>
    <row r="44" ht="18" customHeight="1">
      <c r="A44" s="58"/>
      <c r="B44" s="1044" t="s">
        <v>75</v>
      </c>
      <c r="C44" s="1044"/>
      <c r="D44" s="457">
        <v>196.25643679979706053463230408</v>
      </c>
      <c r="E44" s="458">
        <v>210.42615209309030749838734964</v>
      </c>
      <c r="F44" s="459">
        <v>151.46810429987002726607298746</v>
      </c>
      <c r="G44" s="457">
        <v>54.662848210342537661267067504</v>
      </c>
      <c r="H44" s="458">
        <v>37.700111796797952642083884641</v>
      </c>
      <c r="I44" s="459">
        <v>58.922669718814624943502504422</v>
      </c>
      <c r="J44" s="457">
        <v>0</v>
      </c>
      <c r="K44" s="458">
        <v>0.629162609902937537828178299</v>
      </c>
      <c r="L44" s="459">
        <v>13.414246620628354253367482501</v>
      </c>
      <c r="M44" s="457">
        <v>250.91928501013959819589937147</v>
      </c>
      <c r="N44" s="458">
        <v>248.75542649979119767829941238</v>
      </c>
      <c r="O44" s="459">
        <v>223.80502063931300646294297419</v>
      </c>
      <c r="P44" s="5"/>
      <c r="Q44" s="430">
        <v>-5.5696914571357271795785091200</v>
      </c>
      <c r="R44" s="431">
        <v>10.503623553106391855560467260</v>
      </c>
      <c r="S44" s="432">
        <v>0.9054200149906774160583777800</v>
      </c>
      <c r="T44" s="430">
        <v>28.708284022045225138201125420</v>
      </c>
      <c r="U44" s="431">
        <v>-9.899264841276510691291220080</v>
      </c>
      <c r="V44" s="432">
        <v>11.282874220266441477888591160</v>
      </c>
      <c r="W44" s="430">
        <v>0</v>
      </c>
      <c r="X44" s="431">
        <v>-49.720042684820114449304584400</v>
      </c>
      <c r="Y44" s="432">
        <v>17.554072230151381316284801540</v>
      </c>
      <c r="Z44" s="430">
        <v>0.2464630860578796165292472100</v>
      </c>
      <c r="AA44" s="431">
        <v>6.5155669936385473968409558700</v>
      </c>
      <c r="AB44" s="432">
        <v>4.3542871684309559009371534700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288.25322793675405312187290895</v>
      </c>
      <c r="E46" s="494">
        <v>279.35099659573188268821016745</v>
      </c>
      <c r="F46" s="495">
        <v>208.42472442265323641434619042</v>
      </c>
      <c r="G46" s="493">
        <v>30.54924774610772428401653148</v>
      </c>
      <c r="H46" s="494">
        <v>26.747220035121762556614725669</v>
      </c>
      <c r="I46" s="495">
        <v>47.742964426638533200104656756</v>
      </c>
      <c r="J46" s="493">
        <v>0</v>
      </c>
      <c r="K46" s="494">
        <v>0.4049194768044833387740707308</v>
      </c>
      <c r="L46" s="495">
        <v>13.802843831060764153177003355</v>
      </c>
      <c r="M46" s="493">
        <v>318.8024756828617774058894402</v>
      </c>
      <c r="N46" s="494">
        <v>306.50313610765812858359896361</v>
      </c>
      <c r="O46" s="495">
        <v>269.97053268035253376762785031</v>
      </c>
      <c r="P46" s="93"/>
      <c r="Q46" s="479">
        <v>-10.931714486854763800795127960</v>
      </c>
      <c r="R46" s="480">
        <v>1.0638353285551795360159706500</v>
      </c>
      <c r="S46" s="481">
        <v>0.6432670947146193705820037500</v>
      </c>
      <c r="T46" s="479">
        <v>31.085445425627373267813962480</v>
      </c>
      <c r="U46" s="480">
        <v>-30.842716424470662919906133230</v>
      </c>
      <c r="V46" s="481">
        <v>4.2382426044445368807623754700</v>
      </c>
      <c r="W46" s="479">
        <v>0</v>
      </c>
      <c r="X46" s="480">
        <v>-59.854228480362606065955874370</v>
      </c>
      <c r="Y46" s="481">
        <v>12.469678044997651870084656670</v>
      </c>
      <c r="Z46" s="479">
        <v>-8.109287784160195114183972350</v>
      </c>
      <c r="AA46" s="480">
        <v>-3.0429320246794460960117940300</v>
      </c>
      <c r="AB46" s="481">
        <v>1.8125602042630362796472665700</v>
      </c>
    </row>
    <row r="47" ht="18" customHeight="1">
      <c r="A47" s="58"/>
      <c r="B47" s="1046" t="s">
        <v>51</v>
      </c>
      <c r="C47" s="1046"/>
      <c r="D47" s="276">
        <v>303.50957088417658695355359326</v>
      </c>
      <c r="E47" s="94">
        <v>294.42319355042414662076373356</v>
      </c>
      <c r="F47" s="277">
        <v>217.70949466560998563705240878</v>
      </c>
      <c r="G47" s="276">
        <v>25.228629264020138884830734393</v>
      </c>
      <c r="H47" s="94">
        <v>27.063120753550595103015696697</v>
      </c>
      <c r="I47" s="277">
        <v>46.430707902753825314181057305</v>
      </c>
      <c r="J47" s="276">
        <v>0</v>
      </c>
      <c r="K47" s="94">
        <v>0.3672115444943191336179480069</v>
      </c>
      <c r="L47" s="277">
        <v>13.922235747974045374668116157</v>
      </c>
      <c r="M47" s="276">
        <v>328.73820014819672583838432743</v>
      </c>
      <c r="N47" s="94">
        <v>321.85352584846906085739737801</v>
      </c>
      <c r="O47" s="277">
        <v>278.06243831633785632590158202</v>
      </c>
      <c r="P47" s="5"/>
      <c r="Q47" s="271">
        <v>-9.067872559594558478983552720</v>
      </c>
      <c r="R47" s="92">
        <v>0.1263286963242467844206439600</v>
      </c>
      <c r="S47" s="272">
        <v>-1.7599535446118034535710893100</v>
      </c>
      <c r="T47" s="271">
        <v>57.299632644612191888830049840</v>
      </c>
      <c r="U47" s="92">
        <v>-20.239016811163961729446220160</v>
      </c>
      <c r="V47" s="272">
        <v>15.155130679466960980252003410</v>
      </c>
      <c r="W47" s="271">
        <v>0</v>
      </c>
      <c r="X47" s="92">
        <v>-58.134166011578555010851472050</v>
      </c>
      <c r="Y47" s="272">
        <v>16.459420934265519753024617010</v>
      </c>
      <c r="Z47" s="271">
        <v>-6.0250011835138902543114605700</v>
      </c>
      <c r="AA47" s="92">
        <v>-2.138794600395912938147217700</v>
      </c>
      <c r="AB47" s="272">
        <v>1.5264442271012418685555144500</v>
      </c>
    </row>
    <row r="48" ht="18" customHeight="1">
      <c r="A48" s="58"/>
      <c r="B48" s="1047" t="s">
        <v>76</v>
      </c>
      <c r="C48" s="1047"/>
      <c r="D48" s="443">
        <v>295.88139941046532003771325107</v>
      </c>
      <c r="E48" s="444">
        <v>286.88709507307801465448695046</v>
      </c>
      <c r="F48" s="445">
        <v>213.06664062064756347681797724</v>
      </c>
      <c r="G48" s="443">
        <v>27.888938505063931584423632938</v>
      </c>
      <c r="H48" s="444">
        <v>26.905170394336178829815211183</v>
      </c>
      <c r="I48" s="445">
        <v>47.086902439669608021739808201</v>
      </c>
      <c r="J48" s="443">
        <v>0</v>
      </c>
      <c r="K48" s="444">
        <v>0.3860655106494012361960093688</v>
      </c>
      <c r="L48" s="445">
        <v>13.862533759677981590152638441</v>
      </c>
      <c r="M48" s="443">
        <v>323.77033791552925162213688382</v>
      </c>
      <c r="N48" s="444">
        <v>314.17833097806359472049817078</v>
      </c>
      <c r="O48" s="445">
        <v>274.01607681999515308871042372</v>
      </c>
      <c r="P48" s="93"/>
      <c r="Q48" s="273">
        <v>-9.985413381504592933732361690</v>
      </c>
      <c r="R48" s="274">
        <v>0.5805860341285368274494840100</v>
      </c>
      <c r="S48" s="275">
        <v>-0.5992521505620252501085199200</v>
      </c>
      <c r="T48" s="273">
        <v>41.771816932200891402840740970</v>
      </c>
      <c r="U48" s="274">
        <v>-25.887403571242791622406114230</v>
      </c>
      <c r="V48" s="275">
        <v>9.349412100908604382137245260</v>
      </c>
      <c r="W48" s="273">
        <v>0</v>
      </c>
      <c r="X48" s="274">
        <v>-59.054174236797537744899492140</v>
      </c>
      <c r="Y48" s="275">
        <v>14.438321891470586583564541330</v>
      </c>
      <c r="Z48" s="273">
        <v>-7.0628398517236819379380947500</v>
      </c>
      <c r="AA48" s="274">
        <v>-2.581916539082807111782683500</v>
      </c>
      <c r="AB48" s="275">
        <v>1.6670370351606336852589845900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224.15637626262626262626262626</v>
      </c>
      <c r="E50" s="483">
        <v>232.17117571029919829187172736</v>
      </c>
      <c r="F50" s="484">
        <v>168.70503714053249898752958898</v>
      </c>
      <c r="G50" s="482">
        <v>47.404040404040404040404040404</v>
      </c>
      <c r="H50" s="483">
        <v>34.561689091183614442310120157</v>
      </c>
      <c r="I50" s="484">
        <v>55.804845953210686425521487754</v>
      </c>
      <c r="J50" s="482">
        <v>0</v>
      </c>
      <c r="K50" s="483">
        <v>0.5590513004855641615909824349</v>
      </c>
      <c r="L50" s="484">
        <v>13.522176110626545286163075986</v>
      </c>
      <c r="M50" s="482">
        <v>271.56041666666666666666666667</v>
      </c>
      <c r="N50" s="483">
        <v>267.29191610196837689577282995</v>
      </c>
      <c r="O50" s="484">
        <v>238.03205920436973069921415271</v>
      </c>
      <c r="P50" s="93"/>
      <c r="Q50" s="468">
        <v>-7.3007540616865414418923566600</v>
      </c>
      <c r="R50" s="469">
        <v>6.9628864484249313406985756700</v>
      </c>
      <c r="S50" s="470">
        <v>0.503069511806673365835528300</v>
      </c>
      <c r="T50" s="468">
        <v>31.496079858087721769975027760</v>
      </c>
      <c r="U50" s="469">
        <v>-14.245172532849624676955364140</v>
      </c>
      <c r="V50" s="470">
        <v>10.392161922931892924994443820</v>
      </c>
      <c r="W50" s="468">
        <v>0</v>
      </c>
      <c r="X50" s="469">
        <v>-51.725797012116033894479802680</v>
      </c>
      <c r="Y50" s="470">
        <v>17.218086124219903725874571990</v>
      </c>
      <c r="Z50" s="468">
        <v>-2.2672247206054097056218913500</v>
      </c>
      <c r="AA50" s="469">
        <v>3.3936575946450006258481906900</v>
      </c>
      <c r="AB50" s="470">
        <v>3.5156251630865854813970886600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193</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78.496503496503496503496503550</v>
      </c>
      <c r="E11" s="428">
        <v>78.732593640628490580087869590</v>
      </c>
      <c r="F11" s="429">
        <v>57.771794440304188603344792540</v>
      </c>
      <c r="G11" s="427">
        <v>9.848484848484848484848484860</v>
      </c>
      <c r="H11" s="428">
        <v>8.221014222950331372403008420</v>
      </c>
      <c r="I11" s="429">
        <v>12.683606990888766016780056260</v>
      </c>
      <c r="J11" s="427">
        <v>0</v>
      </c>
      <c r="K11" s="428">
        <v>0.2978628341648670787102539300</v>
      </c>
      <c r="L11" s="429">
        <v>7.949291214911331746680449720</v>
      </c>
      <c r="M11" s="427">
        <v>88.34498834498834498834498834</v>
      </c>
      <c r="N11" s="428">
        <v>87.22913098518132400029786283</v>
      </c>
      <c r="O11" s="429">
        <v>78.403891306264073530943737930</v>
      </c>
      <c r="P11" s="5"/>
      <c r="Q11" s="427">
        <v>-6.8464730290077632960864844200</v>
      </c>
      <c r="R11" s="428">
        <v>6.7866438204089950418838640100</v>
      </c>
      <c r="S11" s="429">
        <v>-0.4248604854652009659870401900</v>
      </c>
      <c r="T11" s="427">
        <v>70.707070707981144781149637010</v>
      </c>
      <c r="U11" s="428">
        <v>-8.976127320953646428854538170</v>
      </c>
      <c r="V11" s="429">
        <v>7.7022485481390720750121392500</v>
      </c>
      <c r="W11" s="427">
        <v>0</v>
      </c>
      <c r="X11" s="428">
        <v>-63.692113013725675311458748670</v>
      </c>
      <c r="Y11" s="429">
        <v>11.018841182155891385955416740</v>
      </c>
      <c r="Z11" s="427">
        <v>-1.8770226537597888585163392500</v>
      </c>
      <c r="AA11" s="428">
        <v>4.3717018047405398873037539800</v>
      </c>
      <c r="AB11" s="429">
        <v>1.8827674490615605823442568200</v>
      </c>
    </row>
    <row r="12" ht="18" customHeight="1">
      <c r="A12" s="58"/>
      <c r="B12" s="1043" t="s">
        <v>46</v>
      </c>
      <c r="C12" s="1043"/>
      <c r="D12" s="420">
        <v>72.552447552447552447552447600</v>
      </c>
      <c r="E12" s="91">
        <v>73.110432645766624469431826700</v>
      </c>
      <c r="F12" s="421">
        <v>53.434943225072320920579208480</v>
      </c>
      <c r="G12" s="420">
        <v>18.881118881118881118881118890</v>
      </c>
      <c r="H12" s="91">
        <v>11.341127410827314021892918320</v>
      </c>
      <c r="I12" s="421">
        <v>17.963635198051141508602383200</v>
      </c>
      <c r="J12" s="420">
        <v>0</v>
      </c>
      <c r="K12" s="91">
        <v>0.3350956884354754635490356700</v>
      </c>
      <c r="L12" s="421">
        <v>7.8258848795185550240001282200</v>
      </c>
      <c r="M12" s="420">
        <v>91.43356643356643356643356643</v>
      </c>
      <c r="N12" s="91">
        <v>84.77920917417529227790602428</v>
      </c>
      <c r="O12" s="421">
        <v>79.222860622961591781458598780</v>
      </c>
      <c r="P12" s="5"/>
      <c r="Q12" s="420">
        <v>-3.5631293570872302498198514900</v>
      </c>
      <c r="R12" s="91">
        <v>9.205511396604982728975468100</v>
      </c>
      <c r="S12" s="421">
        <v>1.2968426604245925239611316700</v>
      </c>
      <c r="T12" s="420">
        <v>11.340206185842491231800022710</v>
      </c>
      <c r="U12" s="91">
        <v>-10.253671899288983128357008350</v>
      </c>
      <c r="V12" s="421">
        <v>7.993233300167050799178555280</v>
      </c>
      <c r="W12" s="420">
        <v>0</v>
      </c>
      <c r="X12" s="91">
        <v>-67.969391064942424579064741040</v>
      </c>
      <c r="Y12" s="421">
        <v>12.483578760244870670167100210</v>
      </c>
      <c r="Z12" s="420">
        <v>-0.7590132827678506745784433500</v>
      </c>
      <c r="AA12" s="91">
        <v>5.1528142917480136781995599300</v>
      </c>
      <c r="AB12" s="421">
        <v>3.7734739194971251762954265100</v>
      </c>
    </row>
    <row r="13" ht="18" customHeight="1">
      <c r="A13" s="58"/>
      <c r="B13" s="1043" t="s">
        <v>47</v>
      </c>
      <c r="C13" s="1043"/>
      <c r="D13" s="420">
        <v>72.785547785547785547785547840</v>
      </c>
      <c r="E13" s="91">
        <v>73.668925459825750242013552810</v>
      </c>
      <c r="F13" s="421">
        <v>55.274525360837961515960217710</v>
      </c>
      <c r="G13" s="420">
        <v>18.997668997668997668997669010</v>
      </c>
      <c r="H13" s="91">
        <v>13.344254970586045126219375990</v>
      </c>
      <c r="I13" s="421">
        <v>21.526058070668942690677117160</v>
      </c>
      <c r="J13" s="420">
        <v>0</v>
      </c>
      <c r="K13" s="91">
        <v>0.2978628341648670787102539300</v>
      </c>
      <c r="L13" s="421">
        <v>7.998942129685283581371865460</v>
      </c>
      <c r="M13" s="420">
        <v>91.78321678321678321678321678</v>
      </c>
      <c r="N13" s="91">
        <v>87.29615012286841909300766997</v>
      </c>
      <c r="O13" s="421">
        <v>84.80353264571762876766122505</v>
      </c>
      <c r="P13" s="184"/>
      <c r="Q13" s="420">
        <v>-3.3281733746447282155488781300</v>
      </c>
      <c r="R13" s="91">
        <v>9.903823071570119245395981030</v>
      </c>
      <c r="S13" s="421">
        <v>0.8203325328848044505529713700</v>
      </c>
      <c r="T13" s="420">
        <v>10.508474576542400459638700740</v>
      </c>
      <c r="U13" s="91">
        <v>-14.596014575829731219738620550</v>
      </c>
      <c r="V13" s="421">
        <v>10.393038712464921277767105870</v>
      </c>
      <c r="W13" s="420">
        <v>0</v>
      </c>
      <c r="X13" s="91">
        <v>-63.013460919807988464344992920</v>
      </c>
      <c r="Y13" s="421">
        <v>12.964645480446002492060976410</v>
      </c>
      <c r="Z13" s="420">
        <v>-0.8810572687571492335799691800</v>
      </c>
      <c r="AA13" s="91">
        <v>4.6026296006170049570012920800</v>
      </c>
      <c r="AB13" s="421">
        <v>4.1780768942197663481891822500</v>
      </c>
    </row>
    <row r="14" ht="18" customHeight="1">
      <c r="A14" s="58"/>
      <c r="B14" s="1043" t="s">
        <v>48</v>
      </c>
      <c r="C14" s="1043"/>
      <c r="D14" s="420">
        <v>72.843822843822843822843822890</v>
      </c>
      <c r="E14" s="91">
        <v>73.996574577407104028594832130</v>
      </c>
      <c r="F14" s="421">
        <v>55.672028145761706697441075870</v>
      </c>
      <c r="G14" s="420">
        <v>20.920745920745920745920745940</v>
      </c>
      <c r="H14" s="91">
        <v>13.113411274108273140218929190</v>
      </c>
      <c r="I14" s="421">
        <v>22.135134918535971597784883690</v>
      </c>
      <c r="J14" s="420">
        <v>0</v>
      </c>
      <c r="K14" s="91">
        <v>0.2606299798942586938714721900</v>
      </c>
      <c r="L14" s="421">
        <v>7.7497014722028546470159241600</v>
      </c>
      <c r="M14" s="420">
        <v>93.76456876456876456876456876</v>
      </c>
      <c r="N14" s="91">
        <v>87.34827611884727083178196441</v>
      </c>
      <c r="O14" s="421">
        <v>85.55846737031070933410269356</v>
      </c>
      <c r="P14" s="5"/>
      <c r="Q14" s="420">
        <v>-4.3245311902485277401739646700</v>
      </c>
      <c r="R14" s="91">
        <v>5.6411863436508469525506603500</v>
      </c>
      <c r="S14" s="421">
        <v>-3.1913940745390579631244171100</v>
      </c>
      <c r="T14" s="420">
        <v>39.237233354440470848974463590</v>
      </c>
      <c r="U14" s="91">
        <v>-16.872523983322986918931752680</v>
      </c>
      <c r="V14" s="421">
        <v>11.598207203292996813032902720</v>
      </c>
      <c r="W14" s="420">
        <v>0</v>
      </c>
      <c r="X14" s="91">
        <v>-57.418213970364747998410310690</v>
      </c>
      <c r="Y14" s="421">
        <v>6.8487745611514629353329478100</v>
      </c>
      <c r="Z14" s="420">
        <v>2.7841362789994579566815809700</v>
      </c>
      <c r="AA14" s="91">
        <v>1.0567591131243631116422451600</v>
      </c>
      <c r="AB14" s="421">
        <v>1.1392910847532981901764946200</v>
      </c>
    </row>
    <row r="15" ht="18" customHeight="1">
      <c r="A15" s="58"/>
      <c r="B15" s="1043" t="s">
        <v>49</v>
      </c>
      <c r="C15" s="1043"/>
      <c r="D15" s="420">
        <v>78.219696969696969696969697020</v>
      </c>
      <c r="E15" s="91">
        <v>79.46918360761535979348176837</v>
      </c>
      <c r="F15" s="421">
        <v>59.961975205750599020731326230</v>
      </c>
      <c r="G15" s="420">
        <v>14.520202020202020202020202030</v>
      </c>
      <c r="H15" s="91">
        <v>10.963213939980638915779283650</v>
      </c>
      <c r="I15" s="421">
        <v>18.431607459110323992082508610</v>
      </c>
      <c r="J15" s="420">
        <v>0</v>
      </c>
      <c r="K15" s="91">
        <v>0.2097450790577605679251371400</v>
      </c>
      <c r="L15" s="421">
        <v>8.121505712400597284439351330</v>
      </c>
      <c r="M15" s="420">
        <v>92.73989898989898989898989899</v>
      </c>
      <c r="N15" s="91">
        <v>90.59373991610196837689577283</v>
      </c>
      <c r="O15" s="421">
        <v>86.51335208528666180504913706</v>
      </c>
      <c r="P15" s="184"/>
      <c r="Q15" s="420">
        <v>-5.6746310611294249823080207400</v>
      </c>
      <c r="R15" s="91">
        <v>5.6630474648067531302827615200</v>
      </c>
      <c r="S15" s="421">
        <v>-0.3229832503447041030422067900</v>
      </c>
      <c r="T15" s="420">
        <v>42.380952381443798639457478500</v>
      </c>
      <c r="U15" s="91">
        <v>-13.425259956395629002768796530</v>
      </c>
      <c r="V15" s="421">
        <v>1.5997231765346681208286103400</v>
      </c>
      <c r="W15" s="420">
        <v>0</v>
      </c>
      <c r="X15" s="91">
        <v>-68.416927897750893883589275550</v>
      </c>
      <c r="Y15" s="421">
        <v>15.853248331979709027487211070</v>
      </c>
      <c r="Z15" s="420">
        <v>-0.474254742528005816643528500</v>
      </c>
      <c r="AA15" s="91">
        <v>2.3166362755605257303713196800</v>
      </c>
      <c r="AB15" s="421">
        <v>1.4167483553542553432146323300</v>
      </c>
    </row>
    <row r="16" ht="18" customHeight="1">
      <c r="A16" s="58"/>
      <c r="B16" s="1044" t="s">
        <v>75</v>
      </c>
      <c r="C16" s="1044"/>
      <c r="D16" s="430">
        <v>74.928977272727272727272727320</v>
      </c>
      <c r="E16" s="431">
        <v>75.738141335914811229428848070</v>
      </c>
      <c r="F16" s="432">
        <v>56.367770962743029782135927430</v>
      </c>
      <c r="G16" s="430">
        <v>16.666666666666666666666666680</v>
      </c>
      <c r="H16" s="431">
        <v>11.403376089060987415295256540</v>
      </c>
      <c r="I16" s="432">
        <v>18.549699834616035733354169120</v>
      </c>
      <c r="J16" s="430">
        <v>0</v>
      </c>
      <c r="K16" s="431">
        <v>0.2813407550822846079380445300</v>
      </c>
      <c r="L16" s="432">
        <v>7.926059043377479131669075810</v>
      </c>
      <c r="M16" s="430">
        <v>91.59564393939393939393939394</v>
      </c>
      <c r="N16" s="431">
        <v>87.40016940948693126815101646</v>
      </c>
      <c r="O16" s="432">
        <v>82.84385539972132150903100624</v>
      </c>
      <c r="P16" s="5"/>
      <c r="Q16" s="430">
        <v>-4.9264043256196547250686930400</v>
      </c>
      <c r="R16" s="431">
        <v>7.280051545558170645257423900</v>
      </c>
      <c r="S16" s="432">
        <v>-0.4711275841050391172025914500</v>
      </c>
      <c r="T16" s="430">
        <v>28.233151184060549235072275610</v>
      </c>
      <c r="U16" s="431">
        <v>-12.985071040545783714962330490</v>
      </c>
      <c r="V16" s="432">
        <v>8.260146008816310635001213100</v>
      </c>
      <c r="W16" s="430">
        <v>0</v>
      </c>
      <c r="X16" s="431">
        <v>-64.498943216505631960591948850</v>
      </c>
      <c r="Y16" s="432">
        <v>11.794419234308915800194234230</v>
      </c>
      <c r="Z16" s="629">
        <v>-0.2706534346683217678139452800</v>
      </c>
      <c r="AA16" s="214">
        <v>3.4393081004508628444763991800</v>
      </c>
      <c r="AB16" s="630">
        <v>2.4565412044540366353412310600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83.20707070707070707070707076</v>
      </c>
      <c r="E18" s="480">
        <v>84.80154888673765730880929338</v>
      </c>
      <c r="F18" s="481">
        <v>67.217939368684237941452234660</v>
      </c>
      <c r="G18" s="479">
        <v>10.984848484848484848484848490</v>
      </c>
      <c r="H18" s="480">
        <v>8.889964504678928686673120370</v>
      </c>
      <c r="I18" s="481">
        <v>16.308122373858388026530541390</v>
      </c>
      <c r="J18" s="479">
        <v>0</v>
      </c>
      <c r="K18" s="480">
        <v>0.1936108422071636011616650500</v>
      </c>
      <c r="L18" s="481">
        <v>8.223078792929819078376219750</v>
      </c>
      <c r="M18" s="479">
        <v>94.19191919191919191919191919</v>
      </c>
      <c r="N18" s="480">
        <v>93.83672152307195869635366247</v>
      </c>
      <c r="O18" s="481">
        <v>91.75087682744730353856304476</v>
      </c>
      <c r="P18" s="184"/>
      <c r="Q18" s="479">
        <v>-6.5554101221755459748453518100</v>
      </c>
      <c r="R18" s="480">
        <v>5.2023568048380178369328094300</v>
      </c>
      <c r="S18" s="481">
        <v>0.7028343140549867586619013300</v>
      </c>
      <c r="T18" s="479">
        <v>63.913043479036249527413875900</v>
      </c>
      <c r="U18" s="480">
        <v>-15.449773323456864749198887450</v>
      </c>
      <c r="V18" s="481">
        <v>3.9758803229954918956988178500</v>
      </c>
      <c r="W18" s="479">
        <v>0</v>
      </c>
      <c r="X18" s="480">
        <v>-67.844827583714274709973244640</v>
      </c>
      <c r="Y18" s="481">
        <v>11.892825385389847488906123130</v>
      </c>
      <c r="Z18" s="479">
        <v>-1.6828872668331785272405442100</v>
      </c>
      <c r="AA18" s="480">
        <v>2.2910351549504693492803549500</v>
      </c>
      <c r="AB18" s="481">
        <v>2.195696814949871368425746600</v>
      </c>
    </row>
    <row r="19" ht="18" customHeight="1">
      <c r="A19" s="58"/>
      <c r="B19" s="1046" t="s">
        <v>51</v>
      </c>
      <c r="C19" s="1046"/>
      <c r="D19" s="271">
        <v>87.12121212121212121212121218</v>
      </c>
      <c r="E19" s="92">
        <v>87.15466527664010723062029942</v>
      </c>
      <c r="F19" s="272">
        <v>68.819065477478343790818248170</v>
      </c>
      <c r="G19" s="271">
        <v>7.0512820512820512820512820600</v>
      </c>
      <c r="H19" s="92">
        <v>9.040137016903715838856206720</v>
      </c>
      <c r="I19" s="272">
        <v>15.663789856640302585923664380</v>
      </c>
      <c r="J19" s="271">
        <v>0</v>
      </c>
      <c r="K19" s="92">
        <v>0.1861642713530419241939087100</v>
      </c>
      <c r="L19" s="272">
        <v>8.215336041861993252718545410</v>
      </c>
      <c r="M19" s="271">
        <v>94.17249417249417249417249417</v>
      </c>
      <c r="N19" s="92">
        <v>96.32884056891801325489612034</v>
      </c>
      <c r="O19" s="272">
        <v>92.70059539550127813704513947</v>
      </c>
      <c r="P19" s="5"/>
      <c r="Q19" s="271">
        <v>-3.5483870967311325702393147400</v>
      </c>
      <c r="R19" s="92">
        <v>3.2161478621199569517126785500</v>
      </c>
      <c r="S19" s="272">
        <v>-1.7179632674537198711431360100</v>
      </c>
      <c r="T19" s="271">
        <v>53.164556963010222720724167190</v>
      </c>
      <c r="U19" s="92">
        <v>-0.6518309849346467198308280100</v>
      </c>
      <c r="V19" s="272">
        <v>17.676944065397633401794186390</v>
      </c>
      <c r="W19" s="271">
        <v>0</v>
      </c>
      <c r="X19" s="92">
        <v>-63.082465655597912369996959550</v>
      </c>
      <c r="Y19" s="272">
        <v>12.297971798920026436095173450</v>
      </c>
      <c r="Z19" s="271">
        <v>-0.8588957054745172193157216800</v>
      </c>
      <c r="AA19" s="92">
        <v>2.419259460467327190104327600</v>
      </c>
      <c r="AB19" s="272">
        <v>2.2622446680649723637120907700</v>
      </c>
    </row>
    <row r="20" ht="18" customHeight="1">
      <c r="A20" s="58"/>
      <c r="B20" s="1047" t="s">
        <v>76</v>
      </c>
      <c r="C20" s="1047"/>
      <c r="D20" s="273">
        <v>85.24242424242424242424242430</v>
      </c>
      <c r="E20" s="274">
        <v>86.02516940948693126815101652</v>
      </c>
      <c r="F20" s="275">
        <v>68.050537755386929689681180490</v>
      </c>
      <c r="G20" s="273">
        <v>8.939393939393939393939393950</v>
      </c>
      <c r="H20" s="274">
        <v>8.968054211035818005808325270</v>
      </c>
      <c r="I20" s="275">
        <v>15.973064309793773621858579310</v>
      </c>
      <c r="J20" s="273">
        <v>0</v>
      </c>
      <c r="K20" s="274">
        <v>0.1897386253630203291384317500</v>
      </c>
      <c r="L20" s="275">
        <v>8.219052500427120706395142920</v>
      </c>
      <c r="M20" s="273">
        <v>94.18181818181818181818181818</v>
      </c>
      <c r="N20" s="274">
        <v>95.13262342691190706679574056</v>
      </c>
      <c r="O20" s="275">
        <v>92.24473808124877593456094075</v>
      </c>
      <c r="P20" s="184"/>
      <c r="Q20" s="273">
        <v>-4.9538661468330398793170902100</v>
      </c>
      <c r="R20" s="274">
        <v>4.2432301109475938281491700800</v>
      </c>
      <c r="S20" s="275">
        <v>-0.4896865818386051020831239400</v>
      </c>
      <c r="T20" s="273">
        <v>58.144329896365938994581510580</v>
      </c>
      <c r="U20" s="274">
        <v>-8.553947124588872253914803120</v>
      </c>
      <c r="V20" s="275">
        <v>10.176675186403869143091532130</v>
      </c>
      <c r="W20" s="273">
        <v>0</v>
      </c>
      <c r="X20" s="274">
        <v>-65.701149426852423413368476320</v>
      </c>
      <c r="Y20" s="275">
        <v>12.092824313458081602543862790</v>
      </c>
      <c r="Z20" s="273">
        <v>-1.2730604765120056721306853400</v>
      </c>
      <c r="AA20" s="274">
        <v>2.4096023196208752577984703300</v>
      </c>
      <c r="AB20" s="275">
        <v>2.2501942805059565069026583100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77.826012938372488934286687100</v>
      </c>
      <c r="E22" s="469">
        <v>78.633194470126282127978942100</v>
      </c>
      <c r="F22" s="470">
        <v>59.563533747291769011281086810</v>
      </c>
      <c r="G22" s="468">
        <v>14.504596527068437180796731360</v>
      </c>
      <c r="H22" s="469">
        <v>10.679051959494001326995660070</v>
      </c>
      <c r="I22" s="470">
        <v>17.915218624893434739160126870</v>
      </c>
      <c r="J22" s="468">
        <v>0</v>
      </c>
      <c r="K22" s="469">
        <v>0.2556098197678845296235465600</v>
      </c>
      <c r="L22" s="470">
        <v>8.005154466925326773129352880</v>
      </c>
      <c r="M22" s="468">
        <v>92.33060946544092611508341845</v>
      </c>
      <c r="N22" s="469">
        <v>89.56785624938816798459814873</v>
      </c>
      <c r="O22" s="470">
        <v>85.48390683911053052357056655</v>
      </c>
      <c r="P22" s="184"/>
      <c r="Q22" s="468">
        <v>-5.2400293421954777456142959200</v>
      </c>
      <c r="R22" s="469">
        <v>6.2870947053575439616106458400</v>
      </c>
      <c r="S22" s="470">
        <v>-0.7046100888387176290049906500</v>
      </c>
      <c r="T22" s="468">
        <v>34.096970226884213473789721180</v>
      </c>
      <c r="U22" s="469">
        <v>-12.537745325123610794748101370</v>
      </c>
      <c r="V22" s="470">
        <v>9.027086122398711079520991650</v>
      </c>
      <c r="W22" s="468">
        <v>0</v>
      </c>
      <c r="X22" s="469">
        <v>-64.212571550873652805758985650</v>
      </c>
      <c r="Y22" s="470">
        <v>12.034359687082645201597512050</v>
      </c>
      <c r="Z22" s="468">
        <v>-0.662231439071906933634007200</v>
      </c>
      <c r="AA22" s="469">
        <v>3.0628834322247567231475645300</v>
      </c>
      <c r="AB22" s="470">
        <v>2.2983035576526867786298056500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269.08980273405496179292331687</v>
      </c>
      <c r="E25" s="455">
        <v>279.54301033354764745851343718</v>
      </c>
      <c r="F25" s="456">
        <v>268.17761269286890418246300176</v>
      </c>
      <c r="G25" s="454">
        <v>304.88179520662919356202958038</v>
      </c>
      <c r="H25" s="455">
        <v>314.05176169036479882793300295</v>
      </c>
      <c r="I25" s="456">
        <v>302.97297833193536327330434109</v>
      </c>
      <c r="J25" s="454">
        <v>0</v>
      </c>
      <c r="K25" s="455">
        <v>165.4616078666510964899555304</v>
      </c>
      <c r="L25" s="456">
        <v>172.44746992027991192501432403</v>
      </c>
      <c r="M25" s="454">
        <v>273.0798071719606644109833159</v>
      </c>
      <c r="N25" s="455">
        <v>282.47736533015435020868181899</v>
      </c>
      <c r="O25" s="456">
        <v>264.10331059705788406002075668</v>
      </c>
      <c r="P25" s="5"/>
      <c r="Q25" s="427">
        <v>4.7103907494700617543307825200</v>
      </c>
      <c r="R25" s="428">
        <v>4.6861669035701606684988697400</v>
      </c>
      <c r="S25" s="429">
        <v>0.9883778506761852551702303900</v>
      </c>
      <c r="T25" s="427">
        <v>-7.0384620749593453343123393800</v>
      </c>
      <c r="U25" s="428">
        <v>0.2374959370244897884350245500</v>
      </c>
      <c r="V25" s="429">
        <v>-2.991923998759800895355810100</v>
      </c>
      <c r="W25" s="427">
        <v>0</v>
      </c>
      <c r="X25" s="428">
        <v>0.3666403590337379651844812400</v>
      </c>
      <c r="Y25" s="429">
        <v>9.381083415765176125483036660</v>
      </c>
      <c r="Z25" s="427">
        <v>4.4150110031802683039864535500</v>
      </c>
      <c r="AA25" s="428">
        <v>4.2058496212516595127935970100</v>
      </c>
      <c r="AB25" s="429">
        <v>0.5466854879391345050158993300</v>
      </c>
    </row>
    <row r="26" ht="18" customHeight="1">
      <c r="A26" s="58"/>
      <c r="B26" s="1043" t="s">
        <v>46</v>
      </c>
      <c r="C26" s="1043"/>
      <c r="D26" s="439">
        <v>260.80533368407193283205744304</v>
      </c>
      <c r="E26" s="95">
        <v>270.59055671878720341689597174</v>
      </c>
      <c r="F26" s="440">
        <v>264.60570962747872014604922972</v>
      </c>
      <c r="G26" s="439">
        <v>294.10839972090083610993526228</v>
      </c>
      <c r="H26" s="95">
        <v>297.51873826249659983144031347</v>
      </c>
      <c r="I26" s="440">
        <v>302.19872691467379774823046828</v>
      </c>
      <c r="J26" s="439">
        <v>0</v>
      </c>
      <c r="K26" s="95">
        <v>157.08279995856152579061780309</v>
      </c>
      <c r="L26" s="440">
        <v>173.0111569986348520592377129</v>
      </c>
      <c r="M26" s="439">
        <v>267.68244865917235645349301566</v>
      </c>
      <c r="N26" s="95">
        <v>273.76792711787179212568696083</v>
      </c>
      <c r="O26" s="440">
        <v>264.08720906582287110558502823</v>
      </c>
      <c r="P26" s="5"/>
      <c r="Q26" s="420">
        <v>1.0723426651108309122865591900</v>
      </c>
      <c r="R26" s="91">
        <v>5.924618577478949885448801700</v>
      </c>
      <c r="S26" s="421">
        <v>1.5181221321303888101751987400</v>
      </c>
      <c r="T26" s="420">
        <v>-1.814385920477651228286099800</v>
      </c>
      <c r="U26" s="91">
        <v>-0.8592316398102565803289836800</v>
      </c>
      <c r="V26" s="421">
        <v>-0.3681515017498286173637629800</v>
      </c>
      <c r="W26" s="420">
        <v>0</v>
      </c>
      <c r="X26" s="91">
        <v>-3.4899449081058686686058934400</v>
      </c>
      <c r="Y26" s="421">
        <v>5.3698506836619687359585295600</v>
      </c>
      <c r="Z26" s="420">
        <v>0.6927145492763150158745609100</v>
      </c>
      <c r="AA26" s="91">
        <v>4.7721646021069364623792484100</v>
      </c>
      <c r="AB26" s="421">
        <v>1.1238865014813761871733743500</v>
      </c>
    </row>
    <row r="27" ht="18" customHeight="1">
      <c r="A27" s="58"/>
      <c r="B27" s="1043" t="s">
        <v>47</v>
      </c>
      <c r="C27" s="1043"/>
      <c r="D27" s="439">
        <v>269.26337957713291263131453025</v>
      </c>
      <c r="E27" s="95">
        <v>289.17399964936461589221129432</v>
      </c>
      <c r="F27" s="440">
        <v>284.25543884725810451726295698</v>
      </c>
      <c r="G27" s="439">
        <v>290.72631608588144121969790463</v>
      </c>
      <c r="H27" s="95">
        <v>310.4215760937678866443407505</v>
      </c>
      <c r="I27" s="440">
        <v>301.8456690705784803480212675</v>
      </c>
      <c r="J27" s="439">
        <v>0</v>
      </c>
      <c r="K27" s="95">
        <v>174.8877444595137893625180095</v>
      </c>
      <c r="L27" s="440">
        <v>161.07379179145325654191254906</v>
      </c>
      <c r="M27" s="439">
        <v>273.70586675291197315183070805</v>
      </c>
      <c r="N27" s="95">
        <v>292.08132326789872468334092638</v>
      </c>
      <c r="O27" s="440">
        <v>277.08812440194365425548658347</v>
      </c>
      <c r="P27" s="93"/>
      <c r="Q27" s="420">
        <v>1.0391299861004552268712058700</v>
      </c>
      <c r="R27" s="91">
        <v>7.986885020326537452549555940</v>
      </c>
      <c r="S27" s="421">
        <v>5.0240384442409577530501550900</v>
      </c>
      <c r="T27" s="420">
        <v>-0.060686256977699315324766400</v>
      </c>
      <c r="U27" s="91">
        <v>0.4989629663235414563572661200</v>
      </c>
      <c r="V27" s="421">
        <v>-0.2931511039924667986133591300</v>
      </c>
      <c r="W27" s="420">
        <v>0</v>
      </c>
      <c r="X27" s="91">
        <v>6.7240942084302105202993818800</v>
      </c>
      <c r="Y27" s="421">
        <v>4.2047433362412251849075474200</v>
      </c>
      <c r="Z27" s="420">
        <v>1.11404988105614280407595900</v>
      </c>
      <c r="AA27" s="91">
        <v>6.3946370082881045004374223700</v>
      </c>
      <c r="AB27" s="421">
        <v>3.2951471709950440178324597900</v>
      </c>
    </row>
    <row r="28" ht="18" customHeight="1">
      <c r="A28" s="58"/>
      <c r="B28" s="1043" t="s">
        <v>48</v>
      </c>
      <c r="C28" s="1043"/>
      <c r="D28" s="439">
        <v>263.21282459424165284133524982</v>
      </c>
      <c r="E28" s="95">
        <v>282.59987620133895396589661813</v>
      </c>
      <c r="F28" s="440">
        <v>278.66614731211037070825764832</v>
      </c>
      <c r="G28" s="439">
        <v>293.22636961707844947380056975</v>
      </c>
      <c r="H28" s="95">
        <v>321.69568483880921219070260695</v>
      </c>
      <c r="I28" s="440">
        <v>300.25351771118055948857768519</v>
      </c>
      <c r="J28" s="439">
        <v>0</v>
      </c>
      <c r="K28" s="95">
        <v>165.46157278385427709381647263</v>
      </c>
      <c r="L28" s="440">
        <v>163.58730616420443184299801905</v>
      </c>
      <c r="M28" s="439">
        <v>269.90944526745384052999593961</v>
      </c>
      <c r="N28" s="95">
        <v>288.19200561477264347188623715</v>
      </c>
      <c r="O28" s="440">
        <v>273.8222788254014652721254467</v>
      </c>
      <c r="P28" s="5"/>
      <c r="Q28" s="420">
        <v>-3.7083304052350896582764628100</v>
      </c>
      <c r="R28" s="91">
        <v>2.7423903079566401925899916900</v>
      </c>
      <c r="S28" s="421">
        <v>1.4345555211550173091579598100</v>
      </c>
      <c r="T28" s="420">
        <v>-2.9489877638959999172964948700</v>
      </c>
      <c r="U28" s="91">
        <v>0.7225996576509336755499375900</v>
      </c>
      <c r="V28" s="421">
        <v>0.7496319126953875079639081300</v>
      </c>
      <c r="W28" s="420">
        <v>0</v>
      </c>
      <c r="X28" s="91">
        <v>-2.7472140451416684955787829600</v>
      </c>
      <c r="Y28" s="421">
        <v>3.1995997330841149816458030900</v>
      </c>
      <c r="Z28" s="420">
        <v>-2.8759339829709848118484689700</v>
      </c>
      <c r="AA28" s="91">
        <v>2.0396376542897883494215453800</v>
      </c>
      <c r="AB28" s="421">
        <v>1.3329420222840491711507444300</v>
      </c>
    </row>
    <row r="29" ht="18" customHeight="1">
      <c r="A29" s="58"/>
      <c r="B29" s="1043" t="s">
        <v>49</v>
      </c>
      <c r="C29" s="1043"/>
      <c r="D29" s="439">
        <v>292.69581752866800523089983304</v>
      </c>
      <c r="E29" s="95">
        <v>294.05419515108995302105773925</v>
      </c>
      <c r="F29" s="440">
        <v>287.72647998253637268808693062</v>
      </c>
      <c r="G29" s="439">
        <v>298.88929729694441079493790698</v>
      </c>
      <c r="H29" s="95">
        <v>347.75462996341225658112185945</v>
      </c>
      <c r="I29" s="440">
        <v>310.38462820433131749361178812</v>
      </c>
      <c r="J29" s="439">
        <v>0</v>
      </c>
      <c r="K29" s="95">
        <v>165.46180656967813668830443167</v>
      </c>
      <c r="L29" s="440">
        <v>165.32190173178651626023272192</v>
      </c>
      <c r="M29" s="439">
        <v>293.66552504854790535324752331</v>
      </c>
      <c r="N29" s="95">
        <v>300.41214831028281526786111413</v>
      </c>
      <c r="O29" s="440">
        <v>281.0687352916703539935057168</v>
      </c>
      <c r="P29" s="93"/>
      <c r="Q29" s="420">
        <v>-3.6589526280872631955382390900</v>
      </c>
      <c r="R29" s="91">
        <v>-2.0432626561056418131375569500</v>
      </c>
      <c r="S29" s="421">
        <v>-0.9284999309968338413798038900</v>
      </c>
      <c r="T29" s="420">
        <v>-7.993402704484367557440133460</v>
      </c>
      <c r="U29" s="91">
        <v>1.2944009954272112239306509300</v>
      </c>
      <c r="V29" s="421">
        <v>4.5607493582373551851814440300</v>
      </c>
      <c r="W29" s="420">
        <v>0</v>
      </c>
      <c r="X29" s="91">
        <v>-1.8855709749299309141920102200</v>
      </c>
      <c r="Y29" s="421">
        <v>2.8142515377064884475982641500</v>
      </c>
      <c r="Z29" s="420">
        <v>-4.0074437333224787111773566500</v>
      </c>
      <c r="AA29" s="91">
        <v>-1.6315836762415299357586820400</v>
      </c>
      <c r="AB29" s="421">
        <v>-0.0262306735376976213416192400</v>
      </c>
    </row>
    <row r="30" ht="18" customHeight="1">
      <c r="A30" s="58"/>
      <c r="B30" s="1044" t="s">
        <v>75</v>
      </c>
      <c r="C30" s="1044"/>
      <c r="D30" s="457">
        <v>270.95461524045850273621564428</v>
      </c>
      <c r="E30" s="458">
        <v>283.15201228029454580438464701</v>
      </c>
      <c r="F30" s="459">
        <v>276.69535643631839093675836258</v>
      </c>
      <c r="G30" s="457">
        <v>295.17452344766898600366027283</v>
      </c>
      <c r="H30" s="458">
        <v>317.70981439997312530541877646</v>
      </c>
      <c r="I30" s="459">
        <v>303.27668603767084393047476484</v>
      </c>
      <c r="J30" s="457">
        <v>0</v>
      </c>
      <c r="K30" s="458">
        <v>165.46162424423868466051738978</v>
      </c>
      <c r="L30" s="459">
        <v>167.10053023159983899999496238</v>
      </c>
      <c r="M30" s="457">
        <v>275.36164945546914637030223471</v>
      </c>
      <c r="N30" s="458">
        <v>287.35553826052636261364363354</v>
      </c>
      <c r="O30" s="459">
        <v>272.16068748731860464988993258</v>
      </c>
      <c r="P30" s="5"/>
      <c r="Q30" s="430">
        <v>-0.3868710113288091579679931200</v>
      </c>
      <c r="R30" s="431">
        <v>3.4916992400688896814469577500</v>
      </c>
      <c r="S30" s="432">
        <v>1.4563666534518720632486162400</v>
      </c>
      <c r="T30" s="430">
        <v>-3.0246542012321128307716961300</v>
      </c>
      <c r="U30" s="431">
        <v>0.2572075242204460308671882200</v>
      </c>
      <c r="V30" s="432">
        <v>0.4551618765700236255205714600</v>
      </c>
      <c r="W30" s="430">
        <v>0</v>
      </c>
      <c r="X30" s="431">
        <v>-0.0221726014899544429989408800</v>
      </c>
      <c r="Y30" s="432">
        <v>5.0095910590847398217070610400</v>
      </c>
      <c r="Z30" s="430">
        <v>-0.4056177389861951724586375400</v>
      </c>
      <c r="AA30" s="431">
        <v>2.8692983322879024563647518600</v>
      </c>
      <c r="AB30" s="432">
        <v>1.1948946367616932541364215800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365.04848473396916534769130838</v>
      </c>
      <c r="E32" s="494">
        <v>351.96433609931047512733919816</v>
      </c>
      <c r="F32" s="495">
        <v>334.68346832421084339280828769</v>
      </c>
      <c r="G32" s="493">
        <v>346.14612760641755718327072953</v>
      </c>
      <c r="H32" s="494">
        <v>360.46029978794168676054562004</v>
      </c>
      <c r="I32" s="495">
        <v>314.19012682752981019675739346</v>
      </c>
      <c r="J32" s="493">
        <v>0</v>
      </c>
      <c r="K32" s="494">
        <v>165.46156537460667011167319279</v>
      </c>
      <c r="L32" s="495">
        <v>167.30877434026270945067375987</v>
      </c>
      <c r="M32" s="493">
        <v>362.84405434509920568240365374</v>
      </c>
      <c r="N32" s="494">
        <v>352.56597567153146607903981094</v>
      </c>
      <c r="O32" s="495">
        <v>316.0337901419751796816781483</v>
      </c>
      <c r="P32" s="93"/>
      <c r="Q32" s="479">
        <v>-3.8418374002046946411935163600</v>
      </c>
      <c r="R32" s="480">
        <v>-1.9986875727018629271203399800</v>
      </c>
      <c r="S32" s="481">
        <v>2.1576591978482477236220618500</v>
      </c>
      <c r="T32" s="479">
        <v>-8.308686507948699609159500070</v>
      </c>
      <c r="U32" s="480">
        <v>-10.005560253632022325299049560</v>
      </c>
      <c r="V32" s="481">
        <v>5.7158829365209874117427436200</v>
      </c>
      <c r="W32" s="479">
        <v>0</v>
      </c>
      <c r="X32" s="480">
        <v>-4.6107954514903045061996521200</v>
      </c>
      <c r="Y32" s="481">
        <v>-0.2436526956977101149679647600</v>
      </c>
      <c r="Z32" s="479">
        <v>-4.3269262879791636483113012700</v>
      </c>
      <c r="AA32" s="480">
        <v>-2.7856233266625800540890037900</v>
      </c>
      <c r="AB32" s="481">
        <v>2.2037780716831848149258147700</v>
      </c>
    </row>
    <row r="33" ht="18" customHeight="1">
      <c r="A33" s="58"/>
      <c r="B33" s="1046" t="s">
        <v>51</v>
      </c>
      <c r="C33" s="1046"/>
      <c r="D33" s="276">
        <v>365.08337064455327824136080676</v>
      </c>
      <c r="E33" s="94">
        <v>358.41075342565210116301266579</v>
      </c>
      <c r="F33" s="277">
        <v>336.46232051222676237645222289</v>
      </c>
      <c r="G33" s="276">
        <v>354.43461419078164907124503884</v>
      </c>
      <c r="H33" s="94">
        <v>352.88238834284617648522397874</v>
      </c>
      <c r="I33" s="277">
        <v>313.40666458930420221365187128</v>
      </c>
      <c r="J33" s="276">
        <v>0</v>
      </c>
      <c r="K33" s="94">
        <v>172.01526707856979520761150497</v>
      </c>
      <c r="L33" s="277">
        <v>167.87705147820212117828327448</v>
      </c>
      <c r="M33" s="276">
        <v>364.28603182592310056216278207</v>
      </c>
      <c r="N33" s="94">
        <v>357.72565392849502900008908766</v>
      </c>
      <c r="O33" s="277">
        <v>317.61743132096343199356624334</v>
      </c>
      <c r="P33" s="5"/>
      <c r="Q33" s="271">
        <v>-3.7453435768300254645485844700</v>
      </c>
      <c r="R33" s="92">
        <v>-1.4075966634957490786450800800</v>
      </c>
      <c r="S33" s="272">
        <v>0.7437857563961508468017775400</v>
      </c>
      <c r="T33" s="271">
        <v>-8.491909942755327631619080960</v>
      </c>
      <c r="U33" s="92">
        <v>-9.335172160556095574453281630</v>
      </c>
      <c r="V33" s="272">
        <v>4.5726767658327778979508429700</v>
      </c>
      <c r="W33" s="271">
        <v>0</v>
      </c>
      <c r="X33" s="92">
        <v>4.9221402889780493510929097900</v>
      </c>
      <c r="Y33" s="272">
        <v>3.47118828491509489785909100</v>
      </c>
      <c r="Z33" s="271">
        <v>-3.9952587452718002919021347900</v>
      </c>
      <c r="AA33" s="92">
        <v>-1.9777097094640869840234329600</v>
      </c>
      <c r="AB33" s="272">
        <v>0.8062983344635687425226707200</v>
      </c>
    </row>
    <row r="34" ht="18" customHeight="1">
      <c r="A34" s="58"/>
      <c r="B34" s="1047" t="s">
        <v>76</v>
      </c>
      <c r="C34" s="1047"/>
      <c r="D34" s="443">
        <v>365.06702523746125520764008201</v>
      </c>
      <c r="E34" s="444">
        <v>355.36048609874792521383191805</v>
      </c>
      <c r="F34" s="445">
        <v>335.61893236376093691185732511</v>
      </c>
      <c r="G34" s="443">
        <v>349.54581193424147283901612424</v>
      </c>
      <c r="H34" s="444">
        <v>356.48811304599611272158168545</v>
      </c>
      <c r="I34" s="445">
        <v>313.7906085041812773979009904</v>
      </c>
      <c r="J34" s="443">
        <v>0</v>
      </c>
      <c r="K34" s="444">
        <v>168.80529073377152985449886227</v>
      </c>
      <c r="L34" s="445">
        <v>167.60414937667291270718626971</v>
      </c>
      <c r="M34" s="633">
        <v>363.59380840205268513082410142</v>
      </c>
      <c r="N34" s="634">
        <v>355.28274536919023561447995433</v>
      </c>
      <c r="O34" s="635">
        <v>316.8613658478934650885293581</v>
      </c>
      <c r="P34" s="93"/>
      <c r="Q34" s="273">
        <v>-3.7930111490216207947506179100</v>
      </c>
      <c r="R34" s="274">
        <v>-1.6673370915847842782453171400</v>
      </c>
      <c r="S34" s="275">
        <v>1.4344905999656133446250060200</v>
      </c>
      <c r="T34" s="273">
        <v>-8.378020253605657760545162400</v>
      </c>
      <c r="U34" s="274">
        <v>-9.814826355267683315172430970</v>
      </c>
      <c r="V34" s="275">
        <v>5.1753362467149680478952025200</v>
      </c>
      <c r="W34" s="273">
        <v>0</v>
      </c>
      <c r="X34" s="274">
        <v>-0.1879789075375189520619183600</v>
      </c>
      <c r="Y34" s="275">
        <v>1.5859363795508422785977787900</v>
      </c>
      <c r="Z34" s="273">
        <v>-4.1533642096895685698482226800</v>
      </c>
      <c r="AA34" s="274">
        <v>-2.3465748137960077521020302100</v>
      </c>
      <c r="AB34" s="275">
        <v>1.5053426931702969673361184400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299.49480476867548944547741442</v>
      </c>
      <c r="E36" s="483">
        <v>305.45997788771123724808036233</v>
      </c>
      <c r="F36" s="484">
        <v>295.47640956263621332912942271</v>
      </c>
      <c r="G36" s="482">
        <v>306.64143192488262910798122066</v>
      </c>
      <c r="H36" s="483">
        <v>327.05296580421536385164990353</v>
      </c>
      <c r="I36" s="484">
        <v>306.22161446043557908873653328</v>
      </c>
      <c r="J36" s="482">
        <v>0</v>
      </c>
      <c r="K36" s="483">
        <v>165.70212892725567374054303943</v>
      </c>
      <c r="L36" s="484">
        <v>167.16573841925541344132486344</v>
      </c>
      <c r="M36" s="482">
        <v>300.6174979256937402046648843</v>
      </c>
      <c r="N36" s="483">
        <v>307.63563743229786510577320088</v>
      </c>
      <c r="O36" s="484">
        <v>285.71265310593664204191456877</v>
      </c>
      <c r="P36" s="93"/>
      <c r="Q36" s="468">
        <v>-1.9714985833964411266251765500</v>
      </c>
      <c r="R36" s="469">
        <v>1.1042218795885029462874765200</v>
      </c>
      <c r="S36" s="470">
        <v>1.3177171605018535047726044300</v>
      </c>
      <c r="T36" s="468">
        <v>-3.0148344815035400275268059100</v>
      </c>
      <c r="U36" s="469">
        <v>-1.9999495463071176801885731900</v>
      </c>
      <c r="V36" s="470">
        <v>1.4187500275443599899529714800</v>
      </c>
      <c r="W36" s="468">
        <v>0</v>
      </c>
      <c r="X36" s="469">
        <v>-0.9393345971714017379220984900</v>
      </c>
      <c r="Y36" s="470">
        <v>4.2443657785923488829206184900</v>
      </c>
      <c r="Z36" s="468">
        <v>-2.0017751386503318450104802400</v>
      </c>
      <c r="AA36" s="469">
        <v>0.7136592867170091426652484200</v>
      </c>
      <c r="AB36" s="470">
        <v>1.1605392407296704563849076600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211.22608641187181441437512125</v>
      </c>
      <c r="E39" s="455">
        <v>220.09146237669217935653157893</v>
      </c>
      <c r="F39" s="456">
        <v>154.93101913983933759750693291</v>
      </c>
      <c r="G39" s="454">
        <v>30.026237406713481184139276877</v>
      </c>
      <c r="H39" s="455">
        <v>25.818239995990970132253930711</v>
      </c>
      <c r="I39" s="456">
        <v>38.42790186021326000985536709</v>
      </c>
      <c r="J39" s="454">
        <v>0</v>
      </c>
      <c r="K39" s="455">
        <v>0.4928486346463656161738194371</v>
      </c>
      <c r="L39" s="456">
        <v>13.708351576709672382592831981</v>
      </c>
      <c r="M39" s="454">
        <v>241.25232381858529559851439797</v>
      </c>
      <c r="N39" s="455">
        <v>246.40255100732951510495932889</v>
      </c>
      <c r="O39" s="456">
        <v>207.06727257676226998995513181</v>
      </c>
      <c r="P39" s="5"/>
      <c r="Q39" s="427">
        <v>-2.4585779118013400853402618300</v>
      </c>
      <c r="R39" s="428">
        <v>11.790844180536689841804705400</v>
      </c>
      <c r="S39" s="429">
        <v>0.5593181382562841344241301800</v>
      </c>
      <c r="T39" s="427">
        <v>58.691918276031114630716391790</v>
      </c>
      <c r="U39" s="428">
        <v>-8.759949321666867623764637730</v>
      </c>
      <c r="V39" s="429">
        <v>4.4798791268836367953666918400</v>
      </c>
      <c r="W39" s="427">
        <v>0</v>
      </c>
      <c r="X39" s="428">
        <v>-63.558993643873697327694505100</v>
      </c>
      <c r="Y39" s="429">
        <v>21.433611281171685297601909300</v>
      </c>
      <c r="Z39" s="427">
        <v>2.4551175927607835118944137300</v>
      </c>
      <c r="AA39" s="428">
        <v>8.761418629820460681324473670</v>
      </c>
      <c r="AB39" s="429">
        <v>2.4397457534082026495038397200</v>
      </c>
    </row>
    <row r="40" ht="18" customHeight="1">
      <c r="A40" s="58"/>
      <c r="B40" s="1043" t="s">
        <v>46</v>
      </c>
      <c r="C40" s="1043"/>
      <c r="D40" s="439">
        <v>189.22065293512211910018153661</v>
      </c>
      <c r="E40" s="95">
        <v>197.82992671569385383476689645</v>
      </c>
      <c r="F40" s="440">
        <v>141.39191070974297839410578287</v>
      </c>
      <c r="G40" s="439">
        <v>55.530956590659598426351413197</v>
      </c>
      <c r="H40" s="95">
        <v>33.741979177435573873206016662</v>
      </c>
      <c r="I40" s="440">
        <v>54.285876876106790747105820235</v>
      </c>
      <c r="J40" s="439">
        <v>0</v>
      </c>
      <c r="K40" s="95">
        <v>0.5263776899348625110267183814</v>
      </c>
      <c r="L40" s="440">
        <v>13.539653975436273170425074769</v>
      </c>
      <c r="M40" s="439">
        <v>244.75160952578171752653294963</v>
      </c>
      <c r="N40" s="95">
        <v>232.09828358306429021899963133</v>
      </c>
      <c r="O40" s="440">
        <v>209.21744156128604231163667769</v>
      </c>
      <c r="P40" s="5"/>
      <c r="Q40" s="420">
        <v>-2.5289956482594742612042041400</v>
      </c>
      <c r="R40" s="91">
        <v>15.675521412395070649290831260</v>
      </c>
      <c r="S40" s="421">
        <v>2.8346524480989672697444960600</v>
      </c>
      <c r="T40" s="420">
        <v>9.320065160704166810246370110</v>
      </c>
      <c r="U40" s="91">
        <v>-11.024800746144295191069268530</v>
      </c>
      <c r="V40" s="421">
        <v>7.595654590032823291142881400</v>
      </c>
      <c r="W40" s="420">
        <v>0</v>
      </c>
      <c r="X40" s="91">
        <v>-69.087241670756620582099703460</v>
      </c>
      <c r="Y40" s="421">
        <v>18.523778982191768288900473860</v>
      </c>
      <c r="Z40" s="420">
        <v>-0.0715565289029083829094378600</v>
      </c>
      <c r="AA40" s="91">
        <v>10.170879673497618026885450830</v>
      </c>
      <c r="AB40" s="421">
        <v>4.9397699850183472931969894700</v>
      </c>
    </row>
    <row r="41" ht="18" customHeight="1">
      <c r="A41" s="58"/>
      <c r="B41" s="1043" t="s">
        <v>47</v>
      </c>
      <c r="C41" s="1043"/>
      <c r="D41" s="439">
        <v>195.98482581109499293503021475</v>
      </c>
      <c r="E41" s="95">
        <v>213.03137825088719525069970488</v>
      </c>
      <c r="F41" s="440">
        <v>157.12084463518892383061367235</v>
      </c>
      <c r="G41" s="439">
        <v>55.231223219112674730548669567</v>
      </c>
      <c r="H41" s="95">
        <v>41.423446597664163591232305109</v>
      </c>
      <c r="I41" s="440">
        <v>64.975474007931927505011670646</v>
      </c>
      <c r="J41" s="439">
        <v>0</v>
      </c>
      <c r="K41" s="95">
        <v>0.5209255922541180709286410295</v>
      </c>
      <c r="L41" s="440">
        <v>12.884199391488110607913424162</v>
      </c>
      <c r="M41" s="439">
        <v>251.21604903020766766557888414</v>
      </c>
      <c r="N41" s="95">
        <v>254.97575044080547691286065083</v>
      </c>
      <c r="O41" s="440">
        <v>234.98051803460896194353876696</v>
      </c>
      <c r="P41" s="93"/>
      <c r="Q41" s="420">
        <v>-2.3236274360473218499473008400</v>
      </c>
      <c r="R41" s="91">
        <v>18.681715053293548940184795880</v>
      </c>
      <c r="S41" s="421">
        <v>5.8855847989642719276088659900</v>
      </c>
      <c r="T41" s="420">
        <v>10.441411119435107046241844190</v>
      </c>
      <c r="U41" s="91">
        <v>-14.169880317061599960827844320</v>
      </c>
      <c r="V41" s="421">
        <v>10.069420300818386667268194920</v>
      </c>
      <c r="W41" s="420">
        <v>0</v>
      </c>
      <c r="X41" s="91">
        <v>-60.526451185544434654345532330</v>
      </c>
      <c r="Y41" s="421">
        <v>17.714518882784042861733677570</v>
      </c>
      <c r="Z41" s="420">
        <v>0.2231771948803454330242804300</v>
      </c>
      <c r="AA41" s="91">
        <v>11.291588064719823110940333650</v>
      </c>
      <c r="AB41" s="421">
        <v>7.6108978477494377822525655300</v>
      </c>
    </row>
    <row r="42" ht="18" customHeight="1">
      <c r="A42" s="58"/>
      <c r="B42" s="1043" t="s">
        <v>48</v>
      </c>
      <c r="C42" s="1043"/>
      <c r="D42" s="439">
        <v>191.73428364965155364316378934</v>
      </c>
      <c r="E42" s="95">
        <v>209.11422814898392922474604933</v>
      </c>
      <c r="F42" s="440">
        <v>155.13909596430786528174239312</v>
      </c>
      <c r="G42" s="439">
        <v>61.345143760216295664973429262</v>
      </c>
      <c r="H42" s="95">
        <v>42.185278203972225978689946479</v>
      </c>
      <c r="I42" s="440">
        <v>66.461521243020115989665854604</v>
      </c>
      <c r="J42" s="439">
        <v>0</v>
      </c>
      <c r="K42" s="95">
        <v>0.4312424638792836174163062437</v>
      </c>
      <c r="L42" s="440">
        <v>12.677527874144342044108310256</v>
      </c>
      <c r="M42" s="439">
        <v>253.07942740986784930813721843</v>
      </c>
      <c r="N42" s="95">
        <v>251.73074881683543882085230187</v>
      </c>
      <c r="O42" s="440">
        <v>234.27814508147232331551655779</v>
      </c>
      <c r="P42" s="5"/>
      <c r="Q42" s="420">
        <v>-7.8724936904247369305862818200</v>
      </c>
      <c r="R42" s="91">
        <v>8.538279999107610494845144750</v>
      </c>
      <c r="S42" s="421">
        <v>-1.8026208733003665651720005500</v>
      </c>
      <c r="T42" s="420">
        <v>35.131144380564409629038595430</v>
      </c>
      <c r="U42" s="91">
        <v>-16.271845126098928451959058690</v>
      </c>
      <c r="V42" s="421">
        <v>12.434782978402592133364623710</v>
      </c>
      <c r="W42" s="420">
        <v>0</v>
      </c>
      <c r="X42" s="91">
        <v>-58.588026776578873573485254760</v>
      </c>
      <c r="Y42" s="421">
        <v>10.267507667194830808849605590</v>
      </c>
      <c r="Z42" s="420">
        <v>-0.17186762538709060967008600</v>
      </c>
      <c r="AA42" s="91">
        <v>3.1179508242117328880475574900</v>
      </c>
      <c r="AB42" s="421">
        <v>2.4874191966487037204516042600</v>
      </c>
    </row>
    <row r="43" ht="18" customHeight="1">
      <c r="A43" s="58"/>
      <c r="B43" s="1043" t="s">
        <v>49</v>
      </c>
      <c r="C43" s="1043"/>
      <c r="D43" s="439">
        <v>228.9457815139012995461394529</v>
      </c>
      <c r="E43" s="95">
        <v>233.68246825051525711604064146</v>
      </c>
      <c r="F43" s="440">
        <v>172.52648058750742026247071072</v>
      </c>
      <c r="G43" s="439">
        <v>43.399329784278544496739721372</v>
      </c>
      <c r="H43" s="95">
        <v>38.125084069076900346381462353</v>
      </c>
      <c r="I43" s="440">
        <v>57.208876284041377588870992454</v>
      </c>
      <c r="J43" s="439">
        <v>0</v>
      </c>
      <c r="K43" s="95">
        <v>0.3470479969999702770164500828</v>
      </c>
      <c r="L43" s="440">
        <v>13.426627692996343886641639015</v>
      </c>
      <c r="M43" s="439">
        <v>272.34511129817984404287917408</v>
      </c>
      <c r="N43" s="95">
        <v>272.1546003165921277394385537</v>
      </c>
      <c r="O43" s="440">
        <v>243.16198456454514173798334198</v>
      </c>
      <c r="P43" s="93"/>
      <c r="Q43" s="420">
        <v>-9.125951626867730493897659230</v>
      </c>
      <c r="R43" s="91">
        <v>3.5040738746817640413730156100</v>
      </c>
      <c r="S43" s="421">
        <v>-1.2484842820345607404265912300</v>
      </c>
      <c r="T43" s="420">
        <v>30.999869482825187858759173170</v>
      </c>
      <c r="U43" s="91">
        <v>-12.304635659572160410110059990</v>
      </c>
      <c r="V43" s="421">
        <v>6.2334318991031775687559808800</v>
      </c>
      <c r="W43" s="420">
        <v>0</v>
      </c>
      <c r="X43" s="91">
        <v>-69.012449139200345448045468180</v>
      </c>
      <c r="Y43" s="421">
        <v>19.113650155038217314720432690</v>
      </c>
      <c r="Z43" s="420">
        <v>-4.4626929838883756302766493600</v>
      </c>
      <c r="AA43" s="91">
        <v>0.6472547399802133397088245200</v>
      </c>
      <c r="AB43" s="421">
        <v>1.3901460592021829992088865600</v>
      </c>
    </row>
    <row r="44" ht="18" customHeight="1">
      <c r="A44" s="58"/>
      <c r="B44" s="1044" t="s">
        <v>75</v>
      </c>
      <c r="C44" s="1044"/>
      <c r="D44" s="457">
        <v>203.02352207292877868374112563</v>
      </c>
      <c r="E44" s="458">
        <v>214.45407125633634586031504198</v>
      </c>
      <c r="F44" s="459">
        <v>155.96700478056940489242472449</v>
      </c>
      <c r="G44" s="457">
        <v>49.195753907944831000610045501</v>
      </c>
      <c r="H44" s="458">
        <v>36.229645007886577197446033359</v>
      </c>
      <c r="I44" s="459">
        <v>56.256914928358822470962063147</v>
      </c>
      <c r="J44" s="457">
        <v>0</v>
      </c>
      <c r="K44" s="458">
        <v>0.4655109830201536082232610497</v>
      </c>
      <c r="L44" s="459">
        <v>13.24448668795343751316520607</v>
      </c>
      <c r="M44" s="457">
        <v>252.21927598087360968435117095</v>
      </c>
      <c r="N44" s="458">
        <v>251.14922724724307666598433617</v>
      </c>
      <c r="O44" s="459">
        <v>225.4684063968816648765519935</v>
      </c>
      <c r="P44" s="5"/>
      <c r="Q44" s="430">
        <v>-5.2942165067174738302781502500</v>
      </c>
      <c r="R44" s="431">
        <v>11.025948290084492417317578340</v>
      </c>
      <c r="S44" s="432">
        <v>0.9783777242724707824269751400</v>
      </c>
      <c r="T44" s="430">
        <v>24.354541789185971562277306920</v>
      </c>
      <c r="U44" s="431">
        <v>-12.761262096149995216388178600</v>
      </c>
      <c r="V44" s="432">
        <v>8.752904920824039286380360810</v>
      </c>
      <c r="W44" s="430">
        <v>0</v>
      </c>
      <c r="X44" s="431">
        <v>-64.506814725700713575494352680</v>
      </c>
      <c r="Y44" s="432">
        <v>17.394862464568749902521923530</v>
      </c>
      <c r="Z44" s="430">
        <v>-0.6751733553589083433862518200</v>
      </c>
      <c r="AA44" s="431">
        <v>6.4072904427904987283089999300</v>
      </c>
      <c r="AB44" s="432">
        <v>3.6807889203282570536308356200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303.74615080768393934864718736</v>
      </c>
      <c r="E46" s="494">
        <v>298.47120854113840872366809082</v>
      </c>
      <c r="F46" s="495">
        <v>224.96733081517756165030183102</v>
      </c>
      <c r="G46" s="493">
        <v>38.023627653735261963313830164</v>
      </c>
      <c r="H46" s="494">
        <v>32.044792704607271604559638074</v>
      </c>
      <c r="I46" s="495">
        <v>51.238510369614434529170466028</v>
      </c>
      <c r="J46" s="493">
        <v>0</v>
      </c>
      <c r="K46" s="494">
        <v>0.3203515302509325655598706542</v>
      </c>
      <c r="L46" s="495">
        <v>13.757932341484949681536113612</v>
      </c>
      <c r="M46" s="493">
        <v>341.76977846141920131196101729</v>
      </c>
      <c r="N46" s="494">
        <v>330.83635277599661289378759929</v>
      </c>
      <c r="O46" s="495">
        <v>289.96377352627694586100841043</v>
      </c>
      <c r="P46" s="93"/>
      <c r="Q46" s="479">
        <v>-10.145399324549036989423352230</v>
      </c>
      <c r="R46" s="480">
        <v>3.0996903731434634431170269100</v>
      </c>
      <c r="S46" s="481">
        <v>2.875658281155087595472782400</v>
      </c>
      <c r="T46" s="479">
        <v>50.294022550141573978724004930</v>
      </c>
      <c r="U46" s="480">
        <v>-23.909497198509508802652986630</v>
      </c>
      <c r="V46" s="481">
        <v>9.919019924433215245365664470</v>
      </c>
      <c r="W46" s="479">
        <v>0</v>
      </c>
      <c r="X46" s="480">
        <v>-69.327436812138591772552717330</v>
      </c>
      <c r="Y46" s="481">
        <v>11.620195499455059567016546060</v>
      </c>
      <c r="Z46" s="479">
        <v>-5.9369962632723397860272930200</v>
      </c>
      <c r="AA46" s="480">
        <v>-0.5584077813653133026709208100</v>
      </c>
      <c r="AB46" s="481">
        <v>4.4478631715752775539689482300</v>
      </c>
    </row>
    <row r="47" ht="18" customHeight="1">
      <c r="A47" s="58"/>
      <c r="B47" s="1046" t="s">
        <v>51</v>
      </c>
      <c r="C47" s="1046"/>
      <c r="D47" s="276">
        <v>318.06505775851232574057949096</v>
      </c>
      <c r="E47" s="94">
        <v>312.37169246361100543688288357</v>
      </c>
      <c r="F47" s="277">
        <v>231.55022466035238400918108618</v>
      </c>
      <c r="G47" s="276">
        <v>24.992184333965372690921124551</v>
      </c>
      <c r="H47" s="94">
        <v>31.901051414715560224369790045</v>
      </c>
      <c r="I47" s="277">
        <v>49.091361337974126665146149425</v>
      </c>
      <c r="J47" s="276">
        <v>0</v>
      </c>
      <c r="K47" s="94">
        <v>0.3202309685728084652759168685</v>
      </c>
      <c r="L47" s="277">
        <v>13.791663916103950976590941105</v>
      </c>
      <c r="M47" s="276">
        <v>343.05724209247769843150061528</v>
      </c>
      <c r="N47" s="94">
        <v>344.59297484689937412652859022</v>
      </c>
      <c r="O47" s="277">
        <v>294.43324991443046165091817649</v>
      </c>
      <c r="P47" s="5"/>
      <c r="Q47" s="271">
        <v>-7.1608313853802877946172458600</v>
      </c>
      <c r="R47" s="92">
        <v>1.7632808085950174023928663200</v>
      </c>
      <c r="S47" s="272">
        <v>-0.986955477099572571227524800</v>
      </c>
      <c r="T47" s="271">
        <v>40.157960720678345107255713500</v>
      </c>
      <c r="U47" s="92">
        <v>-9.926153600561260440190697810</v>
      </c>
      <c r="V47" s="272">
        <v>23.057930345817972108842395770</v>
      </c>
      <c r="W47" s="271">
        <v>0</v>
      </c>
      <c r="X47" s="92">
        <v>-61.265332824015775798058580380</v>
      </c>
      <c r="Y47" s="272">
        <v>16.196045839912687460135219200</v>
      </c>
      <c r="Z47" s="271">
        <v>-4.819839344981162921316254200</v>
      </c>
      <c r="AA47" s="92">
        <v>0.3937038217198171234382552500</v>
      </c>
      <c r="AB47" s="272">
        <v>3.0867834436314625705846462100</v>
      </c>
    </row>
    <row r="48" ht="18" customHeight="1">
      <c r="A48" s="58"/>
      <c r="B48" s="1047" t="s">
        <v>76</v>
      </c>
      <c r="C48" s="1047"/>
      <c r="D48" s="443">
        <v>311.19198242211470027245198526</v>
      </c>
      <c r="E48" s="444">
        <v>305.69946018082415901453978306</v>
      </c>
      <c r="F48" s="445">
        <v>228.39048828242765960465159134</v>
      </c>
      <c r="G48" s="443">
        <v>31.247277127454919541669623247</v>
      </c>
      <c r="H48" s="444">
        <v>31.970047233863581686860917101</v>
      </c>
      <c r="I48" s="445">
        <v>50.121975694466085470880121902</v>
      </c>
      <c r="J48" s="443">
        <v>0</v>
      </c>
      <c r="K48" s="444">
        <v>0.3202888381783080334122146857</v>
      </c>
      <c r="L48" s="445">
        <v>13.775473030163041475448026646</v>
      </c>
      <c r="M48" s="443">
        <v>342.43925954956961981412160824</v>
      </c>
      <c r="N48" s="444">
        <v>337.98979625286604873481291454</v>
      </c>
      <c r="O48" s="445">
        <v>292.28793700705678655097973966</v>
      </c>
      <c r="P48" s="93"/>
      <c r="Q48" s="273">
        <v>-8.558976600595127185507610030</v>
      </c>
      <c r="R48" s="274">
        <v>2.5051440698604857975163260400</v>
      </c>
      <c r="S48" s="275">
        <v>0.9377795101821716062440319100</v>
      </c>
      <c r="T48" s="273">
        <v>44.894965907997685730685599400</v>
      </c>
      <c r="U48" s="274">
        <v>-17.529218423230333921221824650</v>
      </c>
      <c r="V48" s="275">
        <v>15.878688592644747410238052880</v>
      </c>
      <c r="W48" s="273">
        <v>0</v>
      </c>
      <c r="X48" s="274">
        <v>-65.765624030962456067829779830</v>
      </c>
      <c r="Y48" s="275">
        <v>13.870545192617419056863663900</v>
      </c>
      <c r="Z48" s="273">
        <v>-5.3735498479773686029978506200</v>
      </c>
      <c r="AA48" s="274">
        <v>0.006484384697660733996350300</v>
      </c>
      <c r="AB48" s="275">
        <v>3.7894101088595015230052279800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233.08486550902281239359891045</v>
      </c>
      <c r="E50" s="483">
        <v>240.1929384408487167775267154</v>
      </c>
      <c r="F50" s="484">
        <v>175.99619092512686462788867419</v>
      </c>
      <c r="G50" s="482">
        <v>44.477102485529451821586653047</v>
      </c>
      <c r="H50" s="483">
        <v>34.926156153298306909030083132</v>
      </c>
      <c r="I50" s="484">
        <v>54.860271707265322258834098853</v>
      </c>
      <c r="J50" s="482">
        <v>0</v>
      </c>
      <c r="K50" s="483">
        <v>0.4235509131025058826046924988</v>
      </c>
      <c r="L50" s="484">
        <v>13.381875576237731866137732614</v>
      </c>
      <c r="M50" s="482">
        <v>277.5619679945522642151855635</v>
      </c>
      <c r="N50" s="483">
        <v>275.54264550724952956916149102</v>
      </c>
      <c r="O50" s="484">
        <v>244.23833820862991875286050565</v>
      </c>
      <c r="P50" s="93"/>
      <c r="Q50" s="468">
        <v>-7.1082208213878921668750961500</v>
      </c>
      <c r="R50" s="469">
        <v>7.460740060306059508931755500</v>
      </c>
      <c r="S50" s="470">
        <v>0.6038223036890879830091981900</v>
      </c>
      <c r="T50" s="468">
        <v>30.054168529861777252567728460</v>
      </c>
      <c r="U50" s="469">
        <v>-14.286946290977108966489807710</v>
      </c>
      <c r="V50" s="470">
        <v>10.573907936565145404127440780</v>
      </c>
      <c r="W50" s="468">
        <v>0</v>
      </c>
      <c r="X50" s="469">
        <v>-64.548735244727162828919010970</v>
      </c>
      <c r="Y50" s="470">
        <v>16.789507709805308547020167290</v>
      </c>
      <c r="Z50" s="468">
        <v>-2.6507501934456976538941246900</v>
      </c>
      <c r="AA50" s="469">
        <v>3.7984012710279498301836284300</v>
      </c>
      <c r="AB50" s="470">
        <v>3.4855155130463601947580213600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195</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72.610086735928025644726223890</v>
      </c>
      <c r="E11" s="428">
        <v>69.448581428252289820537642480</v>
      </c>
      <c r="F11" s="429">
        <v>54.341066240183405148490590590</v>
      </c>
      <c r="G11" s="427">
        <v>8.974942728268757381294554570</v>
      </c>
      <c r="H11" s="428">
        <v>8.891205599821282299501079760</v>
      </c>
      <c r="I11" s="429">
        <v>9.494864164407647153934968920</v>
      </c>
      <c r="J11" s="427">
        <v>0</v>
      </c>
      <c r="K11" s="428">
        <v>0.7856132251098369200982947400</v>
      </c>
      <c r="L11" s="429">
        <v>7.4006770215685794742235449600</v>
      </c>
      <c r="M11" s="427">
        <v>82.10955710955710955710955711</v>
      </c>
      <c r="N11" s="428">
        <v>79.121676967756348201653138730</v>
      </c>
      <c r="O11" s="429">
        <v>71.237520541588738650202325780</v>
      </c>
      <c r="P11" s="5"/>
      <c r="Q11" s="427">
        <v>-5.3857770065370651760141701700</v>
      </c>
      <c r="R11" s="428">
        <v>5.5460774031262188604645555300</v>
      </c>
      <c r="S11" s="429">
        <v>0.7229008948371422148203114800</v>
      </c>
      <c r="T11" s="427">
        <v>81.20072205820257207898315860</v>
      </c>
      <c r="U11" s="428">
        <v>24.596692780893167585842224450</v>
      </c>
      <c r="V11" s="429">
        <v>9.076643844167237670770515770</v>
      </c>
      <c r="W11" s="427">
        <v>0</v>
      </c>
      <c r="X11" s="428">
        <v>-1.2017284904474762173691586900</v>
      </c>
      <c r="Y11" s="429">
        <v>5.09266756696573022533840500</v>
      </c>
      <c r="Z11" s="427">
        <v>-0.6697215368705372594805232900</v>
      </c>
      <c r="AA11" s="428">
        <v>7.3226099130026661076934246700</v>
      </c>
      <c r="AB11" s="429">
        <v>2.2076906301582785339825089400</v>
      </c>
    </row>
    <row r="12" ht="18" customHeight="1">
      <c r="A12" s="58"/>
      <c r="B12" s="1043" t="s">
        <v>46</v>
      </c>
      <c r="C12" s="1043"/>
      <c r="D12" s="420">
        <v>65.994272753160838854470976480</v>
      </c>
      <c r="E12" s="91">
        <v>62.089507781666542557152431360</v>
      </c>
      <c r="F12" s="421">
        <v>49.131037185619615069699754730</v>
      </c>
      <c r="G12" s="420">
        <v>12.907215016697831970224688900</v>
      </c>
      <c r="H12" s="91">
        <v>10.194355499292575768858440700</v>
      </c>
      <c r="I12" s="421">
        <v>12.965205153611608553595647060</v>
      </c>
      <c r="J12" s="420">
        <v>0</v>
      </c>
      <c r="K12" s="91">
        <v>0.7316255864174547620820612100</v>
      </c>
      <c r="L12" s="421">
        <v>7.2422825662752344654850684700</v>
      </c>
      <c r="M12" s="420">
        <v>79.61829836829836829836829837</v>
      </c>
      <c r="N12" s="91">
        <v>73.015488867376573088092933200</v>
      </c>
      <c r="O12" s="421">
        <v>69.338838119972205959512267260</v>
      </c>
      <c r="P12" s="5"/>
      <c r="Q12" s="420">
        <v>0.0449348364687356374939516900</v>
      </c>
      <c r="R12" s="91">
        <v>11.426704916196811127415081020</v>
      </c>
      <c r="S12" s="421">
        <v>1.7876219719283687530730306300</v>
      </c>
      <c r="T12" s="420">
        <v>34.813681942800194045046088610</v>
      </c>
      <c r="U12" s="91">
        <v>12.505709243866565061532981650</v>
      </c>
      <c r="V12" s="421">
        <v>9.368070771664933043016383390</v>
      </c>
      <c r="W12" s="420">
        <v>0</v>
      </c>
      <c r="X12" s="91">
        <v>-16.068224370190420480819427660</v>
      </c>
      <c r="Y12" s="421">
        <v>6.054470392197260013503536600</v>
      </c>
      <c r="Z12" s="420">
        <v>4.5438467313347229319040988300</v>
      </c>
      <c r="AA12" s="91">
        <v>11.22609969316395719589838500</v>
      </c>
      <c r="AB12" s="421">
        <v>3.5637788386548817348188313300</v>
      </c>
    </row>
    <row r="13" ht="18" customHeight="1">
      <c r="A13" s="58"/>
      <c r="B13" s="1043" t="s">
        <v>47</v>
      </c>
      <c r="C13" s="1043"/>
      <c r="D13" s="420">
        <v>65.097580348636190963736716950</v>
      </c>
      <c r="E13" s="91">
        <v>62.132325564077742199717030360</v>
      </c>
      <c r="F13" s="421">
        <v>50.778042316811069056501942060</v>
      </c>
      <c r="G13" s="420">
        <v>14.153568940054158261572621040</v>
      </c>
      <c r="H13" s="91">
        <v>10.858961948022935438230694770</v>
      </c>
      <c r="I13" s="421">
        <v>15.285943311055150447794715060</v>
      </c>
      <c r="J13" s="420">
        <v>0</v>
      </c>
      <c r="K13" s="91">
        <v>0.5789708839079603842430560700</v>
      </c>
      <c r="L13" s="421">
        <v>7.3897388363421253066001513700</v>
      </c>
      <c r="M13" s="420">
        <v>79.67657342657342657342657343</v>
      </c>
      <c r="N13" s="91">
        <v>73.566535110581577183706902970</v>
      </c>
      <c r="O13" s="421">
        <v>73.454627962051703844463037280</v>
      </c>
      <c r="P13" s="184"/>
      <c r="Q13" s="420">
        <v>1.4848573634204190349890128600</v>
      </c>
      <c r="R13" s="91">
        <v>13.075484324683532685112113770</v>
      </c>
      <c r="S13" s="421">
        <v>2.6875621228191196321440541700</v>
      </c>
      <c r="T13" s="420">
        <v>17.803336747425101957641459160</v>
      </c>
      <c r="U13" s="91">
        <v>-0.290887365343226032624274400</v>
      </c>
      <c r="V13" s="421">
        <v>7.2457632043302716182563952300</v>
      </c>
      <c r="W13" s="420">
        <v>0</v>
      </c>
      <c r="X13" s="91">
        <v>-5.9060013332525100143150253600</v>
      </c>
      <c r="Y13" s="421">
        <v>8.939785490986448796102243070</v>
      </c>
      <c r="Z13" s="420">
        <v>3.6091649986356809421352544700</v>
      </c>
      <c r="AA13" s="91">
        <v>10.721883346979554584788422210</v>
      </c>
      <c r="AB13" s="421">
        <v>4.2127971596804065742090942600</v>
      </c>
    </row>
    <row r="14" ht="18" customHeight="1">
      <c r="A14" s="58"/>
      <c r="B14" s="1043" t="s">
        <v>48</v>
      </c>
      <c r="C14" s="1043"/>
      <c r="D14" s="420">
        <v>67.155866489486437895724224230</v>
      </c>
      <c r="E14" s="91">
        <v>64.227657126157555389139527720</v>
      </c>
      <c r="F14" s="421">
        <v>52.447019619230203549210102330</v>
      </c>
      <c r="G14" s="420">
        <v>13.516180723833346361291331210</v>
      </c>
      <c r="H14" s="91">
        <v>9.866846883048092202597307720</v>
      </c>
      <c r="I14" s="421">
        <v>15.467935700290100674445347930</v>
      </c>
      <c r="J14" s="420">
        <v>0</v>
      </c>
      <c r="K14" s="91">
        <v>0.5643938702076750260278726600</v>
      </c>
      <c r="L14" s="421">
        <v>7.3688935482330741855543148100</v>
      </c>
      <c r="M14" s="420">
        <v>81.38936535162950257289879931</v>
      </c>
      <c r="N14" s="91">
        <v>74.647938775137445432793293030</v>
      </c>
      <c r="O14" s="421">
        <v>75.283796601002559090737364120</v>
      </c>
      <c r="P14" s="5"/>
      <c r="Q14" s="420">
        <v>0.9034804750118332991194493700</v>
      </c>
      <c r="R14" s="91">
        <v>12.074180718483267172646634230</v>
      </c>
      <c r="S14" s="421">
        <v>1.4083639125821184590566671400</v>
      </c>
      <c r="T14" s="420">
        <v>8.527631147163566154470123130</v>
      </c>
      <c r="U14" s="91">
        <v>-9.625287808472371178218174080</v>
      </c>
      <c r="V14" s="421">
        <v>3.3023849205656984757611442200</v>
      </c>
      <c r="W14" s="420">
        <v>0</v>
      </c>
      <c r="X14" s="91">
        <v>1.8066152771874997191219245800</v>
      </c>
      <c r="Y14" s="421">
        <v>4.7718771073602442251236650300</v>
      </c>
      <c r="Z14" s="420">
        <v>2.0377358490387122253812385900</v>
      </c>
      <c r="AA14" s="91">
        <v>8.548610951504419989487990790</v>
      </c>
      <c r="AB14" s="421">
        <v>2.1134606939964083561086668400</v>
      </c>
    </row>
    <row r="15" ht="18" customHeight="1">
      <c r="A15" s="58"/>
      <c r="B15" s="1043" t="s">
        <v>49</v>
      </c>
      <c r="C15" s="1043"/>
      <c r="D15" s="420">
        <v>73.335488107071926753955331180</v>
      </c>
      <c r="E15" s="91">
        <v>71.032839377466676595427805560</v>
      </c>
      <c r="F15" s="421">
        <v>56.801597390525770627212129920</v>
      </c>
      <c r="G15" s="420">
        <v>11.141806472858998518084853370</v>
      </c>
      <c r="H15" s="91">
        <v>7.8989500335095688435475463600</v>
      </c>
      <c r="I15" s="421">
        <v>13.381106559325663285156712900</v>
      </c>
      <c r="J15" s="420">
        <v>0</v>
      </c>
      <c r="K15" s="91">
        <v>0.5361531014967607416784570700</v>
      </c>
      <c r="L15" s="421">
        <v>7.3965396185220670585714616200</v>
      </c>
      <c r="M15" s="420">
        <v>85.06701631701631701631701632</v>
      </c>
      <c r="N15" s="91">
        <v>79.45677265619182366520217440</v>
      </c>
      <c r="O15" s="421">
        <v>77.578979799494886025044896770</v>
      </c>
      <c r="P15" s="184"/>
      <c r="Q15" s="420">
        <v>-1.9751417709195944271142358900</v>
      </c>
      <c r="R15" s="91">
        <v>6.6955308578076993198515210800</v>
      </c>
      <c r="S15" s="421">
        <v>2.2353647300973223148930681300</v>
      </c>
      <c r="T15" s="420">
        <v>21.290760109052184927013901480</v>
      </c>
      <c r="U15" s="91">
        <v>-10.022729838061076954837917730</v>
      </c>
      <c r="V15" s="421">
        <v>-1.3113828906583219562766896500</v>
      </c>
      <c r="W15" s="420">
        <v>0</v>
      </c>
      <c r="X15" s="91">
        <v>-25.053500567249845830154354850</v>
      </c>
      <c r="Y15" s="421">
        <v>7.01170050165080574946523100</v>
      </c>
      <c r="Z15" s="420">
        <v>0.3437016670016442453848215600</v>
      </c>
      <c r="AA15" s="91">
        <v>4.4543213073458217922822245700</v>
      </c>
      <c r="AB15" s="421">
        <v>2.0370195366387931924388622400</v>
      </c>
    </row>
    <row r="16" ht="18" customHeight="1">
      <c r="A16" s="58"/>
      <c r="B16" s="1044" t="s">
        <v>75</v>
      </c>
      <c r="C16" s="1044"/>
      <c r="D16" s="430">
        <v>68.813136890940094601421832540</v>
      </c>
      <c r="E16" s="431">
        <v>65.780210894875247113455211750</v>
      </c>
      <c r="F16" s="432">
        <v>52.698277244105663587740506150</v>
      </c>
      <c r="G16" s="430">
        <v>12.153085951712954001283520730</v>
      </c>
      <c r="H16" s="431">
        <v>9.543308371628964478715788930</v>
      </c>
      <c r="I16" s="432">
        <v>13.327232693300989509492288180</v>
      </c>
      <c r="J16" s="430">
        <v>0</v>
      </c>
      <c r="K16" s="431">
        <v>0.6390641400822660628382162600</v>
      </c>
      <c r="L16" s="432">
        <v>7.3596547900713393016450000800</v>
      </c>
      <c r="M16" s="430">
        <v>81.57146174387553697898525485</v>
      </c>
      <c r="N16" s="431">
        <v>75.956648974641430494820353620</v>
      </c>
      <c r="O16" s="432">
        <v>73.385524911304999378287205470</v>
      </c>
      <c r="P16" s="5"/>
      <c r="Q16" s="430">
        <v>-1.1878559023285811069908142800</v>
      </c>
      <c r="R16" s="431">
        <v>9.572638798046197897025823510</v>
      </c>
      <c r="S16" s="432">
        <v>1.8012718347183577074462419200</v>
      </c>
      <c r="T16" s="430">
        <v>26.272080160555138750954950090</v>
      </c>
      <c r="U16" s="431">
        <v>1.940060703845399157352115500</v>
      </c>
      <c r="V16" s="432">
        <v>5.1783241440975581613123732500</v>
      </c>
      <c r="W16" s="430">
        <v>0</v>
      </c>
      <c r="X16" s="431">
        <v>-10.071891945399643426228400070</v>
      </c>
      <c r="Y16" s="432">
        <v>6.3688567076729330497041239100</v>
      </c>
      <c r="Z16" s="629">
        <v>1.9319060901476771034677178600</v>
      </c>
      <c r="AA16" s="214">
        <v>8.358079528547483785611313220</v>
      </c>
      <c r="AB16" s="630">
        <v>2.8438511281533893199281445800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78.714467450429899982453061990</v>
      </c>
      <c r="E18" s="480">
        <v>76.405540248715466527664010790</v>
      </c>
      <c r="F18" s="481">
        <v>63.969902928779919637920454220</v>
      </c>
      <c r="G18" s="479">
        <v>7.6329180557992630286015090400</v>
      </c>
      <c r="H18" s="480">
        <v>7.3627969320128081018690892900</v>
      </c>
      <c r="I18" s="481">
        <v>12.710070620011502506826558800</v>
      </c>
      <c r="J18" s="479">
        <v>0</v>
      </c>
      <c r="K18" s="480">
        <v>0.4821654628043785836622235500</v>
      </c>
      <c r="L18" s="481">
        <v>7.6047711349157123462505927700</v>
      </c>
      <c r="M18" s="479">
        <v>87.01923076923076923076923077</v>
      </c>
      <c r="N18" s="480">
        <v>84.24119442996500111698562812</v>
      </c>
      <c r="O18" s="481">
        <v>84.28364794398998432011279795</v>
      </c>
      <c r="P18" s="184"/>
      <c r="Q18" s="479">
        <v>-3.3171132947056732974563023500</v>
      </c>
      <c r="R18" s="480">
        <v>2.3481904247886375366005472100</v>
      </c>
      <c r="S18" s="481">
        <v>2.8374775919303044250344889400</v>
      </c>
      <c r="T18" s="479">
        <v>45.266077299376363110003984350</v>
      </c>
      <c r="U18" s="480">
        <v>-5.2028530686894369177788239900</v>
      </c>
      <c r="V18" s="481">
        <v>0.1559356174172539069509998600</v>
      </c>
      <c r="W18" s="479">
        <v>0</v>
      </c>
      <c r="X18" s="480">
        <v>-29.614987100595001545556040400</v>
      </c>
      <c r="Y18" s="481">
        <v>7.0951327438002961272098914400</v>
      </c>
      <c r="Z18" s="479">
        <v>-1.1256414500834501403133320200</v>
      </c>
      <c r="AA18" s="480">
        <v>1.3649267328981976212434219700</v>
      </c>
      <c r="AB18" s="481">
        <v>2.7897626158775326367964275300</v>
      </c>
    </row>
    <row r="19" ht="18" customHeight="1">
      <c r="A19" s="58"/>
      <c r="B19" s="1046" t="s">
        <v>51</v>
      </c>
      <c r="C19" s="1046"/>
      <c r="D19" s="271">
        <v>81.09975434286716967889103357</v>
      </c>
      <c r="E19" s="92">
        <v>78.410529451187728051232407550</v>
      </c>
      <c r="F19" s="272">
        <v>65.765350386414639407994130480</v>
      </c>
      <c r="G19" s="271">
        <v>5.7391448260460367847628770600</v>
      </c>
      <c r="H19" s="92">
        <v>7.951076029488420582321840800</v>
      </c>
      <c r="I19" s="272">
        <v>11.434289540730338531317063840</v>
      </c>
      <c r="J19" s="271">
        <v>0</v>
      </c>
      <c r="K19" s="92">
        <v>0.4989202472261523568396753300</v>
      </c>
      <c r="L19" s="272">
        <v>7.6004359425279544631444253100</v>
      </c>
      <c r="M19" s="271">
        <v>87.51456876456876456876456876</v>
      </c>
      <c r="N19" s="92">
        <v>86.84749422890758805570034999</v>
      </c>
      <c r="O19" s="272">
        <v>84.80039552120860907024148677</v>
      </c>
      <c r="P19" s="5"/>
      <c r="Q19" s="271">
        <v>-3.8625837140470995419193035400</v>
      </c>
      <c r="R19" s="92">
        <v>0.5151189571916007956796050600</v>
      </c>
      <c r="S19" s="272">
        <v>0.3087338672043285887686304500</v>
      </c>
      <c r="T19" s="271">
        <v>42.772264363996321415524087180</v>
      </c>
      <c r="U19" s="92">
        <v>4.5061601449182728884015121600</v>
      </c>
      <c r="V19" s="272">
        <v>1.887956506985450246568211400</v>
      </c>
      <c r="W19" s="271">
        <v>0</v>
      </c>
      <c r="X19" s="92">
        <v>-8.775042783403604608522139670</v>
      </c>
      <c r="Y19" s="272">
        <v>5.0730219414725583508314810600</v>
      </c>
      <c r="Z19" s="271">
        <v>-2.4204028589833722816897100800</v>
      </c>
      <c r="AA19" s="92">
        <v>0.7883965345707429011876973600</v>
      </c>
      <c r="AB19" s="272">
        <v>0.9298964417186051953503926400</v>
      </c>
    </row>
    <row r="20" ht="18" customHeight="1">
      <c r="A20" s="58"/>
      <c r="B20" s="1047" t="s">
        <v>76</v>
      </c>
      <c r="C20" s="1047"/>
      <c r="D20" s="273">
        <v>79.90711089664853483067204776</v>
      </c>
      <c r="E20" s="274">
        <v>77.408034849951597289448209160</v>
      </c>
      <c r="F20" s="275">
        <v>64.867535716508196057776437500</v>
      </c>
      <c r="G20" s="273">
        <v>6.6860314409226499066821930500</v>
      </c>
      <c r="H20" s="274">
        <v>7.6569364807506143420954650400</v>
      </c>
      <c r="I20" s="275">
        <v>12.072244699873033240832240160</v>
      </c>
      <c r="J20" s="273">
        <v>0</v>
      </c>
      <c r="K20" s="274">
        <v>0.4905428550152654702509494400</v>
      </c>
      <c r="L20" s="275">
        <v>7.6026037583033730663602620800</v>
      </c>
      <c r="M20" s="273">
        <v>87.26689976689976689976689977</v>
      </c>
      <c r="N20" s="274">
        <v>85.54434432943629458634298905</v>
      </c>
      <c r="O20" s="275">
        <v>84.54199555894127753375366712</v>
      </c>
      <c r="P20" s="184"/>
      <c r="Q20" s="273">
        <v>-3.5946905167876193595529289700</v>
      </c>
      <c r="R20" s="274">
        <v>1.4115053837258728615681270300</v>
      </c>
      <c r="S20" s="275">
        <v>1.5397322815235825308711953800</v>
      </c>
      <c r="T20" s="273">
        <v>44.185167667937044569168988080</v>
      </c>
      <c r="U20" s="274">
        <v>-0.3984415275840719955034177800</v>
      </c>
      <c r="V20" s="275">
        <v>0.9693269867094851267947317700</v>
      </c>
      <c r="W20" s="273">
        <v>0</v>
      </c>
      <c r="X20" s="274">
        <v>-20.363314843900558588831372360</v>
      </c>
      <c r="Y20" s="275">
        <v>6.0747325806972981533345832700</v>
      </c>
      <c r="Z20" s="273">
        <v>-1.7791260145818987352212400200</v>
      </c>
      <c r="AA20" s="274">
        <v>1.0714484234965003033466224100</v>
      </c>
      <c r="AB20" s="275">
        <v>1.8484664322453372560517275500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72.498962224989622249896222500</v>
      </c>
      <c r="E22" s="469">
        <v>69.023326128180986354413929370</v>
      </c>
      <c r="F22" s="470">
        <v>56.140488363809661806201520700</v>
      </c>
      <c r="G22" s="468">
        <v>10.695309256953092569530925700</v>
      </c>
      <c r="H22" s="469">
        <v>9.041095890410958904109589040</v>
      </c>
      <c r="I22" s="470">
        <v>12.968025503237618783489073170</v>
      </c>
      <c r="J22" s="468">
        <v>0</v>
      </c>
      <c r="K22" s="469">
        <v>0.6182285934039703483669058100</v>
      </c>
      <c r="L22" s="470">
        <v>7.4561840819834676392487153500</v>
      </c>
      <c r="M22" s="468">
        <v>83.19427148194271481942714819</v>
      </c>
      <c r="N22" s="469">
        <v>78.682650611995915606890424220</v>
      </c>
      <c r="O22" s="470">
        <v>76.564697949030748228939309220</v>
      </c>
      <c r="P22" s="184"/>
      <c r="Q22" s="468">
        <v>-2.1519202421659467006937510100</v>
      </c>
      <c r="R22" s="469">
        <v>6.659983948398275451701813400</v>
      </c>
      <c r="S22" s="470">
        <v>1.7149228502609963775613961300</v>
      </c>
      <c r="T22" s="468">
        <v>27.206248356256662876345087420</v>
      </c>
      <c r="U22" s="469">
        <v>2.3035823504268050848100120800</v>
      </c>
      <c r="V22" s="470">
        <v>3.9851008827575301722436677600</v>
      </c>
      <c r="W22" s="468">
        <v>0</v>
      </c>
      <c r="X22" s="469">
        <v>-9.146013656789353981895027630</v>
      </c>
      <c r="Y22" s="470">
        <v>6.461532698427807177098667800</v>
      </c>
      <c r="Z22" s="468">
        <v>0.8400231781380110902781393600</v>
      </c>
      <c r="AA22" s="469">
        <v>5.9964483049966511991797106300</v>
      </c>
      <c r="AB22" s="470">
        <v>2.5392989296915376627600293100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208.55122340626022297824236213</v>
      </c>
      <c r="E25" s="455">
        <v>220.8972605385536621915571833</v>
      </c>
      <c r="F25" s="456">
        <v>215.08131451197389209330355745</v>
      </c>
      <c r="G25" s="454">
        <v>263.11024394620780626656685383</v>
      </c>
      <c r="H25" s="455">
        <v>253.74688794276565102077975609</v>
      </c>
      <c r="I25" s="456">
        <v>260.41171340760512967558066405</v>
      </c>
      <c r="J25" s="454">
        <v>0</v>
      </c>
      <c r="K25" s="455">
        <v>169.68551703529749551275799141</v>
      </c>
      <c r="L25" s="456">
        <v>155.72803363603209931738224701</v>
      </c>
      <c r="M25" s="454">
        <v>214.26905387654412036982990518</v>
      </c>
      <c r="N25" s="455">
        <v>224.09060326567112916020020028</v>
      </c>
      <c r="O25" s="456">
        <v>214.95343336946082790808263619</v>
      </c>
      <c r="P25" s="5"/>
      <c r="Q25" s="427">
        <v>-2.9525131657275270335261107600</v>
      </c>
      <c r="R25" s="428">
        <v>0.103664180243640803916001500</v>
      </c>
      <c r="S25" s="429">
        <v>-1.5092282857990068096180256600</v>
      </c>
      <c r="T25" s="427">
        <v>-21.737518590781208707736437940</v>
      </c>
      <c r="U25" s="428">
        <v>-9.036878563279917893512561680</v>
      </c>
      <c r="V25" s="429">
        <v>-2.5855993504388645263959116900</v>
      </c>
      <c r="W25" s="427">
        <v>0</v>
      </c>
      <c r="X25" s="428">
        <v>1.276259228729836164814880500</v>
      </c>
      <c r="Y25" s="429">
        <v>8.968874657438680892975511570</v>
      </c>
      <c r="Z25" s="427">
        <v>-3.5908756360788728393800056200</v>
      </c>
      <c r="AA25" s="428">
        <v>-0.7418762312506134575565195400</v>
      </c>
      <c r="AB25" s="429">
        <v>-0.8800708538616912440669919400</v>
      </c>
    </row>
    <row r="26" ht="18" customHeight="1">
      <c r="A26" s="58"/>
      <c r="B26" s="1043" t="s">
        <v>46</v>
      </c>
      <c r="C26" s="1043"/>
      <c r="D26" s="439">
        <v>200.4259714303717978758951368</v>
      </c>
      <c r="E26" s="95">
        <v>212.10282941443672615341743984</v>
      </c>
      <c r="F26" s="440">
        <v>213.2779366350579048291721882</v>
      </c>
      <c r="G26" s="439">
        <v>248.83159186190792904034514614</v>
      </c>
      <c r="H26" s="95">
        <v>245.21754043577595420697775407</v>
      </c>
      <c r="I26" s="440">
        <v>260.92384572920377977085403445</v>
      </c>
      <c r="J26" s="439">
        <v>0</v>
      </c>
      <c r="K26" s="95">
        <v>169.50456150084781384560133132</v>
      </c>
      <c r="L26" s="440">
        <v>156.07547302372009135034179079</v>
      </c>
      <c r="M26" s="439">
        <v>208.34447548632665629511166167</v>
      </c>
      <c r="N26" s="95">
        <v>216.29943425018321834597562426</v>
      </c>
      <c r="O26" s="440">
        <v>216.2103783172872739112778565</v>
      </c>
      <c r="P26" s="5"/>
      <c r="Q26" s="420">
        <v>-1.6069780962130503632582577700</v>
      </c>
      <c r="R26" s="91">
        <v>1.6626029620765073049513158900</v>
      </c>
      <c r="S26" s="421">
        <v>0.5767360650341110383508909100</v>
      </c>
      <c r="T26" s="420">
        <v>-2.7868168033483417387711383600</v>
      </c>
      <c r="U26" s="91">
        <v>-7.7504373218687797232865796800</v>
      </c>
      <c r="V26" s="421">
        <v>0.1299837708862207130509618300</v>
      </c>
      <c r="W26" s="420">
        <v>0</v>
      </c>
      <c r="X26" s="91">
        <v>2.5267591148345553605269175800</v>
      </c>
      <c r="Y26" s="421">
        <v>5.7297144456869519032037286700</v>
      </c>
      <c r="Z26" s="420">
        <v>-0.3280030286925984046985697500</v>
      </c>
      <c r="AA26" s="91">
        <v>0.1444041620922289310511820800</v>
      </c>
      <c r="AB26" s="421">
        <v>0.999181617452339056693956100</v>
      </c>
    </row>
    <row r="27" ht="18" customHeight="1">
      <c r="A27" s="58"/>
      <c r="B27" s="1043" t="s">
        <v>47</v>
      </c>
      <c r="C27" s="1043"/>
      <c r="D27" s="439">
        <v>203.75602159982374446872513362</v>
      </c>
      <c r="E27" s="95">
        <v>221.69125652143347257482580272</v>
      </c>
      <c r="F27" s="440">
        <v>224.03069320228326482241295909</v>
      </c>
      <c r="G27" s="439">
        <v>252.64063881533851027231376895</v>
      </c>
      <c r="H27" s="95">
        <v>254.42127896229957118852607326</v>
      </c>
      <c r="I27" s="440">
        <v>260.9560917116289289160192868</v>
      </c>
      <c r="J27" s="439">
        <v>0</v>
      </c>
      <c r="K27" s="95">
        <v>176.3214849927808854465825141</v>
      </c>
      <c r="L27" s="440">
        <v>151.67678068209469250313205506</v>
      </c>
      <c r="M27" s="439">
        <v>211.54015585788148488603565835</v>
      </c>
      <c r="N27" s="95">
        <v>226.17660724302680874816840633</v>
      </c>
      <c r="O27" s="440">
        <v>224.4321735902906216603483119</v>
      </c>
      <c r="P27" s="93"/>
      <c r="Q27" s="420">
        <v>-2.123757093114639628272719900</v>
      </c>
      <c r="R27" s="91">
        <v>2.6033546020224257250784335400</v>
      </c>
      <c r="S27" s="421">
        <v>2.4678080064586600236056140400</v>
      </c>
      <c r="T27" s="420">
        <v>1.8705860471733916096162196900</v>
      </c>
      <c r="U27" s="91">
        <v>-8.206637579418708510839620210</v>
      </c>
      <c r="V27" s="421">
        <v>0.2106216466154461012438735400</v>
      </c>
      <c r="W27" s="420">
        <v>0</v>
      </c>
      <c r="X27" s="91">
        <v>4.0223354173571261753546194700</v>
      </c>
      <c r="Y27" s="421">
        <v>5.9874197868637200444279927300</v>
      </c>
      <c r="Z27" s="420">
        <v>-0.7231617968372048912111309400</v>
      </c>
      <c r="AA27" s="91">
        <v>0.2146576276716159585746910900</v>
      </c>
      <c r="AB27" s="421">
        <v>2.100786970719002210251307600</v>
      </c>
    </row>
    <row r="28" ht="18" customHeight="1">
      <c r="A28" s="58"/>
      <c r="B28" s="1043" t="s">
        <v>48</v>
      </c>
      <c r="C28" s="1043"/>
      <c r="D28" s="439">
        <v>202.63507669531122562798379441</v>
      </c>
      <c r="E28" s="95">
        <v>214.83137860346375885046001475</v>
      </c>
      <c r="F28" s="440">
        <v>220.88170963170823241576380979</v>
      </c>
      <c r="G28" s="439">
        <v>255.2409955505847833547125655</v>
      </c>
      <c r="H28" s="95">
        <v>264.20382469377569990434060914</v>
      </c>
      <c r="I28" s="440">
        <v>260.05919639672659844909483475</v>
      </c>
      <c r="J28" s="439">
        <v>0</v>
      </c>
      <c r="K28" s="95">
        <v>208.62007159024501621643782826</v>
      </c>
      <c r="L28" s="440">
        <v>152.15419472819104973120369151</v>
      </c>
      <c r="M28" s="439">
        <v>211.4489240061526330869404589</v>
      </c>
      <c r="N28" s="95">
        <v>221.34192811983071905629458068</v>
      </c>
      <c r="O28" s="440">
        <v>222.20343963216174078949018732</v>
      </c>
      <c r="P28" s="5"/>
      <c r="Q28" s="420">
        <v>-4.4358056549629552770911452700</v>
      </c>
      <c r="R28" s="91">
        <v>-3.5278070556611369269351845100</v>
      </c>
      <c r="S28" s="421">
        <v>-0.2058487897219828780121075400</v>
      </c>
      <c r="T28" s="420">
        <v>-8.471265532246546230930367020</v>
      </c>
      <c r="U28" s="91">
        <v>-5.7927655629054132591659266300</v>
      </c>
      <c r="V28" s="421">
        <v>1.9017670651212257060101338600</v>
      </c>
      <c r="W28" s="420">
        <v>0</v>
      </c>
      <c r="X28" s="91">
        <v>25.009588409282492220786382850</v>
      </c>
      <c r="Y28" s="421">
        <v>5.2134602970888175752987668200</v>
      </c>
      <c r="Z28" s="420">
        <v>-4.3206450209099001326888205300</v>
      </c>
      <c r="AA28" s="91">
        <v>-4.3674151426753000750768576300</v>
      </c>
      <c r="AB28" s="421">
        <v>0.5921297002719597646326050400</v>
      </c>
    </row>
    <row r="29" ht="18" customHeight="1">
      <c r="A29" s="58"/>
      <c r="B29" s="1043" t="s">
        <v>49</v>
      </c>
      <c r="C29" s="1043"/>
      <c r="D29" s="439">
        <v>215.39515477522905457384645689</v>
      </c>
      <c r="E29" s="95">
        <v>221.57707769855952545640388539</v>
      </c>
      <c r="F29" s="440">
        <v>225.32738424938515954475165808</v>
      </c>
      <c r="G29" s="439">
        <v>267.99713193507302131185390254</v>
      </c>
      <c r="H29" s="95">
        <v>276.37002225067005734645112189</v>
      </c>
      <c r="I29" s="440">
        <v>256.83359342303994606216113291</v>
      </c>
      <c r="J29" s="439">
        <v>0</v>
      </c>
      <c r="K29" s="95">
        <v>209.99773007495629060313741369</v>
      </c>
      <c r="L29" s="440">
        <v>154.27771981970578947666736267</v>
      </c>
      <c r="M29" s="439">
        <v>221.60590268324215938318314468</v>
      </c>
      <c r="N29" s="95">
        <v>226.97716378101304370397231403</v>
      </c>
      <c r="O29" s="440">
        <v>223.98767389874037156542067762</v>
      </c>
      <c r="P29" s="93"/>
      <c r="Q29" s="420">
        <v>-6.6178781746201189572285699600</v>
      </c>
      <c r="R29" s="91">
        <v>-6.0610435544417614624271695700</v>
      </c>
      <c r="S29" s="421">
        <v>-1.5100751858758656929781011700</v>
      </c>
      <c r="T29" s="420">
        <v>-19.339830136862302251487358420</v>
      </c>
      <c r="U29" s="91">
        <v>-7.1863382066475169555457754300</v>
      </c>
      <c r="V29" s="421">
        <v>1.0355697475343114598146353900</v>
      </c>
      <c r="W29" s="420">
        <v>0</v>
      </c>
      <c r="X29" s="91">
        <v>22.858360670672744343185306770</v>
      </c>
      <c r="Y29" s="421">
        <v>5.3049902956165166314483079200</v>
      </c>
      <c r="Z29" s="420">
        <v>-7.6589659313349273698632664900</v>
      </c>
      <c r="AA29" s="91">
        <v>-6.3693692187576223049564896500</v>
      </c>
      <c r="AB29" s="421">
        <v>-0.8182367083862526083155688400</v>
      </c>
    </row>
    <row r="30" ht="18" customHeight="1">
      <c r="A30" s="58"/>
      <c r="B30" s="1044" t="s">
        <v>75</v>
      </c>
      <c r="C30" s="1044"/>
      <c r="D30" s="457">
        <v>206.33735983326603800847867621</v>
      </c>
      <c r="E30" s="458">
        <v>218.33639954047497110515671071</v>
      </c>
      <c r="F30" s="459">
        <v>219.83636721981833144235893993</v>
      </c>
      <c r="G30" s="457">
        <v>256.72807309235736425066091143</v>
      </c>
      <c r="H30" s="458">
        <v>258.01060139267083783364037941</v>
      </c>
      <c r="I30" s="459">
        <v>259.83681752781920236611470074</v>
      </c>
      <c r="J30" s="457">
        <v>0</v>
      </c>
      <c r="K30" s="458">
        <v>184.56268779713099885442554937</v>
      </c>
      <c r="L30" s="459">
        <v>153.96871990345846299156316585</v>
      </c>
      <c r="M30" s="457">
        <v>213.53887832709019468862117735</v>
      </c>
      <c r="N30" s="458">
        <v>223.05402837169083517145693924</v>
      </c>
      <c r="O30" s="459">
        <v>220.49303588551424095601034817</v>
      </c>
      <c r="P30" s="5"/>
      <c r="Q30" s="430">
        <v>-3.7247185025584330267555462700</v>
      </c>
      <c r="R30" s="431">
        <v>-1.3318574606813509532459589500</v>
      </c>
      <c r="S30" s="432">
        <v>-0.0901030611178451056851749800</v>
      </c>
      <c r="T30" s="430">
        <v>-9.136879709412343029605617760</v>
      </c>
      <c r="U30" s="431">
        <v>-7.790028201089741973364438700</v>
      </c>
      <c r="V30" s="432">
        <v>0.3817577269500628764363102900</v>
      </c>
      <c r="W30" s="430">
        <v>0</v>
      </c>
      <c r="X30" s="431">
        <v>9.916992383063672673770524860</v>
      </c>
      <c r="Y30" s="432">
        <v>6.22510428538024723023834200</v>
      </c>
      <c r="Z30" s="430">
        <v>-3.5523586526201707331423589500</v>
      </c>
      <c r="AA30" s="431">
        <v>-2.4219160091917717988125191100</v>
      </c>
      <c r="AB30" s="432">
        <v>0.3863106497848958699730543300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275.27789059634222612814326371</v>
      </c>
      <c r="E32" s="494">
        <v>272.95593778296699096280171792</v>
      </c>
      <c r="F32" s="495">
        <v>257.20738314526565023225135817</v>
      </c>
      <c r="G32" s="493">
        <v>324.08872343441639043653662267</v>
      </c>
      <c r="H32" s="494">
        <v>290.66155835043696933907819267</v>
      </c>
      <c r="I32" s="495">
        <v>255.97761400006159731090296026</v>
      </c>
      <c r="J32" s="493">
        <v>0</v>
      </c>
      <c r="K32" s="494">
        <v>187.35444283346209397616793392</v>
      </c>
      <c r="L32" s="495">
        <v>154.32168703949970436227684672</v>
      </c>
      <c r="M32" s="493">
        <v>279.592660349984141205128312</v>
      </c>
      <c r="N32" s="494">
        <v>274.04364240477284787454840457</v>
      </c>
      <c r="O32" s="495">
        <v>247.74123509252179724556853309</v>
      </c>
      <c r="P32" s="93"/>
      <c r="Q32" s="479">
        <v>-8.351394697703643304086895170</v>
      </c>
      <c r="R32" s="480">
        <v>-4.4287580345063704176589128700</v>
      </c>
      <c r="S32" s="481">
        <v>-1.1264964479512319238105057300</v>
      </c>
      <c r="T32" s="479">
        <v>-20.22051257200945611227378400</v>
      </c>
      <c r="U32" s="480">
        <v>-12.466923841496959209706572990</v>
      </c>
      <c r="V32" s="481">
        <v>1.5705150595918645724177279100</v>
      </c>
      <c r="W32" s="479">
        <v>0</v>
      </c>
      <c r="X32" s="480">
        <v>6.297514203457045523242745800</v>
      </c>
      <c r="Y32" s="481">
        <v>3.6168889230805816765524690200</v>
      </c>
      <c r="Z32" s="479">
        <v>-8.801989955753863086820320210</v>
      </c>
      <c r="AA32" s="480">
        <v>-5.1899397391493087238890931900</v>
      </c>
      <c r="AB32" s="481">
        <v>-0.6055017430952378467251151100</v>
      </c>
    </row>
    <row r="33" ht="18" customHeight="1">
      <c r="A33" s="58"/>
      <c r="B33" s="1046" t="s">
        <v>51</v>
      </c>
      <c r="C33" s="1046"/>
      <c r="D33" s="276">
        <v>277.98257951933723445575899476</v>
      </c>
      <c r="E33" s="94">
        <v>277.329930152438431220621158</v>
      </c>
      <c r="F33" s="277">
        <v>259.54649004262433499054654378</v>
      </c>
      <c r="G33" s="276">
        <v>325.87070780817908803687578008</v>
      </c>
      <c r="H33" s="94">
        <v>283.34397899162763759370772672</v>
      </c>
      <c r="I33" s="277">
        <v>260.01475109494495541955155034</v>
      </c>
      <c r="J33" s="276">
        <v>0</v>
      </c>
      <c r="K33" s="94">
        <v>178.84921256579660733354770731</v>
      </c>
      <c r="L33" s="277">
        <v>154.02822536745575792218819546</v>
      </c>
      <c r="M33" s="276">
        <v>281.14748495144481159438116283</v>
      </c>
      <c r="N33" s="94">
        <v>277.35639217447491834064562472</v>
      </c>
      <c r="O33" s="277">
        <v>250.15047676703798079422741372</v>
      </c>
      <c r="P33" s="5"/>
      <c r="Q33" s="271">
        <v>-7.7902665385465379963243985500</v>
      </c>
      <c r="R33" s="92">
        <v>-3.5426836159894183118802882100</v>
      </c>
      <c r="S33" s="272">
        <v>-1.5728942945684478161423315500</v>
      </c>
      <c r="T33" s="271">
        <v>-20.957939753538015061254051360</v>
      </c>
      <c r="U33" s="92">
        <v>-11.966689986194640406083388330</v>
      </c>
      <c r="V33" s="272">
        <v>3.1646527184820690066582826100</v>
      </c>
      <c r="W33" s="271">
        <v>0</v>
      </c>
      <c r="X33" s="92">
        <v>2.3960459600383569617397433800</v>
      </c>
      <c r="Y33" s="272">
        <v>5.9794816190629465726697159600</v>
      </c>
      <c r="Z33" s="271">
        <v>-8.273920921153196431023112280</v>
      </c>
      <c r="AA33" s="92">
        <v>-4.3023476080653012491108114300</v>
      </c>
      <c r="AB33" s="272">
        <v>-0.712776879180240884309808400</v>
      </c>
    </row>
    <row r="34" ht="18" customHeight="1">
      <c r="A34" s="58"/>
      <c r="B34" s="1047" t="s">
        <v>76</v>
      </c>
      <c r="C34" s="1047"/>
      <c r="D34" s="443">
        <v>276.65041930353372289141094813</v>
      </c>
      <c r="E34" s="444">
        <v>275.1712572790020024732344568</v>
      </c>
      <c r="F34" s="445">
        <v>258.39300396089910937597109381</v>
      </c>
      <c r="G34" s="443">
        <v>324.85353186293940767689840156</v>
      </c>
      <c r="H34" s="444">
        <v>286.86221706166057061740578079</v>
      </c>
      <c r="I34" s="445">
        <v>257.88931805055511319504548307</v>
      </c>
      <c r="J34" s="443">
        <v>0</v>
      </c>
      <c r="K34" s="444">
        <v>183.02920239373846889035726843</v>
      </c>
      <c r="L34" s="445">
        <v>154.1750129023577247094137132</v>
      </c>
      <c r="M34" s="633">
        <v>280.37227899614225865322863546</v>
      </c>
      <c r="N34" s="634">
        <v>275.72524987257954728602912773</v>
      </c>
      <c r="O34" s="635">
        <v>248.94941541274533714251557023</v>
      </c>
      <c r="P34" s="93"/>
      <c r="Q34" s="273">
        <v>-8.066605443877181176767124210</v>
      </c>
      <c r="R34" s="274">
        <v>-3.981398258499480473062050600</v>
      </c>
      <c r="S34" s="275">
        <v>-1.362676280768108796636681300</v>
      </c>
      <c r="T34" s="273">
        <v>-20.544668885288292815587375940</v>
      </c>
      <c r="U34" s="274">
        <v>-12.277814292875902831806687650</v>
      </c>
      <c r="V34" s="275">
        <v>2.3254489982993824690293944400</v>
      </c>
      <c r="W34" s="273">
        <v>0</v>
      </c>
      <c r="X34" s="274">
        <v>4.2612443087214500064355625700</v>
      </c>
      <c r="Y34" s="275">
        <v>4.7956275345114540214536899100</v>
      </c>
      <c r="Z34" s="273">
        <v>-8.537167469317439655003484900</v>
      </c>
      <c r="AA34" s="274">
        <v>-4.7391509379620517465394872800</v>
      </c>
      <c r="AB34" s="275">
        <v>-0.6645181373899052179831586400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228.02922988834812482107071285</v>
      </c>
      <c r="E36" s="483">
        <v>236.53756004437288634208424113</v>
      </c>
      <c r="F36" s="484">
        <v>232.28305438652149879212616043</v>
      </c>
      <c r="G36" s="482">
        <v>270.6931884339219871919270328</v>
      </c>
      <c r="H36" s="483">
        <v>264.86050862037651631353737211</v>
      </c>
      <c r="I36" s="484">
        <v>260.09649949329637268121729302</v>
      </c>
      <c r="J36" s="482">
        <v>0</v>
      </c>
      <c r="K36" s="483">
        <v>184.9935596962615348548875381</v>
      </c>
      <c r="L36" s="484">
        <v>154.79298713625720590424069612</v>
      </c>
      <c r="M36" s="482">
        <v>233.51403338073497492702642018</v>
      </c>
      <c r="N36" s="483">
        <v>239.38703851767458008757234494</v>
      </c>
      <c r="O36" s="484">
        <v>229.44761264533924712959817579</v>
      </c>
      <c r="P36" s="93"/>
      <c r="Q36" s="468">
        <v>-5.6664897335547398419810357900</v>
      </c>
      <c r="R36" s="469">
        <v>-2.7738629475408763744346557100</v>
      </c>
      <c r="S36" s="470">
        <v>-0.5770287992142894277771825600</v>
      </c>
      <c r="T36" s="468">
        <v>-9.399053956639601965077570400</v>
      </c>
      <c r="U36" s="469">
        <v>-9.076963320311486131612589710</v>
      </c>
      <c r="V36" s="470">
        <v>0.8878341568110717999805958800</v>
      </c>
      <c r="W36" s="468">
        <v>0</v>
      </c>
      <c r="X36" s="469">
        <v>11.403932808701208078891417550</v>
      </c>
      <c r="Y36" s="470">
        <v>6.1581325160764521943593138500</v>
      </c>
      <c r="Z36" s="468">
        <v>-5.6663583245345749399431431500</v>
      </c>
      <c r="AA36" s="469">
        <v>-3.5874578882636832650069313200</v>
      </c>
      <c r="AB36" s="470">
        <v>0.0067530178874596764998538800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151.4292242041245781599065533</v>
      </c>
      <c r="E39" s="455">
        <v>153.41001385789605272276492535</v>
      </c>
      <c r="F39" s="456">
        <v>116.87747958920893563818440864</v>
      </c>
      <c r="G39" s="454">
        <v>23.613993706380365941837112531</v>
      </c>
      <c r="H39" s="455">
        <v>22.561157510139413755217144169</v>
      </c>
      <c r="I39" s="456">
        <v>24.725738456258643646411828098</v>
      </c>
      <c r="J39" s="454">
        <v>0</v>
      </c>
      <c r="K39" s="455">
        <v>1.3330718629253023886064463556</v>
      </c>
      <c r="L39" s="456">
        <v>11.524928801442415985231822367</v>
      </c>
      <c r="M39" s="454">
        <v>175.93537116086868624772164126</v>
      </c>
      <c r="N39" s="455">
        <v>177.30424323096076886658851575</v>
      </c>
      <c r="O39" s="456">
        <v>153.12749625141991964415194796</v>
      </c>
      <c r="P39" s="5"/>
      <c r="Q39" s="427">
        <v>-8.179274397120947974331836430</v>
      </c>
      <c r="R39" s="428">
        <v>5.6554908789992696154813075600</v>
      </c>
      <c r="S39" s="429">
        <v>-0.7972376158380995344632195100</v>
      </c>
      <c r="T39" s="427">
        <v>41.812181414943331719629721890</v>
      </c>
      <c r="U39" s="428">
        <v>13.337040959705333629395562720</v>
      </c>
      <c r="V39" s="429">
        <v>6.2563588492551979958051441500</v>
      </c>
      <c r="W39" s="427">
        <v>0</v>
      </c>
      <c r="X39" s="428">
        <v>0.0591935636057536469961871600</v>
      </c>
      <c r="Y39" s="429">
        <v>14.518297194879290188980402480</v>
      </c>
      <c r="Z39" s="427">
        <v>-4.2365483054108467917743764100</v>
      </c>
      <c r="AA39" s="428">
        <v>6.526408979363885089781107800</v>
      </c>
      <c r="AB39" s="429">
        <v>1.3081905345203456131395545500</v>
      </c>
    </row>
    <row r="40" ht="18" customHeight="1">
      <c r="A40" s="58"/>
      <c r="B40" s="1043" t="s">
        <v>46</v>
      </c>
      <c r="C40" s="1043"/>
      <c r="D40" s="439">
        <v>132.26966225393178260871903362</v>
      </c>
      <c r="E40" s="95">
        <v>131.69360277441160344531942922</v>
      </c>
      <c r="F40" s="440">
        <v>104.78566235689253920363801128</v>
      </c>
      <c r="G40" s="439">
        <v>32.117228591088440601221462156</v>
      </c>
      <c r="H40" s="95">
        <v>24.998347818644521655324487722</v>
      </c>
      <c r="I40" s="440">
        <v>33.829311893484331439572059613</v>
      </c>
      <c r="J40" s="439">
        <v>0</v>
      </c>
      <c r="K40" s="95">
        <v>1.2401387420849130769476752414</v>
      </c>
      <c r="L40" s="440">
        <v>11.303426773028486714435205727</v>
      </c>
      <c r="M40" s="439">
        <v>165.88032612656981011841276675</v>
      </c>
      <c r="N40" s="95">
        <v>157.93208933514103817759159206</v>
      </c>
      <c r="O40" s="440">
        <v>149.91776422000330923261375839</v>
      </c>
      <c r="P40" s="5"/>
      <c r="Q40" s="420">
        <v>-1.5627653527060387563986038500</v>
      </c>
      <c r="R40" s="91">
        <v>13.279288612643008105853100960</v>
      </c>
      <c r="S40" s="421">
        <v>2.3746678975954626727281827500</v>
      </c>
      <c r="T40" s="420">
        <v>31.056671601159457893274589820</v>
      </c>
      <c r="U40" s="91">
        <v>3.7860247651159586801405188300</v>
      </c>
      <c r="V40" s="421">
        <v>9.510231513877958283677686900</v>
      </c>
      <c r="W40" s="420">
        <v>0</v>
      </c>
      <c r="X40" s="91">
        <v>-13.947470580972394343412680400</v>
      </c>
      <c r="Y40" s="421">
        <v>12.131088703031443054919758120</v>
      </c>
      <c r="Z40" s="420">
        <v>4.2009397477432544990196756500</v>
      </c>
      <c r="AA40" s="91">
        <v>11.386714810497144537735804480</v>
      </c>
      <c r="AB40" s="421">
        <v>4.5985690791178973701334142700</v>
      </c>
    </row>
    <row r="41" ht="18" customHeight="1">
      <c r="A41" s="58"/>
      <c r="B41" s="1043" t="s">
        <v>47</v>
      </c>
      <c r="C41" s="1043"/>
      <c r="D41" s="439">
        <v>132.64023987612977447939806142</v>
      </c>
      <c r="E41" s="95">
        <v>137.74193324899177427926150816</v>
      </c>
      <c r="F41" s="440">
        <v>113.75840019690057531934171393</v>
      </c>
      <c r="G41" s="439">
        <v>35.757666985322161123769262807</v>
      </c>
      <c r="H41" s="95">
        <v>27.627509870189392336411359495</v>
      </c>
      <c r="I41" s="440">
        <v>39.889600245784686121905745652</v>
      </c>
      <c r="J41" s="439">
        <v>0</v>
      </c>
      <c r="K41" s="95">
        <v>1.0208500601823452113688130526</v>
      </c>
      <c r="L41" s="440">
        <v>11.208517967778221841148585618</v>
      </c>
      <c r="M41" s="439">
        <v>168.54794760879280898043837638</v>
      </c>
      <c r="N41" s="95">
        <v>166.39029317936351182704168056</v>
      </c>
      <c r="O41" s="440">
        <v>164.85581813789403435714397748</v>
      </c>
      <c r="P41" s="93"/>
      <c r="Q41" s="420">
        <v>-0.6704344933390687044349848900</v>
      </c>
      <c r="R41" s="91">
        <v>16.019240149554850820955182840</v>
      </c>
      <c r="S41" s="421">
        <v>5.2216940025427144893819071400</v>
      </c>
      <c r="T41" s="420">
        <v>20.006949527495092116540063750</v>
      </c>
      <c r="U41" s="91">
        <v>-8.473652872780486552810224880</v>
      </c>
      <c r="V41" s="421">
        <v>7.4716459967970266081121470500</v>
      </c>
      <c r="W41" s="420">
        <v>0</v>
      </c>
      <c r="X41" s="91">
        <v>-2.121225090979939984975394400</v>
      </c>
      <c r="Y41" s="421">
        <v>15.462467762969919411522375700</v>
      </c>
      <c r="Z41" s="420">
        <v>2.8599030992468988901296616600</v>
      </c>
      <c r="AA41" s="91">
        <v>10.959556315117674827108918570</v>
      </c>
      <c r="AB41" s="421">
        <v>6.4020860243150070710350374600</v>
      </c>
    </row>
    <row r="42" ht="18" customHeight="1">
      <c r="A42" s="58"/>
      <c r="B42" s="1043" t="s">
        <v>48</v>
      </c>
      <c r="C42" s="1043"/>
      <c r="D42" s="439">
        <v>136.08134156637165380883418861</v>
      </c>
      <c r="E42" s="95">
        <v>137.98116124883010860869743677</v>
      </c>
      <c r="F42" s="440">
        <v>115.84587358583310683506190777</v>
      </c>
      <c r="G42" s="439">
        <v>34.498834239928469750505539367</v>
      </c>
      <c r="H42" s="95">
        <v>26.068586841691653379664431713</v>
      </c>
      <c r="I42" s="440">
        <v>40.22578928133682063560724209</v>
      </c>
      <c r="J42" s="439">
        <v>0</v>
      </c>
      <c r="K42" s="95">
        <v>1.1774388960782061774804889403</v>
      </c>
      <c r="L42" s="440">
        <v>11.212080638691658550905597653</v>
      </c>
      <c r="M42" s="439">
        <v>172.09693729145698867882203731</v>
      </c>
      <c r="N42" s="95">
        <v>165.22718698659996816584235727</v>
      </c>
      <c r="O42" s="440">
        <v>167.28318553310815390294237532</v>
      </c>
      <c r="P42" s="5"/>
      <c r="Q42" s="420">
        <v>-3.5724018180352636449347322100</v>
      </c>
      <c r="R42" s="91">
        <v>8.120419863631458231992394240</v>
      </c>
      <c r="S42" s="421">
        <v>1.1996160227357615830606641100</v>
      </c>
      <c r="T42" s="420">
        <v>-0.6660326627302445610098785400</v>
      </c>
      <c r="U42" s="91">
        <v>-14.860483014014763858509534900</v>
      </c>
      <c r="V42" s="421">
        <v>5.2669556546601501092573850200</v>
      </c>
      <c r="W42" s="420">
        <v>0</v>
      </c>
      <c r="X42" s="91">
        <v>27.268030727745864004029167590</v>
      </c>
      <c r="Y42" s="421">
        <v>10.234117322469231041306853470</v>
      </c>
      <c r="Z42" s="420">
        <v>-2.3709525043461665158905022100</v>
      </c>
      <c r="AA42" s="91">
        <v>3.8078424795865909939215699600</v>
      </c>
      <c r="AB42" s="421">
        <v>2.7181048227361988043924279800</v>
      </c>
    </row>
    <row r="43" ht="18" customHeight="1">
      <c r="A43" s="58"/>
      <c r="B43" s="1043" t="s">
        <v>49</v>
      </c>
      <c r="C43" s="1043"/>
      <c r="D43" s="439">
        <v>157.96108811339727264201859172</v>
      </c>
      <c r="E43" s="95">
        <v>157.39248969890232432263285908</v>
      </c>
      <c r="F43" s="440">
        <v>127.98955361193873707646767209</v>
      </c>
      <c r="G43" s="439">
        <v>29.859721793018436118282263993</v>
      </c>
      <c r="H43" s="95">
        <v>21.830329965179705363783455791</v>
      </c>
      <c r="I43" s="440">
        <v>34.367176816082203557441412774</v>
      </c>
      <c r="J43" s="439">
        <v>0</v>
      </c>
      <c r="K43" s="95">
        <v>1.1259093428696740578915700201</v>
      </c>
      <c r="L43" s="440">
        <v>11.411212669017010043575235223</v>
      </c>
      <c r="M43" s="439">
        <v>188.51352939502490801841584816</v>
      </c>
      <c r="N43" s="95">
        <v>180.34872900695170374430788471</v>
      </c>
      <c r="O43" s="440">
        <v>173.76735228726227226814324953</v>
      </c>
      <c r="P43" s="93"/>
      <c r="Q43" s="420">
        <v>-8.46230746944687238080670900</v>
      </c>
      <c r="R43" s="91">
        <v>0.2286682618655455242524472300</v>
      </c>
      <c r="S43" s="421">
        <v>0.6915338560783872698037337800</v>
      </c>
      <c r="T43" s="420">
        <v>-2.1666668675994985681306366500</v>
      </c>
      <c r="U43" s="91">
        <v>-16.488800780902145085552418640</v>
      </c>
      <c r="V43" s="421">
        <v>-0.2893934275055654124872706500</v>
      </c>
      <c r="W43" s="420">
        <v>0</v>
      </c>
      <c r="X43" s="91">
        <v>-7.9219594119097724442072721100</v>
      </c>
      <c r="Y43" s="421">
        <v>12.688660828797711398961281520</v>
      </c>
      <c r="Z43" s="420">
        <v>-7.3415882579407440563226469200</v>
      </c>
      <c r="AA43" s="91">
        <v>-2.1987600816253560136753614400</v>
      </c>
      <c r="AB43" s="421">
        <v>1.2021151867377562392341510900</v>
      </c>
    </row>
    <row r="44" ht="18" customHeight="1">
      <c r="A44" s="58"/>
      <c r="B44" s="1044" t="s">
        <v>75</v>
      </c>
      <c r="C44" s="1044"/>
      <c r="D44" s="457">
        <v>141.98720987921700087316273602</v>
      </c>
      <c r="E44" s="458">
        <v>143.62214407800186591685769221</v>
      </c>
      <c r="F44" s="459">
        <v>115.84997828087008620939199226</v>
      </c>
      <c r="G44" s="457">
        <v>31.200383385090647158991011223</v>
      </c>
      <c r="H44" s="458">
        <v>24.622747322396993681534521571</v>
      </c>
      <c r="I44" s="459">
        <v>34.629057294800356670226022853</v>
      </c>
      <c r="J44" s="457">
        <v>0</v>
      </c>
      <c r="K44" s="458">
        <v>1.1794739536834526192215331666</v>
      </c>
      <c r="L44" s="459">
        <v>11.331566269586404356749829336</v>
      </c>
      <c r="M44" s="457">
        <v>174.18678444288330840979684626</v>
      </c>
      <c r="N44" s="458">
        <v>169.42436535408231221761374686</v>
      </c>
      <c r="O44" s="459">
        <v>161.8099717774567251258429419</v>
      </c>
      <c r="P44" s="5"/>
      <c r="Q44" s="430">
        <v>-4.8683301163937520285216081500</v>
      </c>
      <c r="R44" s="431">
        <v>8.113287433467226828328615200</v>
      </c>
      <c r="S44" s="432">
        <v>1.7095457725636232635945653400</v>
      </c>
      <c r="T44" s="430">
        <v>14.734752090348251616481209420</v>
      </c>
      <c r="U44" s="431">
        <v>-6.0010987733038394541554951800</v>
      </c>
      <c r="V44" s="432">
        <v>5.5798505236232171966377960900</v>
      </c>
      <c r="W44" s="430">
        <v>0</v>
      </c>
      <c r="X44" s="431">
        <v>-1.1537283219249673223302727700</v>
      </c>
      <c r="Y44" s="432">
        <v>12.990428964977455215171991790</v>
      </c>
      <c r="Z44" s="430">
        <v>-1.6890807956749263517078168600</v>
      </c>
      <c r="AA44" s="431">
        <v>5.7337378531896078743877881800</v>
      </c>
      <c r="AB44" s="432">
        <v>3.2411478777085150845841722200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216.68352559168783207961355902</v>
      </c>
      <c r="E46" s="494">
        <v>208.55345890402359153874652091</v>
      </c>
      <c r="F46" s="495">
        <v>164.53531332368148057263043162</v>
      </c>
      <c r="G46" s="493">
        <v>24.737426687834906095787582199</v>
      </c>
      <c r="H46" s="494">
        <v>21.400820300766591215579236224</v>
      </c>
      <c r="I46" s="495">
        <v>32.534935510828279704240606619</v>
      </c>
      <c r="J46" s="493">
        <v>0</v>
      </c>
      <c r="K46" s="494">
        <v>0.9033584163725274097071169657</v>
      </c>
      <c r="L46" s="495">
        <v>11.73581111089483543652066811</v>
      </c>
      <c r="M46" s="493">
        <v>243.29938232378427672177030997</v>
      </c>
      <c r="N46" s="494">
        <v>230.85763762116271016403287391</v>
      </c>
      <c r="O46" s="495">
        <v>208.80535039747364129286100392</v>
      </c>
      <c r="P46" s="93"/>
      <c r="Q46" s="479">
        <v>-11.391482768641529190704316580</v>
      </c>
      <c r="R46" s="480">
        <v>-2.1845632817877845276046679800</v>
      </c>
      <c r="S46" s="481">
        <v>1.6790170597187175675820524500</v>
      </c>
      <c r="T46" s="479">
        <v>15.892531876076466850609035570</v>
      </c>
      <c r="U46" s="480">
        <v>-17.021141180491346498456293280</v>
      </c>
      <c r="V46" s="481">
        <v>1.7288996695257346823603565100</v>
      </c>
      <c r="W46" s="479">
        <v>0</v>
      </c>
      <c r="X46" s="480">
        <v>-25.182480912554884493886607920</v>
      </c>
      <c r="Y46" s="481">
        <v>10.968644736140918663853468100</v>
      </c>
      <c r="Z46" s="479">
        <v>-9.828552558466186984275560530</v>
      </c>
      <c r="AA46" s="480">
        <v>-3.8958518811948732633322702800</v>
      </c>
      <c r="AB46" s="481">
        <v>2.1673688115171603004328787700</v>
      </c>
    </row>
    <row r="47" ht="18" customHeight="1">
      <c r="A47" s="58"/>
      <c r="B47" s="1046" t="s">
        <v>51</v>
      </c>
      <c r="C47" s="1046"/>
      <c r="D47" s="276">
        <v>225.44318910614788217234797417</v>
      </c>
      <c r="E47" s="94">
        <v>217.45586655913609138024690156</v>
      </c>
      <c r="F47" s="277">
        <v>170.69165859217267668601761685</v>
      </c>
      <c r="G47" s="276">
        <v>18.702191866772708532241256732</v>
      </c>
      <c r="H47" s="94">
        <v>22.528895194602011321817069437</v>
      </c>
      <c r="I47" s="277">
        <v>29.730839488805314420649986199</v>
      </c>
      <c r="J47" s="276">
        <v>0</v>
      </c>
      <c r="K47" s="94">
        <v>0.8923149334952991802329061286</v>
      </c>
      <c r="L47" s="277">
        <v>11.706816602466067886396140568</v>
      </c>
      <c r="M47" s="276">
        <v>246.04500904768778893465146345</v>
      </c>
      <c r="N47" s="94">
        <v>240.87707668723340188229687689</v>
      </c>
      <c r="O47" s="277">
        <v>212.12859369663725805358522828</v>
      </c>
      <c r="P47" s="5"/>
      <c r="Q47" s="271">
        <v>-11.351944685954027002314817870</v>
      </c>
      <c r="R47" s="92">
        <v>-3.0458136936843227052110362100</v>
      </c>
      <c r="S47" s="272">
        <v>-1.2690164848225925287250997500</v>
      </c>
      <c r="T47" s="271">
        <v>12.850139214471299755373636570</v>
      </c>
      <c r="U47" s="92">
        <v>-7.999768055469655622381858290</v>
      </c>
      <c r="V47" s="272">
        <v>5.1123564919647933025851175500</v>
      </c>
      <c r="W47" s="271">
        <v>0</v>
      </c>
      <c r="X47" s="92">
        <v>-6.5892508765750259684622509800</v>
      </c>
      <c r="Y47" s="272">
        <v>11.355843974720563937181866660</v>
      </c>
      <c r="Z47" s="271">
        <v>-10.494061561622080048601131470</v>
      </c>
      <c r="AA47" s="92">
        <v>-3.547870632915697902695295300</v>
      </c>
      <c r="AB47" s="272">
        <v>0.2104914757790405758500137200</v>
      </c>
    </row>
    <row r="48" ht="18" customHeight="1">
      <c r="A48" s="58"/>
      <c r="B48" s="1047" t="s">
        <v>76</v>
      </c>
      <c r="C48" s="1047"/>
      <c r="D48" s="443">
        <v>221.06335734891785712598076654</v>
      </c>
      <c r="E48" s="444">
        <v>213.00466273157984145949671121</v>
      </c>
      <c r="F48" s="445">
        <v>167.61317413329466750888335727</v>
      </c>
      <c r="G48" s="443">
        <v>21.719809277303807314014419459</v>
      </c>
      <c r="H48" s="444">
        <v>21.964857747684301268698152827</v>
      </c>
      <c r="I48" s="445">
        <v>31.133029529896849263899252481</v>
      </c>
      <c r="J48" s="443">
        <v>0</v>
      </c>
      <c r="K48" s="444">
        <v>0.8978366749339132949700115471</v>
      </c>
      <c r="L48" s="445">
        <v>11.721315325279358713564393858</v>
      </c>
      <c r="M48" s="443">
        <v>244.67219568573603282821088671</v>
      </c>
      <c r="N48" s="444">
        <v>235.86735715419805602316487543</v>
      </c>
      <c r="O48" s="445">
        <v>210.46680372225343521056889847</v>
      </c>
      <c r="P48" s="93"/>
      <c r="Q48" s="273">
        <v>-11.371326459800305602166253050</v>
      </c>
      <c r="R48" s="274">
        <v>-2.6260905255395202663561125800</v>
      </c>
      <c r="S48" s="275">
        <v>0.1560744341660377613780579500</v>
      </c>
      <c r="T48" s="273">
        <v>14.562802389078489483463964550</v>
      </c>
      <c r="U48" s="274">
        <v>-12.627335909714133559700594820</v>
      </c>
      <c r="V48" s="275">
        <v>3.3173171896184835174878664400</v>
      </c>
      <c r="W48" s="273">
        <v>0</v>
      </c>
      <c r="X48" s="274">
        <v>-16.969801132620715439446377950</v>
      </c>
      <c r="Y48" s="275">
        <v>11.161681662794661275154706960</v>
      </c>
      <c r="Z48" s="273">
        <v>-10.16440651655271098015678900</v>
      </c>
      <c r="AA48" s="274">
        <v>-3.718480072496860404993609200</v>
      </c>
      <c r="AB48" s="275">
        <v>1.1716649000859213085480398200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165.31882523868825238688252387</v>
      </c>
      <c r="E50" s="483">
        <v>163.26609148506941955904754518</v>
      </c>
      <c r="F50" s="484">
        <v>130.40484111896677024353274328</v>
      </c>
      <c r="G50" s="482">
        <v>28.951473640514736405147364051</v>
      </c>
      <c r="H50" s="483">
        <v>23.946292560198424762593789808</v>
      </c>
      <c r="I50" s="484">
        <v>33.729380387318977522667817657</v>
      </c>
      <c r="J50" s="482">
        <v>0</v>
      </c>
      <c r="K50" s="483">
        <v>1.1436830819981318880949033969</v>
      </c>
      <c r="L50" s="484">
        <v>11.541650066880326502158903257</v>
      </c>
      <c r="M50" s="482">
        <v>194.27029887920298879202988792</v>
      </c>
      <c r="N50" s="483">
        <v>188.35606712726597620973623838</v>
      </c>
      <c r="O50" s="484">
        <v>175.67587157316607426835946419</v>
      </c>
      <c r="P50" s="93"/>
      <c r="Q50" s="468">
        <v>-7.6964716361007821244573322700</v>
      </c>
      <c r="R50" s="469">
        <v>3.7013821738851535803011800200</v>
      </c>
      <c r="S50" s="470">
        <v>1.1279984523789655889194117900</v>
      </c>
      <c r="T50" s="468">
        <v>15.250064436685516427656299990</v>
      </c>
      <c r="U50" s="469">
        <v>-6.9824762953220478694212044800</v>
      </c>
      <c r="V50" s="470">
        <v>4.9083161259826309581625466300</v>
      </c>
      <c r="W50" s="468">
        <v>0</v>
      </c>
      <c r="X50" s="469">
        <v>1.214913901735762110190072900</v>
      </c>
      <c r="Y50" s="470">
        <v>13.01757495980624243441426200</v>
      </c>
      <c r="Z50" s="468">
        <v>-4.8739338696322805484475928800</v>
      </c>
      <c r="AA50" s="469">
        <v>2.1938703590200785931822345300</v>
      </c>
      <c r="AB50" s="470">
        <v>2.5462234268166440893621546600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197</v>
      </c>
      <c r="AD1" s="5"/>
      <c r="AG1" s="685"/>
      <c r="AI1" s="236"/>
    </row>
    <row r="2" ht="21" customHeight="1">
      <c r="B2" s="11" t="s">
        <v>208</v>
      </c>
    </row>
    <row r="3" ht="21" customHeight="1">
      <c r="B3" s="11" t="s">
        <v>209</v>
      </c>
      <c r="U3" s="1040" t="s">
        <v>294</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91</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101</v>
      </c>
      <c r="N7" s="283"/>
      <c r="O7" s="283"/>
      <c r="Q7" s="283" t="s">
        <v>20</v>
      </c>
      <c r="R7" s="283"/>
      <c r="S7" s="283"/>
      <c r="T7" s="283" t="s">
        <v>18</v>
      </c>
      <c r="U7" s="283"/>
      <c r="V7" s="283"/>
      <c r="W7" s="283" t="s">
        <v>17</v>
      </c>
      <c r="X7" s="283"/>
      <c r="Y7" s="283"/>
      <c r="Z7" s="283" t="s">
        <v>101</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2023</v>
      </c>
      <c r="C9" s="285" t="s">
        <v>218</v>
      </c>
      <c r="D9" s="434">
        <v>228.61922554347826086956521739</v>
      </c>
      <c r="E9" s="435">
        <v>208.16136863136863136863136864</v>
      </c>
      <c r="F9" s="436">
        <v>208.40661605206073752711496746</v>
      </c>
      <c r="G9" s="434">
        <v>42.587975543478260869565217391</v>
      </c>
      <c r="H9" s="435">
        <v>40.327315238691211774019513137</v>
      </c>
      <c r="I9" s="436">
        <v>80.4180928377770522047190171</v>
      </c>
      <c r="J9" s="434">
        <v>27.555027173913043478260869565</v>
      </c>
      <c r="K9" s="435">
        <v>25.635171363175447119476754778</v>
      </c>
      <c r="L9" s="436">
        <v>35.210619810903873037958421127</v>
      </c>
      <c r="M9" s="434">
        <v>298.76222826086956521739130435</v>
      </c>
      <c r="N9" s="435">
        <v>274.12385523323529026212763655</v>
      </c>
      <c r="O9" s="436">
        <v>324.03532870074166276979240569</v>
      </c>
      <c r="P9" s="5"/>
      <c r="Q9" s="415">
        <v>-13.051875238990915761515486610</v>
      </c>
      <c r="R9" s="416">
        <v>-17.775367464139088980089792070</v>
      </c>
      <c r="S9" s="417">
        <v>-6.9647113732862149337951186300</v>
      </c>
      <c r="T9" s="415">
        <v>-28.112701562781072333068269420</v>
      </c>
      <c r="U9" s="416">
        <v>-24.138879032202748029842816380</v>
      </c>
      <c r="V9" s="417">
        <v>4.5734426188347191952602598400</v>
      </c>
      <c r="W9" s="415">
        <v>10.880729866448667080533843690</v>
      </c>
      <c r="X9" s="416">
        <v>4.85387275994898134049028800</v>
      </c>
      <c r="Y9" s="417">
        <v>28.392188687998182896291806370</v>
      </c>
      <c r="Z9" s="415">
        <v>-13.909128281424348609126323830</v>
      </c>
      <c r="AA9" s="416">
        <v>-17.125459239143983754946096350</v>
      </c>
      <c r="AB9" s="417">
        <v>-1.3090787284201929383294273800</v>
      </c>
      <c r="AC9" s="5"/>
      <c r="AD9" s="427" t="s">
        <v>306</v>
      </c>
      <c r="AE9" s="428" t="s">
        <v>348</v>
      </c>
      <c r="AF9" s="428" t="s">
        <v>349</v>
      </c>
      <c r="AG9" s="429" t="s">
        <v>350</v>
      </c>
    </row>
    <row r="10" ht="20.1" customHeight="1">
      <c r="A10" s="58"/>
      <c r="B10" s="286"/>
      <c r="C10" s="287" t="s">
        <v>222</v>
      </c>
      <c r="D10" s="276">
        <v>331.89427824571594539645657857</v>
      </c>
      <c r="E10" s="94">
        <v>318.8803689127410057642615782</v>
      </c>
      <c r="F10" s="277">
        <v>262.41211252788710935374458129</v>
      </c>
      <c r="G10" s="276">
        <v>63.632587859424920127795527157</v>
      </c>
      <c r="H10" s="94">
        <v>47.662381542308603282106163659</v>
      </c>
      <c r="I10" s="277">
        <v>71.272933251888932730061879564</v>
      </c>
      <c r="J10" s="276">
        <v>22.215509729886726691838512925</v>
      </c>
      <c r="K10" s="94">
        <v>33.086192599396380470076126717</v>
      </c>
      <c r="L10" s="277">
        <v>29.102163549424577631269677397</v>
      </c>
      <c r="M10" s="276">
        <v>417.74237583502759221609061865</v>
      </c>
      <c r="N10" s="94">
        <v>399.6289430544459895164438686</v>
      </c>
      <c r="O10" s="277">
        <v>362.78720932920061971507613825</v>
      </c>
      <c r="P10" s="5"/>
      <c r="Q10" s="271">
        <v>3.8038201582109236315383072600</v>
      </c>
      <c r="R10" s="92">
        <v>7.7706230738356267172857161300</v>
      </c>
      <c r="S10" s="272">
        <v>3.3940290776839411431750854400</v>
      </c>
      <c r="T10" s="271">
        <v>19.005840298275436923006776860</v>
      </c>
      <c r="U10" s="92">
        <v>-23.252032218069453282645486220</v>
      </c>
      <c r="V10" s="272">
        <v>-91.68430123219887279539118042</v>
      </c>
      <c r="W10" s="271">
        <v>-14.978718652633094913159746950</v>
      </c>
      <c r="X10" s="92">
        <v>-32.673745715255268874908872130</v>
      </c>
      <c r="Y10" s="272">
        <v>-0.6207288660677433062979015100</v>
      </c>
      <c r="Z10" s="271">
        <v>4.6103640334071389312658056400</v>
      </c>
      <c r="AA10" s="92">
        <v>-1.843283601081510447574990900</v>
      </c>
      <c r="AB10" s="272">
        <v>-68.181333204173658036872152110</v>
      </c>
      <c r="AC10" s="5"/>
      <c r="AD10" s="271" t="s">
        <v>306</v>
      </c>
      <c r="AE10" s="92" t="s">
        <v>348</v>
      </c>
      <c r="AF10" s="92" t="s">
        <v>351</v>
      </c>
      <c r="AG10" s="272" t="s">
        <v>350</v>
      </c>
    </row>
    <row r="11" ht="20.1" customHeight="1">
      <c r="A11" s="58"/>
      <c r="B11" s="288">
        <v>2024</v>
      </c>
      <c r="C11" s="289" t="s">
        <v>224</v>
      </c>
      <c r="D11" s="439">
        <v>287.56403940886699507389162562</v>
      </c>
      <c r="E11" s="95">
        <v>290.93106122915238748000913867</v>
      </c>
      <c r="F11" s="442">
        <v>262.87688516596426456758733586</v>
      </c>
      <c r="G11" s="439">
        <v>10.08073344280240831964969896</v>
      </c>
      <c r="H11" s="95">
        <v>63.976020450275392963466358135</v>
      </c>
      <c r="I11" s="442">
        <v>77.678629213584713412900078028</v>
      </c>
      <c r="J11" s="439">
        <v>24.448549534756431308155446086</v>
      </c>
      <c r="K11" s="95">
        <v>40.671315678836858624270766974</v>
      </c>
      <c r="L11" s="442">
        <v>26.957126223701472365280618569</v>
      </c>
      <c r="M11" s="439">
        <v>322.09332238642583470169677066</v>
      </c>
      <c r="N11" s="95">
        <v>395.57839735826463906774626379</v>
      </c>
      <c r="O11" s="442">
        <v>367.51264060325045034576803246</v>
      </c>
      <c r="P11" s="5"/>
      <c r="Q11" s="497">
        <v>2.2539092647899099129884983200</v>
      </c>
      <c r="R11" s="216">
        <v>1.2563433706687696834658433200</v>
      </c>
      <c r="S11" s="498">
        <v>1.2970949609208357156312936600</v>
      </c>
      <c r="T11" s="497">
        <v>-85.66458310402761563078109825</v>
      </c>
      <c r="U11" s="216">
        <v>-4.9508363495421008797959501800</v>
      </c>
      <c r="V11" s="498">
        <v>6.7484505296731635857729429800</v>
      </c>
      <c r="W11" s="497">
        <v>-9.311568000731576587861591130</v>
      </c>
      <c r="X11" s="216">
        <v>47.963541128009590367430861960</v>
      </c>
      <c r="Y11" s="498">
        <v>0.3171866553704158390649650100</v>
      </c>
      <c r="Z11" s="497">
        <v>-14.903765625560515109504504900</v>
      </c>
      <c r="AA11" s="216">
        <v>3.5228319944911751059453210800</v>
      </c>
      <c r="AB11" s="498">
        <v>2.3282830712064112138762916300</v>
      </c>
      <c r="AC11" s="5"/>
      <c r="AD11" s="420" t="s">
        <v>305</v>
      </c>
      <c r="AE11" s="91" t="s">
        <v>352</v>
      </c>
      <c r="AF11" s="91" t="s">
        <v>351</v>
      </c>
      <c r="AG11" s="421" t="s">
        <v>349</v>
      </c>
    </row>
    <row r="12" ht="20.1" customHeight="1">
      <c r="A12" s="58"/>
      <c r="B12" s="286"/>
      <c r="C12" s="287" t="s">
        <v>225</v>
      </c>
      <c r="D12" s="276">
        <v>351.08152937868990722518976666</v>
      </c>
      <c r="E12" s="94">
        <v>351.09296445849681916879356977</v>
      </c>
      <c r="F12" s="277">
        <v>311.89754314720812182741116751</v>
      </c>
      <c r="G12" s="276">
        <v>1.5971324149564239527691875176</v>
      </c>
      <c r="H12" s="94">
        <v>58.223365607222450629412927742</v>
      </c>
      <c r="I12" s="277">
        <v>82.19226546395413556991718042</v>
      </c>
      <c r="J12" s="276">
        <v>28.768906381782400899634523475</v>
      </c>
      <c r="K12" s="94">
        <v>43.340077526919733056779335742</v>
      </c>
      <c r="L12" s="277">
        <v>33.228406821604616199735232532</v>
      </c>
      <c r="M12" s="276">
        <v>381.44756817542873207759347765</v>
      </c>
      <c r="N12" s="94">
        <v>452.65640759263900285498583326</v>
      </c>
      <c r="O12" s="277">
        <v>427.31821543276687359706358046</v>
      </c>
      <c r="P12" s="5"/>
      <c r="Q12" s="271">
        <v>1.2162344522410634697652324300</v>
      </c>
      <c r="R12" s="92">
        <v>-0.125911455332120287384815800</v>
      </c>
      <c r="S12" s="272">
        <v>1.6810268016846806390922774700</v>
      </c>
      <c r="T12" s="271">
        <v>-97.71976183799763624064906960</v>
      </c>
      <c r="U12" s="92">
        <v>-8.673528861786581360092582700</v>
      </c>
      <c r="V12" s="272">
        <v>-8.100596934404448843057138550</v>
      </c>
      <c r="W12" s="271">
        <v>11.535786227052958321737458750</v>
      </c>
      <c r="X12" s="92">
        <v>49.892431612323334606259188410</v>
      </c>
      <c r="Y12" s="272">
        <v>9.580570141688372960626256130</v>
      </c>
      <c r="Z12" s="271">
        <v>-13.835840319820974019285658360</v>
      </c>
      <c r="AA12" s="92">
        <v>1.9031174065977783680857076800</v>
      </c>
      <c r="AB12" s="272">
        <v>0.1914633549627511430040447800</v>
      </c>
      <c r="AC12" s="5"/>
      <c r="AD12" s="271" t="s">
        <v>310</v>
      </c>
      <c r="AE12" s="92" t="s">
        <v>351</v>
      </c>
      <c r="AF12" s="92" t="s">
        <v>349</v>
      </c>
      <c r="AG12" s="272" t="s">
        <v>349</v>
      </c>
    </row>
    <row r="13" ht="20.1" customHeight="1">
      <c r="A13" s="58"/>
      <c r="B13" s="288"/>
      <c r="C13" s="289" t="s">
        <v>226</v>
      </c>
      <c r="D13" s="439">
        <v>312.21697864487213287635117321</v>
      </c>
      <c r="E13" s="95">
        <v>306.62572766621727098559568581</v>
      </c>
      <c r="F13" s="442">
        <v>289.23238524708851333181639534</v>
      </c>
      <c r="G13" s="439">
        <v>1.9446348536778275771157395202</v>
      </c>
      <c r="H13" s="95">
        <v>74.554288997687501638894431951</v>
      </c>
      <c r="I13" s="442">
        <v>69.635503237756434390137852376</v>
      </c>
      <c r="J13" s="439">
        <v>27.4500395465330872660163459</v>
      </c>
      <c r="K13" s="95">
        <v>38.642675101324152586451482688</v>
      </c>
      <c r="L13" s="442">
        <v>34.667176283163105262527043919</v>
      </c>
      <c r="M13" s="439">
        <v>341.61165304508304771948325863</v>
      </c>
      <c r="N13" s="95">
        <v>419.82269176522892521094160045</v>
      </c>
      <c r="O13" s="442">
        <v>393.53506476800805298448129165</v>
      </c>
      <c r="P13" s="5"/>
      <c r="Q13" s="420">
        <v>-0.7483064832101831910544914300</v>
      </c>
      <c r="R13" s="91">
        <v>-5.7824374355353639202196454400</v>
      </c>
      <c r="S13" s="498">
        <v>-1.5537917500624694771619684600</v>
      </c>
      <c r="T13" s="420">
        <v>-97.22311385655712862348603374</v>
      </c>
      <c r="U13" s="91">
        <v>-14.314601426963464884844964850</v>
      </c>
      <c r="V13" s="498">
        <v>-11.069759177515684254459147930</v>
      </c>
      <c r="W13" s="420">
        <v>11.702981237332160617785598220</v>
      </c>
      <c r="X13" s="91">
        <v>4.2791856583789662620688344300</v>
      </c>
      <c r="Y13" s="498">
        <v>9.540485749570405459491228470</v>
      </c>
      <c r="Z13" s="420">
        <v>-16.511968235284747110404937690</v>
      </c>
      <c r="AA13" s="91">
        <v>-6.604497871937180357546667700</v>
      </c>
      <c r="AB13" s="498">
        <v>-2.5297056390904426721714928700</v>
      </c>
      <c r="AC13" s="5"/>
      <c r="AD13" s="420" t="s">
        <v>307</v>
      </c>
      <c r="AE13" s="91" t="s">
        <v>349</v>
      </c>
      <c r="AF13" s="91" t="s">
        <v>351</v>
      </c>
      <c r="AG13" s="421" t="s">
        <v>352</v>
      </c>
    </row>
    <row r="14" ht="20.1" customHeight="1">
      <c r="A14" s="58"/>
      <c r="B14" s="286"/>
      <c r="C14" s="287" t="s">
        <v>228</v>
      </c>
      <c r="D14" s="276">
        <v>258.44718309859154929577464789</v>
      </c>
      <c r="E14" s="94">
        <v>260.33531763188834528008495466</v>
      </c>
      <c r="F14" s="277">
        <v>246.72479168760350078431201199</v>
      </c>
      <c r="G14" s="276">
        <v>1.6015709642470205850487540628</v>
      </c>
      <c r="H14" s="94">
        <v>49.414744035143851708686620387</v>
      </c>
      <c r="I14" s="277">
        <v>70.620149089098193790928056226</v>
      </c>
      <c r="J14" s="276">
        <v>30.944474539544962080173347779</v>
      </c>
      <c r="K14" s="94">
        <v>32.215647869646015420262055746</v>
      </c>
      <c r="L14" s="277">
        <v>27.039487127530655048128326047</v>
      </c>
      <c r="M14" s="276">
        <v>290.99322860238353196099674973</v>
      </c>
      <c r="N14" s="94">
        <v>341.96570953667821240903363081</v>
      </c>
      <c r="O14" s="277">
        <v>344.38442790423234962336839426</v>
      </c>
      <c r="P14" s="5"/>
      <c r="Q14" s="271">
        <v>-1.9665363402226929105900365600</v>
      </c>
      <c r="R14" s="92">
        <v>-3.6979371982706977611119482500</v>
      </c>
      <c r="S14" s="272">
        <v>2.1500487162751909321004346300</v>
      </c>
      <c r="T14" s="271">
        <v>-96.90871768993620394092057659</v>
      </c>
      <c r="U14" s="92">
        <v>-25.643292540771831687105084810</v>
      </c>
      <c r="V14" s="272">
        <v>-4.4226950796726282080461958400</v>
      </c>
      <c r="W14" s="271">
        <v>30.139255871221181903394012900</v>
      </c>
      <c r="X14" s="92">
        <v>-4.3511980135814931415125040100</v>
      </c>
      <c r="Y14" s="272">
        <v>-17.541345002575284473516489400</v>
      </c>
      <c r="Z14" s="271">
        <v>-14.216666708400527261518078930</v>
      </c>
      <c r="AA14" s="92">
        <v>-7.6939755818873567660069777200</v>
      </c>
      <c r="AB14" s="272">
        <v>-1.0990087609517963422433438700</v>
      </c>
      <c r="AC14" s="5"/>
      <c r="AD14" s="271" t="s">
        <v>307</v>
      </c>
      <c r="AE14" s="92" t="s">
        <v>349</v>
      </c>
      <c r="AF14" s="92" t="s">
        <v>351</v>
      </c>
      <c r="AG14" s="272" t="s">
        <v>352</v>
      </c>
    </row>
    <row r="15" ht="20.1" customHeight="1">
      <c r="A15" s="58"/>
      <c r="B15" s="288"/>
      <c r="C15" s="289" t="s">
        <v>229</v>
      </c>
      <c r="D15" s="439">
        <v>223.86142322097378277153558052</v>
      </c>
      <c r="E15" s="95">
        <v>226.39446339245111414279217827</v>
      </c>
      <c r="F15" s="442">
        <v>221.87765616423823954023624698</v>
      </c>
      <c r="G15" s="439">
        <v>1.6505329876116392970325554595</v>
      </c>
      <c r="H15" s="95">
        <v>50.671074286750451994276567716</v>
      </c>
      <c r="I15" s="442">
        <v>58.75842612464760188138168954</v>
      </c>
      <c r="J15" s="439">
        <v>32.153846153846153846153846154</v>
      </c>
      <c r="K15" s="95">
        <v>48.210619251026278811645267148</v>
      </c>
      <c r="L15" s="442">
        <v>35.727688586487537993226083632</v>
      </c>
      <c r="M15" s="439">
        <v>257.66580236243157591472198214</v>
      </c>
      <c r="N15" s="95">
        <v>325.27615693022784494871401311</v>
      </c>
      <c r="O15" s="442">
        <v>316.36377087537337941484402016</v>
      </c>
      <c r="P15" s="5"/>
      <c r="Q15" s="420">
        <v>-14.640373994918915216975929880</v>
      </c>
      <c r="R15" s="91">
        <v>-11.711556150417320748299806930</v>
      </c>
      <c r="S15" s="498">
        <v>-2.9350698305808965773953416400</v>
      </c>
      <c r="T15" s="420">
        <v>-97.00837170651709822409818890</v>
      </c>
      <c r="U15" s="91">
        <v>-13.881779595560528933281500670</v>
      </c>
      <c r="V15" s="498">
        <v>-20.151641950766476444012885240</v>
      </c>
      <c r="W15" s="420">
        <v>27.366691560945458616414269320</v>
      </c>
      <c r="X15" s="91">
        <v>1.7274673951591746165793241500</v>
      </c>
      <c r="Y15" s="498">
        <v>-4.8059261395634929438598802800</v>
      </c>
      <c r="Z15" s="420">
        <v>-24.807226439588587370676808170</v>
      </c>
      <c r="AA15" s="91">
        <v>-10.307452836666721953818065480</v>
      </c>
      <c r="AB15" s="498">
        <v>-6.8712428730374965699928979800</v>
      </c>
      <c r="AC15" s="5"/>
      <c r="AD15" s="420" t="s">
        <v>305</v>
      </c>
      <c r="AE15" s="91" t="s">
        <v>351</v>
      </c>
      <c r="AF15" s="91" t="s">
        <v>351</v>
      </c>
      <c r="AG15" s="421" t="s">
        <v>351</v>
      </c>
    </row>
    <row r="16" ht="20.1" customHeight="1">
      <c r="A16" s="58"/>
      <c r="B16" s="286"/>
      <c r="C16" s="287" t="s">
        <v>230</v>
      </c>
      <c r="D16" s="276">
        <v>171.17375886524822695035460993</v>
      </c>
      <c r="E16" s="94">
        <v>182.55450312805890113631527428</v>
      </c>
      <c r="F16" s="277">
        <v>180.94885304247416908688284487</v>
      </c>
      <c r="G16" s="276">
        <v>1.7485493230174081237911025145</v>
      </c>
      <c r="H16" s="94">
        <v>47.01022974520729709888789404</v>
      </c>
      <c r="I16" s="277">
        <v>60.423068817954081844217383812</v>
      </c>
      <c r="J16" s="276">
        <v>30.392972275950999355254674404</v>
      </c>
      <c r="K16" s="94">
        <v>45.515143615499137529651674395</v>
      </c>
      <c r="L16" s="277">
        <v>34.06789952222557954728338293</v>
      </c>
      <c r="M16" s="276">
        <v>203.31528046421663442940038685</v>
      </c>
      <c r="N16" s="94">
        <v>275.07987648876533576485484272</v>
      </c>
      <c r="O16" s="277">
        <v>275.43982138265383047838361162</v>
      </c>
      <c r="P16" s="5"/>
      <c r="Q16" s="271">
        <v>-7.6972330895483458723735015600</v>
      </c>
      <c r="R16" s="92">
        <v>-6.9081094469811955956403575100</v>
      </c>
      <c r="S16" s="272">
        <v>-0.8535481562652848153378457200</v>
      </c>
      <c r="T16" s="271">
        <v>-96.11179576814149528057776846</v>
      </c>
      <c r="U16" s="92">
        <v>5.781854274025456291090022900</v>
      </c>
      <c r="V16" s="272">
        <v>4.5228715458579668855670377300</v>
      </c>
      <c r="W16" s="271">
        <v>14.124140328095088044540718430</v>
      </c>
      <c r="X16" s="92">
        <v>-4.8776210457524878925785860800</v>
      </c>
      <c r="Y16" s="272">
        <v>11.295131671190415413499014880</v>
      </c>
      <c r="Z16" s="271">
        <v>-20.904461038826765467130961450</v>
      </c>
      <c r="AA16" s="92">
        <v>-4.6157085345656236544414406700</v>
      </c>
      <c r="AB16" s="272">
        <v>1.6662539593391570060380666500</v>
      </c>
      <c r="AC16" s="5"/>
      <c r="AD16" s="271" t="s">
        <v>310</v>
      </c>
      <c r="AE16" s="92" t="s">
        <v>351</v>
      </c>
      <c r="AF16" s="92" t="s">
        <v>351</v>
      </c>
      <c r="AG16" s="272" t="s">
        <v>351</v>
      </c>
    </row>
    <row r="17" ht="20.1" customHeight="1">
      <c r="A17" s="58"/>
      <c r="B17" s="288"/>
      <c r="C17" s="289" t="s">
        <v>233</v>
      </c>
      <c r="D17" s="439">
        <v>179.42672413793103448275862069</v>
      </c>
      <c r="E17" s="95">
        <v>176.53903921398139292235457787</v>
      </c>
      <c r="F17" s="442">
        <v>174.31037168509200079302889835</v>
      </c>
      <c r="G17" s="439">
        <v>1.4353448275862068965517241379</v>
      </c>
      <c r="H17" s="95">
        <v>30.646403052994231568472455467</v>
      </c>
      <c r="I17" s="442">
        <v>43.668800011997776882856688736</v>
      </c>
      <c r="J17" s="439">
        <v>34.589190981432360742705570292</v>
      </c>
      <c r="K17" s="95">
        <v>35.987844559526405616916671461</v>
      </c>
      <c r="L17" s="442">
        <v>30.26899111516776913355794247</v>
      </c>
      <c r="M17" s="439">
        <v>215.45125994694960212201591512</v>
      </c>
      <c r="N17" s="95">
        <v>243.17328682650203010774370479</v>
      </c>
      <c r="O17" s="442">
        <v>248.24816281225754680944352956</v>
      </c>
      <c r="P17" s="5"/>
      <c r="Q17" s="420">
        <v>-3.2597745184463937248828842200</v>
      </c>
      <c r="R17" s="91">
        <v>-8.208340852159040342009341700</v>
      </c>
      <c r="S17" s="498">
        <v>-2.0703617852700484962625577600</v>
      </c>
      <c r="T17" s="420">
        <v>-96.47079811389401117997552617</v>
      </c>
      <c r="U17" s="91">
        <v>-35.009882947871992915915405010</v>
      </c>
      <c r="V17" s="498">
        <v>-19.774854905389497797351907030</v>
      </c>
      <c r="W17" s="420">
        <v>43.307062453450204784587874310</v>
      </c>
      <c r="X17" s="91">
        <v>12.224174918049485796690565070</v>
      </c>
      <c r="Y17" s="498">
        <v>-14.742608204890599774321259370</v>
      </c>
      <c r="Z17" s="420">
        <v>-13.915791879173910206471438630</v>
      </c>
      <c r="AA17" s="91">
        <v>-10.449605667864479166543573170</v>
      </c>
      <c r="AB17" s="498">
        <v>-7.3463724756159415426166190500</v>
      </c>
      <c r="AC17" s="5"/>
      <c r="AD17" s="420" t="s">
        <v>311</v>
      </c>
      <c r="AE17" s="91" t="s">
        <v>345</v>
      </c>
      <c r="AF17" s="91" t="s">
        <v>353</v>
      </c>
      <c r="AG17" s="421" t="s">
        <v>345</v>
      </c>
    </row>
    <row r="18" ht="20.1" customHeight="1">
      <c r="A18" s="58"/>
      <c r="B18" s="286"/>
      <c r="C18" s="287" t="s">
        <v>234</v>
      </c>
      <c r="D18" s="276">
        <v>158.6950495049504950495049505</v>
      </c>
      <c r="E18" s="94">
        <v>155.84656705089891371377069399</v>
      </c>
      <c r="F18" s="277">
        <v>159.39139043959437138838106348</v>
      </c>
      <c r="G18" s="276">
        <v>2.0617161716171617161716171617</v>
      </c>
      <c r="H18" s="94">
        <v>18.171246254133928882777457926</v>
      </c>
      <c r="I18" s="277">
        <v>44.24091725287123350680814543</v>
      </c>
      <c r="J18" s="276">
        <v>33.763036303630363036303630363</v>
      </c>
      <c r="K18" s="94">
        <v>38.746227423312710626298260066</v>
      </c>
      <c r="L18" s="277">
        <v>31.178322847647068703111133341</v>
      </c>
      <c r="M18" s="276">
        <v>194.51980198019801980198019802</v>
      </c>
      <c r="N18" s="94">
        <v>212.76404072834555322284641198</v>
      </c>
      <c r="O18" s="277">
        <v>234.81063054011267359830034225</v>
      </c>
      <c r="P18" s="5"/>
      <c r="Q18" s="271">
        <v>-6.1624018703361361635951644900</v>
      </c>
      <c r="R18" s="92">
        <v>-8.094180666139139824587082700</v>
      </c>
      <c r="S18" s="272">
        <v>-3.635410025788580169445959100</v>
      </c>
      <c r="T18" s="271">
        <v>-94.87603751791198694117344580</v>
      </c>
      <c r="U18" s="92">
        <v>-55.954193107514279826497727280</v>
      </c>
      <c r="V18" s="272">
        <v>-17.865317264438493068710078970</v>
      </c>
      <c r="W18" s="271">
        <v>5.0833142932717773073853384800</v>
      </c>
      <c r="X18" s="92">
        <v>22.120998359399165499415377250</v>
      </c>
      <c r="Y18" s="272">
        <v>-0.3937896224742625988465158200</v>
      </c>
      <c r="Z18" s="271">
        <v>-19.447905437836203143963646980</v>
      </c>
      <c r="AA18" s="92">
        <v>-12.282184644495686766712136010</v>
      </c>
      <c r="AB18" s="272">
        <v>-6.2893991425270756420947447300</v>
      </c>
      <c r="AC18" s="5"/>
      <c r="AD18" s="271" t="s">
        <v>311</v>
      </c>
      <c r="AE18" s="92" t="s">
        <v>345</v>
      </c>
      <c r="AF18" s="92" t="s">
        <v>345</v>
      </c>
      <c r="AG18" s="272" t="s">
        <v>345</v>
      </c>
    </row>
    <row r="19" ht="20.1" customHeight="1">
      <c r="A19" s="58"/>
      <c r="B19" s="288"/>
      <c r="C19" s="289" t="s">
        <v>235</v>
      </c>
      <c r="D19" s="439">
        <v>160.40228571428571428571428571</v>
      </c>
      <c r="E19" s="95">
        <v>161.98218213058419243986254295</v>
      </c>
      <c r="F19" s="442">
        <v>163.1623835519704500393818409</v>
      </c>
      <c r="G19" s="439">
        <v>1.9954285714285714285714285714</v>
      </c>
      <c r="H19" s="95">
        <v>28.855431776458155455711326049</v>
      </c>
      <c r="I19" s="442">
        <v>64.71147418254915928935230714</v>
      </c>
      <c r="J19" s="439">
        <v>29.04152380952380952380952381</v>
      </c>
      <c r="K19" s="95">
        <v>32.70114813591061780190039178</v>
      </c>
      <c r="L19" s="442">
        <v>35.481616140359200841792030275</v>
      </c>
      <c r="M19" s="439">
        <v>191.4392380952380952380952381</v>
      </c>
      <c r="N19" s="95">
        <v>223.53876204295296569747426078</v>
      </c>
      <c r="O19" s="442">
        <v>263.35547387487881017052617831</v>
      </c>
      <c r="P19" s="5"/>
      <c r="Q19" s="420">
        <v>-1.1041850725666247487794883100</v>
      </c>
      <c r="R19" s="91">
        <v>-2.6175421872479386935034218200</v>
      </c>
      <c r="S19" s="498">
        <v>-1.3658882326767788199325164400</v>
      </c>
      <c r="T19" s="420">
        <v>-95.19030916930368217411600093</v>
      </c>
      <c r="U19" s="91">
        <v>-45.051397900263313097256987530</v>
      </c>
      <c r="V19" s="498">
        <v>8.027449552209387463330809300</v>
      </c>
      <c r="W19" s="420">
        <v>6.7808707260250585684231832600</v>
      </c>
      <c r="X19" s="91">
        <v>41.382751941831951422441516160</v>
      </c>
      <c r="Y19" s="498">
        <v>29.222088477188730335103103940</v>
      </c>
      <c r="Z19" s="420">
        <v>-17.082142151923682360732453770</v>
      </c>
      <c r="AA19" s="91">
        <v>-7.6206373623712333897790408700</v>
      </c>
      <c r="AB19" s="498">
        <v>4.1826265836180085257854188600</v>
      </c>
      <c r="AC19" s="5"/>
      <c r="AD19" s="420" t="s">
        <v>305</v>
      </c>
      <c r="AE19" s="91" t="s">
        <v>347</v>
      </c>
      <c r="AF19" s="91" t="s">
        <v>345</v>
      </c>
      <c r="AG19" s="421" t="s">
        <v>345</v>
      </c>
    </row>
    <row r="20" ht="20.1" customHeight="1">
      <c r="A20" s="58"/>
      <c r="B20" s="286"/>
      <c r="C20" s="287" t="s">
        <v>236</v>
      </c>
      <c r="D20" s="276">
        <v>192.31705011030570438071225969</v>
      </c>
      <c r="E20" s="94">
        <v>216.41734819037747257493305691</v>
      </c>
      <c r="F20" s="277">
        <v>210.78626274596943436288669975</v>
      </c>
      <c r="G20" s="276">
        <v>1.395524739993696816892530728</v>
      </c>
      <c r="H20" s="94">
        <v>26.989200910217999365570875819</v>
      </c>
      <c r="I20" s="277">
        <v>75.644719574617908783423619515</v>
      </c>
      <c r="J20" s="276">
        <v>32.615505830444374409076583675</v>
      </c>
      <c r="K20" s="94">
        <v>24.234167419612547639781649527</v>
      </c>
      <c r="L20" s="277">
        <v>31.752705561165386883736234964</v>
      </c>
      <c r="M20" s="276">
        <v>226.32808068074377560668137409</v>
      </c>
      <c r="N20" s="94">
        <v>267.64071652020801958028558226</v>
      </c>
      <c r="O20" s="277">
        <v>318.18368788175273003004655423</v>
      </c>
      <c r="P20" s="5"/>
      <c r="Q20" s="271">
        <v>3.8954704505473957463029178900</v>
      </c>
      <c r="R20" s="92">
        <v>16.331773086982474074370555520</v>
      </c>
      <c r="S20" s="272">
        <v>7.3016038874891913180656614700</v>
      </c>
      <c r="T20" s="271">
        <v>-96.15174544248699990817190358</v>
      </c>
      <c r="U20" s="92">
        <v>-37.627011540935101071840942550</v>
      </c>
      <c r="V20" s="272">
        <v>4.6230360109150384263098850800</v>
      </c>
      <c r="W20" s="271">
        <v>38.707717309168464351164667800</v>
      </c>
      <c r="X20" s="92">
        <v>-10.599899139019194285736109310</v>
      </c>
      <c r="Y20" s="272">
        <v>17.989452038276482534356740770</v>
      </c>
      <c r="Z20" s="271">
        <v>-7.5774180603287878354116013700</v>
      </c>
      <c r="AA20" s="92">
        <v>4.3788463707409803022676088700</v>
      </c>
      <c r="AB20" s="272">
        <v>7.619403625801947351683921500</v>
      </c>
      <c r="AC20" s="5"/>
      <c r="AD20" s="271" t="s">
        <v>310</v>
      </c>
      <c r="AE20" s="92" t="s">
        <v>347</v>
      </c>
      <c r="AF20" s="92" t="s">
        <v>347</v>
      </c>
      <c r="AG20" s="272" t="s">
        <v>353</v>
      </c>
    </row>
    <row r="21" ht="20.1" customHeight="1">
      <c r="A21" s="58"/>
      <c r="B21" s="288"/>
      <c r="C21" s="289" t="s">
        <v>218</v>
      </c>
      <c r="D21" s="439">
        <v>197.74146757679180887372013652</v>
      </c>
      <c r="E21" s="95">
        <v>196.79732713254191653408395546</v>
      </c>
      <c r="F21" s="442">
        <v>209.88051842481424480867329464</v>
      </c>
      <c r="G21" s="439">
        <v>1.3060295790671217292377701934</v>
      </c>
      <c r="H21" s="95">
        <v>28.712551438324353125607490026</v>
      </c>
      <c r="I21" s="442">
        <v>84.0583579156550710481725536</v>
      </c>
      <c r="J21" s="439">
        <v>33.148464163822525597269624573</v>
      </c>
      <c r="K21" s="95">
        <v>24.233157390372276703291789605</v>
      </c>
      <c r="L21" s="442">
        <v>29.298776159374497465586422507</v>
      </c>
      <c r="M21" s="439">
        <v>232.19596131968145620022753129</v>
      </c>
      <c r="N21" s="95">
        <v>249.74303596123854636298323509</v>
      </c>
      <c r="O21" s="442">
        <v>323.23765249984381332243227075</v>
      </c>
      <c r="P21" s="5"/>
      <c r="Q21" s="420">
        <v>-13.506194806365047538624903530</v>
      </c>
      <c r="R21" s="91">
        <v>-5.4592461481077522928095363800</v>
      </c>
      <c r="S21" s="498">
        <v>0.7072243677454946598614181800</v>
      </c>
      <c r="T21" s="420">
        <v>-96.93333725682000677408468703</v>
      </c>
      <c r="U21" s="91">
        <v>-28.801232444131490108504975060</v>
      </c>
      <c r="V21" s="498">
        <v>4.5266742214309118662307655700</v>
      </c>
      <c r="W21" s="420">
        <v>20.299152508986107631623018920</v>
      </c>
      <c r="X21" s="91">
        <v>-5.4691031823580991068231783600</v>
      </c>
      <c r="Y21" s="498">
        <v>-16.789944861167705274379457580</v>
      </c>
      <c r="Z21" s="420">
        <v>-22.280683648900971564514451910</v>
      </c>
      <c r="AA21" s="91">
        <v>-8.894088860387739116901211420</v>
      </c>
      <c r="AB21" s="498">
        <v>-0.246169516161915801298426700</v>
      </c>
      <c r="AC21" s="5"/>
      <c r="AD21" s="420" t="s">
        <v>305</v>
      </c>
      <c r="AE21" s="91" t="s">
        <v>347</v>
      </c>
      <c r="AF21" s="91" t="s">
        <v>345</v>
      </c>
      <c r="AG21" s="421" t="s">
        <v>346</v>
      </c>
    </row>
    <row r="22" ht="20.1" customHeight="1">
      <c r="A22" s="58"/>
      <c r="B22" s="286"/>
      <c r="C22" s="287" t="s">
        <v>222</v>
      </c>
      <c r="D22" s="276">
        <v>278.76683361157484696716750139</v>
      </c>
      <c r="E22" s="94">
        <v>283.66124221466508731038172024</v>
      </c>
      <c r="F22" s="277">
        <v>261.11490559647785962238591144</v>
      </c>
      <c r="G22" s="276">
        <v>1.4961046188091263216471897607</v>
      </c>
      <c r="H22" s="94">
        <v>29.766025473080806121594820305</v>
      </c>
      <c r="I22" s="277">
        <v>73.203960617774386191754579866</v>
      </c>
      <c r="J22" s="276">
        <v>35.466332776850306065664997218</v>
      </c>
      <c r="K22" s="94">
        <v>25.547372202625375878879467635</v>
      </c>
      <c r="L22" s="277">
        <v>27.953484479097881157171629104</v>
      </c>
      <c r="M22" s="276">
        <v>315.72927100723427935447968837</v>
      </c>
      <c r="N22" s="94">
        <v>338.97463989037126931085600815</v>
      </c>
      <c r="O22" s="277">
        <v>362.2723506933501269713121204</v>
      </c>
      <c r="P22" s="5"/>
      <c r="Q22" s="271">
        <v>-16.007339721233494521939845730</v>
      </c>
      <c r="R22" s="92">
        <v>-11.044620532183612222994690910</v>
      </c>
      <c r="S22" s="272">
        <v>-0.494339578659586315844343500</v>
      </c>
      <c r="T22" s="271">
        <v>-97.64883895321865778361590932</v>
      </c>
      <c r="U22" s="92">
        <v>-37.548178437823788555772684450</v>
      </c>
      <c r="V22" s="272">
        <v>2.7093417904515788926590864900</v>
      </c>
      <c r="W22" s="271">
        <v>59.646720728248411819777972880</v>
      </c>
      <c r="X22" s="92">
        <v>-22.785397183812973706208221150</v>
      </c>
      <c r="Y22" s="272">
        <v>-3.9470572981705382059726419400</v>
      </c>
      <c r="Z22" s="271">
        <v>-24.420099738231700298847014060</v>
      </c>
      <c r="AA22" s="92">
        <v>-15.177655226981917134481880840</v>
      </c>
      <c r="AB22" s="272">
        <v>-0.141917527026891548901150100</v>
      </c>
      <c r="AC22" s="5"/>
      <c r="AD22" s="271" t="s">
        <v>305</v>
      </c>
      <c r="AE22" s="92" t="s">
        <v>347</v>
      </c>
      <c r="AF22" s="92" t="s">
        <v>347</v>
      </c>
      <c r="AG22" s="272" t="s">
        <v>346</v>
      </c>
    </row>
    <row r="23" ht="20.1" customHeight="1">
      <c r="A23" s="58"/>
      <c r="B23" s="288">
        <v>2025</v>
      </c>
      <c r="C23" s="289" t="s">
        <v>224</v>
      </c>
      <c r="D23" s="439">
        <v>280.59288217848476678349959558</v>
      </c>
      <c r="E23" s="95">
        <v>279.67381493564693650736743984</v>
      </c>
      <c r="F23" s="442">
        <v>265.86633131313131313131313131</v>
      </c>
      <c r="G23" s="439">
        <v>1.8312213534645456996495012133</v>
      </c>
      <c r="H23" s="95">
        <v>78.708086741804549138668848949</v>
      </c>
      <c r="I23" s="442">
        <v>80.8733889664673889312386544</v>
      </c>
      <c r="J23" s="439">
        <v>29.510919385279050957131302238</v>
      </c>
      <c r="K23" s="95">
        <v>26.970442235026631019818842162</v>
      </c>
      <c r="L23" s="442">
        <v>22.000064568595491684613850053</v>
      </c>
      <c r="M23" s="439">
        <v>311.93502291722836344028039903</v>
      </c>
      <c r="N23" s="95">
        <v>385.35234391247811666585513094</v>
      </c>
      <c r="O23" s="442">
        <v>368.73978484819419374716563576</v>
      </c>
      <c r="P23" s="5"/>
      <c r="Q23" s="420">
        <v>-2.4242103584108571590060360400</v>
      </c>
      <c r="R23" s="91">
        <v>-3.8693861858512351675854676600</v>
      </c>
      <c r="S23" s="498">
        <v>1.137203883575976900584853500</v>
      </c>
      <c r="T23" s="420">
        <v>-81.83444325896281103430843300</v>
      </c>
      <c r="U23" s="91">
        <v>23.027481527940937586224974600</v>
      </c>
      <c r="V23" s="498">
        <v>4.1127911051088030025945117900</v>
      </c>
      <c r="W23" s="420">
        <v>20.706217533573054121054827420</v>
      </c>
      <c r="X23" s="91">
        <v>-33.686821326301413704590475160</v>
      </c>
      <c r="Y23" s="498">
        <v>-18.388687332503527091781816220</v>
      </c>
      <c r="Z23" s="420">
        <v>-3.1538373394109701784613877200</v>
      </c>
      <c r="AA23" s="91">
        <v>-2.5850889518012556231277134600</v>
      </c>
      <c r="AB23" s="498">
        <v>0.3339053162578960479241608900</v>
      </c>
      <c r="AC23" s="5"/>
      <c r="AD23" s="420" t="s">
        <v>307</v>
      </c>
      <c r="AE23" s="91" t="s">
        <v>345</v>
      </c>
      <c r="AF23" s="91" t="s">
        <v>345</v>
      </c>
      <c r="AG23" s="421" t="s">
        <v>345</v>
      </c>
    </row>
    <row r="24" ht="20.1" customHeight="1">
      <c r="A24" s="59"/>
      <c r="B24" s="286"/>
      <c r="C24" s="287" t="s">
        <v>225</v>
      </c>
      <c r="D24" s="276">
        <v>341.18622300058377116170461179</v>
      </c>
      <c r="E24" s="94">
        <v>356.70795393055764316849541562</v>
      </c>
      <c r="F24" s="277">
        <v>317.60676490825203989885985167</v>
      </c>
      <c r="G24" s="276">
        <v>1.6272621132516053706946876824</v>
      </c>
      <c r="H24" s="94">
        <v>94.05036661807559136480938404</v>
      </c>
      <c r="I24" s="277">
        <v>97.39368485423209856237585472</v>
      </c>
      <c r="J24" s="276">
        <v>27.328079392877991827203736135</v>
      </c>
      <c r="K24" s="94">
        <v>37.122039739871476319459746026</v>
      </c>
      <c r="L24" s="277">
        <v>33.163582799716255468244823773</v>
      </c>
      <c r="M24" s="276">
        <v>370.14156450671336835960303561</v>
      </c>
      <c r="N24" s="94">
        <v>487.88036028850471085276454567</v>
      </c>
      <c r="O24" s="277">
        <v>448.16403256220039392948053018</v>
      </c>
      <c r="P24" s="93"/>
      <c r="Q24" s="271">
        <v>-2.8185209274972965284833102800</v>
      </c>
      <c r="R24" s="92">
        <v>1.599288519129909224921061600</v>
      </c>
      <c r="S24" s="272">
        <v>1.8304798760013231400754907500</v>
      </c>
      <c r="T24" s="271">
        <v>1.8864871796873129454759505600</v>
      </c>
      <c r="U24" s="92">
        <v>61.533716983281302690638567700</v>
      </c>
      <c r="V24" s="272">
        <v>18.494951203030510207151837660</v>
      </c>
      <c r="W24" s="271">
        <v>-5.0082786248472582973069316100</v>
      </c>
      <c r="X24" s="92">
        <v>-14.347085058094687993838457960</v>
      </c>
      <c r="Y24" s="272">
        <v>-0.1950861569493182016000944600</v>
      </c>
      <c r="Z24" s="271">
        <v>-2.9639731936861693816517984200</v>
      </c>
      <c r="AA24" s="92">
        <v>7.7816092084588332543887973300</v>
      </c>
      <c r="AB24" s="272">
        <v>4.878288913634809485308056600</v>
      </c>
      <c r="AC24" s="93"/>
      <c r="AD24" s="271" t="s">
        <v>305</v>
      </c>
      <c r="AE24" s="92" t="s">
        <v>353</v>
      </c>
      <c r="AF24" s="92" t="s">
        <v>353</v>
      </c>
      <c r="AG24" s="272" t="s">
        <v>345</v>
      </c>
    </row>
    <row r="25" ht="20.1" customHeight="1">
      <c r="A25" s="60"/>
      <c r="B25" s="288"/>
      <c r="C25" s="289" t="s">
        <v>226</v>
      </c>
      <c r="D25" s="439">
        <v>296.99331014182499331014182499</v>
      </c>
      <c r="E25" s="95">
        <v>301.25039280274855665356143521</v>
      </c>
      <c r="F25" s="442">
        <v>287.36996481796260426137486658</v>
      </c>
      <c r="G25" s="439">
        <v>1.4112924805994112924805994113</v>
      </c>
      <c r="H25" s="95">
        <v>88.014798742448163989304862</v>
      </c>
      <c r="I25" s="442">
        <v>73.712499138379590710443306677</v>
      </c>
      <c r="J25" s="439">
        <v>30.204977254482204977254482205</v>
      </c>
      <c r="K25" s="95">
        <v>33.524143611205323131119901326</v>
      </c>
      <c r="L25" s="442">
        <v>23.349810807441525902727985469</v>
      </c>
      <c r="M25" s="439">
        <v>328.60957987690660957987690661</v>
      </c>
      <c r="N25" s="95">
        <v>422.78933515640204377398619854</v>
      </c>
      <c r="O25" s="442">
        <v>384.43227476378372087454615871</v>
      </c>
      <c r="P25" s="93"/>
      <c r="Q25" s="420">
        <v>-4.8759899506905570964352785100</v>
      </c>
      <c r="R25" s="91">
        <v>-1.7530606137861855073220900800</v>
      </c>
      <c r="S25" s="498">
        <v>-0.6439183591236760963785330600</v>
      </c>
      <c r="T25" s="420">
        <v>-27.426350612086054863832999740</v>
      </c>
      <c r="U25" s="91">
        <v>18.054641692261890859460661600</v>
      </c>
      <c r="V25" s="498">
        <v>5.8547661911151222788920558200</v>
      </c>
      <c r="W25" s="420">
        <v>10.036188484593537039968512550</v>
      </c>
      <c r="X25" s="91">
        <v>-13.245800081585142297303045210</v>
      </c>
      <c r="Y25" s="498">
        <v>-32.645766656348538244052397650</v>
      </c>
      <c r="Z25" s="420">
        <v>-3.8060976703499164212630887900</v>
      </c>
      <c r="AA25" s="91">
        <v>0.7066419822921909014885414500</v>
      </c>
      <c r="AB25" s="498">
        <v>-2.3130823195088422696753478300</v>
      </c>
      <c r="AC25" s="93"/>
      <c r="AD25" s="420" t="s">
        <v>305</v>
      </c>
      <c r="AE25" s="91" t="s">
        <v>353</v>
      </c>
      <c r="AF25" s="91" t="s">
        <v>345</v>
      </c>
      <c r="AG25" s="421" t="s">
        <v>353</v>
      </c>
    </row>
    <row r="26" ht="20.1" customHeight="1">
      <c r="A26" s="60"/>
      <c r="B26" s="290"/>
      <c r="C26" s="291" t="s">
        <v>228</v>
      </c>
      <c r="D26" s="443">
        <v>266.56623235613463626492942454</v>
      </c>
      <c r="E26" s="444">
        <v>266.70483946038325879058943312</v>
      </c>
      <c r="F26" s="445">
        <v>252.54264097892906757172685151</v>
      </c>
      <c r="G26" s="443">
        <v>1.4402823018458197611292073833</v>
      </c>
      <c r="H26" s="444">
        <v>71.402360855601388135487061884</v>
      </c>
      <c r="I26" s="445">
        <v>79.215474832516464840676658727</v>
      </c>
      <c r="J26" s="443">
        <v>40.041802388707926167209554832</v>
      </c>
      <c r="K26" s="444">
        <v>36.361543310520569489987905797</v>
      </c>
      <c r="L26" s="445">
        <v>24.958367591602709402569699214</v>
      </c>
      <c r="M26" s="443">
        <v>308.04831704668838219326818675</v>
      </c>
      <c r="N26" s="444">
        <v>374.4687436265052164160644008</v>
      </c>
      <c r="O26" s="445">
        <v>356.71648340304824181497320943</v>
      </c>
      <c r="P26" s="184"/>
      <c r="Q26" s="273">
        <v>3.1414733022789974030718427700</v>
      </c>
      <c r="R26" s="274">
        <v>2.4466606707159943313934101900</v>
      </c>
      <c r="S26" s="275">
        <v>2.3580318992408185817642390600</v>
      </c>
      <c r="T26" s="273">
        <v>-10.070653499562254293695356240</v>
      </c>
      <c r="U26" s="274">
        <v>44.496065394739815270384455950</v>
      </c>
      <c r="V26" s="275">
        <v>12.171208719160190205637953630</v>
      </c>
      <c r="W26" s="273">
        <v>29.398876486318647793206793520</v>
      </c>
      <c r="X26" s="274">
        <v>12.869197781469438072529390200</v>
      </c>
      <c r="Y26" s="275">
        <v>-7.6965939704556276718540388900</v>
      </c>
      <c r="Z26" s="273">
        <v>5.8609915172946118502405303300</v>
      </c>
      <c r="AA26" s="274">
        <v>9.504764127912353732975840080</v>
      </c>
      <c r="AB26" s="275">
        <v>3.5808981183895870612333359700</v>
      </c>
      <c r="AC26" s="184"/>
      <c r="AD26" s="273" t="s">
        <v>311</v>
      </c>
      <c r="AE26" s="274" t="s">
        <v>353</v>
      </c>
      <c r="AF26" s="274" t="s">
        <v>345</v>
      </c>
      <c r="AG26" s="275" t="s">
        <v>347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411"/>
      <c r="AD28" s="971"/>
      <c r="AE28" s="971"/>
      <c r="AF28" s="971"/>
      <c r="AG28" s="971"/>
      <c r="AH28" s="9"/>
    </row>
    <row r="29" ht="20.1" customHeight="1">
      <c r="A29" s="58"/>
      <c r="B29" s="284">
        <v>2023</v>
      </c>
      <c r="C29" s="285"/>
      <c r="D29" s="454">
        <v>301.32826475849731663685152057</v>
      </c>
      <c r="E29" s="455">
        <v>308.74952963511851141525973711</v>
      </c>
      <c r="F29" s="436">
        <v>275.61255194186885951832947811</v>
      </c>
      <c r="G29" s="454">
        <v>65.784849318838585385991468281</v>
      </c>
      <c r="H29" s="455">
        <v>71.420580091011013246381876408</v>
      </c>
      <c r="I29" s="436">
        <v>78.509094862330577471364666656</v>
      </c>
      <c r="J29" s="454">
        <v>25.310169258290904086968487684</v>
      </c>
      <c r="K29" s="455">
        <v>31.786156938194855325548301612</v>
      </c>
      <c r="L29" s="436">
        <v>30.404907667291302504179408547</v>
      </c>
      <c r="M29" s="454">
        <v>392.42328333562680610981147654</v>
      </c>
      <c r="N29" s="455">
        <v>411.95626666432437998718991513</v>
      </c>
      <c r="O29" s="436">
        <v>384.52655447149073949387355331</v>
      </c>
      <c r="P29" s="217"/>
      <c r="Q29" s="427">
        <v>-8.758883111926927059745052090</v>
      </c>
      <c r="R29" s="428">
        <v>-12.676414768417878822540006400</v>
      </c>
      <c r="S29" s="417">
        <v>-2.1948933566032839016177421600</v>
      </c>
      <c r="T29" s="427">
        <v>-6.6726599024941105509607467100</v>
      </c>
      <c r="U29" s="428">
        <v>19.176633271775277995052082330</v>
      </c>
      <c r="V29" s="417">
        <v>27.760395239245078573608359060</v>
      </c>
      <c r="W29" s="427">
        <v>10.912867491601256475672858650</v>
      </c>
      <c r="X29" s="428">
        <v>28.354999570504148385175852470</v>
      </c>
      <c r="Y29" s="417">
        <v>12.592966469946715556304647780</v>
      </c>
      <c r="Z29" s="427">
        <v>-7.3518646529442568233195101800</v>
      </c>
      <c r="AA29" s="428">
        <v>-6.0022967626024552546785055900</v>
      </c>
      <c r="AB29" s="417">
        <v>3.8552945196715213148312162100</v>
      </c>
      <c r="AC29" s="5"/>
      <c r="AD29" s="427" t="s">
        <v>305</v>
      </c>
      <c r="AE29" s="428" t="s">
        <v>348</v>
      </c>
      <c r="AF29" s="428" t="s">
        <v>349</v>
      </c>
      <c r="AG29" s="429" t="s">
        <v>350</v>
      </c>
    </row>
    <row r="30" ht="20.1" customHeight="1">
      <c r="A30" s="58"/>
      <c r="B30" s="286">
        <v>2024</v>
      </c>
      <c r="C30" s="287"/>
      <c r="D30" s="276">
        <v>301.98571039738704409363091998</v>
      </c>
      <c r="E30" s="94">
        <v>301.86262093967413356919627867</v>
      </c>
      <c r="F30" s="277">
        <v>277.56203390639457376197402947</v>
      </c>
      <c r="G30" s="276">
        <v>3.797291780076211213935764834</v>
      </c>
      <c r="H30" s="94">
        <v>61.794577653570598998855279044</v>
      </c>
      <c r="I30" s="277">
        <v>74.902558617397563718758971452</v>
      </c>
      <c r="J30" s="276">
        <v>27.900857376156777354382144801</v>
      </c>
      <c r="K30" s="94">
        <v>38.669748390320422445075355718</v>
      </c>
      <c r="L30" s="277">
        <v>30.506739655404473136970003106</v>
      </c>
      <c r="M30" s="276">
        <v>333.68385955362003266194882961</v>
      </c>
      <c r="N30" s="94">
        <v>402.32694698356515501312691343</v>
      </c>
      <c r="O30" s="277">
        <v>382.97133217919661061770300402</v>
      </c>
      <c r="P30" s="217"/>
      <c r="Q30" s="271">
        <v>0.2181825323999907241947241800</v>
      </c>
      <c r="R30" s="92">
        <v>-2.2305811132944095212760394100</v>
      </c>
      <c r="S30" s="272">
        <v>0.7073269888323267448594327100</v>
      </c>
      <c r="T30" s="271">
        <v>-94.22771075802856504157844888</v>
      </c>
      <c r="U30" s="92">
        <v>-13.477911303946987989390399640</v>
      </c>
      <c r="V30" s="272">
        <v>-4.5937814608970761322574185600</v>
      </c>
      <c r="W30" s="271">
        <v>10.235759751022641996150482140</v>
      </c>
      <c r="X30" s="92">
        <v>21.655941186925472301024932330</v>
      </c>
      <c r="Y30" s="272">
        <v>0.3349195768615730367888519800</v>
      </c>
      <c r="Z30" s="271">
        <v>-14.968383955889302007110182820</v>
      </c>
      <c r="AA30" s="92">
        <v>-2.3374616336596971083507487400</v>
      </c>
      <c r="AB30" s="272">
        <v>-0.4044512073921433107173764300</v>
      </c>
      <c r="AC30" s="5"/>
      <c r="AD30" s="271" t="s">
        <v>310</v>
      </c>
      <c r="AE30" s="92" t="s">
        <v>349</v>
      </c>
      <c r="AF30" s="92" t="s">
        <v>354</v>
      </c>
      <c r="AG30" s="272" t="s">
        <v>349</v>
      </c>
    </row>
    <row r="31" ht="20.1" customHeight="1">
      <c r="A31" s="58"/>
      <c r="B31" s="425">
        <v>2025</v>
      </c>
      <c r="C31" s="426"/>
      <c r="D31" s="457">
        <v>295.51504534212695795548227535</v>
      </c>
      <c r="E31" s="458">
        <v>300.56065385208501528497174321</v>
      </c>
      <c r="F31" s="499">
        <v>280.68914138444152404133790825</v>
      </c>
      <c r="G31" s="457">
        <v>1.5764633140972794723825226711</v>
      </c>
      <c r="H31" s="458">
        <v>82.97273341299190590942653135</v>
      </c>
      <c r="I31" s="499">
        <v>82.61562083729401082600669282</v>
      </c>
      <c r="J31" s="457">
        <v>31.840615553723550425941192635</v>
      </c>
      <c r="K31" s="458">
        <v>33.442286450138731450342757981</v>
      </c>
      <c r="L31" s="499">
        <v>25.781352644403500953215121147</v>
      </c>
      <c r="M31" s="457">
        <v>328.93212420994778785380599066</v>
      </c>
      <c r="N31" s="458">
        <v>416.97567371521565264474103255</v>
      </c>
      <c r="O31" s="499">
        <v>389.08611486613903582055972222</v>
      </c>
      <c r="P31" s="496"/>
      <c r="Q31" s="430">
        <v>-2.1427057084118084790466402400</v>
      </c>
      <c r="R31" s="431">
        <v>-0.4313111320513795338891060100</v>
      </c>
      <c r="S31" s="500">
        <v>1.1266337236511435878421969800</v>
      </c>
      <c r="T31" s="430">
        <v>-58.484535679905956342853679060</v>
      </c>
      <c r="U31" s="431">
        <v>34.27186747372828541433086900</v>
      </c>
      <c r="V31" s="500">
        <v>10.297461611815023506487906180</v>
      </c>
      <c r="W31" s="430">
        <v>14.120563122494738993558457870</v>
      </c>
      <c r="X31" s="431">
        <v>-13.518220722306370009174820260</v>
      </c>
      <c r="Y31" s="500">
        <v>-15.489649383624178862617897600</v>
      </c>
      <c r="Z31" s="430">
        <v>-1.42402313075887200594647100</v>
      </c>
      <c r="AA31" s="431">
        <v>3.6410006442379254180048875300</v>
      </c>
      <c r="AB31" s="500">
        <v>1.5966685161900854342661578400</v>
      </c>
      <c r="AC31" s="184"/>
      <c r="AD31" s="430" t="s">
        <v>305</v>
      </c>
      <c r="AE31" s="431" t="s">
        <v>353</v>
      </c>
      <c r="AF31" s="431" t="s">
        <v>353</v>
      </c>
      <c r="AG31" s="432" t="s">
        <v>353</v>
      </c>
    </row>
    <row r="32" ht="21" customHeight="1"/>
    <row r="33" ht="24.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411"/>
      <c r="AD33" s="971"/>
      <c r="AE33" s="971"/>
      <c r="AF33" s="971"/>
      <c r="AG33" s="971"/>
      <c r="AH33" s="9"/>
    </row>
    <row r="34" ht="20.1" customHeight="1">
      <c r="A34" s="58"/>
      <c r="B34" s="284">
        <v>2023</v>
      </c>
      <c r="C34" s="285"/>
      <c r="D34" s="454">
        <v>308.60566020054352919126604817</v>
      </c>
      <c r="E34" s="455">
        <v>316.44259747781902430034489114</v>
      </c>
      <c r="F34" s="436">
        <v>281.03036197082751796928256745</v>
      </c>
      <c r="G34" s="454">
        <v>64.142910692531159216568269141</v>
      </c>
      <c r="H34" s="455">
        <v>72.89693722081138912078425076</v>
      </c>
      <c r="I34" s="436">
        <v>80.44084445556663520563195404</v>
      </c>
      <c r="J34" s="454">
        <v>24.713335207571923905913222753</v>
      </c>
      <c r="K34" s="455">
        <v>33.329482496926189246972627291</v>
      </c>
      <c r="L34" s="436">
        <v>31.593671951773805397350220882</v>
      </c>
      <c r="M34" s="454">
        <v>397.46190610064661231374754006</v>
      </c>
      <c r="N34" s="455">
        <v>422.66901719555660266810176919</v>
      </c>
      <c r="O34" s="436">
        <v>393.06487837816795857226474237</v>
      </c>
      <c r="P34" s="5"/>
      <c r="Q34" s="427">
        <v>-11.808452825097427195128043790</v>
      </c>
      <c r="R34" s="428">
        <v>-14.611550517295290138762598970</v>
      </c>
      <c r="S34" s="417">
        <v>-4.2250489917636365073072229300</v>
      </c>
      <c r="T34" s="427">
        <v>-17.848281352284498170650337970</v>
      </c>
      <c r="U34" s="428">
        <v>11.593908781155754802072617600</v>
      </c>
      <c r="V34" s="417">
        <v>24.495863991974556659095487520</v>
      </c>
      <c r="W34" s="427">
        <v>7.6144757698391564764739192100</v>
      </c>
      <c r="X34" s="428">
        <v>28.628290549483116970092656960</v>
      </c>
      <c r="Y34" s="417">
        <v>21.012715132031149824969953010</v>
      </c>
      <c r="Z34" s="427">
        <v>-11.865085728856896764184267190</v>
      </c>
      <c r="AA34" s="428">
        <v>-8.478865319936113630196158100</v>
      </c>
      <c r="AB34" s="417">
        <v>2.3209887373951127934669317600</v>
      </c>
      <c r="AC34" s="5"/>
      <c r="AD34" s="427" t="s">
        <v>305</v>
      </c>
      <c r="AE34" s="428" t="s">
        <v>348</v>
      </c>
      <c r="AF34" s="428" t="s">
        <v>349</v>
      </c>
      <c r="AG34" s="429" t="s">
        <v>350</v>
      </c>
    </row>
    <row r="35" ht="20.1" customHeight="1">
      <c r="A35" s="58"/>
      <c r="B35" s="286">
        <v>2024</v>
      </c>
      <c r="C35" s="287"/>
      <c r="D35" s="276">
        <v>306.75810541568556420938235827</v>
      </c>
      <c r="E35" s="94">
        <v>305.45572428913301440389807068</v>
      </c>
      <c r="F35" s="277">
        <v>282.43488543100795575864305702</v>
      </c>
      <c r="G35" s="276">
        <v>1.7179858721246151059590653867</v>
      </c>
      <c r="H35" s="94">
        <v>61.077557427083738309973073205</v>
      </c>
      <c r="I35" s="277">
        <v>73.981398057421611521285278782</v>
      </c>
      <c r="J35" s="276">
        <v>29.043289259192175330556058685</v>
      </c>
      <c r="K35" s="94">
        <v>38.011851592518228318493945523</v>
      </c>
      <c r="L35" s="277">
        <v>31.6845785406751218357589297</v>
      </c>
      <c r="M35" s="276">
        <v>337.51938054700235464589748234</v>
      </c>
      <c r="N35" s="94">
        <v>404.5451333087349810323650894</v>
      </c>
      <c r="O35" s="277">
        <v>388.1008620291046891156872655</v>
      </c>
      <c r="P35" s="5"/>
      <c r="Q35" s="271">
        <v>-0.5986781913248402563359780900</v>
      </c>
      <c r="R35" s="92">
        <v>-3.4719956403586810490207648200</v>
      </c>
      <c r="S35" s="272">
        <v>0.4997764121849191764557643800</v>
      </c>
      <c r="T35" s="271">
        <v>-97.32162782515341478092206489</v>
      </c>
      <c r="U35" s="92">
        <v>-16.213822204787757079362002770</v>
      </c>
      <c r="V35" s="272">
        <v>-8.030057916340913344799713960</v>
      </c>
      <c r="W35" s="271">
        <v>17.520719138955395530731313940</v>
      </c>
      <c r="X35" s="92">
        <v>14.048730267725395846735492500</v>
      </c>
      <c r="Y35" s="272">
        <v>0.2877366993422319660781611800</v>
      </c>
      <c r="Z35" s="271">
        <v>-15.081325941818895080886747720</v>
      </c>
      <c r="AA35" s="92">
        <v>-4.2879613005742899446333440300</v>
      </c>
      <c r="AB35" s="272">
        <v>-1.2629000000145072957288918400</v>
      </c>
      <c r="AC35" s="5"/>
      <c r="AD35" s="271" t="s">
        <v>305</v>
      </c>
      <c r="AE35" s="92" t="s">
        <v>349</v>
      </c>
      <c r="AF35" s="92" t="s">
        <v>351</v>
      </c>
      <c r="AG35" s="272" t="s">
        <v>352</v>
      </c>
    </row>
    <row r="36" ht="20.1" customHeight="1">
      <c r="A36" s="58"/>
      <c r="B36" s="425">
        <v>2025</v>
      </c>
      <c r="C36" s="426"/>
      <c r="D36" s="457">
        <v>300.6174979256937402046648843</v>
      </c>
      <c r="E36" s="458">
        <v>307.63563743229786510577320088</v>
      </c>
      <c r="F36" s="499">
        <v>285.71265310593664204191456877</v>
      </c>
      <c r="G36" s="457">
        <v>1.4893518945330506130727390062</v>
      </c>
      <c r="H36" s="458">
        <v>84.41729404252374646521241087</v>
      </c>
      <c r="I36" s="499">
        <v>83.20607043373050418684729766</v>
      </c>
      <c r="J36" s="457">
        <v>32.637226883009126947543099475</v>
      </c>
      <c r="K36" s="458">
        <v>35.634489479941294019363761841</v>
      </c>
      <c r="L36" s="499">
        <v>27.062846833412712701863016307</v>
      </c>
      <c r="M36" s="457">
        <v>334.74407670323591776528072278</v>
      </c>
      <c r="N36" s="458">
        <v>427.68742095476290559034937361</v>
      </c>
      <c r="O36" s="499">
        <v>395.98157037307985893062488274</v>
      </c>
      <c r="P36" s="184"/>
      <c r="Q36" s="430">
        <v>-2.0017751386503318450104802400</v>
      </c>
      <c r="R36" s="431">
        <v>0.7136592867170091426652484200</v>
      </c>
      <c r="S36" s="500">
        <v>1.1605392407296704563849076600</v>
      </c>
      <c r="T36" s="430">
        <v>-13.308257144598982463731343850</v>
      </c>
      <c r="U36" s="431">
        <v>38.213277672869000841649426610</v>
      </c>
      <c r="V36" s="500">
        <v>12.468907885700336536564643570</v>
      </c>
      <c r="W36" s="430">
        <v>12.374416656924217408006124770</v>
      </c>
      <c r="X36" s="431">
        <v>-6.2542654802634657546016466400</v>
      </c>
      <c r="Y36" s="500">
        <v>-14.586691444705517796747202900</v>
      </c>
      <c r="Z36" s="430">
        <v>-0.8222650323860788401446536100</v>
      </c>
      <c r="AA36" s="431">
        <v>5.7205700280674260178790062200</v>
      </c>
      <c r="AB36" s="500">
        <v>2.0305825405224066241143423200</v>
      </c>
      <c r="AC36" s="184"/>
      <c r="AD36" s="430" t="s">
        <v>305</v>
      </c>
      <c r="AE36" s="431" t="s">
        <v>353</v>
      </c>
      <c r="AF36" s="431" t="s">
        <v>345</v>
      </c>
      <c r="AG36" s="432" t="s">
        <v>345</v>
      </c>
    </row>
    <row r="37" ht="21" customHeight="1"/>
    <row r="38" ht="24.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411"/>
      <c r="AD38" s="971"/>
      <c r="AE38" s="971"/>
      <c r="AF38" s="971"/>
      <c r="AG38" s="971"/>
      <c r="AH38" s="9"/>
    </row>
    <row r="39" ht="20.1" customHeight="1">
      <c r="A39" s="58"/>
      <c r="B39" s="284">
        <v>2023</v>
      </c>
      <c r="C39" s="285"/>
      <c r="D39" s="454">
        <v>264.9490214375168823514966972</v>
      </c>
      <c r="E39" s="455">
        <v>263.1334713959288311760689953</v>
      </c>
      <c r="F39" s="436">
        <v>232.67033976764668394268667384</v>
      </c>
      <c r="G39" s="454">
        <v>58.317928443385801635439432262</v>
      </c>
      <c r="H39" s="455">
        <v>61.899047961085827818644790694</v>
      </c>
      <c r="I39" s="436">
        <v>133.85875666351218825473907684</v>
      </c>
      <c r="J39" s="454">
        <v>24.860766642929057289492424428</v>
      </c>
      <c r="K39" s="455">
        <v>31.147968429498366668765179552</v>
      </c>
      <c r="L39" s="436">
        <v>29.40638376979323845808714144</v>
      </c>
      <c r="M39" s="454">
        <v>348.12771652383174127642855389</v>
      </c>
      <c r="N39" s="455">
        <v>356.18048778651302566347896556</v>
      </c>
      <c r="O39" s="436">
        <v>395.9354802009521106555128921</v>
      </c>
      <c r="P39" s="5"/>
      <c r="Q39" s="427">
        <v>-4.0095043249644541521713745500</v>
      </c>
      <c r="R39" s="428">
        <v>-7.5454435119394040983846615500</v>
      </c>
      <c r="S39" s="417">
        <v>0.3811839544733784070649685500</v>
      </c>
      <c r="T39" s="427">
        <v>11.020826756574031762727167630</v>
      </c>
      <c r="U39" s="428">
        <v>10.549815073260839168602638970</v>
      </c>
      <c r="V39" s="417">
        <v>167.54293320132367853506377563</v>
      </c>
      <c r="W39" s="427">
        <v>5.6325626371383544909059717500</v>
      </c>
      <c r="X39" s="428">
        <v>11.958585521049536053693503510</v>
      </c>
      <c r="Y39" s="417">
        <v>17.441209338089387954555998150</v>
      </c>
      <c r="Z39" s="427">
        <v>-1.1225089474161452874030409900</v>
      </c>
      <c r="AA39" s="428">
        <v>-3.3225327952608239856874571800</v>
      </c>
      <c r="AB39" s="417">
        <v>29.028611145252713501665308700</v>
      </c>
      <c r="AC39" s="5"/>
      <c r="AD39" s="427" t="s">
        <v>311</v>
      </c>
      <c r="AE39" s="428" t="s">
        <v>221</v>
      </c>
      <c r="AF39" s="428" t="s">
        <v>219</v>
      </c>
      <c r="AG39" s="429" t="s">
        <v>220</v>
      </c>
    </row>
    <row r="40" ht="20.1" customHeight="1">
      <c r="A40" s="58"/>
      <c r="B40" s="286">
        <v>2024</v>
      </c>
      <c r="C40" s="287"/>
      <c r="D40" s="276">
        <v>247.54056902002107481559536354</v>
      </c>
      <c r="E40" s="94">
        <v>248.29449911219945537075896744</v>
      </c>
      <c r="F40" s="277">
        <v>229.43211905328732318607540323</v>
      </c>
      <c r="G40" s="276">
        <v>30.388529278940237844347433389</v>
      </c>
      <c r="H40" s="94">
        <v>52.535927450733301280145590187</v>
      </c>
      <c r="I40" s="277">
        <v>69.27271379881185379692770396</v>
      </c>
      <c r="J40" s="276">
        <v>26.665813638416378142405539666</v>
      </c>
      <c r="K40" s="94">
        <v>35.57827309880073276133241453</v>
      </c>
      <c r="L40" s="277">
        <v>31.298597105178811078159682709</v>
      </c>
      <c r="M40" s="276">
        <v>304.59491193737769080234833659</v>
      </c>
      <c r="N40" s="94">
        <v>336.40869966173348941223697217</v>
      </c>
      <c r="O40" s="277">
        <v>330.00342995727798806116278992</v>
      </c>
      <c r="P40" s="5"/>
      <c r="Q40" s="271">
        <v>-6.5704913054700533213040833200</v>
      </c>
      <c r="R40" s="92">
        <v>-5.6393328469316721354078678100</v>
      </c>
      <c r="S40" s="272">
        <v>-1.3917634355746138670704651900</v>
      </c>
      <c r="T40" s="271">
        <v>-47.891617397840901709721251470</v>
      </c>
      <c r="U40" s="92">
        <v>-15.126437027352799874231747420</v>
      </c>
      <c r="V40" s="272">
        <v>-48.249396957307295901762592010</v>
      </c>
      <c r="W40" s="271">
        <v>7.2606248288480778015498294800</v>
      </c>
      <c r="X40" s="92">
        <v>14.223414536098044433560846370</v>
      </c>
      <c r="Y40" s="272">
        <v>6.4347025808800443446074321500</v>
      </c>
      <c r="Z40" s="271">
        <v>-12.504837311178628294478572460</v>
      </c>
      <c r="AA40" s="92">
        <v>-5.5510587476700916345644047400</v>
      </c>
      <c r="AB40" s="272">
        <v>-16.652220763405959022513272220</v>
      </c>
      <c r="AC40" s="5"/>
      <c r="AD40" s="271" t="s">
        <v>305</v>
      </c>
      <c r="AE40" s="92" t="s">
        <v>350</v>
      </c>
      <c r="AF40" s="92" t="s">
        <v>351</v>
      </c>
      <c r="AG40" s="272" t="s">
        <v>350</v>
      </c>
    </row>
    <row r="41" ht="20.1" customHeight="1">
      <c r="A41" s="58"/>
      <c r="B41" s="425">
        <v>2025</v>
      </c>
      <c r="C41" s="426"/>
      <c r="D41" s="457">
        <v>233.51403338073497492702642018</v>
      </c>
      <c r="E41" s="458">
        <v>239.38703851767458008757234494</v>
      </c>
      <c r="F41" s="499">
        <v>229.44761264533924712959817579</v>
      </c>
      <c r="G41" s="457">
        <v>1.6044457750168400568819699124</v>
      </c>
      <c r="H41" s="458">
        <v>51.645720941415109302679132491</v>
      </c>
      <c r="I41" s="499">
        <v>70.434850508970174232446159428</v>
      </c>
      <c r="J41" s="457">
        <v>32.425691689743781653069879999</v>
      </c>
      <c r="K41" s="458">
        <v>34.063784040521262874892928796</v>
      </c>
      <c r="L41" s="499">
        <v>29.606054334819707228540752835</v>
      </c>
      <c r="M41" s="457">
        <v>267.54417084549559663697827009</v>
      </c>
      <c r="N41" s="458">
        <v>325.09654349961095226514440622</v>
      </c>
      <c r="O41" s="499">
        <v>329.48851748912912859058508805</v>
      </c>
      <c r="P41" s="184"/>
      <c r="Q41" s="430">
        <v>-5.6663583245345749399431431500</v>
      </c>
      <c r="R41" s="431">
        <v>-3.5874578882636832650069313200</v>
      </c>
      <c r="S41" s="500">
        <v>0.0067530178874596764998538800</v>
      </c>
      <c r="T41" s="430">
        <v>-94.72022564734360986238163151</v>
      </c>
      <c r="U41" s="431">
        <v>-1.6944718642690096722961430100</v>
      </c>
      <c r="V41" s="500">
        <v>1.6776254984690750464402743400</v>
      </c>
      <c r="W41" s="430">
        <v>21.600233652909401310570437260</v>
      </c>
      <c r="X41" s="431">
        <v>-4.2567806876771050851234161400</v>
      </c>
      <c r="Y41" s="500">
        <v>-5.407727268705890186645269400</v>
      </c>
      <c r="Z41" s="430">
        <v>-12.163939593160055657246147550</v>
      </c>
      <c r="AA41" s="431">
        <v>-3.3626229563815683709411913500</v>
      </c>
      <c r="AB41" s="500">
        <v>-0.1560324594921626328605328100</v>
      </c>
      <c r="AC41" s="184"/>
      <c r="AD41" s="430" t="s">
        <v>305</v>
      </c>
      <c r="AE41" s="431" t="s">
        <v>353</v>
      </c>
      <c r="AF41" s="431" t="s">
        <v>347</v>
      </c>
      <c r="AG41" s="432" t="s">
        <v>353</v>
      </c>
    </row>
    <row r="42" ht="14.1" customHeight="1"/>
    <row r="43" ht="20.1" customHeight="1">
      <c r="B43" s="7" t="s">
        <v>102</v>
      </c>
    </row>
    <row r="44" ht="14.1" customHeight="1">
      <c r="B44" s="7"/>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199</v>
      </c>
      <c r="AD1" s="5"/>
      <c r="AG1" s="685"/>
      <c r="AI1" s="236"/>
    </row>
    <row r="2" ht="21" customHeight="1">
      <c r="B2" s="11" t="s">
        <v>208</v>
      </c>
    </row>
    <row r="3" ht="21" customHeight="1">
      <c r="B3" s="11" t="s">
        <v>209</v>
      </c>
      <c r="U3" s="1040" t="s">
        <v>294</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92</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103</v>
      </c>
      <c r="N7" s="283"/>
      <c r="O7" s="283"/>
      <c r="Q7" s="283" t="s">
        <v>20</v>
      </c>
      <c r="R7" s="283"/>
      <c r="S7" s="283"/>
      <c r="T7" s="283" t="s">
        <v>18</v>
      </c>
      <c r="U7" s="283"/>
      <c r="V7" s="283"/>
      <c r="W7" s="283" t="s">
        <v>17</v>
      </c>
      <c r="X7" s="283"/>
      <c r="Y7" s="283"/>
      <c r="Z7" s="283" t="s">
        <v>103</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2023</v>
      </c>
      <c r="C9" s="285" t="s">
        <v>218</v>
      </c>
      <c r="D9" s="434">
        <v>169.96338383838383838383838384</v>
      </c>
      <c r="E9" s="435">
        <v>161.37040077444336882865440465</v>
      </c>
      <c r="F9" s="436">
        <v>159.41923294490326960063355583</v>
      </c>
      <c r="G9" s="434">
        <v>31.661363636363636363636363636</v>
      </c>
      <c r="H9" s="435">
        <v>31.262453091136420511747169526</v>
      </c>
      <c r="I9" s="436">
        <v>61.51527680814080502773769819</v>
      </c>
      <c r="J9" s="434">
        <v>20.485353535353535353535353535</v>
      </c>
      <c r="K9" s="435">
        <v>19.872841459468439548186820161</v>
      </c>
      <c r="L9" s="436">
        <v>26.93412573987910248904282589</v>
      </c>
      <c r="M9" s="434">
        <v>222.11010101010101010101010101</v>
      </c>
      <c r="N9" s="435">
        <v>212.50569532504822888858839434</v>
      </c>
      <c r="O9" s="436">
        <v>247.86863549292317711741407991</v>
      </c>
      <c r="P9" s="5"/>
      <c r="Q9" s="415">
        <v>-25.240864691475467823792435350</v>
      </c>
      <c r="R9" s="416">
        <v>-17.046799141574024122878981380</v>
      </c>
      <c r="S9" s="417">
        <v>-5.2947288688606289886456531600</v>
      </c>
      <c r="T9" s="415">
        <v>-38.190360222248652361588340250</v>
      </c>
      <c r="U9" s="416">
        <v>-23.466695916928765097044466170</v>
      </c>
      <c r="V9" s="417">
        <v>6.450534872486402836476932600</v>
      </c>
      <c r="W9" s="415">
        <v>-4.6632976849208487136063959600</v>
      </c>
      <c r="X9" s="416">
        <v>5.7829521346333373975137401900</v>
      </c>
      <c r="Y9" s="417">
        <v>30.696827196459191671913953820</v>
      </c>
      <c r="Z9" s="415">
        <v>-25.977942073737323177685123580</v>
      </c>
      <c r="AA9" s="416">
        <v>-16.391132270661707124238958770</v>
      </c>
      <c r="AB9" s="417">
        <v>0.4624223256148124479680453900</v>
      </c>
      <c r="AC9" s="5"/>
      <c r="AD9" s="427" t="s">
        <v>307</v>
      </c>
      <c r="AE9" s="428" t="s">
        <v>348</v>
      </c>
      <c r="AF9" s="428" t="s">
        <v>349</v>
      </c>
      <c r="AG9" s="429" t="s">
        <v>352</v>
      </c>
    </row>
    <row r="10" ht="20.1" customHeight="1">
      <c r="A10" s="58"/>
      <c r="B10" s="286"/>
      <c r="C10" s="287" t="s">
        <v>222</v>
      </c>
      <c r="D10" s="276">
        <v>279.2551319648093841642228739</v>
      </c>
      <c r="E10" s="94">
        <v>250.48982543796646160572088811</v>
      </c>
      <c r="F10" s="277">
        <v>203.4640696141337786762766986</v>
      </c>
      <c r="G10" s="276">
        <v>53.540322580645161290322580645</v>
      </c>
      <c r="H10" s="94">
        <v>37.440190103886984840938717388</v>
      </c>
      <c r="I10" s="277">
        <v>55.262239662144924366093017224</v>
      </c>
      <c r="J10" s="276">
        <v>18.692082111436950146627565982</v>
      </c>
      <c r="K10" s="94">
        <v>25.990168779871216023631919795</v>
      </c>
      <c r="L10" s="277">
        <v>22.56467726775670547307432362</v>
      </c>
      <c r="M10" s="276">
        <v>351.48753665689149560117302053</v>
      </c>
      <c r="N10" s="94">
        <v>313.92018432172466247029152531</v>
      </c>
      <c r="O10" s="277">
        <v>281.29098654403540851544403945</v>
      </c>
      <c r="P10" s="5"/>
      <c r="Q10" s="271">
        <v>1.1595111250441159590923115600</v>
      </c>
      <c r="R10" s="92">
        <v>11.714263131931096452317604660</v>
      </c>
      <c r="S10" s="272">
        <v>7.0889142344664051591049087800</v>
      </c>
      <c r="T10" s="271">
        <v>15.974273463453882793768272330</v>
      </c>
      <c r="U10" s="92">
        <v>-20.443601205214461418354596080</v>
      </c>
      <c r="V10" s="272">
        <v>-91.38713173199543221758700588</v>
      </c>
      <c r="W10" s="271">
        <v>-17.144559389135965888573041540</v>
      </c>
      <c r="X10" s="92">
        <v>-30.210082559297735042053049760</v>
      </c>
      <c r="Y10" s="272">
        <v>2.9306850507574181600867374900</v>
      </c>
      <c r="Z10" s="271">
        <v>1.9455090198249099334767725800</v>
      </c>
      <c r="AA10" s="92">
        <v>1.748555693526720378262196800</v>
      </c>
      <c r="AB10" s="272">
        <v>-67.044262517404281598029054050</v>
      </c>
      <c r="AC10" s="5"/>
      <c r="AD10" s="271" t="s">
        <v>309</v>
      </c>
      <c r="AE10" s="92" t="s">
        <v>348</v>
      </c>
      <c r="AF10" s="92" t="s">
        <v>351</v>
      </c>
      <c r="AG10" s="272" t="s">
        <v>348</v>
      </c>
    </row>
    <row r="11" ht="20.1" customHeight="1">
      <c r="A11" s="58"/>
      <c r="B11" s="288">
        <v>2024</v>
      </c>
      <c r="C11" s="289" t="s">
        <v>224</v>
      </c>
      <c r="D11" s="439">
        <v>256.78372434017595307917888563</v>
      </c>
      <c r="E11" s="95">
        <v>238.59199731443025325547262905</v>
      </c>
      <c r="F11" s="442">
        <v>212.28677507251472268612112156</v>
      </c>
      <c r="G11" s="439">
        <v>9.0017106549364613880742913</v>
      </c>
      <c r="H11" s="95">
        <v>52.46660990741443243938898596</v>
      </c>
      <c r="I11" s="442">
        <v>62.729538496299009068760457491</v>
      </c>
      <c r="J11" s="439">
        <v>21.831622678396871945259042033</v>
      </c>
      <c r="K11" s="95">
        <v>33.354466863117558666914370368</v>
      </c>
      <c r="L11" s="442">
        <v>21.769283319221389767554099386</v>
      </c>
      <c r="M11" s="439">
        <v>287.61705767350928641251221896</v>
      </c>
      <c r="N11" s="95">
        <v>324.41307408496224436177598539</v>
      </c>
      <c r="O11" s="442">
        <v>296.78559688803512152243567844</v>
      </c>
      <c r="P11" s="5"/>
      <c r="Q11" s="497">
        <v>-3.2783369263201432682346229400</v>
      </c>
      <c r="R11" s="216">
        <v>-2.4971917427407654540122811400</v>
      </c>
      <c r="S11" s="498">
        <v>3.3790435684643358690963652400</v>
      </c>
      <c r="T11" s="497">
        <v>-86.44017257627917299664969985</v>
      </c>
      <c r="U11" s="216">
        <v>-8.474273611676233239095431720</v>
      </c>
      <c r="V11" s="498">
        <v>8.942440278650733301569761340</v>
      </c>
      <c r="W11" s="497">
        <v>-14.218086843079073210726156530</v>
      </c>
      <c r="X11" s="216">
        <v>42.478587508200546213815639530</v>
      </c>
      <c r="Y11" s="498">
        <v>2.378995310128600374984593800</v>
      </c>
      <c r="Z11" s="497">
        <v>-19.507729639091613509582487250</v>
      </c>
      <c r="AA11" s="216">
        <v>-0.314721012031697446716605300</v>
      </c>
      <c r="AB11" s="498">
        <v>4.4314255802278756902012932400</v>
      </c>
      <c r="AC11" s="5"/>
      <c r="AD11" s="420" t="s">
        <v>306</v>
      </c>
      <c r="AE11" s="91" t="s">
        <v>352</v>
      </c>
      <c r="AF11" s="91" t="s">
        <v>349</v>
      </c>
      <c r="AG11" s="421" t="s">
        <v>352</v>
      </c>
    </row>
    <row r="12" ht="20.1" customHeight="1">
      <c r="A12" s="58"/>
      <c r="B12" s="286"/>
      <c r="C12" s="287" t="s">
        <v>225</v>
      </c>
      <c r="D12" s="276">
        <v>326.2270114942528735632183908</v>
      </c>
      <c r="E12" s="94">
        <v>307.65902493574111921681302724</v>
      </c>
      <c r="F12" s="277">
        <v>269.07081743869209809264305177</v>
      </c>
      <c r="G12" s="276">
        <v>1.4840647857889237199582027168</v>
      </c>
      <c r="H12" s="94">
        <v>51.020515090135728063820547428</v>
      </c>
      <c r="I12" s="277">
        <v>70.906425976834703369727112145</v>
      </c>
      <c r="J12" s="276">
        <v>26.732236154649947753396029258</v>
      </c>
      <c r="K12" s="94">
        <v>37.978448281175334851447372186</v>
      </c>
      <c r="L12" s="277">
        <v>28.665806390961942644088442623</v>
      </c>
      <c r="M12" s="276">
        <v>354.44331243469174503657262278</v>
      </c>
      <c r="N12" s="94">
        <v>396.65798830705218213208094686</v>
      </c>
      <c r="O12" s="277">
        <v>368.64304980648874410645860654</v>
      </c>
      <c r="P12" s="5"/>
      <c r="Q12" s="271">
        <v>0.147349829674445464388405100</v>
      </c>
      <c r="R12" s="92">
        <v>2.1998459626171330759658884400</v>
      </c>
      <c r="S12" s="272">
        <v>5.1822735734951209993087795500</v>
      </c>
      <c r="T12" s="271">
        <v>-97.74384208085957784193357584</v>
      </c>
      <c r="U12" s="92">
        <v>-6.5468189131696895356294120700</v>
      </c>
      <c r="V12" s="272">
        <v>-4.936166967047595891266201400</v>
      </c>
      <c r="W12" s="271">
        <v>10.357922938538882239121706560</v>
      </c>
      <c r="X12" s="92">
        <v>53.382960936269208891711219550</v>
      </c>
      <c r="Y12" s="272">
        <v>13.353826859689257704298285400</v>
      </c>
      <c r="Z12" s="271">
        <v>-14.745768907809910209038668100</v>
      </c>
      <c r="AA12" s="92">
        <v>4.276124606722550147595388200</v>
      </c>
      <c r="AB12" s="272">
        <v>3.6414190514007627888692775500</v>
      </c>
      <c r="AC12" s="5"/>
      <c r="AD12" s="271" t="s">
        <v>306</v>
      </c>
      <c r="AE12" s="92" t="s">
        <v>351</v>
      </c>
      <c r="AF12" s="92" t="s">
        <v>349</v>
      </c>
      <c r="AG12" s="272" t="s">
        <v>349</v>
      </c>
    </row>
    <row r="13" ht="20.1" customHeight="1">
      <c r="A13" s="58"/>
      <c r="B13" s="288"/>
      <c r="C13" s="289" t="s">
        <v>226</v>
      </c>
      <c r="D13" s="439">
        <v>289.40347018572825024437927664</v>
      </c>
      <c r="E13" s="95">
        <v>269.88579333603972145020766324</v>
      </c>
      <c r="F13" s="442">
        <v>241.2773668970896302764040213</v>
      </c>
      <c r="G13" s="439">
        <v>1.8025415444770283479960899316</v>
      </c>
      <c r="H13" s="95">
        <v>65.621184451451142028975375789</v>
      </c>
      <c r="I13" s="442">
        <v>58.089867251228776314678061227</v>
      </c>
      <c r="J13" s="439">
        <v>25.444281524926686217008797654</v>
      </c>
      <c r="K13" s="95">
        <v>34.012504774878136489452002967</v>
      </c>
      <c r="L13" s="442">
        <v>28.919323830950658615777097433</v>
      </c>
      <c r="M13" s="439">
        <v>316.65029325513196480938416422</v>
      </c>
      <c r="N13" s="95">
        <v>369.519482562368999968635042</v>
      </c>
      <c r="O13" s="442">
        <v>328.28655797926906520685917997</v>
      </c>
      <c r="P13" s="5"/>
      <c r="Q13" s="420">
        <v>0.3897796024556957236371573900</v>
      </c>
      <c r="R13" s="91">
        <v>-1.8728072112419145321247059400</v>
      </c>
      <c r="S13" s="498">
        <v>-1.9241521525875783281678063900</v>
      </c>
      <c r="T13" s="420">
        <v>-97.19127222877891310850808158</v>
      </c>
      <c r="U13" s="91">
        <v>-10.759019909877875466905978010</v>
      </c>
      <c r="V13" s="498">
        <v>-11.404319953208682123022923930</v>
      </c>
      <c r="W13" s="420">
        <v>12.983842088504146205395801940</v>
      </c>
      <c r="X13" s="91">
        <v>8.606330671437703203882414090</v>
      </c>
      <c r="Y13" s="498">
        <v>9.128388025288153813300138370</v>
      </c>
      <c r="Z13" s="420">
        <v>-15.554638804373036809548545340</v>
      </c>
      <c r="AA13" s="91">
        <v>-2.7289796777474609167554968700</v>
      </c>
      <c r="AB13" s="498">
        <v>-2.896394596405389733639268800</v>
      </c>
      <c r="AC13" s="5"/>
      <c r="AD13" s="420" t="s">
        <v>306</v>
      </c>
      <c r="AE13" s="91" t="s">
        <v>349</v>
      </c>
      <c r="AF13" s="91" t="s">
        <v>351</v>
      </c>
      <c r="AG13" s="421" t="s">
        <v>350</v>
      </c>
    </row>
    <row r="14" ht="20.1" customHeight="1">
      <c r="A14" s="58"/>
      <c r="B14" s="286"/>
      <c r="C14" s="287" t="s">
        <v>228</v>
      </c>
      <c r="D14" s="276">
        <v>240.95631313131313131313131313</v>
      </c>
      <c r="E14" s="94">
        <v>221.49923588254275572765408196</v>
      </c>
      <c r="F14" s="277">
        <v>200.44790912318068867589634363</v>
      </c>
      <c r="G14" s="276">
        <v>1.4931818181818181818181818182</v>
      </c>
      <c r="H14" s="94">
        <v>42.04319315826518031632591545</v>
      </c>
      <c r="I14" s="277">
        <v>57.374295992113169774842625957</v>
      </c>
      <c r="J14" s="276">
        <v>28.850252525252525252525252525</v>
      </c>
      <c r="K14" s="94">
        <v>27.409809208743352326106796512</v>
      </c>
      <c r="L14" s="277">
        <v>21.967831531657963458572215421</v>
      </c>
      <c r="M14" s="276">
        <v>271.29974747474747474747474747</v>
      </c>
      <c r="N14" s="94">
        <v>290.95223824955128837008679393</v>
      </c>
      <c r="O14" s="277">
        <v>279.79003664695182190931118501</v>
      </c>
      <c r="P14" s="5"/>
      <c r="Q14" s="271">
        <v>4.9100138643372400464617334400</v>
      </c>
      <c r="R14" s="92">
        <v>5.2124177464720894248325341900</v>
      </c>
      <c r="S14" s="272">
        <v>5.6065062624107300531935657700</v>
      </c>
      <c r="T14" s="271">
        <v>-96.69187991630624143676571833</v>
      </c>
      <c r="U14" s="92">
        <v>-18.763433099492778377663296060</v>
      </c>
      <c r="V14" s="272">
        <v>-1.1886398736889224961656608700</v>
      </c>
      <c r="W14" s="271">
        <v>39.267864543677571827516486550</v>
      </c>
      <c r="X14" s="92">
        <v>4.4987139297309278798841150900</v>
      </c>
      <c r="Y14" s="272">
        <v>-14.751186369603896736162747460</v>
      </c>
      <c r="Z14" s="271">
        <v>-8.199401010858267615247754460</v>
      </c>
      <c r="AA14" s="92">
        <v>0.846645638208885388526904500</v>
      </c>
      <c r="AB14" s="272">
        <v>2.2475102254220574948671752300</v>
      </c>
      <c r="AC14" s="5"/>
      <c r="AD14" s="271" t="s">
        <v>306</v>
      </c>
      <c r="AE14" s="92" t="s">
        <v>349</v>
      </c>
      <c r="AF14" s="92" t="s">
        <v>349</v>
      </c>
      <c r="AG14" s="272" t="s">
        <v>350</v>
      </c>
    </row>
    <row r="15" ht="20.1" customHeight="1">
      <c r="A15" s="58"/>
      <c r="B15" s="288"/>
      <c r="C15" s="289" t="s">
        <v>229</v>
      </c>
      <c r="D15" s="439">
        <v>189.88831867057673509286412512</v>
      </c>
      <c r="E15" s="95">
        <v>186.55644692876994660088061706</v>
      </c>
      <c r="F15" s="442">
        <v>165.25689305713009722079082071</v>
      </c>
      <c r="G15" s="439">
        <v>1.4000488758553274682306940371</v>
      </c>
      <c r="H15" s="95">
        <v>41.75462349807235197279986475</v>
      </c>
      <c r="I15" s="442">
        <v>43.763915259220421935129066488</v>
      </c>
      <c r="J15" s="439">
        <v>27.274193548387096774193548387</v>
      </c>
      <c r="K15" s="95">
        <v>39.727128026608420362917131733</v>
      </c>
      <c r="L15" s="442">
        <v>26.610371291939275309001915264</v>
      </c>
      <c r="M15" s="439">
        <v>218.56256109481915933528836755</v>
      </c>
      <c r="N15" s="95">
        <v>268.03819845345071893659761353</v>
      </c>
      <c r="O15" s="442">
        <v>235.63117960828979446492180246</v>
      </c>
      <c r="P15" s="5"/>
      <c r="Q15" s="420">
        <v>-6.2987786642600053603046342500</v>
      </c>
      <c r="R15" s="91">
        <v>3.9883706615847279645439470600</v>
      </c>
      <c r="S15" s="498">
        <v>0.9249786787248882516104536700</v>
      </c>
      <c r="T15" s="420">
        <v>-96.71602093400406323081746163</v>
      </c>
      <c r="U15" s="91">
        <v>1.4322263896597707750341794500</v>
      </c>
      <c r="V15" s="498">
        <v>-16.976256825367133137813173850</v>
      </c>
      <c r="W15" s="420">
        <v>39.813341684762048437267417540</v>
      </c>
      <c r="X15" s="91">
        <v>19.817193787892798991116222580</v>
      </c>
      <c r="Y15" s="498">
        <v>-1.0202772729787264082919499400</v>
      </c>
      <c r="Z15" s="420">
        <v>-17.459166025257985333263527350</v>
      </c>
      <c r="AA15" s="91">
        <v>5.6421591923719524180652095300</v>
      </c>
      <c r="AB15" s="498">
        <v>-3.1677268915632155772185813300</v>
      </c>
      <c r="AC15" s="5"/>
      <c r="AD15" s="420" t="s">
        <v>311</v>
      </c>
      <c r="AE15" s="91" t="s">
        <v>351</v>
      </c>
      <c r="AF15" s="91" t="s">
        <v>349</v>
      </c>
      <c r="AG15" s="421" t="s">
        <v>349</v>
      </c>
    </row>
    <row r="16" ht="20.1" customHeight="1">
      <c r="A16" s="58"/>
      <c r="B16" s="286"/>
      <c r="C16" s="287" t="s">
        <v>230</v>
      </c>
      <c r="D16" s="276">
        <v>134.08611111111111111111111111</v>
      </c>
      <c r="E16" s="94">
        <v>138.41507454017424975798644724</v>
      </c>
      <c r="F16" s="277">
        <v>129.42543172798455432800600665</v>
      </c>
      <c r="G16" s="276">
        <v>1.3696969696969696969696969697</v>
      </c>
      <c r="H16" s="94">
        <v>35.643735667090540817443331601</v>
      </c>
      <c r="I16" s="277">
        <v>43.218189209841367324600564371</v>
      </c>
      <c r="J16" s="276">
        <v>23.807828282828282828282828283</v>
      </c>
      <c r="K16" s="94">
        <v>34.510142934281485464156998816</v>
      </c>
      <c r="L16" s="277">
        <v>24.367397358935783953711566515</v>
      </c>
      <c r="M16" s="276">
        <v>159.26363636363636363636363636</v>
      </c>
      <c r="N16" s="94">
        <v>208.56895314154627603958677766</v>
      </c>
      <c r="O16" s="277">
        <v>197.01101829676170560631813754</v>
      </c>
      <c r="P16" s="5"/>
      <c r="Q16" s="271">
        <v>-15.861538949083926065805710980</v>
      </c>
      <c r="R16" s="92">
        <v>0.9917425700284491095360454300</v>
      </c>
      <c r="S16" s="272">
        <v>0.4094205553244274793656375800</v>
      </c>
      <c r="T16" s="271">
        <v>-96.45571274545020188650938414</v>
      </c>
      <c r="U16" s="92">
        <v>14.758586724996190058280631350</v>
      </c>
      <c r="V16" s="272">
        <v>5.8543273260725143118974647400</v>
      </c>
      <c r="W16" s="271">
        <v>4.0297041720734076257641736100</v>
      </c>
      <c r="X16" s="92">
        <v>3.1945398351208084865671243400</v>
      </c>
      <c r="Y16" s="272">
        <v>12.712855315755720247765974350</v>
      </c>
      <c r="Z16" s="271">
        <v>-27.900569539346813689338027720</v>
      </c>
      <c r="AA16" s="92">
        <v>3.4786784506869536690285858100</v>
      </c>
      <c r="AB16" s="272">
        <v>2.9613209575506318276498458300</v>
      </c>
      <c r="AC16" s="5"/>
      <c r="AD16" s="271" t="s">
        <v>305</v>
      </c>
      <c r="AE16" s="92" t="s">
        <v>351</v>
      </c>
      <c r="AF16" s="92" t="s">
        <v>351</v>
      </c>
      <c r="AG16" s="272" t="s">
        <v>351</v>
      </c>
    </row>
    <row r="17" ht="20.1" customHeight="1">
      <c r="A17" s="58"/>
      <c r="B17" s="288"/>
      <c r="C17" s="289" t="s">
        <v>233</v>
      </c>
      <c r="D17" s="439">
        <v>132.24608993157380254154447703</v>
      </c>
      <c r="E17" s="95">
        <v>126.80732535989757361896137151</v>
      </c>
      <c r="F17" s="442">
        <v>126.14551485483358555407145761</v>
      </c>
      <c r="G17" s="439">
        <v>1.0579178885630498533724340176</v>
      </c>
      <c r="H17" s="95">
        <v>22.013195610185595182774987372</v>
      </c>
      <c r="I17" s="442">
        <v>31.602383767261227950130863558</v>
      </c>
      <c r="J17" s="439">
        <v>25.493890518084066471163245357</v>
      </c>
      <c r="K17" s="95">
        <v>25.84993287818837654187044552</v>
      </c>
      <c r="L17" s="442">
        <v>21.905165088267572224066695182</v>
      </c>
      <c r="M17" s="439">
        <v>158.7978983382209188660801564</v>
      </c>
      <c r="N17" s="95">
        <v>174.6704538482715453436068044</v>
      </c>
      <c r="O17" s="442">
        <v>179.65306371036238572826901635</v>
      </c>
      <c r="P17" s="5"/>
      <c r="Q17" s="420">
        <v>-13.473155381894249131028395710</v>
      </c>
      <c r="R17" s="91">
        <v>-2.5571467731906610172259625900</v>
      </c>
      <c r="S17" s="498">
        <v>2.2567039483749288522814639400</v>
      </c>
      <c r="T17" s="420">
        <v>-96.84339475430192981016822315</v>
      </c>
      <c r="U17" s="91">
        <v>-31.008737657625091821655266210</v>
      </c>
      <c r="V17" s="498">
        <v>-16.230070275799657655106878770</v>
      </c>
      <c r="W17" s="420">
        <v>28.177372585380878150292396130</v>
      </c>
      <c r="X17" s="91">
        <v>19.133305864574052529398152550</v>
      </c>
      <c r="Y17" s="498">
        <v>-10.975471459536781752106719350</v>
      </c>
      <c r="Z17" s="420">
        <v>-23.004160233552504387634586730</v>
      </c>
      <c r="AA17" s="91">
        <v>-4.9363960481766153275121259100</v>
      </c>
      <c r="AB17" s="498">
        <v>-3.2524296809084605565699855800</v>
      </c>
      <c r="AC17" s="5"/>
      <c r="AD17" s="420" t="s">
        <v>311</v>
      </c>
      <c r="AE17" s="91" t="s">
        <v>345</v>
      </c>
      <c r="AF17" s="91" t="s">
        <v>345</v>
      </c>
      <c r="AG17" s="421" t="s">
        <v>345</v>
      </c>
    </row>
    <row r="18" ht="20.1" customHeight="1">
      <c r="A18" s="58"/>
      <c r="B18" s="286"/>
      <c r="C18" s="287" t="s">
        <v>234</v>
      </c>
      <c r="D18" s="276">
        <v>117.50879765395894428152492669</v>
      </c>
      <c r="E18" s="94">
        <v>102.59505605346157449333291697</v>
      </c>
      <c r="F18" s="277">
        <v>110.72907856476468705523435957</v>
      </c>
      <c r="G18" s="276">
        <v>1.5266373411534701857282502444</v>
      </c>
      <c r="H18" s="94">
        <v>11.962278433731922517497785671</v>
      </c>
      <c r="I18" s="277">
        <v>30.73413180448379912821017489</v>
      </c>
      <c r="J18" s="276">
        <v>25.000488758553274682306940371</v>
      </c>
      <c r="K18" s="94">
        <v>25.506955010800213993473241748</v>
      </c>
      <c r="L18" s="277">
        <v>21.65955733614777210439117389</v>
      </c>
      <c r="M18" s="276">
        <v>144.0359237536656891495601173</v>
      </c>
      <c r="N18" s="94">
        <v>140.06428949799371100430394439</v>
      </c>
      <c r="O18" s="277">
        <v>163.12276770539625828783570835</v>
      </c>
      <c r="P18" s="5"/>
      <c r="Q18" s="271">
        <v>-4.6519375141507881124224555800</v>
      </c>
      <c r="R18" s="92">
        <v>0.215516338738898625676708100</v>
      </c>
      <c r="S18" s="272">
        <v>3.9170658531523692951509252600</v>
      </c>
      <c r="T18" s="271">
        <v>-94.79355924857757762358402934</v>
      </c>
      <c r="U18" s="92">
        <v>-51.971775973789263262192002140</v>
      </c>
      <c r="V18" s="272">
        <v>-11.428095767065776274235596260</v>
      </c>
      <c r="W18" s="271">
        <v>6.7747962133797594196434235700</v>
      </c>
      <c r="X18" s="92">
        <v>33.162611411426697453066050840</v>
      </c>
      <c r="Y18" s="272">
        <v>7.412744929930461280334297400</v>
      </c>
      <c r="Z18" s="271">
        <v>-18.151292245702268662146338020</v>
      </c>
      <c r="AA18" s="92">
        <v>-4.3511474934646154869360337600</v>
      </c>
      <c r="AB18" s="272">
        <v>1.0550730621633326425737212800</v>
      </c>
      <c r="AC18" s="5"/>
      <c r="AD18" s="271" t="s">
        <v>306</v>
      </c>
      <c r="AE18" s="92" t="s">
        <v>345</v>
      </c>
      <c r="AF18" s="92" t="s">
        <v>347</v>
      </c>
      <c r="AG18" s="272" t="s">
        <v>345</v>
      </c>
    </row>
    <row r="19" ht="20.1" customHeight="1">
      <c r="A19" s="58"/>
      <c r="B19" s="288"/>
      <c r="C19" s="289" t="s">
        <v>235</v>
      </c>
      <c r="D19" s="439">
        <v>106.32727272727272727272727273</v>
      </c>
      <c r="E19" s="95">
        <v>97.34611681187479832203936754</v>
      </c>
      <c r="F19" s="442">
        <v>107.93940994681615638924823918</v>
      </c>
      <c r="G19" s="439">
        <v>1.3227272727272727272727272727</v>
      </c>
      <c r="H19" s="95">
        <v>17.341192688117350345503960515</v>
      </c>
      <c r="I19" s="442">
        <v>42.809612044115234581620357133</v>
      </c>
      <c r="J19" s="439">
        <v>19.251010101010101010101010101</v>
      </c>
      <c r="K19" s="95">
        <v>19.652345365705045044936847259</v>
      </c>
      <c r="L19" s="442">
        <v>23.472718568921327723766364142</v>
      </c>
      <c r="M19" s="439">
        <v>126.9010101010101010101010101</v>
      </c>
      <c r="N19" s="95">
        <v>134.33965486569719371248017531</v>
      </c>
      <c r="O19" s="442">
        <v>174.22174055985271869463496046</v>
      </c>
      <c r="P19" s="5"/>
      <c r="Q19" s="420">
        <v>-2.9889707830734737770673180900</v>
      </c>
      <c r="R19" s="91">
        <v>0.0248673232141538976535149800</v>
      </c>
      <c r="S19" s="498">
        <v>1.8957184642291084528240522200</v>
      </c>
      <c r="T19" s="420">
        <v>-95.28197368065399129325385013</v>
      </c>
      <c r="U19" s="91">
        <v>-43.560403402459025409864043520</v>
      </c>
      <c r="V19" s="498">
        <v>11.599672656437876598171018580</v>
      </c>
      <c r="W19" s="420">
        <v>4.7458092881969249952482350600</v>
      </c>
      <c r="X19" s="91">
        <v>45.219080749989679692791679190</v>
      </c>
      <c r="Y19" s="498">
        <v>33.495170290748457510297767170</v>
      </c>
      <c r="Z19" s="420">
        <v>-18.662415227501874395544194730</v>
      </c>
      <c r="AA19" s="91">
        <v>-5.1139835780319336610946852700</v>
      </c>
      <c r="AB19" s="498">
        <v>7.6277100996376002099021863700</v>
      </c>
      <c r="AC19" s="5"/>
      <c r="AD19" s="420" t="s">
        <v>311</v>
      </c>
      <c r="AE19" s="91" t="s">
        <v>347</v>
      </c>
      <c r="AF19" s="91" t="s">
        <v>345</v>
      </c>
      <c r="AG19" s="421" t="s">
        <v>347</v>
      </c>
    </row>
    <row r="20" ht="20.1" customHeight="1">
      <c r="A20" s="58"/>
      <c r="B20" s="286"/>
      <c r="C20" s="287" t="s">
        <v>236</v>
      </c>
      <c r="D20" s="276">
        <v>149.12561094819159335288367546</v>
      </c>
      <c r="E20" s="94">
        <v>156.47900821284701620710114605</v>
      </c>
      <c r="F20" s="277">
        <v>148.44892820876629247868241316</v>
      </c>
      <c r="G20" s="276">
        <v>1.0821114369501466275659824047</v>
      </c>
      <c r="H20" s="94">
        <v>19.514347746157060778516318232</v>
      </c>
      <c r="I20" s="277">
        <v>53.27376366569901444336071689</v>
      </c>
      <c r="J20" s="276">
        <v>25.290566959921798631476050831</v>
      </c>
      <c r="K20" s="94">
        <v>17.522340581260622928879377734</v>
      </c>
      <c r="L20" s="277">
        <v>22.362250019889720001529592927</v>
      </c>
      <c r="M20" s="276">
        <v>175.4982893450635386119257087</v>
      </c>
      <c r="N20" s="94">
        <v>193.51569654026469991449684202</v>
      </c>
      <c r="O20" s="277">
        <v>224.08494189435502692357272298</v>
      </c>
      <c r="P20" s="5"/>
      <c r="Q20" s="271">
        <v>3.6667697294080710262708322400</v>
      </c>
      <c r="R20" s="92">
        <v>26.161399253208062618355112310</v>
      </c>
      <c r="S20" s="272">
        <v>8.434616149726089795227258240</v>
      </c>
      <c r="T20" s="271">
        <v>-96.16021644307830658256942318</v>
      </c>
      <c r="U20" s="92">
        <v>-32.356713124907876188799225350</v>
      </c>
      <c r="V20" s="272">
        <v>5.7277649097814501769744166600</v>
      </c>
      <c r="W20" s="271">
        <v>38.402385855898884238985081030</v>
      </c>
      <c r="X20" s="92">
        <v>-3.0459046679444275696173533300</v>
      </c>
      <c r="Y20" s="272">
        <v>19.235318745973021205569557770</v>
      </c>
      <c r="Z20" s="271">
        <v>-7.7808639954105722382333580700</v>
      </c>
      <c r="AA20" s="92">
        <v>13.198492218633190778014175630</v>
      </c>
      <c r="AB20" s="272">
        <v>8.755771578781771366952173520</v>
      </c>
      <c r="AC20" s="5"/>
      <c r="AD20" s="271" t="s">
        <v>307</v>
      </c>
      <c r="AE20" s="92" t="s">
        <v>347</v>
      </c>
      <c r="AF20" s="92" t="s">
        <v>355</v>
      </c>
      <c r="AG20" s="272" t="s">
        <v>345</v>
      </c>
    </row>
    <row r="21" ht="20.1" customHeight="1">
      <c r="A21" s="58"/>
      <c r="B21" s="288"/>
      <c r="C21" s="289" t="s">
        <v>218</v>
      </c>
      <c r="D21" s="439">
        <v>175.57045454545454545454545455</v>
      </c>
      <c r="E21" s="95">
        <v>155.66611423039690222652468538</v>
      </c>
      <c r="F21" s="442">
        <v>160.44458525345622119815668203</v>
      </c>
      <c r="G21" s="439">
        <v>1.1595959595959595959595959596</v>
      </c>
      <c r="H21" s="95">
        <v>22.711544801795574965086040754</v>
      </c>
      <c r="I21" s="442">
        <v>64.258981605742586798245329685</v>
      </c>
      <c r="J21" s="439">
        <v>29.431818181818181818181818182</v>
      </c>
      <c r="K21" s="95">
        <v>19.168357118754295541393728253</v>
      </c>
      <c r="L21" s="442">
        <v>22.397648074271725612822666258</v>
      </c>
      <c r="M21" s="439">
        <v>206.16186868686868686868686869</v>
      </c>
      <c r="N21" s="95">
        <v>197.54601615094677273300445439</v>
      </c>
      <c r="O21" s="442">
        <v>247.10121493347053360922467797</v>
      </c>
      <c r="P21" s="5"/>
      <c r="Q21" s="420">
        <v>3.2989874527243521923216165700</v>
      </c>
      <c r="R21" s="91">
        <v>-3.5349026318512018266172778100</v>
      </c>
      <c r="S21" s="498">
        <v>0.6431798030985466287270251900</v>
      </c>
      <c r="T21" s="420">
        <v>-96.33750468579688304520888864</v>
      </c>
      <c r="U21" s="91">
        <v>-27.352006780743490786396829260</v>
      </c>
      <c r="V21" s="498">
        <v>4.460200685110646438237870900</v>
      </c>
      <c r="W21" s="420">
        <v>43.672493281397947057964828010</v>
      </c>
      <c r="X21" s="91">
        <v>-3.5449603026392243966478453900</v>
      </c>
      <c r="Y21" s="498">
        <v>-16.842862134960528513936811640</v>
      </c>
      <c r="Z21" s="420">
        <v>-7.1803273469791903202404257600</v>
      </c>
      <c r="AA21" s="91">
        <v>-7.0396603494199678419821408200</v>
      </c>
      <c r="AB21" s="498">
        <v>-0.3096077718358394491487272600</v>
      </c>
      <c r="AC21" s="5"/>
      <c r="AD21" s="420" t="s">
        <v>308</v>
      </c>
      <c r="AE21" s="91" t="s">
        <v>347</v>
      </c>
      <c r="AF21" s="91" t="s">
        <v>346</v>
      </c>
      <c r="AG21" s="421" t="s">
        <v>355</v>
      </c>
    </row>
    <row r="22" ht="20.1" customHeight="1">
      <c r="A22" s="58"/>
      <c r="B22" s="286"/>
      <c r="C22" s="287" t="s">
        <v>222</v>
      </c>
      <c r="D22" s="276">
        <v>244.84066471163245356793743891</v>
      </c>
      <c r="E22" s="94">
        <v>231.82395059800768197857789714</v>
      </c>
      <c r="F22" s="277">
        <v>204.46979556522056215420621161</v>
      </c>
      <c r="G22" s="276">
        <v>1.3140273704789833822091886608</v>
      </c>
      <c r="H22" s="94">
        <v>24.326473242856627330614184872</v>
      </c>
      <c r="I22" s="277">
        <v>57.323417933145701652571153898</v>
      </c>
      <c r="J22" s="276">
        <v>31.150048875855327468230694037</v>
      </c>
      <c r="K22" s="94">
        <v>20.87875208178211635781015356</v>
      </c>
      <c r="L22" s="277">
        <v>21.889379481114567302193794448</v>
      </c>
      <c r="M22" s="276">
        <v>277.3047409579667644183773216</v>
      </c>
      <c r="N22" s="94">
        <v>277.02917592264642566700223555</v>
      </c>
      <c r="O22" s="277">
        <v>283.68259297948083110897115994</v>
      </c>
      <c r="P22" s="5"/>
      <c r="Q22" s="271">
        <v>-12.323665105465448187067301180</v>
      </c>
      <c r="R22" s="92">
        <v>-7.4517497097351775836731192700</v>
      </c>
      <c r="S22" s="272">
        <v>0.4943015015024872197358038700</v>
      </c>
      <c r="T22" s="271">
        <v>-97.54572384486321164544920840</v>
      </c>
      <c r="U22" s="92">
        <v>-35.025775308970366131597101180</v>
      </c>
      <c r="V22" s="272">
        <v>3.7298131303558093556168438200</v>
      </c>
      <c r="W22" s="271">
        <v>66.64836314226018764390636100</v>
      </c>
      <c r="X22" s="92">
        <v>-19.666731452975005934697209940</v>
      </c>
      <c r="Y22" s="272">
        <v>-2.9927207851055277028499116700</v>
      </c>
      <c r="Z22" s="271">
        <v>-21.105384391295162601499688820</v>
      </c>
      <c r="AA22" s="92">
        <v>-11.751715958871986419741198970</v>
      </c>
      <c r="AB22" s="272">
        <v>0.8502250515967855536915948400</v>
      </c>
      <c r="AC22" s="5"/>
      <c r="AD22" s="271" t="s">
        <v>306</v>
      </c>
      <c r="AE22" s="92" t="s">
        <v>347</v>
      </c>
      <c r="AF22" s="92" t="s">
        <v>347</v>
      </c>
      <c r="AG22" s="272" t="s">
        <v>346</v>
      </c>
    </row>
    <row r="23" ht="20.1" customHeight="1">
      <c r="A23" s="58"/>
      <c r="B23" s="288">
        <v>2025</v>
      </c>
      <c r="C23" s="289" t="s">
        <v>224</v>
      </c>
      <c r="D23" s="439">
        <v>254.33015640273704789833822092</v>
      </c>
      <c r="E23" s="95">
        <v>243.60433813196764825281828686</v>
      </c>
      <c r="F23" s="442">
        <v>220.28253257274468056615648308</v>
      </c>
      <c r="G23" s="439">
        <v>1.6598240469208211143695014663</v>
      </c>
      <c r="H23" s="95">
        <v>68.557120303817702561436786182</v>
      </c>
      <c r="I23" s="442">
        <v>67.007337300983806560350188691</v>
      </c>
      <c r="J23" s="439">
        <v>26.748778103616813294232649071</v>
      </c>
      <c r="K23" s="95">
        <v>23.49206961438958932753979841</v>
      </c>
      <c r="L23" s="442">
        <v>18.228069406149600931794506783</v>
      </c>
      <c r="M23" s="439">
        <v>282.73875855327468230694037146</v>
      </c>
      <c r="N23" s="95">
        <v>335.65352805017494014179487144</v>
      </c>
      <c r="O23" s="442">
        <v>305.51793927987808805830117854</v>
      </c>
      <c r="P23" s="5"/>
      <c r="Q23" s="420">
        <v>-0.955499786354193472357622200</v>
      </c>
      <c r="R23" s="91">
        <v>2.1008000578337641689586647400</v>
      </c>
      <c r="S23" s="498">
        <v>3.7664887497179116422165239200</v>
      </c>
      <c r="T23" s="420">
        <v>-81.56101533859777123628393613</v>
      </c>
      <c r="U23" s="91">
        <v>30.668096194544224674673546150</v>
      </c>
      <c r="V23" s="498">
        <v>6.8194329294103217079117688600</v>
      </c>
      <c r="W23" s="420">
        <v>22.523087255817223982572625950</v>
      </c>
      <c r="X23" s="91">
        <v>-29.568445177641759709881649830</v>
      </c>
      <c r="Y23" s="498">
        <v>-16.267021110093831224418295950</v>
      </c>
      <c r="Z23" s="420">
        <v>-1.6961091110816918031132048800</v>
      </c>
      <c r="AA23" s="91">
        <v>3.4648584977280571678581680200</v>
      </c>
      <c r="AB23" s="498">
        <v>2.9423066629387245907329357600</v>
      </c>
      <c r="AC23" s="5"/>
      <c r="AD23" s="420" t="s">
        <v>306</v>
      </c>
      <c r="AE23" s="91" t="s">
        <v>345</v>
      </c>
      <c r="AF23" s="91" t="s">
        <v>345</v>
      </c>
      <c r="AG23" s="421" t="s">
        <v>346</v>
      </c>
    </row>
    <row r="24" ht="20.1" customHeight="1">
      <c r="A24" s="59"/>
      <c r="B24" s="286"/>
      <c r="C24" s="287" t="s">
        <v>225</v>
      </c>
      <c r="D24" s="276">
        <v>316.26190476190476190476190476</v>
      </c>
      <c r="E24" s="94">
        <v>328.1949961969298852164292629</v>
      </c>
      <c r="F24" s="277">
        <v>279.82596584400708112048318234</v>
      </c>
      <c r="G24" s="276">
        <v>1.5083874458874458874458874459</v>
      </c>
      <c r="H24" s="94">
        <v>86.53258043286639598258564957</v>
      </c>
      <c r="I24" s="277">
        <v>85.80825392467655166290399431</v>
      </c>
      <c r="J24" s="276">
        <v>25.331709956709956709956709957</v>
      </c>
      <c r="K24" s="94">
        <v>34.154740753611524264052785272</v>
      </c>
      <c r="L24" s="277">
        <v>29.218620675346919876867833366</v>
      </c>
      <c r="M24" s="276">
        <v>343.10200216450216450216450216</v>
      </c>
      <c r="N24" s="94">
        <v>448.88231738340780546306769773</v>
      </c>
      <c r="O24" s="277">
        <v>394.85284044403055266025501004</v>
      </c>
      <c r="P24" s="93"/>
      <c r="Q24" s="271">
        <v>-3.0546540848195071602992651500</v>
      </c>
      <c r="R24" s="92">
        <v>6.6749126782553686076810081900</v>
      </c>
      <c r="S24" s="272">
        <v>3.9971441376236687119912181700</v>
      </c>
      <c r="T24" s="271">
        <v>1.6389217182546726691483394100</v>
      </c>
      <c r="U24" s="92">
        <v>69.603502199171530317034433610</v>
      </c>
      <c r="V24" s="272">
        <v>21.016188226370776791686009570</v>
      </c>
      <c r="W24" s="271">
        <v>-5.2390910726300953341769190400</v>
      </c>
      <c r="X24" s="92">
        <v>-10.068098357460481678367531630</v>
      </c>
      <c r="Y24" s="272">
        <v>1.9284797950790704371217329700</v>
      </c>
      <c r="Z24" s="271">
        <v>-3.1997529286963974416287640800</v>
      </c>
      <c r="AA24" s="92">
        <v>13.166085296604377854403792650</v>
      </c>
      <c r="AB24" s="272">
        <v>7.1098019212048129966878049600</v>
      </c>
      <c r="AC24" s="93"/>
      <c r="AD24" s="271" t="s">
        <v>307</v>
      </c>
      <c r="AE24" s="92" t="s">
        <v>353</v>
      </c>
      <c r="AF24" s="92" t="s">
        <v>353</v>
      </c>
      <c r="AG24" s="272" t="s">
        <v>353</v>
      </c>
    </row>
    <row r="25" ht="20.1" customHeight="1">
      <c r="A25" s="60"/>
      <c r="B25" s="288"/>
      <c r="C25" s="289" t="s">
        <v>226</v>
      </c>
      <c r="D25" s="439">
        <v>271.2277614858260019550342131</v>
      </c>
      <c r="E25" s="95">
        <v>265.59667551447397183274521438</v>
      </c>
      <c r="F25" s="442">
        <v>244.19781452704631953052305563</v>
      </c>
      <c r="G25" s="439">
        <v>1.2888563049853372434017595308</v>
      </c>
      <c r="H25" s="95">
        <v>77.598033066718889982513948371</v>
      </c>
      <c r="I25" s="442">
        <v>62.6385266265444100533799696</v>
      </c>
      <c r="J25" s="439">
        <v>27.584555229716520039100684262</v>
      </c>
      <c r="K25" s="95">
        <v>29.556479610753517408141278896</v>
      </c>
      <c r="L25" s="442">
        <v>19.841923189186453183692926888</v>
      </c>
      <c r="M25" s="439">
        <v>300.10117302052785923753665689</v>
      </c>
      <c r="N25" s="95">
        <v>372.75118819194637922340044165</v>
      </c>
      <c r="O25" s="442">
        <v>326.67826434277718276759595211</v>
      </c>
      <c r="P25" s="93"/>
      <c r="Q25" s="420">
        <v>-6.2804045467081948954270206200</v>
      </c>
      <c r="R25" s="91">
        <v>-1.5892343826287294202337856200</v>
      </c>
      <c r="S25" s="498">
        <v>1.2104109338990890022043460900</v>
      </c>
      <c r="T25" s="420">
        <v>-28.497830803514263002232871380</v>
      </c>
      <c r="U25" s="91">
        <v>18.251497158011321944591596810</v>
      </c>
      <c r="V25" s="498">
        <v>7.8303834912799623440086447300</v>
      </c>
      <c r="W25" s="420">
        <v>8.411609904260920761074408770</v>
      </c>
      <c r="X25" s="91">
        <v>-13.101137930408666086807274160</v>
      </c>
      <c r="Y25" s="498">
        <v>-31.388702913181700718813992080</v>
      </c>
      <c r="Z25" s="420">
        <v>-5.2263081977441367944725224500</v>
      </c>
      <c r="AA25" s="91">
        <v>0.8745697539778968750093532600</v>
      </c>
      <c r="AB25" s="498">
        <v>-0.4899054187360993483267811600</v>
      </c>
      <c r="AC25" s="93"/>
      <c r="AD25" s="420" t="s">
        <v>306</v>
      </c>
      <c r="AE25" s="91" t="s">
        <v>353</v>
      </c>
      <c r="AF25" s="91" t="s">
        <v>345</v>
      </c>
      <c r="AG25" s="421" t="s">
        <v>345</v>
      </c>
    </row>
    <row r="26" ht="20.1" customHeight="1">
      <c r="A26" s="60"/>
      <c r="B26" s="290"/>
      <c r="C26" s="291" t="s">
        <v>228</v>
      </c>
      <c r="D26" s="443">
        <v>247.98737373737373737373737374</v>
      </c>
      <c r="E26" s="444">
        <v>236.67795385608260729267505647</v>
      </c>
      <c r="F26" s="445">
        <v>211.02358808605289681298439509</v>
      </c>
      <c r="G26" s="443">
        <v>1.3398989898989898989898989899</v>
      </c>
      <c r="H26" s="444">
        <v>63.363547140687117622266204866</v>
      </c>
      <c r="I26" s="445">
        <v>66.192123699588515538124374765</v>
      </c>
      <c r="J26" s="443">
        <v>37.251010101010101010101010101</v>
      </c>
      <c r="K26" s="444">
        <v>32.267789692888873234725956673</v>
      </c>
      <c r="L26" s="445">
        <v>20.855108909667650265256394896</v>
      </c>
      <c r="M26" s="443">
        <v>286.57828282828282828282828283</v>
      </c>
      <c r="N26" s="444">
        <v>332.30929068965859814966721801</v>
      </c>
      <c r="O26" s="445">
        <v>298.07082069530906261636516474</v>
      </c>
      <c r="P26" s="453"/>
      <c r="Q26" s="273">
        <v>2.9179814858149940578076020500</v>
      </c>
      <c r="R26" s="274">
        <v>6.8527179848306794723441415600</v>
      </c>
      <c r="S26" s="275">
        <v>5.2760235859346558487237195800</v>
      </c>
      <c r="T26" s="273">
        <v>-10.265516659303379469056343090</v>
      </c>
      <c r="U26" s="274">
        <v>50.710596367198475084875258660</v>
      </c>
      <c r="V26" s="275">
        <v>15.368951470363423203106640640</v>
      </c>
      <c r="W26" s="273">
        <v>29.118488887898375660534413200</v>
      </c>
      <c r="X26" s="274">
        <v>17.723510759231873086780858420</v>
      </c>
      <c r="Y26" s="275">
        <v>-5.0652365046894581413602288100</v>
      </c>
      <c r="Z26" s="273">
        <v>5.6316069203151856356475321800</v>
      </c>
      <c r="AA26" s="274">
        <v>14.214378514104954016013189350</v>
      </c>
      <c r="AB26" s="275">
        <v>6.5337509038512344551282297300</v>
      </c>
      <c r="AC26" s="453"/>
      <c r="AD26" s="273" t="s">
        <v>306</v>
      </c>
      <c r="AE26" s="274" t="s">
        <v>353</v>
      </c>
      <c r="AF26" s="274" t="s">
        <v>345</v>
      </c>
      <c r="AG26" s="275" t="s">
        <v>347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501"/>
      <c r="Q28" s="971"/>
      <c r="R28" s="971"/>
      <c r="S28" s="971"/>
      <c r="T28" s="971"/>
      <c r="U28" s="971"/>
      <c r="V28" s="971"/>
      <c r="W28" s="971"/>
      <c r="X28" s="971"/>
      <c r="Y28" s="971"/>
      <c r="Z28" s="971"/>
      <c r="AA28" s="971"/>
      <c r="AB28" s="971"/>
      <c r="AC28" s="501"/>
      <c r="AD28" s="971"/>
      <c r="AE28" s="971"/>
      <c r="AF28" s="971"/>
      <c r="AG28" s="971"/>
      <c r="AH28" s="9"/>
    </row>
    <row r="29" ht="20.1" customHeight="1">
      <c r="A29" s="58"/>
      <c r="B29" s="284">
        <v>2023</v>
      </c>
      <c r="C29" s="285"/>
      <c r="D29" s="454">
        <v>276.48390151515151515151515152</v>
      </c>
      <c r="E29" s="455">
        <v>257.13934083575346886092287835</v>
      </c>
      <c r="F29" s="436">
        <v>223.73750036218642833709228323</v>
      </c>
      <c r="G29" s="454">
        <v>60.360921717171717171717171717</v>
      </c>
      <c r="H29" s="455">
        <v>59.482004420909051278986919478</v>
      </c>
      <c r="I29" s="436">
        <v>63.732324658060018090489749815</v>
      </c>
      <c r="J29" s="454">
        <v>23.223358585858585858585858586</v>
      </c>
      <c r="K29" s="455">
        <v>26.472822330931741440418531059</v>
      </c>
      <c r="L29" s="436">
        <v>24.682177906242948823410418194</v>
      </c>
      <c r="M29" s="454">
        <v>360.06818181818181818181818182</v>
      </c>
      <c r="N29" s="455">
        <v>343.09416758759426158032832888</v>
      </c>
      <c r="O29" s="436">
        <v>312.15200292648939525099245124</v>
      </c>
      <c r="P29" s="5"/>
      <c r="Q29" s="427">
        <v>-10.265367921826321658764248570</v>
      </c>
      <c r="R29" s="428">
        <v>-9.995643194511243655291047860</v>
      </c>
      <c r="S29" s="417">
        <v>0.7087603838426544995624151400</v>
      </c>
      <c r="T29" s="427">
        <v>-8.213590406266615671658935300</v>
      </c>
      <c r="U29" s="428">
        <v>22.835270624984422689043984920</v>
      </c>
      <c r="V29" s="417">
        <v>31.553366406556660197708123430</v>
      </c>
      <c r="W29" s="427">
        <v>9.081581819039280657502536450</v>
      </c>
      <c r="X29" s="428">
        <v>32.295406200462819307459364240</v>
      </c>
      <c r="Y29" s="417">
        <v>15.935644572043377683241067960</v>
      </c>
      <c r="Z29" s="427">
        <v>-8.881580786694060068092355270</v>
      </c>
      <c r="AA29" s="428">
        <v>-3.1166345422322440132863373700</v>
      </c>
      <c r="AB29" s="417">
        <v>6.9385672111174091183673538200</v>
      </c>
      <c r="AC29" s="5"/>
      <c r="AD29" s="427" t="s">
        <v>308</v>
      </c>
      <c r="AE29" s="428" t="s">
        <v>348</v>
      </c>
      <c r="AF29" s="428" t="s">
        <v>349</v>
      </c>
      <c r="AG29" s="429" t="s">
        <v>348</v>
      </c>
    </row>
    <row r="30" ht="20.1" customHeight="1">
      <c r="A30" s="58"/>
      <c r="B30" s="286">
        <v>2024</v>
      </c>
      <c r="C30" s="287"/>
      <c r="D30" s="276">
        <v>277.86013022789882294014525419</v>
      </c>
      <c r="E30" s="94">
        <v>258.51867737368002688147063569</v>
      </c>
      <c r="F30" s="277">
        <v>229.94795117102900657990513865</v>
      </c>
      <c r="G30" s="276">
        <v>3.4939268720260455797645880291</v>
      </c>
      <c r="H30" s="94">
        <v>52.921598686638238364967066714</v>
      </c>
      <c r="I30" s="277">
        <v>62.053479177728663308941398181</v>
      </c>
      <c r="J30" s="276">
        <v>25.671863260706235912847483095</v>
      </c>
      <c r="K30" s="94">
        <v>33.117224574275637462259065749</v>
      </c>
      <c r="L30" s="277">
        <v>25.273493575255966707508220957</v>
      </c>
      <c r="M30" s="276">
        <v>307.02592036063110443275732532</v>
      </c>
      <c r="N30" s="94">
        <v>344.55750063459390270869676815</v>
      </c>
      <c r="O30" s="277">
        <v>317.27492392401363659635475779</v>
      </c>
      <c r="P30" s="5"/>
      <c r="Q30" s="271">
        <v>0.4977608841443389736582238800</v>
      </c>
      <c r="R30" s="92">
        <v>0.5364159888551716927558072900</v>
      </c>
      <c r="S30" s="272">
        <v>2.7757755399855400074093581700</v>
      </c>
      <c r="T30" s="271">
        <v>-94.21160782070953345809060470</v>
      </c>
      <c r="U30" s="92">
        <v>-11.029227743974029625239665080</v>
      </c>
      <c r="V30" s="272">
        <v>-2.6342134691896342118665232900</v>
      </c>
      <c r="W30" s="271">
        <v>10.543284106601355119574625900</v>
      </c>
      <c r="X30" s="92">
        <v>25.098956810585548363644367850</v>
      </c>
      <c r="Y30" s="272">
        <v>2.395719175605780390314189300</v>
      </c>
      <c r="Z30" s="271">
        <v>-14.731171521384293098444149540</v>
      </c>
      <c r="AA30" s="92">
        <v>0.4265106158122840748218802900</v>
      </c>
      <c r="AB30" s="272">
        <v>1.6411623021749089620460695500</v>
      </c>
      <c r="AC30" s="5"/>
      <c r="AD30" s="271" t="s">
        <v>308</v>
      </c>
      <c r="AE30" s="92" t="s">
        <v>349</v>
      </c>
      <c r="AF30" s="92" t="s">
        <v>354</v>
      </c>
      <c r="AG30" s="272" t="s">
        <v>352</v>
      </c>
    </row>
    <row r="31" ht="20.1" customHeight="1">
      <c r="A31" s="58"/>
      <c r="B31" s="425">
        <v>2025</v>
      </c>
      <c r="C31" s="426"/>
      <c r="D31" s="457">
        <v>271.56041666666666666666666667</v>
      </c>
      <c r="E31" s="458">
        <v>267.29191610196837689577282995</v>
      </c>
      <c r="F31" s="499">
        <v>238.03205920436973069921415271</v>
      </c>
      <c r="G31" s="457">
        <v>1.4486742424242424242424242424</v>
      </c>
      <c r="H31" s="458">
        <v>73.788570173562558208690475879</v>
      </c>
      <c r="I31" s="499">
        <v>70.060303200024541848354468393</v>
      </c>
      <c r="J31" s="457">
        <v>29.25959595959595959595959596</v>
      </c>
      <c r="K31" s="458">
        <v>29.740595482226876543678084036</v>
      </c>
      <c r="L31" s="499">
        <v>21.863291286413645880913892769</v>
      </c>
      <c r="M31" s="457">
        <v>302.26868686868686868686868687</v>
      </c>
      <c r="N31" s="458">
        <v>370.82108175775781164814138986</v>
      </c>
      <c r="O31" s="499">
        <v>329.95565369080791842848251387</v>
      </c>
      <c r="P31" s="453"/>
      <c r="Q31" s="430">
        <v>-2.2672247206054097056218913500</v>
      </c>
      <c r="R31" s="431">
        <v>3.3936575946450006258481906900</v>
      </c>
      <c r="S31" s="500">
        <v>3.5156251630865854813970886600</v>
      </c>
      <c r="T31" s="430">
        <v>-58.537362243217481277541053170</v>
      </c>
      <c r="U31" s="431">
        <v>39.429971892073952864595501270</v>
      </c>
      <c r="V31" s="500">
        <v>12.903102498726507675931375670</v>
      </c>
      <c r="W31" s="430">
        <v>13.975349831300605592040270630</v>
      </c>
      <c r="X31" s="431">
        <v>-10.195990562245041001469946550</v>
      </c>
      <c r="Y31" s="500">
        <v>-13.493197047436187412581715740</v>
      </c>
      <c r="Z31" s="430">
        <v>-1.549456634256088440351830300</v>
      </c>
      <c r="AA31" s="431">
        <v>7.6224087633518369607135623200</v>
      </c>
      <c r="AB31" s="500">
        <v>3.9967639452796650979246816700</v>
      </c>
      <c r="AC31" s="453"/>
      <c r="AD31" s="430" t="s">
        <v>311</v>
      </c>
      <c r="AE31" s="431" t="s">
        <v>353</v>
      </c>
      <c r="AF31" s="431" t="s">
        <v>353</v>
      </c>
      <c r="AG31" s="432" t="s">
        <v>345</v>
      </c>
    </row>
    <row r="32" ht="21" customHeight="1"/>
    <row r="33" ht="24.95" customHeight="1">
      <c r="A33" s="112"/>
      <c r="B33" s="972" t="s">
        <v>44</v>
      </c>
      <c r="C33" s="972"/>
      <c r="D33" s="972"/>
      <c r="E33" s="972"/>
      <c r="F33" s="972"/>
      <c r="G33" s="972"/>
      <c r="H33" s="972"/>
      <c r="I33" s="972"/>
      <c r="J33" s="972"/>
      <c r="K33" s="972"/>
      <c r="L33" s="972"/>
      <c r="M33" s="972"/>
      <c r="N33" s="972"/>
      <c r="O33" s="972"/>
      <c r="P33" s="501"/>
      <c r="Q33" s="971"/>
      <c r="R33" s="971"/>
      <c r="S33" s="971"/>
      <c r="T33" s="971"/>
      <c r="U33" s="971"/>
      <c r="V33" s="971"/>
      <c r="W33" s="971"/>
      <c r="X33" s="971"/>
      <c r="Y33" s="971"/>
      <c r="Z33" s="971"/>
      <c r="AA33" s="971"/>
      <c r="AB33" s="971"/>
      <c r="AC33" s="501"/>
      <c r="AD33" s="971"/>
      <c r="AE33" s="971"/>
      <c r="AF33" s="971"/>
      <c r="AG33" s="971"/>
      <c r="AH33" s="9"/>
    </row>
    <row r="34" ht="20.1" customHeight="1">
      <c r="A34" s="58"/>
      <c r="B34" s="284">
        <v>2023</v>
      </c>
      <c r="C34" s="285"/>
      <c r="D34" s="454">
        <v>280.31418113721484508001361934</v>
      </c>
      <c r="E34" s="455">
        <v>261.47120702219998477218095</v>
      </c>
      <c r="F34" s="436">
        <v>230.14113667953278718478949842</v>
      </c>
      <c r="G34" s="454">
        <v>58.262597889002383384405856316</v>
      </c>
      <c r="H34" s="455">
        <v>60.233515700057191184718844352</v>
      </c>
      <c r="I34" s="436">
        <v>65.874545542475307996901011547</v>
      </c>
      <c r="J34" s="454">
        <v>22.447735784814436499829758257</v>
      </c>
      <c r="K34" s="455">
        <v>27.539591974520540069129105853</v>
      </c>
      <c r="L34" s="436">
        <v>25.872662027942256702059987111</v>
      </c>
      <c r="M34" s="454">
        <v>361.02451481103166496424923391</v>
      </c>
      <c r="N34" s="455">
        <v>349.2443146967777160260289002</v>
      </c>
      <c r="O34" s="436">
        <v>321.88834424995035188375049708</v>
      </c>
      <c r="P34" s="5"/>
      <c r="Q34" s="427">
        <v>-14.585950271961154067583039040</v>
      </c>
      <c r="R34" s="428">
        <v>-16.795048988316601630456980850</v>
      </c>
      <c r="S34" s="417">
        <v>-5.2103553889685020121976744100</v>
      </c>
      <c r="T34" s="427">
        <v>-20.435560928560709155155011500</v>
      </c>
      <c r="U34" s="428">
        <v>8.740301171613833814849139490</v>
      </c>
      <c r="V34" s="417">
        <v>23.215084728399870099112510500</v>
      </c>
      <c r="W34" s="427">
        <v>4.2252741825648958971997473600</v>
      </c>
      <c r="X34" s="428">
        <v>25.339090693223597947765813810</v>
      </c>
      <c r="Y34" s="417">
        <v>19.767769547588222357714292750</v>
      </c>
      <c r="Z34" s="427">
        <v>-14.640799583635124621173783470</v>
      </c>
      <c r="AA34" s="428">
        <v>-10.819184869608392600427160470</v>
      </c>
      <c r="AB34" s="417">
        <v>1.2683385014950036719574959200</v>
      </c>
      <c r="AC34" s="5"/>
      <c r="AD34" s="427" t="s">
        <v>306</v>
      </c>
      <c r="AE34" s="428" t="s">
        <v>348</v>
      </c>
      <c r="AF34" s="428" t="s">
        <v>349</v>
      </c>
      <c r="AG34" s="429" t="s">
        <v>348</v>
      </c>
    </row>
    <row r="35" ht="20.1" customHeight="1">
      <c r="A35" s="58"/>
      <c r="B35" s="286">
        <v>2024</v>
      </c>
      <c r="C35" s="287"/>
      <c r="D35" s="276">
        <v>285.11978114478114478114478114</v>
      </c>
      <c r="E35" s="94">
        <v>265.4594311021827570208631998</v>
      </c>
      <c r="F35" s="277">
        <v>236.01209985549708640115312601</v>
      </c>
      <c r="G35" s="276">
        <v>1.5968013468013468013468013468</v>
      </c>
      <c r="H35" s="94">
        <v>53.080077924345406721067297089</v>
      </c>
      <c r="I35" s="277">
        <v>61.82134717222334302706228574</v>
      </c>
      <c r="J35" s="276">
        <v>26.994612794612794612794612795</v>
      </c>
      <c r="K35" s="94">
        <v>33.034589619735192997716206837</v>
      </c>
      <c r="L35" s="277">
        <v>26.476700649105327002823466712</v>
      </c>
      <c r="M35" s="276">
        <v>313.71119528619528619528619529</v>
      </c>
      <c r="N35" s="94">
        <v>351.57409864626335673964670372</v>
      </c>
      <c r="O35" s="277">
        <v>324.31014767682575643103887845</v>
      </c>
      <c r="P35" s="5"/>
      <c r="Q35" s="271">
        <v>1.7143620733297970453147711400</v>
      </c>
      <c r="R35" s="92">
        <v>1.5253014377388559275229007500</v>
      </c>
      <c r="S35" s="272">
        <v>2.5510272786099639496862572900</v>
      </c>
      <c r="T35" s="271">
        <v>-97.25930287241306916494129806</v>
      </c>
      <c r="U35" s="92">
        <v>-11.876175070655417684447144920</v>
      </c>
      <c r="V35" s="272">
        <v>-6.1529052487529834148422265900</v>
      </c>
      <c r="W35" s="271">
        <v>20.255392585703963451946967590</v>
      </c>
      <c r="X35" s="92">
        <v>19.953083002548582286063262370</v>
      </c>
      <c r="Y35" s="272">
        <v>2.3346597290760298975468947500</v>
      </c>
      <c r="Z35" s="271">
        <v>-13.105292738797451768903003320</v>
      </c>
      <c r="AA35" s="92">
        <v>0.6670928777998812507902794800</v>
      </c>
      <c r="AB35" s="272">
        <v>0.7523737563311152516324388300</v>
      </c>
      <c r="AC35" s="5"/>
      <c r="AD35" s="271" t="s">
        <v>308</v>
      </c>
      <c r="AE35" s="92" t="s">
        <v>349</v>
      </c>
      <c r="AF35" s="92" t="s">
        <v>351</v>
      </c>
      <c r="AG35" s="272" t="s">
        <v>350</v>
      </c>
    </row>
    <row r="36" ht="20.1" customHeight="1">
      <c r="A36" s="58"/>
      <c r="B36" s="425">
        <v>2025</v>
      </c>
      <c r="C36" s="426"/>
      <c r="D36" s="457">
        <v>277.5619679945522642151855635</v>
      </c>
      <c r="E36" s="458">
        <v>275.54264550724952956916149102</v>
      </c>
      <c r="F36" s="499">
        <v>244.23833820862991875286050565</v>
      </c>
      <c r="G36" s="457">
        <v>1.37512768130745658835546476</v>
      </c>
      <c r="H36" s="458">
        <v>75.610760577630991074587828465</v>
      </c>
      <c r="I36" s="499">
        <v>71.127799734054875536702435129</v>
      </c>
      <c r="J36" s="457">
        <v>30.134150493701055498808307797</v>
      </c>
      <c r="K36" s="458">
        <v>31.917048312597167596490295883</v>
      </c>
      <c r="L36" s="499">
        <v>23.13437877508569755674137224</v>
      </c>
      <c r="M36" s="457">
        <v>309.07124616956077630234933606</v>
      </c>
      <c r="N36" s="458">
        <v>383.07045439747768824023961538</v>
      </c>
      <c r="O36" s="499">
        <v>338.50051671777049184630431302</v>
      </c>
      <c r="P36" s="453"/>
      <c r="Q36" s="430">
        <v>-2.6507501934456976538941246900</v>
      </c>
      <c r="R36" s="431">
        <v>3.7984012710279498301836284300</v>
      </c>
      <c r="S36" s="500">
        <v>3.4855155130463601947580213600</v>
      </c>
      <c r="T36" s="430">
        <v>-13.882357122053963666191920320</v>
      </c>
      <c r="U36" s="431">
        <v>42.446589256072794658355502080</v>
      </c>
      <c r="V36" s="500">
        <v>15.053784796912073294714599010</v>
      </c>
      <c r="W36" s="430">
        <v>11.630237940397827627258244980</v>
      </c>
      <c r="X36" s="431">
        <v>-3.3829429091390699474871252400</v>
      </c>
      <c r="Y36" s="500">
        <v>-12.623634335375224149301264160</v>
      </c>
      <c r="Z36" s="430">
        <v>-1.4790511739328203565878266100</v>
      </c>
      <c r="AA36" s="431">
        <v>8.958667851941077272747332190</v>
      </c>
      <c r="AB36" s="500">
        <v>4.3755550489626632850698340600</v>
      </c>
      <c r="AC36" s="453"/>
      <c r="AD36" s="430" t="s">
        <v>311</v>
      </c>
      <c r="AE36" s="431" t="s">
        <v>353</v>
      </c>
      <c r="AF36" s="431" t="s">
        <v>345</v>
      </c>
      <c r="AG36" s="432" t="s">
        <v>345</v>
      </c>
    </row>
    <row r="37" ht="21" customHeight="1"/>
    <row r="38" ht="24.95" customHeight="1">
      <c r="A38" s="112"/>
      <c r="B38" s="972" t="s">
        <v>45</v>
      </c>
      <c r="C38" s="972"/>
      <c r="D38" s="972"/>
      <c r="E38" s="972"/>
      <c r="F38" s="972"/>
      <c r="G38" s="972"/>
      <c r="H38" s="972"/>
      <c r="I38" s="972"/>
      <c r="J38" s="972"/>
      <c r="K38" s="972"/>
      <c r="L38" s="972"/>
      <c r="M38" s="972"/>
      <c r="N38" s="972"/>
      <c r="O38" s="972"/>
      <c r="P38" s="501"/>
      <c r="Q38" s="971"/>
      <c r="R38" s="971"/>
      <c r="S38" s="971"/>
      <c r="T38" s="971"/>
      <c r="U38" s="971"/>
      <c r="V38" s="971"/>
      <c r="W38" s="971"/>
      <c r="X38" s="971"/>
      <c r="Y38" s="971"/>
      <c r="Z38" s="971"/>
      <c r="AA38" s="971"/>
      <c r="AB38" s="971"/>
      <c r="AC38" s="501"/>
      <c r="AD38" s="971"/>
      <c r="AE38" s="971"/>
      <c r="AF38" s="971"/>
      <c r="AG38" s="971"/>
      <c r="AH38" s="9"/>
    </row>
    <row r="39" ht="20.1" customHeight="1">
      <c r="A39" s="58"/>
      <c r="B39" s="284">
        <v>2023</v>
      </c>
      <c r="C39" s="285"/>
      <c r="D39" s="454">
        <v>223.94186384391863843918638439</v>
      </c>
      <c r="E39" s="455">
        <v>200.30788432320350429684703437</v>
      </c>
      <c r="F39" s="436">
        <v>174.39465118522254831909927633</v>
      </c>
      <c r="G39" s="454">
        <v>49.291843088418430884184308842</v>
      </c>
      <c r="H39" s="455">
        <v>47.12006903921930884561941748</v>
      </c>
      <c r="I39" s="436">
        <v>100.33187384233519460402239486</v>
      </c>
      <c r="J39" s="454">
        <v>21.012972187629721876297218763</v>
      </c>
      <c r="K39" s="455">
        <v>23.711098493018571722395662393</v>
      </c>
      <c r="L39" s="436">
        <v>22.041124989430152475284134037</v>
      </c>
      <c r="M39" s="454">
        <v>294.246679119966791199667912</v>
      </c>
      <c r="N39" s="455">
        <v>271.13905185544138486486211424</v>
      </c>
      <c r="O39" s="436">
        <v>296.7676500169878953984058052</v>
      </c>
      <c r="P39" s="5"/>
      <c r="Q39" s="427">
        <v>-4.2891886936373646007539174600</v>
      </c>
      <c r="R39" s="428">
        <v>-5.1391568289568310871377614400</v>
      </c>
      <c r="S39" s="417">
        <v>5.3723092719634569159573096900</v>
      </c>
      <c r="T39" s="427">
        <v>10.697349003542841389473482840</v>
      </c>
      <c r="U39" s="428">
        <v>13.427061559711562093554872360</v>
      </c>
      <c r="V39" s="417">
        <v>180.84562853533745351235620183</v>
      </c>
      <c r="W39" s="427">
        <v>5.3247844931063278651475548400</v>
      </c>
      <c r="X39" s="428">
        <v>14.872497648324645005144859760</v>
      </c>
      <c r="Y39" s="417">
        <v>23.280588494167603656055037800</v>
      </c>
      <c r="Z39" s="427">
        <v>-1.4106050601496472315703957800</v>
      </c>
      <c r="AA39" s="428">
        <v>-0.8063376966691453526722725900</v>
      </c>
      <c r="AB39" s="417">
        <v>35.444135872075164744958184400</v>
      </c>
      <c r="AC39" s="5"/>
      <c r="AD39" s="427" t="s">
        <v>308</v>
      </c>
      <c r="AE39" s="428" t="s">
        <v>221</v>
      </c>
      <c r="AF39" s="428" t="s">
        <v>223</v>
      </c>
      <c r="AG39" s="429" t="s">
        <v>221</v>
      </c>
    </row>
    <row r="40" ht="20.1" customHeight="1">
      <c r="A40" s="58"/>
      <c r="B40" s="286">
        <v>2024</v>
      </c>
      <c r="C40" s="287"/>
      <c r="D40" s="276">
        <v>204.22404371584699453551912568</v>
      </c>
      <c r="E40" s="94">
        <v>184.31249004029061818145605962</v>
      </c>
      <c r="F40" s="277">
        <v>171.31383848428021328991010591</v>
      </c>
      <c r="G40" s="276">
        <v>25.070914058618976651763537009</v>
      </c>
      <c r="H40" s="94">
        <v>38.99815597865960057907073518</v>
      </c>
      <c r="I40" s="277">
        <v>51.724991915108175270475335794</v>
      </c>
      <c r="J40" s="276">
        <v>21.99962742175856929955290611</v>
      </c>
      <c r="K40" s="94">
        <v>26.41025125252667752138441372</v>
      </c>
      <c r="L40" s="277">
        <v>23.370236178727119526175264884</v>
      </c>
      <c r="M40" s="276">
        <v>251.2945851962245404868355688</v>
      </c>
      <c r="N40" s="94">
        <v>249.72089727147689628191120853</v>
      </c>
      <c r="O40" s="277">
        <v>246.4090665781155080865607066</v>
      </c>
      <c r="P40" s="5"/>
      <c r="Q40" s="271">
        <v>-8.804883459305951184034738640</v>
      </c>
      <c r="R40" s="92">
        <v>-7.985404237558894747624408310</v>
      </c>
      <c r="S40" s="272">
        <v>-1.7665752246312241503742376600</v>
      </c>
      <c r="T40" s="271">
        <v>-49.137803563853769877887768200</v>
      </c>
      <c r="U40" s="92">
        <v>-17.236632344030819526323663840</v>
      </c>
      <c r="V40" s="272">
        <v>-48.446101987082716668039219910</v>
      </c>
      <c r="W40" s="271">
        <v>4.6954577646126903568876358900</v>
      </c>
      <c r="X40" s="92">
        <v>11.383499420423404174269074930</v>
      </c>
      <c r="Y40" s="272">
        <v>6.0301422453087789492505280600</v>
      </c>
      <c r="Z40" s="271">
        <v>-14.597307963587480270885047060</v>
      </c>
      <c r="AA40" s="92">
        <v>-7.8993248804843971702273377300</v>
      </c>
      <c r="AB40" s="272">
        <v>-16.969027262910818372132021220</v>
      </c>
      <c r="AC40" s="5"/>
      <c r="AD40" s="271" t="s">
        <v>308</v>
      </c>
      <c r="AE40" s="92" t="s">
        <v>348</v>
      </c>
      <c r="AF40" s="92" t="s">
        <v>349</v>
      </c>
      <c r="AG40" s="272" t="s">
        <v>348</v>
      </c>
    </row>
    <row r="41" ht="20.1" customHeight="1">
      <c r="A41" s="58"/>
      <c r="B41" s="425">
        <v>2025</v>
      </c>
      <c r="C41" s="426"/>
      <c r="D41" s="457">
        <v>194.27029887920298879202988792</v>
      </c>
      <c r="E41" s="458">
        <v>188.35606712726597620973623838</v>
      </c>
      <c r="F41" s="499">
        <v>175.67587157316607426835946419</v>
      </c>
      <c r="G41" s="457">
        <v>1.3348069738480697384806973848</v>
      </c>
      <c r="H41" s="458">
        <v>40.636222164380058246937409479</v>
      </c>
      <c r="I41" s="499">
        <v>53.928230543044360520658989474</v>
      </c>
      <c r="J41" s="457">
        <v>26.976317974263179742631797426</v>
      </c>
      <c r="K41" s="458">
        <v>26.802288181828170472573858009</v>
      </c>
      <c r="L41" s="499">
        <v>22.667786076080633310625113174</v>
      </c>
      <c r="M41" s="457">
        <v>222.58142382731423827314238273</v>
      </c>
      <c r="N41" s="458">
        <v>255.79457747347420492924750587</v>
      </c>
      <c r="O41" s="499">
        <v>252.27188819229106809964356684</v>
      </c>
      <c r="P41" s="453"/>
      <c r="Q41" s="430">
        <v>-4.8739338696322805484475928800</v>
      </c>
      <c r="R41" s="431">
        <v>2.1938703590200785931822345300</v>
      </c>
      <c r="S41" s="500">
        <v>2.5462234268166440893621546600</v>
      </c>
      <c r="T41" s="430">
        <v>-94.67587431902908649668000907</v>
      </c>
      <c r="U41" s="431">
        <v>4.200368311195884998311543200</v>
      </c>
      <c r="V41" s="500">
        <v>4.2595243544178734673555175200</v>
      </c>
      <c r="W41" s="430">
        <v>22.621703800000032337964916520</v>
      </c>
      <c r="X41" s="431">
        <v>1.4844119640514975164144664100</v>
      </c>
      <c r="Y41" s="500">
        <v>-3.0057466995544988817014827100</v>
      </c>
      <c r="Z41" s="430">
        <v>-11.426096326933491516903998120</v>
      </c>
      <c r="AA41" s="431">
        <v>2.4321874013494417868376355500</v>
      </c>
      <c r="AB41" s="500">
        <v>2.3793043395717873921810425300</v>
      </c>
      <c r="AC41" s="453"/>
      <c r="AD41" s="430" t="s">
        <v>306</v>
      </c>
      <c r="AE41" s="431" t="s">
        <v>353</v>
      </c>
      <c r="AF41" s="431" t="s">
        <v>347</v>
      </c>
      <c r="AG41" s="432" t="s">
        <v>345</v>
      </c>
    </row>
    <row r="42" ht="12.75" customHeight="1"/>
    <row r="43" ht="20.1" customHeight="1">
      <c r="B43" s="7" t="s">
        <v>104</v>
      </c>
    </row>
    <row r="44" ht="14.1" customHeight="1">
      <c r="B44" s="7"/>
      <c r="AW44" s="236"/>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201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v>1</v>
      </c>
      <c r="M8" s="1053"/>
      <c r="N8" s="1053">
        <v>2</v>
      </c>
      <c r="O8" s="1053"/>
      <c r="P8" s="1053">
        <v>3</v>
      </c>
      <c r="Q8" s="1053"/>
      <c r="R8" s="1053">
        <v>4</v>
      </c>
      <c r="S8" s="1053"/>
      <c r="T8" s="1054">
        <v>5</v>
      </c>
      <c r="U8" s="1054"/>
      <c r="Z8" s="1052"/>
      <c r="AA8" s="1052"/>
      <c r="AB8" s="1053">
        <v>1</v>
      </c>
      <c r="AC8" s="1053"/>
      <c r="AD8" s="1053">
        <v>2</v>
      </c>
      <c r="AE8" s="1053"/>
      <c r="AF8" s="1053">
        <v>3</v>
      </c>
      <c r="AG8" s="1053"/>
      <c r="AH8" s="1053">
        <v>4</v>
      </c>
      <c r="AI8" s="1053"/>
      <c r="AJ8" s="1053">
        <v>5</v>
      </c>
      <c r="AK8" s="1053"/>
      <c r="AL8" s="1054">
        <v>6</v>
      </c>
      <c r="AM8" s="1054"/>
    </row>
    <row r="9" ht="15" customHeight="1">
      <c r="D9" s="175" t="s">
        <v>250</v>
      </c>
      <c r="H9" s="1055">
        <v>6</v>
      </c>
      <c r="I9" s="1055"/>
      <c r="J9" s="1056">
        <v>7</v>
      </c>
      <c r="K9" s="1056"/>
      <c r="L9" s="1056">
        <v>8</v>
      </c>
      <c r="M9" s="1056"/>
      <c r="N9" s="1056">
        <v>9</v>
      </c>
      <c r="O9" s="1056"/>
      <c r="P9" s="1056">
        <v>10</v>
      </c>
      <c r="Q9" s="1056"/>
      <c r="R9" s="1056">
        <v>11</v>
      </c>
      <c r="S9" s="1056"/>
      <c r="T9" s="1057">
        <v>12</v>
      </c>
      <c r="U9" s="1057"/>
      <c r="Z9" s="1055">
        <v>7</v>
      </c>
      <c r="AA9" s="1055"/>
      <c r="AB9" s="1056">
        <v>8</v>
      </c>
      <c r="AC9" s="1056"/>
      <c r="AD9" s="1056">
        <v>9</v>
      </c>
      <c r="AE9" s="1056"/>
      <c r="AF9" s="1056">
        <v>10</v>
      </c>
      <c r="AG9" s="1056"/>
      <c r="AH9" s="1056">
        <v>11</v>
      </c>
      <c r="AI9" s="1056"/>
      <c r="AJ9" s="1056">
        <v>12</v>
      </c>
      <c r="AK9" s="1056"/>
      <c r="AL9" s="1057">
        <v>13</v>
      </c>
      <c r="AM9" s="1057"/>
    </row>
    <row r="10" ht="15" customHeight="1">
      <c r="H10" s="1058">
        <v>13</v>
      </c>
      <c r="I10" s="1058"/>
      <c r="J10" s="1059">
        <v>14</v>
      </c>
      <c r="K10" s="1059"/>
      <c r="L10" s="1059">
        <v>15</v>
      </c>
      <c r="M10" s="1059"/>
      <c r="N10" s="1059">
        <v>16</v>
      </c>
      <c r="O10" s="1059"/>
      <c r="P10" s="1059">
        <v>17</v>
      </c>
      <c r="Q10" s="1059"/>
      <c r="R10" s="1059">
        <v>18</v>
      </c>
      <c r="S10" s="1059"/>
      <c r="T10" s="1060">
        <v>19</v>
      </c>
      <c r="U10" s="1060"/>
      <c r="Z10" s="1058">
        <v>14</v>
      </c>
      <c r="AA10" s="1058"/>
      <c r="AB10" s="1059">
        <v>15</v>
      </c>
      <c r="AC10" s="1059"/>
      <c r="AD10" s="1059">
        <v>16</v>
      </c>
      <c r="AE10" s="1059"/>
      <c r="AF10" s="1059">
        <v>17</v>
      </c>
      <c r="AG10" s="1059"/>
      <c r="AH10" s="1059">
        <v>18</v>
      </c>
      <c r="AI10" s="1059"/>
      <c r="AJ10" s="1059">
        <v>19</v>
      </c>
      <c r="AK10" s="1059"/>
      <c r="AL10" s="1060">
        <v>20</v>
      </c>
      <c r="AM10" s="1060"/>
    </row>
    <row r="11" ht="15" customHeight="1">
      <c r="H11" s="1055">
        <v>20</v>
      </c>
      <c r="I11" s="1055"/>
      <c r="J11" s="1056">
        <v>21</v>
      </c>
      <c r="K11" s="1056"/>
      <c r="L11" s="1056">
        <v>22</v>
      </c>
      <c r="M11" s="1056"/>
      <c r="N11" s="1056">
        <v>23</v>
      </c>
      <c r="O11" s="1056"/>
      <c r="P11" s="1056">
        <v>24</v>
      </c>
      <c r="Q11" s="1056"/>
      <c r="R11" s="1056">
        <v>25</v>
      </c>
      <c r="S11" s="1056"/>
      <c r="T11" s="1057">
        <v>26</v>
      </c>
      <c r="U11" s="1057"/>
      <c r="Z11" s="1055">
        <v>21</v>
      </c>
      <c r="AA11" s="1055"/>
      <c r="AB11" s="1056">
        <v>22</v>
      </c>
      <c r="AC11" s="1056"/>
      <c r="AD11" s="1056">
        <v>23</v>
      </c>
      <c r="AE11" s="1056"/>
      <c r="AF11" s="1056">
        <v>24</v>
      </c>
      <c r="AG11" s="1056"/>
      <c r="AH11" s="1056">
        <v>25</v>
      </c>
      <c r="AI11" s="1056"/>
      <c r="AJ11" s="1056">
        <v>26</v>
      </c>
      <c r="AK11" s="1056"/>
      <c r="AL11" s="1057">
        <v>27</v>
      </c>
      <c r="AM11" s="1057"/>
      <c r="AN11" t="s">
        <v>27</v>
      </c>
    </row>
    <row r="12" ht="15" customHeight="1">
      <c r="A12" s="68"/>
      <c r="H12" s="1058">
        <v>27</v>
      </c>
      <c r="I12" s="1058"/>
      <c r="J12" s="1059">
        <v>28</v>
      </c>
      <c r="K12" s="1059"/>
      <c r="L12" s="1059">
        <v>29</v>
      </c>
      <c r="M12" s="1059"/>
      <c r="N12" s="1059">
        <v>30</v>
      </c>
      <c r="O12" s="1059"/>
      <c r="P12" s="1059"/>
      <c r="Q12" s="1059"/>
      <c r="R12" s="1059"/>
      <c r="S12" s="1059"/>
      <c r="T12" s="1060"/>
      <c r="U12" s="1060"/>
      <c r="Z12" s="1058">
        <v>28</v>
      </c>
      <c r="AA12" s="1058"/>
      <c r="AB12" s="1059">
        <v>29</v>
      </c>
      <c r="AC12" s="1059"/>
      <c r="AD12" s="1059">
        <v>30</v>
      </c>
      <c r="AE12" s="1059"/>
      <c r="AF12" s="1059"/>
      <c r="AG12" s="1059"/>
      <c r="AH12" s="1059"/>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252</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3"/>
      <c r="Y21" s="993"/>
      <c r="Z21" s="995">
        <v>2024</v>
      </c>
      <c r="AA21" s="995"/>
      <c r="AB21" s="995"/>
      <c r="AC21" s="995"/>
      <c r="AD21" s="995"/>
      <c r="AE21" s="995"/>
      <c r="AF21" s="995"/>
      <c r="AG21" s="995"/>
      <c r="AH21" s="995"/>
      <c r="AI21" s="995"/>
      <c r="AJ21" s="995"/>
      <c r="AK21" s="995"/>
      <c r="AL21" s="995">
        <v>2025</v>
      </c>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229</v>
      </c>
      <c r="S22" s="618" t="s">
        <v>230</v>
      </c>
      <c r="T22" s="618" t="s">
        <v>233</v>
      </c>
      <c r="U22" s="618" t="s">
        <v>234</v>
      </c>
      <c r="V22" s="618" t="s">
        <v>235</v>
      </c>
      <c r="W22" s="618" t="s">
        <v>236</v>
      </c>
      <c r="X22" s="618" t="s">
        <v>218</v>
      </c>
      <c r="Y22" s="1015" t="s">
        <v>222</v>
      </c>
      <c r="Z22" s="618" t="s">
        <v>224</v>
      </c>
      <c r="AA22" s="618" t="s">
        <v>225</v>
      </c>
      <c r="AB22" s="618" t="s">
        <v>226</v>
      </c>
      <c r="AC22" s="618" t="s">
        <v>228</v>
      </c>
      <c r="AD22" s="618" t="s">
        <v>229</v>
      </c>
      <c r="AE22" s="618" t="s">
        <v>230</v>
      </c>
      <c r="AF22" s="618" t="s">
        <v>233</v>
      </c>
      <c r="AG22" s="618" t="s">
        <v>234</v>
      </c>
      <c r="AH22" s="618" t="s">
        <v>235</v>
      </c>
      <c r="AI22" s="618" t="s">
        <v>236</v>
      </c>
      <c r="AJ22" s="618" t="s">
        <v>218</v>
      </c>
      <c r="AK22" s="1015" t="s">
        <v>222</v>
      </c>
      <c r="AL22" s="618" t="s">
        <v>224</v>
      </c>
      <c r="AM22" s="618" t="s">
        <v>225</v>
      </c>
      <c r="AN22" s="618" t="s">
        <v>226</v>
      </c>
      <c r="AO22" s="1015" t="s">
        <v>228</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66" t="s">
        <v>299</v>
      </c>
      <c r="S23" s="1067" t="s">
        <v>299</v>
      </c>
      <c r="T23" s="1067" t="s">
        <v>299</v>
      </c>
      <c r="U23" s="1067" t="s">
        <v>299</v>
      </c>
      <c r="V23" s="1067" t="s">
        <v>299</v>
      </c>
      <c r="W23" s="1067" t="s">
        <v>299</v>
      </c>
      <c r="X23" s="1067" t="s">
        <v>299</v>
      </c>
      <c r="Y23" s="1067" t="s">
        <v>299</v>
      </c>
      <c r="Z23" s="1067" t="s">
        <v>299</v>
      </c>
      <c r="AA23" s="1067" t="s">
        <v>299</v>
      </c>
      <c r="AB23" s="1067" t="s">
        <v>299</v>
      </c>
      <c r="AC23" s="1067" t="s">
        <v>299</v>
      </c>
      <c r="AD23" s="1067" t="s">
        <v>299</v>
      </c>
      <c r="AE23" s="1067" t="s">
        <v>299</v>
      </c>
      <c r="AF23" s="1067" t="s">
        <v>299</v>
      </c>
      <c r="AG23" s="1067" t="s">
        <v>299</v>
      </c>
      <c r="AH23" s="1067" t="s">
        <v>299</v>
      </c>
      <c r="AI23" s="1067" t="s">
        <v>299</v>
      </c>
      <c r="AJ23" s="1067" t="s">
        <v>299</v>
      </c>
      <c r="AK23" s="1067" t="s">
        <v>299</v>
      </c>
      <c r="AL23" s="1067" t="s">
        <v>299</v>
      </c>
      <c r="AM23" s="1067" t="s">
        <v>299</v>
      </c>
      <c r="AN23" s="1067" t="s">
        <v>299</v>
      </c>
      <c r="AO23" s="1068" t="s">
        <v>299</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26819</v>
      </c>
      <c r="D24" s="1021" t="s">
        <v>314</v>
      </c>
      <c r="E24" s="1021" t="s">
        <v>253</v>
      </c>
      <c r="F24" s="1021" t="s">
        <v>315</v>
      </c>
      <c r="G24" s="1021" t="s">
        <v>316</v>
      </c>
      <c r="H24" s="1023" t="s">
        <v>256</v>
      </c>
      <c r="I24" s="1023"/>
      <c r="J24" s="1023"/>
      <c r="K24" s="1023"/>
      <c r="L24" s="1023" t="s">
        <v>317</v>
      </c>
      <c r="M24" s="1023"/>
      <c r="N24" s="1023"/>
      <c r="O24" s="1023"/>
      <c r="P24" s="80"/>
      <c r="Q24" s="4"/>
      <c r="R24" s="1069" t="s">
        <v>299</v>
      </c>
      <c r="S24" s="1070" t="s">
        <v>299</v>
      </c>
      <c r="T24" s="1070" t="s">
        <v>299</v>
      </c>
      <c r="U24" s="1070" t="s">
        <v>299</v>
      </c>
      <c r="V24" s="1070" t="s">
        <v>299</v>
      </c>
      <c r="W24" s="1070" t="s">
        <v>299</v>
      </c>
      <c r="X24" s="1070" t="s">
        <v>299</v>
      </c>
      <c r="Y24" s="1070" t="s">
        <v>299</v>
      </c>
      <c r="Z24" s="1070" t="s">
        <v>299</v>
      </c>
      <c r="AA24" s="1070" t="s">
        <v>299</v>
      </c>
      <c r="AB24" s="1070" t="s">
        <v>299</v>
      </c>
      <c r="AC24" s="1070" t="s">
        <v>299</v>
      </c>
      <c r="AD24" s="1070" t="s">
        <v>299</v>
      </c>
      <c r="AE24" s="1070" t="s">
        <v>299</v>
      </c>
      <c r="AF24" s="1070" t="s">
        <v>299</v>
      </c>
      <c r="AG24" s="1070" t="s">
        <v>299</v>
      </c>
      <c r="AH24" s="1070" t="s">
        <v>299</v>
      </c>
      <c r="AI24" s="1070" t="s">
        <v>299</v>
      </c>
      <c r="AJ24" s="1070" t="s">
        <v>299</v>
      </c>
      <c r="AK24" s="1070" t="s">
        <v>299</v>
      </c>
      <c r="AL24" s="1070" t="s">
        <v>299</v>
      </c>
      <c r="AM24" s="1070" t="s">
        <v>299</v>
      </c>
      <c r="AN24" s="1070" t="s">
        <v>299</v>
      </c>
      <c r="AO24" s="1071" t="s">
        <v>299</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31851</v>
      </c>
      <c r="D25" s="1016" t="s">
        <v>318</v>
      </c>
      <c r="E25" s="1016" t="s">
        <v>253</v>
      </c>
      <c r="F25" s="1016" t="s">
        <v>319</v>
      </c>
      <c r="G25" s="1016" t="s">
        <v>320</v>
      </c>
      <c r="H25" s="1017" t="s">
        <v>321</v>
      </c>
      <c r="I25" s="1017"/>
      <c r="J25" s="1017"/>
      <c r="K25" s="1017"/>
      <c r="L25" s="1017" t="s">
        <v>322</v>
      </c>
      <c r="M25" s="1017"/>
      <c r="N25" s="1017"/>
      <c r="O25" s="1017"/>
      <c r="P25" s="80"/>
      <c r="Q25" s="4"/>
      <c r="R25" s="1066" t="s">
        <v>299</v>
      </c>
      <c r="S25" s="1067" t="s">
        <v>299</v>
      </c>
      <c r="T25" s="1067" t="s">
        <v>299</v>
      </c>
      <c r="U25" s="1067" t="s">
        <v>299</v>
      </c>
      <c r="V25" s="1067" t="s">
        <v>299</v>
      </c>
      <c r="W25" s="1067" t="s">
        <v>299</v>
      </c>
      <c r="X25" s="1067" t="s">
        <v>299</v>
      </c>
      <c r="Y25" s="1067" t="s">
        <v>299</v>
      </c>
      <c r="Z25" s="1067" t="s">
        <v>299</v>
      </c>
      <c r="AA25" s="1067" t="s">
        <v>299</v>
      </c>
      <c r="AB25" s="1067" t="s">
        <v>299</v>
      </c>
      <c r="AC25" s="1067" t="s">
        <v>299</v>
      </c>
      <c r="AD25" s="1067" t="s">
        <v>299</v>
      </c>
      <c r="AE25" s="1067" t="s">
        <v>299</v>
      </c>
      <c r="AF25" s="1067" t="s">
        <v>299</v>
      </c>
      <c r="AG25" s="1067" t="s">
        <v>299</v>
      </c>
      <c r="AH25" s="1067" t="s">
        <v>299</v>
      </c>
      <c r="AI25" s="1067" t="s">
        <v>299</v>
      </c>
      <c r="AJ25" s="1067" t="s">
        <v>299</v>
      </c>
      <c r="AK25" s="1067" t="s">
        <v>299</v>
      </c>
      <c r="AL25" s="1067" t="s">
        <v>299</v>
      </c>
      <c r="AM25" s="1067" t="s">
        <v>299</v>
      </c>
      <c r="AN25" s="1067" t="s">
        <v>299</v>
      </c>
      <c r="AO25" s="1068" t="s">
        <v>299</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33931</v>
      </c>
      <c r="D26" s="1021" t="s">
        <v>259</v>
      </c>
      <c r="E26" s="1021" t="s">
        <v>253</v>
      </c>
      <c r="F26" s="1022" t="s">
        <v>260</v>
      </c>
      <c r="G26" s="1021" t="s">
        <v>261</v>
      </c>
      <c r="H26" s="1023" t="s">
        <v>262</v>
      </c>
      <c r="I26" s="1023"/>
      <c r="J26" s="1023"/>
      <c r="K26" s="1023"/>
      <c r="L26" s="1023" t="s">
        <v>263</v>
      </c>
      <c r="M26" s="1023"/>
      <c r="N26" s="1023"/>
      <c r="O26" s="1023"/>
      <c r="P26" s="80"/>
      <c r="Q26" s="4"/>
      <c r="R26" s="1069" t="s">
        <v>299</v>
      </c>
      <c r="S26" s="1070" t="s">
        <v>299</v>
      </c>
      <c r="T26" s="1070" t="s">
        <v>299</v>
      </c>
      <c r="U26" s="1070" t="s">
        <v>299</v>
      </c>
      <c r="V26" s="1070" t="s">
        <v>299</v>
      </c>
      <c r="W26" s="1070" t="s">
        <v>299</v>
      </c>
      <c r="X26" s="1070" t="s">
        <v>299</v>
      </c>
      <c r="Y26" s="1070" t="s">
        <v>299</v>
      </c>
      <c r="Z26" s="1070" t="s">
        <v>299</v>
      </c>
      <c r="AA26" s="1070" t="s">
        <v>299</v>
      </c>
      <c r="AB26" s="1070" t="s">
        <v>299</v>
      </c>
      <c r="AC26" s="1070" t="s">
        <v>299</v>
      </c>
      <c r="AD26" s="1070" t="s">
        <v>299</v>
      </c>
      <c r="AE26" s="1070" t="s">
        <v>299</v>
      </c>
      <c r="AF26" s="1070" t="s">
        <v>299</v>
      </c>
      <c r="AG26" s="1070" t="s">
        <v>299</v>
      </c>
      <c r="AH26" s="1070" t="s">
        <v>299</v>
      </c>
      <c r="AI26" s="1070" t="s">
        <v>299</v>
      </c>
      <c r="AJ26" s="1070" t="s">
        <v>299</v>
      </c>
      <c r="AK26" s="1070" t="s">
        <v>299</v>
      </c>
      <c r="AL26" s="1070" t="s">
        <v>299</v>
      </c>
      <c r="AM26" s="1070" t="s">
        <v>299</v>
      </c>
      <c r="AN26" s="1070" t="s">
        <v>299</v>
      </c>
      <c r="AO26" s="1071" t="s">
        <v>299</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62556</v>
      </c>
      <c r="D27" s="1016" t="s">
        <v>323</v>
      </c>
      <c r="E27" s="1016" t="s">
        <v>253</v>
      </c>
      <c r="F27" s="1027" t="s">
        <v>260</v>
      </c>
      <c r="G27" s="1016" t="s">
        <v>324</v>
      </c>
      <c r="H27" s="1017" t="s">
        <v>325</v>
      </c>
      <c r="I27" s="1017"/>
      <c r="J27" s="1017"/>
      <c r="K27" s="1017"/>
      <c r="L27" s="1017" t="s">
        <v>326</v>
      </c>
      <c r="M27" s="1017"/>
      <c r="N27" s="1017"/>
      <c r="O27" s="1017"/>
      <c r="P27" s="80"/>
      <c r="Q27" s="4"/>
      <c r="R27" s="1066" t="s">
        <v>300</v>
      </c>
      <c r="S27" s="1067" t="s">
        <v>300</v>
      </c>
      <c r="T27" s="1067" t="s">
        <v>300</v>
      </c>
      <c r="U27" s="1067" t="s">
        <v>300</v>
      </c>
      <c r="V27" s="1067" t="s">
        <v>300</v>
      </c>
      <c r="W27" s="1067" t="s">
        <v>300</v>
      </c>
      <c r="X27" s="1067" t="s">
        <v>300</v>
      </c>
      <c r="Y27" s="1067" t="s">
        <v>300</v>
      </c>
      <c r="Z27" s="1067" t="s">
        <v>300</v>
      </c>
      <c r="AA27" s="1067" t="s">
        <v>300</v>
      </c>
      <c r="AB27" s="1067" t="s">
        <v>300</v>
      </c>
      <c r="AC27" s="1067" t="s">
        <v>300</v>
      </c>
      <c r="AD27" s="1067" t="s">
        <v>300</v>
      </c>
      <c r="AE27" s="1067" t="s">
        <v>300</v>
      </c>
      <c r="AF27" s="1067" t="s">
        <v>300</v>
      </c>
      <c r="AG27" s="1067" t="s">
        <v>300</v>
      </c>
      <c r="AH27" s="1067" t="s">
        <v>300</v>
      </c>
      <c r="AI27" s="1067" t="s">
        <v>300</v>
      </c>
      <c r="AJ27" s="1067" t="s">
        <v>300</v>
      </c>
      <c r="AK27" s="1067" t="s">
        <v>300</v>
      </c>
      <c r="AL27" s="1067" t="s">
        <v>300</v>
      </c>
      <c r="AM27" s="1067" t="s">
        <v>300</v>
      </c>
      <c r="AN27" s="1067" t="s">
        <v>300</v>
      </c>
      <c r="AO27" s="1068" t="s">
        <v>300</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64036</v>
      </c>
      <c r="D28" s="1021" t="s">
        <v>327</v>
      </c>
      <c r="E28" s="1021" t="s">
        <v>253</v>
      </c>
      <c r="F28" s="1022" t="s">
        <v>260</v>
      </c>
      <c r="G28" s="1021" t="s">
        <v>328</v>
      </c>
      <c r="H28" s="1023" t="s">
        <v>329</v>
      </c>
      <c r="I28" s="1023"/>
      <c r="J28" s="1023"/>
      <c r="K28" s="1023"/>
      <c r="L28" s="1023" t="s">
        <v>330</v>
      </c>
      <c r="M28" s="1023"/>
      <c r="N28" s="1023"/>
      <c r="O28" s="1023"/>
      <c r="P28" s="80"/>
      <c r="Q28" s="4"/>
      <c r="R28" s="1069" t="s">
        <v>299</v>
      </c>
      <c r="S28" s="1070" t="s">
        <v>299</v>
      </c>
      <c r="T28" s="1070" t="s">
        <v>299</v>
      </c>
      <c r="U28" s="1070" t="s">
        <v>299</v>
      </c>
      <c r="V28" s="1070" t="s">
        <v>299</v>
      </c>
      <c r="W28" s="1070" t="s">
        <v>299</v>
      </c>
      <c r="X28" s="1070" t="s">
        <v>299</v>
      </c>
      <c r="Y28" s="1070" t="s">
        <v>299</v>
      </c>
      <c r="Z28" s="1070" t="s">
        <v>299</v>
      </c>
      <c r="AA28" s="1070" t="s">
        <v>299</v>
      </c>
      <c r="AB28" s="1070" t="s">
        <v>299</v>
      </c>
      <c r="AC28" s="1070" t="s">
        <v>299</v>
      </c>
      <c r="AD28" s="1070" t="s">
        <v>299</v>
      </c>
      <c r="AE28" s="1070" t="s">
        <v>299</v>
      </c>
      <c r="AF28" s="1070" t="s">
        <v>299</v>
      </c>
      <c r="AG28" s="1070" t="s">
        <v>299</v>
      </c>
      <c r="AH28" s="1070" t="s">
        <v>299</v>
      </c>
      <c r="AI28" s="1070" t="s">
        <v>299</v>
      </c>
      <c r="AJ28" s="1070" t="s">
        <v>299</v>
      </c>
      <c r="AK28" s="1070" t="s">
        <v>299</v>
      </c>
      <c r="AL28" s="1070" t="s">
        <v>299</v>
      </c>
      <c r="AM28" s="1070" t="s">
        <v>299</v>
      </c>
      <c r="AN28" s="1070" t="s">
        <v>299</v>
      </c>
      <c r="AO28" s="1071" t="s">
        <v>299</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67528</v>
      </c>
      <c r="D29" s="1016" t="s">
        <v>331</v>
      </c>
      <c r="E29" s="1016" t="s">
        <v>253</v>
      </c>
      <c r="F29" s="1027" t="s">
        <v>260</v>
      </c>
      <c r="G29" s="1016" t="s">
        <v>332</v>
      </c>
      <c r="H29" s="1017" t="s">
        <v>333</v>
      </c>
      <c r="I29" s="1017"/>
      <c r="J29" s="1017"/>
      <c r="K29" s="1017"/>
      <c r="L29" s="1017" t="s">
        <v>334</v>
      </c>
      <c r="M29" s="1017"/>
      <c r="N29" s="1017"/>
      <c r="O29" s="1017"/>
      <c r="P29" s="80"/>
      <c r="Q29" s="4"/>
      <c r="R29" s="1066" t="s">
        <v>299</v>
      </c>
      <c r="S29" s="1067" t="s">
        <v>299</v>
      </c>
      <c r="T29" s="1067" t="s">
        <v>299</v>
      </c>
      <c r="U29" s="1067" t="s">
        <v>299</v>
      </c>
      <c r="V29" s="1067" t="s">
        <v>299</v>
      </c>
      <c r="W29" s="1067" t="s">
        <v>299</v>
      </c>
      <c r="X29" s="1067" t="s">
        <v>299</v>
      </c>
      <c r="Y29" s="1067" t="s">
        <v>299</v>
      </c>
      <c r="Z29" s="1067" t="s">
        <v>299</v>
      </c>
      <c r="AA29" s="1067" t="s">
        <v>299</v>
      </c>
      <c r="AB29" s="1067" t="s">
        <v>299</v>
      </c>
      <c r="AC29" s="1067" t="s">
        <v>299</v>
      </c>
      <c r="AD29" s="1067" t="s">
        <v>299</v>
      </c>
      <c r="AE29" s="1067" t="s">
        <v>299</v>
      </c>
      <c r="AF29" s="1067" t="s">
        <v>299</v>
      </c>
      <c r="AG29" s="1067" t="s">
        <v>299</v>
      </c>
      <c r="AH29" s="1067" t="s">
        <v>299</v>
      </c>
      <c r="AI29" s="1067" t="s">
        <v>299</v>
      </c>
      <c r="AJ29" s="1067" t="s">
        <v>299</v>
      </c>
      <c r="AK29" s="1067" t="s">
        <v>299</v>
      </c>
      <c r="AL29" s="1067" t="s">
        <v>299</v>
      </c>
      <c r="AM29" s="1067" t="s">
        <v>299</v>
      </c>
      <c r="AN29" s="1067" t="s">
        <v>299</v>
      </c>
      <c r="AO29" s="1068" t="s">
        <v>299</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1">
        <v>68331</v>
      </c>
      <c r="D30" s="1021" t="s">
        <v>335</v>
      </c>
      <c r="E30" s="1021" t="s">
        <v>253</v>
      </c>
      <c r="F30" s="1021" t="s">
        <v>336</v>
      </c>
      <c r="G30" s="1021" t="s">
        <v>337</v>
      </c>
      <c r="H30" s="1023" t="s">
        <v>338</v>
      </c>
      <c r="I30" s="1023"/>
      <c r="J30" s="1023"/>
      <c r="K30" s="1023"/>
      <c r="L30" s="1023" t="s">
        <v>339</v>
      </c>
      <c r="M30" s="1023"/>
      <c r="N30" s="1023"/>
      <c r="O30" s="1023"/>
      <c r="P30" s="80"/>
      <c r="Q30" s="4"/>
      <c r="R30" s="1069" t="s">
        <v>299</v>
      </c>
      <c r="S30" s="1070" t="s">
        <v>299</v>
      </c>
      <c r="T30" s="1070" t="s">
        <v>299</v>
      </c>
      <c r="U30" s="1070" t="s">
        <v>299</v>
      </c>
      <c r="V30" s="1070" t="s">
        <v>299</v>
      </c>
      <c r="W30" s="1070" t="s">
        <v>299</v>
      </c>
      <c r="X30" s="1070" t="s">
        <v>299</v>
      </c>
      <c r="Y30" s="1070" t="s">
        <v>299</v>
      </c>
      <c r="Z30" s="1070" t="s">
        <v>299</v>
      </c>
      <c r="AA30" s="1070" t="s">
        <v>299</v>
      </c>
      <c r="AB30" s="1070" t="s">
        <v>299</v>
      </c>
      <c r="AC30" s="1070" t="s">
        <v>299</v>
      </c>
      <c r="AD30" s="1070" t="s">
        <v>299</v>
      </c>
      <c r="AE30" s="1070" t="s">
        <v>299</v>
      </c>
      <c r="AF30" s="1070" t="s">
        <v>299</v>
      </c>
      <c r="AG30" s="1070" t="s">
        <v>299</v>
      </c>
      <c r="AH30" s="1070" t="s">
        <v>299</v>
      </c>
      <c r="AI30" s="1070" t="s">
        <v>299</v>
      </c>
      <c r="AJ30" s="1070" t="s">
        <v>299</v>
      </c>
      <c r="AK30" s="1070" t="s">
        <v>299</v>
      </c>
      <c r="AL30" s="1070" t="s">
        <v>299</v>
      </c>
      <c r="AM30" s="1070" t="s">
        <v>299</v>
      </c>
      <c r="AN30" s="1070" t="s">
        <v>299</v>
      </c>
      <c r="AO30" s="1071" t="s">
        <v>299</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016">
        <v>70610</v>
      </c>
      <c r="D31" s="1016" t="s">
        <v>340</v>
      </c>
      <c r="E31" s="1016" t="s">
        <v>253</v>
      </c>
      <c r="F31" s="1016" t="s">
        <v>341</v>
      </c>
      <c r="G31" s="1016" t="s">
        <v>342</v>
      </c>
      <c r="H31" s="1017" t="s">
        <v>343</v>
      </c>
      <c r="I31" s="1017"/>
      <c r="J31" s="1017"/>
      <c r="K31" s="1017"/>
      <c r="L31" s="1017" t="s">
        <v>344</v>
      </c>
      <c r="M31" s="1017"/>
      <c r="N31" s="1017"/>
      <c r="O31" s="1017"/>
      <c r="P31" s="80"/>
      <c r="Q31" s="4"/>
      <c r="R31" s="1066" t="s">
        <v>300</v>
      </c>
      <c r="S31" s="1067" t="s">
        <v>300</v>
      </c>
      <c r="T31" s="1067" t="s">
        <v>300</v>
      </c>
      <c r="U31" s="1067" t="s">
        <v>300</v>
      </c>
      <c r="V31" s="1067" t="s">
        <v>300</v>
      </c>
      <c r="W31" s="1067" t="s">
        <v>300</v>
      </c>
      <c r="X31" s="1067" t="s">
        <v>300</v>
      </c>
      <c r="Y31" s="1067" t="s">
        <v>300</v>
      </c>
      <c r="Z31" s="1067" t="s">
        <v>300</v>
      </c>
      <c r="AA31" s="1067" t="s">
        <v>300</v>
      </c>
      <c r="AB31" s="1067" t="s">
        <v>300</v>
      </c>
      <c r="AC31" s="1067" t="s">
        <v>300</v>
      </c>
      <c r="AD31" s="1067" t="s">
        <v>300</v>
      </c>
      <c r="AE31" s="1067" t="s">
        <v>300</v>
      </c>
      <c r="AF31" s="1067" t="s">
        <v>299</v>
      </c>
      <c r="AG31" s="1067" t="s">
        <v>299</v>
      </c>
      <c r="AH31" s="1067" t="s">
        <v>299</v>
      </c>
      <c r="AI31" s="1067" t="s">
        <v>299</v>
      </c>
      <c r="AJ31" s="1067" t="s">
        <v>299</v>
      </c>
      <c r="AK31" s="1067" t="s">
        <v>299</v>
      </c>
      <c r="AL31" s="1067" t="s">
        <v>299</v>
      </c>
      <c r="AM31" s="1067" t="s">
        <v>299</v>
      </c>
      <c r="AN31" s="1067" t="s">
        <v>299</v>
      </c>
      <c r="AO31" s="1068" t="s">
        <v>299</v>
      </c>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7">
        <v>1165</v>
      </c>
      <c r="I32" s="997"/>
      <c r="J32" s="997"/>
      <c r="K32" s="997"/>
      <c r="L32" s="1072"/>
      <c r="M32" s="1072"/>
      <c r="N32" s="1072"/>
      <c r="O32" s="1072"/>
      <c r="P32" s="80"/>
      <c r="Q32" s="4"/>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028" t="s">
        <v>281</v>
      </c>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3" t="s">
        <v>300</v>
      </c>
      <c r="AB34" s="1028" t="s">
        <v>301</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73" t="s">
        <v>302</v>
      </c>
      <c r="AB35" s="1028" t="s">
        <v>303</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074" t="s">
        <v>299</v>
      </c>
      <c r="AB36" s="1028" t="s">
        <v>304</v>
      </c>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Y21"/>
    <mergeCell ref="Z21:AK21"/>
    <mergeCell ref="AL21:AO21"/>
    <mergeCell ref="H32:K32"/>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28242767</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804,836,748,808,805,837,749,809</cp:category>
  <dcterms:created xsi:type="dcterms:W3CDTF">2003-06-11T18:24:11Z</dcterms:created>
  <dc:creator>STR, Inc.</dc:creator>
  <cp:keywords>56387</cp:keywords>
  <cp:lastModifiedBy>Jim Hawkins</cp:lastModifiedBy>
  <cp:lastPrinted>2016-02-11T20:47:50Z</cp:lastPrinted>
  <dcterms:modified xsi:type="dcterms:W3CDTF">2021-08-10T14:36:44Z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