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derwriting Steps" sheetId="1" r:id="rId4"/>
    <sheet state="visible" name="P&amp;L Methodologies" sheetId="2" r:id="rId5"/>
    <sheet state="visible" name="Debt " sheetId="3" r:id="rId6"/>
  </sheets>
  <definedNames/>
  <calcPr/>
  <extLst>
    <ext uri="GoogleSheetsCustomDataVersion2">
      <go:sheetsCustomData xmlns:go="http://customooxmlschemas.google.com/" r:id="rId7" roundtripDataChecksum="G4GjZwXXaMyIKsMoW+y9DuhaI7BCRnl8y1ghovZZpTs="/>
    </ext>
  </extLst>
</workbook>
</file>

<file path=xl/sharedStrings.xml><?xml version="1.0" encoding="utf-8"?>
<sst xmlns="http://schemas.openxmlformats.org/spreadsheetml/2006/main" count="169" uniqueCount="167">
  <si>
    <t>#</t>
  </si>
  <si>
    <t>Step</t>
  </si>
  <si>
    <t>What to Do</t>
  </si>
  <si>
    <t>Data Source</t>
  </si>
  <si>
    <t>Purpose</t>
  </si>
  <si>
    <t>Steps</t>
  </si>
  <si>
    <t>Data Room Intake</t>
  </si>
  <si>
    <t>Collect and classify all documents; identify gaps</t>
  </si>
  <si>
    <t>Data room files: P&amp;Ls, STR, budgets, contracts, PMS exports</t>
  </si>
  <si>
    <t>Establish full visibility into what information exists and what is missing</t>
  </si>
  <si>
    <t>Historical Performance Build</t>
  </si>
  <si>
    <t>Extract 3–5 years of ADR, OCC, RevPAR, segmentation, margins</t>
  </si>
  <si>
    <t>Historical P&amp;Ls, monthly financials, PMS data</t>
  </si>
  <si>
    <t>Normalize financial history and identify trends/benchmark issues</t>
  </si>
  <si>
    <t xml:space="preserve">- Review historical P&amp;Ls and standardize across model's "Historical" tab P&amp;L. Breakout specific categories such as Resort Fee (derived from Miscellaneous Income) 
- Goal is to see clean variances YoY and understand how property is managing flow/flex, dept. margins, Undist. Expense creep, owner expenses, etc. 
- The latest year financials will be the base year you are going to use for your proforma modeling. In this case, we only had financials through May of 2025. So we need to determine what the remainder of the year will actualize at (Run-Rate year) which becomes the base year 
- Base year determies purchase price through the cleaned NOI and will also be used to size the loan 
- What is the asset capable of when normalized? Normalize FF&amp;E to actual 4% of Revs, Mgmt Fee to 3% of Revs </t>
  </si>
  <si>
    <t>STR &amp; Market Analysis</t>
  </si>
  <si>
    <t>Analyze RevPAR index, ADR/OCC competitiveness, seasonality, comp set</t>
  </si>
  <si>
    <t>STR monthly/weekly reports</t>
  </si>
  <si>
    <t>Determine market position and achievable fair-share occupancy</t>
  </si>
  <si>
    <t>- We use STR to determine what the asset should be doing vs. the compset 
- Extract insights across RevPAR index trend, ADR vs. Occ index, segmentation mix, seasonality patterns, is the compset used the correct one
- Are there supply pipelines that will impact ADR/Occ due to keys entering or being removed from the market 
- Then the fair share model is extracted where you calculate 
Expected occupancy = (market occupancy × hotel room count / comp-set rooms) × your competitiveness factor</t>
  </si>
  <si>
    <t>Revenue Forecasting</t>
  </si>
  <si>
    <t>Model monthly OCC &amp; ADR by segment (Transient, Group, OTA, Contract)</t>
  </si>
  <si>
    <t>PMS segmentation data, STR mix, historical P&amp;Ls</t>
  </si>
  <si>
    <t>Forecast realistic top-line revenue with seasonality</t>
  </si>
  <si>
    <t>- Can be determined through multiple methods. For efficient UW, we use the STR fair share to determine what topline rooms revenue will be and then can compare our hotel P&amp;L to others in the market (if you have the data) or determine what factor will drive growth (see P&amp;L methodolgies tab"</t>
  </si>
  <si>
    <t>Expense Modeling</t>
  </si>
  <si>
    <t>Create POR/PAR expense forecasts; normalize labor and fixed costs</t>
  </si>
  <si>
    <t>Historical P&amp;Ls, staffing model, wage schedules, utility bills</t>
  </si>
  <si>
    <t>Build margin structure and identify operational improvement levers</t>
  </si>
  <si>
    <t>- Determine where expense efficiencies lie and what target margins or costs you are aiming for based on your hotel scale (see P&amp;L methodolgies tab"</t>
  </si>
  <si>
    <t>CapEx &amp; PIP Modeling</t>
  </si>
  <si>
    <t>Extract immediate capex, lifecycle FF&amp;E, deferred maintenance</t>
  </si>
  <si>
    <t>PIP reports, capex schedules, brand requirements</t>
  </si>
  <si>
    <t>Determine upfront and ongoing capital needs impacting valuation</t>
  </si>
  <si>
    <t>- PIP scop is based on discussions with the brand. Every hotel sale enacts a property review (change of Ownership PIP) by the brand which uses a checklist to determine what the property needs to invest across 
- PIP pricing comes from a project manager or firm (CBRE, JLL) that reviews the checklist. However, Buyers will review the pricing and see where they can cut costs. For example, if the walls need to be painted or carpet removed, you can often have your in-house engineer do that work vs. hiring an external GC 
- The PIP list is always negotiable. Buyer will have ongoing discussions through the ownership of the hotel with the Brand to determine if certain checklist items are needs or wants (e.g., my ADR is ranked 2 in my compset and my tripadvisor reviews rave about the room quality. Owner will go to brand and use data as backup to reduce the scope of the room renovation to more of a refresh)</t>
  </si>
  <si>
    <t>Build Full Pro Forma</t>
  </si>
  <si>
    <t>Combine revenue, expenses, and capex into 10-year NOI model</t>
  </si>
  <si>
    <t>Outputs from Steps 4–6</t>
  </si>
  <si>
    <t>Produce stabilized NOI and cash flow projections</t>
  </si>
  <si>
    <t xml:space="preserve">- This is where the cash flow is modeled after and the Proforma tab holds the projection of asset performance </t>
  </si>
  <si>
    <t>Debt Sizing</t>
  </si>
  <si>
    <t>Calculate DSCR, DY, LTV; size senior loan; structure financing</t>
  </si>
  <si>
    <t>NOI model, lender term sheets, rate assumptions</t>
  </si>
  <si>
    <t>Determine feasible loan proceeds and leverage level</t>
  </si>
  <si>
    <t xml:space="preserve">- Based on your proforma projections, you will have to determine if you are capable of meeting Lender's loan convenant thresholds. Loan projection is built based on the terms from Lender and using forward projecting interest rates (Chatham) - see debt tab </t>
  </si>
  <si>
    <t>Valuation</t>
  </si>
  <si>
    <t>Run cap rate, DCF, per-key, replacement cost, and sensitivity tests</t>
  </si>
  <si>
    <t>Pro forma, market cap rates, sales comps (if provided)</t>
  </si>
  <si>
    <t>Establish market value and investor return potential</t>
  </si>
  <si>
    <t>- Valuation id being derived from my base year P&amp;L and market cap rate based on comparable sales or costar activity</t>
  </si>
  <si>
    <t>P&amp;L Buildout Methodologies: POR vs PAR vs Margin vs Fixed</t>
  </si>
  <si>
    <t>Method</t>
  </si>
  <si>
    <t>Definition</t>
  </si>
  <si>
    <t>When to Use</t>
  </si>
  <si>
    <t>Why It Matters</t>
  </si>
  <si>
    <t>POR (Per Occupied Room)</t>
  </si>
  <si>
    <t>Cost per occupied room night</t>
  </si>
  <si>
    <t>Variable expenses tied directly to occupied rooms (housekeeping labor, laundry, amenities)</t>
  </si>
  <si>
    <t>Scales correctly with demand; vital for forecasting operating expenses tied to occupancy</t>
  </si>
  <si>
    <t>PAR (Per Available Room)</t>
  </si>
  <si>
    <t>Cost per available room regardless of occupancy</t>
  </si>
  <si>
    <t>Semi-variable expenses (front desk labor, basic utilities) that exist whether sold or not</t>
  </si>
  <si>
    <t>Normalizes costs across occupancy swings and supports annualized forecasting</t>
  </si>
  <si>
    <t>Margin (%)</t>
  </si>
  <si>
    <t>Expense expressed as % of revenue</t>
  </si>
  <si>
    <t>Used for revenue-driven expenses like F&amp;B COGS, spa commissions, and credit card fees</t>
  </si>
  <si>
    <t>Keeps expenses proportional to revenue; essential for modeling departmental profitability</t>
  </si>
  <si>
    <t>Fixed Expense</t>
  </si>
  <si>
    <t>Expense that does not change with rooms sold</t>
  </si>
  <si>
    <t>Salaries, insurance, property taxes, management fees, base utilities</t>
  </si>
  <si>
    <t>Critical for NOI forecasting—shows true operating leverage and breakeven behavior</t>
  </si>
  <si>
    <t>Expense Type</t>
  </si>
  <si>
    <t>Select-Service</t>
  </si>
  <si>
    <t>Lifestyle</t>
  </si>
  <si>
    <t>Luxury</t>
  </si>
  <si>
    <t>Resort</t>
  </si>
  <si>
    <t>Notes</t>
  </si>
  <si>
    <t>Rooms POR (Housekeeping, Laundry)</t>
  </si>
  <si>
    <t>$8–$18</t>
  </si>
  <si>
    <t>$12–$22</t>
  </si>
  <si>
    <t>$25–$45</t>
  </si>
  <si>
    <t>$30–$55</t>
  </si>
  <si>
    <t>Resorts &amp; luxury have higher staffing, linen, and service standards.</t>
  </si>
  <si>
    <t>Guest Supplies POR</t>
  </si>
  <si>
    <t>$2–$4</t>
  </si>
  <si>
    <t>$3–$6</t>
  </si>
  <si>
    <t>$6–$12</t>
  </si>
  <si>
    <t>$8–$15</t>
  </si>
  <si>
    <t>Amenity quality scales with segment level.</t>
  </si>
  <si>
    <t>F&amp;B COGS Margin</t>
  </si>
  <si>
    <t>22–30%</t>
  </si>
  <si>
    <t>24–32%</t>
  </si>
  <si>
    <t>28–36%</t>
  </si>
  <si>
    <t>30–40%</t>
  </si>
  <si>
    <t>Higher-end concepts use premium ingredients; resorts have higher spoilage + labor.</t>
  </si>
  <si>
    <t>Utilities PAR</t>
  </si>
  <si>
    <t>$4–$8</t>
  </si>
  <si>
    <t>$10–$20</t>
  </si>
  <si>
    <t>$15–$28</t>
  </si>
  <si>
    <t>Resorts incur pool, spa, landscape lighting, and HVAC loads.</t>
  </si>
  <si>
    <t>Repairs &amp; Maintenance PAR</t>
  </si>
  <si>
    <t>$2–$5</t>
  </si>
  <si>
    <t>$3–$7</t>
  </si>
  <si>
    <t>$5–$12</t>
  </si>
  <si>
    <t>Older or larger assets incur heavier R&amp;M needs.</t>
  </si>
  <si>
    <t>Admin &amp; General (Fixed Annual)</t>
  </si>
  <si>
    <t>$200k–$350k</t>
  </si>
  <si>
    <t>$300k–$600k</t>
  </si>
  <si>
    <t>$600k–$1.2M</t>
  </si>
  <si>
    <t>$750k–$1.5M</t>
  </si>
  <si>
    <t>Includes HR, accounting, DOSM, IT, GM suite.</t>
  </si>
  <si>
    <t>Sales &amp; Marketing Margin</t>
  </si>
  <si>
    <t>3–6%</t>
  </si>
  <si>
    <t>4–8%</t>
  </si>
  <si>
    <t>6–12%</t>
  </si>
  <si>
    <t>8–14%</t>
  </si>
  <si>
    <t>Resorts rely heavily on leisure, OTA, and package-driven business.</t>
  </si>
  <si>
    <t>Franchise Fees / Brand Fees (within Sales &amp; Marketing)</t>
  </si>
  <si>
    <t>10%–12% of rooms revenue</t>
  </si>
  <si>
    <t>11%–14%</t>
  </si>
  <si>
    <t>12%–15%</t>
  </si>
  <si>
    <t>12%–15%+</t>
  </si>
  <si>
    <t>Includes royalty, marketing, reservation fees</t>
  </si>
  <si>
    <t>FF&amp;E Reserve (% of revenue)</t>
  </si>
  <si>
    <t>3%–4%</t>
  </si>
  <si>
    <t>4%–5%</t>
  </si>
  <si>
    <t>6%–7%</t>
  </si>
  <si>
    <t>6%–8%</t>
  </si>
  <si>
    <t xml:space="preserve">Based on USALI; depends on age &amp; capex cycle. Generally stick with 4% as standard and ramp up from 1-4% over years if asset is new build or new renovation </t>
  </si>
  <si>
    <t>Management Fee (Base % of Revenue)</t>
  </si>
  <si>
    <t>3% base</t>
  </si>
  <si>
    <t>3–4% base</t>
  </si>
  <si>
    <t>3–5% base</t>
  </si>
  <si>
    <t>4–6% base</t>
  </si>
  <si>
    <t>Luxury/resort operators command higher fees.</t>
  </si>
  <si>
    <t>Property Tax (% of value)</t>
  </si>
  <si>
    <t>1.25%–2.0%</t>
  </si>
  <si>
    <t>1.75%–2.5%</t>
  </si>
  <si>
    <t>2.0%–3.0%</t>
  </si>
  <si>
    <t>2.0%–3.5%+</t>
  </si>
  <si>
    <t>Assessed at sale; higher-end assets reassessed at higher values</t>
  </si>
  <si>
    <t>Insurance (% of replacement cost)</t>
  </si>
  <si>
    <t>0.30%–0.60%</t>
  </si>
  <si>
    <t>0.40%–0.80%</t>
  </si>
  <si>
    <t>0.70%–1.20%</t>
  </si>
  <si>
    <t>1.00%–1.50%+</t>
  </si>
  <si>
    <t>Coastal markets trend higher</t>
  </si>
  <si>
    <t>Metric</t>
  </si>
  <si>
    <t>What it Means</t>
  </si>
  <si>
    <t>Formula</t>
  </si>
  <si>
    <t>Why Lenders Care</t>
  </si>
  <si>
    <t>DSCR</t>
  </si>
  <si>
    <t>DSCR tells a lender whether the hotel makes enough money to pay its mortgage 
Formula:
How to interpret:
1.00x → hotel makes exactly enough to pay its loan (risky)
1.20x – 1.30x → typical requirement (buffer to absorb volatility)
1.50x+ → strong cushion</t>
  </si>
  <si>
    <t>DSCR = Net Operating Income (NOI) ÷ Annual Debt Service (loan payments)
NOI: $5,000,000
Annual loan payments: $4,000,000
DSCR = 5M / 4M = 1.25x</t>
  </si>
  <si>
    <t xml:space="preserve">Hotels have fluctuating cash flow (seasonality, group demand, events).
Lenders rely on DSCR to confirm the hotel can comfortably cover debt payments, even if performance dips </t>
  </si>
  <si>
    <t>LTV</t>
  </si>
  <si>
    <t>- LTV measures how much of the hotel’s value the lender is willing to finance
High LTV (75–80%) → lender taking more risk
Low LTV (50–60%) → safer loan, borrower has more equity
Typical for hotels:
55–65% LTV for stabilized hotels
50–60% for higher-risk hotels (lifestyle, resort, independent brands)</t>
  </si>
  <si>
    <t>LTV = Loan Amount ÷ Property Value
Loan: $60M
Value: $100M
LTV = 60M / 100M = 60% LTV</t>
  </si>
  <si>
    <t xml:space="preserve">Hotels are volatile assets. Lenders use LTV to ensure that if they foreclose, they can sell the property and recover their loan </t>
  </si>
  <si>
    <t>Debt Yield</t>
  </si>
  <si>
    <t xml:space="preserve">- Debt Yield tells lenders how much cash return they get on the loan based on the hotel's NOI, ignoring interest rates 
How lenders use it:
Minimum DY for hotels: 9–12%
If DY is too low → loan too large for the cash flow
If DY is high → lender feels safer
Why it’s important:
</t>
  </si>
  <si>
    <t>Debt Yield = NOI ÷ Loan Amount
NOI: $5M
Loan: $50M
Debt Yield = 5M / 50M = 10%</t>
  </si>
  <si>
    <t xml:space="preserve">Debt Yield is the most “pure” metric because:
It doesn’t change if interest rates rise. It shows actual cash return to the lender. It protects lenders during volatile interest rate environments. This is why lenders treat Debt Yield as a hard stop metric </t>
  </si>
  <si>
    <t xml:space="preserve">LTC </t>
  </si>
  <si>
    <t xml:space="preserve">- Loan-to-Cost (Used mainly for acquisitions with renovation/PIP or ground-up development)
LTC compares the loan amount to total project cost, not market value 
</t>
  </si>
  <si>
    <t>LTC = Loan Amount ÷ Total Cost
Where total cost includes:
Purchase price
Renovation/PIP
Soft costs (architect, FF&amp;E, interest reserve)
Closing costs
Total project cost: $120M
Loan: $72M
LTC = 72M / 120M = 60% LTC</t>
  </si>
  <si>
    <t xml:space="preserve">Lenders want to ensure the borrower has skin in the game—especially in hotels, which require Repositioning, Capex cycles, Brand conversions, FF&amp;E-intensive refreshes
LTC matters because it helps lenders see if the borrower can withstand cost overruns or slower-than-expected ramp-up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</si>
</sst>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font>
    <font>
      <sz val="11.0"/>
      <color theme="1"/>
      <name val="Calibri"/>
    </font>
    <font>
      <b/>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0" fillId="0" fontId="3" numFmtId="0" xfId="0" applyAlignment="1" applyFont="1">
      <alignment shrinkToFit="0" wrapText="1"/>
    </xf>
    <xf quotePrefix="1" borderId="0" fillId="0" fontId="3" numFmtId="0" xfId="0" applyAlignment="1" applyFont="1">
      <alignment shrinkToFit="0" wrapText="1"/>
    </xf>
    <xf borderId="0" fillId="0" fontId="4" numFmtId="0" xfId="0" applyFont="1"/>
    <xf borderId="1" fillId="0" fontId="1" numFmtId="0" xfId="0" applyAlignment="1" applyBorder="1" applyFont="1">
      <alignment horizontal="center"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26.43"/>
    <col customWidth="1" min="3" max="3" width="64.14"/>
    <col customWidth="1" min="4" max="4" width="52.14"/>
    <col customWidth="1" min="5" max="6" width="62.14"/>
    <col customWidth="1" min="7" max="26" width="8.71"/>
  </cols>
  <sheetData>
    <row r="1" ht="14.25" customHeight="1">
      <c r="A1" s="1" t="s">
        <v>0</v>
      </c>
      <c r="B1" s="1" t="s">
        <v>1</v>
      </c>
      <c r="C1" s="1" t="s">
        <v>2</v>
      </c>
      <c r="D1" s="1" t="s">
        <v>3</v>
      </c>
      <c r="E1" s="1" t="s">
        <v>4</v>
      </c>
      <c r="F1" s="1" t="s">
        <v>5</v>
      </c>
    </row>
    <row r="2" ht="24.75" customHeight="1">
      <c r="A2" s="2">
        <v>1.0</v>
      </c>
      <c r="B2" s="2" t="s">
        <v>6</v>
      </c>
      <c r="C2" s="2" t="s">
        <v>7</v>
      </c>
      <c r="D2" s="2" t="s">
        <v>8</v>
      </c>
      <c r="E2" s="2" t="s">
        <v>9</v>
      </c>
      <c r="F2" s="3"/>
    </row>
    <row r="3" ht="30.75" customHeight="1">
      <c r="A3" s="2">
        <f t="shared" ref="A3:A10" si="1">A2+1</f>
        <v>2</v>
      </c>
      <c r="B3" s="2" t="s">
        <v>10</v>
      </c>
      <c r="C3" s="2" t="s">
        <v>11</v>
      </c>
      <c r="D3" s="2" t="s">
        <v>12</v>
      </c>
      <c r="E3" s="2" t="s">
        <v>13</v>
      </c>
      <c r="F3" s="4" t="s">
        <v>14</v>
      </c>
    </row>
    <row r="4" ht="45.0" customHeight="1">
      <c r="A4" s="2">
        <f t="shared" si="1"/>
        <v>3</v>
      </c>
      <c r="B4" s="2" t="s">
        <v>15</v>
      </c>
      <c r="C4" s="2" t="s">
        <v>16</v>
      </c>
      <c r="D4" s="2" t="s">
        <v>17</v>
      </c>
      <c r="E4" s="2" t="s">
        <v>18</v>
      </c>
      <c r="F4" s="4" t="s">
        <v>19</v>
      </c>
    </row>
    <row r="5" ht="1.5" customHeight="1">
      <c r="A5" s="2">
        <f t="shared" si="1"/>
        <v>4</v>
      </c>
      <c r="B5" s="2" t="s">
        <v>20</v>
      </c>
      <c r="C5" s="2" t="s">
        <v>21</v>
      </c>
      <c r="D5" s="2" t="s">
        <v>22</v>
      </c>
      <c r="E5" s="2" t="s">
        <v>23</v>
      </c>
      <c r="F5" s="4" t="s">
        <v>24</v>
      </c>
    </row>
    <row r="6" ht="2.25" customHeight="1">
      <c r="A6" s="2">
        <f t="shared" si="1"/>
        <v>5</v>
      </c>
      <c r="B6" s="2" t="s">
        <v>25</v>
      </c>
      <c r="C6" s="2" t="s">
        <v>26</v>
      </c>
      <c r="D6" s="2" t="s">
        <v>27</v>
      </c>
      <c r="E6" s="2" t="s">
        <v>28</v>
      </c>
      <c r="F6" s="4" t="s">
        <v>29</v>
      </c>
    </row>
    <row r="7">
      <c r="A7" s="2">
        <f t="shared" si="1"/>
        <v>6</v>
      </c>
      <c r="B7" s="2" t="s">
        <v>30</v>
      </c>
      <c r="C7" s="2" t="s">
        <v>31</v>
      </c>
      <c r="D7" s="2" t="s">
        <v>32</v>
      </c>
      <c r="E7" s="2" t="s">
        <v>33</v>
      </c>
      <c r="F7" s="4" t="s">
        <v>34</v>
      </c>
    </row>
    <row r="8">
      <c r="A8" s="2">
        <f t="shared" si="1"/>
        <v>7</v>
      </c>
      <c r="B8" s="2" t="s">
        <v>35</v>
      </c>
      <c r="C8" s="2" t="s">
        <v>36</v>
      </c>
      <c r="D8" s="2" t="s">
        <v>37</v>
      </c>
      <c r="E8" s="2" t="s">
        <v>38</v>
      </c>
      <c r="F8" s="4" t="s">
        <v>39</v>
      </c>
    </row>
    <row r="9">
      <c r="A9" s="2">
        <f t="shared" si="1"/>
        <v>8</v>
      </c>
      <c r="B9" s="2" t="s">
        <v>40</v>
      </c>
      <c r="C9" s="2" t="s">
        <v>41</v>
      </c>
      <c r="D9" s="2" t="s">
        <v>42</v>
      </c>
      <c r="E9" s="2" t="s">
        <v>43</v>
      </c>
      <c r="F9" s="4" t="s">
        <v>44</v>
      </c>
    </row>
    <row r="10">
      <c r="A10" s="2">
        <f t="shared" si="1"/>
        <v>9</v>
      </c>
      <c r="B10" s="2" t="s">
        <v>45</v>
      </c>
      <c r="C10" s="2" t="s">
        <v>46</v>
      </c>
      <c r="D10" s="2" t="s">
        <v>47</v>
      </c>
      <c r="E10" s="2" t="s">
        <v>48</v>
      </c>
      <c r="F10" s="4" t="s">
        <v>49</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43"/>
    <col customWidth="1" min="2" max="2" width="29.71"/>
    <col customWidth="1" min="3" max="3" width="54.29"/>
    <col customWidth="1" min="4" max="5" width="25.0"/>
    <col customWidth="1" min="6" max="6" width="137.0"/>
    <col customWidth="1" min="7" max="26" width="8.71"/>
  </cols>
  <sheetData>
    <row r="1" ht="14.25" customHeight="1">
      <c r="A1" s="5" t="s">
        <v>50</v>
      </c>
    </row>
    <row r="2" ht="14.25" customHeight="1">
      <c r="A2" s="6" t="s">
        <v>51</v>
      </c>
      <c r="B2" s="6" t="s">
        <v>52</v>
      </c>
      <c r="C2" s="6" t="s">
        <v>53</v>
      </c>
      <c r="D2" s="6" t="s">
        <v>54</v>
      </c>
      <c r="E2" s="7"/>
      <c r="F2" s="7"/>
    </row>
    <row r="3" ht="14.25" customHeight="1">
      <c r="A3" s="7" t="s">
        <v>55</v>
      </c>
      <c r="B3" s="7" t="s">
        <v>56</v>
      </c>
      <c r="C3" s="7" t="s">
        <v>57</v>
      </c>
      <c r="D3" s="7" t="s">
        <v>58</v>
      </c>
      <c r="E3" s="7"/>
      <c r="F3" s="7"/>
    </row>
    <row r="4" ht="14.25" customHeight="1">
      <c r="A4" s="7" t="s">
        <v>59</v>
      </c>
      <c r="B4" s="7" t="s">
        <v>60</v>
      </c>
      <c r="C4" s="7" t="s">
        <v>61</v>
      </c>
      <c r="D4" s="7" t="s">
        <v>62</v>
      </c>
      <c r="E4" s="7"/>
      <c r="F4" s="7"/>
    </row>
    <row r="5" ht="14.25" customHeight="1">
      <c r="A5" s="7" t="s">
        <v>63</v>
      </c>
      <c r="B5" s="7" t="s">
        <v>64</v>
      </c>
      <c r="C5" s="7" t="s">
        <v>65</v>
      </c>
      <c r="D5" s="7" t="s">
        <v>66</v>
      </c>
      <c r="E5" s="7"/>
      <c r="F5" s="7"/>
    </row>
    <row r="6" ht="14.25" customHeight="1">
      <c r="A6" s="7" t="s">
        <v>67</v>
      </c>
      <c r="B6" s="7" t="s">
        <v>68</v>
      </c>
      <c r="C6" s="7" t="s">
        <v>69</v>
      </c>
      <c r="D6" s="7" t="s">
        <v>70</v>
      </c>
      <c r="E6" s="7"/>
      <c r="F6" s="7"/>
    </row>
    <row r="7" ht="14.25" customHeight="1"/>
    <row r="8" ht="14.25" customHeight="1">
      <c r="A8" s="6" t="s">
        <v>71</v>
      </c>
      <c r="B8" s="6" t="s">
        <v>72</v>
      </c>
      <c r="C8" s="6" t="s">
        <v>73</v>
      </c>
      <c r="D8" s="6" t="s">
        <v>74</v>
      </c>
      <c r="E8" s="6" t="s">
        <v>75</v>
      </c>
      <c r="F8" s="6" t="s">
        <v>76</v>
      </c>
    </row>
    <row r="9" ht="14.25" customHeight="1">
      <c r="A9" s="7" t="s">
        <v>77</v>
      </c>
      <c r="B9" s="7" t="s">
        <v>78</v>
      </c>
      <c r="C9" s="7" t="s">
        <v>79</v>
      </c>
      <c r="D9" s="7" t="s">
        <v>80</v>
      </c>
      <c r="E9" s="7" t="s">
        <v>81</v>
      </c>
      <c r="F9" s="7" t="s">
        <v>82</v>
      </c>
    </row>
    <row r="10" ht="14.25" customHeight="1">
      <c r="A10" s="7" t="s">
        <v>83</v>
      </c>
      <c r="B10" s="7" t="s">
        <v>84</v>
      </c>
      <c r="C10" s="7" t="s">
        <v>85</v>
      </c>
      <c r="D10" s="7" t="s">
        <v>86</v>
      </c>
      <c r="E10" s="7" t="s">
        <v>87</v>
      </c>
      <c r="F10" s="7" t="s">
        <v>88</v>
      </c>
    </row>
    <row r="11" ht="14.25" customHeight="1">
      <c r="A11" s="7" t="s">
        <v>89</v>
      </c>
      <c r="B11" s="7" t="s">
        <v>90</v>
      </c>
      <c r="C11" s="7" t="s">
        <v>91</v>
      </c>
      <c r="D11" s="7" t="s">
        <v>92</v>
      </c>
      <c r="E11" s="7" t="s">
        <v>93</v>
      </c>
      <c r="F11" s="7" t="s">
        <v>94</v>
      </c>
    </row>
    <row r="12" ht="14.25" customHeight="1">
      <c r="A12" s="7" t="s">
        <v>95</v>
      </c>
      <c r="B12" s="7" t="s">
        <v>96</v>
      </c>
      <c r="C12" s="7" t="s">
        <v>86</v>
      </c>
      <c r="D12" s="7" t="s">
        <v>97</v>
      </c>
      <c r="E12" s="7" t="s">
        <v>98</v>
      </c>
      <c r="F12" s="7" t="s">
        <v>99</v>
      </c>
    </row>
    <row r="13" ht="14.25" customHeight="1">
      <c r="A13" s="7" t="s">
        <v>100</v>
      </c>
      <c r="B13" s="7" t="s">
        <v>101</v>
      </c>
      <c r="C13" s="7" t="s">
        <v>102</v>
      </c>
      <c r="D13" s="7" t="s">
        <v>103</v>
      </c>
      <c r="E13" s="7" t="s">
        <v>87</v>
      </c>
      <c r="F13" s="7" t="s">
        <v>104</v>
      </c>
    </row>
    <row r="14" ht="14.25" customHeight="1">
      <c r="A14" s="7" t="s">
        <v>105</v>
      </c>
      <c r="B14" s="7" t="s">
        <v>106</v>
      </c>
      <c r="C14" s="7" t="s">
        <v>107</v>
      </c>
      <c r="D14" s="7" t="s">
        <v>108</v>
      </c>
      <c r="E14" s="7" t="s">
        <v>109</v>
      </c>
      <c r="F14" s="7" t="s">
        <v>110</v>
      </c>
    </row>
    <row r="15" ht="14.25" customHeight="1">
      <c r="A15" s="7" t="s">
        <v>111</v>
      </c>
      <c r="B15" s="7" t="s">
        <v>112</v>
      </c>
      <c r="C15" s="7" t="s">
        <v>113</v>
      </c>
      <c r="D15" s="7" t="s">
        <v>114</v>
      </c>
      <c r="E15" s="7" t="s">
        <v>115</v>
      </c>
      <c r="F15" s="7" t="s">
        <v>116</v>
      </c>
    </row>
    <row r="16" ht="14.25" customHeight="1">
      <c r="A16" s="2" t="s">
        <v>117</v>
      </c>
      <c r="B16" s="2" t="s">
        <v>118</v>
      </c>
      <c r="C16" s="2" t="s">
        <v>119</v>
      </c>
      <c r="D16" s="2" t="s">
        <v>120</v>
      </c>
      <c r="E16" s="2" t="s">
        <v>121</v>
      </c>
      <c r="F16" s="2" t="s">
        <v>122</v>
      </c>
    </row>
    <row r="17" ht="14.25" customHeight="1">
      <c r="A17" s="2" t="s">
        <v>123</v>
      </c>
      <c r="B17" s="2" t="s">
        <v>124</v>
      </c>
      <c r="C17" s="2" t="s">
        <v>125</v>
      </c>
      <c r="D17" s="2" t="s">
        <v>126</v>
      </c>
      <c r="E17" s="2" t="s">
        <v>127</v>
      </c>
      <c r="F17" s="2" t="s">
        <v>128</v>
      </c>
    </row>
    <row r="18" ht="14.25" customHeight="1">
      <c r="A18" s="7" t="s">
        <v>129</v>
      </c>
      <c r="B18" s="7" t="s">
        <v>130</v>
      </c>
      <c r="C18" s="7" t="s">
        <v>131</v>
      </c>
      <c r="D18" s="7" t="s">
        <v>132</v>
      </c>
      <c r="E18" s="7" t="s">
        <v>133</v>
      </c>
      <c r="F18" s="7" t="s">
        <v>134</v>
      </c>
    </row>
    <row r="19" ht="14.25" customHeight="1">
      <c r="A19" s="2" t="s">
        <v>135</v>
      </c>
      <c r="B19" s="2" t="s">
        <v>136</v>
      </c>
      <c r="C19" s="2" t="s">
        <v>137</v>
      </c>
      <c r="D19" s="2" t="s">
        <v>138</v>
      </c>
      <c r="E19" s="2" t="s">
        <v>139</v>
      </c>
      <c r="F19" s="2" t="s">
        <v>140</v>
      </c>
    </row>
    <row r="20" ht="14.25" customHeight="1">
      <c r="A20" s="2" t="s">
        <v>141</v>
      </c>
      <c r="B20" s="2" t="s">
        <v>142</v>
      </c>
      <c r="C20" s="2" t="s">
        <v>143</v>
      </c>
      <c r="D20" s="2" t="s">
        <v>144</v>
      </c>
      <c r="E20" s="2" t="s">
        <v>145</v>
      </c>
      <c r="F20" s="2" t="s">
        <v>146</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57"/>
    <col customWidth="1" min="3" max="5" width="75.57"/>
    <col customWidth="1" min="6" max="7" width="50.57"/>
    <col customWidth="1" min="8" max="26" width="8.71"/>
  </cols>
  <sheetData>
    <row r="1" ht="14.25" customHeight="1"/>
    <row r="2" ht="14.25" customHeight="1">
      <c r="B2" s="1" t="s">
        <v>147</v>
      </c>
      <c r="C2" s="1" t="s">
        <v>148</v>
      </c>
      <c r="D2" s="1" t="s">
        <v>149</v>
      </c>
      <c r="E2" s="1" t="s">
        <v>150</v>
      </c>
    </row>
    <row r="3" ht="14.25" customHeight="1">
      <c r="B3" s="2" t="s">
        <v>151</v>
      </c>
      <c r="C3" s="3" t="s">
        <v>152</v>
      </c>
      <c r="D3" s="3" t="s">
        <v>153</v>
      </c>
      <c r="E3" s="3" t="s">
        <v>154</v>
      </c>
      <c r="F3" s="3"/>
      <c r="G3" s="3"/>
    </row>
    <row r="4" ht="14.25" customHeight="1">
      <c r="B4" s="2" t="s">
        <v>155</v>
      </c>
      <c r="C4" s="4" t="s">
        <v>156</v>
      </c>
      <c r="D4" s="3" t="s">
        <v>157</v>
      </c>
      <c r="E4" s="3" t="s">
        <v>158</v>
      </c>
    </row>
    <row r="5" ht="75.75" customHeight="1">
      <c r="B5" s="2" t="s">
        <v>159</v>
      </c>
      <c r="C5" s="4" t="s">
        <v>160</v>
      </c>
      <c r="D5" s="3" t="s">
        <v>161</v>
      </c>
      <c r="E5" s="3" t="s">
        <v>162</v>
      </c>
    </row>
    <row r="6" ht="96.0" customHeight="1">
      <c r="B6" s="2" t="s">
        <v>163</v>
      </c>
      <c r="C6" s="4" t="s">
        <v>164</v>
      </c>
      <c r="D6" s="3" t="s">
        <v>165</v>
      </c>
      <c r="E6" s="3" t="s">
        <v>166</v>
      </c>
    </row>
    <row r="7" ht="14.25" customHeight="1">
      <c r="C7" s="3"/>
      <c r="D7" s="3"/>
      <c r="E7" s="3"/>
    </row>
    <row r="8" ht="14.25" customHeight="1">
      <c r="C8" s="3"/>
      <c r="D8" s="3"/>
      <c r="E8" s="3"/>
    </row>
    <row r="9" ht="14.25" customHeight="1">
      <c r="C9" s="3"/>
      <c r="D9" s="3"/>
      <c r="E9" s="3"/>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2025-12-11T14:48:15Z</dcterms:created>
  <dc:creator>openpyxl</dc:creator>
</cp:coreProperties>
</file>