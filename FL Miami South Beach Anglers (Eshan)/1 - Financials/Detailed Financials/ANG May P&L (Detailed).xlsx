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pcp-my.sharepoint.com/personal/hyun_lee_khpcp_com/Documents/Documents/AM/Dispositions/ANG Disposition/"/>
    </mc:Choice>
  </mc:AlternateContent>
  <xr:revisionPtr revIDLastSave="6153" documentId="8_{CDCA248D-D776-4BC2-BB97-011770014218}" xr6:coauthVersionLast="47" xr6:coauthVersionMax="47" xr10:uidLastSave="{D56ECABD-A347-4D5A-95A5-5FC7646CB46D}"/>
  <bookViews>
    <workbookView xWindow="-120" yWindow="-120" windowWidth="29040" windowHeight="15720" xr2:uid="{04E17F45-2941-4E53-AB6B-FEDC6E14B477}"/>
  </bookViews>
  <sheets>
    <sheet name="Summary" sheetId="2" r:id="rId1"/>
    <sheet name="Rooms" sheetId="20" r:id="rId2"/>
    <sheet name="F&amp;B_CONS" sheetId="21" r:id="rId3"/>
    <sheet name="OTH_OP" sheetId="22" r:id="rId4"/>
    <sheet name="MISC_INC" sheetId="23" r:id="rId5"/>
    <sheet name="AG" sheetId="25" r:id="rId6"/>
    <sheet name="IT" sheetId="26" r:id="rId7"/>
    <sheet name="SM" sheetId="27" r:id="rId8"/>
    <sheet name="POM" sheetId="28" r:id="rId9"/>
    <sheet name="EC" sheetId="29" r:id="rId10"/>
    <sheet name="Mgt_Fees" sheetId="30" r:id="rId11"/>
    <sheet name="Non_Op" sheetId="33" r:id="rId12"/>
  </sheets>
  <definedNames>
    <definedName name="Month">Summary!$V$2</definedName>
    <definedName name="Property">Summary!$V$1</definedName>
    <definedName name="Property_Code">Summary!$V$1</definedName>
    <definedName name="Year">Summary!$V$3</definedName>
    <definedName name="YTDMonth">Summary!$V$4</definedName>
  </definedNames>
  <calcPr calcId="191029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2" l="1"/>
  <c r="C4" i="2" l="1"/>
  <c r="M6" i="20" l="1"/>
  <c r="M6" i="21"/>
  <c r="M6" i="22"/>
  <c r="M6" i="23"/>
  <c r="M6" i="25"/>
  <c r="M6" i="26"/>
  <c r="M6" i="27"/>
  <c r="M6" i="28"/>
  <c r="M6" i="29"/>
  <c r="M6" i="30"/>
  <c r="M6" i="33"/>
  <c r="M6" i="2"/>
  <c r="D6" i="21"/>
  <c r="D6" i="22"/>
  <c r="D6" i="23"/>
  <c r="D6" i="25"/>
  <c r="D6" i="26"/>
  <c r="D6" i="27"/>
  <c r="D6" i="28"/>
  <c r="D6" i="29"/>
  <c r="D6" i="30"/>
  <c r="D6" i="33"/>
  <c r="D6" i="20"/>
  <c r="D6" i="2"/>
  <c r="F14" i="26" l="1"/>
  <c r="R11" i="33"/>
  <c r="Q34" i="33"/>
  <c r="Q33" i="33"/>
  <c r="Q31" i="28"/>
  <c r="Q18" i="33"/>
  <c r="T34" i="33"/>
  <c r="T10" i="2"/>
  <c r="S33" i="22"/>
  <c r="I21" i="26"/>
  <c r="Q76" i="20"/>
  <c r="T39" i="25"/>
  <c r="T49" i="20"/>
  <c r="N26" i="22"/>
  <c r="T40" i="25"/>
  <c r="R21" i="26"/>
  <c r="T65" i="26"/>
  <c r="Q33" i="28"/>
  <c r="T45" i="20"/>
  <c r="T33" i="33"/>
  <c r="Q46" i="2"/>
  <c r="Q67" i="20"/>
  <c r="T13" i="25"/>
  <c r="Q12" i="29"/>
  <c r="T31" i="25"/>
  <c r="M11" i="33"/>
  <c r="N30" i="22"/>
  <c r="T48" i="27"/>
  <c r="Q15" i="27"/>
  <c r="Q82" i="21"/>
  <c r="T55" i="25"/>
  <c r="T97" i="21"/>
  <c r="T16" i="20"/>
  <c r="T44" i="27"/>
  <c r="Q57" i="20"/>
  <c r="T43" i="27"/>
  <c r="S23" i="2"/>
  <c r="S22" i="2"/>
  <c r="R41" i="21"/>
  <c r="F49" i="26"/>
  <c r="F30" i="26"/>
  <c r="F67" i="26"/>
  <c r="F21" i="26"/>
  <c r="K66" i="20"/>
  <c r="H66" i="20"/>
  <c r="I30" i="26"/>
  <c r="I14" i="26"/>
  <c r="I17" i="26" s="1"/>
  <c r="I49" i="26"/>
  <c r="I67" i="26"/>
  <c r="I48" i="2"/>
  <c r="I19" i="2"/>
  <c r="I52" i="2" s="1"/>
  <c r="I11" i="2"/>
  <c r="I12" i="2"/>
  <c r="I35" i="2"/>
  <c r="I25" i="2"/>
  <c r="O15" i="33" l="1"/>
  <c r="T37" i="27"/>
  <c r="Q58" i="25"/>
  <c r="Q91" i="21"/>
  <c r="N25" i="22"/>
  <c r="T35" i="25"/>
  <c r="Q15" i="23"/>
  <c r="T33" i="2"/>
  <c r="Q30" i="25"/>
  <c r="T53" i="28"/>
  <c r="T14" i="25"/>
  <c r="T14" i="29"/>
  <c r="Q16" i="22"/>
  <c r="Q13" i="23"/>
  <c r="T90" i="21"/>
  <c r="Q34" i="22"/>
  <c r="Q19" i="28"/>
  <c r="Q35" i="25"/>
  <c r="T20" i="26"/>
  <c r="T10" i="33"/>
  <c r="O17" i="29"/>
  <c r="T33" i="26"/>
  <c r="T72" i="21"/>
  <c r="Q78" i="20"/>
  <c r="T49" i="27"/>
  <c r="O13" i="30"/>
  <c r="T23" i="20"/>
  <c r="T10" i="22"/>
  <c r="Q35" i="22"/>
  <c r="Q40" i="21"/>
  <c r="Q17" i="25"/>
  <c r="Q34" i="27"/>
  <c r="Q30" i="2"/>
  <c r="Q11" i="30"/>
  <c r="T30" i="2"/>
  <c r="T46" i="28"/>
  <c r="R12" i="2"/>
  <c r="Q37" i="25"/>
  <c r="Q33" i="2"/>
  <c r="T20" i="27"/>
  <c r="Q13" i="29"/>
  <c r="T84" i="21"/>
  <c r="T94" i="21"/>
  <c r="Q29" i="20"/>
  <c r="T34" i="22"/>
  <c r="T50" i="20"/>
  <c r="Q43" i="20"/>
  <c r="Q33" i="27"/>
  <c r="Q46" i="27"/>
  <c r="Q18" i="2"/>
  <c r="T51" i="28"/>
  <c r="P24" i="2"/>
  <c r="T68" i="20"/>
  <c r="Q39" i="26"/>
  <c r="S30" i="22"/>
  <c r="S31" i="22"/>
  <c r="T45" i="25"/>
  <c r="Q31" i="27"/>
  <c r="Q20" i="25"/>
  <c r="R44" i="21"/>
  <c r="T81" i="21"/>
  <c r="T56" i="26"/>
  <c r="T28" i="27"/>
  <c r="Q13" i="27"/>
  <c r="Q80" i="20"/>
  <c r="Q39" i="21"/>
  <c r="T31" i="33"/>
  <c r="T74" i="20"/>
  <c r="Q77" i="20"/>
  <c r="Q31" i="2"/>
  <c r="N35" i="22"/>
  <c r="T72" i="20"/>
  <c r="T31" i="2"/>
  <c r="T69" i="20"/>
  <c r="P32" i="22"/>
  <c r="T29" i="20"/>
  <c r="Q14" i="28"/>
  <c r="Q40" i="26"/>
  <c r="T32" i="2"/>
  <c r="T17" i="25"/>
  <c r="T56" i="27"/>
  <c r="Q46" i="28"/>
  <c r="Q93" i="21"/>
  <c r="Q54" i="27"/>
  <c r="T43" i="26"/>
  <c r="Q49" i="20"/>
  <c r="T29" i="27"/>
  <c r="Q47" i="28"/>
  <c r="T91" i="21"/>
  <c r="O22" i="28"/>
  <c r="Q69" i="20"/>
  <c r="Q79" i="21"/>
  <c r="O14" i="26"/>
  <c r="O17" i="26" s="1"/>
  <c r="I22" i="26"/>
  <c r="Q15" i="29"/>
  <c r="Q15" i="22"/>
  <c r="T38" i="28"/>
  <c r="R14" i="26"/>
  <c r="R17" i="26" s="1"/>
  <c r="R22" i="26" s="1"/>
  <c r="Q75" i="20"/>
  <c r="T58" i="25"/>
  <c r="R62" i="21"/>
  <c r="Q55" i="25"/>
  <c r="Q60" i="25"/>
  <c r="T93" i="21"/>
  <c r="S34" i="22"/>
  <c r="Q29" i="27"/>
  <c r="Q21" i="27"/>
  <c r="T11" i="20"/>
  <c r="T77" i="20"/>
  <c r="Q54" i="25"/>
  <c r="Q57" i="21"/>
  <c r="T47" i="26"/>
  <c r="T95" i="21"/>
  <c r="Q38" i="28"/>
  <c r="Q67" i="21"/>
  <c r="T51" i="27"/>
  <c r="Q34" i="25"/>
  <c r="Q71" i="20"/>
  <c r="T54" i="28"/>
  <c r="T38" i="25"/>
  <c r="Q21" i="23"/>
  <c r="T48" i="28"/>
  <c r="T54" i="27"/>
  <c r="T26" i="27"/>
  <c r="T30" i="28"/>
  <c r="T31" i="21"/>
  <c r="Q29" i="28"/>
  <c r="T18" i="25"/>
  <c r="T47" i="28"/>
  <c r="T43" i="2"/>
  <c r="T26" i="26"/>
  <c r="T10" i="30"/>
  <c r="Q50" i="20"/>
  <c r="T16" i="29"/>
  <c r="Q54" i="26"/>
  <c r="T70" i="20"/>
  <c r="T100" i="21"/>
  <c r="T50" i="28"/>
  <c r="T88" i="21"/>
  <c r="S24" i="22"/>
  <c r="Q46" i="20"/>
  <c r="T16" i="28"/>
  <c r="T47" i="20"/>
  <c r="T37" i="26"/>
  <c r="Q53" i="25"/>
  <c r="R25" i="21"/>
  <c r="S40" i="21" s="1"/>
  <c r="Q41" i="20"/>
  <c r="T75" i="20"/>
  <c r="T62" i="26"/>
  <c r="Q43" i="26"/>
  <c r="T27" i="27"/>
  <c r="Q81" i="21"/>
  <c r="R19" i="2"/>
  <c r="T61" i="20"/>
  <c r="T14" i="28"/>
  <c r="Q55" i="21"/>
  <c r="T25" i="25"/>
  <c r="T31" i="27"/>
  <c r="Q26" i="26"/>
  <c r="Q40" i="28"/>
  <c r="Q32" i="2"/>
  <c r="T30" i="21"/>
  <c r="S24" i="2"/>
  <c r="T63" i="25"/>
  <c r="T21" i="21"/>
  <c r="Q63" i="20"/>
  <c r="T47" i="2"/>
  <c r="Q37" i="27"/>
  <c r="T16" i="26"/>
  <c r="T26" i="20"/>
  <c r="Q58" i="20"/>
  <c r="O26" i="25"/>
  <c r="T50" i="21"/>
  <c r="T56" i="21"/>
  <c r="Q22" i="2"/>
  <c r="O11" i="33"/>
  <c r="Q74" i="20"/>
  <c r="T52" i="21"/>
  <c r="Q42" i="28"/>
  <c r="Q52" i="21"/>
  <c r="M25" i="2"/>
  <c r="M54" i="21"/>
  <c r="M58" i="21" s="1"/>
  <c r="Q94" i="21"/>
  <c r="T46" i="2"/>
  <c r="T28" i="28"/>
  <c r="T40" i="26"/>
  <c r="T11" i="28"/>
  <c r="Q57" i="25"/>
  <c r="R11" i="2"/>
  <c r="T58" i="26"/>
  <c r="T60" i="20"/>
  <c r="T27" i="28"/>
  <c r="Q70" i="21"/>
  <c r="Q43" i="25"/>
  <c r="P36" i="22"/>
  <c r="R17" i="21"/>
  <c r="S39" i="21" s="1"/>
  <c r="Q14" i="33"/>
  <c r="T12" i="23"/>
  <c r="Q23" i="21"/>
  <c r="T32" i="21"/>
  <c r="T57" i="25"/>
  <c r="Q10" i="30"/>
  <c r="Q18" i="26"/>
  <c r="P21" i="22"/>
  <c r="Q63" i="26"/>
  <c r="Q52" i="28"/>
  <c r="T77" i="21"/>
  <c r="Q76" i="21"/>
  <c r="O30" i="26"/>
  <c r="Q11" i="22"/>
  <c r="Q36" i="25"/>
  <c r="Q20" i="33"/>
  <c r="T16" i="23"/>
  <c r="Q72" i="20"/>
  <c r="T11" i="29"/>
  <c r="T32" i="25"/>
  <c r="R17" i="20"/>
  <c r="Q50" i="27"/>
  <c r="Q31" i="33"/>
  <c r="T32" i="22"/>
  <c r="T15" i="20"/>
  <c r="R54" i="21"/>
  <c r="Q86" i="21"/>
  <c r="T87" i="21"/>
  <c r="S35" i="22"/>
  <c r="T26" i="33"/>
  <c r="T39" i="27"/>
  <c r="Q56" i="27"/>
  <c r="Q47" i="25"/>
  <c r="S21" i="22"/>
  <c r="Q26" i="21"/>
  <c r="T10" i="23"/>
  <c r="T83" i="20"/>
  <c r="Q74" i="21"/>
  <c r="Q45" i="2"/>
  <c r="T18" i="2"/>
  <c r="Q40" i="27"/>
  <c r="Q56" i="21"/>
  <c r="T15" i="27"/>
  <c r="T30" i="33"/>
  <c r="T24" i="2"/>
  <c r="Q98" i="21"/>
  <c r="P31" i="22"/>
  <c r="Q23" i="33"/>
  <c r="T48" i="25"/>
  <c r="S23" i="22"/>
  <c r="Q65" i="26"/>
  <c r="Q26" i="20"/>
  <c r="Q10" i="2"/>
  <c r="T20" i="25"/>
  <c r="T42" i="26"/>
  <c r="Q58" i="26"/>
  <c r="T15" i="22"/>
  <c r="T44" i="2"/>
  <c r="Q37" i="28"/>
  <c r="T20" i="28"/>
  <c r="Q84" i="21"/>
  <c r="T49" i="25"/>
  <c r="Q51" i="25"/>
  <c r="S25" i="22"/>
  <c r="Q24" i="25"/>
  <c r="Q59" i="20"/>
  <c r="Q73" i="21"/>
  <c r="Q89" i="21"/>
  <c r="T38" i="27"/>
  <c r="Q62" i="20"/>
  <c r="O35" i="2"/>
  <c r="T11" i="25"/>
  <c r="Q59" i="25"/>
  <c r="Q35" i="28"/>
  <c r="Q16" i="2"/>
  <c r="T24" i="21"/>
  <c r="S17" i="27"/>
  <c r="Q39" i="27"/>
  <c r="T78" i="21"/>
  <c r="T18" i="33"/>
  <c r="Q59" i="26"/>
  <c r="P23" i="2"/>
  <c r="T28" i="26"/>
  <c r="T63" i="26"/>
  <c r="T22" i="20"/>
  <c r="Q14" i="29"/>
  <c r="Q40" i="25"/>
  <c r="Q10" i="22"/>
  <c r="Q47" i="26"/>
  <c r="O62" i="21"/>
  <c r="Q60" i="20"/>
  <c r="O14" i="27"/>
  <c r="O18" i="27" s="1"/>
  <c r="Q45" i="28"/>
  <c r="Q60" i="26"/>
  <c r="Q56" i="25"/>
  <c r="T56" i="25"/>
  <c r="T55" i="27"/>
  <c r="Q27" i="28"/>
  <c r="T39" i="21"/>
  <c r="Q26" i="27"/>
  <c r="T29" i="28"/>
  <c r="Q30" i="28"/>
  <c r="T57" i="20"/>
  <c r="T31" i="28"/>
  <c r="T46" i="27"/>
  <c r="Q73" i="20"/>
  <c r="Q100" i="21"/>
  <c r="Q30" i="27"/>
  <c r="Q46" i="25"/>
  <c r="M44" i="20"/>
  <c r="T14" i="33"/>
  <c r="O22" i="27"/>
  <c r="T41" i="26"/>
  <c r="Q37" i="26"/>
  <c r="M52" i="20"/>
  <c r="Q20" i="28"/>
  <c r="Q48" i="28"/>
  <c r="Q28" i="27"/>
  <c r="R48" i="2"/>
  <c r="T81" i="20"/>
  <c r="O12" i="2"/>
  <c r="Q12" i="23"/>
  <c r="O44" i="20"/>
  <c r="O48" i="20" s="1"/>
  <c r="Q47" i="27"/>
  <c r="T48" i="26"/>
  <c r="Q19" i="23"/>
  <c r="Q92" i="21"/>
  <c r="T46" i="20"/>
  <c r="T53" i="25"/>
  <c r="T35" i="20"/>
  <c r="O17" i="22"/>
  <c r="P17" i="22" s="1"/>
  <c r="T60" i="26"/>
  <c r="Q35" i="20"/>
  <c r="T70" i="21"/>
  <c r="Q18" i="25"/>
  <c r="T76" i="20"/>
  <c r="O19" i="2"/>
  <c r="Q43" i="27"/>
  <c r="T23" i="21"/>
  <c r="Q48" i="26"/>
  <c r="Q56" i="26"/>
  <c r="T92" i="21"/>
  <c r="Q10" i="33"/>
  <c r="Q21" i="21"/>
  <c r="T58" i="20"/>
  <c r="T39" i="26"/>
  <c r="Q70" i="20"/>
  <c r="P24" i="22"/>
  <c r="T82" i="20"/>
  <c r="Q31" i="21"/>
  <c r="Q32" i="21"/>
  <c r="Q61" i="26"/>
  <c r="T73" i="20"/>
  <c r="T34" i="27"/>
  <c r="Q55" i="27"/>
  <c r="T41" i="20"/>
  <c r="Q51" i="28"/>
  <c r="Q25" i="25"/>
  <c r="T45" i="28"/>
  <c r="Q43" i="21"/>
  <c r="T43" i="21"/>
  <c r="T34" i="2"/>
  <c r="M35" i="2"/>
  <c r="R35" i="33"/>
  <c r="T64" i="25"/>
  <c r="Q64" i="25"/>
  <c r="Q38" i="27"/>
  <c r="Q59" i="21"/>
  <c r="M62" i="21"/>
  <c r="T62" i="21" s="1"/>
  <c r="O49" i="26"/>
  <c r="T33" i="25"/>
  <c r="Q33" i="25"/>
  <c r="Q32" i="33"/>
  <c r="T19" i="23"/>
  <c r="T12" i="20"/>
  <c r="Q38" i="26"/>
  <c r="Q38" i="25"/>
  <c r="M17" i="22"/>
  <c r="Q13" i="21"/>
  <c r="T13" i="21"/>
  <c r="Q14" i="21"/>
  <c r="M12" i="2"/>
  <c r="N22" i="2"/>
  <c r="Q29" i="21"/>
  <c r="T29" i="21"/>
  <c r="Q21" i="22"/>
  <c r="T21" i="22"/>
  <c r="Q11" i="20"/>
  <c r="Q34" i="26"/>
  <c r="Q51" i="20"/>
  <c r="T51" i="20"/>
  <c r="T29" i="33"/>
  <c r="N24" i="2"/>
  <c r="T17" i="2"/>
  <c r="O17" i="21"/>
  <c r="P39" i="21" s="1"/>
  <c r="Q11" i="26"/>
  <c r="M14" i="26"/>
  <c r="Q62" i="25"/>
  <c r="T62" i="25"/>
  <c r="O67" i="26"/>
  <c r="T52" i="28"/>
  <c r="T9" i="2"/>
  <c r="M11" i="2"/>
  <c r="T15" i="21"/>
  <c r="Q75" i="21"/>
  <c r="R27" i="20"/>
  <c r="O17" i="20"/>
  <c r="Q45" i="26"/>
  <c r="T45" i="26"/>
  <c r="Q17" i="33"/>
  <c r="T33" i="22"/>
  <c r="R22" i="23"/>
  <c r="S17" i="23" s="1"/>
  <c r="Q19" i="33"/>
  <c r="Q19" i="26"/>
  <c r="Q11" i="27"/>
  <c r="T11" i="27"/>
  <c r="O104" i="21"/>
  <c r="T85" i="21"/>
  <c r="R22" i="27"/>
  <c r="Q85" i="21"/>
  <c r="T40" i="28"/>
  <c r="Q57" i="26"/>
  <c r="Q12" i="30"/>
  <c r="M13" i="30"/>
  <c r="Q53" i="27"/>
  <c r="Q78" i="21"/>
  <c r="Q66" i="21"/>
  <c r="O48" i="2"/>
  <c r="T34" i="26"/>
  <c r="Q16" i="29"/>
  <c r="R30" i="26"/>
  <c r="T29" i="26"/>
  <c r="T64" i="20"/>
  <c r="T53" i="26"/>
  <c r="Q41" i="25"/>
  <c r="T45" i="2"/>
  <c r="T23" i="2"/>
  <c r="T47" i="27"/>
  <c r="Q47" i="2"/>
  <c r="Q44" i="26"/>
  <c r="T44" i="28"/>
  <c r="T66" i="26"/>
  <c r="Q23" i="2"/>
  <c r="Q14" i="25"/>
  <c r="Q72" i="21"/>
  <c r="N20" i="22"/>
  <c r="Q39" i="2"/>
  <c r="T16" i="25"/>
  <c r="M35" i="33"/>
  <c r="T16" i="21"/>
  <c r="T38" i="26"/>
  <c r="Q29" i="26"/>
  <c r="T19" i="27"/>
  <c r="Q45" i="25"/>
  <c r="T23" i="33"/>
  <c r="Q50" i="28"/>
  <c r="R22" i="28"/>
  <c r="R35" i="2"/>
  <c r="Q16" i="26"/>
  <c r="P25" i="22"/>
  <c r="N23" i="2"/>
  <c r="T89" i="21"/>
  <c r="T42" i="28"/>
  <c r="Q47" i="20"/>
  <c r="T53" i="27"/>
  <c r="Q66" i="26"/>
  <c r="Q16" i="28"/>
  <c r="T82" i="21"/>
  <c r="O41" i="21"/>
  <c r="O44" i="21" s="1"/>
  <c r="T12" i="22"/>
  <c r="R44" i="20"/>
  <c r="R48" i="20" s="1"/>
  <c r="T14" i="23"/>
  <c r="Q45" i="27"/>
  <c r="Q56" i="20"/>
  <c r="T79" i="21"/>
  <c r="T13" i="20"/>
  <c r="T37" i="20"/>
  <c r="Q16" i="27"/>
  <c r="T14" i="20"/>
  <c r="Q82" i="20"/>
  <c r="R33" i="21"/>
  <c r="S43" i="21" s="1"/>
  <c r="Q60" i="21"/>
  <c r="T73" i="21"/>
  <c r="Q26" i="28"/>
  <c r="Q37" i="20"/>
  <c r="Q30" i="22"/>
  <c r="Q32" i="22"/>
  <c r="T86" i="21"/>
  <c r="Q15" i="21"/>
  <c r="T60" i="21"/>
  <c r="T21" i="27"/>
  <c r="Q52" i="26"/>
  <c r="Q32" i="25"/>
  <c r="T75" i="21"/>
  <c r="Q13" i="28"/>
  <c r="T44" i="26"/>
  <c r="T20" i="22"/>
  <c r="T45" i="27"/>
  <c r="T55" i="21"/>
  <c r="Q48" i="27"/>
  <c r="T26" i="21"/>
  <c r="Q33" i="22"/>
  <c r="T12" i="29"/>
  <c r="O19" i="25"/>
  <c r="O22" i="25" s="1"/>
  <c r="Q30" i="21"/>
  <c r="T63" i="20"/>
  <c r="T57" i="21"/>
  <c r="Q13" i="20"/>
  <c r="Q95" i="21"/>
  <c r="Q54" i="28"/>
  <c r="Q36" i="26"/>
  <c r="T50" i="27"/>
  <c r="Q11" i="25"/>
  <c r="Q87" i="21"/>
  <c r="Q10" i="29"/>
  <c r="T37" i="25"/>
  <c r="O21" i="26"/>
  <c r="T59" i="21"/>
  <c r="Q77" i="21"/>
  <c r="Q20" i="21"/>
  <c r="T19" i="26"/>
  <c r="T32" i="33"/>
  <c r="Q97" i="21"/>
  <c r="Q42" i="25"/>
  <c r="Q48" i="25"/>
  <c r="T54" i="25"/>
  <c r="O22" i="23"/>
  <c r="P19" i="23" s="1"/>
  <c r="T30" i="25"/>
  <c r="Q68" i="20"/>
  <c r="T26" i="28"/>
  <c r="Q11" i="29"/>
  <c r="T16" i="27"/>
  <c r="Q12" i="20"/>
  <c r="T15" i="23"/>
  <c r="Q28" i="28"/>
  <c r="R57" i="27"/>
  <c r="T30" i="27"/>
  <c r="T61" i="26"/>
  <c r="T11" i="23"/>
  <c r="Q11" i="23"/>
  <c r="T23" i="25"/>
  <c r="Q23" i="25"/>
  <c r="R17" i="22"/>
  <c r="S16" i="22" s="1"/>
  <c r="T35" i="22"/>
  <c r="R56" i="28"/>
  <c r="Q33" i="26"/>
  <c r="T19" i="33"/>
  <c r="O21" i="33"/>
  <c r="O27" i="22"/>
  <c r="Q20" i="22"/>
  <c r="S36" i="22"/>
  <c r="T44" i="25"/>
  <c r="Q44" i="25"/>
  <c r="R65" i="25"/>
  <c r="R17" i="29"/>
  <c r="T36" i="26"/>
  <c r="R49" i="26"/>
  <c r="Q18" i="23"/>
  <c r="T18" i="23"/>
  <c r="Q25" i="33"/>
  <c r="T13" i="26"/>
  <c r="Q13" i="26"/>
  <c r="Q52" i="25"/>
  <c r="T52" i="25"/>
  <c r="T21" i="23"/>
  <c r="M84" i="20"/>
  <c r="T56" i="20"/>
  <c r="T13" i="22"/>
  <c r="N33" i="22"/>
  <c r="Q36" i="27"/>
  <c r="T36" i="27"/>
  <c r="Q21" i="25"/>
  <c r="T21" i="25"/>
  <c r="R21" i="33"/>
  <c r="T17" i="33"/>
  <c r="Q29" i="33"/>
  <c r="P33" i="22"/>
  <c r="O15" i="28"/>
  <c r="O18" i="28" s="1"/>
  <c r="T55" i="26"/>
  <c r="Q55" i="26"/>
  <c r="M26" i="25"/>
  <c r="Q30" i="20"/>
  <c r="T30" i="20"/>
  <c r="Q41" i="26"/>
  <c r="T60" i="25"/>
  <c r="O65" i="25"/>
  <c r="Q83" i="21"/>
  <c r="S26" i="22"/>
  <c r="T16" i="22"/>
  <c r="Q20" i="26"/>
  <c r="T36" i="25"/>
  <c r="Q13" i="22"/>
  <c r="M67" i="26"/>
  <c r="Q53" i="26"/>
  <c r="Q61" i="21"/>
  <c r="T61" i="21"/>
  <c r="T83" i="21"/>
  <c r="R27" i="22"/>
  <c r="Q46" i="26"/>
  <c r="T46" i="26"/>
  <c r="O54" i="21"/>
  <c r="O58" i="21" s="1"/>
  <c r="Q50" i="21"/>
  <c r="Q99" i="21"/>
  <c r="T99" i="21"/>
  <c r="Q36" i="28"/>
  <c r="Q35" i="26"/>
  <c r="T35" i="26"/>
  <c r="N21" i="22"/>
  <c r="O11" i="2"/>
  <c r="Q9" i="2"/>
  <c r="M21" i="33"/>
  <c r="O25" i="21"/>
  <c r="P40" i="21" s="1"/>
  <c r="T51" i="25"/>
  <c r="Q103" i="21"/>
  <c r="T24" i="33"/>
  <c r="O27" i="33"/>
  <c r="Q39" i="28"/>
  <c r="T39" i="28"/>
  <c r="M57" i="27"/>
  <c r="P26" i="22"/>
  <c r="R15" i="28"/>
  <c r="R18" i="28" s="1"/>
  <c r="T49" i="28"/>
  <c r="Q49" i="28"/>
  <c r="T23" i="22"/>
  <c r="R67" i="26"/>
  <c r="T52" i="26"/>
  <c r="T101" i="21"/>
  <c r="Q101" i="21"/>
  <c r="Q36" i="22"/>
  <c r="T36" i="22"/>
  <c r="N36" i="22"/>
  <c r="T32" i="28"/>
  <c r="Q32" i="28"/>
  <c r="M56" i="28"/>
  <c r="O84" i="20"/>
  <c r="Q71" i="21"/>
  <c r="T71" i="21"/>
  <c r="Q17" i="23"/>
  <c r="T17" i="23"/>
  <c r="T25" i="33"/>
  <c r="T43" i="28"/>
  <c r="Q43" i="28"/>
  <c r="N34" i="22"/>
  <c r="Q14" i="22"/>
  <c r="T14" i="22"/>
  <c r="Q51" i="27"/>
  <c r="N24" i="22"/>
  <c r="Q24" i="22"/>
  <c r="T24" i="22"/>
  <c r="Q69" i="21"/>
  <c r="O27" i="20"/>
  <c r="T13" i="27"/>
  <c r="R14" i="27"/>
  <c r="Q68" i="21"/>
  <c r="Q21" i="28"/>
  <c r="M22" i="28"/>
  <c r="Q53" i="28"/>
  <c r="Q26" i="22"/>
  <c r="T26" i="22"/>
  <c r="Q24" i="20"/>
  <c r="T24" i="20"/>
  <c r="Q61" i="20"/>
  <c r="S20" i="22"/>
  <c r="T31" i="22"/>
  <c r="N31" i="22"/>
  <c r="T20" i="23"/>
  <c r="M30" i="26"/>
  <c r="T13" i="23"/>
  <c r="M27" i="22"/>
  <c r="T103" i="21"/>
  <c r="Q24" i="33"/>
  <c r="T54" i="26"/>
  <c r="T80" i="21"/>
  <c r="Q80" i="21"/>
  <c r="N32" i="22"/>
  <c r="Q14" i="20"/>
  <c r="T13" i="28"/>
  <c r="T46" i="25"/>
  <c r="Q13" i="33"/>
  <c r="M15" i="33"/>
  <c r="Q20" i="23"/>
  <c r="O33" i="21"/>
  <c r="P43" i="21" s="1"/>
  <c r="T80" i="20"/>
  <c r="T96" i="21"/>
  <c r="Q96" i="21"/>
  <c r="M17" i="20"/>
  <c r="R52" i="20"/>
  <c r="Q21" i="20"/>
  <c r="Q22" i="20"/>
  <c r="S22" i="22"/>
  <c r="T57" i="26"/>
  <c r="M65" i="25"/>
  <c r="M49" i="26"/>
  <c r="T40" i="21"/>
  <c r="Q61" i="25"/>
  <c r="Q63" i="25"/>
  <c r="O57" i="27"/>
  <c r="Q41" i="27"/>
  <c r="Q22" i="21"/>
  <c r="Q23" i="20"/>
  <c r="T32" i="27"/>
  <c r="Q11" i="28"/>
  <c r="T65" i="20"/>
  <c r="T67" i="20"/>
  <c r="T33" i="27"/>
  <c r="Q49" i="27"/>
  <c r="O56" i="28"/>
  <c r="P23" i="22"/>
  <c r="Q66" i="20"/>
  <c r="T67" i="21"/>
  <c r="T74" i="21"/>
  <c r="T15" i="29"/>
  <c r="Q35" i="27"/>
  <c r="T40" i="20"/>
  <c r="T21" i="20"/>
  <c r="Q16" i="21"/>
  <c r="T41" i="25"/>
  <c r="T11" i="26"/>
  <c r="M27" i="33"/>
  <c r="T33" i="28"/>
  <c r="Q15" i="25"/>
  <c r="T25" i="26"/>
  <c r="R84" i="20"/>
  <c r="T22" i="22"/>
  <c r="T20" i="33"/>
  <c r="Q64" i="20"/>
  <c r="O52" i="20"/>
  <c r="P34" i="22"/>
  <c r="T43" i="20"/>
  <c r="M17" i="29"/>
  <c r="M15" i="28"/>
  <c r="M18" i="28" s="1"/>
  <c r="T43" i="25"/>
  <c r="T79" i="20"/>
  <c r="Q27" i="27"/>
  <c r="T12" i="21"/>
  <c r="M27" i="20"/>
  <c r="T34" i="28"/>
  <c r="Q24" i="21"/>
  <c r="T36" i="20"/>
  <c r="P22" i="22"/>
  <c r="Q30" i="33"/>
  <c r="Q49" i="25"/>
  <c r="M33" i="21"/>
  <c r="Q52" i="27"/>
  <c r="T53" i="21"/>
  <c r="M22" i="23"/>
  <c r="N17" i="23" s="1"/>
  <c r="T102" i="21"/>
  <c r="Q62" i="26"/>
  <c r="Q81" i="20"/>
  <c r="T14" i="21"/>
  <c r="T20" i="21"/>
  <c r="R104" i="21"/>
  <c r="S32" i="22"/>
  <c r="R15" i="33"/>
  <c r="T10" i="29"/>
  <c r="Q25" i="20"/>
  <c r="T13" i="33"/>
  <c r="T42" i="25"/>
  <c r="Q41" i="28"/>
  <c r="T30" i="22"/>
  <c r="T39" i="20"/>
  <c r="Q17" i="28"/>
  <c r="Q27" i="26"/>
  <c r="T61" i="25"/>
  <c r="Q17" i="27"/>
  <c r="Q15" i="20"/>
  <c r="Q64" i="26"/>
  <c r="T78" i="20"/>
  <c r="R27" i="33"/>
  <c r="P35" i="22"/>
  <c r="Q42" i="27"/>
  <c r="Q28" i="20"/>
  <c r="Q15" i="26"/>
  <c r="Q42" i="20"/>
  <c r="M41" i="21"/>
  <c r="R13" i="30"/>
  <c r="Q24" i="2"/>
  <c r="Q17" i="2"/>
  <c r="T39" i="2"/>
  <c r="T22" i="2"/>
  <c r="P22" i="2"/>
  <c r="M48" i="2"/>
  <c r="Q34" i="2"/>
  <c r="M19" i="2"/>
  <c r="Q15" i="2"/>
  <c r="T15" i="2"/>
  <c r="O25" i="2"/>
  <c r="T16" i="2"/>
  <c r="T11" i="30"/>
  <c r="T59" i="25"/>
  <c r="T40" i="27"/>
  <c r="Q65" i="20"/>
  <c r="T22" i="21"/>
  <c r="Q16" i="20"/>
  <c r="T50" i="25"/>
  <c r="Q50" i="25"/>
  <c r="Q90" i="21"/>
  <c r="P20" i="22"/>
  <c r="Q12" i="22"/>
  <c r="T15" i="25"/>
  <c r="R25" i="2"/>
  <c r="Q39" i="25"/>
  <c r="Q14" i="23"/>
  <c r="T17" i="27"/>
  <c r="T19" i="28"/>
  <c r="R19" i="25"/>
  <c r="R22" i="25" s="1"/>
  <c r="N23" i="22"/>
  <c r="T42" i="20"/>
  <c r="Q42" i="26"/>
  <c r="T24" i="25"/>
  <c r="Q25" i="26"/>
  <c r="Q10" i="23"/>
  <c r="Q36" i="20"/>
  <c r="Q39" i="20"/>
  <c r="T34" i="25"/>
  <c r="O35" i="33"/>
  <c r="Q44" i="28"/>
  <c r="Q26" i="33"/>
  <c r="T55" i="28"/>
  <c r="Q55" i="28"/>
  <c r="T35" i="27"/>
  <c r="T76" i="21"/>
  <c r="T42" i="27"/>
  <c r="T18" i="26"/>
  <c r="Q31" i="22"/>
  <c r="T47" i="25"/>
  <c r="T12" i="30"/>
  <c r="Q28" i="26"/>
  <c r="N22" i="22"/>
  <c r="Q12" i="21"/>
  <c r="Q79" i="20"/>
  <c r="T20" i="20"/>
  <c r="Q83" i="20"/>
  <c r="Q20" i="20"/>
  <c r="T59" i="20"/>
  <c r="T68" i="21"/>
  <c r="T27" i="26"/>
  <c r="T36" i="28"/>
  <c r="T69" i="21"/>
  <c r="T11" i="22"/>
  <c r="M21" i="26"/>
  <c r="Q22" i="22"/>
  <c r="Q23" i="22"/>
  <c r="T28" i="20"/>
  <c r="M14" i="27"/>
  <c r="Q44" i="27"/>
  <c r="T59" i="26"/>
  <c r="Q16" i="25"/>
  <c r="M22" i="27"/>
  <c r="Q44" i="2"/>
  <c r="T25" i="20"/>
  <c r="T17" i="28"/>
  <c r="Q45" i="20"/>
  <c r="M19" i="25"/>
  <c r="M22" i="25" s="1"/>
  <c r="Q88" i="21"/>
  <c r="T15" i="26"/>
  <c r="Q16" i="23"/>
  <c r="T41" i="27"/>
  <c r="Q31" i="25"/>
  <c r="T64" i="26"/>
  <c r="T66" i="20"/>
  <c r="R26" i="25"/>
  <c r="T41" i="28"/>
  <c r="Q19" i="27"/>
  <c r="Q43" i="2"/>
  <c r="T62" i="20"/>
  <c r="Q34" i="28"/>
  <c r="Q13" i="25"/>
  <c r="Q32" i="27"/>
  <c r="T98" i="21"/>
  <c r="T25" i="22"/>
  <c r="Q25" i="22"/>
  <c r="Q53" i="21"/>
  <c r="T71" i="20"/>
  <c r="T35" i="28"/>
  <c r="Q102" i="21"/>
  <c r="Q40" i="20"/>
  <c r="M104" i="21"/>
  <c r="T21" i="28"/>
  <c r="T52" i="27"/>
  <c r="T66" i="21"/>
  <c r="Q20" i="27"/>
  <c r="T13" i="29"/>
  <c r="T37" i="28"/>
  <c r="P30" i="22"/>
  <c r="F69" i="26"/>
  <c r="I27" i="2"/>
  <c r="I37" i="2" s="1"/>
  <c r="I69" i="26"/>
  <c r="I13" i="2"/>
  <c r="Q26" i="25" l="1"/>
  <c r="O27" i="25"/>
  <c r="P10" i="33"/>
  <c r="O52" i="2"/>
  <c r="S40" i="25"/>
  <c r="R52" i="2"/>
  <c r="S52" i="2" s="1"/>
  <c r="S61" i="26"/>
  <c r="N12" i="27"/>
  <c r="M52" i="2"/>
  <c r="N52" i="2" s="1"/>
  <c r="S13" i="29"/>
  <c r="S60" i="25"/>
  <c r="S19" i="33"/>
  <c r="S64" i="25"/>
  <c r="N42" i="27"/>
  <c r="S29" i="28"/>
  <c r="S47" i="2"/>
  <c r="S61" i="25"/>
  <c r="S31" i="27"/>
  <c r="S26" i="26"/>
  <c r="S18" i="25"/>
  <c r="N38" i="26"/>
  <c r="N59" i="26"/>
  <c r="Q33" i="21"/>
  <c r="P11" i="22"/>
  <c r="R13" i="2"/>
  <c r="P16" i="22"/>
  <c r="P14" i="22"/>
  <c r="N21" i="26"/>
  <c r="N39" i="27"/>
  <c r="T14" i="26"/>
  <c r="S34" i="26"/>
  <c r="N37" i="27"/>
  <c r="N34" i="33"/>
  <c r="S35" i="27"/>
  <c r="N44" i="2"/>
  <c r="N29" i="33"/>
  <c r="N67" i="26"/>
  <c r="S20" i="26"/>
  <c r="S34" i="27"/>
  <c r="P19" i="33"/>
  <c r="N26" i="26"/>
  <c r="Q11" i="33"/>
  <c r="S39" i="28"/>
  <c r="N43" i="26"/>
  <c r="N55" i="26"/>
  <c r="N45" i="26"/>
  <c r="S63" i="26"/>
  <c r="N51" i="27"/>
  <c r="T11" i="33"/>
  <c r="S54" i="28"/>
  <c r="N46" i="27"/>
  <c r="S30" i="2"/>
  <c r="S17" i="28"/>
  <c r="S13" i="28"/>
  <c r="N55" i="27"/>
  <c r="S15" i="29"/>
  <c r="N38" i="27"/>
  <c r="S21" i="25"/>
  <c r="P11" i="33"/>
  <c r="S46" i="2"/>
  <c r="S11" i="27"/>
  <c r="S11" i="29"/>
  <c r="P58" i="25"/>
  <c r="S14" i="28"/>
  <c r="S31" i="2"/>
  <c r="S43" i="2"/>
  <c r="S44" i="28"/>
  <c r="S43" i="26"/>
  <c r="O31" i="20"/>
  <c r="P79" i="20" s="1"/>
  <c r="P25" i="33"/>
  <c r="S16" i="29"/>
  <c r="S37" i="27"/>
  <c r="S45" i="26"/>
  <c r="P53" i="25"/>
  <c r="S55" i="26"/>
  <c r="S41" i="28"/>
  <c r="S50" i="25"/>
  <c r="S19" i="2"/>
  <c r="S55" i="28"/>
  <c r="S41" i="26"/>
  <c r="N24" i="33"/>
  <c r="S33" i="33"/>
  <c r="N10" i="30"/>
  <c r="S40" i="28"/>
  <c r="S54" i="26"/>
  <c r="S34" i="2"/>
  <c r="S45" i="25"/>
  <c r="T48" i="2"/>
  <c r="S10" i="30"/>
  <c r="S18" i="33"/>
  <c r="S39" i="27"/>
  <c r="S11" i="26"/>
  <c r="P41" i="26"/>
  <c r="S50" i="28"/>
  <c r="S24" i="25"/>
  <c r="N20" i="23"/>
  <c r="S11" i="28"/>
  <c r="P24" i="33"/>
  <c r="S27" i="26"/>
  <c r="N15" i="23"/>
  <c r="S65" i="26"/>
  <c r="S20" i="33"/>
  <c r="S62" i="25"/>
  <c r="S45" i="27"/>
  <c r="S66" i="26"/>
  <c r="S30" i="26"/>
  <c r="S46" i="25"/>
  <c r="S26" i="33"/>
  <c r="S32" i="27"/>
  <c r="S45" i="28"/>
  <c r="N32" i="27"/>
  <c r="S26" i="25"/>
  <c r="S64" i="26"/>
  <c r="S51" i="28"/>
  <c r="S32" i="2"/>
  <c r="S55" i="27"/>
  <c r="S57" i="25"/>
  <c r="N36" i="26"/>
  <c r="S29" i="26"/>
  <c r="S37" i="28"/>
  <c r="P10" i="22"/>
  <c r="S32" i="33"/>
  <c r="P13" i="22"/>
  <c r="N34" i="2"/>
  <c r="N32" i="2"/>
  <c r="S11" i="22"/>
  <c r="S25" i="2"/>
  <c r="S30" i="33"/>
  <c r="S23" i="25"/>
  <c r="S63" i="25"/>
  <c r="S56" i="26"/>
  <c r="S38" i="28"/>
  <c r="S38" i="26"/>
  <c r="S17" i="2"/>
  <c r="Q11" i="21"/>
  <c r="S49" i="25"/>
  <c r="S18" i="26"/>
  <c r="S21" i="27"/>
  <c r="P16" i="28"/>
  <c r="S34" i="25"/>
  <c r="S34" i="33"/>
  <c r="S15" i="25"/>
  <c r="S20" i="25"/>
  <c r="P36" i="27"/>
  <c r="S36" i="27"/>
  <c r="S37" i="26"/>
  <c r="S33" i="25"/>
  <c r="N39" i="2"/>
  <c r="S21" i="26"/>
  <c r="S41" i="27"/>
  <c r="N41" i="28"/>
  <c r="S56" i="25"/>
  <c r="S52" i="26"/>
  <c r="S10" i="33"/>
  <c r="S57" i="26"/>
  <c r="S15" i="2"/>
  <c r="S33" i="27"/>
  <c r="S31" i="28"/>
  <c r="S26" i="27"/>
  <c r="S47" i="25"/>
  <c r="S19" i="27"/>
  <c r="S37" i="25"/>
  <c r="P60" i="26"/>
  <c r="N16" i="28"/>
  <c r="N29" i="28"/>
  <c r="S53" i="27"/>
  <c r="O53" i="20"/>
  <c r="T22" i="28"/>
  <c r="S16" i="2"/>
  <c r="T35" i="2"/>
  <c r="S15" i="27"/>
  <c r="S26" i="28"/>
  <c r="S23" i="33"/>
  <c r="S11" i="33"/>
  <c r="S55" i="25"/>
  <c r="S39" i="26"/>
  <c r="S22" i="27"/>
  <c r="S12" i="30"/>
  <c r="S59" i="25"/>
  <c r="S44" i="2"/>
  <c r="S48" i="27"/>
  <c r="S53" i="28"/>
  <c r="S20" i="27"/>
  <c r="S60" i="26"/>
  <c r="S25" i="26"/>
  <c r="R27" i="25"/>
  <c r="T27" i="20"/>
  <c r="S14" i="27"/>
  <c r="S15" i="28"/>
  <c r="S35" i="2"/>
  <c r="S18" i="2"/>
  <c r="S59" i="26"/>
  <c r="S13" i="23"/>
  <c r="S13" i="26"/>
  <c r="S24" i="33"/>
  <c r="S20" i="28"/>
  <c r="S49" i="27"/>
  <c r="P21" i="27"/>
  <c r="S13" i="33"/>
  <c r="S14" i="25"/>
  <c r="S31" i="25"/>
  <c r="S48" i="26"/>
  <c r="S52" i="28"/>
  <c r="S35" i="28"/>
  <c r="S22" i="28"/>
  <c r="S16" i="26"/>
  <c r="S35" i="25"/>
  <c r="S17" i="25"/>
  <c r="S16" i="27"/>
  <c r="S13" i="25"/>
  <c r="S39" i="25"/>
  <c r="S46" i="27"/>
  <c r="S29" i="27"/>
  <c r="S47" i="26"/>
  <c r="S16" i="28"/>
  <c r="S12" i="29"/>
  <c r="S16" i="25"/>
  <c r="P28" i="27"/>
  <c r="S40" i="26"/>
  <c r="S17" i="26"/>
  <c r="S31" i="33"/>
  <c r="S38" i="25"/>
  <c r="S17" i="33"/>
  <c r="S21" i="28"/>
  <c r="S53" i="25"/>
  <c r="P56" i="27"/>
  <c r="M17" i="21"/>
  <c r="N39" i="21" s="1"/>
  <c r="S56" i="27"/>
  <c r="S33" i="28"/>
  <c r="S49" i="28"/>
  <c r="S48" i="2"/>
  <c r="S11" i="25"/>
  <c r="S36" i="25"/>
  <c r="S43" i="27"/>
  <c r="Q35" i="2"/>
  <c r="R27" i="21"/>
  <c r="S41" i="21" s="1"/>
  <c r="P22" i="23"/>
  <c r="P33" i="33"/>
  <c r="T11" i="21"/>
  <c r="S51" i="25"/>
  <c r="S54" i="27"/>
  <c r="S43" i="25"/>
  <c r="S62" i="26"/>
  <c r="S36" i="28"/>
  <c r="S47" i="27"/>
  <c r="S42" i="26"/>
  <c r="S32" i="28"/>
  <c r="S44" i="27"/>
  <c r="N14" i="26"/>
  <c r="S46" i="28"/>
  <c r="S25" i="33"/>
  <c r="S19" i="26"/>
  <c r="S14" i="29"/>
  <c r="S40" i="27"/>
  <c r="S29" i="33"/>
  <c r="S51" i="27"/>
  <c r="P15" i="25"/>
  <c r="P13" i="27"/>
  <c r="S52" i="27"/>
  <c r="S36" i="26"/>
  <c r="S27" i="28"/>
  <c r="S42" i="28"/>
  <c r="S28" i="27"/>
  <c r="S30" i="25"/>
  <c r="S45" i="2"/>
  <c r="S44" i="26"/>
  <c r="S25" i="25"/>
  <c r="S58" i="26"/>
  <c r="S50" i="27"/>
  <c r="S28" i="28"/>
  <c r="P10" i="30"/>
  <c r="P20" i="26"/>
  <c r="S14" i="26"/>
  <c r="S41" i="25"/>
  <c r="S39" i="2"/>
  <c r="S18" i="28"/>
  <c r="S48" i="28"/>
  <c r="S44" i="25"/>
  <c r="S33" i="26"/>
  <c r="S52" i="25"/>
  <c r="S11" i="30"/>
  <c r="S48" i="25"/>
  <c r="R27" i="2"/>
  <c r="R37" i="2" s="1"/>
  <c r="S30" i="27"/>
  <c r="S28" i="26"/>
  <c r="S58" i="25"/>
  <c r="S35" i="26"/>
  <c r="P54" i="27"/>
  <c r="S32" i="25"/>
  <c r="S53" i="26"/>
  <c r="S54" i="25"/>
  <c r="S33" i="2"/>
  <c r="S27" i="27"/>
  <c r="S38" i="27"/>
  <c r="S47" i="28"/>
  <c r="S14" i="33"/>
  <c r="S42" i="27"/>
  <c r="S42" i="25"/>
  <c r="S34" i="28"/>
  <c r="S10" i="29"/>
  <c r="S30" i="28"/>
  <c r="N31" i="33"/>
  <c r="P39" i="2"/>
  <c r="P41" i="28"/>
  <c r="N53" i="28"/>
  <c r="S19" i="28"/>
  <c r="N33" i="27"/>
  <c r="N32" i="28"/>
  <c r="S13" i="27"/>
  <c r="S43" i="28"/>
  <c r="S46" i="26"/>
  <c r="R31" i="20"/>
  <c r="S39" i="20" s="1"/>
  <c r="S15" i="26"/>
  <c r="S56" i="28"/>
  <c r="S15" i="33"/>
  <c r="Q21" i="26"/>
  <c r="P41" i="27"/>
  <c r="P63" i="26"/>
  <c r="P36" i="26"/>
  <c r="P36" i="28"/>
  <c r="P61" i="25"/>
  <c r="P55" i="25"/>
  <c r="P50" i="28"/>
  <c r="P22" i="27"/>
  <c r="P25" i="26"/>
  <c r="P42" i="27"/>
  <c r="P53" i="28"/>
  <c r="P27" i="27"/>
  <c r="P13" i="30"/>
  <c r="P47" i="2"/>
  <c r="P30" i="2"/>
  <c r="P18" i="26"/>
  <c r="P45" i="25"/>
  <c r="Q44" i="20"/>
  <c r="T54" i="21"/>
  <c r="R58" i="21"/>
  <c r="R63" i="21" s="1"/>
  <c r="R106" i="21" s="1"/>
  <c r="M48" i="20"/>
  <c r="Q48" i="20" s="1"/>
  <c r="P17" i="2"/>
  <c r="P11" i="30"/>
  <c r="P18" i="2"/>
  <c r="P41" i="25"/>
  <c r="P31" i="2"/>
  <c r="P21" i="26"/>
  <c r="Q11" i="2"/>
  <c r="M13" i="2"/>
  <c r="T11" i="2"/>
  <c r="T21" i="26"/>
  <c r="P17" i="29"/>
  <c r="P46" i="28"/>
  <c r="P14" i="29"/>
  <c r="P15" i="29"/>
  <c r="N19" i="2"/>
  <c r="N18" i="26"/>
  <c r="N34" i="28"/>
  <c r="N25" i="33"/>
  <c r="N47" i="28"/>
  <c r="N50" i="28"/>
  <c r="N48" i="27"/>
  <c r="N62" i="26"/>
  <c r="N29" i="27"/>
  <c r="N34" i="26"/>
  <c r="N36" i="27"/>
  <c r="N25" i="2"/>
  <c r="N43" i="27"/>
  <c r="N19" i="33"/>
  <c r="N12" i="29"/>
  <c r="N15" i="27"/>
  <c r="N16" i="26"/>
  <c r="N20" i="26"/>
  <c r="N63" i="26"/>
  <c r="N56" i="27"/>
  <c r="N46" i="26"/>
  <c r="N11" i="29"/>
  <c r="N23" i="33"/>
  <c r="N19" i="28"/>
  <c r="N21" i="27"/>
  <c r="N13" i="27"/>
  <c r="N35" i="26"/>
  <c r="N34" i="27"/>
  <c r="N33" i="33"/>
  <c r="N47" i="2"/>
  <c r="N28" i="26"/>
  <c r="N14" i="28"/>
  <c r="N13" i="29"/>
  <c r="N26" i="27"/>
  <c r="N33" i="28"/>
  <c r="N35" i="2"/>
  <c r="N39" i="26"/>
  <c r="N11" i="26"/>
  <c r="N30" i="27"/>
  <c r="N20" i="33"/>
  <c r="N44" i="28"/>
  <c r="N37" i="28"/>
  <c r="N15" i="2"/>
  <c r="N47" i="26"/>
  <c r="N14" i="29"/>
  <c r="N66" i="26"/>
  <c r="N30" i="33"/>
  <c r="N41" i="26"/>
  <c r="O24" i="23"/>
  <c r="P13" i="23"/>
  <c r="P17" i="23"/>
  <c r="P18" i="23"/>
  <c r="P20" i="23"/>
  <c r="P14" i="23"/>
  <c r="P15" i="23"/>
  <c r="P21" i="23"/>
  <c r="O67" i="25"/>
  <c r="P27" i="25"/>
  <c r="S14" i="23"/>
  <c r="S11" i="23"/>
  <c r="S12" i="23"/>
  <c r="S20" i="23"/>
  <c r="S16" i="23"/>
  <c r="S15" i="23"/>
  <c r="S19" i="23"/>
  <c r="S10" i="23"/>
  <c r="P44" i="26"/>
  <c r="P11" i="23"/>
  <c r="P37" i="28"/>
  <c r="P14" i="28"/>
  <c r="P13" i="26"/>
  <c r="P18" i="25"/>
  <c r="P35" i="26"/>
  <c r="P35" i="27"/>
  <c r="P42" i="26"/>
  <c r="N50" i="27"/>
  <c r="N11" i="27"/>
  <c r="N58" i="26"/>
  <c r="P55" i="28"/>
  <c r="N51" i="28"/>
  <c r="P10" i="23"/>
  <c r="S18" i="23"/>
  <c r="P45" i="26"/>
  <c r="P34" i="26"/>
  <c r="R24" i="23"/>
  <c r="P50" i="25"/>
  <c r="P12" i="23"/>
  <c r="P52" i="26"/>
  <c r="P45" i="2"/>
  <c r="P46" i="27"/>
  <c r="P19" i="2"/>
  <c r="P44" i="28"/>
  <c r="P49" i="27"/>
  <c r="P33" i="25"/>
  <c r="N33" i="26"/>
  <c r="N27" i="27"/>
  <c r="N61" i="26"/>
  <c r="P34" i="28"/>
  <c r="P37" i="26"/>
  <c r="P43" i="28"/>
  <c r="P48" i="25"/>
  <c r="P55" i="27"/>
  <c r="P14" i="25"/>
  <c r="P21" i="28"/>
  <c r="P40" i="27"/>
  <c r="P15" i="26"/>
  <c r="P19" i="27"/>
  <c r="P52" i="27"/>
  <c r="P29" i="33"/>
  <c r="P13" i="25"/>
  <c r="P38" i="26"/>
  <c r="P53" i="26"/>
  <c r="P26" i="28"/>
  <c r="P44" i="27"/>
  <c r="P52" i="25"/>
  <c r="P65" i="26"/>
  <c r="P46" i="2"/>
  <c r="P37" i="27"/>
  <c r="P11" i="26"/>
  <c r="P51" i="28"/>
  <c r="P30" i="28"/>
  <c r="P66" i="26"/>
  <c r="P48" i="28"/>
  <c r="P46" i="25"/>
  <c r="P15" i="2"/>
  <c r="P32" i="28"/>
  <c r="P33" i="2"/>
  <c r="P32" i="27"/>
  <c r="P10" i="29"/>
  <c r="P29" i="28"/>
  <c r="P30" i="33"/>
  <c r="P59" i="26"/>
  <c r="P47" i="28"/>
  <c r="P60" i="25"/>
  <c r="P63" i="25"/>
  <c r="P38" i="27"/>
  <c r="P46" i="26"/>
  <c r="P33" i="26"/>
  <c r="P11" i="29"/>
  <c r="P51" i="25"/>
  <c r="P58" i="26"/>
  <c r="P26" i="33"/>
  <c r="P27" i="28"/>
  <c r="P38" i="28"/>
  <c r="P22" i="28"/>
  <c r="P28" i="26"/>
  <c r="P17" i="28"/>
  <c r="P16" i="25"/>
  <c r="P64" i="25"/>
  <c r="P19" i="26"/>
  <c r="P36" i="25"/>
  <c r="P12" i="30"/>
  <c r="P57" i="25"/>
  <c r="P33" i="27"/>
  <c r="P53" i="27"/>
  <c r="P20" i="28"/>
  <c r="P38" i="25"/>
  <c r="P35" i="25"/>
  <c r="P15" i="33"/>
  <c r="P44" i="2"/>
  <c r="P11" i="28"/>
  <c r="P47" i="27"/>
  <c r="P43" i="25"/>
  <c r="P61" i="26"/>
  <c r="P59" i="25"/>
  <c r="P39" i="27"/>
  <c r="P34" i="33"/>
  <c r="P54" i="25"/>
  <c r="P35" i="28"/>
  <c r="P48" i="27"/>
  <c r="P19" i="28"/>
  <c r="P14" i="27"/>
  <c r="P12" i="29"/>
  <c r="P34" i="25"/>
  <c r="P43" i="2"/>
  <c r="P26" i="25"/>
  <c r="P17" i="33"/>
  <c r="P32" i="33"/>
  <c r="P45" i="28"/>
  <c r="P31" i="25"/>
  <c r="P23" i="25"/>
  <c r="P13" i="29"/>
  <c r="P18" i="33"/>
  <c r="P32" i="2"/>
  <c r="P16" i="29"/>
  <c r="P17" i="25"/>
  <c r="P50" i="27"/>
  <c r="P20" i="27"/>
  <c r="P32" i="25"/>
  <c r="P49" i="28"/>
  <c r="P47" i="25"/>
  <c r="P25" i="25"/>
  <c r="P52" i="2"/>
  <c r="P39" i="26"/>
  <c r="P14" i="26"/>
  <c r="P37" i="25"/>
  <c r="P11" i="25"/>
  <c r="P54" i="26"/>
  <c r="P49" i="25"/>
  <c r="P39" i="28"/>
  <c r="P26" i="26"/>
  <c r="P15" i="27"/>
  <c r="P62" i="25"/>
  <c r="Q19" i="2"/>
  <c r="P31" i="28"/>
  <c r="P30" i="26"/>
  <c r="P44" i="25"/>
  <c r="P57" i="26"/>
  <c r="P43" i="27"/>
  <c r="P55" i="26"/>
  <c r="P13" i="28"/>
  <c r="P34" i="2"/>
  <c r="P26" i="27"/>
  <c r="P39" i="25"/>
  <c r="P27" i="26"/>
  <c r="P16" i="2"/>
  <c r="P43" i="26"/>
  <c r="T44" i="20"/>
  <c r="P33" i="28"/>
  <c r="P54" i="28"/>
  <c r="P56" i="26"/>
  <c r="P40" i="28"/>
  <c r="N21" i="28"/>
  <c r="N16" i="2"/>
  <c r="P62" i="26"/>
  <c r="S22" i="23"/>
  <c r="T13" i="30"/>
  <c r="N13" i="28"/>
  <c r="P24" i="25"/>
  <c r="P40" i="25"/>
  <c r="P45" i="27"/>
  <c r="N57" i="26"/>
  <c r="N28" i="28"/>
  <c r="P17" i="27"/>
  <c r="S21" i="23"/>
  <c r="P47" i="26"/>
  <c r="P29" i="26"/>
  <c r="P31" i="33"/>
  <c r="P52" i="28"/>
  <c r="P29" i="27"/>
  <c r="T12" i="2"/>
  <c r="Q12" i="2"/>
  <c r="P28" i="28"/>
  <c r="P11" i="27"/>
  <c r="P40" i="26"/>
  <c r="P51" i="27"/>
  <c r="P20" i="33"/>
  <c r="M24" i="23"/>
  <c r="N11" i="23"/>
  <c r="N10" i="23"/>
  <c r="N16" i="23"/>
  <c r="N12" i="23"/>
  <c r="N21" i="23"/>
  <c r="N13" i="23"/>
  <c r="P16" i="23"/>
  <c r="P21" i="25"/>
  <c r="P16" i="26"/>
  <c r="P42" i="25"/>
  <c r="N55" i="28"/>
  <c r="P16" i="27"/>
  <c r="Q52" i="20"/>
  <c r="P30" i="27"/>
  <c r="P23" i="33"/>
  <c r="P20" i="25"/>
  <c r="P34" i="27"/>
  <c r="N64" i="26"/>
  <c r="Q13" i="30"/>
  <c r="P13" i="33"/>
  <c r="P35" i="2"/>
  <c r="P64" i="26"/>
  <c r="P56" i="25"/>
  <c r="P30" i="25"/>
  <c r="O27" i="2"/>
  <c r="O37" i="2" s="1"/>
  <c r="P12" i="27"/>
  <c r="P48" i="26"/>
  <c r="P31" i="27"/>
  <c r="N32" i="33"/>
  <c r="N48" i="28"/>
  <c r="N15" i="26"/>
  <c r="P14" i="33"/>
  <c r="P42" i="28"/>
  <c r="T17" i="20"/>
  <c r="O63" i="21"/>
  <c r="N16" i="22"/>
  <c r="T14" i="27"/>
  <c r="P48" i="2"/>
  <c r="R53" i="20"/>
  <c r="R86" i="20" s="1"/>
  <c r="N15" i="22"/>
  <c r="N14" i="22"/>
  <c r="S49" i="26"/>
  <c r="P25" i="2"/>
  <c r="Q41" i="21"/>
  <c r="N10" i="22"/>
  <c r="P12" i="22"/>
  <c r="P15" i="22"/>
  <c r="O13" i="2"/>
  <c r="P18" i="28"/>
  <c r="O27" i="21"/>
  <c r="P41" i="21" s="1"/>
  <c r="Q14" i="26"/>
  <c r="M17" i="26"/>
  <c r="M22" i="26" s="1"/>
  <c r="N14" i="27"/>
  <c r="N17" i="29"/>
  <c r="S57" i="27"/>
  <c r="S35" i="33"/>
  <c r="T33" i="21"/>
  <c r="T27" i="33"/>
  <c r="T30" i="26"/>
  <c r="T104" i="21"/>
  <c r="N12" i="22"/>
  <c r="N43" i="21"/>
  <c r="N30" i="26"/>
  <c r="Q14" i="27"/>
  <c r="N21" i="33"/>
  <c r="Q17" i="22"/>
  <c r="N31" i="28"/>
  <c r="O69" i="26"/>
  <c r="N44" i="27"/>
  <c r="N28" i="27"/>
  <c r="N17" i="28"/>
  <c r="N17" i="22"/>
  <c r="T52" i="20"/>
  <c r="N13" i="33"/>
  <c r="N19" i="27"/>
  <c r="N53" i="26"/>
  <c r="N52" i="27"/>
  <c r="N17" i="2"/>
  <c r="N53" i="27"/>
  <c r="N35" i="33"/>
  <c r="N42" i="26"/>
  <c r="N36" i="28"/>
  <c r="N65" i="26"/>
  <c r="N22" i="28"/>
  <c r="N38" i="28"/>
  <c r="N27" i="26"/>
  <c r="N43" i="28"/>
  <c r="N26" i="33"/>
  <c r="N45" i="27"/>
  <c r="N16" i="27"/>
  <c r="N29" i="26"/>
  <c r="N11" i="22"/>
  <c r="Q22" i="28"/>
  <c r="Q17" i="20"/>
  <c r="Q62" i="21"/>
  <c r="R18" i="27"/>
  <c r="S18" i="27" s="1"/>
  <c r="N35" i="28"/>
  <c r="N13" i="26"/>
  <c r="N30" i="28"/>
  <c r="N40" i="27"/>
  <c r="N20" i="28"/>
  <c r="N19" i="26"/>
  <c r="N40" i="26"/>
  <c r="N20" i="27"/>
  <c r="N33" i="2"/>
  <c r="N35" i="27"/>
  <c r="Q30" i="26"/>
  <c r="Q104" i="21"/>
  <c r="S21" i="33"/>
  <c r="P27" i="33"/>
  <c r="M18" i="27"/>
  <c r="M69" i="26"/>
  <c r="S13" i="30"/>
  <c r="O37" i="22"/>
  <c r="O39" i="22" s="1"/>
  <c r="P39" i="22" s="1"/>
  <c r="P67" i="26"/>
  <c r="N11" i="30"/>
  <c r="N27" i="28"/>
  <c r="N54" i="28"/>
  <c r="N43" i="2"/>
  <c r="N18" i="33"/>
  <c r="N10" i="29"/>
  <c r="N44" i="26"/>
  <c r="N56" i="26"/>
  <c r="M37" i="33"/>
  <c r="N45" i="2"/>
  <c r="N13" i="22"/>
  <c r="T41" i="21"/>
  <c r="P49" i="26"/>
  <c r="N45" i="28"/>
  <c r="N26" i="28"/>
  <c r="N54" i="27"/>
  <c r="N11" i="28"/>
  <c r="N40" i="28"/>
  <c r="N54" i="26"/>
  <c r="N49" i="28"/>
  <c r="N52" i="26"/>
  <c r="N27" i="33"/>
  <c r="M31" i="20"/>
  <c r="N84" i="20" s="1"/>
  <c r="N19" i="23"/>
  <c r="M44" i="21"/>
  <c r="N11" i="33"/>
  <c r="N14" i="33"/>
  <c r="N16" i="29"/>
  <c r="N37" i="26"/>
  <c r="N22" i="27"/>
  <c r="R37" i="33"/>
  <c r="N42" i="28"/>
  <c r="N31" i="27"/>
  <c r="N48" i="26"/>
  <c r="Q25" i="2"/>
  <c r="N49" i="27"/>
  <c r="N46" i="28"/>
  <c r="N31" i="2"/>
  <c r="N60" i="26"/>
  <c r="N17" i="33"/>
  <c r="N17" i="27"/>
  <c r="N39" i="28"/>
  <c r="N15" i="29"/>
  <c r="N41" i="27"/>
  <c r="N52" i="28"/>
  <c r="N12" i="30"/>
  <c r="N47" i="27"/>
  <c r="N25" i="26"/>
  <c r="S65" i="25"/>
  <c r="N49" i="26"/>
  <c r="Q65" i="25"/>
  <c r="P65" i="25"/>
  <c r="T22" i="27"/>
  <c r="T22" i="23"/>
  <c r="S27" i="33"/>
  <c r="P15" i="28"/>
  <c r="Q22" i="23"/>
  <c r="P19" i="25"/>
  <c r="Q15" i="33"/>
  <c r="N15" i="33"/>
  <c r="N22" i="23"/>
  <c r="S17" i="29"/>
  <c r="Q84" i="20"/>
  <c r="Q49" i="26"/>
  <c r="T84" i="20"/>
  <c r="N15" i="28"/>
  <c r="S15" i="22"/>
  <c r="S13" i="22"/>
  <c r="T57" i="27"/>
  <c r="Q22" i="27"/>
  <c r="O37" i="33"/>
  <c r="S17" i="22"/>
  <c r="P27" i="22"/>
  <c r="T19" i="25"/>
  <c r="Q27" i="33"/>
  <c r="Q15" i="28"/>
  <c r="P57" i="27"/>
  <c r="T26" i="25"/>
  <c r="P21" i="33"/>
  <c r="T17" i="29"/>
  <c r="T21" i="33"/>
  <c r="Q54" i="21"/>
  <c r="S10" i="22"/>
  <c r="P56" i="28"/>
  <c r="S27" i="22"/>
  <c r="N14" i="23"/>
  <c r="Q27" i="20"/>
  <c r="Q21" i="33"/>
  <c r="Q17" i="29"/>
  <c r="Q35" i="33"/>
  <c r="T15" i="28"/>
  <c r="T49" i="26"/>
  <c r="N56" i="28"/>
  <c r="P35" i="33"/>
  <c r="R69" i="26"/>
  <c r="S19" i="25"/>
  <c r="S14" i="22"/>
  <c r="S12" i="22"/>
  <c r="Q57" i="27"/>
  <c r="T35" i="33"/>
  <c r="T56" i="28"/>
  <c r="T17" i="22"/>
  <c r="N27" i="22"/>
  <c r="N57" i="27"/>
  <c r="M37" i="22"/>
  <c r="S67" i="26"/>
  <c r="T67" i="26"/>
  <c r="Q27" i="22"/>
  <c r="T15" i="33"/>
  <c r="N18" i="23"/>
  <c r="R37" i="22"/>
  <c r="S37" i="22" s="1"/>
  <c r="Q56" i="28"/>
  <c r="Q19" i="21"/>
  <c r="T19" i="21"/>
  <c r="M25" i="21"/>
  <c r="T27" i="22"/>
  <c r="T65" i="25"/>
  <c r="Q67" i="26"/>
  <c r="N46" i="2"/>
  <c r="T25" i="2"/>
  <c r="Q48" i="2"/>
  <c r="M27" i="2"/>
  <c r="N30" i="2"/>
  <c r="N48" i="2"/>
  <c r="T19" i="2"/>
  <c r="N18" i="2"/>
  <c r="N10" i="33"/>
  <c r="Q19" i="25"/>
  <c r="R23" i="28"/>
  <c r="M23" i="28"/>
  <c r="Q18" i="28"/>
  <c r="T18" i="28"/>
  <c r="N18" i="28"/>
  <c r="O23" i="28"/>
  <c r="O23" i="27"/>
  <c r="P18" i="27"/>
  <c r="O22" i="26"/>
  <c r="P17" i="26"/>
  <c r="Q22" i="25"/>
  <c r="T22" i="25"/>
  <c r="M27" i="25"/>
  <c r="S22" i="26"/>
  <c r="M63" i="21"/>
  <c r="Q58" i="21"/>
  <c r="I40" i="2"/>
  <c r="I50" i="2" s="1"/>
  <c r="S73" i="20" l="1"/>
  <c r="S48" i="20"/>
  <c r="T52" i="2"/>
  <c r="Q52" i="2"/>
  <c r="S68" i="20"/>
  <c r="S12" i="20"/>
  <c r="S30" i="20"/>
  <c r="S29" i="20"/>
  <c r="O86" i="20"/>
  <c r="P86" i="20" s="1"/>
  <c r="S79" i="20"/>
  <c r="S13" i="20"/>
  <c r="S17" i="20"/>
  <c r="S60" i="20"/>
  <c r="N27" i="20"/>
  <c r="T13" i="2"/>
  <c r="Q27" i="2"/>
  <c r="T18" i="27"/>
  <c r="P16" i="20"/>
  <c r="P83" i="20"/>
  <c r="P61" i="20"/>
  <c r="P41" i="20"/>
  <c r="P46" i="20"/>
  <c r="P26" i="20"/>
  <c r="S25" i="20"/>
  <c r="S64" i="20"/>
  <c r="S57" i="20"/>
  <c r="S24" i="20"/>
  <c r="S83" i="20"/>
  <c r="S15" i="20"/>
  <c r="S84" i="20"/>
  <c r="P69" i="26"/>
  <c r="S81" i="20"/>
  <c r="P11" i="20"/>
  <c r="S61" i="20"/>
  <c r="S51" i="20"/>
  <c r="S44" i="20"/>
  <c r="P24" i="20"/>
  <c r="S37" i="20"/>
  <c r="S41" i="20"/>
  <c r="P49" i="20"/>
  <c r="S36" i="20"/>
  <c r="S65" i="20"/>
  <c r="S31" i="20"/>
  <c r="O106" i="21"/>
  <c r="S28" i="20"/>
  <c r="T17" i="21"/>
  <c r="P82" i="20"/>
  <c r="S42" i="20"/>
  <c r="S11" i="20"/>
  <c r="S27" i="25"/>
  <c r="S27" i="2"/>
  <c r="P14" i="20"/>
  <c r="S24" i="23"/>
  <c r="P78" i="20"/>
  <c r="P74" i="20"/>
  <c r="P63" i="20"/>
  <c r="P76" i="20"/>
  <c r="P50" i="20"/>
  <c r="P29" i="20"/>
  <c r="P67" i="20"/>
  <c r="P59" i="20"/>
  <c r="P36" i="20"/>
  <c r="P48" i="20"/>
  <c r="P22" i="20"/>
  <c r="P39" i="20"/>
  <c r="P13" i="20"/>
  <c r="P57" i="20"/>
  <c r="R35" i="21"/>
  <c r="S56" i="21" s="1"/>
  <c r="P44" i="20"/>
  <c r="P45" i="20"/>
  <c r="P27" i="20"/>
  <c r="P51" i="20"/>
  <c r="P66" i="20"/>
  <c r="P37" i="20"/>
  <c r="P71" i="20"/>
  <c r="P25" i="20"/>
  <c r="P68" i="20"/>
  <c r="P20" i="20"/>
  <c r="P58" i="20"/>
  <c r="P77" i="20"/>
  <c r="P80" i="20"/>
  <c r="P21" i="20"/>
  <c r="P35" i="20"/>
  <c r="P40" i="20"/>
  <c r="P53" i="20"/>
  <c r="P47" i="20"/>
  <c r="P28" i="20"/>
  <c r="P64" i="20"/>
  <c r="P17" i="20"/>
  <c r="P75" i="20"/>
  <c r="P69" i="20"/>
  <c r="P73" i="20"/>
  <c r="P42" i="20"/>
  <c r="P30" i="20"/>
  <c r="R67" i="25"/>
  <c r="P52" i="20"/>
  <c r="P62" i="20"/>
  <c r="P43" i="20"/>
  <c r="P56" i="20"/>
  <c r="P70" i="20"/>
  <c r="P60" i="20"/>
  <c r="P27" i="2"/>
  <c r="P23" i="20"/>
  <c r="P65" i="20"/>
  <c r="P15" i="20"/>
  <c r="P81" i="20"/>
  <c r="O40" i="2"/>
  <c r="P40" i="2" s="1"/>
  <c r="P84" i="20"/>
  <c r="P72" i="20"/>
  <c r="P31" i="20"/>
  <c r="P12" i="20"/>
  <c r="N24" i="23"/>
  <c r="T24" i="23"/>
  <c r="P37" i="22"/>
  <c r="S72" i="20"/>
  <c r="S53" i="20"/>
  <c r="S50" i="20"/>
  <c r="Q13" i="2"/>
  <c r="P37" i="2"/>
  <c r="S82" i="20"/>
  <c r="S78" i="20"/>
  <c r="S45" i="20"/>
  <c r="S62" i="20"/>
  <c r="S59" i="20"/>
  <c r="S35" i="20"/>
  <c r="S47" i="20"/>
  <c r="S43" i="20"/>
  <c r="S14" i="20"/>
  <c r="S26" i="20"/>
  <c r="S27" i="20"/>
  <c r="Q17" i="21"/>
  <c r="S77" i="20"/>
  <c r="N39" i="20"/>
  <c r="S70" i="20"/>
  <c r="S16" i="20"/>
  <c r="S22" i="20"/>
  <c r="S21" i="20"/>
  <c r="S52" i="20"/>
  <c r="O35" i="21"/>
  <c r="P24" i="23"/>
  <c r="N61" i="20"/>
  <c r="S67" i="20"/>
  <c r="S71" i="20"/>
  <c r="S74" i="20"/>
  <c r="S69" i="20"/>
  <c r="S23" i="20"/>
  <c r="S63" i="20"/>
  <c r="S46" i="20"/>
  <c r="S58" i="20"/>
  <c r="S20" i="20"/>
  <c r="S49" i="20"/>
  <c r="S75" i="20"/>
  <c r="Q24" i="23"/>
  <c r="S76" i="20"/>
  <c r="S40" i="20"/>
  <c r="S66" i="20"/>
  <c r="S80" i="20"/>
  <c r="S56" i="20"/>
  <c r="N69" i="26"/>
  <c r="M70" i="26"/>
  <c r="O70" i="26"/>
  <c r="P70" i="26" s="1"/>
  <c r="N45" i="20"/>
  <c r="N23" i="20"/>
  <c r="N82" i="20"/>
  <c r="N71" i="20"/>
  <c r="T58" i="21"/>
  <c r="Q17" i="26"/>
  <c r="M37" i="2"/>
  <c r="T48" i="20"/>
  <c r="N80" i="20"/>
  <c r="N69" i="20"/>
  <c r="M53" i="20"/>
  <c r="Q53" i="20" s="1"/>
  <c r="T17" i="26"/>
  <c r="N43" i="20"/>
  <c r="N78" i="20"/>
  <c r="N17" i="26"/>
  <c r="N46" i="20"/>
  <c r="O68" i="25"/>
  <c r="P68" i="25" s="1"/>
  <c r="N12" i="20"/>
  <c r="N26" i="20"/>
  <c r="N68" i="20"/>
  <c r="N21" i="20"/>
  <c r="N77" i="20"/>
  <c r="N24" i="20"/>
  <c r="N11" i="20"/>
  <c r="P67" i="25"/>
  <c r="Q18" i="27"/>
  <c r="N25" i="20"/>
  <c r="N72" i="20"/>
  <c r="N37" i="33"/>
  <c r="N27" i="2"/>
  <c r="R23" i="27"/>
  <c r="R59" i="27" s="1"/>
  <c r="T27" i="2"/>
  <c r="N40" i="20"/>
  <c r="N51" i="20"/>
  <c r="N64" i="20"/>
  <c r="N81" i="20"/>
  <c r="N83" i="20"/>
  <c r="N47" i="20"/>
  <c r="N44" i="20"/>
  <c r="N31" i="20"/>
  <c r="N66" i="20"/>
  <c r="N30" i="20"/>
  <c r="N65" i="20"/>
  <c r="N60" i="20"/>
  <c r="N36" i="20"/>
  <c r="Q37" i="33"/>
  <c r="T31" i="20"/>
  <c r="N58" i="20"/>
  <c r="N22" i="20"/>
  <c r="N67" i="20"/>
  <c r="N48" i="20"/>
  <c r="M23" i="27"/>
  <c r="N63" i="20"/>
  <c r="N28" i="20"/>
  <c r="Q44" i="21"/>
  <c r="N17" i="20"/>
  <c r="N73" i="20"/>
  <c r="N15" i="20"/>
  <c r="N42" i="20"/>
  <c r="N74" i="20"/>
  <c r="Q69" i="26"/>
  <c r="N75" i="20"/>
  <c r="N59" i="20"/>
  <c r="N16" i="20"/>
  <c r="N52" i="20"/>
  <c r="N56" i="20"/>
  <c r="N62" i="20"/>
  <c r="N13" i="20"/>
  <c r="N41" i="20"/>
  <c r="N70" i="20"/>
  <c r="N18" i="27"/>
  <c r="N14" i="20"/>
  <c r="N57" i="20"/>
  <c r="S37" i="33"/>
  <c r="T37" i="22"/>
  <c r="Q31" i="20"/>
  <c r="N20" i="20"/>
  <c r="N37" i="20"/>
  <c r="N49" i="20"/>
  <c r="N79" i="20"/>
  <c r="N35" i="20"/>
  <c r="N29" i="20"/>
  <c r="N76" i="20"/>
  <c r="N50" i="20"/>
  <c r="T44" i="21"/>
  <c r="R39" i="22"/>
  <c r="S39" i="22" s="1"/>
  <c r="T37" i="33"/>
  <c r="P37" i="33"/>
  <c r="N37" i="22"/>
  <c r="T25" i="21"/>
  <c r="Q25" i="21"/>
  <c r="N40" i="21"/>
  <c r="M27" i="21"/>
  <c r="Q37" i="22"/>
  <c r="S90" i="21"/>
  <c r="S69" i="26"/>
  <c r="R70" i="26"/>
  <c r="S70" i="26" s="1"/>
  <c r="O58" i="28"/>
  <c r="M39" i="22"/>
  <c r="T69" i="26"/>
  <c r="R87" i="20"/>
  <c r="S87" i="20" s="1"/>
  <c r="R58" i="28"/>
  <c r="P23" i="28"/>
  <c r="S86" i="20"/>
  <c r="O59" i="27"/>
  <c r="P23" i="27"/>
  <c r="N23" i="28"/>
  <c r="T23" i="28"/>
  <c r="Q23" i="28"/>
  <c r="M58" i="28"/>
  <c r="S23" i="28"/>
  <c r="R40" i="2"/>
  <c r="S37" i="2"/>
  <c r="T27" i="25"/>
  <c r="Q27" i="25"/>
  <c r="M67" i="25"/>
  <c r="T63" i="21"/>
  <c r="Q63" i="21"/>
  <c r="M106" i="21"/>
  <c r="N22" i="26"/>
  <c r="Q22" i="26"/>
  <c r="T22" i="26"/>
  <c r="P22" i="26"/>
  <c r="I53" i="2"/>
  <c r="S96" i="21" l="1"/>
  <c r="S21" i="21"/>
  <c r="S106" i="21"/>
  <c r="S63" i="21"/>
  <c r="O87" i="20"/>
  <c r="P87" i="20" s="1"/>
  <c r="S100" i="21"/>
  <c r="S74" i="21"/>
  <c r="S61" i="21"/>
  <c r="S24" i="21"/>
  <c r="S44" i="21"/>
  <c r="S31" i="21"/>
  <c r="S89" i="21"/>
  <c r="S82" i="21"/>
  <c r="S101" i="21"/>
  <c r="P72" i="21"/>
  <c r="O50" i="2"/>
  <c r="P97" i="21"/>
  <c r="P25" i="21"/>
  <c r="P71" i="21"/>
  <c r="P23" i="21"/>
  <c r="P17" i="21"/>
  <c r="P79" i="21"/>
  <c r="P94" i="21"/>
  <c r="Q70" i="26"/>
  <c r="P62" i="21"/>
  <c r="P90" i="21"/>
  <c r="P100" i="21"/>
  <c r="S67" i="21"/>
  <c r="S25" i="21"/>
  <c r="S11" i="21"/>
  <c r="P87" i="21"/>
  <c r="P14" i="21"/>
  <c r="S88" i="21"/>
  <c r="S78" i="21"/>
  <c r="S15" i="21"/>
  <c r="P83" i="21"/>
  <c r="P26" i="21"/>
  <c r="S58" i="21"/>
  <c r="S93" i="21"/>
  <c r="S52" i="21"/>
  <c r="P22" i="21"/>
  <c r="P93" i="21"/>
  <c r="S62" i="21"/>
  <c r="S68" i="21"/>
  <c r="S59" i="21"/>
  <c r="S103" i="21"/>
  <c r="S85" i="21"/>
  <c r="P30" i="21"/>
  <c r="S76" i="21"/>
  <c r="S97" i="21"/>
  <c r="S50" i="21"/>
  <c r="S81" i="21"/>
  <c r="S70" i="21"/>
  <c r="S14" i="21"/>
  <c r="S30" i="21"/>
  <c r="S55" i="21"/>
  <c r="S32" i="21"/>
  <c r="S92" i="21"/>
  <c r="P76" i="21"/>
  <c r="P13" i="21"/>
  <c r="S95" i="21"/>
  <c r="S87" i="21"/>
  <c r="S16" i="21"/>
  <c r="S99" i="21"/>
  <c r="S22" i="21"/>
  <c r="S77" i="21"/>
  <c r="S86" i="21"/>
  <c r="P80" i="21"/>
  <c r="P16" i="21"/>
  <c r="P89" i="21"/>
  <c r="S19" i="21"/>
  <c r="S29" i="21"/>
  <c r="S57" i="21"/>
  <c r="P99" i="21"/>
  <c r="P59" i="21"/>
  <c r="P15" i="21"/>
  <c r="P74" i="21"/>
  <c r="S94" i="21"/>
  <c r="S98" i="21"/>
  <c r="S17" i="21"/>
  <c r="S20" i="21"/>
  <c r="O46" i="21"/>
  <c r="O107" i="21" s="1"/>
  <c r="P107" i="21" s="1"/>
  <c r="N70" i="26"/>
  <c r="P35" i="21"/>
  <c r="T39" i="22"/>
  <c r="P67" i="21"/>
  <c r="P31" i="21"/>
  <c r="P53" i="21"/>
  <c r="P86" i="21"/>
  <c r="P24" i="21"/>
  <c r="S91" i="21"/>
  <c r="S13" i="21"/>
  <c r="S79" i="21"/>
  <c r="S60" i="21"/>
  <c r="S73" i="21"/>
  <c r="S67" i="25"/>
  <c r="S53" i="21"/>
  <c r="P88" i="21"/>
  <c r="P106" i="21"/>
  <c r="P56" i="21"/>
  <c r="P75" i="21"/>
  <c r="S33" i="21"/>
  <c r="S71" i="21"/>
  <c r="S35" i="21"/>
  <c r="P91" i="21"/>
  <c r="P58" i="21"/>
  <c r="P95" i="21"/>
  <c r="P32" i="21"/>
  <c r="P77" i="21"/>
  <c r="P20" i="21"/>
  <c r="P44" i="21"/>
  <c r="S12" i="21"/>
  <c r="S72" i="21"/>
  <c r="S66" i="21"/>
  <c r="S26" i="21"/>
  <c r="N53" i="20"/>
  <c r="R68" i="25"/>
  <c r="S68" i="25" s="1"/>
  <c r="R46" i="21"/>
  <c r="S46" i="21" s="1"/>
  <c r="P55" i="21"/>
  <c r="P70" i="21"/>
  <c r="P12" i="21"/>
  <c r="P96" i="21"/>
  <c r="P104" i="21"/>
  <c r="P63" i="21"/>
  <c r="P81" i="21"/>
  <c r="P98" i="21"/>
  <c r="S102" i="21"/>
  <c r="S80" i="21"/>
  <c r="S69" i="21"/>
  <c r="P33" i="21"/>
  <c r="P101" i="21"/>
  <c r="P57" i="21"/>
  <c r="P85" i="21"/>
  <c r="P82" i="21"/>
  <c r="S104" i="21"/>
  <c r="S83" i="21"/>
  <c r="S75" i="21"/>
  <c r="S84" i="21"/>
  <c r="S54" i="21"/>
  <c r="S23" i="21"/>
  <c r="S27" i="21"/>
  <c r="T37" i="2"/>
  <c r="P27" i="21"/>
  <c r="P19" i="21"/>
  <c r="P61" i="21"/>
  <c r="P103" i="21"/>
  <c r="P52" i="21"/>
  <c r="P69" i="21"/>
  <c r="P78" i="21"/>
  <c r="P66" i="21"/>
  <c r="P60" i="21"/>
  <c r="P29" i="21"/>
  <c r="P54" i="21"/>
  <c r="P102" i="21"/>
  <c r="P50" i="21"/>
  <c r="N23" i="27"/>
  <c r="P84" i="21"/>
  <c r="P92" i="21"/>
  <c r="P21" i="21"/>
  <c r="P11" i="21"/>
  <c r="P73" i="21"/>
  <c r="P68" i="21"/>
  <c r="S23" i="27"/>
  <c r="M59" i="27"/>
  <c r="M86" i="20"/>
  <c r="N86" i="20" s="1"/>
  <c r="T53" i="20"/>
  <c r="N37" i="2"/>
  <c r="Q37" i="2"/>
  <c r="M40" i="2"/>
  <c r="T40" i="2" s="1"/>
  <c r="Q23" i="27"/>
  <c r="T23" i="27"/>
  <c r="R60" i="27"/>
  <c r="S60" i="27" s="1"/>
  <c r="M35" i="21"/>
  <c r="N27" i="21" s="1"/>
  <c r="N41" i="21"/>
  <c r="Q27" i="21"/>
  <c r="T27" i="21"/>
  <c r="Q39" i="22"/>
  <c r="N39" i="22"/>
  <c r="P58" i="28"/>
  <c r="O59" i="28"/>
  <c r="P59" i="28" s="1"/>
  <c r="T70" i="26"/>
  <c r="S59" i="27"/>
  <c r="R59" i="28"/>
  <c r="S59" i="28" s="1"/>
  <c r="S58" i="28"/>
  <c r="P59" i="27"/>
  <c r="O60" i="27"/>
  <c r="P60" i="27" s="1"/>
  <c r="R50" i="2"/>
  <c r="S40" i="2"/>
  <c r="Q58" i="28"/>
  <c r="T58" i="28"/>
  <c r="M59" i="28"/>
  <c r="N58" i="28"/>
  <c r="Q67" i="25"/>
  <c r="T67" i="25"/>
  <c r="M68" i="25"/>
  <c r="T106" i="21"/>
  <c r="Q106" i="21"/>
  <c r="P50" i="2" l="1"/>
  <c r="O53" i="2"/>
  <c r="P46" i="21"/>
  <c r="N40" i="2"/>
  <c r="R107" i="21"/>
  <c r="S107" i="21" s="1"/>
  <c r="Q86" i="20"/>
  <c r="M50" i="2"/>
  <c r="Q59" i="27"/>
  <c r="M60" i="27"/>
  <c r="Q60" i="27" s="1"/>
  <c r="Q40" i="2"/>
  <c r="N59" i="27"/>
  <c r="T59" i="27"/>
  <c r="M87" i="20"/>
  <c r="Q87" i="20" s="1"/>
  <c r="T86" i="20"/>
  <c r="N44" i="21"/>
  <c r="N73" i="21"/>
  <c r="N85" i="21"/>
  <c r="N32" i="21"/>
  <c r="N91" i="21"/>
  <c r="N33" i="21"/>
  <c r="N35" i="21"/>
  <c r="N94" i="21"/>
  <c r="N80" i="21"/>
  <c r="N56" i="21"/>
  <c r="N30" i="21"/>
  <c r="N61" i="21"/>
  <c r="N29" i="21"/>
  <c r="N19" i="21"/>
  <c r="N52" i="21"/>
  <c r="N68" i="21"/>
  <c r="N60" i="21"/>
  <c r="N101" i="21"/>
  <c r="N97" i="21"/>
  <c r="N100" i="21"/>
  <c r="N78" i="21"/>
  <c r="N67" i="21"/>
  <c r="N15" i="21"/>
  <c r="N90" i="21"/>
  <c r="N79" i="21"/>
  <c r="N104" i="21"/>
  <c r="N71" i="21"/>
  <c r="N75" i="21"/>
  <c r="N16" i="21"/>
  <c r="N89" i="21"/>
  <c r="N59" i="21"/>
  <c r="N81" i="21"/>
  <c r="N62" i="21"/>
  <c r="N50" i="21"/>
  <c r="N99" i="21"/>
  <c r="N74" i="21"/>
  <c r="N102" i="21"/>
  <c r="N53" i="21"/>
  <c r="N58" i="21"/>
  <c r="N20" i="21"/>
  <c r="N12" i="21"/>
  <c r="N22" i="21"/>
  <c r="N86" i="21"/>
  <c r="N77" i="21"/>
  <c r="N83" i="21"/>
  <c r="N23" i="21"/>
  <c r="N11" i="21"/>
  <c r="N21" i="21"/>
  <c r="N25" i="21"/>
  <c r="N72" i="21"/>
  <c r="N55" i="21"/>
  <c r="N14" i="21"/>
  <c r="N88" i="21"/>
  <c r="N31" i="21"/>
  <c r="N98" i="21"/>
  <c r="N57" i="21"/>
  <c r="N54" i="21"/>
  <c r="N26" i="21"/>
  <c r="N96" i="21"/>
  <c r="N13" i="21"/>
  <c r="N87" i="21"/>
  <c r="N66" i="21"/>
  <c r="N92" i="21"/>
  <c r="N24" i="21"/>
  <c r="N95" i="21"/>
  <c r="N103" i="21"/>
  <c r="N70" i="21"/>
  <c r="N17" i="21"/>
  <c r="N93" i="21"/>
  <c r="N69" i="21"/>
  <c r="N84" i="21"/>
  <c r="N82" i="21"/>
  <c r="N76" i="21"/>
  <c r="M46" i="21"/>
  <c r="N63" i="21"/>
  <c r="T35" i="21"/>
  <c r="Q35" i="21"/>
  <c r="N106" i="21"/>
  <c r="R53" i="2"/>
  <c r="S50" i="2"/>
  <c r="N59" i="28"/>
  <c r="T59" i="28"/>
  <c r="Q59" i="28"/>
  <c r="P53" i="2"/>
  <c r="T68" i="25"/>
  <c r="Q68" i="25"/>
  <c r="M53" i="2" l="1"/>
  <c r="T50" i="2"/>
  <c r="T60" i="27"/>
  <c r="Q50" i="2"/>
  <c r="N50" i="2"/>
  <c r="T87" i="20"/>
  <c r="N87" i="20"/>
  <c r="N60" i="27"/>
  <c r="N46" i="21"/>
  <c r="T46" i="21"/>
  <c r="Q46" i="21"/>
  <c r="M107" i="21"/>
  <c r="S53" i="2"/>
  <c r="T53" i="2" l="1"/>
  <c r="Q53" i="2"/>
  <c r="N53" i="2"/>
  <c r="T107" i="21"/>
  <c r="N107" i="21"/>
  <c r="Q107" i="21"/>
  <c r="F19" i="2"/>
  <c r="F52" i="2" s="1"/>
  <c r="F35" i="2" l="1"/>
  <c r="F25" i="2"/>
  <c r="F27" i="2" s="1"/>
  <c r="F11" i="2"/>
  <c r="F12" i="2"/>
  <c r="F48" i="2"/>
  <c r="F37" i="2" l="1"/>
  <c r="F13" i="2"/>
  <c r="F40" i="2" l="1"/>
  <c r="F50" i="2" s="1"/>
  <c r="F53" i="2" l="1"/>
  <c r="H18" i="2" l="1"/>
  <c r="K17" i="2"/>
  <c r="D25" i="2" l="1"/>
  <c r="D11" i="2"/>
  <c r="E24" i="2"/>
  <c r="D12" i="2"/>
  <c r="D35" i="2"/>
  <c r="D19" i="2"/>
  <c r="D52" i="2" s="1"/>
  <c r="D48" i="2"/>
  <c r="C3" i="33"/>
  <c r="C2" i="33"/>
  <c r="D27" i="2" l="1"/>
  <c r="D37" i="2" s="1"/>
  <c r="N15" i="25"/>
  <c r="N54" i="25"/>
  <c r="N23" i="25"/>
  <c r="N59" i="25"/>
  <c r="N38" i="25"/>
  <c r="N44" i="25"/>
  <c r="N14" i="25"/>
  <c r="N16" i="25"/>
  <c r="N30" i="25"/>
  <c r="N56" i="25"/>
  <c r="N49" i="25"/>
  <c r="N37" i="25"/>
  <c r="N46" i="25"/>
  <c r="N17" i="25"/>
  <c r="N32" i="25"/>
  <c r="N63" i="25"/>
  <c r="N25" i="25"/>
  <c r="N62" i="25"/>
  <c r="N61" i="25"/>
  <c r="N53" i="25"/>
  <c r="N58" i="25"/>
  <c r="N48" i="25"/>
  <c r="E25" i="26"/>
  <c r="N41" i="25"/>
  <c r="N13" i="25"/>
  <c r="N20" i="25"/>
  <c r="N51" i="25"/>
  <c r="N40" i="25"/>
  <c r="N34" i="25"/>
  <c r="N36" i="25"/>
  <c r="N35" i="25"/>
  <c r="N26" i="25"/>
  <c r="N39" i="25"/>
  <c r="N64" i="25"/>
  <c r="N50" i="25"/>
  <c r="N11" i="25"/>
  <c r="N43" i="25"/>
  <c r="N18" i="25"/>
  <c r="N21" i="25"/>
  <c r="N47" i="25"/>
  <c r="N55" i="25"/>
  <c r="N52" i="25"/>
  <c r="N57" i="25"/>
  <c r="N45" i="25"/>
  <c r="N60" i="25"/>
  <c r="N31" i="25"/>
  <c r="N24" i="25"/>
  <c r="N42" i="25"/>
  <c r="N33" i="25"/>
  <c r="N19" i="25"/>
  <c r="N65" i="25"/>
  <c r="N22" i="25"/>
  <c r="N27" i="25"/>
  <c r="N67" i="25"/>
  <c r="N68" i="25"/>
  <c r="D13" i="2"/>
  <c r="C3" i="30"/>
  <c r="C2" i="30"/>
  <c r="C3" i="29"/>
  <c r="C2" i="29"/>
  <c r="C3" i="28"/>
  <c r="C2" i="28"/>
  <c r="D40" i="2" l="1"/>
  <c r="D50" i="2" s="1"/>
  <c r="C3" i="27"/>
  <c r="C2" i="27"/>
  <c r="D53" i="2" l="1"/>
  <c r="C3" i="26"/>
  <c r="C2" i="26"/>
  <c r="C3" i="25" l="1"/>
  <c r="C2" i="25"/>
  <c r="I19" i="25" l="1"/>
  <c r="I22" i="25" s="1"/>
  <c r="F17" i="26"/>
  <c r="F22" i="26" s="1"/>
  <c r="I17" i="21"/>
  <c r="J39" i="21" s="1"/>
  <c r="F17" i="21"/>
  <c r="G39" i="21" s="1"/>
  <c r="F25" i="21"/>
  <c r="I25" i="21"/>
  <c r="I15" i="28"/>
  <c r="F15" i="28"/>
  <c r="F54" i="21"/>
  <c r="I54" i="21"/>
  <c r="I11" i="33"/>
  <c r="I15" i="33"/>
  <c r="F15" i="33"/>
  <c r="I70" i="26"/>
  <c r="F70" i="26"/>
  <c r="K14" i="33"/>
  <c r="K32" i="33"/>
  <c r="K19" i="33"/>
  <c r="K26" i="33"/>
  <c r="I27" i="33"/>
  <c r="K25" i="33"/>
  <c r="K30" i="33"/>
  <c r="K33" i="33"/>
  <c r="K31" i="33"/>
  <c r="I21" i="33"/>
  <c r="K18" i="33"/>
  <c r="K20" i="33"/>
  <c r="K34" i="33"/>
  <c r="K24" i="33"/>
  <c r="I35" i="33"/>
  <c r="K10" i="33"/>
  <c r="F11" i="33"/>
  <c r="K23" i="33"/>
  <c r="F27" i="33"/>
  <c r="F21" i="33"/>
  <c r="K17" i="33"/>
  <c r="K13" i="33"/>
  <c r="F35" i="33"/>
  <c r="K29" i="33"/>
  <c r="F62" i="21"/>
  <c r="I41" i="21"/>
  <c r="I33" i="21"/>
  <c r="J43" i="21" s="1"/>
  <c r="F33" i="21"/>
  <c r="F104" i="21"/>
  <c r="F41" i="21"/>
  <c r="I62" i="21"/>
  <c r="I104" i="21"/>
  <c r="I22" i="28"/>
  <c r="F56" i="28"/>
  <c r="F13" i="30"/>
  <c r="I56" i="28"/>
  <c r="F22" i="27"/>
  <c r="I17" i="29"/>
  <c r="F14" i="27"/>
  <c r="I57" i="27"/>
  <c r="F22" i="28"/>
  <c r="I14" i="27"/>
  <c r="F57" i="27"/>
  <c r="I22" i="27"/>
  <c r="F17" i="29"/>
  <c r="I13" i="30"/>
  <c r="I65" i="25"/>
  <c r="I26" i="25"/>
  <c r="F19" i="25"/>
  <c r="F22" i="25" s="1"/>
  <c r="F26" i="25"/>
  <c r="F65" i="25"/>
  <c r="I22" i="23"/>
  <c r="F22" i="23"/>
  <c r="F24" i="23" l="1"/>
  <c r="I24" i="23"/>
  <c r="J15" i="23"/>
  <c r="J20" i="23"/>
  <c r="G10" i="23"/>
  <c r="G20" i="23"/>
  <c r="K35" i="33"/>
  <c r="K15" i="33"/>
  <c r="K27" i="33"/>
  <c r="I37" i="33"/>
  <c r="K21" i="33"/>
  <c r="K11" i="33"/>
  <c r="F37" i="33"/>
  <c r="G40" i="21"/>
  <c r="J40" i="21"/>
  <c r="G43" i="21"/>
  <c r="F44" i="21"/>
  <c r="I58" i="21"/>
  <c r="I63" i="21" s="1"/>
  <c r="F58" i="21"/>
  <c r="I44" i="21"/>
  <c r="I27" i="21"/>
  <c r="J41" i="21" s="1"/>
  <c r="F27" i="21"/>
  <c r="F35" i="21" s="1"/>
  <c r="F18" i="27"/>
  <c r="I18" i="28"/>
  <c r="I23" i="28" s="1"/>
  <c r="I18" i="27"/>
  <c r="F27" i="25"/>
  <c r="I27" i="25"/>
  <c r="J21" i="23"/>
  <c r="J22" i="23"/>
  <c r="J12" i="23"/>
  <c r="J14" i="23"/>
  <c r="J18" i="23"/>
  <c r="J11" i="23"/>
  <c r="J10" i="23"/>
  <c r="J16" i="23"/>
  <c r="J19" i="23"/>
  <c r="J17" i="23"/>
  <c r="J13" i="23"/>
  <c r="G14" i="23"/>
  <c r="G16" i="23"/>
  <c r="G15" i="23"/>
  <c r="G22" i="23"/>
  <c r="G18" i="23"/>
  <c r="G13" i="23"/>
  <c r="G21" i="23"/>
  <c r="G19" i="23"/>
  <c r="G11" i="23"/>
  <c r="G12" i="23"/>
  <c r="G17" i="23"/>
  <c r="C3" i="23"/>
  <c r="C2" i="23"/>
  <c r="C3" i="22"/>
  <c r="C2" i="22"/>
  <c r="C3" i="21"/>
  <c r="C2" i="21"/>
  <c r="G24" i="23" l="1"/>
  <c r="J24" i="23"/>
  <c r="G52" i="21"/>
  <c r="I106" i="21"/>
  <c r="I67" i="25"/>
  <c r="F67" i="25"/>
  <c r="K37" i="33"/>
  <c r="G104" i="21"/>
  <c r="G54" i="21"/>
  <c r="G33" i="21"/>
  <c r="G26" i="21"/>
  <c r="G62" i="21"/>
  <c r="G41" i="21"/>
  <c r="G44" i="21"/>
  <c r="G25" i="21"/>
  <c r="G17" i="21"/>
  <c r="G100" i="21"/>
  <c r="G93" i="21"/>
  <c r="G72" i="21"/>
  <c r="G32" i="21"/>
  <c r="G90" i="21"/>
  <c r="G60" i="21"/>
  <c r="G50" i="21"/>
  <c r="G81" i="21"/>
  <c r="G23" i="21"/>
  <c r="G94" i="21"/>
  <c r="G68" i="21"/>
  <c r="G15" i="21"/>
  <c r="G69" i="21"/>
  <c r="G31" i="21"/>
  <c r="G89" i="21"/>
  <c r="G12" i="21"/>
  <c r="G85" i="21"/>
  <c r="G96" i="21"/>
  <c r="G97" i="21"/>
  <c r="G55" i="21"/>
  <c r="G77" i="21"/>
  <c r="G13" i="21"/>
  <c r="G98" i="21"/>
  <c r="G95" i="21"/>
  <c r="G78" i="21"/>
  <c r="G67" i="21"/>
  <c r="G76" i="21"/>
  <c r="G99" i="21"/>
  <c r="G87" i="21"/>
  <c r="G88" i="21"/>
  <c r="G103" i="21"/>
  <c r="G80" i="21"/>
  <c r="G83" i="21"/>
  <c r="G53" i="21"/>
  <c r="G22" i="21"/>
  <c r="G61" i="21"/>
  <c r="G92" i="21"/>
  <c r="G20" i="21"/>
  <c r="G56" i="21"/>
  <c r="G91" i="21"/>
  <c r="G16" i="21"/>
  <c r="G71" i="21"/>
  <c r="G30" i="21"/>
  <c r="G79" i="21"/>
  <c r="G29" i="21"/>
  <c r="G19" i="21"/>
  <c r="G57" i="21"/>
  <c r="G70" i="21"/>
  <c r="G74" i="21"/>
  <c r="G11" i="21"/>
  <c r="G84" i="21"/>
  <c r="G14" i="21"/>
  <c r="G73" i="21"/>
  <c r="G102" i="21"/>
  <c r="G59" i="21"/>
  <c r="G66" i="21"/>
  <c r="G21" i="21"/>
  <c r="G75" i="21"/>
  <c r="G101" i="21"/>
  <c r="G24" i="21"/>
  <c r="G86" i="21"/>
  <c r="G82" i="21"/>
  <c r="I35" i="21"/>
  <c r="F63" i="21"/>
  <c r="G58" i="21"/>
  <c r="G27" i="21"/>
  <c r="F46" i="21"/>
  <c r="G35" i="21"/>
  <c r="I58" i="28"/>
  <c r="I23" i="27"/>
  <c r="F23" i="27"/>
  <c r="C3" i="20"/>
  <c r="C2" i="20"/>
  <c r="J52" i="21" l="1"/>
  <c r="I68" i="25"/>
  <c r="F106" i="21"/>
  <c r="F68" i="25"/>
  <c r="J26" i="21"/>
  <c r="J27" i="21"/>
  <c r="J84" i="21"/>
  <c r="J67" i="21"/>
  <c r="J102" i="21"/>
  <c r="J86" i="21"/>
  <c r="J97" i="21"/>
  <c r="J76" i="21"/>
  <c r="J82" i="21"/>
  <c r="J103" i="21"/>
  <c r="J77" i="21"/>
  <c r="J100" i="21"/>
  <c r="J98" i="21"/>
  <c r="J87" i="21"/>
  <c r="J16" i="21"/>
  <c r="J73" i="21"/>
  <c r="J92" i="21"/>
  <c r="J50" i="21"/>
  <c r="J94" i="21"/>
  <c r="J80" i="21"/>
  <c r="J15" i="21"/>
  <c r="J74" i="21"/>
  <c r="J13" i="21"/>
  <c r="J81" i="21"/>
  <c r="J60" i="21"/>
  <c r="J90" i="21"/>
  <c r="J56" i="21"/>
  <c r="J21" i="21"/>
  <c r="J71" i="21"/>
  <c r="J96" i="21"/>
  <c r="J75" i="21"/>
  <c r="J12" i="21"/>
  <c r="J70" i="21"/>
  <c r="J32" i="21"/>
  <c r="J83" i="21"/>
  <c r="J89" i="21"/>
  <c r="J78" i="21"/>
  <c r="J29" i="21"/>
  <c r="J59" i="21"/>
  <c r="J55" i="21"/>
  <c r="J85" i="21"/>
  <c r="J72" i="21"/>
  <c r="J91" i="21"/>
  <c r="J95" i="21"/>
  <c r="J61" i="21"/>
  <c r="J14" i="21"/>
  <c r="J53" i="21"/>
  <c r="J24" i="21"/>
  <c r="J31" i="21"/>
  <c r="J93" i="21"/>
  <c r="J57" i="21"/>
  <c r="J20" i="21"/>
  <c r="J11" i="21"/>
  <c r="J19" i="21"/>
  <c r="J30" i="21"/>
  <c r="J22" i="21"/>
  <c r="J88" i="21"/>
  <c r="J79" i="21"/>
  <c r="J99" i="21"/>
  <c r="J23" i="21"/>
  <c r="J66" i="21"/>
  <c r="J101" i="21"/>
  <c r="J69" i="21"/>
  <c r="J68" i="21"/>
  <c r="J104" i="21"/>
  <c r="J17" i="21"/>
  <c r="J33" i="21"/>
  <c r="J25" i="21"/>
  <c r="J62" i="21"/>
  <c r="J54" i="21"/>
  <c r="J106" i="21"/>
  <c r="J63" i="21"/>
  <c r="J44" i="21"/>
  <c r="G46" i="21"/>
  <c r="G63" i="21"/>
  <c r="J58" i="21"/>
  <c r="I46" i="21"/>
  <c r="J35" i="21"/>
  <c r="I59" i="27"/>
  <c r="F59" i="27"/>
  <c r="I59" i="28"/>
  <c r="F27" i="20" l="1"/>
  <c r="I27" i="20"/>
  <c r="F44" i="20"/>
  <c r="I44" i="20"/>
  <c r="F107" i="21"/>
  <c r="G107" i="21" s="1"/>
  <c r="I84" i="20"/>
  <c r="F84" i="20"/>
  <c r="G106" i="21"/>
  <c r="J46" i="21"/>
  <c r="I107" i="21"/>
  <c r="J107" i="21" s="1"/>
  <c r="I60" i="27"/>
  <c r="F60" i="27"/>
  <c r="J26" i="22"/>
  <c r="G23" i="2"/>
  <c r="G36" i="22"/>
  <c r="G21" i="22"/>
  <c r="G32" i="22"/>
  <c r="J22" i="22"/>
  <c r="G25" i="22"/>
  <c r="J24" i="22"/>
  <c r="G23" i="22"/>
  <c r="G24" i="22"/>
  <c r="G22" i="22"/>
  <c r="J25" i="22"/>
  <c r="J24" i="2"/>
  <c r="J23" i="2"/>
  <c r="J21" i="22"/>
  <c r="G26" i="22"/>
  <c r="J36" i="22"/>
  <c r="G24" i="2"/>
  <c r="G35" i="22"/>
  <c r="J23" i="22"/>
  <c r="G22" i="2"/>
  <c r="G20" i="22"/>
  <c r="F27" i="22"/>
  <c r="G34" i="22"/>
  <c r="F17" i="22"/>
  <c r="G30" i="22"/>
  <c r="I17" i="22"/>
  <c r="J30" i="22"/>
  <c r="J31" i="22"/>
  <c r="G33" i="22"/>
  <c r="I27" i="22"/>
  <c r="J20" i="22"/>
  <c r="G31" i="22"/>
  <c r="J22" i="2"/>
  <c r="J32" i="22"/>
  <c r="J33" i="22"/>
  <c r="I17" i="20"/>
  <c r="I52" i="20"/>
  <c r="F52" i="20"/>
  <c r="F17" i="20"/>
  <c r="I31" i="20" l="1"/>
  <c r="H32" i="25"/>
  <c r="K34" i="25"/>
  <c r="H15" i="20"/>
  <c r="K25" i="20"/>
  <c r="H13" i="20"/>
  <c r="K20" i="21"/>
  <c r="K26" i="21"/>
  <c r="H77" i="20"/>
  <c r="H45" i="20"/>
  <c r="K23" i="22"/>
  <c r="K11" i="25"/>
  <c r="K15" i="21"/>
  <c r="K23" i="21"/>
  <c r="H71" i="20"/>
  <c r="H31" i="21"/>
  <c r="H47" i="20"/>
  <c r="H78" i="20"/>
  <c r="H20" i="20"/>
  <c r="K28" i="20"/>
  <c r="K29" i="20"/>
  <c r="H11" i="20"/>
  <c r="K12" i="20"/>
  <c r="H62" i="20"/>
  <c r="K24" i="20"/>
  <c r="H86" i="21"/>
  <c r="H14" i="23"/>
  <c r="K79" i="20"/>
  <c r="K68" i="20"/>
  <c r="K51" i="20"/>
  <c r="K13" i="25"/>
  <c r="K43" i="20"/>
  <c r="K35" i="20"/>
  <c r="K39" i="20"/>
  <c r="K36" i="20"/>
  <c r="H50" i="20"/>
  <c r="K55" i="21"/>
  <c r="K66" i="26"/>
  <c r="H53" i="21"/>
  <c r="H55" i="27"/>
  <c r="H40" i="21"/>
  <c r="K30" i="20"/>
  <c r="H22" i="22"/>
  <c r="H80" i="20"/>
  <c r="K20" i="22"/>
  <c r="H59" i="20"/>
  <c r="H82" i="20"/>
  <c r="H57" i="20"/>
  <c r="K16" i="23"/>
  <c r="K81" i="20"/>
  <c r="K40" i="20"/>
  <c r="H14" i="25"/>
  <c r="H37" i="20"/>
  <c r="H69" i="20"/>
  <c r="K16" i="22"/>
  <c r="K12" i="21"/>
  <c r="K69" i="21"/>
  <c r="H100" i="21"/>
  <c r="H65" i="20"/>
  <c r="H26" i="22"/>
  <c r="K70" i="20"/>
  <c r="K33" i="28"/>
  <c r="K21" i="20"/>
  <c r="H13" i="23"/>
  <c r="K19" i="26"/>
  <c r="K102" i="21"/>
  <c r="H76" i="20"/>
  <c r="H32" i="21"/>
  <c r="K83" i="21"/>
  <c r="H63" i="20"/>
  <c r="K87" i="21"/>
  <c r="K10" i="23"/>
  <c r="K73" i="20"/>
  <c r="K60" i="20"/>
  <c r="K68" i="21"/>
  <c r="H10" i="22"/>
  <c r="K41" i="28"/>
  <c r="H24" i="22"/>
  <c r="K75" i="20"/>
  <c r="K74" i="20"/>
  <c r="H15" i="22"/>
  <c r="K64" i="26"/>
  <c r="H64" i="20"/>
  <c r="K16" i="25"/>
  <c r="H42" i="20"/>
  <c r="H34" i="27"/>
  <c r="K41" i="27"/>
  <c r="K11" i="29"/>
  <c r="K21" i="27"/>
  <c r="H81" i="21"/>
  <c r="H11" i="22"/>
  <c r="H67" i="20"/>
  <c r="H18" i="23"/>
  <c r="H83" i="20"/>
  <c r="K23" i="20"/>
  <c r="H50" i="28"/>
  <c r="H98" i="21"/>
  <c r="K57" i="21"/>
  <c r="H11" i="30"/>
  <c r="K13" i="22"/>
  <c r="H17" i="23"/>
  <c r="K72" i="20"/>
  <c r="H56" i="20"/>
  <c r="H21" i="22"/>
  <c r="K61" i="20"/>
  <c r="H19" i="27"/>
  <c r="H11" i="23"/>
  <c r="K33" i="27"/>
  <c r="K37" i="26"/>
  <c r="K51" i="28"/>
  <c r="H12" i="22"/>
  <c r="K36" i="26"/>
  <c r="H15" i="27"/>
  <c r="H16" i="21"/>
  <c r="K76" i="21"/>
  <c r="K26" i="27"/>
  <c r="H15" i="25"/>
  <c r="K18" i="25"/>
  <c r="K47" i="27"/>
  <c r="K12" i="23"/>
  <c r="K25" i="22"/>
  <c r="K11" i="26"/>
  <c r="K48" i="28"/>
  <c r="K58" i="26"/>
  <c r="H80" i="21"/>
  <c r="K13" i="26"/>
  <c r="K27" i="26"/>
  <c r="K21" i="23"/>
  <c r="K74" i="21"/>
  <c r="H84" i="21"/>
  <c r="K96" i="21"/>
  <c r="K82" i="21"/>
  <c r="K16" i="26"/>
  <c r="K24" i="21"/>
  <c r="H58" i="20"/>
  <c r="H103" i="21"/>
  <c r="K53" i="28"/>
  <c r="H15" i="23"/>
  <c r="K36" i="27"/>
  <c r="H66" i="21"/>
  <c r="K51" i="27"/>
  <c r="H92" i="21"/>
  <c r="H99" i="21"/>
  <c r="H16" i="20"/>
  <c r="K35" i="26"/>
  <c r="H26" i="20"/>
  <c r="K65" i="26"/>
  <c r="K54" i="26"/>
  <c r="K56" i="21"/>
  <c r="K40" i="28"/>
  <c r="H29" i="21"/>
  <c r="H10" i="30"/>
  <c r="H37" i="28"/>
  <c r="H39" i="27"/>
  <c r="K90" i="21"/>
  <c r="K53" i="25"/>
  <c r="K22" i="21"/>
  <c r="H14" i="22"/>
  <c r="H91" i="21"/>
  <c r="K26" i="28"/>
  <c r="K40" i="27"/>
  <c r="K52" i="27"/>
  <c r="H22" i="20"/>
  <c r="K16" i="29"/>
  <c r="K54" i="27"/>
  <c r="K29" i="27"/>
  <c r="H89" i="21"/>
  <c r="K52" i="28"/>
  <c r="K60" i="21"/>
  <c r="K101" i="21"/>
  <c r="H43" i="21"/>
  <c r="K32" i="28"/>
  <c r="H45" i="27"/>
  <c r="K31" i="27"/>
  <c r="H21" i="21"/>
  <c r="K59" i="26"/>
  <c r="K53" i="27"/>
  <c r="K60" i="26"/>
  <c r="K44" i="27"/>
  <c r="H78" i="21"/>
  <c r="H14" i="21"/>
  <c r="H32" i="27"/>
  <c r="K20" i="26"/>
  <c r="H56" i="27"/>
  <c r="H50" i="21"/>
  <c r="H15" i="29"/>
  <c r="H19" i="23"/>
  <c r="K33" i="26"/>
  <c r="H20" i="23"/>
  <c r="K26" i="26"/>
  <c r="K95" i="21"/>
  <c r="K30" i="27"/>
  <c r="K45" i="25"/>
  <c r="H85" i="21"/>
  <c r="H25" i="25"/>
  <c r="K13" i="27"/>
  <c r="K16" i="27"/>
  <c r="K41" i="26"/>
  <c r="K44" i="28"/>
  <c r="H48" i="25"/>
  <c r="H48" i="27"/>
  <c r="H28" i="27"/>
  <c r="K46" i="26"/>
  <c r="K48" i="26"/>
  <c r="H20" i="27"/>
  <c r="K18" i="26"/>
  <c r="K54" i="28"/>
  <c r="H72" i="21"/>
  <c r="K39" i="25"/>
  <c r="K59" i="21"/>
  <c r="K70" i="21"/>
  <c r="H71" i="21"/>
  <c r="H12" i="29"/>
  <c r="H32" i="33"/>
  <c r="K47" i="28"/>
  <c r="K55" i="28"/>
  <c r="H14" i="28"/>
  <c r="H93" i="21"/>
  <c r="K88" i="21"/>
  <c r="H50" i="27"/>
  <c r="H13" i="21"/>
  <c r="H75" i="21"/>
  <c r="H79" i="21"/>
  <c r="H97" i="21"/>
  <c r="H77" i="21"/>
  <c r="H17" i="33"/>
  <c r="H27" i="28"/>
  <c r="H41" i="25"/>
  <c r="K60" i="25"/>
  <c r="K39" i="26"/>
  <c r="K17" i="28"/>
  <c r="K34" i="26"/>
  <c r="H67" i="21"/>
  <c r="H47" i="25"/>
  <c r="H38" i="28"/>
  <c r="K45" i="28"/>
  <c r="H33" i="33"/>
  <c r="K59" i="25"/>
  <c r="H20" i="33"/>
  <c r="K35" i="28"/>
  <c r="H30" i="21"/>
  <c r="K58" i="25"/>
  <c r="H55" i="25"/>
  <c r="K47" i="26"/>
  <c r="K43" i="26"/>
  <c r="H34" i="33"/>
  <c r="K61" i="26"/>
  <c r="H64" i="25"/>
  <c r="K13" i="28"/>
  <c r="K21" i="28"/>
  <c r="K61" i="25"/>
  <c r="K40" i="25"/>
  <c r="K42" i="28"/>
  <c r="K30" i="25"/>
  <c r="K30" i="28"/>
  <c r="K53" i="26"/>
  <c r="K46" i="20"/>
  <c r="K94" i="21"/>
  <c r="K43" i="28"/>
  <c r="H49" i="27"/>
  <c r="K24" i="25"/>
  <c r="K56" i="25"/>
  <c r="K14" i="29"/>
  <c r="K52" i="26"/>
  <c r="K37" i="27"/>
  <c r="H63" i="25"/>
  <c r="K44" i="26"/>
  <c r="K54" i="25"/>
  <c r="K57" i="25"/>
  <c r="H19" i="33"/>
  <c r="K39" i="28"/>
  <c r="H31" i="33"/>
  <c r="K37" i="25"/>
  <c r="K17" i="25"/>
  <c r="K55" i="26"/>
  <c r="H46" i="27"/>
  <c r="K43" i="25"/>
  <c r="K29" i="26"/>
  <c r="H31" i="25"/>
  <c r="H23" i="33"/>
  <c r="K23" i="25"/>
  <c r="H42" i="25"/>
  <c r="K62" i="26"/>
  <c r="K50" i="25"/>
  <c r="K42" i="26"/>
  <c r="H29" i="33"/>
  <c r="K28" i="26"/>
  <c r="H46" i="25"/>
  <c r="K29" i="28"/>
  <c r="K16" i="28"/>
  <c r="K42" i="27"/>
  <c r="H24" i="33"/>
  <c r="H43" i="27"/>
  <c r="H49" i="25"/>
  <c r="H49" i="28"/>
  <c r="H44" i="25"/>
  <c r="H18" i="33"/>
  <c r="K15" i="26"/>
  <c r="K61" i="21"/>
  <c r="H20" i="25"/>
  <c r="K40" i="26"/>
  <c r="H31" i="28"/>
  <c r="K21" i="25"/>
  <c r="K10" i="29"/>
  <c r="H25" i="33"/>
  <c r="H52" i="25"/>
  <c r="H62" i="25"/>
  <c r="K38" i="27"/>
  <c r="H34" i="28"/>
  <c r="K38" i="25"/>
  <c r="K73" i="21"/>
  <c r="K27" i="27"/>
  <c r="H36" i="28"/>
  <c r="K36" i="25"/>
  <c r="H52" i="21"/>
  <c r="H14" i="33"/>
  <c r="K46" i="28"/>
  <c r="K56" i="26"/>
  <c r="K51" i="25"/>
  <c r="K63" i="26"/>
  <c r="K38" i="26"/>
  <c r="H35" i="25"/>
  <c r="K45" i="26"/>
  <c r="H33" i="25"/>
  <c r="H11" i="28"/>
  <c r="H20" i="28"/>
  <c r="K28" i="28"/>
  <c r="H13" i="29"/>
  <c r="H26" i="33"/>
  <c r="K17" i="27"/>
  <c r="K25" i="26"/>
  <c r="K35" i="27"/>
  <c r="H10" i="33"/>
  <c r="H12" i="30"/>
  <c r="H13" i="33"/>
  <c r="K57" i="26"/>
  <c r="H30" i="33"/>
  <c r="G32" i="25"/>
  <c r="G28" i="28"/>
  <c r="J32" i="25"/>
  <c r="J28" i="28"/>
  <c r="G17" i="25"/>
  <c r="G13" i="29"/>
  <c r="J17" i="25"/>
  <c r="J13" i="29"/>
  <c r="G49" i="27"/>
  <c r="G42" i="25"/>
  <c r="G60" i="25"/>
  <c r="G50" i="25"/>
  <c r="J49" i="27"/>
  <c r="J60" i="25"/>
  <c r="J42" i="25"/>
  <c r="J50" i="25"/>
  <c r="G61" i="25"/>
  <c r="G13" i="28"/>
  <c r="G16" i="27"/>
  <c r="J61" i="25"/>
  <c r="J13" i="28"/>
  <c r="J16" i="27"/>
  <c r="G10" i="33"/>
  <c r="G26" i="33"/>
  <c r="G14" i="33"/>
  <c r="G32" i="33"/>
  <c r="G23" i="33"/>
  <c r="G17" i="33"/>
  <c r="G33" i="33"/>
  <c r="G31" i="33"/>
  <c r="G30" i="33"/>
  <c r="G25" i="33"/>
  <c r="G18" i="33"/>
  <c r="G34" i="33"/>
  <c r="G19" i="33"/>
  <c r="G29" i="33"/>
  <c r="G20" i="33"/>
  <c r="G24" i="33"/>
  <c r="G13" i="33"/>
  <c r="G21" i="33"/>
  <c r="G15" i="33"/>
  <c r="G35" i="33"/>
  <c r="G11" i="33"/>
  <c r="G27" i="33"/>
  <c r="G37" i="33"/>
  <c r="J19" i="33"/>
  <c r="J30" i="33"/>
  <c r="J20" i="33"/>
  <c r="J10" i="33"/>
  <c r="J14" i="33"/>
  <c r="J29" i="33"/>
  <c r="J33" i="33"/>
  <c r="J24" i="33"/>
  <c r="J23" i="33"/>
  <c r="J34" i="33"/>
  <c r="J25" i="33"/>
  <c r="J18" i="33"/>
  <c r="J17" i="33"/>
  <c r="J32" i="33"/>
  <c r="J31" i="33"/>
  <c r="J13" i="33"/>
  <c r="J26" i="33"/>
  <c r="J15" i="33"/>
  <c r="J21" i="33"/>
  <c r="J27" i="33"/>
  <c r="J35" i="33"/>
  <c r="J11" i="33"/>
  <c r="J37" i="33"/>
  <c r="G10" i="22"/>
  <c r="J14" i="22"/>
  <c r="J35" i="22"/>
  <c r="J34" i="22"/>
  <c r="G43" i="27"/>
  <c r="G29" i="28"/>
  <c r="G42" i="27"/>
  <c r="G46" i="27"/>
  <c r="J59" i="28"/>
  <c r="J46" i="27"/>
  <c r="J43" i="27"/>
  <c r="J29" i="28"/>
  <c r="J42" i="27"/>
  <c r="J59" i="27"/>
  <c r="J60" i="27"/>
  <c r="J47" i="27"/>
  <c r="J45" i="27"/>
  <c r="J14" i="29"/>
  <c r="J31" i="28"/>
  <c r="J15" i="27"/>
  <c r="J49" i="28"/>
  <c r="J11" i="27"/>
  <c r="J50" i="27"/>
  <c r="J42" i="28"/>
  <c r="J48" i="27"/>
  <c r="J55" i="28"/>
  <c r="J45" i="28"/>
  <c r="J54" i="28"/>
  <c r="J29" i="27"/>
  <c r="J20" i="27"/>
  <c r="J26" i="28"/>
  <c r="J10" i="29"/>
  <c r="J19" i="27"/>
  <c r="J44" i="28"/>
  <c r="J16" i="28"/>
  <c r="J27" i="27"/>
  <c r="J55" i="27"/>
  <c r="J34" i="28"/>
  <c r="J52" i="28"/>
  <c r="J13" i="27"/>
  <c r="J31" i="27"/>
  <c r="J40" i="27"/>
  <c r="J32" i="27"/>
  <c r="J27" i="28"/>
  <c r="J21" i="27"/>
  <c r="J35" i="27"/>
  <c r="J36" i="28"/>
  <c r="J16" i="29"/>
  <c r="J36" i="27"/>
  <c r="J30" i="27"/>
  <c r="J11" i="28"/>
  <c r="J30" i="28"/>
  <c r="J50" i="28"/>
  <c r="J47" i="28"/>
  <c r="J52" i="27"/>
  <c r="J20" i="28"/>
  <c r="J46" i="28"/>
  <c r="J44" i="27"/>
  <c r="J41" i="28"/>
  <c r="J28" i="27"/>
  <c r="J19" i="28"/>
  <c r="J53" i="27"/>
  <c r="J21" i="28"/>
  <c r="J38" i="28"/>
  <c r="J56" i="27"/>
  <c r="J48" i="28"/>
  <c r="J37" i="27"/>
  <c r="J43" i="28"/>
  <c r="J53" i="28"/>
  <c r="J11" i="29"/>
  <c r="J39" i="28"/>
  <c r="J33" i="27"/>
  <c r="J17" i="27"/>
  <c r="J38" i="27"/>
  <c r="J12" i="30"/>
  <c r="J39" i="27"/>
  <c r="J14" i="28"/>
  <c r="J51" i="27"/>
  <c r="J32" i="28"/>
  <c r="J41" i="27"/>
  <c r="J37" i="28"/>
  <c r="J33" i="28"/>
  <c r="J35" i="28"/>
  <c r="J40" i="28"/>
  <c r="J51" i="28"/>
  <c r="J26" i="27"/>
  <c r="J10" i="30"/>
  <c r="J12" i="29"/>
  <c r="J17" i="28"/>
  <c r="J54" i="27"/>
  <c r="J11" i="30"/>
  <c r="J15" i="29"/>
  <c r="J34" i="27"/>
  <c r="J14" i="27"/>
  <c r="J15" i="28"/>
  <c r="J56" i="28"/>
  <c r="J13" i="30"/>
  <c r="J22" i="27"/>
  <c r="J57" i="27"/>
  <c r="J17" i="29"/>
  <c r="J22" i="28"/>
  <c r="J18" i="28"/>
  <c r="J18" i="27"/>
  <c r="J23" i="28"/>
  <c r="J23" i="27"/>
  <c r="J58" i="28"/>
  <c r="G12" i="27"/>
  <c r="G35" i="28"/>
  <c r="G27" i="27"/>
  <c r="G48" i="27"/>
  <c r="G11" i="29"/>
  <c r="G36" i="27"/>
  <c r="G48" i="28"/>
  <c r="G13" i="27"/>
  <c r="G28" i="27"/>
  <c r="G37" i="27"/>
  <c r="G55" i="27"/>
  <c r="G31" i="27"/>
  <c r="G44" i="27"/>
  <c r="G54" i="27"/>
  <c r="G11" i="30"/>
  <c r="G38" i="27"/>
  <c r="G41" i="28"/>
  <c r="G37" i="28"/>
  <c r="G52" i="28"/>
  <c r="G53" i="27"/>
  <c r="G49" i="28"/>
  <c r="G46" i="28"/>
  <c r="G11" i="28"/>
  <c r="G17" i="28"/>
  <c r="G39" i="27"/>
  <c r="G12" i="29"/>
  <c r="G19" i="27"/>
  <c r="G43" i="28"/>
  <c r="G38" i="28"/>
  <c r="G17" i="27"/>
  <c r="G14" i="29"/>
  <c r="G34" i="28"/>
  <c r="G10" i="30"/>
  <c r="G34" i="27"/>
  <c r="G15" i="29"/>
  <c r="G44" i="28"/>
  <c r="G32" i="27"/>
  <c r="G16" i="28"/>
  <c r="G26" i="27"/>
  <c r="G47" i="27"/>
  <c r="G35" i="27"/>
  <c r="G21" i="27"/>
  <c r="G10" i="29"/>
  <c r="G16" i="29"/>
  <c r="G51" i="27"/>
  <c r="G41" i="27"/>
  <c r="G11" i="27"/>
  <c r="G45" i="28"/>
  <c r="G51" i="28"/>
  <c r="G29" i="27"/>
  <c r="G21" i="28"/>
  <c r="G33" i="27"/>
  <c r="G52" i="27"/>
  <c r="G56" i="27"/>
  <c r="G53" i="28"/>
  <c r="G26" i="28"/>
  <c r="G19" i="28"/>
  <c r="G30" i="27"/>
  <c r="G20" i="27"/>
  <c r="G45" i="27"/>
  <c r="G12" i="30"/>
  <c r="G33" i="28"/>
  <c r="G40" i="27"/>
  <c r="G15" i="27"/>
  <c r="G50" i="27"/>
  <c r="G31" i="28"/>
  <c r="G13" i="30"/>
  <c r="G17" i="29"/>
  <c r="G22" i="27"/>
  <c r="G57" i="27"/>
  <c r="G22" i="28"/>
  <c r="G14" i="27"/>
  <c r="G56" i="28"/>
  <c r="G18" i="27"/>
  <c r="G23" i="27"/>
  <c r="G60" i="27"/>
  <c r="J43" i="2"/>
  <c r="G59" i="27"/>
  <c r="G70" i="26"/>
  <c r="G41" i="26"/>
  <c r="G25" i="26"/>
  <c r="G64" i="26"/>
  <c r="G42" i="26"/>
  <c r="G22" i="26"/>
  <c r="G47" i="26"/>
  <c r="G29" i="26"/>
  <c r="G65" i="26"/>
  <c r="G16" i="26"/>
  <c r="G20" i="26"/>
  <c r="G27" i="26"/>
  <c r="G61" i="26"/>
  <c r="G52" i="26"/>
  <c r="G37" i="26"/>
  <c r="G69" i="26"/>
  <c r="G28" i="26"/>
  <c r="G58" i="26"/>
  <c r="G66" i="26"/>
  <c r="G11" i="26"/>
  <c r="G62" i="26"/>
  <c r="G30" i="26"/>
  <c r="G67" i="26"/>
  <c r="G39" i="26"/>
  <c r="G46" i="26"/>
  <c r="G36" i="26"/>
  <c r="G19" i="26"/>
  <c r="G21" i="26"/>
  <c r="G13" i="26"/>
  <c r="G40" i="26"/>
  <c r="G48" i="26"/>
  <c r="G59" i="26"/>
  <c r="G33" i="26"/>
  <c r="G15" i="26"/>
  <c r="G53" i="26"/>
  <c r="G45" i="26"/>
  <c r="G49" i="26"/>
  <c r="G57" i="26"/>
  <c r="G60" i="26"/>
  <c r="G54" i="26"/>
  <c r="G17" i="26"/>
  <c r="G18" i="26"/>
  <c r="G43" i="26"/>
  <c r="G56" i="26"/>
  <c r="G34" i="26"/>
  <c r="G44" i="26"/>
  <c r="G55" i="26"/>
  <c r="G63" i="26"/>
  <c r="G14" i="26"/>
  <c r="G26" i="26"/>
  <c r="G38" i="26"/>
  <c r="G35" i="26"/>
  <c r="J22" i="26"/>
  <c r="J41" i="26"/>
  <c r="J61" i="26"/>
  <c r="J30" i="26"/>
  <c r="J66" i="26"/>
  <c r="J28" i="26"/>
  <c r="J11" i="26"/>
  <c r="J33" i="26"/>
  <c r="J54" i="26"/>
  <c r="J17" i="26"/>
  <c r="J29" i="26"/>
  <c r="J38" i="26"/>
  <c r="J14" i="26"/>
  <c r="J42" i="26"/>
  <c r="J60" i="26"/>
  <c r="J39" i="26"/>
  <c r="J70" i="26"/>
  <c r="J15" i="26"/>
  <c r="J19" i="26"/>
  <c r="J65" i="26"/>
  <c r="J45" i="26"/>
  <c r="J69" i="26"/>
  <c r="J64" i="26"/>
  <c r="J37" i="26"/>
  <c r="J27" i="26"/>
  <c r="J25" i="26"/>
  <c r="J26" i="26"/>
  <c r="J13" i="26"/>
  <c r="J57" i="26"/>
  <c r="J34" i="26"/>
  <c r="J48" i="26"/>
  <c r="J56" i="26"/>
  <c r="J63" i="26"/>
  <c r="J58" i="26"/>
  <c r="J43" i="26"/>
  <c r="J62" i="26"/>
  <c r="J18" i="26"/>
  <c r="J46" i="26"/>
  <c r="J59" i="26"/>
  <c r="J55" i="26"/>
  <c r="J52" i="26"/>
  <c r="J44" i="26"/>
  <c r="J49" i="26"/>
  <c r="J36" i="26"/>
  <c r="J53" i="26"/>
  <c r="J35" i="26"/>
  <c r="J20" i="26"/>
  <c r="J47" i="26"/>
  <c r="J21" i="26"/>
  <c r="J67" i="26"/>
  <c r="J40" i="26"/>
  <c r="J16" i="26"/>
  <c r="J34" i="2"/>
  <c r="J56" i="25"/>
  <c r="J57" i="25"/>
  <c r="J48" i="25"/>
  <c r="J20" i="25"/>
  <c r="J53" i="25"/>
  <c r="J47" i="25"/>
  <c r="J52" i="25"/>
  <c r="J25" i="25"/>
  <c r="J16" i="25"/>
  <c r="J24" i="25"/>
  <c r="J51" i="25"/>
  <c r="J39" i="25"/>
  <c r="J58" i="25"/>
  <c r="J49" i="25"/>
  <c r="J62" i="25"/>
  <c r="J21" i="25"/>
  <c r="J33" i="25"/>
  <c r="J13" i="25"/>
  <c r="J44" i="25"/>
  <c r="J37" i="25"/>
  <c r="J11" i="25"/>
  <c r="J18" i="25"/>
  <c r="J63" i="25"/>
  <c r="J14" i="25"/>
  <c r="J30" i="25"/>
  <c r="J31" i="25"/>
  <c r="J41" i="25"/>
  <c r="J34" i="25"/>
  <c r="J64" i="25"/>
  <c r="J23" i="25"/>
  <c r="J38" i="25"/>
  <c r="J46" i="25"/>
  <c r="J54" i="25"/>
  <c r="J45" i="25"/>
  <c r="J35" i="25"/>
  <c r="J43" i="25"/>
  <c r="J59" i="25"/>
  <c r="J15" i="25"/>
  <c r="J36" i="25"/>
  <c r="J55" i="25"/>
  <c r="J40" i="25"/>
  <c r="J65" i="25"/>
  <c r="J26" i="25"/>
  <c r="J19" i="25"/>
  <c r="J27" i="25"/>
  <c r="J67" i="25"/>
  <c r="J68" i="25"/>
  <c r="G47" i="2"/>
  <c r="G47" i="25"/>
  <c r="G64" i="25"/>
  <c r="G23" i="25"/>
  <c r="G55" i="25"/>
  <c r="G40" i="25"/>
  <c r="G15" i="25"/>
  <c r="G57" i="25"/>
  <c r="G25" i="25"/>
  <c r="G34" i="25"/>
  <c r="G63" i="25"/>
  <c r="G16" i="25"/>
  <c r="G18" i="25"/>
  <c r="G21" i="25"/>
  <c r="G24" i="25"/>
  <c r="G53" i="25"/>
  <c r="G11" i="25"/>
  <c r="G36" i="25"/>
  <c r="G30" i="25"/>
  <c r="G37" i="25"/>
  <c r="G52" i="25"/>
  <c r="G46" i="25"/>
  <c r="G31" i="25"/>
  <c r="G20" i="25"/>
  <c r="G43" i="25"/>
  <c r="G41" i="25"/>
  <c r="G44" i="25"/>
  <c r="G48" i="25"/>
  <c r="G59" i="25"/>
  <c r="G54" i="25"/>
  <c r="G33" i="25"/>
  <c r="G13" i="25"/>
  <c r="G49" i="25"/>
  <c r="G58" i="25"/>
  <c r="G39" i="25"/>
  <c r="G38" i="25"/>
  <c r="G35" i="25"/>
  <c r="G51" i="25"/>
  <c r="G45" i="25"/>
  <c r="G56" i="25"/>
  <c r="G62" i="25"/>
  <c r="G14" i="25"/>
  <c r="G19" i="25"/>
  <c r="G65" i="25"/>
  <c r="G27" i="25"/>
  <c r="G26" i="25"/>
  <c r="G67" i="25"/>
  <c r="G68" i="25"/>
  <c r="J10" i="22"/>
  <c r="J30" i="2"/>
  <c r="J46" i="2"/>
  <c r="J35" i="2"/>
  <c r="J45" i="2"/>
  <c r="J31" i="2"/>
  <c r="J32" i="2"/>
  <c r="G25" i="2"/>
  <c r="G34" i="2"/>
  <c r="J44" i="2"/>
  <c r="J47" i="2"/>
  <c r="J15" i="2"/>
  <c r="J39" i="2"/>
  <c r="J18" i="2"/>
  <c r="G13" i="22"/>
  <c r="G30" i="2"/>
  <c r="G44" i="2"/>
  <c r="G35" i="2"/>
  <c r="J48" i="2"/>
  <c r="G14" i="22"/>
  <c r="J16" i="22"/>
  <c r="G48" i="2"/>
  <c r="J15" i="22"/>
  <c r="G33" i="2"/>
  <c r="J13" i="22"/>
  <c r="J16" i="2"/>
  <c r="J12" i="22"/>
  <c r="J27" i="22"/>
  <c r="G27" i="22"/>
  <c r="G46" i="2"/>
  <c r="J33" i="2"/>
  <c r="G11" i="22"/>
  <c r="J17" i="2"/>
  <c r="J11" i="22"/>
  <c r="G31" i="2"/>
  <c r="G45" i="2"/>
  <c r="G39" i="2"/>
  <c r="G16" i="22"/>
  <c r="G32" i="2"/>
  <c r="G15" i="2"/>
  <c r="G52" i="2"/>
  <c r="G16" i="2"/>
  <c r="G17" i="2"/>
  <c r="G15" i="22"/>
  <c r="G18" i="2"/>
  <c r="I37" i="22"/>
  <c r="I39" i="22" s="1"/>
  <c r="J39" i="22" s="1"/>
  <c r="J17" i="22"/>
  <c r="G43" i="2"/>
  <c r="G19" i="2"/>
  <c r="J25" i="2"/>
  <c r="G12" i="22"/>
  <c r="F37" i="22"/>
  <c r="G17" i="22"/>
  <c r="J52" i="2"/>
  <c r="J19" i="2"/>
  <c r="F48" i="20"/>
  <c r="F31" i="20"/>
  <c r="I48" i="20"/>
  <c r="F39" i="22" l="1"/>
  <c r="G39" i="22" s="1"/>
  <c r="G44" i="20"/>
  <c r="H41" i="27"/>
  <c r="K62" i="20"/>
  <c r="H68" i="20"/>
  <c r="K15" i="20"/>
  <c r="H25" i="20"/>
  <c r="K13" i="23"/>
  <c r="H23" i="22"/>
  <c r="K22" i="22"/>
  <c r="K13" i="20"/>
  <c r="H81" i="20"/>
  <c r="H16" i="23"/>
  <c r="H68" i="21"/>
  <c r="K56" i="20"/>
  <c r="K63" i="20"/>
  <c r="K71" i="20"/>
  <c r="K26" i="22"/>
  <c r="K50" i="20"/>
  <c r="H12" i="21"/>
  <c r="H76" i="21"/>
  <c r="H33" i="27"/>
  <c r="K45" i="20"/>
  <c r="H20" i="21"/>
  <c r="H26" i="21"/>
  <c r="H15" i="21"/>
  <c r="D52" i="20"/>
  <c r="H52" i="20" s="1"/>
  <c r="K80" i="20"/>
  <c r="K53" i="21"/>
  <c r="H29" i="20"/>
  <c r="K10" i="22"/>
  <c r="H23" i="21"/>
  <c r="H51" i="20"/>
  <c r="K31" i="21"/>
  <c r="H55" i="21"/>
  <c r="K21" i="22"/>
  <c r="H11" i="29"/>
  <c r="K16" i="21"/>
  <c r="H13" i="25"/>
  <c r="K47" i="20"/>
  <c r="K14" i="25"/>
  <c r="G48" i="20"/>
  <c r="H40" i="27"/>
  <c r="K16" i="20"/>
  <c r="H75" i="20"/>
  <c r="H16" i="26"/>
  <c r="H74" i="20"/>
  <c r="K77" i="20"/>
  <c r="H72" i="20"/>
  <c r="H12" i="20"/>
  <c r="K86" i="21"/>
  <c r="G26" i="20"/>
  <c r="G41" i="20"/>
  <c r="J26" i="20"/>
  <c r="J41" i="20"/>
  <c r="H20" i="22"/>
  <c r="H41" i="28"/>
  <c r="K11" i="20"/>
  <c r="H28" i="20"/>
  <c r="K50" i="28"/>
  <c r="H24" i="20"/>
  <c r="H87" i="21"/>
  <c r="K20" i="20"/>
  <c r="H19" i="26"/>
  <c r="H11" i="25"/>
  <c r="H65" i="26"/>
  <c r="K78" i="20"/>
  <c r="K92" i="21"/>
  <c r="H69" i="21"/>
  <c r="H102" i="21"/>
  <c r="H40" i="28"/>
  <c r="H35" i="20"/>
  <c r="H39" i="20"/>
  <c r="H40" i="20"/>
  <c r="H43" i="20"/>
  <c r="H46" i="26"/>
  <c r="E24" i="22"/>
  <c r="K89" i="21"/>
  <c r="D17" i="20"/>
  <c r="K17" i="20" s="1"/>
  <c r="E31" i="22"/>
  <c r="H25" i="22"/>
  <c r="H60" i="20"/>
  <c r="K39" i="27"/>
  <c r="H36" i="20"/>
  <c r="H79" i="20"/>
  <c r="K15" i="23"/>
  <c r="H30" i="22"/>
  <c r="H59" i="21"/>
  <c r="H64" i="26"/>
  <c r="K11" i="30"/>
  <c r="K65" i="20"/>
  <c r="K14" i="23"/>
  <c r="K38" i="28"/>
  <c r="K18" i="23"/>
  <c r="E20" i="22"/>
  <c r="H51" i="28"/>
  <c r="K57" i="20"/>
  <c r="K14" i="22"/>
  <c r="K64" i="20"/>
  <c r="K83" i="20"/>
  <c r="H53" i="27"/>
  <c r="H55" i="28"/>
  <c r="H49" i="20"/>
  <c r="K49" i="20"/>
  <c r="H66" i="26"/>
  <c r="H16" i="25"/>
  <c r="H45" i="25"/>
  <c r="K32" i="21"/>
  <c r="E32" i="22"/>
  <c r="K37" i="20"/>
  <c r="H30" i="20"/>
  <c r="K14" i="20"/>
  <c r="K15" i="22"/>
  <c r="E26" i="22"/>
  <c r="H10" i="23"/>
  <c r="K19" i="27"/>
  <c r="K26" i="20"/>
  <c r="K91" i="21"/>
  <c r="K15" i="27"/>
  <c r="H58" i="25"/>
  <c r="H73" i="20"/>
  <c r="H33" i="28"/>
  <c r="K69" i="20"/>
  <c r="K12" i="22"/>
  <c r="E25" i="22"/>
  <c r="H13" i="22"/>
  <c r="H96" i="21"/>
  <c r="K40" i="21"/>
  <c r="K34" i="27"/>
  <c r="E34" i="22"/>
  <c r="E35" i="22"/>
  <c r="K55" i="27"/>
  <c r="H13" i="26"/>
  <c r="D41" i="21"/>
  <c r="H41" i="21" s="1"/>
  <c r="H36" i="27"/>
  <c r="H82" i="21"/>
  <c r="K59" i="20"/>
  <c r="E22" i="22"/>
  <c r="H35" i="26"/>
  <c r="H14" i="20"/>
  <c r="H70" i="20"/>
  <c r="H26" i="28"/>
  <c r="H83" i="21"/>
  <c r="K28" i="27"/>
  <c r="K82" i="20"/>
  <c r="H23" i="20"/>
  <c r="H61" i="20"/>
  <c r="K15" i="29"/>
  <c r="H36" i="26"/>
  <c r="H21" i="20"/>
  <c r="H16" i="22"/>
  <c r="K17" i="23"/>
  <c r="H51" i="27"/>
  <c r="K42" i="20"/>
  <c r="E23" i="22"/>
  <c r="H101" i="21"/>
  <c r="D27" i="22"/>
  <c r="K24" i="22"/>
  <c r="K67" i="20"/>
  <c r="E36" i="22"/>
  <c r="K76" i="20"/>
  <c r="H57" i="21"/>
  <c r="K66" i="21"/>
  <c r="H27" i="26"/>
  <c r="K100" i="21"/>
  <c r="E33" i="22"/>
  <c r="H12" i="23"/>
  <c r="H48" i="28"/>
  <c r="H26" i="27"/>
  <c r="K29" i="21"/>
  <c r="H58" i="26"/>
  <c r="H18" i="25"/>
  <c r="K15" i="25"/>
  <c r="K39" i="21"/>
  <c r="K84" i="21"/>
  <c r="H31" i="27"/>
  <c r="E21" i="22"/>
  <c r="D17" i="22"/>
  <c r="H39" i="21"/>
  <c r="K98" i="21"/>
  <c r="K56" i="27"/>
  <c r="K11" i="23"/>
  <c r="K10" i="30"/>
  <c r="K20" i="23"/>
  <c r="H41" i="26"/>
  <c r="K81" i="21"/>
  <c r="D27" i="20"/>
  <c r="H27" i="20" s="1"/>
  <c r="K99" i="21"/>
  <c r="K11" i="22"/>
  <c r="K32" i="25"/>
  <c r="H37" i="26"/>
  <c r="H26" i="26"/>
  <c r="H33" i="26"/>
  <c r="H21" i="27"/>
  <c r="H30" i="28"/>
  <c r="H59" i="26"/>
  <c r="H47" i="27"/>
  <c r="K37" i="28"/>
  <c r="K80" i="21"/>
  <c r="H74" i="21"/>
  <c r="D84" i="20"/>
  <c r="H44" i="28"/>
  <c r="H43" i="26"/>
  <c r="H53" i="26"/>
  <c r="H47" i="28"/>
  <c r="H54" i="27"/>
  <c r="K58" i="20"/>
  <c r="H56" i="25"/>
  <c r="H11" i="26"/>
  <c r="H53" i="28"/>
  <c r="K85" i="21"/>
  <c r="K32" i="27"/>
  <c r="K21" i="21"/>
  <c r="D22" i="23"/>
  <c r="D14" i="26"/>
  <c r="K14" i="26" s="1"/>
  <c r="H21" i="23"/>
  <c r="H44" i="27"/>
  <c r="K103" i="21"/>
  <c r="H24" i="21"/>
  <c r="K78" i="21"/>
  <c r="H30" i="27"/>
  <c r="H54" i="28"/>
  <c r="H90" i="21"/>
  <c r="K48" i="27"/>
  <c r="H53" i="25"/>
  <c r="H60" i="26"/>
  <c r="H95" i="21"/>
  <c r="H60" i="25"/>
  <c r="K79" i="21"/>
  <c r="H39" i="25"/>
  <c r="K14" i="28"/>
  <c r="H52" i="28"/>
  <c r="K30" i="21"/>
  <c r="H70" i="21"/>
  <c r="H60" i="21"/>
  <c r="K19" i="23"/>
  <c r="D19" i="25"/>
  <c r="D22" i="25" s="1"/>
  <c r="K22" i="20"/>
  <c r="K48" i="25"/>
  <c r="D21" i="26"/>
  <c r="K21" i="26" s="1"/>
  <c r="H22" i="21"/>
  <c r="K14" i="21"/>
  <c r="H32" i="28"/>
  <c r="K45" i="27"/>
  <c r="H56" i="21"/>
  <c r="H18" i="26"/>
  <c r="D25" i="21"/>
  <c r="E40" i="21" s="1"/>
  <c r="H16" i="29"/>
  <c r="K20" i="27"/>
  <c r="K25" i="25"/>
  <c r="H54" i="26"/>
  <c r="H52" i="27"/>
  <c r="D14" i="27"/>
  <c r="D18" i="27" s="1"/>
  <c r="K12" i="29"/>
  <c r="K77" i="21"/>
  <c r="H13" i="27"/>
  <c r="H20" i="26"/>
  <c r="H30" i="25"/>
  <c r="H29" i="27"/>
  <c r="K50" i="27"/>
  <c r="H88" i="21"/>
  <c r="H16" i="27"/>
  <c r="H48" i="26"/>
  <c r="K93" i="21"/>
  <c r="K50" i="21"/>
  <c r="H59" i="25"/>
  <c r="H42" i="28"/>
  <c r="K43" i="21"/>
  <c r="K62" i="25"/>
  <c r="K41" i="20"/>
  <c r="D44" i="20"/>
  <c r="H44" i="20" s="1"/>
  <c r="H41" i="20"/>
  <c r="H21" i="25"/>
  <c r="K11" i="27"/>
  <c r="K47" i="25"/>
  <c r="H13" i="28"/>
  <c r="H57" i="25"/>
  <c r="H35" i="28"/>
  <c r="H37" i="25"/>
  <c r="D22" i="27"/>
  <c r="K22" i="27" s="1"/>
  <c r="D54" i="21"/>
  <c r="D58" i="21" s="1"/>
  <c r="H11" i="27"/>
  <c r="K75" i="21"/>
  <c r="K72" i="21"/>
  <c r="K67" i="21"/>
  <c r="K71" i="21"/>
  <c r="H55" i="26"/>
  <c r="H15" i="26"/>
  <c r="K41" i="25"/>
  <c r="K13" i="21"/>
  <c r="K63" i="25"/>
  <c r="H61" i="26"/>
  <c r="H61" i="21"/>
  <c r="H39" i="28"/>
  <c r="H46" i="20"/>
  <c r="K27" i="28"/>
  <c r="K42" i="25"/>
  <c r="H39" i="26"/>
  <c r="K55" i="25"/>
  <c r="K97" i="21"/>
  <c r="H56" i="26"/>
  <c r="H34" i="26"/>
  <c r="H17" i="28"/>
  <c r="H43" i="28"/>
  <c r="H46" i="28"/>
  <c r="K49" i="27"/>
  <c r="K34" i="28"/>
  <c r="H45" i="28"/>
  <c r="D22" i="28"/>
  <c r="H22" i="28" s="1"/>
  <c r="H62" i="26"/>
  <c r="H16" i="28"/>
  <c r="H47" i="26"/>
  <c r="K20" i="25"/>
  <c r="K64" i="25"/>
  <c r="H27" i="27"/>
  <c r="H61" i="25"/>
  <c r="H94" i="21"/>
  <c r="K35" i="25"/>
  <c r="H57" i="26"/>
  <c r="H24" i="25"/>
  <c r="H37" i="27"/>
  <c r="H52" i="26"/>
  <c r="H40" i="25"/>
  <c r="H36" i="25"/>
  <c r="H42" i="26"/>
  <c r="H14" i="29"/>
  <c r="H44" i="26"/>
  <c r="H51" i="25"/>
  <c r="D62" i="21"/>
  <c r="K62" i="21" s="1"/>
  <c r="H38" i="27"/>
  <c r="H54" i="25"/>
  <c r="H21" i="28"/>
  <c r="D33" i="21"/>
  <c r="E43" i="21" s="1"/>
  <c r="H43" i="25"/>
  <c r="H42" i="27"/>
  <c r="H40" i="26"/>
  <c r="K46" i="27"/>
  <c r="H38" i="26"/>
  <c r="H38" i="25"/>
  <c r="H63" i="26"/>
  <c r="H50" i="25"/>
  <c r="K31" i="28"/>
  <c r="H17" i="25"/>
  <c r="H45" i="26"/>
  <c r="H29" i="26"/>
  <c r="H34" i="25"/>
  <c r="K52" i="25"/>
  <c r="D27" i="33"/>
  <c r="H10" i="29"/>
  <c r="H29" i="28"/>
  <c r="K44" i="25"/>
  <c r="K52" i="21"/>
  <c r="K36" i="28"/>
  <c r="K33" i="25"/>
  <c r="D56" i="28"/>
  <c r="D11" i="33"/>
  <c r="H28" i="26"/>
  <c r="D26" i="25"/>
  <c r="K26" i="25" s="1"/>
  <c r="K49" i="28"/>
  <c r="D15" i="28"/>
  <c r="K15" i="28" s="1"/>
  <c r="K46" i="25"/>
  <c r="H23" i="25"/>
  <c r="D49" i="26"/>
  <c r="K49" i="25"/>
  <c r="D65" i="25"/>
  <c r="K31" i="25"/>
  <c r="D104" i="21"/>
  <c r="H73" i="21"/>
  <c r="D15" i="33"/>
  <c r="D21" i="33"/>
  <c r="H17" i="27"/>
  <c r="K43" i="27"/>
  <c r="K20" i="28"/>
  <c r="K12" i="30"/>
  <c r="K19" i="28"/>
  <c r="H25" i="26"/>
  <c r="D30" i="26"/>
  <c r="D57" i="27"/>
  <c r="H19" i="28"/>
  <c r="D17" i="29"/>
  <c r="D17" i="21"/>
  <c r="H28" i="28"/>
  <c r="K13" i="29"/>
  <c r="D67" i="26"/>
  <c r="K11" i="28"/>
  <c r="D13" i="30"/>
  <c r="D35" i="33"/>
  <c r="H35" i="27"/>
  <c r="J36" i="20"/>
  <c r="J42" i="20"/>
  <c r="J39" i="20"/>
  <c r="J35" i="20"/>
  <c r="J40" i="20"/>
  <c r="J37" i="20"/>
  <c r="J44" i="20"/>
  <c r="J43" i="20"/>
  <c r="J48" i="20"/>
  <c r="G37" i="20"/>
  <c r="G39" i="20"/>
  <c r="G43" i="20"/>
  <c r="G40" i="20"/>
  <c r="G36" i="20"/>
  <c r="G42" i="20"/>
  <c r="G35" i="20"/>
  <c r="G37" i="22"/>
  <c r="J37" i="22"/>
  <c r="G52" i="20"/>
  <c r="G46" i="20"/>
  <c r="J17" i="20"/>
  <c r="J46" i="20"/>
  <c r="G84" i="20"/>
  <c r="J52" i="20"/>
  <c r="G27" i="20"/>
  <c r="J27" i="20"/>
  <c r="G27" i="2"/>
  <c r="J27" i="2"/>
  <c r="G17" i="20"/>
  <c r="F53" i="20"/>
  <c r="G31" i="20"/>
  <c r="G83" i="20"/>
  <c r="G68" i="20"/>
  <c r="G49" i="20"/>
  <c r="G20" i="20"/>
  <c r="G50" i="20"/>
  <c r="G24" i="20"/>
  <c r="G51" i="20"/>
  <c r="G13" i="20"/>
  <c r="G60" i="20"/>
  <c r="G12" i="20"/>
  <c r="G56" i="20"/>
  <c r="G30" i="20"/>
  <c r="G71" i="20"/>
  <c r="G65" i="20"/>
  <c r="G23" i="20"/>
  <c r="G21" i="20"/>
  <c r="G72" i="20"/>
  <c r="G64" i="20"/>
  <c r="G80" i="20"/>
  <c r="G57" i="20"/>
  <c r="G66" i="20"/>
  <c r="G78" i="20"/>
  <c r="G11" i="20"/>
  <c r="G79" i="20"/>
  <c r="G82" i="20"/>
  <c r="G59" i="20"/>
  <c r="G70" i="20"/>
  <c r="G63" i="20"/>
  <c r="G81" i="20"/>
  <c r="G45" i="20"/>
  <c r="G29" i="20"/>
  <c r="G58" i="20"/>
  <c r="G16" i="20"/>
  <c r="G67" i="20"/>
  <c r="G62" i="20"/>
  <c r="G77" i="20"/>
  <c r="G74" i="20"/>
  <c r="G76" i="20"/>
  <c r="G14" i="20"/>
  <c r="G73" i="20"/>
  <c r="G47" i="20"/>
  <c r="G75" i="20"/>
  <c r="G69" i="20"/>
  <c r="G61" i="20"/>
  <c r="G25" i="20"/>
  <c r="G15" i="20"/>
  <c r="G28" i="20"/>
  <c r="G22" i="20"/>
  <c r="J31" i="20"/>
  <c r="J59" i="20"/>
  <c r="J83" i="20"/>
  <c r="J82" i="20"/>
  <c r="J66" i="20"/>
  <c r="J80" i="20"/>
  <c r="J78" i="20"/>
  <c r="J63" i="20"/>
  <c r="J56" i="20"/>
  <c r="J45" i="20"/>
  <c r="J12" i="20"/>
  <c r="J21" i="20"/>
  <c r="J58" i="20"/>
  <c r="J23" i="20"/>
  <c r="J62" i="20"/>
  <c r="J15" i="20"/>
  <c r="J20" i="20"/>
  <c r="J29" i="20"/>
  <c r="J50" i="20"/>
  <c r="J16" i="20"/>
  <c r="J60" i="20"/>
  <c r="J69" i="20"/>
  <c r="J77" i="20"/>
  <c r="J74" i="20"/>
  <c r="J81" i="20"/>
  <c r="J28" i="20"/>
  <c r="J67" i="20"/>
  <c r="J64" i="20"/>
  <c r="J76" i="20"/>
  <c r="J49" i="20"/>
  <c r="J79" i="20"/>
  <c r="J73" i="20"/>
  <c r="J71" i="20"/>
  <c r="J57" i="20"/>
  <c r="J61" i="20"/>
  <c r="J47" i="20"/>
  <c r="J30" i="20"/>
  <c r="J11" i="20"/>
  <c r="J68" i="20"/>
  <c r="J51" i="20"/>
  <c r="J25" i="20"/>
  <c r="J24" i="20"/>
  <c r="J72" i="20"/>
  <c r="J75" i="20"/>
  <c r="J70" i="20"/>
  <c r="J22" i="20"/>
  <c r="J14" i="20"/>
  <c r="J13" i="20"/>
  <c r="J65" i="20"/>
  <c r="J84" i="20"/>
  <c r="I53" i="20"/>
  <c r="H49" i="26" l="1"/>
  <c r="H84" i="20"/>
  <c r="K30" i="26"/>
  <c r="H67" i="26"/>
  <c r="H27" i="33"/>
  <c r="E20" i="23"/>
  <c r="D24" i="23"/>
  <c r="D37" i="22"/>
  <c r="H17" i="20"/>
  <c r="K52" i="20"/>
  <c r="K41" i="21"/>
  <c r="K33" i="22"/>
  <c r="E12" i="22"/>
  <c r="D27" i="25"/>
  <c r="H32" i="22"/>
  <c r="H21" i="26"/>
  <c r="E30" i="22"/>
  <c r="D44" i="21"/>
  <c r="K84" i="20"/>
  <c r="H27" i="22"/>
  <c r="K30" i="22"/>
  <c r="K32" i="22"/>
  <c r="K31" i="22"/>
  <c r="H33" i="22"/>
  <c r="E14" i="22"/>
  <c r="E17" i="22"/>
  <c r="E10" i="22"/>
  <c r="H35" i="22"/>
  <c r="K27" i="22"/>
  <c r="H36" i="22"/>
  <c r="E15" i="22"/>
  <c r="H31" i="22"/>
  <c r="E27" i="22"/>
  <c r="D31" i="20"/>
  <c r="E11" i="22"/>
  <c r="E13" i="22"/>
  <c r="K22" i="23"/>
  <c r="E21" i="23"/>
  <c r="E15" i="23"/>
  <c r="K34" i="22"/>
  <c r="E19" i="23"/>
  <c r="K35" i="22"/>
  <c r="E10" i="23"/>
  <c r="E22" i="23"/>
  <c r="E17" i="23"/>
  <c r="H34" i="22"/>
  <c r="H104" i="21"/>
  <c r="K36" i="22"/>
  <c r="E16" i="23"/>
  <c r="H19" i="25"/>
  <c r="D48" i="20"/>
  <c r="H48" i="20" s="1"/>
  <c r="K44" i="20"/>
  <c r="K27" i="20"/>
  <c r="E16" i="22"/>
  <c r="K17" i="22"/>
  <c r="H17" i="22"/>
  <c r="K19" i="21"/>
  <c r="K33" i="21"/>
  <c r="K19" i="25"/>
  <c r="H22" i="23"/>
  <c r="E12" i="23"/>
  <c r="E14" i="23"/>
  <c r="H14" i="26"/>
  <c r="E13" i="23"/>
  <c r="E11" i="23"/>
  <c r="D17" i="26"/>
  <c r="K17" i="26" s="1"/>
  <c r="E18" i="23"/>
  <c r="H19" i="21"/>
  <c r="H14" i="27"/>
  <c r="K14" i="27"/>
  <c r="K22" i="28"/>
  <c r="H65" i="25"/>
  <c r="H33" i="21"/>
  <c r="H54" i="21"/>
  <c r="H22" i="27"/>
  <c r="K54" i="21"/>
  <c r="D18" i="28"/>
  <c r="D23" i="28" s="1"/>
  <c r="H62" i="21"/>
  <c r="K56" i="28"/>
  <c r="H56" i="28"/>
  <c r="H30" i="26"/>
  <c r="K65" i="25"/>
  <c r="H11" i="33"/>
  <c r="K67" i="26"/>
  <c r="H21" i="33"/>
  <c r="H26" i="25"/>
  <c r="H15" i="33"/>
  <c r="K49" i="26"/>
  <c r="H57" i="27"/>
  <c r="K104" i="21"/>
  <c r="K57" i="27"/>
  <c r="H17" i="29"/>
  <c r="K17" i="29"/>
  <c r="H11" i="21"/>
  <c r="K11" i="21"/>
  <c r="D69" i="26"/>
  <c r="H35" i="33"/>
  <c r="D37" i="33"/>
  <c r="K13" i="30"/>
  <c r="H13" i="30"/>
  <c r="F86" i="20"/>
  <c r="J53" i="20"/>
  <c r="D27" i="21"/>
  <c r="H27" i="21" s="1"/>
  <c r="E39" i="21"/>
  <c r="H58" i="21"/>
  <c r="K58" i="21"/>
  <c r="D63" i="21"/>
  <c r="K25" i="21"/>
  <c r="H25" i="21"/>
  <c r="K17" i="21"/>
  <c r="H17" i="21"/>
  <c r="K18" i="27"/>
  <c r="H18" i="27"/>
  <c r="D23" i="27"/>
  <c r="K22" i="25"/>
  <c r="H22" i="25"/>
  <c r="J37" i="2"/>
  <c r="G53" i="20"/>
  <c r="G37" i="2"/>
  <c r="I86" i="20"/>
  <c r="C4" i="33"/>
  <c r="D70" i="26" l="1"/>
  <c r="K70" i="26" s="1"/>
  <c r="E42" i="20"/>
  <c r="E24" i="23"/>
  <c r="H37" i="33"/>
  <c r="D39" i="22"/>
  <c r="E39" i="22" s="1"/>
  <c r="K24" i="23"/>
  <c r="H24" i="23"/>
  <c r="E35" i="20"/>
  <c r="E36" i="20"/>
  <c r="K27" i="25"/>
  <c r="H27" i="25"/>
  <c r="D67" i="25"/>
  <c r="E31" i="20"/>
  <c r="E41" i="20"/>
  <c r="E37" i="20"/>
  <c r="E44" i="20"/>
  <c r="E24" i="20"/>
  <c r="E39" i="20"/>
  <c r="K44" i="21"/>
  <c r="E40" i="20"/>
  <c r="H44" i="21"/>
  <c r="E43" i="20"/>
  <c r="E48" i="20"/>
  <c r="E11" i="20"/>
  <c r="E28" i="20"/>
  <c r="E81" i="20"/>
  <c r="E61" i="20"/>
  <c r="E57" i="20"/>
  <c r="E65" i="20"/>
  <c r="E50" i="20"/>
  <c r="E26" i="20"/>
  <c r="E64" i="20"/>
  <c r="E68" i="20"/>
  <c r="E51" i="20"/>
  <c r="E14" i="20"/>
  <c r="E74" i="20"/>
  <c r="E21" i="20"/>
  <c r="E25" i="20"/>
  <c r="E60" i="20"/>
  <c r="E82" i="20"/>
  <c r="E49" i="20"/>
  <c r="E75" i="20"/>
  <c r="E56" i="20"/>
  <c r="E29" i="20"/>
  <c r="E72" i="20"/>
  <c r="E13" i="20"/>
  <c r="E15" i="20"/>
  <c r="H31" i="20"/>
  <c r="E30" i="20"/>
  <c r="E78" i="20"/>
  <c r="E62" i="20"/>
  <c r="E63" i="20"/>
  <c r="K31" i="20"/>
  <c r="E80" i="20"/>
  <c r="E16" i="20"/>
  <c r="E83" i="20"/>
  <c r="E76" i="20"/>
  <c r="E45" i="20"/>
  <c r="E69" i="20"/>
  <c r="E59" i="20"/>
  <c r="E66" i="20"/>
  <c r="E67" i="20"/>
  <c r="E84" i="20"/>
  <c r="E46" i="20"/>
  <c r="E47" i="20"/>
  <c r="E20" i="20"/>
  <c r="E52" i="20"/>
  <c r="E77" i="20"/>
  <c r="E71" i="20"/>
  <c r="E79" i="20"/>
  <c r="E58" i="20"/>
  <c r="E27" i="20"/>
  <c r="E73" i="20"/>
  <c r="E70" i="20"/>
  <c r="E17" i="20"/>
  <c r="E22" i="20"/>
  <c r="E12" i="20"/>
  <c r="E23" i="20"/>
  <c r="D53" i="20"/>
  <c r="H17" i="26"/>
  <c r="K48" i="20"/>
  <c r="D22" i="26"/>
  <c r="K23" i="28"/>
  <c r="K18" i="28"/>
  <c r="D58" i="28"/>
  <c r="K69" i="26"/>
  <c r="H69" i="26"/>
  <c r="F87" i="20"/>
  <c r="G87" i="20" s="1"/>
  <c r="G86" i="20"/>
  <c r="J86" i="20"/>
  <c r="D106" i="21"/>
  <c r="H63" i="21"/>
  <c r="K63" i="21"/>
  <c r="E41" i="21"/>
  <c r="K27" i="21"/>
  <c r="D35" i="21"/>
  <c r="C4" i="30"/>
  <c r="C4" i="29"/>
  <c r="C4" i="28"/>
  <c r="C4" i="27"/>
  <c r="C4" i="26"/>
  <c r="C4" i="25"/>
  <c r="K23" i="27"/>
  <c r="H23" i="27"/>
  <c r="D59" i="27"/>
  <c r="C4" i="23"/>
  <c r="C4" i="22"/>
  <c r="C4" i="21"/>
  <c r="C4" i="20"/>
  <c r="G40" i="2"/>
  <c r="J40" i="2"/>
  <c r="I87" i="20"/>
  <c r="J87" i="20" s="1"/>
  <c r="H39" i="22" l="1"/>
  <c r="K39" i="22"/>
  <c r="H22" i="26"/>
  <c r="H70" i="26"/>
  <c r="H53" i="20"/>
  <c r="E52" i="21"/>
  <c r="D68" i="25"/>
  <c r="K68" i="25" s="1"/>
  <c r="H67" i="25"/>
  <c r="K67" i="25"/>
  <c r="K22" i="26"/>
  <c r="E53" i="20"/>
  <c r="D86" i="20"/>
  <c r="K53" i="20"/>
  <c r="K58" i="28"/>
  <c r="D59" i="28"/>
  <c r="K59" i="28" s="1"/>
  <c r="E26" i="21"/>
  <c r="H106" i="21"/>
  <c r="K106" i="21"/>
  <c r="E27" i="21"/>
  <c r="E95" i="21"/>
  <c r="E94" i="21"/>
  <c r="E82" i="21"/>
  <c r="E70" i="21"/>
  <c r="E56" i="21"/>
  <c r="E33" i="21"/>
  <c r="E23" i="21"/>
  <c r="E102" i="21"/>
  <c r="E50" i="21"/>
  <c r="E101" i="21"/>
  <c r="E63" i="21"/>
  <c r="E14" i="21"/>
  <c r="E106" i="21"/>
  <c r="E93" i="21"/>
  <c r="E81" i="21"/>
  <c r="E69" i="21"/>
  <c r="E55" i="21"/>
  <c r="E32" i="21"/>
  <c r="E24" i="21"/>
  <c r="E100" i="21"/>
  <c r="E88" i="21"/>
  <c r="E76" i="21"/>
  <c r="E62" i="21"/>
  <c r="E44" i="21"/>
  <c r="E15" i="21"/>
  <c r="E99" i="21"/>
  <c r="E87" i="21"/>
  <c r="E75" i="21"/>
  <c r="E61" i="21"/>
  <c r="E16" i="21"/>
  <c r="E98" i="21"/>
  <c r="E86" i="21"/>
  <c r="E74" i="21"/>
  <c r="E60" i="21"/>
  <c r="E19" i="21"/>
  <c r="E17" i="21"/>
  <c r="E104" i="21"/>
  <c r="E92" i="21"/>
  <c r="E80" i="21"/>
  <c r="E68" i="21"/>
  <c r="E54" i="21"/>
  <c r="E31" i="21"/>
  <c r="E11" i="21"/>
  <c r="E78" i="21"/>
  <c r="E66" i="21"/>
  <c r="E13" i="21"/>
  <c r="E89" i="21"/>
  <c r="E77" i="21"/>
  <c r="E25" i="21"/>
  <c r="E103" i="21"/>
  <c r="E91" i="21"/>
  <c r="E79" i="21"/>
  <c r="E67" i="21"/>
  <c r="E53" i="21"/>
  <c r="E30" i="21"/>
  <c r="E12" i="21"/>
  <c r="E90" i="21"/>
  <c r="E29" i="21"/>
  <c r="E97" i="21"/>
  <c r="E85" i="21"/>
  <c r="E73" i="21"/>
  <c r="E59" i="21"/>
  <c r="E20" i="21"/>
  <c r="E96" i="21"/>
  <c r="E84" i="21"/>
  <c r="E72" i="21"/>
  <c r="E58" i="21"/>
  <c r="E21" i="21"/>
  <c r="D46" i="21"/>
  <c r="E83" i="21"/>
  <c r="E71" i="21"/>
  <c r="E57" i="21"/>
  <c r="E35" i="21"/>
  <c r="E22" i="21"/>
  <c r="K35" i="21"/>
  <c r="H35" i="21"/>
  <c r="K59" i="27"/>
  <c r="H59" i="27"/>
  <c r="D60" i="27"/>
  <c r="J50" i="2"/>
  <c r="G50" i="2"/>
  <c r="H86" i="20" l="1"/>
  <c r="H68" i="25"/>
  <c r="E86" i="20"/>
  <c r="D87" i="20"/>
  <c r="E87" i="20" s="1"/>
  <c r="K86" i="20"/>
  <c r="G53" i="2"/>
  <c r="J53" i="2"/>
  <c r="E46" i="21"/>
  <c r="D107" i="21"/>
  <c r="K46" i="21"/>
  <c r="H46" i="21"/>
  <c r="K60" i="27"/>
  <c r="H60" i="27"/>
  <c r="H9" i="2"/>
  <c r="H87" i="20" l="1"/>
  <c r="K87" i="20"/>
  <c r="E107" i="21"/>
  <c r="K107" i="21"/>
  <c r="H107" i="21"/>
  <c r="H24" i="2"/>
  <c r="K24" i="2"/>
  <c r="K31" i="2"/>
  <c r="H31" i="2"/>
  <c r="K34" i="2"/>
  <c r="H34" i="2"/>
  <c r="H30" i="2"/>
  <c r="K30" i="2"/>
  <c r="K33" i="2"/>
  <c r="H33" i="2"/>
  <c r="K22" i="2"/>
  <c r="H22" i="2"/>
  <c r="E22" i="2"/>
  <c r="H46" i="2"/>
  <c r="K46" i="2"/>
  <c r="K9" i="2"/>
  <c r="K10" i="2"/>
  <c r="H10" i="2"/>
  <c r="K32" i="2"/>
  <c r="H32" i="2"/>
  <c r="K23" i="2"/>
  <c r="E23" i="2"/>
  <c r="H23" i="2"/>
  <c r="H44" i="2"/>
  <c r="K44" i="2"/>
  <c r="K16" i="2"/>
  <c r="H16" i="2"/>
  <c r="K18" i="2"/>
  <c r="K15" i="2"/>
  <c r="H15" i="2"/>
  <c r="H17" i="2"/>
  <c r="E32" i="25" l="1"/>
  <c r="E28" i="28"/>
  <c r="E17" i="25"/>
  <c r="E13" i="29"/>
  <c r="E49" i="27"/>
  <c r="E42" i="25"/>
  <c r="E50" i="25"/>
  <c r="E60" i="25"/>
  <c r="E61" i="25"/>
  <c r="E16" i="27"/>
  <c r="E13" i="28"/>
  <c r="E18" i="33"/>
  <c r="E14" i="33"/>
  <c r="E20" i="33"/>
  <c r="E26" i="33"/>
  <c r="E19" i="33"/>
  <c r="E30" i="33"/>
  <c r="E32" i="33"/>
  <c r="E24" i="33"/>
  <c r="E25" i="33"/>
  <c r="E31" i="33"/>
  <c r="E33" i="33"/>
  <c r="E34" i="33"/>
  <c r="E23" i="33"/>
  <c r="E10" i="33"/>
  <c r="E29" i="33"/>
  <c r="E17" i="33"/>
  <c r="E13" i="33"/>
  <c r="E15" i="33"/>
  <c r="E35" i="33"/>
  <c r="E21" i="33"/>
  <c r="E27" i="33"/>
  <c r="E11" i="33"/>
  <c r="E37" i="33"/>
  <c r="E29" i="28"/>
  <c r="E43" i="27"/>
  <c r="E42" i="27"/>
  <c r="E46" i="27"/>
  <c r="E16" i="25"/>
  <c r="E14" i="25"/>
  <c r="E15" i="25"/>
  <c r="E13" i="25"/>
  <c r="E18" i="25"/>
  <c r="E19" i="25"/>
  <c r="E22" i="25"/>
  <c r="E27" i="25"/>
  <c r="E67" i="25"/>
  <c r="E68" i="25"/>
  <c r="E46" i="25"/>
  <c r="E25" i="25"/>
  <c r="E40" i="25"/>
  <c r="E35" i="25"/>
  <c r="E48" i="25"/>
  <c r="E31" i="25"/>
  <c r="E38" i="25"/>
  <c r="E20" i="25"/>
  <c r="E41" i="25"/>
  <c r="E47" i="25"/>
  <c r="E37" i="25"/>
  <c r="E21" i="25"/>
  <c r="E30" i="25"/>
  <c r="E52" i="25"/>
  <c r="E24" i="25"/>
  <c r="E44" i="25"/>
  <c r="E64" i="25"/>
  <c r="E43" i="25"/>
  <c r="E53" i="25"/>
  <c r="E36" i="25"/>
  <c r="E59" i="25"/>
  <c r="E62" i="25"/>
  <c r="E54" i="25"/>
  <c r="E51" i="25"/>
  <c r="E57" i="25"/>
  <c r="E56" i="25"/>
  <c r="E55" i="25"/>
  <c r="E34" i="25"/>
  <c r="E58" i="25"/>
  <c r="E63" i="25"/>
  <c r="E39" i="25"/>
  <c r="E33" i="25"/>
  <c r="E49" i="25"/>
  <c r="E45" i="25"/>
  <c r="E23" i="25"/>
  <c r="E26" i="25"/>
  <c r="E65" i="25"/>
  <c r="E11" i="30"/>
  <c r="E50" i="28"/>
  <c r="G50" i="28" s="1"/>
  <c r="E11" i="29"/>
  <c r="E36" i="28"/>
  <c r="G36" i="28" s="1"/>
  <c r="E34" i="28"/>
  <c r="E17" i="27"/>
  <c r="E26" i="27"/>
  <c r="E55" i="27"/>
  <c r="E21" i="28"/>
  <c r="E44" i="28"/>
  <c r="E46" i="28"/>
  <c r="E10" i="29"/>
  <c r="E44" i="27"/>
  <c r="E36" i="27"/>
  <c r="E13" i="27"/>
  <c r="E20" i="28"/>
  <c r="G20" i="28" s="1"/>
  <c r="E52" i="28"/>
  <c r="E52" i="27"/>
  <c r="E50" i="27"/>
  <c r="E40" i="27"/>
  <c r="E48" i="27"/>
  <c r="E51" i="28"/>
  <c r="E41" i="28"/>
  <c r="E14" i="29"/>
  <c r="E48" i="28"/>
  <c r="E32" i="27"/>
  <c r="E53" i="27"/>
  <c r="E14" i="28"/>
  <c r="G14" i="28" s="1"/>
  <c r="E49" i="28"/>
  <c r="E54" i="28"/>
  <c r="G54" i="28" s="1"/>
  <c r="E15" i="29"/>
  <c r="E42" i="28"/>
  <c r="G42" i="28" s="1"/>
  <c r="E17" i="28"/>
  <c r="E35" i="28"/>
  <c r="E20" i="27"/>
  <c r="E47" i="27"/>
  <c r="E40" i="28"/>
  <c r="G40" i="28" s="1"/>
  <c r="E31" i="27"/>
  <c r="E15" i="27"/>
  <c r="E37" i="28"/>
  <c r="E12" i="29"/>
  <c r="E38" i="27"/>
  <c r="E54" i="27"/>
  <c r="E39" i="27"/>
  <c r="E33" i="28"/>
  <c r="E16" i="28"/>
  <c r="E33" i="27"/>
  <c r="E41" i="27"/>
  <c r="E16" i="29"/>
  <c r="E12" i="30"/>
  <c r="E55" i="28"/>
  <c r="G55" i="28" s="1"/>
  <c r="E30" i="28"/>
  <c r="G30" i="28" s="1"/>
  <c r="E56" i="27"/>
  <c r="E34" i="27"/>
  <c r="E37" i="27"/>
  <c r="E21" i="27"/>
  <c r="E45" i="27"/>
  <c r="E30" i="27"/>
  <c r="E35" i="27"/>
  <c r="E38" i="28"/>
  <c r="E39" i="28"/>
  <c r="G39" i="28" s="1"/>
  <c r="E45" i="28"/>
  <c r="E53" i="28"/>
  <c r="E51" i="27"/>
  <c r="E32" i="28"/>
  <c r="G32" i="28" s="1"/>
  <c r="E27" i="28"/>
  <c r="G27" i="28" s="1"/>
  <c r="E43" i="28"/>
  <c r="E27" i="27"/>
  <c r="E28" i="27"/>
  <c r="E31" i="28"/>
  <c r="E47" i="28"/>
  <c r="G47" i="28" s="1"/>
  <c r="E29" i="27"/>
  <c r="E19" i="28"/>
  <c r="E11" i="27"/>
  <c r="E19" i="27"/>
  <c r="E26" i="28"/>
  <c r="E17" i="29"/>
  <c r="E10" i="30"/>
  <c r="E11" i="28"/>
  <c r="E56" i="28"/>
  <c r="E15" i="28"/>
  <c r="E22" i="27"/>
  <c r="E57" i="27"/>
  <c r="E14" i="27"/>
  <c r="E22" i="28"/>
  <c r="E23" i="28"/>
  <c r="E18" i="28"/>
  <c r="E18" i="27"/>
  <c r="E58" i="28"/>
  <c r="E23" i="27"/>
  <c r="E59" i="28"/>
  <c r="E59" i="27"/>
  <c r="E60" i="27"/>
  <c r="E12" i="27"/>
  <c r="E65" i="26"/>
  <c r="E40" i="26"/>
  <c r="E44" i="26"/>
  <c r="E43" i="26"/>
  <c r="E58" i="26"/>
  <c r="E53" i="26"/>
  <c r="E64" i="26"/>
  <c r="E55" i="26"/>
  <c r="E54" i="26"/>
  <c r="E15" i="26"/>
  <c r="E19" i="26"/>
  <c r="E41" i="26"/>
  <c r="E28" i="26"/>
  <c r="E13" i="26"/>
  <c r="E66" i="26"/>
  <c r="E45" i="26"/>
  <c r="E61" i="26"/>
  <c r="E39" i="26"/>
  <c r="E48" i="26"/>
  <c r="E36" i="26"/>
  <c r="E42" i="26"/>
  <c r="E34" i="26"/>
  <c r="E38" i="26"/>
  <c r="E59" i="26"/>
  <c r="E16" i="26"/>
  <c r="E46" i="26"/>
  <c r="E37" i="26"/>
  <c r="E20" i="26"/>
  <c r="E63" i="26"/>
  <c r="E27" i="26"/>
  <c r="E60" i="26"/>
  <c r="E57" i="26"/>
  <c r="E56" i="26"/>
  <c r="E35" i="26"/>
  <c r="E47" i="26"/>
  <c r="E62" i="26"/>
  <c r="E29" i="26"/>
  <c r="E26" i="26"/>
  <c r="E11" i="26"/>
  <c r="E33" i="26"/>
  <c r="E52" i="26"/>
  <c r="E18" i="26"/>
  <c r="E17" i="26"/>
  <c r="E49" i="26"/>
  <c r="E21" i="26"/>
  <c r="E67" i="26"/>
  <c r="E30" i="26"/>
  <c r="E14" i="26"/>
  <c r="E69" i="26"/>
  <c r="E22" i="26"/>
  <c r="E70" i="26"/>
  <c r="E32" i="2"/>
  <c r="E11" i="25"/>
  <c r="E16" i="2"/>
  <c r="E18" i="2"/>
  <c r="E17" i="2"/>
  <c r="E44" i="2"/>
  <c r="E34" i="2"/>
  <c r="E15" i="2"/>
  <c r="E30" i="2"/>
  <c r="E46" i="2"/>
  <c r="E33" i="2"/>
  <c r="E31" i="2"/>
  <c r="K11" i="2"/>
  <c r="H11" i="2"/>
  <c r="K19" i="2"/>
  <c r="H19" i="2"/>
  <c r="E19" i="2"/>
  <c r="K12" i="2"/>
  <c r="H12" i="2"/>
  <c r="K35" i="2"/>
  <c r="H35" i="2"/>
  <c r="E35" i="2"/>
  <c r="H25" i="2"/>
  <c r="E25" i="2"/>
  <c r="K25" i="2"/>
  <c r="H13" i="2"/>
  <c r="K13" i="2"/>
  <c r="F18" i="28" l="1"/>
  <c r="G15" i="28"/>
  <c r="H15" i="28"/>
  <c r="K39" i="2"/>
  <c r="H39" i="2"/>
  <c r="E39" i="2"/>
  <c r="H27" i="2"/>
  <c r="E27" i="2"/>
  <c r="K27" i="2"/>
  <c r="H40" i="2" l="1"/>
  <c r="G18" i="28"/>
  <c r="F23" i="28"/>
  <c r="H18" i="28"/>
  <c r="H43" i="2"/>
  <c r="E43" i="2"/>
  <c r="K43" i="2"/>
  <c r="K37" i="2"/>
  <c r="H37" i="2"/>
  <c r="E37" i="2"/>
  <c r="K40" i="2" l="1"/>
  <c r="E40" i="2"/>
  <c r="G23" i="28"/>
  <c r="F58" i="28"/>
  <c r="H23" i="28"/>
  <c r="K47" i="2"/>
  <c r="H47" i="2"/>
  <c r="E47" i="2"/>
  <c r="H45" i="2"/>
  <c r="E45" i="2"/>
  <c r="K45" i="2"/>
  <c r="F59" i="28" l="1"/>
  <c r="G58" i="28"/>
  <c r="H58" i="28"/>
  <c r="K48" i="2"/>
  <c r="E48" i="2"/>
  <c r="H48" i="2"/>
  <c r="G59" i="28" l="1"/>
  <c r="H59" i="28"/>
  <c r="K50" i="2"/>
  <c r="H50" i="2"/>
  <c r="E50" i="2"/>
  <c r="K52" i="2" l="1"/>
  <c r="H52" i="2"/>
  <c r="E52" i="2"/>
  <c r="K53" i="2" l="1"/>
  <c r="H53" i="2"/>
  <c r="E53" i="2"/>
  <c r="E37" i="22" l="1"/>
  <c r="H37" i="22"/>
  <c r="K3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Galiardo</author>
  </authors>
  <commentList>
    <comment ref="C53" authorId="0" shapeId="0" xr:uid="{6502FAB6-068D-4A01-9917-20A0228E9B90}">
      <text>
        <r>
          <rPr>
            <b/>
            <sz val="9"/>
            <color indexed="81"/>
            <rFont val="Tahoma"/>
            <family val="2"/>
          </rPr>
          <t>Ellie Galiardo:</t>
        </r>
        <r>
          <rPr>
            <sz val="9"/>
            <color indexed="81"/>
            <rFont val="Tahoma"/>
            <family val="2"/>
          </rPr>
          <t xml:space="preserve">
"Shared Payroll"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Ellie Galiardo</author>
  </authors>
  <commentList>
    <comment ref="C14" authorId="0" shapeId="0" xr:uid="{F9D20AAE-9F92-49B9-869A-9AD294EB3F25}">
      <text>
        <r>
          <rPr>
            <b/>
            <sz val="9"/>
            <color indexed="81"/>
            <rFont val="Tahoma"/>
            <family val="2"/>
          </rPr>
          <t>Ellie Galiardo:</t>
        </r>
        <r>
          <rPr>
            <sz val="9"/>
            <color indexed="81"/>
            <rFont val="Tahoma"/>
            <family val="2"/>
          </rPr>
          <t xml:space="preserve">
"Shared Payroll"
</t>
        </r>
      </text>
    </comment>
  </commentList>
</comments>
</file>

<file path=xl/sharedStrings.xml><?xml version="1.0" encoding="utf-8"?>
<sst xmlns="http://schemas.openxmlformats.org/spreadsheetml/2006/main" count="1290" uniqueCount="723">
  <si>
    <t>May</t>
  </si>
  <si>
    <t>Total Rooms Available - 100</t>
  </si>
  <si>
    <t>Available Rooms</t>
  </si>
  <si>
    <t>Total Rooms Sold - 100</t>
  </si>
  <si>
    <t>Total Rooms Sold</t>
  </si>
  <si>
    <t>Occupancy</t>
  </si>
  <si>
    <t>Average Daily Rate</t>
  </si>
  <si>
    <t>Revenue per Available Room</t>
  </si>
  <si>
    <t/>
  </si>
  <si>
    <t>Revenues</t>
  </si>
  <si>
    <t>Total Revenue - 100</t>
  </si>
  <si>
    <t xml:space="preserve">    Rooms</t>
  </si>
  <si>
    <t>Total Revenue - 200</t>
  </si>
  <si>
    <t xml:space="preserve">    Food &amp; Beverage</t>
  </si>
  <si>
    <t>Total Revenue - 300</t>
  </si>
  <si>
    <t xml:space="preserve">    Other Operated Departments</t>
  </si>
  <si>
    <t>Total Revenue - 400</t>
  </si>
  <si>
    <t xml:space="preserve">    Miscellaneous Income</t>
  </si>
  <si>
    <t>Total Revenues</t>
  </si>
  <si>
    <t>Departmental Expense</t>
  </si>
  <si>
    <t>Total Departmental Expenses - 100</t>
  </si>
  <si>
    <t>Total Departmental Expenses - 200</t>
  </si>
  <si>
    <t>Total Departmental Expenses - 300</t>
  </si>
  <si>
    <t>Total Departmental Expense</t>
  </si>
  <si>
    <t>Total Departmental Profit</t>
  </si>
  <si>
    <t>Undistributed Expenses</t>
  </si>
  <si>
    <t>Total Departmental Expenses - 500</t>
  </si>
  <si>
    <t>Total Departmental Expenses - 600</t>
  </si>
  <si>
    <t>Total Departmental Expenses - 800</t>
  </si>
  <si>
    <t>Total Utilities Expense - 810</t>
  </si>
  <si>
    <t>Total Undistributed Expenses</t>
  </si>
  <si>
    <t>Gross Operating Profit</t>
  </si>
  <si>
    <t>Base Fee - 920</t>
  </si>
  <si>
    <t xml:space="preserve">    Management Fees</t>
  </si>
  <si>
    <t>Incentive Fee - 920</t>
  </si>
  <si>
    <t>Income before non-operating inc &amp; expense</t>
  </si>
  <si>
    <t>Total Non-Operating Income - 900</t>
  </si>
  <si>
    <t xml:space="preserve">    Income</t>
  </si>
  <si>
    <t>Total Rent - 900</t>
  </si>
  <si>
    <t xml:space="preserve">    Rent</t>
  </si>
  <si>
    <t>Total Taxes - 900</t>
  </si>
  <si>
    <t xml:space="preserve">    Property &amp; Other Taxes</t>
  </si>
  <si>
    <t>Total Insurance - 900</t>
  </si>
  <si>
    <t xml:space="preserve">    Insurance</t>
  </si>
  <si>
    <t>Total Other Expenses - 900</t>
  </si>
  <si>
    <t xml:space="preserve">    Other</t>
  </si>
  <si>
    <t>Total non-operating income &amp; expenses</t>
  </si>
  <si>
    <t>EBITDA</t>
  </si>
  <si>
    <t>FF&amp;E - 930</t>
  </si>
  <si>
    <t>Management Fees</t>
  </si>
  <si>
    <t>Administrative &amp; General - 600</t>
  </si>
  <si>
    <t>Other Expenses</t>
  </si>
  <si>
    <t>Agency Fees - 700</t>
  </si>
  <si>
    <t>Rooms</t>
  </si>
  <si>
    <t>Allowances - 100</t>
  </si>
  <si>
    <t>Other Revenue</t>
  </si>
  <si>
    <t>Health Club/Spa</t>
  </si>
  <si>
    <t>Audit Charges - 500</t>
  </si>
  <si>
    <t>Parking</t>
  </si>
  <si>
    <t>Retail</t>
  </si>
  <si>
    <t>Guest Communications</t>
  </si>
  <si>
    <t>Laundry &amp; Dry Cleaning</t>
  </si>
  <si>
    <t>Bank Charges - 500</t>
  </si>
  <si>
    <t>Beverage Revenue</t>
  </si>
  <si>
    <t>Building Expense - 800</t>
  </si>
  <si>
    <t>Cash Overages &amp; Shortages - 500</t>
  </si>
  <si>
    <t>Centralized Accounting Charges - 500</t>
  </si>
  <si>
    <t>Centralized Information System Charges - 600</t>
  </si>
  <si>
    <t>Utilities</t>
  </si>
  <si>
    <t>Cleaning Supplies - 100</t>
  </si>
  <si>
    <t>Cluster Services - 600</t>
  </si>
  <si>
    <t>Cluster Services - 700</t>
  </si>
  <si>
    <t>Collateral Material - 700</t>
  </si>
  <si>
    <t>Commissions - 100</t>
  </si>
  <si>
    <t>Commissions &amp; Fees - Group - 100</t>
  </si>
  <si>
    <t>Comp F&amp;B Reg S&amp;W - 100</t>
  </si>
  <si>
    <t>Complimentary Food &amp; Beverage - 100</t>
  </si>
  <si>
    <t>Complimentary In-Room/Media Entertainment - 100</t>
  </si>
  <si>
    <t>Complimentary Services &amp; Gifts - 100</t>
  </si>
  <si>
    <t>Complimentary Services &amp; Gifts - 500</t>
  </si>
  <si>
    <t>Complimentary Services &amp; Gifts - 700</t>
  </si>
  <si>
    <t>Food Revenue</t>
  </si>
  <si>
    <t>Contract Rooms Revenue - 100</t>
  </si>
  <si>
    <t>Contract Services - 100</t>
  </si>
  <si>
    <t>Contract Services - 500</t>
  </si>
  <si>
    <t>Contract Services - 600</t>
  </si>
  <si>
    <t>Contract Services - 700</t>
  </si>
  <si>
    <t>Contract Services - 800</t>
  </si>
  <si>
    <t>Contract Services - 810</t>
  </si>
  <si>
    <t>Corporate Office Reimbursables - 100</t>
  </si>
  <si>
    <t>Corporate Office Reimbursables - 500</t>
  </si>
  <si>
    <t>Corporate Office Reimbursables - 600</t>
  </si>
  <si>
    <t>Corporate Office Reimbursables - 700</t>
  </si>
  <si>
    <t>Corporate Office Reimbursables - 800</t>
  </si>
  <si>
    <t>Cost of Cell Phones - 600</t>
  </si>
  <si>
    <t>Cost of Food &amp; Beverage Sales - 200</t>
  </si>
  <si>
    <t>Cost of Internet Services - 600</t>
  </si>
  <si>
    <t>Cost of Local Calls - 600</t>
  </si>
  <si>
    <t>Cost of Long Distance Calls - 600</t>
  </si>
  <si>
    <t>Cost of Other Sales - 200</t>
  </si>
  <si>
    <t>Cost of Services - 600</t>
  </si>
  <si>
    <t>Credit Card Commissions - 500</t>
  </si>
  <si>
    <t>Credit &amp; Collection - 500</t>
  </si>
  <si>
    <t>Decorations - 100</t>
  </si>
  <si>
    <t>Decorations - 500</t>
  </si>
  <si>
    <t>Decorations - 700</t>
  </si>
  <si>
    <t>Dept Profit - 100</t>
  </si>
  <si>
    <t>Dept Profit - 300</t>
  </si>
  <si>
    <t>Donations - 500</t>
  </si>
  <si>
    <t>Dues &amp; Subscriptions - 100</t>
  </si>
  <si>
    <t>Dues &amp; Subscriptions - 500</t>
  </si>
  <si>
    <t>Dues &amp; Subscriptions - 600</t>
  </si>
  <si>
    <t>Dues &amp; Subscriptions - 700</t>
  </si>
  <si>
    <t>Electrical &amp; Mechanical Equipment - 800</t>
  </si>
  <si>
    <t>Electricity - 810</t>
  </si>
  <si>
    <t>Elevators &amp; Escalators - 800</t>
  </si>
  <si>
    <t>Energy Management - 600</t>
  </si>
  <si>
    <t>Engineering Supplies - 800</t>
  </si>
  <si>
    <t>Entertainment- In-House - 100</t>
  </si>
  <si>
    <t>Entertainment - In-House - 500</t>
  </si>
  <si>
    <t>Entertainment- In-House - 600</t>
  </si>
  <si>
    <t>Entertainment - In-House - 700</t>
  </si>
  <si>
    <t>Equipment Rental - 100</t>
  </si>
  <si>
    <t>Equipment Rental - 500</t>
  </si>
  <si>
    <t>Equipment Rental - 600</t>
  </si>
  <si>
    <t>Equipment Rental - 700</t>
  </si>
  <si>
    <t>Equipment Rental - 800</t>
  </si>
  <si>
    <t>Familiarization Trips - 700</t>
  </si>
  <si>
    <t>Floor Covering - 800</t>
  </si>
  <si>
    <t>Food &amp; Beverage - 600</t>
  </si>
  <si>
    <t>Franchise And Affiliation Fees - Royalties - 700</t>
  </si>
  <si>
    <t>Franchise And Affiliation Marketing - 700</t>
  </si>
  <si>
    <t>Front Desk Management Reg S&amp;W - 100</t>
  </si>
  <si>
    <t>Front Desk Reg S&amp;W - 100</t>
  </si>
  <si>
    <t>Furniture &amp; Equipment - 800</t>
  </si>
  <si>
    <t>Gas - 810</t>
  </si>
  <si>
    <t>Gas</t>
  </si>
  <si>
    <t>Golf - 600</t>
  </si>
  <si>
    <t>Grounds Maintenance &amp; Landscaping - 800</t>
  </si>
  <si>
    <t>Group Association/Convention - 100</t>
  </si>
  <si>
    <t>Group Corporate - 100</t>
  </si>
  <si>
    <t>Group Government - 100</t>
  </si>
  <si>
    <t>Group Other - 100</t>
  </si>
  <si>
    <t>Group Rooms Revenue - 100</t>
  </si>
  <si>
    <t>Group SMERF - 100</t>
  </si>
  <si>
    <t>Group Tour/Wholesalers - 100</t>
  </si>
  <si>
    <t>Guest Relocation - 100</t>
  </si>
  <si>
    <t>Guest Supplies - 100</t>
  </si>
  <si>
    <t>Guest Transportation - 100</t>
  </si>
  <si>
    <t>Hardware - 600</t>
  </si>
  <si>
    <t>Health Club/Spa - 600</t>
  </si>
  <si>
    <t>Housekeeping Management Reg S&amp;W - 100</t>
  </si>
  <si>
    <t>Housekeeping Reg S&amp;W - 100</t>
  </si>
  <si>
    <t>Human Resources - 500</t>
  </si>
  <si>
    <t>Human Resources - 600</t>
  </si>
  <si>
    <t>HVAC Equipment - 800</t>
  </si>
  <si>
    <t>Information Security - 600</t>
  </si>
  <si>
    <t>Information Systems - 600</t>
  </si>
  <si>
    <t>Kitchen Equipment - 800</t>
  </si>
  <si>
    <t>Laundry &amp; Dry Cleaning - 100</t>
  </si>
  <si>
    <t>Laundry Equipment - 800</t>
  </si>
  <si>
    <t>Legal Services - 500</t>
  </si>
  <si>
    <t>Licenses &amp; Permits - 100</t>
  </si>
  <si>
    <t>Licenses &amp; Permits - 500</t>
  </si>
  <si>
    <t>Licenses &amp; Permits - 800</t>
  </si>
  <si>
    <t>Life/Safety - 800</t>
  </si>
  <si>
    <t>Light Bulbs - 800</t>
  </si>
  <si>
    <t>Linen - 100</t>
  </si>
  <si>
    <t>Loyalty Programs - 700</t>
  </si>
  <si>
    <t>Media - 700</t>
  </si>
  <si>
    <t>Misc. Attrition Fees - 400</t>
  </si>
  <si>
    <t>Misc. Cancellation Fees - 400</t>
  </si>
  <si>
    <t>Misc. Cash Discounts Earned - 400</t>
  </si>
  <si>
    <t>Misc. Commissions - 400</t>
  </si>
  <si>
    <t>Miscellaneous - 100</t>
  </si>
  <si>
    <t>Miscellaneous - 500</t>
  </si>
  <si>
    <t>Miscellaneous - 600</t>
  </si>
  <si>
    <t>Miscellaneous - 700</t>
  </si>
  <si>
    <t>Miscellaneous - 800</t>
  </si>
  <si>
    <t>Misc. Guest Laundry &amp; Dry Cleaning - 400</t>
  </si>
  <si>
    <t>Misc. Interest Income - 400</t>
  </si>
  <si>
    <t>Misc. Other Breakage - 400</t>
  </si>
  <si>
    <t>Misc. Other Income - 400</t>
  </si>
  <si>
    <t>Misc. Package Breakage - 400</t>
  </si>
  <si>
    <t>Misc. Resort Fees - 400</t>
  </si>
  <si>
    <t>Misc. Space Rental &amp; Concessions - 400</t>
  </si>
  <si>
    <t>Non-Mgmt Accounting Regular S&amp;W - 500</t>
  </si>
  <si>
    <t>Non-Mgmt Executive Regular S&amp;W - 500</t>
  </si>
  <si>
    <t>Non-Mgmt HR Regular S&amp;W - 500</t>
  </si>
  <si>
    <t>Non-Mgmt Security Regular S&amp;W - 500</t>
  </si>
  <si>
    <t>Non-Mgmt Unassigned Regular S&amp;W - 500</t>
  </si>
  <si>
    <t>Operating Supplies - 100</t>
  </si>
  <si>
    <t>Operating Supplies - 500</t>
  </si>
  <si>
    <t>Operating Supplies - 600</t>
  </si>
  <si>
    <t>Operating Supplies - 700</t>
  </si>
  <si>
    <t>Operating Supplies - 800</t>
  </si>
  <si>
    <t>Other - 600</t>
  </si>
  <si>
    <t>Other - Allowances - 200</t>
  </si>
  <si>
    <t>Other - Audiovisual Revenue - 200</t>
  </si>
  <si>
    <t>Other Cost of Services - 600</t>
  </si>
  <si>
    <t>Other Equipment - 600</t>
  </si>
  <si>
    <t>Other Expenses - 600</t>
  </si>
  <si>
    <t>Other Fee - 920</t>
  </si>
  <si>
    <t>Other Fuels - 810</t>
  </si>
  <si>
    <t>Other - Function Room Rental &amp; Setup Charges - 200</t>
  </si>
  <si>
    <t>Other - Other Revenue - 200</t>
  </si>
  <si>
    <t>Other Rooms Revenue - 100</t>
  </si>
  <si>
    <t>Other - Surcharges &amp; Service Charges - 200</t>
  </si>
  <si>
    <t>Outside Services Market Research - 700</t>
  </si>
  <si>
    <t>Painting and Wallcovering - 800</t>
  </si>
  <si>
    <t>Parking - 600</t>
  </si>
  <si>
    <t>Payroll Processing - 500</t>
  </si>
  <si>
    <t>Photography - 700</t>
  </si>
  <si>
    <t>Plumbing - 800</t>
  </si>
  <si>
    <t>Postage &amp; Overnight Delivery - 500</t>
  </si>
  <si>
    <t>Postage &amp; Overnight Delivery - 700</t>
  </si>
  <si>
    <t>Postage &amp; Overnight Delivery Charges - 100</t>
  </si>
  <si>
    <t>Printing &amp; Stationary - 100</t>
  </si>
  <si>
    <t>Printing &amp; Stationary - 700</t>
  </si>
  <si>
    <t>Professional Fees - 500</t>
  </si>
  <si>
    <t>Promotion - 700</t>
  </si>
  <si>
    <t>Property Operations &amp; Maintenance - 600</t>
  </si>
  <si>
    <t>Provision for Doubtful Accounts - 500</t>
  </si>
  <si>
    <t>Reservations - 100</t>
  </si>
  <si>
    <t>Reservations Reg S&amp;W - 100</t>
  </si>
  <si>
    <t>Rooms - 600</t>
  </si>
  <si>
    <t>Room Service Beverage - 200</t>
  </si>
  <si>
    <t>Room Service Food - 200</t>
  </si>
  <si>
    <t>Sales &amp; Marketing - 600</t>
  </si>
  <si>
    <t>Security - 500</t>
  </si>
  <si>
    <t>Settlement Costs - 500</t>
  </si>
  <si>
    <t>Steam - 810</t>
  </si>
  <si>
    <t>Supplemental Pay - 800</t>
  </si>
  <si>
    <t>Swimming Pool - 800</t>
  </si>
  <si>
    <t>S&amp;W Management - 100</t>
  </si>
  <si>
    <t>S&amp;W Management - 700</t>
  </si>
  <si>
    <t>S&amp;W Management Reg - 600</t>
  </si>
  <si>
    <t>S&amp;W Management Reg - 800</t>
  </si>
  <si>
    <t>S&amp;W Non-Management - 100</t>
  </si>
  <si>
    <t>S&amp;W Non-Management - 600</t>
  </si>
  <si>
    <t>S&amp;W Non-Management - 700</t>
  </si>
  <si>
    <t>S&amp;W Non-Management - 800</t>
  </si>
  <si>
    <t>Systems Expenses - 600</t>
  </si>
  <si>
    <t>System Storage &amp; Optimization - 600</t>
  </si>
  <si>
    <t>Telecommunications - 600</t>
  </si>
  <si>
    <t>Total Banquets Beverage- 200</t>
  </si>
  <si>
    <t>Total Banquets Food - 200</t>
  </si>
  <si>
    <t>Total Bonuses &amp; Incentives - 100</t>
  </si>
  <si>
    <t>Total Bonuses &amp; Incentives - 200</t>
  </si>
  <si>
    <t>Total Bonuses &amp; Incentives - 500</t>
  </si>
  <si>
    <t>Total Bonuses &amp; Incentives - 600</t>
  </si>
  <si>
    <t>Total Bonuses &amp; Incentives - 700</t>
  </si>
  <si>
    <t>Total Bonuses &amp; Incentives - 800</t>
  </si>
  <si>
    <t>Total Contracted Leased &amp; Outsourced Labor - 100</t>
  </si>
  <si>
    <t>Total Contracted Leased &amp; Outsourced Labor - 200</t>
  </si>
  <si>
    <t>Total Contracted Leased &amp; Outsourced Labor - 600</t>
  </si>
  <si>
    <t>Total Cost of F&amp;B Division Sales - 200</t>
  </si>
  <si>
    <t>Total Departmental Expenses - 310</t>
  </si>
  <si>
    <t>Total Departmental Expenses - 320</t>
  </si>
  <si>
    <t>Total Departmental Expenses - 340</t>
  </si>
  <si>
    <t>Total Departmental Expenses - 350</t>
  </si>
  <si>
    <t>Total Departmental Expenses - 360</t>
  </si>
  <si>
    <t>Total Departmental Expenses - 370</t>
  </si>
  <si>
    <t>Total Departmental Expenses - 380</t>
  </si>
  <si>
    <t>Total Departmental Expenses - 700</t>
  </si>
  <si>
    <t>Total Employee Benefits - 100</t>
  </si>
  <si>
    <t>Total Employee Benefits - 200</t>
  </si>
  <si>
    <t>Total Employee Benefits - 500</t>
  </si>
  <si>
    <t>Total Employee Benefits - 600</t>
  </si>
  <si>
    <t>Total Employee Benefits - 700</t>
  </si>
  <si>
    <t>Total Employee Benefits - 800</t>
  </si>
  <si>
    <t>Total Guest Communications Revenue - 350</t>
  </si>
  <si>
    <t>Total Health Club/Spa Revenue - 310</t>
  </si>
  <si>
    <t>Total Labor Costs &amp; Related Expenses - 200</t>
  </si>
  <si>
    <t>Total Labor Costs &amp; Related Expenses - 500</t>
  </si>
  <si>
    <t>Total Labor Costs &amp; Related Expenses - 600</t>
  </si>
  <si>
    <t>Total Labor Costs &amp; Related Expenses - 700</t>
  </si>
  <si>
    <t>Total Labor Costs &amp; Related Expenses - 800</t>
  </si>
  <si>
    <t>Total Laundry &amp; Dry Cleaning Revenue - 360</t>
  </si>
  <si>
    <t>Total Management Fees - 920</t>
  </si>
  <si>
    <t>Total Minor Operated Department-3 Revenue - 370</t>
  </si>
  <si>
    <t>Total Minor Operated Department-4 Revenue - 380</t>
  </si>
  <si>
    <t>Total Other Expenses - 100</t>
  </si>
  <si>
    <t>Total Other Expenses - 500</t>
  </si>
  <si>
    <t>Total Other Expenses - 600</t>
  </si>
  <si>
    <t>Total Other Expenses - 700</t>
  </si>
  <si>
    <t>Total Parking Revenue - 320</t>
  </si>
  <si>
    <t>Total Payroll-Related Expenses - 100</t>
  </si>
  <si>
    <t>Total Payroll-Related Expenses - 200</t>
  </si>
  <si>
    <t>Total Payroll-Related Expenses - 500</t>
  </si>
  <si>
    <t>Total Payroll-Related Expenses - 600</t>
  </si>
  <si>
    <t>Total Payroll-Related Expenses - 700</t>
  </si>
  <si>
    <t>Total Payroll-Related Expenses - 800</t>
  </si>
  <si>
    <t>Total Payroll Taxes - 100</t>
  </si>
  <si>
    <t>Total Payroll Taxes - 200</t>
  </si>
  <si>
    <t>Total Payroll Taxes - 500</t>
  </si>
  <si>
    <t>Total Payroll Taxes - 600</t>
  </si>
  <si>
    <t>Total Payroll Taxes - 700</t>
  </si>
  <si>
    <t>Total Payroll Taxes - 800</t>
  </si>
  <si>
    <t>Total Retail Revenue - 340</t>
  </si>
  <si>
    <t>Total Salaries &amp; Wages - 500</t>
  </si>
  <si>
    <t>Total Salaries &amp; Wages - 600</t>
  </si>
  <si>
    <t>Total Salaries &amp; Wages - 700</t>
  </si>
  <si>
    <t>Total Salaries &amp; Wages - 800</t>
  </si>
  <si>
    <t>Total Service Charge Distribution - 200</t>
  </si>
  <si>
    <t>Total Supplemental Pay - 100</t>
  </si>
  <si>
    <t>Total Supplemental Pay - 200</t>
  </si>
  <si>
    <t>Total Supplemental Pay - 500</t>
  </si>
  <si>
    <t>Total Supplemental Pay - 600</t>
  </si>
  <si>
    <t>Total Supplemental Pay - 700</t>
  </si>
  <si>
    <t>Trade Shows - 700</t>
  </si>
  <si>
    <t>Training - 100</t>
  </si>
  <si>
    <t>Training - 500</t>
  </si>
  <si>
    <t>Training - 600</t>
  </si>
  <si>
    <t>Training - 700</t>
  </si>
  <si>
    <t>Training - 800</t>
  </si>
  <si>
    <t>Transient Discount - 100</t>
  </si>
  <si>
    <t>Transient Negotiated - 100</t>
  </si>
  <si>
    <t>Transient Qualified - 100</t>
  </si>
  <si>
    <t>Transient Rebates and Subsidies - 100</t>
  </si>
  <si>
    <t>Transient Retail - 100</t>
  </si>
  <si>
    <t>Transient Rooms Revenue - 100</t>
  </si>
  <si>
    <t>Transient Wholesale - 100</t>
  </si>
  <si>
    <t>Travel - Meals &amp; Entertainment - 100</t>
  </si>
  <si>
    <t>Travel - Meals &amp; Entertainment - 500</t>
  </si>
  <si>
    <t>Travel - Meals &amp; Entertainment - 600</t>
  </si>
  <si>
    <t>Travel - Meals &amp; Entertainment - 700</t>
  </si>
  <si>
    <t>Travel - Meals &amp; Entertainment - 800</t>
  </si>
  <si>
    <t>Travel - Other - 100</t>
  </si>
  <si>
    <t>Travel - Other - 500</t>
  </si>
  <si>
    <t>Travel - Other - 600</t>
  </si>
  <si>
    <t>Travel - Other - 700</t>
  </si>
  <si>
    <t>Travel - Other - 800</t>
  </si>
  <si>
    <t>Unassigned Management Reg S&amp;W - 100</t>
  </si>
  <si>
    <t>Uniform Costs - 100</t>
  </si>
  <si>
    <t>Uniform Costs - 500</t>
  </si>
  <si>
    <t>Uniform Costs - 600</t>
  </si>
  <si>
    <t>Uniform Costs - 800</t>
  </si>
  <si>
    <t>Uniform Laundry - 100</t>
  </si>
  <si>
    <t>Uniform Laundry - 500</t>
  </si>
  <si>
    <t>Uniform Laundry - 600</t>
  </si>
  <si>
    <t>Uniform Laundry - 700</t>
  </si>
  <si>
    <t>Uniform Laundry - 800</t>
  </si>
  <si>
    <t>Vehicle Repairs and Maintenance - 800</t>
  </si>
  <si>
    <t>Venue Beverage - Minibar Revenue - 200</t>
  </si>
  <si>
    <t>Venue Food - Minibar Revenue - 200</t>
  </si>
  <si>
    <t>Venues Beverage - 200</t>
  </si>
  <si>
    <t>Venues Food - 200</t>
  </si>
  <si>
    <t>Waste Removal - 800</t>
  </si>
  <si>
    <t>Water &amp; Sewer - 810</t>
  </si>
  <si>
    <t>Web-Site - 700</t>
  </si>
  <si>
    <t>Rebates</t>
  </si>
  <si>
    <t>Discount</t>
  </si>
  <si>
    <t>Negotiated</t>
  </si>
  <si>
    <t>Qualified</t>
  </si>
  <si>
    <t>Wholesale</t>
  </si>
  <si>
    <t>Corporate</t>
  </si>
  <si>
    <t>Government</t>
  </si>
  <si>
    <t>SMERF</t>
  </si>
  <si>
    <t>Miscellaneous</t>
  </si>
  <si>
    <t>Supplemental Pay</t>
  </si>
  <si>
    <t>Employee Benefits</t>
  </si>
  <si>
    <t>Cleaning Supplies</t>
  </si>
  <si>
    <t>Commissions &amp; Fees - Group</t>
  </si>
  <si>
    <t>Complimentary Services &amp; Gifts</t>
  </si>
  <si>
    <t>Contract Services</t>
  </si>
  <si>
    <t>Decorations</t>
  </si>
  <si>
    <t>Equipment Rental</t>
  </si>
  <si>
    <t>Guest Relocation</t>
  </si>
  <si>
    <t>Guest Supplies</t>
  </si>
  <si>
    <t>Guest Transportation</t>
  </si>
  <si>
    <t>Licenses &amp; Permits</t>
  </si>
  <si>
    <t>Linen</t>
  </si>
  <si>
    <t>Operating Supplies</t>
  </si>
  <si>
    <t>Reservations</t>
  </si>
  <si>
    <t>Training</t>
  </si>
  <si>
    <t>Travel - Meals &amp; Entertainment</t>
  </si>
  <si>
    <t>Travel - Other</t>
  </si>
  <si>
    <t>Uniform Costs</t>
  </si>
  <si>
    <t>Commissions</t>
  </si>
  <si>
    <t>Total Departmental Expenses</t>
  </si>
  <si>
    <t>Food &amp; Beverage</t>
  </si>
  <si>
    <t>Other Operated Departments</t>
  </si>
  <si>
    <t>Administrative &amp; General</t>
  </si>
  <si>
    <t>Information &amp; Telecom Systems</t>
  </si>
  <si>
    <t>Sales &amp; Marketing</t>
  </si>
  <si>
    <t>Property Operation &amp; Maintenance</t>
  </si>
  <si>
    <t>Non-Operating Income &amp; Expenses</t>
  </si>
  <si>
    <t>FF&amp;E ProForma Calculation</t>
  </si>
  <si>
    <t>EBITDA: Less Replacement Reserve</t>
  </si>
  <si>
    <t>VARIANCE</t>
  </si>
  <si>
    <t>Budget</t>
  </si>
  <si>
    <t>%</t>
  </si>
  <si>
    <t>$</t>
  </si>
  <si>
    <t>Actual</t>
  </si>
  <si>
    <t>Transient Rooms Revenue</t>
  </si>
  <si>
    <t>Total Transient Room Rev</t>
  </si>
  <si>
    <t>Group Rooms Revenue</t>
  </si>
  <si>
    <t>Association/Convention</t>
  </si>
  <si>
    <t>Tour/Wholesalers</t>
  </si>
  <si>
    <t>Total Group Room Rev</t>
  </si>
  <si>
    <t>Contract Rooms Revenue</t>
  </si>
  <si>
    <t>Other Rooms Revenue</t>
  </si>
  <si>
    <t>Rooms: Allowances</t>
  </si>
  <si>
    <t>Total Rooms Revenue</t>
  </si>
  <si>
    <t>Labor &amp; Related Expenses</t>
  </si>
  <si>
    <t>Salaries &amp; Wages</t>
  </si>
  <si>
    <t>Management</t>
  </si>
  <si>
    <t>Non-Management</t>
  </si>
  <si>
    <t>Front Office</t>
  </si>
  <si>
    <t>Housekeeping</t>
  </si>
  <si>
    <t>Total Salaries and Wages</t>
  </si>
  <si>
    <t>Contracted &amp; Leased Labor</t>
  </si>
  <si>
    <t>Bonuses &amp; Incentives</t>
  </si>
  <si>
    <t>Total Labor Expense</t>
  </si>
  <si>
    <t>Payroll Taxes</t>
  </si>
  <si>
    <t>Total Payroll Related</t>
  </si>
  <si>
    <t>Total Labor &amp; Related Exp</t>
  </si>
  <si>
    <t>Postage and Overnight Delivery</t>
  </si>
  <si>
    <t>Printing &amp; Stationery</t>
  </si>
  <si>
    <t>Complimentary Food &amp; Beverage</t>
  </si>
  <si>
    <t>Uniforms Laundry</t>
  </si>
  <si>
    <t>Complimentary In Room Media Ent.</t>
  </si>
  <si>
    <t>Corporate Office Reimbursement</t>
  </si>
  <si>
    <t>Total Reservations Fees &amp; Other Exp</t>
  </si>
  <si>
    <t>Total Operations Expense</t>
  </si>
  <si>
    <t>Total Expenses</t>
  </si>
  <si>
    <t>Department Profit (Loss)</t>
  </si>
  <si>
    <t>Other Group</t>
  </si>
  <si>
    <t>Housekeeping Mgmt</t>
  </si>
  <si>
    <t>Front Desk Mgmt</t>
  </si>
  <si>
    <t>Comp F&amp;B</t>
  </si>
  <si>
    <t>Dues and Subscriptions</t>
  </si>
  <si>
    <t>Entertainment - In-House</t>
  </si>
  <si>
    <t>Retail Shop</t>
  </si>
  <si>
    <t>Total Departmental Revenues</t>
  </si>
  <si>
    <t>Departmental Expenses (Incl COS)</t>
  </si>
  <si>
    <t>Misc. Minor Operated Departments</t>
  </si>
  <si>
    <t>Minor Other Operated Departments</t>
  </si>
  <si>
    <t>Space Rent &amp; Concessions</t>
  </si>
  <si>
    <t>Cash Discounts Earned</t>
  </si>
  <si>
    <t>Attrition Penalties</t>
  </si>
  <si>
    <t>Cancellation Penalties</t>
  </si>
  <si>
    <t>Guest Laundry &amp; Dry Cleaning</t>
  </si>
  <si>
    <t>Other Breakage</t>
  </si>
  <si>
    <t>Package Breakage</t>
  </si>
  <si>
    <t>Resort Fees</t>
  </si>
  <si>
    <t>Other</t>
  </si>
  <si>
    <t>Total Revenue</t>
  </si>
  <si>
    <t>Interest Income</t>
  </si>
  <si>
    <t>Accounting</t>
  </si>
  <si>
    <t>Professional Fees</t>
  </si>
  <si>
    <t>Credit Card Commissions</t>
  </si>
  <si>
    <t>Cash Overages &amp; Shortages</t>
  </si>
  <si>
    <t>Provision for Doubtful Accounts</t>
  </si>
  <si>
    <t>Bank Charges</t>
  </si>
  <si>
    <t>Payroll Processing</t>
  </si>
  <si>
    <t>Legal Services</t>
  </si>
  <si>
    <t>Donations</t>
  </si>
  <si>
    <t>Security</t>
  </si>
  <si>
    <t>Human Resources (Consolidated)</t>
  </si>
  <si>
    <t>Executive</t>
  </si>
  <si>
    <t>HR</t>
  </si>
  <si>
    <t>Unassigned</t>
  </si>
  <si>
    <t>Audit Charges</t>
  </si>
  <si>
    <t>Centralized Accounting Charges</t>
  </si>
  <si>
    <t>Credit &amp; Collection</t>
  </si>
  <si>
    <t>Entertainment In-House</t>
  </si>
  <si>
    <t>Human Resources</t>
  </si>
  <si>
    <t>Settlement Costs</t>
  </si>
  <si>
    <t>Cost of Services</t>
  </si>
  <si>
    <t>Cost of Cell Phones</t>
  </si>
  <si>
    <t>Cost of Internet Services</t>
  </si>
  <si>
    <t>Cost of Local Calls</t>
  </si>
  <si>
    <t>Cost of Long Distance Calls</t>
  </si>
  <si>
    <t>Other Cost of Services</t>
  </si>
  <si>
    <t>Total Cost of Services</t>
  </si>
  <si>
    <t>System Expenses</t>
  </si>
  <si>
    <t>Administrative and General</t>
  </si>
  <si>
    <t>Total System Expenses</t>
  </si>
  <si>
    <t>Energy Management</t>
  </si>
  <si>
    <t>Golf</t>
  </si>
  <si>
    <t>Hardware</t>
  </si>
  <si>
    <t>Information Security</t>
  </si>
  <si>
    <t>Information Systems</t>
  </si>
  <si>
    <t>Property Operations &amp; Maintenance</t>
  </si>
  <si>
    <t>Telecommunications</t>
  </si>
  <si>
    <t>Cluster Services</t>
  </si>
  <si>
    <t>Corporate Office Reimbursables</t>
  </si>
  <si>
    <t>Dues &amp; Subscriptions</t>
  </si>
  <si>
    <t>Entertainment- In-House</t>
  </si>
  <si>
    <t>Other Equipment</t>
  </si>
  <si>
    <t>System Storage &amp; Optimization</t>
  </si>
  <si>
    <t>Uniform Laundry</t>
  </si>
  <si>
    <t>Promotion</t>
  </si>
  <si>
    <t>Trade Shows</t>
  </si>
  <si>
    <t>Collateral Materials</t>
  </si>
  <si>
    <t>Website</t>
  </si>
  <si>
    <t>Media</t>
  </si>
  <si>
    <t>Outside Services Market Research</t>
  </si>
  <si>
    <t>Photography</t>
  </si>
  <si>
    <t>Loyalty Programs</t>
  </si>
  <si>
    <t>Agency Fees</t>
  </si>
  <si>
    <t>Non-Mgmt. (Sales &amp; Marketing)</t>
  </si>
  <si>
    <t>Familiarization Trips</t>
  </si>
  <si>
    <t>Franchise and Affiliation Fees - Royalties</t>
  </si>
  <si>
    <t>Franchise and Affiliation Fees - Marketing</t>
  </si>
  <si>
    <t>Non-Mgmt. (PO &amp; M)</t>
  </si>
  <si>
    <t>Life/Safety</t>
  </si>
  <si>
    <t>Electrical &amp; Mechanical Equipment</t>
  </si>
  <si>
    <t>HVAC Equipment</t>
  </si>
  <si>
    <t>Furniture &amp; Equipment</t>
  </si>
  <si>
    <t>Building</t>
  </si>
  <si>
    <t>Plumbing</t>
  </si>
  <si>
    <t>Painting &amp; Wallcovering</t>
  </si>
  <si>
    <t>Elevators &amp; Escalators</t>
  </si>
  <si>
    <t>Grounds Maint &amp; Landscaping</t>
  </si>
  <si>
    <t>Light Bulbs</t>
  </si>
  <si>
    <t>Engineering Supplies</t>
  </si>
  <si>
    <t>Waste Removal</t>
  </si>
  <si>
    <t>Vehicle Repairs and Maintenance</t>
  </si>
  <si>
    <t>Swimming Pool</t>
  </si>
  <si>
    <t>Kitchen Equipment</t>
  </si>
  <si>
    <t>Laundry Equipment</t>
  </si>
  <si>
    <t>Floor Covering</t>
  </si>
  <si>
    <t>Electricity</t>
  </si>
  <si>
    <t>Water / Sewer</t>
  </si>
  <si>
    <t>Steam</t>
  </si>
  <si>
    <t>Other Fuels</t>
  </si>
  <si>
    <t>Base Management Fees</t>
  </si>
  <si>
    <t>Incentive Management Fee</t>
  </si>
  <si>
    <t>Other Management Fee</t>
  </si>
  <si>
    <t>Venues  Food Rev</t>
  </si>
  <si>
    <t>In Room Dining Food Rev</t>
  </si>
  <si>
    <t>Banquet-Catering &amp; CS Food Rev</t>
  </si>
  <si>
    <t>Mini Bar Food Rev</t>
  </si>
  <si>
    <t>Total Food Revenue</t>
  </si>
  <si>
    <t>Venues  Beverage Rev</t>
  </si>
  <si>
    <t>In Room Dining Beverage Rev</t>
  </si>
  <si>
    <t>Banquet-Catering &amp; CS Beverage Rev</t>
  </si>
  <si>
    <t>Mini Bar Beverage Rev</t>
  </si>
  <si>
    <t>Total Beverage Revenue</t>
  </si>
  <si>
    <t>Food &amp; Beverage: Allowances</t>
  </si>
  <si>
    <t>Total Food &amp; Beverage Revenue</t>
  </si>
  <si>
    <t>Audio/Visual Rentals</t>
  </si>
  <si>
    <t>Public Room Rental</t>
  </si>
  <si>
    <t>Surcharges &amp; Services Charges</t>
  </si>
  <si>
    <t>Miscellaneous Other Revenue</t>
  </si>
  <si>
    <t>Total Other Revenue</t>
  </si>
  <si>
    <t>Cost of Sales</t>
  </si>
  <si>
    <t>Cost of Food &amp; Beverage Sales</t>
  </si>
  <si>
    <t>Cost of Food Sales</t>
  </si>
  <si>
    <t>Cost of Beverage Sales</t>
  </si>
  <si>
    <t>Total Cost of Food &amp; Beverage Sales</t>
  </si>
  <si>
    <t>Cost of Other Revenue</t>
  </si>
  <si>
    <t>Total Cost of Other Revenue</t>
  </si>
  <si>
    <t>Total Cost of Sales</t>
  </si>
  <si>
    <t>Gross Profit</t>
  </si>
  <si>
    <t>Service Charge Distribution</t>
  </si>
  <si>
    <t>Dishwashing Supplies</t>
  </si>
  <si>
    <t>Kitchen Smallwares</t>
  </si>
  <si>
    <t>Banquet Expense</t>
  </si>
  <si>
    <t>Paper and Plastics</t>
  </si>
  <si>
    <t>China</t>
  </si>
  <si>
    <t>Glassware</t>
  </si>
  <si>
    <t>Flatware</t>
  </si>
  <si>
    <t>Ice</t>
  </si>
  <si>
    <t>Utensils</t>
  </si>
  <si>
    <t>Menus and Beverage Lists</t>
  </si>
  <si>
    <t>Music and Entertainment</t>
  </si>
  <si>
    <t>Kitchen Fuel</t>
  </si>
  <si>
    <t>China - 200</t>
  </si>
  <si>
    <t>Cleaning Supplies - 200</t>
  </si>
  <si>
    <t>Complimentary Services &amp; Gifts - 200</t>
  </si>
  <si>
    <t>Contract Services - 200</t>
  </si>
  <si>
    <t>Decorations - 200</t>
  </si>
  <si>
    <t>Dishwashing Supplies - 200</t>
  </si>
  <si>
    <t>Equipment Expense - 200</t>
  </si>
  <si>
    <t>Flatware - 200</t>
  </si>
  <si>
    <t>Glassware - 200</t>
  </si>
  <si>
    <t>Ice - 200</t>
  </si>
  <si>
    <t>Kitchen Smallwares - 200</t>
  </si>
  <si>
    <t>Laundry &amp; Dry Cleaning - 200</t>
  </si>
  <si>
    <t>Licenses &amp; Permits - 200</t>
  </si>
  <si>
    <t>Linen - 200</t>
  </si>
  <si>
    <t>Menus &amp; Beverage Lists - 200</t>
  </si>
  <si>
    <t>Miscellaneous - 200</t>
  </si>
  <si>
    <t>Kitchen Fuel - 200</t>
  </si>
  <si>
    <t>Music &amp; Entertainment - 200</t>
  </si>
  <si>
    <t>Operating Supplies - 200</t>
  </si>
  <si>
    <t>Paper &amp; Plastics - 200</t>
  </si>
  <si>
    <t>Printing &amp; Stationary - 200</t>
  </si>
  <si>
    <t>Reservations - 200</t>
  </si>
  <si>
    <t>Training - 200</t>
  </si>
  <si>
    <t>Travel - Meals &amp; Entertainment - 200</t>
  </si>
  <si>
    <t>Travel - Other - 200</t>
  </si>
  <si>
    <t>Uniform Costs - 200</t>
  </si>
  <si>
    <t>Uniform Laundry - 200</t>
  </si>
  <si>
    <t>Utensils - 200</t>
  </si>
  <si>
    <t>Total Other Expenses - 200</t>
  </si>
  <si>
    <t>Commissions - 200</t>
  </si>
  <si>
    <t>Banquet Expenses - 200</t>
  </si>
  <si>
    <t>Cluster Services - 200</t>
  </si>
  <si>
    <t>Corporate Office Reimbursables - 200</t>
  </si>
  <si>
    <t>Entertainment- In-House - 200</t>
  </si>
  <si>
    <t>Dues &amp; Subscriptions - 200</t>
  </si>
  <si>
    <t>Kitchen Allocation - 200</t>
  </si>
  <si>
    <t>Kitchen Allocation</t>
  </si>
  <si>
    <t>Management Fees - 200</t>
  </si>
  <si>
    <t>Postage &amp; Overnight Delivery - 200</t>
  </si>
  <si>
    <t>Postage &amp; Overnight Delivery</t>
  </si>
  <si>
    <t>Royalty Fees - 200</t>
  </si>
  <si>
    <t>Royalty Fees</t>
  </si>
  <si>
    <t>Food Revenue - 205</t>
  </si>
  <si>
    <t>Pool Bar Food Rev</t>
  </si>
  <si>
    <t>Market Bar Food Rev</t>
  </si>
  <si>
    <t>Pool Bar Beverage Rev</t>
  </si>
  <si>
    <t>Market Bar Beverage Rev</t>
  </si>
  <si>
    <t>Beverage Revenue - 205</t>
  </si>
  <si>
    <t>Beverage Revenue - 204</t>
  </si>
  <si>
    <t>Food Revenue - 204</t>
  </si>
  <si>
    <t>Cost of Beverage Sales - 200</t>
  </si>
  <si>
    <t>S&amp;W Management - 200</t>
  </si>
  <si>
    <t>Asset Management fees - 900</t>
  </si>
  <si>
    <t>Insurance</t>
  </si>
  <si>
    <t>Building &amp; Contents - 900</t>
  </si>
  <si>
    <t>Business &amp; Occupation Taxes - 900</t>
  </si>
  <si>
    <t>Cluster Services - 500</t>
  </si>
  <si>
    <t>Cost of Food Sales - 200</t>
  </si>
  <si>
    <t>Credits - 810</t>
  </si>
  <si>
    <t>Deductible - 900</t>
  </si>
  <si>
    <t>Direct Mail - 700</t>
  </si>
  <si>
    <t>Dues &amp; Subscriptions - 800</t>
  </si>
  <si>
    <t>FX Gain Loss - 900</t>
  </si>
  <si>
    <t>Group Rebates and Subsidies - 100</t>
  </si>
  <si>
    <t>In-House Graphics - 700</t>
  </si>
  <si>
    <t>Land &amp; Buildings - 900</t>
  </si>
  <si>
    <t>Rent</t>
  </si>
  <si>
    <t>Legal fees - 900</t>
  </si>
  <si>
    <t>Liability - 900</t>
  </si>
  <si>
    <t>Loss &amp; Damage - 500</t>
  </si>
  <si>
    <t>Misc. Proceeds from Business Interruption Insurance - 400</t>
  </si>
  <si>
    <t>Non-Guest-Related Foreign Currency Gains (Losses) - 500</t>
  </si>
  <si>
    <t>Other Insurance - 900</t>
  </si>
  <si>
    <t>Other Non-Operating Expenses - 900</t>
  </si>
  <si>
    <t>Other Property &amp; Equipment - 900</t>
  </si>
  <si>
    <t>Other Taxes &amp; Assessments - 900</t>
  </si>
  <si>
    <t>Outside Sales Representation - 700</t>
  </si>
  <si>
    <t>Owner Expenses - 900</t>
  </si>
  <si>
    <t>Personal Property Taxes - 900</t>
  </si>
  <si>
    <t>Pre-Opening Expenses - 900</t>
  </si>
  <si>
    <t>Real Estate Taxes - 900</t>
  </si>
  <si>
    <t>Rooms Unassigned Reg S&amp;W - 100</t>
  </si>
  <si>
    <t>Staff Transportation - 500</t>
  </si>
  <si>
    <t>S&amp;W Management - 500</t>
  </si>
  <si>
    <t>S&amp;W Non-Management - 200</t>
  </si>
  <si>
    <t>S&amp;W Other - 200</t>
  </si>
  <si>
    <t>S&amp;W Other - 500</t>
  </si>
  <si>
    <t>S&amp;W Other - 800</t>
  </si>
  <si>
    <t>Total Beverage Revenue - 200</t>
  </si>
  <si>
    <t>Total Contracted Leased &amp; Outsourced Labor - 500</t>
  </si>
  <si>
    <t>Total Contracted Leased &amp; Outsourced Labor - 700</t>
  </si>
  <si>
    <t>Total Contracted Leased &amp; Outsourced Labor - 800</t>
  </si>
  <si>
    <t>Total Departmental Expenses - 000</t>
  </si>
  <si>
    <t>Total F&amp;B Division Revenue - 200</t>
  </si>
  <si>
    <t>Total Food Revenue - 200</t>
  </si>
  <si>
    <t>Total Hotel GOP - 000</t>
  </si>
  <si>
    <t>Total Labor Costs &amp; Related Expenses - 100</t>
  </si>
  <si>
    <t>Total Non-Op - 000</t>
  </si>
  <si>
    <t>Total Other Expenses - 800</t>
  </si>
  <si>
    <t>Total Other F&amp;B Revenue - 200</t>
  </si>
  <si>
    <t>Total Revenue - 000</t>
  </si>
  <si>
    <t>Total Salaries &amp; Wages - 100</t>
  </si>
  <si>
    <t>Total Salaries &amp; Wages - 200</t>
  </si>
  <si>
    <t>Total Salaries Wages &amp; Bonuses - 100</t>
  </si>
  <si>
    <t>Total Salaries Wages &amp; Bonuses - 200</t>
  </si>
  <si>
    <t>Total Service Charge Distribution - 100</t>
  </si>
  <si>
    <t>Total Service Charge Distribution - 700</t>
  </si>
  <si>
    <t>Total Undistributed Expenses - 000</t>
  </si>
  <si>
    <t>Income</t>
  </si>
  <si>
    <t xml:space="preserve">Total Income </t>
  </si>
  <si>
    <t>Land &amp; Buildings</t>
  </si>
  <si>
    <t>Other Property &amp; Equipment</t>
  </si>
  <si>
    <t>Total Rent</t>
  </si>
  <si>
    <t>Property &amp; Other Taxes</t>
  </si>
  <si>
    <t>Real Estate Taxes</t>
  </si>
  <si>
    <t>Personal Property Taxes</t>
  </si>
  <si>
    <t>Business &amp; Occupation Taxes</t>
  </si>
  <si>
    <t>Other Taxes &amp; Assesments</t>
  </si>
  <si>
    <t>Total Property &amp; Other Taxes</t>
  </si>
  <si>
    <t>Property Insurance</t>
  </si>
  <si>
    <t>Liability Insurance</t>
  </si>
  <si>
    <t>Other Insurance</t>
  </si>
  <si>
    <t>Total Insurance</t>
  </si>
  <si>
    <t>Owner's Expense</t>
  </si>
  <si>
    <t>Total Other</t>
  </si>
  <si>
    <t>Total Non-Operating Income &amp; Expense</t>
  </si>
  <si>
    <t>Deductible</t>
  </si>
  <si>
    <t>Asset Management Fee</t>
  </si>
  <si>
    <t>FX Gain Floss</t>
  </si>
  <si>
    <t>Legal Fees</t>
  </si>
  <si>
    <t>Other Non-Operating Expenses</t>
  </si>
  <si>
    <t>Pre-Opening Expenses</t>
  </si>
  <si>
    <t>Proceeds from BI Insurance</t>
  </si>
  <si>
    <t>Direct Mail</t>
  </si>
  <si>
    <t>Outside Sales Representation</t>
  </si>
  <si>
    <t>Group Rebates</t>
  </si>
  <si>
    <t>Loss &amp; Damage</t>
  </si>
  <si>
    <t>Other S&amp;W</t>
  </si>
  <si>
    <t>In-House Graphics</t>
  </si>
  <si>
    <t>Currency Gains (Losses)</t>
  </si>
  <si>
    <t>Staff Transportation</t>
  </si>
  <si>
    <t>Credits</t>
  </si>
  <si>
    <t>Printing &amp; Stationary</t>
  </si>
  <si>
    <t>Printing &amp; Stationary - 500</t>
  </si>
  <si>
    <t>Cleaning Supplies - 800</t>
  </si>
  <si>
    <t>&lt;- Property Code</t>
  </si>
  <si>
    <t>ANG</t>
  </si>
  <si>
    <t>&lt;- Month</t>
  </si>
  <si>
    <t>&lt;- Year</t>
  </si>
  <si>
    <t>Actual - Last Year</t>
  </si>
  <si>
    <t>STATEMENT OF INCOME</t>
  </si>
  <si>
    <t>Angler's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</si>
</sst>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6" formatCode="0.0\ \p\p\t"/>
    <numFmt numFmtId="167" formatCode="#,##0_);\(#,##0\);;"/>
    <numFmt numFmtId="168" formatCode="0.0%;;"/>
    <numFmt numFmtId="169" formatCode="_([$$-409]* #,##0.00_);_([$$-409]* \(#,##0.00\);_([$$-409]* &quot;-&quot;??_);_(@_)"/>
    <numFmt numFmtId="170" formatCode="_(* #,##0_);_(* \(#,##0\);_(* &quot;-&quot;??_);_(@_)"/>
    <numFmt numFmtId="171" formatCode="_(#,##0_);[Red]_(\(#,##0\);_(\ \-\ _);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name val="Arial"/>
      <family val="2"/>
    </font>
    <font>
      <b/>
      <sz val="11"/>
      <color rgb="FF5F554D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FF"/>
      <name val="Arial"/>
      <family val="2"/>
    </font>
    <font>
      <sz val="11"/>
      <color rgb="FF0000F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sz val="11"/>
      <color rgb="FFC63527"/>
      <name val="Aptos Narrow"/>
      <family val="2"/>
      <scheme val="minor"/>
    </font>
    <font>
      <b/>
      <sz val="18"/>
      <color rgb="FF39617A"/>
      <name val="Verdana"/>
      <family val="2"/>
    </font>
    <font>
      <b/>
      <sz val="11"/>
      <color rgb="FF000000"/>
      <name val="Verdana"/>
      <family val="2"/>
    </font>
    <font>
      <sz val="11"/>
      <color theme="5"/>
      <name val="Aptos Narrow"/>
      <family val="2"/>
      <scheme val="minor"/>
    </font>
    <font>
      <b/>
      <i/>
      <sz val="11"/>
      <color theme="5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Aptos Narrow"/>
      <family val="2"/>
      <scheme val="minor"/>
    </font>
    <font>
      <i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theme="2" tint="-9.9948118533890809E-2"/>
        <bgColor indexed="65"/>
      </patternFill>
    </fill>
    <fill>
      <patternFill patternType="solid">
        <fgColor rgb="FF39617A"/>
        <bgColor indexed="64"/>
      </patternFill>
    </fill>
    <fill>
      <patternFill patternType="solid">
        <fgColor rgb="FFDFE5E6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theme="4" tint="0.59996337778862885"/>
      </bottom>
      <diagonal/>
    </border>
    <border>
      <left/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indexed="64"/>
      </top>
      <bottom style="double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rgb="FF000000"/>
      </top>
      <bottom style="thin">
        <color rgb="FF000000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indexed="64"/>
      </bottom>
      <diagonal/>
    </border>
    <border>
      <left style="thin">
        <color rgb="FFA5AEB6"/>
      </left>
      <right/>
      <top/>
      <bottom style="thin">
        <color rgb="FFA5AEB6"/>
      </bottom>
      <diagonal/>
    </border>
    <border>
      <left/>
      <right style="thin">
        <color rgb="FFA5AEB6"/>
      </right>
      <top style="thin">
        <color indexed="64"/>
      </top>
      <bottom style="double">
        <color indexed="64"/>
      </bottom>
      <diagonal/>
    </border>
    <border>
      <left/>
      <right style="thin">
        <color rgb="FFA5AEB6"/>
      </right>
      <top style="thin">
        <color indexed="64"/>
      </top>
      <bottom/>
      <diagonal/>
    </border>
    <border>
      <left/>
      <right style="thin">
        <color rgb="FFA5AEB6"/>
      </right>
      <top/>
      <bottom/>
      <diagonal/>
    </border>
    <border>
      <left/>
      <right style="thin">
        <color rgb="FFA5AEB6"/>
      </right>
      <top/>
      <bottom style="thin">
        <color indexed="64"/>
      </bottom>
      <diagonal/>
    </border>
    <border>
      <left/>
      <right style="thin">
        <color rgb="FFA5AEB6"/>
      </right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rgb="FFA5AEB6"/>
      </right>
      <top style="thin">
        <color indexed="64"/>
      </top>
      <bottom style="double">
        <color indexed="64"/>
      </bottom>
      <diagonal/>
    </border>
    <border>
      <left/>
      <right style="thin">
        <color rgb="FFA5AEB6"/>
      </right>
      <top style="thin">
        <color theme="4" tint="0.59996337778862885"/>
      </top>
      <bottom/>
      <diagonal/>
    </border>
    <border>
      <left style="thin">
        <color rgb="FFA5AEB6"/>
      </left>
      <right style="thin">
        <color rgb="FFA5AEB6"/>
      </right>
      <top style="thin">
        <color indexed="64"/>
      </top>
      <bottom style="double">
        <color indexed="64"/>
      </bottom>
      <diagonal/>
    </border>
    <border>
      <left style="thin">
        <color rgb="FFA5AEB6"/>
      </left>
      <right/>
      <top/>
      <bottom/>
      <diagonal/>
    </border>
    <border>
      <left style="thin">
        <color rgb="FFA5AEB6"/>
      </left>
      <right/>
      <top/>
      <bottom style="thin">
        <color theme="4" tint="0.59996337778862885"/>
      </bottom>
      <diagonal/>
    </border>
    <border>
      <left style="thin">
        <color rgb="FFA5AEB6"/>
      </left>
      <right/>
      <top style="thin">
        <color theme="4" tint="0.59996337778862885"/>
      </top>
      <bottom/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theme="1"/>
      </bottom>
      <diagonal/>
    </border>
    <border>
      <left style="thin">
        <color rgb="FFA5AEB6"/>
      </left>
      <right style="thin">
        <color rgb="FFA5AEB6"/>
      </right>
      <top style="thin">
        <color theme="1"/>
      </top>
      <bottom style="double">
        <color theme="1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/>
      <diagonal/>
    </border>
    <border>
      <left style="thin">
        <color rgb="FFA5AEB6"/>
      </left>
      <right style="thin">
        <color rgb="FFA5AEB6"/>
      </right>
      <top/>
      <bottom style="thin">
        <color rgb="FFA5AEB6"/>
      </bottom>
      <diagonal/>
    </border>
    <border>
      <left/>
      <right/>
      <top style="thin">
        <color rgb="FFA5AEB6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/>
      <bottom style="double">
        <color indexed="64"/>
      </bottom>
      <diagonal/>
    </border>
    <border>
      <left/>
      <right style="thin">
        <color rgb="FFA5AEB6"/>
      </right>
      <top style="thin">
        <color rgb="FFA5AEB6"/>
      </top>
      <bottom style="thin">
        <color rgb="FFA5AEB6"/>
      </bottom>
      <diagonal/>
    </border>
    <border>
      <left/>
      <right/>
      <top/>
      <bottom style="double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indexed="64"/>
      </top>
      <bottom style="thin">
        <color indexed="64"/>
      </bottom>
      <diagonal/>
    </border>
    <border>
      <left style="thin">
        <color rgb="FFA5AEB6"/>
      </left>
      <right/>
      <top style="thin">
        <color rgb="FFA5AEB6"/>
      </top>
      <bottom style="thin">
        <color indexed="64"/>
      </bottom>
      <diagonal/>
    </border>
    <border>
      <left/>
      <right/>
      <top style="thin">
        <color rgb="FFA5AEB6"/>
      </top>
      <bottom style="thin">
        <color indexed="64"/>
      </bottom>
      <diagonal/>
    </border>
    <border>
      <left/>
      <right style="thin">
        <color rgb="FFA5AEB6"/>
      </right>
      <top style="thin">
        <color rgb="FFA5AEB6"/>
      </top>
      <bottom style="thin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rgb="FFA5AEB6"/>
      </bottom>
      <diagonal/>
    </border>
    <border>
      <left style="thin">
        <color rgb="FFA5AEB6"/>
      </left>
      <right/>
      <top style="thin">
        <color rgb="FFA5AEB6"/>
      </top>
      <bottom style="thin">
        <color rgb="FFA5AEB6"/>
      </bottom>
      <diagonal/>
    </border>
    <border>
      <left style="thin">
        <color rgb="FFA5AEB6"/>
      </left>
      <right/>
      <top style="thin">
        <color rgb="FFA5AEB6"/>
      </top>
      <bottom/>
      <diagonal/>
    </border>
    <border>
      <left/>
      <right/>
      <top style="thin">
        <color rgb="FFA5AEB6"/>
      </top>
      <bottom/>
      <diagonal/>
    </border>
    <border>
      <left/>
      <right style="thin">
        <color rgb="FFA5AEB6"/>
      </right>
      <top style="thin">
        <color rgb="FFA5AEB6"/>
      </top>
      <bottom style="thin">
        <color theme="4" tint="0.59996337778862885"/>
      </bottom>
      <diagonal/>
    </border>
    <border>
      <left/>
      <right style="thin">
        <color rgb="FFA5AEB6"/>
      </right>
      <top style="thin">
        <color rgb="FFA5AEB6"/>
      </top>
      <bottom/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 style="thin">
        <color rgb="FFA5AEB6"/>
      </bottom>
      <diagonal/>
    </border>
    <border>
      <left/>
      <right style="thin">
        <color rgb="FFA5AEB6"/>
      </right>
      <top style="thin">
        <color rgb="FF000000"/>
      </top>
      <bottom style="thin">
        <color rgb="FFA5AEB6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theme="4" tint="0.59996337778862885"/>
      </bottom>
      <diagonal/>
    </border>
    <border>
      <left style="thin">
        <color rgb="FFA5AEB6"/>
      </left>
      <right style="thin">
        <color rgb="FFA5AEB6"/>
      </right>
      <top/>
      <bottom style="thin">
        <color theme="4" tint="0.59996337778862885"/>
      </bottom>
      <diagonal/>
    </border>
    <border>
      <left style="thin">
        <color rgb="FFA5AEB6"/>
      </left>
      <right style="thin">
        <color rgb="FFA5AEB6"/>
      </right>
      <top style="thin">
        <color rgb="FF000000"/>
      </top>
      <bottom style="thin">
        <color rgb="FFA5AEB6"/>
      </bottom>
      <diagonal/>
    </border>
    <border>
      <left style="thin">
        <color rgb="FFA5AEB6"/>
      </left>
      <right style="thin">
        <color theme="4" tint="0.59996337778862885"/>
      </right>
      <top style="thin">
        <color rgb="FF000000"/>
      </top>
      <bottom style="thin">
        <color rgb="FFA5AEB6"/>
      </bottom>
      <diagonal/>
    </border>
    <border>
      <left style="thin">
        <color theme="4" tint="0.59996337778862885"/>
      </left>
      <right style="thin">
        <color rgb="FFA5AEB6"/>
      </right>
      <top/>
      <bottom style="thin">
        <color theme="4" tint="0.59996337778862885"/>
      </bottom>
      <diagonal/>
    </border>
    <border>
      <left/>
      <right/>
      <top style="double">
        <color indexed="64"/>
      </top>
      <bottom style="thin">
        <color rgb="FFA5AEB6"/>
      </bottom>
      <diagonal/>
    </border>
    <border>
      <left/>
      <right/>
      <top style="double">
        <color theme="1"/>
      </top>
      <bottom style="thin">
        <color rgb="FFA5AEB6"/>
      </bottom>
      <diagonal/>
    </border>
    <border>
      <left/>
      <right style="thin">
        <color rgb="FFA5AEB6"/>
      </right>
      <top/>
      <bottom style="thin">
        <color rgb="FFA5AEB6"/>
      </bottom>
      <diagonal/>
    </border>
    <border>
      <left/>
      <right style="thin">
        <color rgb="FFA5AEB6"/>
      </right>
      <top style="double">
        <color indexed="64"/>
      </top>
      <bottom style="thin">
        <color rgb="FFA5AEB6"/>
      </bottom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rgb="FFB8CCE4"/>
      </top>
      <bottom/>
      <diagonal/>
    </border>
    <border>
      <left style="thin">
        <color rgb="FFA5AEB6"/>
      </left>
      <right style="thin">
        <color rgb="FFA5AEB6"/>
      </right>
      <top/>
      <bottom style="thin">
        <color rgb="FF000000"/>
      </bottom>
      <diagonal/>
    </border>
    <border>
      <left/>
      <right style="thin">
        <color rgb="FFA5AEB6"/>
      </right>
      <top/>
      <bottom style="thin">
        <color rgb="FF000000"/>
      </bottom>
      <diagonal/>
    </border>
    <border>
      <left style="thin">
        <color rgb="FFA5AEB6"/>
      </left>
      <right style="thin">
        <color rgb="FFA5AEB6"/>
      </right>
      <top/>
      <bottom/>
      <diagonal/>
    </border>
    <border>
      <left style="thin">
        <color theme="4" tint="0.59996337778862885"/>
      </left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000000"/>
      </top>
      <bottom style="thin">
        <color rgb="FF000000"/>
      </bottom>
      <diagonal/>
    </border>
    <border>
      <left style="thin">
        <color theme="4" tint="0.59996337778862885"/>
      </left>
      <right style="thin">
        <color rgb="FFA5AEB6"/>
      </right>
      <top/>
      <bottom/>
      <diagonal/>
    </border>
    <border>
      <left style="thin">
        <color rgb="FFA5AEB6"/>
      </left>
      <right style="thin">
        <color rgb="FFA5AEB6"/>
      </right>
      <top style="thin">
        <color rgb="FF000000"/>
      </top>
      <bottom/>
      <diagonal/>
    </border>
    <border>
      <left/>
      <right style="thin">
        <color rgb="FFA5AEB6"/>
      </right>
      <top style="thin">
        <color rgb="FFA5AEB6"/>
      </top>
      <bottom style="thin">
        <color rgb="FF000000"/>
      </bottom>
      <diagonal/>
    </border>
    <border>
      <left/>
      <right/>
      <top style="thin">
        <color rgb="FFA5AEB6"/>
      </top>
      <bottom style="thin">
        <color rgb="FF000000"/>
      </bottom>
      <diagonal/>
    </border>
    <border>
      <left style="thin">
        <color rgb="FFA5AEB6"/>
      </left>
      <right style="thin">
        <color rgb="FFA5AEB6"/>
      </right>
      <top style="thin">
        <color auto="1"/>
      </top>
      <bottom/>
      <diagonal/>
    </border>
    <border>
      <left style="thin">
        <color theme="4" tint="0.59996337778862885"/>
      </left>
      <right style="thin">
        <color rgb="FFA5AEB6"/>
      </right>
      <top style="thin">
        <color auto="1"/>
      </top>
      <bottom/>
      <diagonal/>
    </border>
    <border>
      <left/>
      <right style="thin">
        <color rgb="FFA5AEB6"/>
      </right>
      <top style="thin">
        <color indexed="64"/>
      </top>
      <bottom style="thin">
        <color indexed="64"/>
      </bottom>
      <diagonal/>
    </border>
    <border>
      <left style="thin">
        <color rgb="FFA5AEB6"/>
      </left>
      <right style="thin">
        <color rgb="FFA5AEB6"/>
      </right>
      <top style="thin">
        <color rgb="FFA5AEB6"/>
      </top>
      <bottom style="thin">
        <color rgb="FFB8CCE4"/>
      </bottom>
      <diagonal/>
    </border>
    <border>
      <left/>
      <right style="thin">
        <color rgb="FFA5AEB6"/>
      </right>
      <top/>
      <bottom style="thin">
        <color rgb="FFB8CCE4"/>
      </bottom>
      <diagonal/>
    </border>
    <border>
      <left/>
      <right style="thin">
        <color rgb="FFA5AEB6"/>
      </right>
      <top style="thin">
        <color theme="4" tint="0.59996337778862885"/>
      </top>
      <bottom style="thin">
        <color rgb="FFA5AEB6"/>
      </bottom>
      <diagonal/>
    </border>
    <border>
      <left/>
      <right style="thin">
        <color rgb="FFA5AEB6"/>
      </right>
      <top style="thin">
        <color rgb="FFB8CCE4"/>
      </top>
      <bottom/>
      <diagonal/>
    </border>
    <border>
      <left/>
      <right style="thin">
        <color rgb="FFA5AEB6"/>
      </right>
      <top style="thin">
        <color rgb="FFA5AEB6"/>
      </top>
      <bottom style="thin">
        <color rgb="FFB8CCE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5AEB6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A5AEB6"/>
      </bottom>
      <diagonal/>
    </border>
    <border>
      <left style="thin">
        <color rgb="FFA5AEB6"/>
      </left>
      <right/>
      <top style="thin">
        <color rgb="FF000000"/>
      </top>
      <bottom style="thin">
        <color rgb="FFA5AEB6"/>
      </bottom>
      <diagonal/>
    </border>
    <border>
      <left style="thin">
        <color rgb="FFA5AEB6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A5AEB6"/>
      </left>
      <right style="thin">
        <color rgb="FFA5AEB6"/>
      </right>
      <top/>
      <bottom style="thin">
        <color rgb="FFB8CCE4"/>
      </bottom>
      <diagonal/>
    </border>
    <border>
      <left style="thin">
        <color rgb="FFA5AEB6"/>
      </left>
      <right/>
      <top style="thin">
        <color rgb="FF000000"/>
      </top>
      <bottom style="thin">
        <color rgb="FF000000"/>
      </bottom>
      <diagonal/>
    </border>
    <border>
      <left style="thin">
        <color rgb="FFA5AEB6"/>
      </left>
      <right/>
      <top style="thin">
        <color rgb="FFA5AEB6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3">
    <xf numFmtId="0" fontId="0" fillId="0" borderId="0" xfId="0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8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/>
    <xf numFmtId="0" fontId="15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3" fillId="2" borderId="0" xfId="0" applyFont="1" applyFill="1" applyAlignment="1">
      <alignment horizontal="left"/>
    </xf>
    <xf numFmtId="0" fontId="0" fillId="2" borderId="1" xfId="0" applyFill="1" applyBorder="1"/>
    <xf numFmtId="0" fontId="0" fillId="2" borderId="2" xfId="0" applyFill="1" applyBorder="1"/>
    <xf numFmtId="37" fontId="3" fillId="4" borderId="3" xfId="0" applyNumberFormat="1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left" indent="1"/>
    </xf>
    <xf numFmtId="37" fontId="3" fillId="4" borderId="4" xfId="0" applyNumberFormat="1" applyFont="1" applyFill="1" applyBorder="1"/>
    <xf numFmtId="37" fontId="0" fillId="4" borderId="5" xfId="0" applyNumberFormat="1" applyFill="1" applyBorder="1"/>
    <xf numFmtId="37" fontId="3" fillId="4" borderId="6" xfId="0" applyNumberFormat="1" applyFont="1" applyFill="1" applyBorder="1"/>
    <xf numFmtId="37" fontId="3" fillId="4" borderId="8" xfId="0" applyNumberFormat="1" applyFont="1" applyFill="1" applyBorder="1"/>
    <xf numFmtId="0" fontId="13" fillId="0" borderId="0" xfId="0" applyFont="1" applyAlignment="1">
      <alignment horizontal="left"/>
    </xf>
    <xf numFmtId="37" fontId="3" fillId="0" borderId="0" xfId="0" applyNumberFormat="1" applyFont="1"/>
    <xf numFmtId="0" fontId="0" fillId="0" borderId="2" xfId="0" applyBorder="1"/>
    <xf numFmtId="0" fontId="0" fillId="2" borderId="9" xfId="0" applyFill="1" applyBorder="1"/>
    <xf numFmtId="168" fontId="0" fillId="2" borderId="0" xfId="0" applyNumberFormat="1" applyFill="1"/>
    <xf numFmtId="168" fontId="3" fillId="0" borderId="0" xfId="2" applyNumberFormat="1" applyFont="1" applyFill="1" applyBorder="1"/>
    <xf numFmtId="168" fontId="0" fillId="0" borderId="0" xfId="0" applyNumberFormat="1"/>
    <xf numFmtId="0" fontId="17" fillId="2" borderId="0" xfId="0" applyFont="1" applyFill="1" applyAlignment="1">
      <alignment horizontal="left"/>
    </xf>
    <xf numFmtId="37" fontId="0" fillId="0" borderId="10" xfId="0" applyNumberFormat="1" applyBorder="1"/>
    <xf numFmtId="165" fontId="0" fillId="0" borderId="10" xfId="2" applyNumberFormat="1" applyFont="1" applyFill="1" applyBorder="1"/>
    <xf numFmtId="44" fontId="0" fillId="0" borderId="10" xfId="3" applyFont="1" applyFill="1" applyBorder="1"/>
    <xf numFmtId="0" fontId="9" fillId="6" borderId="10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2" borderId="16" xfId="0" applyFill="1" applyBorder="1"/>
    <xf numFmtId="168" fontId="14" fillId="2" borderId="15" xfId="0" applyNumberFormat="1" applyFont="1" applyFill="1" applyBorder="1"/>
    <xf numFmtId="168" fontId="11" fillId="0" borderId="15" xfId="2" applyNumberFormat="1" applyFont="1" applyBorder="1" applyAlignment="1">
      <alignment horizontal="right"/>
    </xf>
    <xf numFmtId="168" fontId="3" fillId="0" borderId="18" xfId="2" applyNumberFormat="1" applyFont="1" applyFill="1" applyBorder="1"/>
    <xf numFmtId="167" fontId="16" fillId="2" borderId="21" xfId="1" applyNumberFormat="1" applyFont="1" applyFill="1" applyBorder="1"/>
    <xf numFmtId="167" fontId="11" fillId="0" borderId="21" xfId="1" applyNumberFormat="1" applyFont="1" applyBorder="1" applyAlignment="1">
      <alignment horizontal="right"/>
    </xf>
    <xf numFmtId="165" fontId="0" fillId="6" borderId="10" xfId="2" applyNumberFormat="1" applyFont="1" applyFill="1" applyBorder="1"/>
    <xf numFmtId="0" fontId="0" fillId="2" borderId="21" xfId="0" applyFill="1" applyBorder="1"/>
    <xf numFmtId="0" fontId="0" fillId="2" borderId="15" xfId="0" applyFill="1" applyBorder="1"/>
    <xf numFmtId="167" fontId="0" fillId="0" borderId="10" xfId="0" applyNumberFormat="1" applyBorder="1"/>
    <xf numFmtId="168" fontId="0" fillId="0" borderId="10" xfId="2" applyNumberFormat="1" applyFont="1" applyFill="1" applyBorder="1"/>
    <xf numFmtId="167" fontId="0" fillId="2" borderId="21" xfId="0" applyNumberFormat="1" applyFill="1" applyBorder="1"/>
    <xf numFmtId="168" fontId="0" fillId="2" borderId="15" xfId="0" applyNumberFormat="1" applyFill="1" applyBorder="1"/>
    <xf numFmtId="167" fontId="0" fillId="0" borderId="26" xfId="0" applyNumberFormat="1" applyBorder="1"/>
    <xf numFmtId="37" fontId="0" fillId="0" borderId="26" xfId="0" applyNumberFormat="1" applyBorder="1"/>
    <xf numFmtId="168" fontId="0" fillId="0" borderId="26" xfId="2" applyNumberFormat="1" applyFont="1" applyFill="1" applyBorder="1"/>
    <xf numFmtId="167" fontId="3" fillId="0" borderId="25" xfId="0" applyNumberFormat="1" applyFont="1" applyBorder="1"/>
    <xf numFmtId="168" fontId="3" fillId="0" borderId="25" xfId="2" applyNumberFormat="1" applyFont="1" applyFill="1" applyBorder="1"/>
    <xf numFmtId="167" fontId="3" fillId="0" borderId="27" xfId="0" applyNumberFormat="1" applyFont="1" applyBorder="1"/>
    <xf numFmtId="37" fontId="3" fillId="0" borderId="27" xfId="0" applyNumberFormat="1" applyFont="1" applyBorder="1"/>
    <xf numFmtId="168" fontId="3" fillId="0" borderId="27" xfId="2" applyNumberFormat="1" applyFont="1" applyFill="1" applyBorder="1"/>
    <xf numFmtId="167" fontId="0" fillId="0" borderId="24" xfId="0" applyNumberFormat="1" applyBorder="1"/>
    <xf numFmtId="168" fontId="0" fillId="0" borderId="24" xfId="2" applyNumberFormat="1" applyFont="1" applyFill="1" applyBorder="1"/>
    <xf numFmtId="167" fontId="3" fillId="0" borderId="29" xfId="0" applyNumberFormat="1" applyFont="1" applyBorder="1"/>
    <xf numFmtId="168" fontId="3" fillId="0" borderId="31" xfId="2" applyNumberFormat="1" applyFont="1" applyFill="1" applyBorder="1"/>
    <xf numFmtId="167" fontId="3" fillId="0" borderId="32" xfId="0" applyNumberFormat="1" applyFont="1" applyBorder="1"/>
    <xf numFmtId="37" fontId="3" fillId="0" borderId="32" xfId="0" applyNumberFormat="1" applyFont="1" applyBorder="1"/>
    <xf numFmtId="168" fontId="3" fillId="0" borderId="32" xfId="2" applyNumberFormat="1" applyFont="1" applyFill="1" applyBorder="1"/>
    <xf numFmtId="167" fontId="11" fillId="0" borderId="33" xfId="1" applyNumberFormat="1" applyFont="1" applyBorder="1" applyAlignment="1">
      <alignment horizontal="right"/>
    </xf>
    <xf numFmtId="168" fontId="11" fillId="0" borderId="35" xfId="2" applyNumberFormat="1" applyFont="1" applyBorder="1" applyAlignment="1">
      <alignment horizontal="right"/>
    </xf>
    <xf numFmtId="167" fontId="3" fillId="0" borderId="36" xfId="0" applyNumberFormat="1" applyFont="1" applyBorder="1"/>
    <xf numFmtId="168" fontId="3" fillId="0" borderId="36" xfId="2" applyNumberFormat="1" applyFont="1" applyFill="1" applyBorder="1"/>
    <xf numFmtId="0" fontId="9" fillId="6" borderId="30" xfId="0" applyFont="1" applyFill="1" applyBorder="1" applyAlignment="1">
      <alignment horizontal="center"/>
    </xf>
    <xf numFmtId="0" fontId="0" fillId="0" borderId="15" xfId="0" applyBorder="1"/>
    <xf numFmtId="0" fontId="9" fillId="6" borderId="10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Continuous" wrapText="1"/>
    </xf>
    <xf numFmtId="0" fontId="0" fillId="2" borderId="12" xfId="0" applyFill="1" applyBorder="1"/>
    <xf numFmtId="0" fontId="0" fillId="2" borderId="40" xfId="0" applyFill="1" applyBorder="1"/>
    <xf numFmtId="0" fontId="0" fillId="2" borderId="42" xfId="0" applyFill="1" applyBorder="1"/>
    <xf numFmtId="0" fontId="0" fillId="2" borderId="17" xfId="0" applyFill="1" applyBorder="1"/>
    <xf numFmtId="168" fontId="3" fillId="0" borderId="43" xfId="2" applyNumberFormat="1" applyFont="1" applyFill="1" applyBorder="1"/>
    <xf numFmtId="168" fontId="0" fillId="0" borderId="41" xfId="2" applyNumberFormat="1" applyFont="1" applyFill="1" applyBorder="1"/>
    <xf numFmtId="168" fontId="3" fillId="0" borderId="44" xfId="2" applyNumberFormat="1" applyFont="1" applyFill="1" applyBorder="1"/>
    <xf numFmtId="37" fontId="3" fillId="0" borderId="43" xfId="0" applyNumberFormat="1" applyFont="1" applyBorder="1"/>
    <xf numFmtId="37" fontId="0" fillId="0" borderId="41" xfId="0" applyNumberFormat="1" applyBorder="1"/>
    <xf numFmtId="37" fontId="3" fillId="0" borderId="44" xfId="0" applyNumberFormat="1" applyFont="1" applyBorder="1"/>
    <xf numFmtId="168" fontId="14" fillId="2" borderId="40" xfId="0" applyNumberFormat="1" applyFont="1" applyFill="1" applyBorder="1"/>
    <xf numFmtId="168" fontId="3" fillId="0" borderId="20" xfId="2" applyNumberFormat="1" applyFont="1" applyFill="1" applyBorder="1"/>
    <xf numFmtId="37" fontId="0" fillId="0" borderId="30" xfId="0" applyNumberFormat="1" applyBorder="1"/>
    <xf numFmtId="37" fontId="0" fillId="0" borderId="45" xfId="0" applyNumberFormat="1" applyBorder="1"/>
    <xf numFmtId="37" fontId="3" fillId="0" borderId="47" xfId="0" applyNumberFormat="1" applyFont="1" applyBorder="1"/>
    <xf numFmtId="0" fontId="0" fillId="2" borderId="22" xfId="0" applyFill="1" applyBorder="1"/>
    <xf numFmtId="0" fontId="0" fillId="2" borderId="19" xfId="0" applyFill="1" applyBorder="1"/>
    <xf numFmtId="0" fontId="0" fillId="2" borderId="37" xfId="0" applyFill="1" applyBorder="1"/>
    <xf numFmtId="168" fontId="14" fillId="2" borderId="9" xfId="0" applyNumberFormat="1" applyFont="1" applyFill="1" applyBorder="1"/>
    <xf numFmtId="168" fontId="11" fillId="0" borderId="34" xfId="2" applyNumberFormat="1" applyFont="1" applyBorder="1" applyAlignment="1">
      <alignment horizontal="right"/>
    </xf>
    <xf numFmtId="168" fontId="14" fillId="2" borderId="0" xfId="0" applyNumberFormat="1" applyFont="1" applyFill="1"/>
    <xf numFmtId="168" fontId="14" fillId="2" borderId="50" xfId="0" applyNumberFormat="1" applyFont="1" applyFill="1" applyBorder="1"/>
    <xf numFmtId="168" fontId="0" fillId="2" borderId="37" xfId="0" applyNumberFormat="1" applyFill="1" applyBorder="1"/>
    <xf numFmtId="168" fontId="11" fillId="0" borderId="51" xfId="2" applyNumberFormat="1" applyFont="1" applyBorder="1" applyAlignment="1">
      <alignment horizontal="right"/>
    </xf>
    <xf numFmtId="0" fontId="0" fillId="2" borderId="52" xfId="0" applyFill="1" applyBorder="1"/>
    <xf numFmtId="0" fontId="0" fillId="2" borderId="14" xfId="0" applyFill="1" applyBorder="1"/>
    <xf numFmtId="37" fontId="3" fillId="0" borderId="56" xfId="0" applyNumberFormat="1" applyFont="1" applyBorder="1"/>
    <xf numFmtId="168" fontId="3" fillId="0" borderId="56" xfId="2" applyNumberFormat="1" applyFont="1" applyFill="1" applyBorder="1"/>
    <xf numFmtId="37" fontId="0" fillId="0" borderId="57" xfId="0" applyNumberFormat="1" applyBorder="1"/>
    <xf numFmtId="37" fontId="0" fillId="0" borderId="60" xfId="0" applyNumberFormat="1" applyBorder="1"/>
    <xf numFmtId="168" fontId="0" fillId="0" borderId="60" xfId="2" applyNumberFormat="1" applyFont="1" applyFill="1" applyBorder="1"/>
    <xf numFmtId="168" fontId="0" fillId="0" borderId="30" xfId="2" applyNumberFormat="1" applyFont="1" applyFill="1" applyBorder="1"/>
    <xf numFmtId="167" fontId="0" fillId="0" borderId="62" xfId="0" applyNumberFormat="1" applyBorder="1"/>
    <xf numFmtId="167" fontId="0" fillId="0" borderId="30" xfId="0" applyNumberFormat="1" applyBorder="1"/>
    <xf numFmtId="167" fontId="0" fillId="0" borderId="15" xfId="0" applyNumberFormat="1" applyBorder="1"/>
    <xf numFmtId="167" fontId="3" fillId="0" borderId="63" xfId="0" applyNumberFormat="1" applyFont="1" applyBorder="1"/>
    <xf numFmtId="37" fontId="0" fillId="0" borderId="0" xfId="0" applyNumberFormat="1"/>
    <xf numFmtId="168" fontId="0" fillId="0" borderId="0" xfId="2" applyNumberFormat="1" applyFont="1" applyFill="1" applyBorder="1"/>
    <xf numFmtId="168" fontId="0" fillId="0" borderId="10" xfId="2" applyNumberFormat="1" applyFont="1" applyBorder="1"/>
    <xf numFmtId="167" fontId="0" fillId="0" borderId="42" xfId="0" applyNumberFormat="1" applyBorder="1"/>
    <xf numFmtId="167" fontId="0" fillId="0" borderId="44" xfId="0" applyNumberFormat="1" applyBorder="1"/>
    <xf numFmtId="167" fontId="0" fillId="0" borderId="17" xfId="0" applyNumberFormat="1" applyBorder="1"/>
    <xf numFmtId="167" fontId="3" fillId="0" borderId="62" xfId="0" applyNumberFormat="1" applyFont="1" applyBorder="1"/>
    <xf numFmtId="167" fontId="3" fillId="0" borderId="44" xfId="0" applyNumberFormat="1" applyFont="1" applyBorder="1"/>
    <xf numFmtId="168" fontId="0" fillId="0" borderId="26" xfId="2" applyNumberFormat="1" applyFont="1" applyBorder="1"/>
    <xf numFmtId="168" fontId="0" fillId="0" borderId="47" xfId="2" applyNumberFormat="1" applyFont="1" applyBorder="1"/>
    <xf numFmtId="168" fontId="0" fillId="0" borderId="46" xfId="2" applyNumberFormat="1" applyFont="1" applyBorder="1"/>
    <xf numFmtId="168" fontId="0" fillId="0" borderId="60" xfId="2" applyNumberFormat="1" applyFont="1" applyBorder="1"/>
    <xf numFmtId="168" fontId="3" fillId="0" borderId="65" xfId="2" applyNumberFormat="1" applyFont="1" applyFill="1" applyBorder="1"/>
    <xf numFmtId="168" fontId="3" fillId="0" borderId="47" xfId="2" applyNumberFormat="1" applyFont="1" applyFill="1" applyBorder="1"/>
    <xf numFmtId="168" fontId="0" fillId="0" borderId="45" xfId="2" applyNumberFormat="1" applyFont="1" applyFill="1" applyBorder="1"/>
    <xf numFmtId="167" fontId="0" fillId="2" borderId="67" xfId="0" applyNumberFormat="1" applyFill="1" applyBorder="1"/>
    <xf numFmtId="168" fontId="0" fillId="2" borderId="67" xfId="0" applyNumberFormat="1" applyFill="1" applyBorder="1"/>
    <xf numFmtId="168" fontId="3" fillId="0" borderId="61" xfId="2" applyNumberFormat="1" applyFont="1" applyFill="1" applyBorder="1"/>
    <xf numFmtId="37" fontId="3" fillId="4" borderId="14" xfId="0" applyNumberFormat="1" applyFont="1" applyFill="1" applyBorder="1"/>
    <xf numFmtId="37" fontId="3" fillId="4" borderId="13" xfId="0" applyNumberFormat="1" applyFont="1" applyFill="1" applyBorder="1"/>
    <xf numFmtId="37" fontId="3" fillId="0" borderId="62" xfId="0" applyNumberFormat="1" applyFont="1" applyBorder="1"/>
    <xf numFmtId="37" fontId="3" fillId="0" borderId="13" xfId="0" applyNumberFormat="1" applyFont="1" applyBorder="1"/>
    <xf numFmtId="168" fontId="3" fillId="0" borderId="62" xfId="2" applyNumberFormat="1" applyFont="1" applyFill="1" applyBorder="1"/>
    <xf numFmtId="168" fontId="3" fillId="0" borderId="13" xfId="2" applyNumberFormat="1" applyFont="1" applyFill="1" applyBorder="1"/>
    <xf numFmtId="37" fontId="0" fillId="4" borderId="10" xfId="0" applyNumberFormat="1" applyFill="1" applyBorder="1"/>
    <xf numFmtId="37" fontId="3" fillId="4" borderId="43" xfId="0" applyNumberFormat="1" applyFont="1" applyFill="1" applyBorder="1"/>
    <xf numFmtId="37" fontId="0" fillId="4" borderId="41" xfId="0" applyNumberFormat="1" applyFill="1" applyBorder="1"/>
    <xf numFmtId="37" fontId="3" fillId="4" borderId="44" xfId="0" applyNumberFormat="1" applyFont="1" applyFill="1" applyBorder="1"/>
    <xf numFmtId="37" fontId="0" fillId="4" borderId="17" xfId="0" applyNumberFormat="1" applyFill="1" applyBorder="1"/>
    <xf numFmtId="37" fontId="3" fillId="0" borderId="65" xfId="0" applyNumberFormat="1" applyFont="1" applyBorder="1"/>
    <xf numFmtId="37" fontId="3" fillId="0" borderId="20" xfId="0" applyNumberFormat="1" applyFont="1" applyBorder="1"/>
    <xf numFmtId="37" fontId="0" fillId="4" borderId="30" xfId="0" applyNumberFormat="1" applyFill="1" applyBorder="1"/>
    <xf numFmtId="168" fontId="0" fillId="0" borderId="64" xfId="2" applyNumberFormat="1" applyFont="1" applyFill="1" applyBorder="1"/>
    <xf numFmtId="168" fontId="3" fillId="0" borderId="54" xfId="2" applyNumberFormat="1" applyFont="1" applyFill="1" applyBorder="1"/>
    <xf numFmtId="168" fontId="0" fillId="0" borderId="15" xfId="2" applyNumberFormat="1" applyFont="1" applyFill="1" applyBorder="1"/>
    <xf numFmtId="168" fontId="3" fillId="0" borderId="63" xfId="2" applyNumberFormat="1" applyFont="1" applyFill="1" applyBorder="1"/>
    <xf numFmtId="37" fontId="0" fillId="4" borderId="26" xfId="0" applyNumberFormat="1" applyFill="1" applyBorder="1"/>
    <xf numFmtId="37" fontId="3" fillId="4" borderId="56" xfId="0" applyNumberFormat="1" applyFont="1" applyFill="1" applyBorder="1"/>
    <xf numFmtId="37" fontId="0" fillId="0" borderId="42" xfId="0" applyNumberFormat="1" applyBorder="1"/>
    <xf numFmtId="37" fontId="3" fillId="0" borderId="63" xfId="0" applyNumberFormat="1" applyFont="1" applyBorder="1"/>
    <xf numFmtId="37" fontId="0" fillId="4" borderId="15" xfId="0" applyNumberFormat="1" applyFill="1" applyBorder="1"/>
    <xf numFmtId="37" fontId="3" fillId="4" borderId="63" xfId="0" applyNumberFormat="1" applyFont="1" applyFill="1" applyBorder="1"/>
    <xf numFmtId="168" fontId="0" fillId="0" borderId="42" xfId="2" applyNumberFormat="1" applyFont="1" applyFill="1" applyBorder="1"/>
    <xf numFmtId="168" fontId="0" fillId="0" borderId="17" xfId="2" applyNumberFormat="1" applyFont="1" applyFill="1" applyBorder="1"/>
    <xf numFmtId="37" fontId="0" fillId="0" borderId="15" xfId="0" applyNumberFormat="1" applyBorder="1"/>
    <xf numFmtId="37" fontId="0" fillId="0" borderId="17" xfId="0" applyNumberFormat="1" applyBorder="1"/>
    <xf numFmtId="37" fontId="0" fillId="0" borderId="46" xfId="0" applyNumberFormat="1" applyBorder="1"/>
    <xf numFmtId="168" fontId="0" fillId="0" borderId="30" xfId="2" applyNumberFormat="1" applyFont="1" applyBorder="1"/>
    <xf numFmtId="37" fontId="0" fillId="0" borderId="47" xfId="0" applyNumberFormat="1" applyBorder="1"/>
    <xf numFmtId="168" fontId="0" fillId="0" borderId="42" xfId="2" applyNumberFormat="1" applyFont="1" applyBorder="1"/>
    <xf numFmtId="168" fontId="0" fillId="0" borderId="44" xfId="2" applyNumberFormat="1" applyFont="1" applyBorder="1"/>
    <xf numFmtId="168" fontId="0" fillId="0" borderId="17" xfId="2" applyNumberFormat="1" applyFont="1" applyBorder="1"/>
    <xf numFmtId="168" fontId="0" fillId="0" borderId="15" xfId="2" applyNumberFormat="1" applyFont="1" applyBorder="1"/>
    <xf numFmtId="37" fontId="0" fillId="4" borderId="42" xfId="0" applyNumberFormat="1" applyFill="1" applyBorder="1"/>
    <xf numFmtId="37" fontId="0" fillId="4" borderId="44" xfId="0" applyNumberFormat="1" applyFill="1" applyBorder="1"/>
    <xf numFmtId="37" fontId="3" fillId="4" borderId="62" xfId="0" applyNumberFormat="1" applyFont="1" applyFill="1" applyBorder="1"/>
    <xf numFmtId="37" fontId="0" fillId="0" borderId="44" xfId="0" applyNumberFormat="1" applyBorder="1"/>
    <xf numFmtId="37" fontId="3" fillId="0" borderId="61" xfId="0" applyNumberFormat="1" applyFont="1" applyBorder="1"/>
    <xf numFmtId="165" fontId="3" fillId="0" borderId="44" xfId="2" applyNumberFormat="1" applyFont="1" applyFill="1" applyBorder="1"/>
    <xf numFmtId="165" fontId="3" fillId="0" borderId="18" xfId="2" applyNumberFormat="1" applyFont="1" applyFill="1" applyBorder="1"/>
    <xf numFmtId="37" fontId="0" fillId="0" borderId="66" xfId="0" applyNumberFormat="1" applyBorder="1"/>
    <xf numFmtId="168" fontId="0" fillId="0" borderId="65" xfId="2" applyNumberFormat="1" applyFont="1" applyFill="1" applyBorder="1"/>
    <xf numFmtId="168" fontId="0" fillId="0" borderId="55" xfId="2" applyNumberFormat="1" applyFont="1" applyFill="1" applyBorder="1"/>
    <xf numFmtId="168" fontId="0" fillId="2" borderId="42" xfId="0" applyNumberFormat="1" applyFill="1" applyBorder="1"/>
    <xf numFmtId="0" fontId="0" fillId="0" borderId="39" xfId="0" applyBorder="1"/>
    <xf numFmtId="0" fontId="0" fillId="0" borderId="12" xfId="0" applyBorder="1"/>
    <xf numFmtId="0" fontId="0" fillId="2" borderId="23" xfId="0" applyFill="1" applyBorder="1"/>
    <xf numFmtId="166" fontId="0" fillId="4" borderId="30" xfId="0" applyNumberFormat="1" applyFill="1" applyBorder="1"/>
    <xf numFmtId="169" fontId="0" fillId="4" borderId="30" xfId="0" applyNumberFormat="1" applyFill="1" applyBorder="1"/>
    <xf numFmtId="37" fontId="0" fillId="4" borderId="27" xfId="0" applyNumberFormat="1" applyFill="1" applyBorder="1"/>
    <xf numFmtId="37" fontId="0" fillId="4" borderId="60" xfId="0" applyNumberFormat="1" applyFill="1" applyBorder="1"/>
    <xf numFmtId="0" fontId="0" fillId="0" borderId="37" xfId="0" applyBorder="1"/>
    <xf numFmtId="37" fontId="11" fillId="0" borderId="0" xfId="1" applyNumberFormat="1" applyFont="1" applyFill="1" applyAlignment="1">
      <alignment horizontal="right"/>
    </xf>
    <xf numFmtId="0" fontId="0" fillId="0" borderId="50" xfId="0" applyBorder="1"/>
    <xf numFmtId="0" fontId="0" fillId="0" borderId="9" xfId="0" applyBorder="1"/>
    <xf numFmtId="0" fontId="0" fillId="0" borderId="34" xfId="0" applyBorder="1"/>
    <xf numFmtId="37" fontId="11" fillId="0" borderId="50" xfId="1" applyNumberFormat="1" applyFont="1" applyFill="1" applyBorder="1" applyAlignment="1">
      <alignment horizontal="right"/>
    </xf>
    <xf numFmtId="37" fontId="3" fillId="4" borderId="32" xfId="0" applyNumberFormat="1" applyFont="1" applyFill="1" applyBorder="1"/>
    <xf numFmtId="37" fontId="0" fillId="4" borderId="46" xfId="0" applyNumberFormat="1" applyFill="1" applyBorder="1"/>
    <xf numFmtId="37" fontId="3" fillId="4" borderId="47" xfId="0" applyNumberFormat="1" applyFont="1" applyFill="1" applyBorder="1"/>
    <xf numFmtId="37" fontId="0" fillId="4" borderId="11" xfId="0" applyNumberFormat="1" applyFill="1" applyBorder="1"/>
    <xf numFmtId="37" fontId="3" fillId="4" borderId="20" xfId="0" applyNumberFormat="1" applyFont="1" applyFill="1" applyBorder="1"/>
    <xf numFmtId="37" fontId="0" fillId="4" borderId="45" xfId="0" applyNumberFormat="1" applyFill="1" applyBorder="1"/>
    <xf numFmtId="0" fontId="0" fillId="0" borderId="52" xfId="0" applyBorder="1"/>
    <xf numFmtId="37" fontId="11" fillId="0" borderId="15" xfId="1" applyNumberFormat="1" applyFont="1" applyFill="1" applyBorder="1" applyAlignment="1">
      <alignment horizontal="right"/>
    </xf>
    <xf numFmtId="0" fontId="0" fillId="0" borderId="53" xfId="0" applyBorder="1"/>
    <xf numFmtId="0" fontId="0" fillId="0" borderId="14" xfId="0" applyBorder="1"/>
    <xf numFmtId="0" fontId="0" fillId="0" borderId="35" xfId="0" applyBorder="1"/>
    <xf numFmtId="37" fontId="11" fillId="0" borderId="53" xfId="1" applyNumberFormat="1" applyFont="1" applyFill="1" applyBorder="1" applyAlignment="1">
      <alignment horizontal="right"/>
    </xf>
    <xf numFmtId="167" fontId="16" fillId="2" borderId="33" xfId="1" applyNumberFormat="1" applyFont="1" applyFill="1" applyBorder="1"/>
    <xf numFmtId="168" fontId="14" fillId="2" borderId="35" xfId="0" applyNumberFormat="1" applyFont="1" applyFill="1" applyBorder="1"/>
    <xf numFmtId="167" fontId="16" fillId="2" borderId="12" xfId="1" applyNumberFormat="1" applyFont="1" applyFill="1" applyBorder="1"/>
    <xf numFmtId="168" fontId="0" fillId="0" borderId="38" xfId="2" applyNumberFormat="1" applyFont="1" applyFill="1" applyBorder="1"/>
    <xf numFmtId="37" fontId="0" fillId="4" borderId="48" xfId="0" applyNumberFormat="1" applyFill="1" applyBorder="1"/>
    <xf numFmtId="37" fontId="3" fillId="4" borderId="68" xfId="0" applyNumberFormat="1" applyFont="1" applyFill="1" applyBorder="1"/>
    <xf numFmtId="37" fontId="0" fillId="0" borderId="65" xfId="0" applyNumberFormat="1" applyBorder="1"/>
    <xf numFmtId="37" fontId="0" fillId="0" borderId="55" xfId="0" applyNumberFormat="1" applyBorder="1"/>
    <xf numFmtId="168" fontId="0" fillId="2" borderId="40" xfId="0" applyNumberFormat="1" applyFill="1" applyBorder="1"/>
    <xf numFmtId="0" fontId="0" fillId="0" borderId="42" xfId="0" applyBorder="1"/>
    <xf numFmtId="165" fontId="3" fillId="0" borderId="62" xfId="2" applyNumberFormat="1" applyFont="1" applyFill="1" applyBorder="1"/>
    <xf numFmtId="165" fontId="3" fillId="0" borderId="13" xfId="2" applyNumberFormat="1" applyFont="1" applyFill="1" applyBorder="1"/>
    <xf numFmtId="168" fontId="0" fillId="2" borderId="52" xfId="0" applyNumberFormat="1" applyFill="1" applyBorder="1"/>
    <xf numFmtId="168" fontId="0" fillId="0" borderId="66" xfId="2" applyNumberFormat="1" applyFont="1" applyFill="1" applyBorder="1"/>
    <xf numFmtId="165" fontId="0" fillId="0" borderId="17" xfId="2" applyNumberFormat="1" applyFont="1" applyFill="1" applyBorder="1"/>
    <xf numFmtId="37" fontId="0" fillId="4" borderId="52" xfId="0" applyNumberFormat="1" applyFill="1" applyBorder="1"/>
    <xf numFmtId="37" fontId="3" fillId="4" borderId="69" xfId="0" applyNumberFormat="1" applyFont="1" applyFill="1" applyBorder="1"/>
    <xf numFmtId="37" fontId="3" fillId="4" borderId="18" xfId="0" applyNumberFormat="1" applyFont="1" applyFill="1" applyBorder="1"/>
    <xf numFmtId="168" fontId="0" fillId="0" borderId="37" xfId="0" applyNumberFormat="1" applyBorder="1"/>
    <xf numFmtId="37" fontId="0" fillId="0" borderId="58" xfId="0" applyNumberFormat="1" applyBorder="1"/>
    <xf numFmtId="168" fontId="0" fillId="0" borderId="47" xfId="2" applyNumberFormat="1" applyFont="1" applyFill="1" applyBorder="1"/>
    <xf numFmtId="165" fontId="0" fillId="0" borderId="30" xfId="2" applyNumberFormat="1" applyFont="1" applyFill="1" applyBorder="1"/>
    <xf numFmtId="168" fontId="0" fillId="0" borderId="59" xfId="2" applyNumberFormat="1" applyFont="1" applyFill="1" applyBorder="1"/>
    <xf numFmtId="168" fontId="1" fillId="0" borderId="43" xfId="2" applyNumberFormat="1" applyFont="1" applyFill="1" applyBorder="1"/>
    <xf numFmtId="37" fontId="0" fillId="4" borderId="58" xfId="0" applyNumberFormat="1" applyFill="1" applyBorder="1"/>
    <xf numFmtId="37" fontId="3" fillId="4" borderId="65" xfId="0" applyNumberFormat="1" applyFont="1" applyFill="1" applyBorder="1"/>
    <xf numFmtId="37" fontId="0" fillId="4" borderId="47" xfId="0" applyNumberFormat="1" applyFill="1" applyBorder="1"/>
    <xf numFmtId="168" fontId="3" fillId="0" borderId="70" xfId="2" applyNumberFormat="1" applyFont="1" applyFill="1" applyBorder="1"/>
    <xf numFmtId="37" fontId="0" fillId="0" borderId="71" xfId="0" applyNumberFormat="1" applyBorder="1"/>
    <xf numFmtId="37" fontId="0" fillId="0" borderId="72" xfId="0" applyNumberFormat="1" applyBorder="1"/>
    <xf numFmtId="37" fontId="3" fillId="0" borderId="70" xfId="0" applyNumberFormat="1" applyFont="1" applyBorder="1"/>
    <xf numFmtId="37" fontId="3" fillId="4" borderId="70" xfId="0" applyNumberFormat="1" applyFont="1" applyFill="1" applyBorder="1"/>
    <xf numFmtId="0" fontId="0" fillId="2" borderId="30" xfId="0" applyFill="1" applyBorder="1"/>
    <xf numFmtId="0" fontId="0" fillId="2" borderId="73" xfId="0" applyFill="1" applyBorder="1"/>
    <xf numFmtId="167" fontId="3" fillId="0" borderId="13" xfId="0" applyNumberFormat="1" applyFont="1" applyBorder="1"/>
    <xf numFmtId="37" fontId="0" fillId="4" borderId="74" xfId="0" applyNumberFormat="1" applyFill="1" applyBorder="1"/>
    <xf numFmtId="168" fontId="0" fillId="0" borderId="74" xfId="2" applyNumberFormat="1" applyFont="1" applyFill="1" applyBorder="1"/>
    <xf numFmtId="0" fontId="0" fillId="2" borderId="75" xfId="0" applyFill="1" applyBorder="1"/>
    <xf numFmtId="37" fontId="0" fillId="2" borderId="0" xfId="0" applyNumberFormat="1" applyFill="1"/>
    <xf numFmtId="37" fontId="0" fillId="2" borderId="21" xfId="0" applyNumberFormat="1" applyFill="1" applyBorder="1"/>
    <xf numFmtId="10" fontId="0" fillId="2" borderId="21" xfId="2" applyNumberFormat="1" applyFont="1" applyFill="1" applyBorder="1"/>
    <xf numFmtId="165" fontId="0" fillId="0" borderId="15" xfId="2" applyNumberFormat="1" applyFont="1" applyFill="1" applyBorder="1"/>
    <xf numFmtId="0" fontId="0" fillId="0" borderId="21" xfId="0" applyBorder="1"/>
    <xf numFmtId="0" fontId="0" fillId="0" borderId="77" xfId="0" applyBorder="1"/>
    <xf numFmtId="0" fontId="0" fillId="0" borderId="78" xfId="0" applyBorder="1"/>
    <xf numFmtId="0" fontId="0" fillId="0" borderId="28" xfId="0" applyBorder="1"/>
    <xf numFmtId="165" fontId="1" fillId="0" borderId="64" xfId="2" applyNumberFormat="1" applyFont="1" applyFill="1" applyBorder="1"/>
    <xf numFmtId="37" fontId="0" fillId="0" borderId="79" xfId="0" applyNumberFormat="1" applyBorder="1"/>
    <xf numFmtId="37" fontId="0" fillId="0" borderId="80" xfId="0" applyNumberFormat="1" applyBorder="1"/>
    <xf numFmtId="0" fontId="0" fillId="0" borderId="38" xfId="0" applyBorder="1"/>
    <xf numFmtId="0" fontId="0" fillId="0" borderId="30" xfId="0" applyBorder="1"/>
    <xf numFmtId="168" fontId="0" fillId="0" borderId="49" xfId="2" applyNumberFormat="1" applyFont="1" applyFill="1" applyBorder="1"/>
    <xf numFmtId="168" fontId="0" fillId="0" borderId="44" xfId="2" applyNumberFormat="1" applyFont="1" applyFill="1" applyBorder="1"/>
    <xf numFmtId="168" fontId="1" fillId="0" borderId="64" xfId="2" applyNumberFormat="1" applyFont="1" applyFill="1" applyBorder="1"/>
    <xf numFmtId="168" fontId="0" fillId="2" borderId="15" xfId="2" applyNumberFormat="1" applyFont="1" applyFill="1" applyBorder="1"/>
    <xf numFmtId="168" fontId="0" fillId="0" borderId="28" xfId="0" applyNumberFormat="1" applyBorder="1"/>
    <xf numFmtId="168" fontId="0" fillId="2" borderId="0" xfId="2" applyNumberFormat="1" applyFont="1" applyFill="1" applyBorder="1"/>
    <xf numFmtId="37" fontId="0" fillId="2" borderId="39" xfId="0" applyNumberFormat="1" applyFill="1" applyBorder="1"/>
    <xf numFmtId="37" fontId="0" fillId="2" borderId="81" xfId="0" applyNumberFormat="1" applyFill="1" applyBorder="1"/>
    <xf numFmtId="168" fontId="0" fillId="2" borderId="7" xfId="0" applyNumberFormat="1" applyFill="1" applyBorder="1"/>
    <xf numFmtId="37" fontId="3" fillId="0" borderId="79" xfId="0" applyNumberFormat="1" applyFont="1" applyBorder="1"/>
    <xf numFmtId="168" fontId="0" fillId="0" borderId="63" xfId="2" applyNumberFormat="1" applyFont="1" applyFill="1" applyBorder="1"/>
    <xf numFmtId="37" fontId="0" fillId="0" borderId="76" xfId="0" applyNumberFormat="1" applyBorder="1"/>
    <xf numFmtId="168" fontId="0" fillId="0" borderId="79" xfId="2" applyNumberFormat="1" applyFont="1" applyFill="1" applyBorder="1"/>
    <xf numFmtId="0" fontId="0" fillId="0" borderId="44" xfId="0" applyBorder="1"/>
    <xf numFmtId="0" fontId="0" fillId="6" borderId="0" xfId="0" applyFill="1"/>
    <xf numFmtId="0" fontId="0" fillId="6" borderId="15" xfId="0" applyFill="1" applyBorder="1"/>
    <xf numFmtId="0" fontId="0" fillId="6" borderId="21" xfId="0" applyFill="1" applyBorder="1"/>
    <xf numFmtId="0" fontId="0" fillId="6" borderId="37" xfId="0" applyFill="1" applyBorder="1"/>
    <xf numFmtId="0" fontId="0" fillId="6" borderId="52" xfId="0" applyFill="1" applyBorder="1"/>
    <xf numFmtId="168" fontId="14" fillId="2" borderId="34" xfId="0" applyNumberFormat="1" applyFont="1" applyFill="1" applyBorder="1"/>
    <xf numFmtId="168" fontId="14" fillId="2" borderId="82" xfId="0" applyNumberFormat="1" applyFont="1" applyFill="1" applyBorder="1"/>
    <xf numFmtId="0" fontId="0" fillId="2" borderId="38" xfId="0" applyFill="1" applyBorder="1"/>
    <xf numFmtId="0" fontId="0" fillId="2" borderId="28" xfId="0" applyFill="1" applyBorder="1"/>
    <xf numFmtId="0" fontId="0" fillId="0" borderId="40" xfId="0" applyBorder="1"/>
    <xf numFmtId="0" fontId="0" fillId="2" borderId="39" xfId="0" applyFill="1" applyBorder="1"/>
    <xf numFmtId="0" fontId="18" fillId="2" borderId="0" xfId="0" applyFont="1" applyFill="1" applyAlignment="1">
      <alignment horizontal="left" indent="1"/>
    </xf>
    <xf numFmtId="165" fontId="0" fillId="0" borderId="66" xfId="2" applyNumberFormat="1" applyFont="1" applyFill="1" applyBorder="1"/>
    <xf numFmtId="165" fontId="0" fillId="0" borderId="28" xfId="2" applyNumberFormat="1" applyFont="1" applyFill="1" applyBorder="1"/>
    <xf numFmtId="37" fontId="0" fillId="0" borderId="38" xfId="0" applyNumberFormat="1" applyBorder="1"/>
    <xf numFmtId="37" fontId="0" fillId="0" borderId="28" xfId="0" applyNumberFormat="1" applyBorder="1"/>
    <xf numFmtId="37" fontId="0" fillId="4" borderId="66" xfId="0" applyNumberFormat="1" applyFill="1" applyBorder="1"/>
    <xf numFmtId="165" fontId="3" fillId="0" borderId="52" xfId="2" applyNumberFormat="1" applyFont="1" applyFill="1" applyBorder="1"/>
    <xf numFmtId="37" fontId="3" fillId="4" borderId="52" xfId="0" applyNumberFormat="1" applyFont="1" applyFill="1" applyBorder="1"/>
    <xf numFmtId="37" fontId="3" fillId="0" borderId="52" xfId="0" applyNumberFormat="1" applyFont="1" applyBorder="1"/>
    <xf numFmtId="170" fontId="19" fillId="0" borderId="0" xfId="1" applyNumberFormat="1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left" indent="1"/>
    </xf>
    <xf numFmtId="167" fontId="21" fillId="0" borderId="0" xfId="0" applyNumberFormat="1" applyFont="1"/>
    <xf numFmtId="171" fontId="24" fillId="5" borderId="28" xfId="0" applyNumberFormat="1" applyFont="1" applyFill="1" applyBorder="1" applyAlignment="1">
      <alignment horizontal="centerContinuous"/>
    </xf>
    <xf numFmtId="171" fontId="24" fillId="5" borderId="30" xfId="0" applyNumberFormat="1" applyFont="1" applyFill="1" applyBorder="1" applyAlignment="1">
      <alignment horizontal="centerContinuous"/>
    </xf>
    <xf numFmtId="171" fontId="24" fillId="5" borderId="39" xfId="0" applyNumberFormat="1" applyFont="1" applyFill="1" applyBorder="1" applyAlignment="1">
      <alignment horizontal="centerContinuous"/>
    </xf>
    <xf numFmtId="171" fontId="24" fillId="5" borderId="40" xfId="0" applyNumberFormat="1" applyFont="1" applyFill="1" applyBorder="1" applyAlignment="1">
      <alignment horizontal="centerContinuous"/>
    </xf>
    <xf numFmtId="0" fontId="9" fillId="6" borderId="37" xfId="0" quotePrefix="1" applyFont="1" applyFill="1" applyBorder="1" applyAlignment="1">
      <alignment horizontal="center"/>
    </xf>
    <xf numFmtId="171" fontId="0" fillId="0" borderId="10" xfId="0" applyNumberFormat="1" applyBorder="1"/>
    <xf numFmtId="0" fontId="0" fillId="0" borderId="60" xfId="0" applyBorder="1"/>
    <xf numFmtId="167" fontId="0" fillId="0" borderId="41" xfId="0" applyNumberFormat="1" applyBorder="1"/>
    <xf numFmtId="0" fontId="11" fillId="0" borderId="15" xfId="0" applyFont="1" applyBorder="1"/>
    <xf numFmtId="0" fontId="15" fillId="2" borderId="15" xfId="0" applyFont="1" applyFill="1" applyBorder="1" applyAlignment="1">
      <alignment horizontal="left"/>
    </xf>
    <xf numFmtId="0" fontId="0" fillId="2" borderId="15" xfId="0" applyFill="1" applyBorder="1" applyAlignment="1">
      <alignment horizontal="left" indent="1"/>
    </xf>
    <xf numFmtId="0" fontId="3" fillId="2" borderId="15" xfId="0" applyFont="1" applyFill="1" applyBorder="1" applyAlignment="1">
      <alignment horizontal="left"/>
    </xf>
    <xf numFmtId="0" fontId="16" fillId="2" borderId="15" xfId="0" applyFont="1" applyFill="1" applyBorder="1" applyAlignment="1">
      <alignment horizontal="left"/>
    </xf>
    <xf numFmtId="0" fontId="0" fillId="2" borderId="35" xfId="0" applyFill="1" applyBorder="1"/>
    <xf numFmtId="0" fontId="9" fillId="6" borderId="60" xfId="0" applyFont="1" applyFill="1" applyBorder="1" applyAlignment="1">
      <alignment horizontal="center"/>
    </xf>
    <xf numFmtId="167" fontId="0" fillId="0" borderId="45" xfId="0" applyNumberFormat="1" applyBorder="1"/>
    <xf numFmtId="37" fontId="0" fillId="0" borderId="83" xfId="0" applyNumberFormat="1" applyBorder="1"/>
    <xf numFmtId="37" fontId="3" fillId="0" borderId="80" xfId="0" applyNumberFormat="1" applyFont="1" applyBorder="1"/>
    <xf numFmtId="37" fontId="0" fillId="0" borderId="84" xfId="0" applyNumberFormat="1" applyBorder="1"/>
    <xf numFmtId="37" fontId="3" fillId="0" borderId="21" xfId="0" applyNumberFormat="1" applyFont="1" applyBorder="1"/>
    <xf numFmtId="167" fontId="0" fillId="0" borderId="65" xfId="0" applyNumberFormat="1" applyBorder="1"/>
    <xf numFmtId="167" fontId="0" fillId="0" borderId="60" xfId="0" applyNumberFormat="1" applyBorder="1"/>
    <xf numFmtId="167" fontId="3" fillId="0" borderId="56" xfId="0" applyNumberFormat="1" applyFont="1" applyBorder="1"/>
    <xf numFmtId="37" fontId="0" fillId="0" borderId="21" xfId="0" applyNumberFormat="1" applyBorder="1"/>
    <xf numFmtId="167" fontId="0" fillId="0" borderId="47" xfId="0" applyNumberFormat="1" applyBorder="1"/>
    <xf numFmtId="167" fontId="0" fillId="0" borderId="46" xfId="0" applyNumberFormat="1" applyBorder="1"/>
    <xf numFmtId="167" fontId="3" fillId="0" borderId="65" xfId="0" applyNumberFormat="1" applyFont="1" applyBorder="1"/>
    <xf numFmtId="167" fontId="3" fillId="0" borderId="47" xfId="0" applyNumberFormat="1" applyFont="1" applyBorder="1"/>
    <xf numFmtId="167" fontId="0" fillId="2" borderId="85" xfId="0" applyNumberFormat="1" applyFill="1" applyBorder="1"/>
    <xf numFmtId="167" fontId="3" fillId="0" borderId="20" xfId="0" applyNumberFormat="1" applyFont="1" applyBorder="1"/>
    <xf numFmtId="37" fontId="0" fillId="4" borderId="64" xfId="0" applyNumberFormat="1" applyFill="1" applyBorder="1"/>
    <xf numFmtId="37" fontId="3" fillId="4" borderId="54" xfId="0" applyNumberFormat="1" applyFont="1" applyFill="1" applyBorder="1"/>
    <xf numFmtId="37" fontId="3" fillId="4" borderId="61" xfId="0" applyNumberFormat="1" applyFont="1" applyFill="1" applyBorder="1"/>
    <xf numFmtId="37" fontId="0" fillId="0" borderId="85" xfId="0" applyNumberFormat="1" applyBorder="1"/>
    <xf numFmtId="0" fontId="9" fillId="6" borderId="38" xfId="0" applyFont="1" applyFill="1" applyBorder="1" applyAlignment="1">
      <alignment horizontal="center"/>
    </xf>
    <xf numFmtId="0" fontId="9" fillId="6" borderId="30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5" fillId="3" borderId="0" xfId="0" applyFont="1" applyFill="1" applyAlignment="1">
      <alignment horizontal="left"/>
    </xf>
    <xf numFmtId="14" fontId="2" fillId="3" borderId="0" xfId="0" applyNumberFormat="1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0" xfId="0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A5AEB6"/>
      <color rgb="FFF6FBD5"/>
      <color rgb="FF0000FF"/>
      <color rgb="FFDFE5E6"/>
      <color rgb="FF39617A"/>
      <color rgb="FF828A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D567169-E638-4D93-B353-BFAF164DA472}">
  <we:reference id="wa200006083" version="1.0.0.3" store="en-US" storeType="OMEX"/>
  <we:alternateReferences>
    <we:reference id="WA200006083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_xldudf_SP_GET_VERSION</we:customFunctionIds>
        <we:customFunctionIds>_xldudf_SP_PROPERTY_COUNT</we:customFunctionIds>
        <we:customFunctionIds>_xldudf_SP_GET_STAR_ID</we:customFunctionIds>
        <we:customFunctionIds>_xldudf_SP_FILTER</we:customFunctionIds>
        <we:customFunctionIds>_xldudf_SP_FINANCIALS</we:customFunctionIds>
        <we:customFunctionIds>_xldudf_SP_STR</we:customFunctionIds>
        <we:customFunctionIds>_xldudf_SP_OTB</we:customFunctionIds>
        <we:customFunctionIds>_xldudf_SP_FINANCIALS_AGG</we:customFunctionIds>
        <we:customFunctionIds>_xldudf_SP_REV_GOP_EBITDA</we:customFunctionIds>
        <we:customFunctionIds>_xldudf_SP_ACTUALS_WIN_RATE</we:customFunctionIds>
        <we:customFunctionIds>_xldudf_SP_STR_WIN_RATE</we:customFunctionIds>
        <we:customFunctionIds>_xldudf_SP_GET_USALI_REFERENCE</we:customFunctionIds>
        <we:customFunctionIds>_xldudf_SP_GET_HOTEL_REFERENCE</we:customFunctionIds>
        <we:customFunctionIds>_xldudf_SP_FLOW_THROUGH</we:customFunctionIds>
        <we:customFunctionIds>_xldudf_SP_STR_INDEX</we:customFunctionIds>
        <we:customFunctionIds>_xldudf_SP_GUEST_SATISFACTION</we:customFunctionIds>
        <we:customFunctionIds>_xldudf_SP_SENTIMENT</we:customFunctionIds>
        <we:customFunctionIds>_xldudf_SP_RISK_UPSIDE</we:customFunctionIds>
        <we:customFunctionIds>_xldudf_SP_REFORECAST_CHANGES</we:customFunctionIds>
        <we:customFunctionIds>_xldudf_SP_GET_FUTURE_INSIGHTS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58C8250-44B4-4B96-98F7-908580E17DBB}">
  <we:reference id="wa200005876" version="2.0.91.0" store="en-US" storeType="OMEX"/>
  <we:alternateReferences>
    <we:reference id="wa200005876" version="2.0.9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_xldudf_GS_DATASERIES_TABLE</we:customFunctionIds>
        <we:customFunctionIds>_xldudf_GS_DATASERIES_SPILL</we:customFunctionIds>
        <we:customFunctionIds>_xldudf_GS_RDH</we:customFunctionIds>
        <we:customFunctionIds>_xldudf_GS_RDHQ</we:customFunctionIds>
        <we:customFunctionIds>_xldudf_GS_RDHSAN</we:customFunctionIds>
        <we:customFunctionIds>_xldudf_GS_RDHSA</we:customFunctionIds>
        <we:customFunctionIds>_xldudf_GS_RDHSM</we:customFunctionIds>
        <we:customFunctionIds>_xldudf_GS_RDHSE</we:customFunctionIds>
        <we:customFunctionIds>_xldudf_GS_RDHESA</we:customFunctionIds>
        <we:customFunctionIds>_xldudf_GS_RDHESM</we:customFunctionIds>
        <we:customFunctionIds>_xldudf_GS_RDHESE</we:customFunctionIds>
        <we:customFunctionIds>_xldudf_GS_MDC</we:customFunctionIds>
        <we:customFunctionIds>_xldudf_GS_MF</we:customFunctionIds>
        <we:customFunctionIds>_xldudf_GS_RDC</we:customFunctionIds>
        <we:customFunctionIds>_xldudf_GS_RDCE</we:customFunctionIds>
        <we:customFunctionIds>_xldudf_GS_MDCE</we:customFunctionIds>
        <we:customFunctionIds>_xldudf_GS_RDHE</we:customFunctionIds>
        <we:customFunctionIds>_xldudf_GS_MFE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FC17-673C-4C1B-9C81-EA060A96B243}">
  <dimension ref="B1:W54"/>
  <sheetViews>
    <sheetView showGridLines="0" tabSelected="1" zoomScale="80" zoomScaleNormal="80" workbookViewId="0">
      <pane xSplit="3" ySplit="8" topLeftCell="D9" activePane="bottomRight" state="frozen"/>
      <selection activeCell="O7" sqref="O7:P7"/>
      <selection pane="topRight" activeCell="O7" sqref="O7:P7"/>
      <selection pane="bottomLeft" activeCell="O7" sqref="O7:P7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4" customWidth="1"/>
    <col min="5" max="5" width="8.7109375" customWidth="1"/>
    <col min="6" max="6" width="11.85546875" customWidth="1"/>
    <col min="7" max="7" width="8.7109375" customWidth="1"/>
    <col min="8" max="9" width="11.85546875" customWidth="1"/>
    <col min="10" max="10" width="8.7109375" customWidth="1"/>
    <col min="11" max="11" width="11.85546875" customWidth="1"/>
    <col min="13" max="13" width="14" customWidth="1"/>
    <col min="14" max="14" width="8.7109375" customWidth="1"/>
    <col min="15" max="15" width="11.85546875" customWidth="1"/>
    <col min="16" max="16" width="8.7109375" customWidth="1"/>
    <col min="17" max="18" width="11.85546875" customWidth="1"/>
    <col min="19" max="19" width="8.7109375" customWidth="1"/>
    <col min="20" max="20" width="11.85546875" customWidth="1"/>
  </cols>
  <sheetData>
    <row r="1" spans="2:23" x14ac:dyDescent="0.25">
      <c r="V1" s="328" t="s">
        <v>717</v>
      </c>
      <c r="W1" s="329" t="s">
        <v>716</v>
      </c>
    </row>
    <row r="2" spans="2:23" ht="22.5" x14ac:dyDescent="0.3">
      <c r="B2" s="1"/>
      <c r="C2" s="35" t="s">
        <v>722</v>
      </c>
      <c r="D2" s="2"/>
      <c r="I2" s="4"/>
      <c r="M2" s="2"/>
      <c r="R2" s="4"/>
      <c r="V2" s="330" t="s">
        <v>0</v>
      </c>
      <c r="W2" s="329" t="s">
        <v>718</v>
      </c>
    </row>
    <row r="3" spans="2:23" ht="18" x14ac:dyDescent="0.25">
      <c r="B3" s="5"/>
      <c r="C3" s="5" t="s">
        <v>721</v>
      </c>
      <c r="D3" s="5"/>
      <c r="I3" s="4"/>
      <c r="M3" s="5"/>
      <c r="R3" s="4"/>
      <c r="V3" s="328">
        <v>2025</v>
      </c>
      <c r="W3" s="329" t="s">
        <v>719</v>
      </c>
    </row>
    <row r="4" spans="2:23" ht="15.75" x14ac:dyDescent="0.25">
      <c r="B4" s="6"/>
      <c r="C4" s="6" t="str">
        <f>"FOR THE PERIOD ENDING "&amp;UPPER($V$2)&amp;" "&amp;Year</f>
        <v>FOR THE PERIOD ENDING MAY 2025</v>
      </c>
      <c r="D4" s="6"/>
      <c r="I4" s="4"/>
      <c r="M4" s="6"/>
      <c r="R4" s="4"/>
      <c r="V4" s="331" t="str">
        <f>Month&amp;"YTD"</f>
        <v>MayYTD</v>
      </c>
      <c r="W4" s="329"/>
    </row>
    <row r="5" spans="2:23" x14ac:dyDescent="0.25">
      <c r="D5" s="8"/>
      <c r="I5" s="4"/>
      <c r="M5" s="8"/>
      <c r="R5" s="4"/>
      <c r="V5" s="332"/>
      <c r="W5" s="332"/>
    </row>
    <row r="6" spans="2:23" x14ac:dyDescent="0.25">
      <c r="C6" s="74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L6" s="297"/>
      <c r="M6" s="294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3" x14ac:dyDescent="0.25">
      <c r="C7" s="74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L7" s="297"/>
      <c r="M7" s="327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3" ht="22.5" customHeight="1" x14ac:dyDescent="0.25">
      <c r="C8" s="74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L8" s="297"/>
      <c r="M8" s="40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3" x14ac:dyDescent="0.25">
      <c r="B9" s="10" t="s">
        <v>1</v>
      </c>
      <c r="C9" s="299" t="s">
        <v>2</v>
      </c>
      <c r="D9" s="36">
        <v>4092</v>
      </c>
      <c r="E9" s="47"/>
      <c r="F9" s="36">
        <v>4092</v>
      </c>
      <c r="G9" s="47"/>
      <c r="H9" s="144">
        <f>+D9-F9</f>
        <v>0</v>
      </c>
      <c r="I9" s="36">
        <v>4092</v>
      </c>
      <c r="J9" s="47"/>
      <c r="K9" s="144">
        <f>+(D9-I9)</f>
        <v>0</v>
      </c>
      <c r="M9" s="36">
        <v>19932</v>
      </c>
      <c r="N9" s="47"/>
      <c r="O9" s="36">
        <v>19932</v>
      </c>
      <c r="P9" s="47"/>
      <c r="Q9" s="144">
        <f>+M9-O9</f>
        <v>0</v>
      </c>
      <c r="R9" s="36">
        <v>20064</v>
      </c>
      <c r="S9" s="47"/>
      <c r="T9" s="144">
        <f>+(M9-R9)</f>
        <v>-132</v>
      </c>
    </row>
    <row r="10" spans="2:23" x14ac:dyDescent="0.25">
      <c r="B10" s="12" t="s">
        <v>3</v>
      </c>
      <c r="C10" s="299" t="s">
        <v>4</v>
      </c>
      <c r="D10" s="36">
        <v>3324</v>
      </c>
      <c r="E10" s="47"/>
      <c r="F10" s="36">
        <v>3489</v>
      </c>
      <c r="G10" s="47"/>
      <c r="H10" s="144">
        <f>+D10-F10</f>
        <v>-165</v>
      </c>
      <c r="I10" s="36">
        <v>3471</v>
      </c>
      <c r="J10" s="47"/>
      <c r="K10" s="144">
        <f>+(D10-I10)</f>
        <v>-147</v>
      </c>
      <c r="M10" s="36">
        <v>17880</v>
      </c>
      <c r="N10" s="47"/>
      <c r="O10" s="36">
        <v>18052</v>
      </c>
      <c r="P10" s="47"/>
      <c r="Q10" s="144">
        <f>+M10-O10</f>
        <v>-172</v>
      </c>
      <c r="R10" s="36">
        <v>18167</v>
      </c>
      <c r="S10" s="47"/>
      <c r="T10" s="144">
        <f>+(M10-R10)</f>
        <v>-287</v>
      </c>
    </row>
    <row r="11" spans="2:23" x14ac:dyDescent="0.25">
      <c r="B11" s="12"/>
      <c r="C11" s="299" t="s">
        <v>5</v>
      </c>
      <c r="D11" s="37">
        <f>D10/D9</f>
        <v>0.81231671554252194</v>
      </c>
      <c r="E11" s="47"/>
      <c r="F11" s="37">
        <f>F10/F9</f>
        <v>0.8526392961876833</v>
      </c>
      <c r="G11" s="47"/>
      <c r="H11" s="180">
        <f>+(D11-F11)*100</f>
        <v>-4.032258064516137</v>
      </c>
      <c r="I11" s="37">
        <f>I10/I9</f>
        <v>0.84824046920821117</v>
      </c>
      <c r="J11" s="47"/>
      <c r="K11" s="180">
        <f>+(D11-I11)*100</f>
        <v>-3.5923753665689229</v>
      </c>
      <c r="M11" s="37">
        <f>M10/M9</f>
        <v>0.89704996989765207</v>
      </c>
      <c r="N11" s="47"/>
      <c r="O11" s="37">
        <f>O10/O9</f>
        <v>0.90567930965281962</v>
      </c>
      <c r="P11" s="47"/>
      <c r="Q11" s="180">
        <f>+(M11-O11)*100</f>
        <v>-0.86293397551675532</v>
      </c>
      <c r="R11" s="37">
        <f>R10/R9</f>
        <v>0.90545255183413076</v>
      </c>
      <c r="S11" s="47"/>
      <c r="T11" s="180">
        <f>+(M11-R11)*100</f>
        <v>-0.84025819364786924</v>
      </c>
    </row>
    <row r="12" spans="2:23" x14ac:dyDescent="0.25">
      <c r="B12" s="12"/>
      <c r="C12" s="299" t="s">
        <v>6</v>
      </c>
      <c r="D12" s="38">
        <f>D15/D10</f>
        <v>222.62274368231047</v>
      </c>
      <c r="E12" s="47"/>
      <c r="F12" s="38">
        <f>F15/F10</f>
        <v>230.54089997133849</v>
      </c>
      <c r="G12" s="47"/>
      <c r="H12" s="181">
        <f>+D12-F12</f>
        <v>-7.918156289028019</v>
      </c>
      <c r="I12" s="38">
        <f>I15/I10</f>
        <v>223.86148372227024</v>
      </c>
      <c r="J12" s="47"/>
      <c r="K12" s="181">
        <f>+(D12-I12)</f>
        <v>-1.2387400399597652</v>
      </c>
      <c r="M12" s="38">
        <f>M15/M10</f>
        <v>281.96393456375841</v>
      </c>
      <c r="N12" s="47"/>
      <c r="O12" s="38">
        <f>O15/O10</f>
        <v>292.24231497894965</v>
      </c>
      <c r="P12" s="47"/>
      <c r="Q12" s="181">
        <f>+M12-O12</f>
        <v>-10.278380415191236</v>
      </c>
      <c r="R12" s="38">
        <f>R15/R10</f>
        <v>287.05921946386303</v>
      </c>
      <c r="S12" s="47"/>
      <c r="T12" s="181">
        <f>+(M12-R12)</f>
        <v>-5.0952849001046161</v>
      </c>
    </row>
    <row r="13" spans="2:23" x14ac:dyDescent="0.25">
      <c r="B13" s="12"/>
      <c r="C13" s="299" t="s">
        <v>7</v>
      </c>
      <c r="D13" s="38">
        <f>D11*D12</f>
        <v>180.84017595307918</v>
      </c>
      <c r="E13" s="47"/>
      <c r="F13" s="38">
        <f>F11*F12</f>
        <v>196.56823069403714</v>
      </c>
      <c r="G13" s="47"/>
      <c r="H13" s="181">
        <f>+D13-F13</f>
        <v>-15.728054740957958</v>
      </c>
      <c r="I13" s="38">
        <f>I11*I12</f>
        <v>189.88836999022485</v>
      </c>
      <c r="J13" s="47"/>
      <c r="K13" s="181">
        <f>+(D13-I13)</f>
        <v>-9.0481940371456631</v>
      </c>
      <c r="M13" s="38">
        <f>M11*M12</f>
        <v>252.93573901264301</v>
      </c>
      <c r="N13" s="47"/>
      <c r="O13" s="38">
        <f>O11*O12</f>
        <v>264.67781808147697</v>
      </c>
      <c r="P13" s="47"/>
      <c r="Q13" s="181">
        <f>+M13-O13</f>
        <v>-11.742079068833959</v>
      </c>
      <c r="R13" s="38">
        <f>R11*R12</f>
        <v>259.91850279106853</v>
      </c>
      <c r="S13" s="47"/>
      <c r="T13" s="181">
        <f>+(M13-R13)</f>
        <v>-6.9827637784255217</v>
      </c>
    </row>
    <row r="14" spans="2:23" x14ac:dyDescent="0.25">
      <c r="B14" s="12"/>
      <c r="C14" s="300" t="s">
        <v>9</v>
      </c>
      <c r="D14" s="269"/>
      <c r="E14" s="268"/>
      <c r="F14" s="269"/>
      <c r="G14" s="267"/>
      <c r="H14" s="270"/>
      <c r="I14" s="269"/>
      <c r="J14" s="267"/>
      <c r="K14" s="271"/>
      <c r="M14" s="269"/>
      <c r="N14" s="268"/>
      <c r="O14" s="269"/>
      <c r="P14" s="267"/>
      <c r="Q14" s="270"/>
      <c r="R14" s="269"/>
      <c r="S14" s="267"/>
      <c r="T14" s="271"/>
    </row>
    <row r="15" spans="2:23" x14ac:dyDescent="0.25">
      <c r="B15" s="12" t="s">
        <v>10</v>
      </c>
      <c r="C15" s="299" t="s">
        <v>11</v>
      </c>
      <c r="D15" s="50">
        <v>739998</v>
      </c>
      <c r="E15" s="51">
        <f>+IFERROR(D15/D$19,"")</f>
        <v>0.63251655537493545</v>
      </c>
      <c r="F15" s="50">
        <v>804357.2</v>
      </c>
      <c r="G15" s="51">
        <f t="shared" ref="G15:G19" si="0">+IFERROR(F15/F$19,"")</f>
        <v>0.58328032540884356</v>
      </c>
      <c r="H15" s="144">
        <f>+D15-F15</f>
        <v>-64359.199999999953</v>
      </c>
      <c r="I15" s="50">
        <v>777023.21</v>
      </c>
      <c r="J15" s="51">
        <f t="shared" ref="J15:J19" si="1">+IFERROR(I15/I$19,"")</f>
        <v>0.66706067284168413</v>
      </c>
      <c r="K15" s="144">
        <f>+(D15-I15)</f>
        <v>-37025.209999999963</v>
      </c>
      <c r="M15" s="50">
        <v>5041515.1500000004</v>
      </c>
      <c r="N15" s="51">
        <f>+IFERROR(M15/M$19,"")</f>
        <v>0.67588131783341499</v>
      </c>
      <c r="O15" s="50">
        <v>5275558.2699999996</v>
      </c>
      <c r="P15" s="51">
        <f t="shared" ref="P15:P19" si="2">+IFERROR(O15/O$19,"")</f>
        <v>0.64782796109413332</v>
      </c>
      <c r="Q15" s="144">
        <f>+M15-O15</f>
        <v>-234043.11999999918</v>
      </c>
      <c r="R15" s="50">
        <v>5215004.84</v>
      </c>
      <c r="S15" s="51">
        <f t="shared" ref="S15:S19" si="3">+IFERROR(R15/R$19,"")</f>
        <v>0.74187938441418111</v>
      </c>
      <c r="T15" s="144">
        <f>+(M15-R15)</f>
        <v>-173489.68999999948</v>
      </c>
    </row>
    <row r="16" spans="2:23" x14ac:dyDescent="0.25">
      <c r="B16" s="12" t="s">
        <v>12</v>
      </c>
      <c r="C16" s="299" t="s">
        <v>13</v>
      </c>
      <c r="D16" s="50">
        <v>325906.37</v>
      </c>
      <c r="E16" s="51">
        <f>+IFERROR(D16/D$19,"")</f>
        <v>0.27856990765806011</v>
      </c>
      <c r="F16" s="50">
        <v>457135.97</v>
      </c>
      <c r="G16" s="51">
        <f t="shared" si="0"/>
        <v>0.33149254751208457</v>
      </c>
      <c r="H16" s="144">
        <f>+D16-F16</f>
        <v>-131229.59999999998</v>
      </c>
      <c r="I16" s="50">
        <v>276217.51</v>
      </c>
      <c r="J16" s="51">
        <f t="shared" si="1"/>
        <v>0.23712784341571291</v>
      </c>
      <c r="K16" s="144">
        <f>+(D16-I16)</f>
        <v>49688.859999999986</v>
      </c>
      <c r="M16" s="50">
        <v>1849872.16</v>
      </c>
      <c r="N16" s="51">
        <f>+IFERROR(M16/M$19,"")</f>
        <v>0.24799965806393456</v>
      </c>
      <c r="O16" s="50">
        <v>2249829.96</v>
      </c>
      <c r="P16" s="51">
        <f t="shared" si="2"/>
        <v>0.27627460094290562</v>
      </c>
      <c r="Q16" s="144">
        <f>+M16-O16</f>
        <v>-399957.80000000005</v>
      </c>
      <c r="R16" s="50">
        <v>1192808.25</v>
      </c>
      <c r="S16" s="51">
        <f t="shared" si="3"/>
        <v>0.16968725387302933</v>
      </c>
      <c r="T16" s="144">
        <f>+(M16-R16)</f>
        <v>657063.90999999992</v>
      </c>
    </row>
    <row r="17" spans="2:20" x14ac:dyDescent="0.25">
      <c r="B17" s="12" t="s">
        <v>14</v>
      </c>
      <c r="C17" s="299" t="s">
        <v>15</v>
      </c>
      <c r="D17" s="50">
        <v>1869.23</v>
      </c>
      <c r="E17" s="51">
        <f>+IFERROR(D17/D$19,"")</f>
        <v>1.5977325895522563E-3</v>
      </c>
      <c r="F17" s="50">
        <v>1491.2</v>
      </c>
      <c r="G17" s="51">
        <f t="shared" si="0"/>
        <v>1.0813449811224013E-3</v>
      </c>
      <c r="H17" s="144">
        <f>+D17-F17</f>
        <v>378.03</v>
      </c>
      <c r="I17" s="50">
        <v>686.39</v>
      </c>
      <c r="J17" s="51">
        <f t="shared" si="1"/>
        <v>5.8925366622163524E-4</v>
      </c>
      <c r="K17" s="144">
        <f>+(D17-I17)</f>
        <v>1182.8400000000001</v>
      </c>
      <c r="M17" s="50">
        <v>11743.37</v>
      </c>
      <c r="N17" s="51">
        <f>+IFERROR(M17/M$19,"")</f>
        <v>1.5743529782718973E-3</v>
      </c>
      <c r="O17" s="50">
        <v>7715.42</v>
      </c>
      <c r="P17" s="51">
        <f t="shared" si="2"/>
        <v>9.4743808176814964E-4</v>
      </c>
      <c r="Q17" s="144">
        <f>+M17-O17</f>
        <v>4027.9500000000007</v>
      </c>
      <c r="R17" s="50">
        <v>7893.14</v>
      </c>
      <c r="S17" s="51">
        <f t="shared" si="3"/>
        <v>1.1228671926400264E-3</v>
      </c>
      <c r="T17" s="144">
        <f>+(M17-R17)</f>
        <v>3850.2300000000005</v>
      </c>
    </row>
    <row r="18" spans="2:20" x14ac:dyDescent="0.25">
      <c r="B18" s="12" t="s">
        <v>16</v>
      </c>
      <c r="C18" s="299" t="s">
        <v>17</v>
      </c>
      <c r="D18" s="62">
        <v>102153.09</v>
      </c>
      <c r="E18" s="63">
        <f>+IFERROR(D18/D$19,"")</f>
        <v>8.7315804377452039E-2</v>
      </c>
      <c r="F18" s="62">
        <v>116039</v>
      </c>
      <c r="G18" s="63">
        <f t="shared" si="0"/>
        <v>8.4145782097949512E-2</v>
      </c>
      <c r="H18" s="144">
        <f>+D18-F18</f>
        <v>-13885.910000000003</v>
      </c>
      <c r="I18" s="62">
        <v>110919.27</v>
      </c>
      <c r="J18" s="63">
        <f t="shared" si="1"/>
        <v>9.522223007638142E-2</v>
      </c>
      <c r="K18" s="144">
        <f>+(D18-I18)</f>
        <v>-8766.1800000000076</v>
      </c>
      <c r="M18" s="62">
        <v>556041.54</v>
      </c>
      <c r="N18" s="63">
        <f>+IFERROR(M18/M$19,"")</f>
        <v>7.4544671124378459E-2</v>
      </c>
      <c r="O18" s="62">
        <v>610352</v>
      </c>
      <c r="P18" s="63">
        <f t="shared" si="2"/>
        <v>7.4949999881192941E-2</v>
      </c>
      <c r="Q18" s="144">
        <f>+M18-O18</f>
        <v>-54310.459999999963</v>
      </c>
      <c r="R18" s="62">
        <v>613744.85</v>
      </c>
      <c r="S18" s="63">
        <f t="shared" si="3"/>
        <v>8.7310494520149648E-2</v>
      </c>
      <c r="T18" s="144">
        <f>+(M18-R18)</f>
        <v>-57703.309999999939</v>
      </c>
    </row>
    <row r="19" spans="2:20" x14ac:dyDescent="0.25">
      <c r="B19" s="12" t="s">
        <v>671</v>
      </c>
      <c r="C19" s="302" t="s">
        <v>18</v>
      </c>
      <c r="D19" s="59">
        <f t="shared" ref="D19" si="4">+SUM(D15:D18)</f>
        <v>1169926.6900000002</v>
      </c>
      <c r="E19" s="61">
        <f>+IFERROR(D19/D$19,"")</f>
        <v>1</v>
      </c>
      <c r="F19" s="59">
        <f t="shared" ref="F19" si="5">+SUM(F15:F18)</f>
        <v>1379023.3699999999</v>
      </c>
      <c r="G19" s="61">
        <f t="shared" si="0"/>
        <v>1</v>
      </c>
      <c r="H19" s="138">
        <f>+D19-F19</f>
        <v>-209096.6799999997</v>
      </c>
      <c r="I19" s="59">
        <f t="shared" ref="I19" si="6">+SUM(I15:I18)</f>
        <v>1164846.3799999999</v>
      </c>
      <c r="J19" s="61">
        <f t="shared" si="1"/>
        <v>1</v>
      </c>
      <c r="K19" s="138">
        <f>+(D19-I19)</f>
        <v>5080.3100000002887</v>
      </c>
      <c r="M19" s="59">
        <f t="shared" ref="M19" si="7">+SUM(M15:M18)</f>
        <v>7459172.2200000007</v>
      </c>
      <c r="N19" s="61">
        <f>+IFERROR(M19/M$19,"")</f>
        <v>1</v>
      </c>
      <c r="O19" s="59">
        <f t="shared" ref="O19" si="8">+SUM(O15:O18)</f>
        <v>8143455.6499999994</v>
      </c>
      <c r="P19" s="61">
        <f t="shared" si="2"/>
        <v>1</v>
      </c>
      <c r="Q19" s="138">
        <f>+M19-O19</f>
        <v>-684283.42999999877</v>
      </c>
      <c r="R19" s="59">
        <f t="shared" ref="R19" si="9">+SUM(R15:R18)</f>
        <v>7029451.0799999991</v>
      </c>
      <c r="S19" s="61">
        <f t="shared" si="3"/>
        <v>1</v>
      </c>
      <c r="T19" s="138">
        <f>+(M19-R19)</f>
        <v>429721.14000000153</v>
      </c>
    </row>
    <row r="20" spans="2:20" x14ac:dyDescent="0.25">
      <c r="B20" s="12"/>
      <c r="C20" s="299" t="s">
        <v>8</v>
      </c>
      <c r="D20" s="45" t="s">
        <v>8</v>
      </c>
      <c r="E20" s="42" t="b">
        <v>1</v>
      </c>
      <c r="F20" s="45" t="s">
        <v>8</v>
      </c>
      <c r="G20" s="87" t="b">
        <v>1</v>
      </c>
      <c r="H20" s="78"/>
      <c r="I20" s="45" t="s">
        <v>8</v>
      </c>
      <c r="J20" s="87" t="b">
        <v>1</v>
      </c>
      <c r="K20" s="79"/>
      <c r="M20" s="45" t="s">
        <v>8</v>
      </c>
      <c r="N20" s="42" t="b">
        <v>1</v>
      </c>
      <c r="O20" s="45" t="s">
        <v>8</v>
      </c>
      <c r="P20" s="87" t="b">
        <v>1</v>
      </c>
      <c r="Q20" s="78"/>
      <c r="R20" s="45" t="s">
        <v>8</v>
      </c>
      <c r="S20" s="87" t="b">
        <v>1</v>
      </c>
      <c r="T20" s="79"/>
    </row>
    <row r="21" spans="2:20" x14ac:dyDescent="0.25">
      <c r="B21" s="12"/>
      <c r="C21" s="300" t="s">
        <v>19</v>
      </c>
      <c r="D21" s="52"/>
      <c r="E21" s="53"/>
      <c r="F21" s="52"/>
      <c r="G21" s="32"/>
      <c r="H21" s="16"/>
      <c r="I21" s="52"/>
      <c r="J21" s="32"/>
      <c r="K21" s="49"/>
      <c r="M21" s="52"/>
      <c r="N21" s="53"/>
      <c r="O21" s="52"/>
      <c r="P21" s="32"/>
      <c r="Q21" s="16"/>
      <c r="R21" s="52"/>
      <c r="S21" s="32"/>
      <c r="T21" s="49"/>
    </row>
    <row r="22" spans="2:20" x14ac:dyDescent="0.25">
      <c r="B22" s="12" t="s">
        <v>20</v>
      </c>
      <c r="C22" s="301" t="s">
        <v>53</v>
      </c>
      <c r="D22" s="50">
        <v>246443.36</v>
      </c>
      <c r="E22" s="51">
        <f t="shared" ref="E22" si="10">+IFERROR(D22/D15,"")</f>
        <v>0.33303246765531797</v>
      </c>
      <c r="F22" s="50">
        <v>234321.87</v>
      </c>
      <c r="G22" s="51">
        <f t="shared" ref="G22:G24" si="11">+IFERROR(F22/F15,"")</f>
        <v>0.29131568661286306</v>
      </c>
      <c r="H22" s="137">
        <f>+D22-F22</f>
        <v>12121.489999999991</v>
      </c>
      <c r="I22" s="50">
        <v>267324.25</v>
      </c>
      <c r="J22" s="51">
        <f t="shared" ref="J22:J24" si="12">+IFERROR(I22/I15,"")</f>
        <v>0.34403637698287032</v>
      </c>
      <c r="K22" s="137">
        <f>+(D22-I22)</f>
        <v>-20880.890000000014</v>
      </c>
      <c r="M22" s="50">
        <v>1294812.6299999999</v>
      </c>
      <c r="N22" s="51">
        <f t="shared" ref="N22:N23" si="13">+IFERROR(M22/M15,"")</f>
        <v>0.25683005832086009</v>
      </c>
      <c r="O22" s="50">
        <v>1254000.1000000001</v>
      </c>
      <c r="P22" s="51">
        <f t="shared" ref="P22:P24" si="14">+IFERROR(O22/O15,"")</f>
        <v>0.23769998089699806</v>
      </c>
      <c r="Q22" s="137">
        <f>+M22-O22</f>
        <v>40812.529999999795</v>
      </c>
      <c r="R22" s="50">
        <v>1298118.19</v>
      </c>
      <c r="S22" s="51">
        <f t="shared" ref="S22:S24" si="15">+IFERROR(R22/R15,"")</f>
        <v>0.24891984376374998</v>
      </c>
      <c r="T22" s="137">
        <f>+(M22-R22)</f>
        <v>-3305.5600000000559</v>
      </c>
    </row>
    <row r="23" spans="2:20" x14ac:dyDescent="0.25">
      <c r="B23" s="12" t="s">
        <v>21</v>
      </c>
      <c r="C23" s="301" t="s">
        <v>381</v>
      </c>
      <c r="D23" s="50">
        <v>243939.45</v>
      </c>
      <c r="E23" s="51">
        <f t="shared" ref="E23" si="16">+IFERROR(D23/D16,"")</f>
        <v>0.74849549580758434</v>
      </c>
      <c r="F23" s="50">
        <v>314052.636909822</v>
      </c>
      <c r="G23" s="51">
        <f t="shared" si="11"/>
        <v>0.68700049333204305</v>
      </c>
      <c r="H23" s="137">
        <f>+D23-F23</f>
        <v>-70113.18690982199</v>
      </c>
      <c r="I23" s="50">
        <v>226868.58</v>
      </c>
      <c r="J23" s="51">
        <f t="shared" si="12"/>
        <v>0.82134032704878113</v>
      </c>
      <c r="K23" s="137">
        <f>+(D23-I23)</f>
        <v>17070.870000000024</v>
      </c>
      <c r="M23" s="50">
        <v>1323939.92</v>
      </c>
      <c r="N23" s="51">
        <f t="shared" si="13"/>
        <v>0.71569265629685463</v>
      </c>
      <c r="O23" s="50">
        <v>1545244.0967659701</v>
      </c>
      <c r="P23" s="51">
        <f t="shared" si="14"/>
        <v>0.68682705992855131</v>
      </c>
      <c r="Q23" s="137">
        <f>+M23-O23</f>
        <v>-221304.17676597019</v>
      </c>
      <c r="R23" s="50">
        <v>1001448.2</v>
      </c>
      <c r="S23" s="51">
        <f t="shared" si="15"/>
        <v>0.83957182556374832</v>
      </c>
      <c r="T23" s="137">
        <f>+(M23-R23)</f>
        <v>322491.71999999997</v>
      </c>
    </row>
    <row r="24" spans="2:20" x14ac:dyDescent="0.25">
      <c r="B24" s="12" t="s">
        <v>22</v>
      </c>
      <c r="C24" s="301" t="s">
        <v>382</v>
      </c>
      <c r="D24" s="62">
        <v>761.49</v>
      </c>
      <c r="E24" s="63">
        <f>+IFERROR(D24/D17,"")</f>
        <v>0.40738164912825064</v>
      </c>
      <c r="F24" s="62">
        <v>508.64</v>
      </c>
      <c r="G24" s="63">
        <f t="shared" si="11"/>
        <v>0.34109442060085837</v>
      </c>
      <c r="H24" s="191">
        <f>+D24-F24</f>
        <v>252.85000000000002</v>
      </c>
      <c r="I24" s="62">
        <v>294.5</v>
      </c>
      <c r="J24" s="63">
        <f t="shared" si="12"/>
        <v>0.42905636737131952</v>
      </c>
      <c r="K24" s="191">
        <f>+(D24-I24)</f>
        <v>466.99</v>
      </c>
      <c r="M24" s="62">
        <v>5834.49</v>
      </c>
      <c r="N24" s="63">
        <f>+IFERROR(M24/M17,"")</f>
        <v>0.4968326809084615</v>
      </c>
      <c r="O24" s="62">
        <v>2631.69</v>
      </c>
      <c r="P24" s="63">
        <f t="shared" si="14"/>
        <v>0.34109484642443316</v>
      </c>
      <c r="Q24" s="191">
        <f>+M24-O24</f>
        <v>3202.7999999999997</v>
      </c>
      <c r="R24" s="62">
        <v>2616.27</v>
      </c>
      <c r="S24" s="63">
        <f t="shared" si="15"/>
        <v>0.3314612435608642</v>
      </c>
      <c r="T24" s="191">
        <f>+(M24-R24)</f>
        <v>3218.22</v>
      </c>
    </row>
    <row r="25" spans="2:20" x14ac:dyDescent="0.25">
      <c r="B25" s="12" t="s">
        <v>663</v>
      </c>
      <c r="C25" s="302" t="s">
        <v>23</v>
      </c>
      <c r="D25" s="59">
        <f>+SUM(D22:D24)</f>
        <v>491144.3</v>
      </c>
      <c r="E25" s="61">
        <f>+IFERROR(D25/D$19,"")</f>
        <v>0.41980775735614673</v>
      </c>
      <c r="F25" s="59">
        <f>+SUM(F22:F24)</f>
        <v>548883.14690982201</v>
      </c>
      <c r="G25" s="61">
        <f t="shared" ref="G25" si="17">+IFERROR(F25/F$19,"")</f>
        <v>0.39802309290075488</v>
      </c>
      <c r="H25" s="192">
        <f>+D25-F25</f>
        <v>-57738.846909822023</v>
      </c>
      <c r="I25" s="59">
        <f>+SUM(I22:I24)</f>
        <v>494487.32999999996</v>
      </c>
      <c r="J25" s="61">
        <f t="shared" ref="J25" si="18">+IFERROR(I25/I$19,"")</f>
        <v>0.42450862061313183</v>
      </c>
      <c r="K25" s="192">
        <f>+(D25-I25)</f>
        <v>-3343.0299999999697</v>
      </c>
      <c r="M25" s="59">
        <f>+SUM(M22:M24)</f>
        <v>2624587.04</v>
      </c>
      <c r="N25" s="61">
        <f>+IFERROR(M25/M$19,"")</f>
        <v>0.35186036232851581</v>
      </c>
      <c r="O25" s="59">
        <f>+SUM(O22:O24)</f>
        <v>2801875.8867659704</v>
      </c>
      <c r="P25" s="61">
        <f t="shared" ref="P25" si="19">+IFERROR(O25/O$19,"")</f>
        <v>0.34406473212216371</v>
      </c>
      <c r="Q25" s="192">
        <f>+M25-O25</f>
        <v>-177288.84676597035</v>
      </c>
      <c r="R25" s="59">
        <f>+SUM(R22:R24)</f>
        <v>2302182.6599999997</v>
      </c>
      <c r="S25" s="61">
        <f t="shared" ref="S25" si="20">+IFERROR(R25/R$19,"")</f>
        <v>0.32750532492502954</v>
      </c>
      <c r="T25" s="192">
        <f>+(M25-R25)</f>
        <v>322404.38000000035</v>
      </c>
    </row>
    <row r="26" spans="2:20" x14ac:dyDescent="0.25">
      <c r="B26" s="12"/>
      <c r="C26" s="303" t="s">
        <v>8</v>
      </c>
      <c r="D26" s="202"/>
      <c r="E26" s="203"/>
      <c r="F26" s="202"/>
      <c r="G26" s="272"/>
      <c r="I26" s="202"/>
      <c r="J26" s="273"/>
      <c r="K26" s="200"/>
      <c r="M26" s="202"/>
      <c r="N26" s="203"/>
      <c r="O26" s="202"/>
      <c r="P26" s="272"/>
      <c r="R26" s="202"/>
      <c r="S26" s="273"/>
      <c r="T26" s="200"/>
    </row>
    <row r="27" spans="2:20" x14ac:dyDescent="0.25">
      <c r="B27" s="12"/>
      <c r="C27" s="302" t="s">
        <v>24</v>
      </c>
      <c r="D27" s="66">
        <f>+D19-D25</f>
        <v>678782.39000000013</v>
      </c>
      <c r="E27" s="68">
        <f>+IFERROR(D27/D$19,"")</f>
        <v>0.58019224264385316</v>
      </c>
      <c r="F27" s="66">
        <f>+F19-F25</f>
        <v>830140.22309017787</v>
      </c>
      <c r="G27" s="68">
        <f t="shared" ref="G27" si="21">+IFERROR(F27/F$19,"")</f>
        <v>0.60197690709924512</v>
      </c>
      <c r="H27" s="190">
        <f>+D27-F27</f>
        <v>-151357.83309017774</v>
      </c>
      <c r="I27" s="66">
        <f>+I19-I25</f>
        <v>670359.04999999993</v>
      </c>
      <c r="J27" s="68">
        <f t="shared" ref="J27" si="22">+IFERROR(I27/I$19,"")</f>
        <v>0.57549137938686812</v>
      </c>
      <c r="K27" s="190">
        <f>+(D27-I27)</f>
        <v>8423.3400000002002</v>
      </c>
      <c r="M27" s="66">
        <f>+M19-M25</f>
        <v>4834585.1800000006</v>
      </c>
      <c r="N27" s="68">
        <f>+IFERROR(M27/M$19,"")</f>
        <v>0.64813963767148419</v>
      </c>
      <c r="O27" s="66">
        <f>+O19-O25</f>
        <v>5341579.7632340286</v>
      </c>
      <c r="P27" s="68">
        <f t="shared" ref="P27" si="23">+IFERROR(O27/O$19,"")</f>
        <v>0.65593526787783618</v>
      </c>
      <c r="Q27" s="190">
        <f>+M27-O27</f>
        <v>-506994.58323402796</v>
      </c>
      <c r="R27" s="66">
        <f>+R19-R25</f>
        <v>4727268.42</v>
      </c>
      <c r="S27" s="68">
        <f t="shared" ref="S27" si="24">+IFERROR(R27/R$19,"")</f>
        <v>0.67249467507497052</v>
      </c>
      <c r="T27" s="190">
        <f>+(M27-R27)</f>
        <v>107316.76000000071</v>
      </c>
    </row>
    <row r="28" spans="2:20" x14ac:dyDescent="0.25">
      <c r="B28" s="12"/>
      <c r="C28" s="303" t="s">
        <v>8</v>
      </c>
      <c r="D28" s="45" t="s">
        <v>8</v>
      </c>
      <c r="E28" s="42" t="b">
        <v>1</v>
      </c>
      <c r="F28" s="45" t="s">
        <v>8</v>
      </c>
      <c r="G28" s="95" t="b">
        <v>1</v>
      </c>
      <c r="I28" s="45" t="s">
        <v>8</v>
      </c>
      <c r="J28" s="95" t="b">
        <v>1</v>
      </c>
      <c r="K28" s="74"/>
      <c r="M28" s="45" t="s">
        <v>8</v>
      </c>
      <c r="N28" s="42" t="b">
        <v>1</v>
      </c>
      <c r="O28" s="45" t="s">
        <v>8</v>
      </c>
      <c r="P28" s="95" t="b">
        <v>1</v>
      </c>
      <c r="R28" s="45" t="s">
        <v>8</v>
      </c>
      <c r="S28" s="95" t="b">
        <v>1</v>
      </c>
      <c r="T28" s="74"/>
    </row>
    <row r="29" spans="2:20" x14ac:dyDescent="0.25">
      <c r="B29" s="12"/>
      <c r="C29" s="300" t="s">
        <v>25</v>
      </c>
      <c r="D29" s="52"/>
      <c r="E29" s="53"/>
      <c r="F29" s="52"/>
      <c r="G29" s="32"/>
      <c r="H29" s="184"/>
      <c r="I29" s="52"/>
      <c r="J29" s="32"/>
      <c r="K29" s="196"/>
      <c r="M29" s="52"/>
      <c r="N29" s="53"/>
      <c r="O29" s="52"/>
      <c r="P29" s="32"/>
      <c r="Q29" s="184"/>
      <c r="R29" s="52"/>
      <c r="S29" s="32"/>
      <c r="T29" s="196"/>
    </row>
    <row r="30" spans="2:20" x14ac:dyDescent="0.25">
      <c r="B30" s="12" t="s">
        <v>26</v>
      </c>
      <c r="C30" s="301" t="s">
        <v>383</v>
      </c>
      <c r="D30" s="50">
        <v>117080.84</v>
      </c>
      <c r="E30" s="51">
        <f t="shared" ref="E30:E35" si="25">+IFERROR(D30/D$19,"")</f>
        <v>0.10007536455126088</v>
      </c>
      <c r="F30" s="50">
        <v>128057.77688972501</v>
      </c>
      <c r="G30" s="51">
        <f t="shared" ref="G30:G35" si="26">+IFERROR(F30/F$19,"")</f>
        <v>9.2861208646322663E-2</v>
      </c>
      <c r="H30" s="137">
        <f t="shared" ref="H30:H35" si="27">+D30-F30</f>
        <v>-10976.93688972501</v>
      </c>
      <c r="I30" s="50">
        <v>111994.31</v>
      </c>
      <c r="J30" s="51">
        <f t="shared" ref="J30:J35" si="28">+IFERROR(I30/I$19,"")</f>
        <v>9.6145132888681858E-2</v>
      </c>
      <c r="K30" s="137">
        <f t="shared" ref="K30:K35" si="29">+(D30-I30)</f>
        <v>5086.5299999999988</v>
      </c>
      <c r="M30" s="50">
        <v>612752.12</v>
      </c>
      <c r="N30" s="51">
        <f t="shared" ref="N30:N35" si="30">+IFERROR(M30/M$19,"")</f>
        <v>8.2147469173194654E-2</v>
      </c>
      <c r="O30" s="50">
        <v>684474.25783538702</v>
      </c>
      <c r="P30" s="51">
        <f t="shared" ref="P30:P35" si="31">+IFERROR(O30/O$19,"")</f>
        <v>8.405206428985551E-2</v>
      </c>
      <c r="Q30" s="137">
        <f t="shared" ref="Q30:Q35" si="32">+M30-O30</f>
        <v>-71722.137835387024</v>
      </c>
      <c r="R30" s="50">
        <v>569544.02</v>
      </c>
      <c r="S30" s="51">
        <f t="shared" ref="S30:S35" si="33">+IFERROR(R30/R$19,"")</f>
        <v>8.1022545504363913E-2</v>
      </c>
      <c r="T30" s="137">
        <f t="shared" ref="T30:T35" si="34">+(M30-R30)</f>
        <v>43208.099999999977</v>
      </c>
    </row>
    <row r="31" spans="2:20" x14ac:dyDescent="0.25">
      <c r="B31" s="13" t="s">
        <v>27</v>
      </c>
      <c r="C31" s="301" t="s">
        <v>384</v>
      </c>
      <c r="D31" s="50">
        <v>11497.54</v>
      </c>
      <c r="E31" s="51">
        <f t="shared" si="25"/>
        <v>9.8275730422048915E-3</v>
      </c>
      <c r="F31" s="50">
        <v>12569.47</v>
      </c>
      <c r="G31" s="51">
        <f t="shared" si="26"/>
        <v>9.1147621377874119E-3</v>
      </c>
      <c r="H31" s="137">
        <f t="shared" si="27"/>
        <v>-1071.9299999999985</v>
      </c>
      <c r="I31" s="50">
        <v>15157.74</v>
      </c>
      <c r="J31" s="51">
        <f t="shared" si="28"/>
        <v>1.3012651505171009E-2</v>
      </c>
      <c r="K31" s="137">
        <f t="shared" si="29"/>
        <v>-3660.1999999999989</v>
      </c>
      <c r="M31" s="50">
        <v>91858.76</v>
      </c>
      <c r="N31" s="51">
        <f t="shared" si="30"/>
        <v>1.2314873191116639E-2</v>
      </c>
      <c r="O31" s="50">
        <v>92205.48</v>
      </c>
      <c r="P31" s="51">
        <f t="shared" si="31"/>
        <v>1.1322647775456357E-2</v>
      </c>
      <c r="Q31" s="137">
        <f t="shared" si="32"/>
        <v>-346.72000000000116</v>
      </c>
      <c r="R31" s="50">
        <v>93203.199999999997</v>
      </c>
      <c r="S31" s="51">
        <f t="shared" si="33"/>
        <v>1.3258958479016829E-2</v>
      </c>
      <c r="T31" s="137">
        <f t="shared" si="34"/>
        <v>-1344.4400000000023</v>
      </c>
    </row>
    <row r="32" spans="2:20" x14ac:dyDescent="0.25">
      <c r="B32" s="12" t="s">
        <v>264</v>
      </c>
      <c r="C32" s="301" t="s">
        <v>385</v>
      </c>
      <c r="D32" s="50">
        <v>100257.55</v>
      </c>
      <c r="E32" s="51">
        <f t="shared" si="25"/>
        <v>8.5695583199319941E-2</v>
      </c>
      <c r="F32" s="50">
        <v>117793.29</v>
      </c>
      <c r="G32" s="51">
        <f t="shared" si="26"/>
        <v>8.5417907022126829E-2</v>
      </c>
      <c r="H32" s="137">
        <f t="shared" si="27"/>
        <v>-17535.739999999991</v>
      </c>
      <c r="I32" s="50">
        <v>106611.29</v>
      </c>
      <c r="J32" s="51">
        <f t="shared" si="28"/>
        <v>9.1523905495589905E-2</v>
      </c>
      <c r="K32" s="137">
        <f t="shared" si="29"/>
        <v>-6353.7399999999907</v>
      </c>
      <c r="M32" s="50">
        <v>482238.44</v>
      </c>
      <c r="N32" s="51">
        <f t="shared" si="30"/>
        <v>6.4650396287538728E-2</v>
      </c>
      <c r="O32" s="50">
        <v>588733.93000000005</v>
      </c>
      <c r="P32" s="51">
        <f t="shared" si="31"/>
        <v>7.2295344298952513E-2</v>
      </c>
      <c r="Q32" s="137">
        <f t="shared" si="32"/>
        <v>-106495.49000000005</v>
      </c>
      <c r="R32" s="50">
        <v>524002.05</v>
      </c>
      <c r="S32" s="51">
        <f t="shared" si="33"/>
        <v>7.4543807764858944E-2</v>
      </c>
      <c r="T32" s="137">
        <f t="shared" si="34"/>
        <v>-41763.609999999986</v>
      </c>
    </row>
    <row r="33" spans="2:20" x14ac:dyDescent="0.25">
      <c r="B33" s="12" t="s">
        <v>28</v>
      </c>
      <c r="C33" s="301" t="s">
        <v>386</v>
      </c>
      <c r="D33" s="50">
        <v>56848.01</v>
      </c>
      <c r="E33" s="51">
        <f t="shared" si="25"/>
        <v>4.8591087361208929E-2</v>
      </c>
      <c r="F33" s="50">
        <v>69431.660208125002</v>
      </c>
      <c r="G33" s="51">
        <f t="shared" si="26"/>
        <v>5.0348428981392107E-2</v>
      </c>
      <c r="H33" s="137">
        <f t="shared" si="27"/>
        <v>-12583.650208125</v>
      </c>
      <c r="I33" s="50">
        <v>53729.18</v>
      </c>
      <c r="J33" s="51">
        <f t="shared" si="28"/>
        <v>4.6125550048925767E-2</v>
      </c>
      <c r="K33" s="137">
        <f t="shared" si="29"/>
        <v>3118.8300000000017</v>
      </c>
      <c r="M33" s="50">
        <v>277642.8</v>
      </c>
      <c r="N33" s="51">
        <f t="shared" si="30"/>
        <v>3.7221663719677459E-2</v>
      </c>
      <c r="O33" s="50">
        <v>336790.60415594297</v>
      </c>
      <c r="P33" s="51">
        <f t="shared" si="31"/>
        <v>4.1357209841984342E-2</v>
      </c>
      <c r="Q33" s="137">
        <f t="shared" si="32"/>
        <v>-59147.804155942984</v>
      </c>
      <c r="R33" s="50">
        <v>279199.45</v>
      </c>
      <c r="S33" s="51">
        <f t="shared" si="33"/>
        <v>3.9718528064640865E-2</v>
      </c>
      <c r="T33" s="137">
        <f t="shared" si="34"/>
        <v>-1556.6500000000233</v>
      </c>
    </row>
    <row r="34" spans="2:20" x14ac:dyDescent="0.25">
      <c r="B34" s="12" t="s">
        <v>29</v>
      </c>
      <c r="C34" s="301" t="s">
        <v>68</v>
      </c>
      <c r="D34" s="62">
        <v>28522.49</v>
      </c>
      <c r="E34" s="63">
        <f t="shared" si="25"/>
        <v>2.4379724168870784E-2</v>
      </c>
      <c r="F34" s="62">
        <v>22614.45</v>
      </c>
      <c r="G34" s="63">
        <f t="shared" si="26"/>
        <v>1.6398888149371973E-2</v>
      </c>
      <c r="H34" s="191">
        <f t="shared" si="27"/>
        <v>5908.0400000000009</v>
      </c>
      <c r="I34" s="62">
        <v>26430.89</v>
      </c>
      <c r="J34" s="63">
        <f t="shared" si="28"/>
        <v>2.269045125074776E-2</v>
      </c>
      <c r="K34" s="191">
        <f t="shared" si="29"/>
        <v>2091.6000000000022</v>
      </c>
      <c r="M34" s="62">
        <v>121967.86</v>
      </c>
      <c r="N34" s="63">
        <f t="shared" si="30"/>
        <v>1.635139347942284E-2</v>
      </c>
      <c r="O34" s="62">
        <v>112831.49</v>
      </c>
      <c r="P34" s="63">
        <f t="shared" si="31"/>
        <v>1.3855480381967822E-2</v>
      </c>
      <c r="Q34" s="191">
        <f t="shared" si="32"/>
        <v>9136.3699999999953</v>
      </c>
      <c r="R34" s="62">
        <v>122405.5</v>
      </c>
      <c r="S34" s="63">
        <f t="shared" si="33"/>
        <v>1.7413237336307064E-2</v>
      </c>
      <c r="T34" s="191">
        <f t="shared" si="34"/>
        <v>-437.63999999999942</v>
      </c>
    </row>
    <row r="35" spans="2:20" x14ac:dyDescent="0.25">
      <c r="B35" s="12" t="s">
        <v>678</v>
      </c>
      <c r="C35" s="302" t="s">
        <v>30</v>
      </c>
      <c r="D35" s="59">
        <f>+SUM(D30:D34)</f>
        <v>314206.43</v>
      </c>
      <c r="E35" s="61">
        <f t="shared" si="25"/>
        <v>0.2685693323228654</v>
      </c>
      <c r="F35" s="59">
        <f>+SUM(F30:F34)</f>
        <v>350466.64709785004</v>
      </c>
      <c r="G35" s="61">
        <f t="shared" si="26"/>
        <v>0.25414119493700099</v>
      </c>
      <c r="H35" s="192">
        <f t="shared" si="27"/>
        <v>-36260.217097850051</v>
      </c>
      <c r="I35" s="59">
        <f>+SUM(I30:I34)</f>
        <v>313923.41000000003</v>
      </c>
      <c r="J35" s="61">
        <f t="shared" si="28"/>
        <v>0.26949769118911632</v>
      </c>
      <c r="K35" s="192">
        <f t="shared" si="29"/>
        <v>283.01999999996042</v>
      </c>
      <c r="M35" s="59">
        <f>+SUM(M30:M34)</f>
        <v>1586459.9800000002</v>
      </c>
      <c r="N35" s="61">
        <f t="shared" si="30"/>
        <v>0.21268579585095035</v>
      </c>
      <c r="O35" s="59">
        <f>+SUM(O30:O34)</f>
        <v>1815035.76199133</v>
      </c>
      <c r="P35" s="61">
        <f t="shared" si="31"/>
        <v>0.22288274658821652</v>
      </c>
      <c r="Q35" s="192">
        <f t="shared" si="32"/>
        <v>-228575.78199132974</v>
      </c>
      <c r="R35" s="59">
        <f>+SUM(R30:R34)</f>
        <v>1588354.22</v>
      </c>
      <c r="S35" s="61">
        <f t="shared" si="33"/>
        <v>0.22595707714918761</v>
      </c>
      <c r="T35" s="192">
        <f t="shared" si="34"/>
        <v>-1894.2399999997579</v>
      </c>
    </row>
    <row r="36" spans="2:20" x14ac:dyDescent="0.25">
      <c r="B36" s="12"/>
      <c r="C36" s="303" t="s">
        <v>8</v>
      </c>
      <c r="D36" s="69"/>
      <c r="E36" s="70"/>
      <c r="F36" s="69"/>
      <c r="G36" s="96"/>
      <c r="H36" s="185"/>
      <c r="I36" s="69"/>
      <c r="J36" s="96"/>
      <c r="K36" s="197"/>
      <c r="M36" s="69"/>
      <c r="N36" s="70"/>
      <c r="O36" s="69"/>
      <c r="P36" s="96"/>
      <c r="Q36" s="185"/>
      <c r="R36" s="69"/>
      <c r="S36" s="96"/>
      <c r="T36" s="197"/>
    </row>
    <row r="37" spans="2:20" ht="15.75" thickBot="1" x14ac:dyDescent="0.3">
      <c r="B37" s="12" t="s">
        <v>666</v>
      </c>
      <c r="C37" s="302" t="s">
        <v>31</v>
      </c>
      <c r="D37" s="64">
        <f>+D27-D35</f>
        <v>364575.96000000014</v>
      </c>
      <c r="E37" s="65">
        <f>+IFERROR(D37/D$19,"")</f>
        <v>0.31162291032098777</v>
      </c>
      <c r="F37" s="64">
        <f>+F27-F35</f>
        <v>479673.57599232782</v>
      </c>
      <c r="G37" s="88">
        <f t="shared" ref="G37" si="35">+IFERROR(F37/F$19,"")</f>
        <v>0.34783571216224413</v>
      </c>
      <c r="H37" s="132">
        <f>+D37-F37</f>
        <v>-115097.61599232769</v>
      </c>
      <c r="I37" s="64">
        <f>+I27-I35</f>
        <v>356435.6399999999</v>
      </c>
      <c r="J37" s="88">
        <f t="shared" ref="J37" si="36">+IFERROR(I37/I$19,"")</f>
        <v>0.3059936881977518</v>
      </c>
      <c r="K37" s="132">
        <f>+(D37-I37)</f>
        <v>8140.3200000002398</v>
      </c>
      <c r="M37" s="64">
        <f>+M27-M35</f>
        <v>3248125.2</v>
      </c>
      <c r="N37" s="65">
        <f>+IFERROR(M37/M$19,"")</f>
        <v>0.43545384182053382</v>
      </c>
      <c r="O37" s="64">
        <f>+O27-O35</f>
        <v>3526544.0012426986</v>
      </c>
      <c r="P37" s="88">
        <f t="shared" ref="P37" si="37">+IFERROR(O37/O$19,"")</f>
        <v>0.43305252128961969</v>
      </c>
      <c r="Q37" s="132">
        <f>+M37-O37</f>
        <v>-278418.80124269845</v>
      </c>
      <c r="R37" s="64">
        <f>+R27-R35</f>
        <v>3138914.2</v>
      </c>
      <c r="S37" s="88">
        <f t="shared" ref="S37" si="38">+IFERROR(R37/R$19,"")</f>
        <v>0.4465375979257829</v>
      </c>
      <c r="T37" s="132">
        <f>+(M37-R37)</f>
        <v>109211</v>
      </c>
    </row>
    <row r="38" spans="2:20" ht="15.75" thickTop="1" x14ac:dyDescent="0.25">
      <c r="B38" s="12"/>
      <c r="C38" s="303" t="s">
        <v>8</v>
      </c>
      <c r="D38" s="204"/>
      <c r="E38" s="42"/>
      <c r="F38" s="204"/>
      <c r="G38" s="98"/>
      <c r="H38" s="186"/>
      <c r="I38" s="204"/>
      <c r="J38" s="97"/>
      <c r="K38" s="198"/>
      <c r="M38" s="204"/>
      <c r="N38" s="42"/>
      <c r="O38" s="204"/>
      <c r="P38" s="98"/>
      <c r="Q38" s="186"/>
      <c r="R38" s="204"/>
      <c r="S38" s="97"/>
      <c r="T38" s="198"/>
    </row>
    <row r="39" spans="2:20" x14ac:dyDescent="0.25">
      <c r="B39" s="12" t="s">
        <v>279</v>
      </c>
      <c r="C39" s="301" t="s">
        <v>33</v>
      </c>
      <c r="D39" s="62">
        <v>55738.239999999998</v>
      </c>
      <c r="E39" s="63">
        <f>+IFERROR(D39/D$19,"")</f>
        <v>4.7642506557398046E-2</v>
      </c>
      <c r="F39" s="62">
        <v>66917.63</v>
      </c>
      <c r="G39" s="63">
        <f t="shared" ref="G39:G40" si="39">+IFERROR(F39/F$19,"")</f>
        <v>4.8525377782393936E-2</v>
      </c>
      <c r="H39" s="193">
        <f>+D39-F39</f>
        <v>-11179.390000000007</v>
      </c>
      <c r="I39" s="62">
        <v>55821.919999999998</v>
      </c>
      <c r="J39" s="63">
        <f t="shared" ref="J39:J40" si="40">+IFERROR(I39/I$19,"")</f>
        <v>4.7922130298417548E-2</v>
      </c>
      <c r="K39" s="193">
        <f>+(D39-I39)</f>
        <v>-83.680000000000291</v>
      </c>
      <c r="M39" s="62">
        <v>329710.5</v>
      </c>
      <c r="N39" s="63">
        <f>+IFERROR(M39/M$19,"")</f>
        <v>4.4202022727932132E-2</v>
      </c>
      <c r="O39" s="62">
        <v>373883.77</v>
      </c>
      <c r="P39" s="63">
        <f t="shared" ref="P39:P40" si="41">+IFERROR(O39/O$19,"")</f>
        <v>4.5912176116535988E-2</v>
      </c>
      <c r="Q39" s="193">
        <f>+M39-O39</f>
        <v>-44173.270000000019</v>
      </c>
      <c r="R39" s="62">
        <v>299191.21999999997</v>
      </c>
      <c r="S39" s="63">
        <f t="shared" ref="S39:S40" si="42">+IFERROR(R39/R$19,"")</f>
        <v>4.2562529647763053E-2</v>
      </c>
      <c r="T39" s="193">
        <f>+(M39-R39)</f>
        <v>30519.280000000028</v>
      </c>
    </row>
    <row r="40" spans="2:20" x14ac:dyDescent="0.25">
      <c r="B40" s="12"/>
      <c r="C40" s="302" t="s">
        <v>35</v>
      </c>
      <c r="D40" s="71">
        <f>+D37-D39</f>
        <v>308837.72000000015</v>
      </c>
      <c r="E40" s="72">
        <f>+IFERROR(D40/D$19,"")</f>
        <v>0.26398040376358978</v>
      </c>
      <c r="F40" s="71">
        <f>+F37-F39</f>
        <v>412755.94599232782</v>
      </c>
      <c r="G40" s="72">
        <f t="shared" si="39"/>
        <v>0.29931033437985016</v>
      </c>
      <c r="H40" s="190">
        <f>+D40-F40</f>
        <v>-103918.22599232767</v>
      </c>
      <c r="I40" s="71">
        <f>+I37-I39</f>
        <v>300613.71999999991</v>
      </c>
      <c r="J40" s="72">
        <f t="shared" si="40"/>
        <v>0.25807155789933428</v>
      </c>
      <c r="K40" s="190">
        <f>+(D40-I40)</f>
        <v>8224.0000000002328</v>
      </c>
      <c r="M40" s="71">
        <f>+M37-M39</f>
        <v>2918414.7</v>
      </c>
      <c r="N40" s="72">
        <f>+IFERROR(M40/M$19,"")</f>
        <v>0.39125181909260165</v>
      </c>
      <c r="O40" s="71">
        <f>+O37-O39</f>
        <v>3152660.2312426986</v>
      </c>
      <c r="P40" s="72">
        <f t="shared" si="41"/>
        <v>0.38714034517308371</v>
      </c>
      <c r="Q40" s="190">
        <f>+M40-O40</f>
        <v>-234245.53124269843</v>
      </c>
      <c r="R40" s="71">
        <f>+R37-R39</f>
        <v>2839722.9800000004</v>
      </c>
      <c r="S40" s="72">
        <f t="shared" si="42"/>
        <v>0.40397506827801993</v>
      </c>
      <c r="T40" s="190">
        <f>+(M40-R40)</f>
        <v>78691.719999999739</v>
      </c>
    </row>
    <row r="41" spans="2:20" x14ac:dyDescent="0.25">
      <c r="B41" s="12"/>
      <c r="C41" s="299" t="s">
        <v>8</v>
      </c>
      <c r="D41" s="45" t="s">
        <v>8</v>
      </c>
      <c r="E41" s="42" t="b">
        <v>1</v>
      </c>
      <c r="F41" s="45" t="s">
        <v>8</v>
      </c>
      <c r="G41" s="97" t="b">
        <v>1</v>
      </c>
      <c r="H41" s="187"/>
      <c r="I41" s="45" t="s">
        <v>8</v>
      </c>
      <c r="J41" s="97" t="b">
        <v>1</v>
      </c>
      <c r="K41" s="199"/>
      <c r="M41" s="45" t="s">
        <v>8</v>
      </c>
      <c r="N41" s="42" t="b">
        <v>1</v>
      </c>
      <c r="O41" s="45" t="s">
        <v>8</v>
      </c>
      <c r="P41" s="97" t="b">
        <v>1</v>
      </c>
      <c r="Q41" s="187"/>
      <c r="R41" s="45" t="s">
        <v>8</v>
      </c>
      <c r="S41" s="97" t="b">
        <v>1</v>
      </c>
      <c r="T41" s="199"/>
    </row>
    <row r="42" spans="2:20" x14ac:dyDescent="0.25">
      <c r="B42" s="12"/>
      <c r="C42" s="300" t="s">
        <v>387</v>
      </c>
      <c r="D42" s="52"/>
      <c r="E42" s="53"/>
      <c r="F42" s="52"/>
      <c r="G42" s="32"/>
      <c r="H42" s="184"/>
      <c r="I42" s="52"/>
      <c r="J42" s="99"/>
      <c r="K42" s="196"/>
      <c r="M42" s="52"/>
      <c r="N42" s="53"/>
      <c r="O42" s="52"/>
      <c r="P42" s="32"/>
      <c r="Q42" s="184"/>
      <c r="R42" s="52"/>
      <c r="S42" s="99"/>
      <c r="T42" s="196"/>
    </row>
    <row r="43" spans="2:20" s="11" customFormat="1" x14ac:dyDescent="0.25">
      <c r="B43" s="12" t="s">
        <v>36</v>
      </c>
      <c r="C43" s="301" t="s">
        <v>37</v>
      </c>
      <c r="D43" s="50">
        <v>1734.91</v>
      </c>
      <c r="E43" s="51">
        <f t="shared" ref="E43:E48" si="43">+IFERROR(D43/D$19,"")</f>
        <v>1.482921976931734E-3</v>
      </c>
      <c r="F43" s="50">
        <v>2031</v>
      </c>
      <c r="G43" s="51">
        <f t="shared" ref="G43:G48" si="44">+IFERROR(F43/F$19,"")</f>
        <v>1.4727814221161459E-3</v>
      </c>
      <c r="H43" s="137">
        <f t="shared" ref="H43:H48" si="45">+D43-F43</f>
        <v>-296.08999999999992</v>
      </c>
      <c r="I43" s="50">
        <v>2116.0700000000002</v>
      </c>
      <c r="J43" s="51">
        <f t="shared" ref="J43:J48" si="46">+IFERROR(I43/I$19,"")</f>
        <v>1.8166086415618173E-3</v>
      </c>
      <c r="K43" s="137">
        <f t="shared" ref="K43:K48" si="47">+(D43-I43)</f>
        <v>-381.16000000000008</v>
      </c>
      <c r="M43" s="50">
        <v>11619.83</v>
      </c>
      <c r="N43" s="51">
        <f t="shared" ref="N43:N48" si="48">+IFERROR(M43/M$19,"")</f>
        <v>1.5577908187780116E-3</v>
      </c>
      <c r="O43" s="50">
        <v>10155</v>
      </c>
      <c r="P43" s="51">
        <f t="shared" ref="P43:P48" si="49">+IFERROR(O43/O$19,"")</f>
        <v>1.2470136065639407E-3</v>
      </c>
      <c r="Q43" s="137">
        <f t="shared" ref="Q43:Q48" si="50">+M43-O43</f>
        <v>1464.83</v>
      </c>
      <c r="R43" s="50">
        <v>9864.32</v>
      </c>
      <c r="S43" s="51">
        <f t="shared" ref="S43:S48" si="51">+IFERROR(R43/R$19,"")</f>
        <v>1.4032845364079268E-3</v>
      </c>
      <c r="T43" s="137">
        <f t="shared" ref="T43:T48" si="52">+(M43-R43)</f>
        <v>1755.5100000000002</v>
      </c>
    </row>
    <row r="44" spans="2:20" x14ac:dyDescent="0.25">
      <c r="B44" s="12" t="s">
        <v>38</v>
      </c>
      <c r="C44" s="17" t="s">
        <v>39</v>
      </c>
      <c r="D44" s="50">
        <v>519.01</v>
      </c>
      <c r="E44" s="51">
        <f t="shared" si="43"/>
        <v>4.4362608737475671E-4</v>
      </c>
      <c r="F44" s="50">
        <v>1100.5</v>
      </c>
      <c r="G44" s="51">
        <f t="shared" si="44"/>
        <v>7.9802853522344596E-4</v>
      </c>
      <c r="H44" s="137">
        <f t="shared" si="45"/>
        <v>-581.49</v>
      </c>
      <c r="I44" s="50">
        <v>1870.24</v>
      </c>
      <c r="J44" s="51">
        <f t="shared" si="46"/>
        <v>1.6055679376365494E-3</v>
      </c>
      <c r="K44" s="137">
        <f t="shared" si="47"/>
        <v>-1351.23</v>
      </c>
      <c r="M44" s="50">
        <v>4450.7299999999996</v>
      </c>
      <c r="N44" s="51">
        <f t="shared" si="48"/>
        <v>5.9667880948859487E-4</v>
      </c>
      <c r="O44" s="50">
        <v>5715.5</v>
      </c>
      <c r="P44" s="51">
        <f t="shared" si="49"/>
        <v>7.0185192204000031E-4</v>
      </c>
      <c r="Q44" s="137">
        <f t="shared" si="50"/>
        <v>-1264.7700000000004</v>
      </c>
      <c r="R44" s="50">
        <v>6042.36</v>
      </c>
      <c r="S44" s="51">
        <f t="shared" si="51"/>
        <v>8.5957778654887523E-4</v>
      </c>
      <c r="T44" s="137">
        <f t="shared" si="52"/>
        <v>-1591.63</v>
      </c>
    </row>
    <row r="45" spans="2:20" x14ac:dyDescent="0.25">
      <c r="B45" s="12" t="s">
        <v>40</v>
      </c>
      <c r="C45" s="17" t="s">
        <v>41</v>
      </c>
      <c r="D45" s="50">
        <v>48368</v>
      </c>
      <c r="E45" s="51">
        <f t="shared" si="43"/>
        <v>4.1342761399861726E-2</v>
      </c>
      <c r="F45" s="50">
        <v>48368</v>
      </c>
      <c r="G45" s="51">
        <f t="shared" si="44"/>
        <v>3.5074097402714798E-2</v>
      </c>
      <c r="H45" s="137">
        <f t="shared" si="45"/>
        <v>0</v>
      </c>
      <c r="I45" s="50">
        <v>45461</v>
      </c>
      <c r="J45" s="51">
        <f t="shared" si="46"/>
        <v>3.9027463861801247E-2</v>
      </c>
      <c r="K45" s="137">
        <f t="shared" si="47"/>
        <v>2907</v>
      </c>
      <c r="M45" s="50">
        <v>227149.12</v>
      </c>
      <c r="N45" s="51">
        <f t="shared" si="48"/>
        <v>3.0452322764576146E-2</v>
      </c>
      <c r="O45" s="50">
        <v>258729</v>
      </c>
      <c r="P45" s="51">
        <f t="shared" si="49"/>
        <v>3.1771401616216825E-2</v>
      </c>
      <c r="Q45" s="137">
        <f t="shared" si="50"/>
        <v>-31579.880000000005</v>
      </c>
      <c r="R45" s="50">
        <v>247360.2</v>
      </c>
      <c r="S45" s="51">
        <f t="shared" si="51"/>
        <v>3.5189120343092288E-2</v>
      </c>
      <c r="T45" s="137">
        <f t="shared" si="52"/>
        <v>-20211.080000000016</v>
      </c>
    </row>
    <row r="46" spans="2:20" x14ac:dyDescent="0.25">
      <c r="B46" s="12" t="s">
        <v>42</v>
      </c>
      <c r="C46" s="17" t="s">
        <v>43</v>
      </c>
      <c r="D46" s="50">
        <v>96024.87</v>
      </c>
      <c r="E46" s="51">
        <f t="shared" si="43"/>
        <v>8.2077681294714266E-2</v>
      </c>
      <c r="F46" s="50">
        <v>123677.32</v>
      </c>
      <c r="G46" s="51">
        <f t="shared" si="44"/>
        <v>8.9684716510641888E-2</v>
      </c>
      <c r="H46" s="137">
        <f t="shared" si="45"/>
        <v>-27652.450000000012</v>
      </c>
      <c r="I46" s="50">
        <v>117207.72</v>
      </c>
      <c r="J46" s="51">
        <f t="shared" si="46"/>
        <v>0.10062075309879059</v>
      </c>
      <c r="K46" s="137">
        <f t="shared" si="47"/>
        <v>-21182.850000000006</v>
      </c>
      <c r="M46" s="50">
        <v>557241.19999999995</v>
      </c>
      <c r="N46" s="51">
        <f t="shared" si="48"/>
        <v>7.4705501302931424E-2</v>
      </c>
      <c r="O46" s="50">
        <v>597610.6</v>
      </c>
      <c r="P46" s="51">
        <f t="shared" si="49"/>
        <v>7.3385381548679518E-2</v>
      </c>
      <c r="Q46" s="137">
        <f t="shared" si="50"/>
        <v>-40369.400000000023</v>
      </c>
      <c r="R46" s="50">
        <v>639087.27</v>
      </c>
      <c r="S46" s="51">
        <f t="shared" si="51"/>
        <v>9.0915672180764379E-2</v>
      </c>
      <c r="T46" s="137">
        <f t="shared" si="52"/>
        <v>-81846.070000000065</v>
      </c>
    </row>
    <row r="47" spans="2:20" x14ac:dyDescent="0.25">
      <c r="B47" s="12" t="s">
        <v>44</v>
      </c>
      <c r="C47" s="17" t="s">
        <v>45</v>
      </c>
      <c r="D47" s="62">
        <v>0</v>
      </c>
      <c r="E47" s="63">
        <f t="shared" si="43"/>
        <v>0</v>
      </c>
      <c r="F47" s="62">
        <v>0</v>
      </c>
      <c r="G47" s="63">
        <f t="shared" si="44"/>
        <v>0</v>
      </c>
      <c r="H47" s="191">
        <f t="shared" si="45"/>
        <v>0</v>
      </c>
      <c r="I47" s="62">
        <v>0</v>
      </c>
      <c r="J47" s="63">
        <f t="shared" si="46"/>
        <v>0</v>
      </c>
      <c r="K47" s="191">
        <f t="shared" si="47"/>
        <v>0</v>
      </c>
      <c r="M47" s="62">
        <v>0</v>
      </c>
      <c r="N47" s="63">
        <f t="shared" si="48"/>
        <v>0</v>
      </c>
      <c r="O47" s="62">
        <v>0</v>
      </c>
      <c r="P47" s="63">
        <f t="shared" si="49"/>
        <v>0</v>
      </c>
      <c r="Q47" s="191">
        <f t="shared" si="50"/>
        <v>0</v>
      </c>
      <c r="R47" s="62">
        <v>0</v>
      </c>
      <c r="S47" s="63">
        <f t="shared" si="51"/>
        <v>0</v>
      </c>
      <c r="T47" s="191">
        <f t="shared" si="52"/>
        <v>0</v>
      </c>
    </row>
    <row r="48" spans="2:20" x14ac:dyDescent="0.25">
      <c r="B48" s="12"/>
      <c r="C48" s="18" t="s">
        <v>46</v>
      </c>
      <c r="D48" s="59">
        <f t="shared" ref="D48" si="53">+SUM(D44:D47)-D43</f>
        <v>143176.97</v>
      </c>
      <c r="E48" s="61">
        <f t="shared" si="43"/>
        <v>0.12238114680501902</v>
      </c>
      <c r="F48" s="59">
        <f t="shared" ref="F48" si="54">+SUM(F44:F47)-F43</f>
        <v>171114.82</v>
      </c>
      <c r="G48" s="61">
        <f t="shared" si="44"/>
        <v>0.12408406102646398</v>
      </c>
      <c r="H48" s="192">
        <f t="shared" si="45"/>
        <v>-27937.850000000006</v>
      </c>
      <c r="I48" s="59">
        <f t="shared" ref="I48" si="55">+SUM(I44:I47)-I43</f>
        <v>162422.88999999998</v>
      </c>
      <c r="J48" s="61">
        <f t="shared" si="46"/>
        <v>0.13943717625666657</v>
      </c>
      <c r="K48" s="192">
        <f t="shared" si="47"/>
        <v>-19245.919999999984</v>
      </c>
      <c r="M48" s="59">
        <f t="shared" ref="M48" si="56">+SUM(M44:M47)-M43</f>
        <v>777221.22</v>
      </c>
      <c r="N48" s="61">
        <f t="shared" si="48"/>
        <v>0.10419671205821816</v>
      </c>
      <c r="O48" s="59">
        <f t="shared" ref="O48" si="57">+SUM(O44:O47)-O43</f>
        <v>851900.1</v>
      </c>
      <c r="P48" s="61">
        <f t="shared" si="49"/>
        <v>0.10461162148037241</v>
      </c>
      <c r="Q48" s="192">
        <f t="shared" si="50"/>
        <v>-74678.880000000005</v>
      </c>
      <c r="R48" s="59">
        <f t="shared" ref="R48" si="58">+SUM(R44:R47)-R43</f>
        <v>882625.51000000013</v>
      </c>
      <c r="S48" s="61">
        <f t="shared" si="51"/>
        <v>0.12556108577399763</v>
      </c>
      <c r="T48" s="192">
        <f t="shared" si="52"/>
        <v>-105404.29000000015</v>
      </c>
    </row>
    <row r="49" spans="2:20" x14ac:dyDescent="0.25">
      <c r="B49" s="12"/>
      <c r="C49" s="16" t="s">
        <v>8</v>
      </c>
      <c r="D49" s="52"/>
      <c r="E49" s="53"/>
      <c r="F49" s="52"/>
      <c r="G49" s="32"/>
      <c r="H49" s="188"/>
      <c r="I49" s="52"/>
      <c r="J49" s="32"/>
      <c r="K49" s="200"/>
      <c r="M49" s="52"/>
      <c r="N49" s="53"/>
      <c r="O49" s="52"/>
      <c r="P49" s="32"/>
      <c r="Q49" s="188"/>
      <c r="R49" s="52"/>
      <c r="S49" s="32"/>
      <c r="T49" s="200"/>
    </row>
    <row r="50" spans="2:20" ht="15.75" thickBot="1" x14ac:dyDescent="0.3">
      <c r="B50" s="12"/>
      <c r="C50" s="18" t="s">
        <v>47</v>
      </c>
      <c r="D50" s="57">
        <f t="shared" ref="D50" si="59">+D40-D48</f>
        <v>165660.75000000015</v>
      </c>
      <c r="E50" s="58">
        <f>+IFERROR(D50/D$19,"")</f>
        <v>0.14159925695857073</v>
      </c>
      <c r="F50" s="57">
        <f t="shared" ref="F50" si="60">+F40-F48</f>
        <v>241641.12599232781</v>
      </c>
      <c r="G50" s="58">
        <f t="shared" ref="G50" si="61">+IFERROR(F50/F$19,"")</f>
        <v>0.1752262733533862</v>
      </c>
      <c r="H50" s="194">
        <f>+D50-F50</f>
        <v>-75980.375992327667</v>
      </c>
      <c r="I50" s="57">
        <f t="shared" ref="I50" si="62">+I40-I48</f>
        <v>138190.82999999993</v>
      </c>
      <c r="J50" s="58">
        <f t="shared" ref="J50" si="63">+IFERROR(I50/I$19,"")</f>
        <v>0.11863438164266772</v>
      </c>
      <c r="K50" s="194">
        <f>+(D50-I50)</f>
        <v>27469.920000000217</v>
      </c>
      <c r="M50" s="57">
        <f t="shared" ref="M50" si="64">+M40-M48</f>
        <v>2141193.4800000004</v>
      </c>
      <c r="N50" s="58">
        <f>+IFERROR(M50/M$19,"")</f>
        <v>0.28705510703438353</v>
      </c>
      <c r="O50" s="57">
        <f t="shared" ref="O50" si="65">+O40-O48</f>
        <v>2300760.1312426985</v>
      </c>
      <c r="P50" s="58">
        <f t="shared" ref="P50" si="66">+IFERROR(O50/O$19,"")</f>
        <v>0.28252872369271131</v>
      </c>
      <c r="Q50" s="194">
        <f>+M50-O50</f>
        <v>-159566.65124269808</v>
      </c>
      <c r="R50" s="57">
        <f t="shared" ref="R50" si="67">+R40-R48</f>
        <v>1957097.4700000002</v>
      </c>
      <c r="S50" s="58">
        <f t="shared" ref="S50" si="68">+IFERROR(R50/R$19,"")</f>
        <v>0.27841398250402227</v>
      </c>
      <c r="T50" s="194">
        <f>+(M50-R50)</f>
        <v>184096.01000000024</v>
      </c>
    </row>
    <row r="51" spans="2:20" ht="15.75" thickTop="1" x14ac:dyDescent="0.25">
      <c r="B51" s="12"/>
      <c r="C51" s="11" t="s">
        <v>8</v>
      </c>
      <c r="D51" s="46"/>
      <c r="E51" s="43"/>
      <c r="F51" s="46"/>
      <c r="G51" s="100"/>
      <c r="H51" s="189"/>
      <c r="I51" s="46"/>
      <c r="J51" s="100"/>
      <c r="K51" s="201"/>
      <c r="M51" s="46"/>
      <c r="N51" s="43"/>
      <c r="O51" s="46"/>
      <c r="P51" s="100"/>
      <c r="Q51" s="189"/>
      <c r="R51" s="46"/>
      <c r="S51" s="100"/>
      <c r="T51" s="201"/>
    </row>
    <row r="52" spans="2:20" x14ac:dyDescent="0.25">
      <c r="B52" s="12" t="s">
        <v>48</v>
      </c>
      <c r="C52" s="17" t="s">
        <v>388</v>
      </c>
      <c r="D52" s="54">
        <f>D19*0.04</f>
        <v>46797.067600000009</v>
      </c>
      <c r="E52" s="56">
        <f>+IFERROR(D52/D$19,"")</f>
        <v>0.04</v>
      </c>
      <c r="F52" s="54">
        <f>F19*0.04</f>
        <v>55160.934799999995</v>
      </c>
      <c r="G52" s="56">
        <f t="shared" ref="G52:G53" si="69">+IFERROR(F52/F$19,"")</f>
        <v>0.04</v>
      </c>
      <c r="H52" s="195">
        <f>+D52-F52</f>
        <v>-8363.867199999986</v>
      </c>
      <c r="I52" s="54">
        <f>I19*0.04</f>
        <v>46593.855199999998</v>
      </c>
      <c r="J52" s="56">
        <f t="shared" ref="J52:J53" si="70">+IFERROR(I52/I$19,"")</f>
        <v>0.04</v>
      </c>
      <c r="K52" s="195">
        <f>+(D52-I52)</f>
        <v>203.21240000001126</v>
      </c>
      <c r="M52" s="54">
        <f>M19*0.04</f>
        <v>298366.88880000002</v>
      </c>
      <c r="N52" s="56">
        <f>+IFERROR(M52/M$19,"")</f>
        <v>0.04</v>
      </c>
      <c r="O52" s="54">
        <f>O19*0.04</f>
        <v>325738.22599999997</v>
      </c>
      <c r="P52" s="56">
        <f t="shared" ref="P52:P53" si="71">+IFERROR(O52/O$19,"")</f>
        <v>0.04</v>
      </c>
      <c r="Q52" s="195">
        <f>+M52-O52</f>
        <v>-27371.337199999951</v>
      </c>
      <c r="R52" s="54">
        <f>R19*0.04</f>
        <v>281178.04319999996</v>
      </c>
      <c r="S52" s="56">
        <f t="shared" ref="S52:S53" si="72">+IFERROR(R52/R$19,"")</f>
        <v>0.04</v>
      </c>
      <c r="T52" s="195">
        <f>+(M52-R52)</f>
        <v>17188.845600000059</v>
      </c>
    </row>
    <row r="53" spans="2:20" ht="15.75" thickBot="1" x14ac:dyDescent="0.3">
      <c r="B53" s="12"/>
      <c r="C53" s="18" t="s">
        <v>389</v>
      </c>
      <c r="D53" s="57">
        <f>+D50-D52</f>
        <v>118863.68240000014</v>
      </c>
      <c r="E53" s="58">
        <f>+IFERROR(D53/D$19,"")</f>
        <v>0.10159925695857072</v>
      </c>
      <c r="F53" s="57">
        <f>+F50-F52</f>
        <v>186480.19119232782</v>
      </c>
      <c r="G53" s="58">
        <f t="shared" si="69"/>
        <v>0.13522627335338619</v>
      </c>
      <c r="H53" s="194">
        <f>+D53-F53</f>
        <v>-67616.508792327688</v>
      </c>
      <c r="I53" s="57">
        <f>+I50-I52</f>
        <v>91596.974799999938</v>
      </c>
      <c r="J53" s="58">
        <f t="shared" si="70"/>
        <v>7.8634381642667714E-2</v>
      </c>
      <c r="K53" s="194">
        <f>+(D53-I53)</f>
        <v>27266.707600000198</v>
      </c>
      <c r="M53" s="57">
        <f>+M50-M52</f>
        <v>1842826.5912000004</v>
      </c>
      <c r="N53" s="58">
        <f>+IFERROR(M53/M$19,"")</f>
        <v>0.24705510703438352</v>
      </c>
      <c r="O53" s="57">
        <f>+O50-O52</f>
        <v>1975021.9052426985</v>
      </c>
      <c r="P53" s="58">
        <f t="shared" si="71"/>
        <v>0.24252872369271128</v>
      </c>
      <c r="Q53" s="194">
        <f>+M53-O53</f>
        <v>-132195.31404269813</v>
      </c>
      <c r="R53" s="57">
        <f>+R50-R52</f>
        <v>1675919.4268000002</v>
      </c>
      <c r="S53" s="58">
        <f t="shared" si="72"/>
        <v>0.23841398250402226</v>
      </c>
      <c r="T53" s="194">
        <f>+(M53-R53)</f>
        <v>166907.16440000013</v>
      </c>
    </row>
    <row r="54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CB00-0981-4247-BFAC-2CEF4A848F8A}">
  <dimension ref="B1:V88"/>
  <sheetViews>
    <sheetView showGridLines="0" zoomScale="80" zoomScaleNormal="80" workbookViewId="0">
      <pane xSplit="3" ySplit="8" topLeftCell="D79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3.8554687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3.8554687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L6" s="74"/>
      <c r="M6" s="294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L7" s="74"/>
      <c r="M7" s="327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L8" s="74"/>
      <c r="M8" s="40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/>
      <c r="C9" s="15" t="s">
        <v>9</v>
      </c>
      <c r="D9" s="244"/>
      <c r="K9" s="211"/>
      <c r="L9" s="74"/>
      <c r="T9" s="211"/>
    </row>
    <row r="10" spans="2:22" x14ac:dyDescent="0.25">
      <c r="B10" s="14"/>
      <c r="C10" s="22" t="s">
        <v>395</v>
      </c>
      <c r="D10" s="244"/>
      <c r="K10" s="74"/>
      <c r="L10" s="74"/>
      <c r="T10" s="74"/>
    </row>
    <row r="11" spans="2:22" x14ac:dyDescent="0.25">
      <c r="B11" s="14" t="s">
        <v>320</v>
      </c>
      <c r="C11" s="17" t="s">
        <v>59</v>
      </c>
      <c r="D11" s="36">
        <v>265335.38</v>
      </c>
      <c r="E11" s="51">
        <f t="shared" ref="E11:E17" si="0">IFERROR(D11/D$31,"")</f>
        <v>0.35856229341160378</v>
      </c>
      <c r="F11" s="36">
        <v>295633.52</v>
      </c>
      <c r="G11" s="51">
        <f t="shared" ref="G11:G17" si="1">IFERROR(F11/F$31,"")</f>
        <v>0.36754009288410672</v>
      </c>
      <c r="H11" s="144">
        <f t="shared" ref="H11:H17" si="2">+D11-F11</f>
        <v>-30298.140000000014</v>
      </c>
      <c r="I11" s="36">
        <v>318803.78999999998</v>
      </c>
      <c r="J11" s="51">
        <f t="shared" ref="J11:J17" si="3">IFERROR(I11/I$31,"")</f>
        <v>0.41028863217612249</v>
      </c>
      <c r="K11" s="137">
        <f t="shared" ref="K11:K17" si="4">+D11-I11</f>
        <v>-53468.409999999974</v>
      </c>
      <c r="L11" s="74"/>
      <c r="M11" s="89">
        <v>1687415.62</v>
      </c>
      <c r="N11" s="51">
        <f t="shared" ref="N11:N17" si="5">IFERROR(M11/M$31,"")</f>
        <v>0.3347040660980658</v>
      </c>
      <c r="O11" s="36">
        <v>1933275.22</v>
      </c>
      <c r="P11" s="51">
        <f t="shared" ref="P11:P17" si="6">IFERROR(O11/O$31,"")</f>
        <v>0.36645888853010433</v>
      </c>
      <c r="Q11" s="144">
        <f t="shared" ref="Q11:Q17" si="7">+M11-O11</f>
        <v>-245859.59999999986</v>
      </c>
      <c r="R11" s="36">
        <v>1877657.45</v>
      </c>
      <c r="S11" s="51">
        <f t="shared" ref="S11:S17" si="8">IFERROR(R11/R$31,"")</f>
        <v>0.36004903305132885</v>
      </c>
      <c r="T11" s="137">
        <f t="shared" ref="T11:T17" si="9">+M11-R11</f>
        <v>-190241.82999999984</v>
      </c>
    </row>
    <row r="12" spans="2:22" x14ac:dyDescent="0.25">
      <c r="B12" s="14" t="s">
        <v>316</v>
      </c>
      <c r="C12" s="17" t="s">
        <v>352</v>
      </c>
      <c r="D12" s="36">
        <v>279325.13</v>
      </c>
      <c r="E12" s="51">
        <f t="shared" si="0"/>
        <v>0.37746741207408663</v>
      </c>
      <c r="F12" s="36">
        <v>254936.76</v>
      </c>
      <c r="G12" s="108">
        <f t="shared" si="1"/>
        <v>0.31694471063353447</v>
      </c>
      <c r="H12" s="144">
        <f t="shared" si="2"/>
        <v>24388.369999999995</v>
      </c>
      <c r="I12" s="36">
        <v>238417.8</v>
      </c>
      <c r="J12" s="51">
        <f t="shared" si="3"/>
        <v>0.30683484988820348</v>
      </c>
      <c r="K12" s="137">
        <f t="shared" si="4"/>
        <v>40907.330000000016</v>
      </c>
      <c r="M12" s="36">
        <v>1909400.97</v>
      </c>
      <c r="N12" s="51">
        <f t="shared" si="5"/>
        <v>0.37873554143737914</v>
      </c>
      <c r="O12" s="36">
        <v>1842429.58</v>
      </c>
      <c r="P12" s="108">
        <f t="shared" si="6"/>
        <v>0.34923878871306641</v>
      </c>
      <c r="Q12" s="144">
        <f t="shared" si="7"/>
        <v>66971.389999999898</v>
      </c>
      <c r="R12" s="36">
        <v>1810886.94</v>
      </c>
      <c r="S12" s="51">
        <f t="shared" si="8"/>
        <v>0.34724549555739243</v>
      </c>
      <c r="T12" s="137">
        <f t="shared" si="9"/>
        <v>98514.030000000028</v>
      </c>
    </row>
    <row r="13" spans="2:22" x14ac:dyDescent="0.25">
      <c r="B13" s="14" t="s">
        <v>317</v>
      </c>
      <c r="C13" s="17" t="s">
        <v>353</v>
      </c>
      <c r="D13" s="36">
        <v>40805.769999999997</v>
      </c>
      <c r="E13" s="51">
        <f t="shared" si="0"/>
        <v>5.5143081467787736E-2</v>
      </c>
      <c r="F13" s="36">
        <v>25757.919999999998</v>
      </c>
      <c r="G13" s="108">
        <f t="shared" si="1"/>
        <v>3.2022986802380825E-2</v>
      </c>
      <c r="H13" s="144">
        <f t="shared" si="2"/>
        <v>15047.849999999999</v>
      </c>
      <c r="I13" s="36">
        <v>23372.92</v>
      </c>
      <c r="J13" s="51">
        <f t="shared" si="3"/>
        <v>3.0080079589900537E-2</v>
      </c>
      <c r="K13" s="137">
        <f t="shared" si="4"/>
        <v>17432.849999999999</v>
      </c>
      <c r="M13" s="36">
        <v>211995.02</v>
      </c>
      <c r="N13" s="51">
        <f t="shared" si="5"/>
        <v>4.2049862728271277E-2</v>
      </c>
      <c r="O13" s="36">
        <v>220540.22</v>
      </c>
      <c r="P13" s="108">
        <f t="shared" si="6"/>
        <v>4.1804148246096427E-2</v>
      </c>
      <c r="Q13" s="144">
        <f t="shared" si="7"/>
        <v>-8545.2000000000116</v>
      </c>
      <c r="R13" s="36">
        <v>295980.24</v>
      </c>
      <c r="S13" s="51">
        <f t="shared" si="8"/>
        <v>5.6755506290191667E-2</v>
      </c>
      <c r="T13" s="137">
        <f t="shared" si="9"/>
        <v>-83985.22</v>
      </c>
    </row>
    <row r="14" spans="2:22" x14ac:dyDescent="0.25">
      <c r="B14" s="14" t="s">
        <v>318</v>
      </c>
      <c r="C14" s="17" t="s">
        <v>354</v>
      </c>
      <c r="D14" s="36">
        <v>12067.05</v>
      </c>
      <c r="E14" s="51">
        <f t="shared" si="0"/>
        <v>1.630686839694161E-2</v>
      </c>
      <c r="F14" s="36">
        <v>11139</v>
      </c>
      <c r="G14" s="108">
        <f t="shared" si="1"/>
        <v>1.3848325097357242E-2</v>
      </c>
      <c r="H14" s="144">
        <f t="shared" si="2"/>
        <v>928.04999999999927</v>
      </c>
      <c r="I14" s="36">
        <v>9429.4500000000007</v>
      </c>
      <c r="J14" s="51">
        <f t="shared" si="3"/>
        <v>1.2135351786982015E-2</v>
      </c>
      <c r="K14" s="137">
        <f t="shared" si="4"/>
        <v>2637.5999999999985</v>
      </c>
      <c r="M14" s="36">
        <v>107258.1</v>
      </c>
      <c r="N14" s="51">
        <f t="shared" si="5"/>
        <v>2.1274973258783126E-2</v>
      </c>
      <c r="O14" s="36">
        <v>115399.69</v>
      </c>
      <c r="P14" s="108">
        <f t="shared" si="6"/>
        <v>2.1874403445836646E-2</v>
      </c>
      <c r="Q14" s="144">
        <f t="shared" si="7"/>
        <v>-8141.5899999999965</v>
      </c>
      <c r="R14" s="36">
        <v>139316.37</v>
      </c>
      <c r="S14" s="51">
        <f t="shared" si="8"/>
        <v>2.6714523624488142E-2</v>
      </c>
      <c r="T14" s="137">
        <f t="shared" si="9"/>
        <v>-32058.26999999999</v>
      </c>
    </row>
    <row r="15" spans="2:22" x14ac:dyDescent="0.25">
      <c r="B15" s="14" t="s">
        <v>322</v>
      </c>
      <c r="C15" s="17" t="s">
        <v>355</v>
      </c>
      <c r="D15" s="36">
        <v>36913</v>
      </c>
      <c r="E15" s="51">
        <f t="shared" si="0"/>
        <v>4.9882567250181746E-2</v>
      </c>
      <c r="F15" s="36">
        <v>56400</v>
      </c>
      <c r="G15" s="108">
        <f t="shared" si="1"/>
        <v>7.0118101758770854E-2</v>
      </c>
      <c r="H15" s="144">
        <f t="shared" si="2"/>
        <v>-19487</v>
      </c>
      <c r="I15" s="36">
        <v>46881.34</v>
      </c>
      <c r="J15" s="51">
        <f t="shared" si="3"/>
        <v>6.0334542645128962E-2</v>
      </c>
      <c r="K15" s="137">
        <f t="shared" si="4"/>
        <v>-9968.3399999999965</v>
      </c>
      <c r="M15" s="36">
        <v>254219.6</v>
      </c>
      <c r="N15" s="51">
        <f t="shared" si="5"/>
        <v>5.0425237738301744E-2</v>
      </c>
      <c r="O15" s="36">
        <v>361224.8</v>
      </c>
      <c r="P15" s="108">
        <f t="shared" si="6"/>
        <v>6.8471388526621282E-2</v>
      </c>
      <c r="Q15" s="144">
        <f t="shared" si="7"/>
        <v>-107005.19999999998</v>
      </c>
      <c r="R15" s="36">
        <v>349543.74</v>
      </c>
      <c r="S15" s="51">
        <f t="shared" si="8"/>
        <v>6.7026541820045554E-2</v>
      </c>
      <c r="T15" s="137">
        <f t="shared" si="9"/>
        <v>-95324.139999999985</v>
      </c>
    </row>
    <row r="16" spans="2:22" x14ac:dyDescent="0.25">
      <c r="B16" s="14" t="s">
        <v>319</v>
      </c>
      <c r="C16" s="17" t="s">
        <v>351</v>
      </c>
      <c r="D16" s="55">
        <v>0</v>
      </c>
      <c r="E16" s="56">
        <f t="shared" si="0"/>
        <v>0</v>
      </c>
      <c r="F16" s="106">
        <v>0</v>
      </c>
      <c r="G16" s="147">
        <f t="shared" si="1"/>
        <v>0</v>
      </c>
      <c r="H16" s="149">
        <f t="shared" si="2"/>
        <v>0</v>
      </c>
      <c r="I16" s="151">
        <v>0</v>
      </c>
      <c r="J16" s="155">
        <f t="shared" si="3"/>
        <v>0</v>
      </c>
      <c r="K16" s="153">
        <f t="shared" si="4"/>
        <v>0</v>
      </c>
      <c r="M16" s="55">
        <v>0</v>
      </c>
      <c r="N16" s="56">
        <f t="shared" si="5"/>
        <v>0</v>
      </c>
      <c r="O16" s="106">
        <v>0</v>
      </c>
      <c r="P16" s="147">
        <f t="shared" si="6"/>
        <v>0</v>
      </c>
      <c r="Q16" s="149">
        <f t="shared" si="7"/>
        <v>0</v>
      </c>
      <c r="R16" s="151">
        <v>0</v>
      </c>
      <c r="S16" s="155">
        <f t="shared" si="8"/>
        <v>0</v>
      </c>
      <c r="T16" s="153">
        <f t="shared" si="9"/>
        <v>0</v>
      </c>
    </row>
    <row r="17" spans="2:20" x14ac:dyDescent="0.25">
      <c r="B17" s="14" t="s">
        <v>321</v>
      </c>
      <c r="C17" s="23" t="s">
        <v>396</v>
      </c>
      <c r="D17" s="103">
        <f t="shared" ref="D17" si="10">SUM(D11:D16)</f>
        <v>634446.33000000007</v>
      </c>
      <c r="E17" s="104">
        <f t="shared" si="0"/>
        <v>0.85736222260060158</v>
      </c>
      <c r="F17" s="103">
        <f t="shared" ref="F17" si="11">SUM(F11:F16)</f>
        <v>643867.20000000007</v>
      </c>
      <c r="G17" s="148">
        <f t="shared" si="1"/>
        <v>0.80047421717615008</v>
      </c>
      <c r="H17" s="150">
        <f t="shared" si="2"/>
        <v>-9420.8699999999953</v>
      </c>
      <c r="I17" s="152">
        <f t="shared" ref="I17" si="12">SUM(I11:I16)</f>
        <v>636905.29999999993</v>
      </c>
      <c r="J17" s="148">
        <f t="shared" si="3"/>
        <v>0.81967345608633746</v>
      </c>
      <c r="K17" s="154">
        <f t="shared" si="4"/>
        <v>-2458.9699999998556</v>
      </c>
      <c r="M17" s="103">
        <f t="shared" ref="M17" si="13">SUM(M11:M16)</f>
        <v>4170289.31</v>
      </c>
      <c r="N17" s="104">
        <f t="shared" si="5"/>
        <v>0.82718968126080106</v>
      </c>
      <c r="O17" s="103">
        <f t="shared" ref="O17" si="14">SUM(O11:O16)</f>
        <v>4472869.51</v>
      </c>
      <c r="P17" s="148">
        <f t="shared" si="6"/>
        <v>0.8478476174617251</v>
      </c>
      <c r="Q17" s="150">
        <f t="shared" si="7"/>
        <v>-302580.19999999972</v>
      </c>
      <c r="R17" s="152">
        <f t="shared" ref="R17" si="15">SUM(R11:R16)</f>
        <v>4473384.74</v>
      </c>
      <c r="S17" s="148">
        <f t="shared" si="8"/>
        <v>0.85779110034344674</v>
      </c>
      <c r="T17" s="154">
        <f t="shared" si="9"/>
        <v>-303095.43000000017</v>
      </c>
    </row>
    <row r="18" spans="2:20" x14ac:dyDescent="0.25">
      <c r="B18" s="14"/>
      <c r="C18" s="23"/>
      <c r="D18" s="310"/>
      <c r="E18" s="33"/>
      <c r="F18" s="244"/>
      <c r="G18" s="33"/>
      <c r="J18" s="33"/>
      <c r="K18" s="74"/>
      <c r="L18" s="297"/>
      <c r="M18" s="29"/>
      <c r="N18" s="33"/>
      <c r="O18" s="244"/>
      <c r="P18" s="33"/>
      <c r="S18" s="33"/>
      <c r="T18" s="74"/>
    </row>
    <row r="19" spans="2:20" x14ac:dyDescent="0.25">
      <c r="B19" s="14"/>
      <c r="C19" s="23" t="s">
        <v>397</v>
      </c>
      <c r="D19" s="244"/>
      <c r="E19" s="34"/>
      <c r="F19" s="244"/>
      <c r="G19" s="34"/>
      <c r="J19" s="34"/>
      <c r="K19" s="74"/>
      <c r="L19" s="297"/>
      <c r="N19" s="34"/>
      <c r="O19" s="244"/>
      <c r="P19" s="34"/>
      <c r="S19" s="34"/>
      <c r="T19" s="74"/>
    </row>
    <row r="20" spans="2:20" x14ac:dyDescent="0.25">
      <c r="B20" s="14" t="s">
        <v>140</v>
      </c>
      <c r="C20" s="17" t="s">
        <v>356</v>
      </c>
      <c r="D20" s="36">
        <v>85092.800000000003</v>
      </c>
      <c r="E20" s="51">
        <f t="shared" ref="E20:E31" si="16">IFERROR(D20/D$31,"")</f>
        <v>0.11499058105562446</v>
      </c>
      <c r="F20" s="36">
        <v>139251</v>
      </c>
      <c r="G20" s="108">
        <f t="shared" ref="G20:G31" si="17">IFERROR(F20/F$31,"")</f>
        <v>0.17312084730515248</v>
      </c>
      <c r="H20" s="144">
        <f t="shared" ref="H20:H31" si="18">+D20-F20</f>
        <v>-54158.2</v>
      </c>
      <c r="I20" s="89">
        <v>123458</v>
      </c>
      <c r="J20" s="108">
        <f t="shared" ref="J20:J31" si="19">IFERROR(I20/I$31,"")</f>
        <v>0.15888585876347247</v>
      </c>
      <c r="K20" s="144">
        <f t="shared" ref="K20:K31" si="20">+D20-I20</f>
        <v>-38365.199999999997</v>
      </c>
      <c r="L20" s="297"/>
      <c r="M20" s="89">
        <v>708963.08</v>
      </c>
      <c r="N20" s="51">
        <f t="shared" ref="N20:N31" si="21">IFERROR(M20/M$31,"")</f>
        <v>0.14062500238643533</v>
      </c>
      <c r="O20" s="36">
        <v>702904.26</v>
      </c>
      <c r="P20" s="108">
        <f t="shared" ref="P20:P31" si="22">IFERROR(O20/O$31,"")</f>
        <v>0.13323789142793413</v>
      </c>
      <c r="Q20" s="144">
        <f t="shared" ref="Q20:Q31" si="23">+M20-O20</f>
        <v>6058.8199999999488</v>
      </c>
      <c r="R20" s="89">
        <v>669435</v>
      </c>
      <c r="S20" s="108">
        <f t="shared" ref="S20:S31" si="24">IFERROR(R20/R$31,"")</f>
        <v>0.12836709083476133</v>
      </c>
      <c r="T20" s="144">
        <f t="shared" ref="T20:T31" si="25">+M20-R20</f>
        <v>39528.079999999958</v>
      </c>
    </row>
    <row r="21" spans="2:20" x14ac:dyDescent="0.25">
      <c r="B21" s="14" t="s">
        <v>139</v>
      </c>
      <c r="C21" s="17" t="s">
        <v>398</v>
      </c>
      <c r="D21" s="36">
        <v>20647.939999999999</v>
      </c>
      <c r="E21" s="51">
        <f t="shared" si="16"/>
        <v>2.7902697034316304E-2</v>
      </c>
      <c r="F21" s="36">
        <v>15920</v>
      </c>
      <c r="G21" s="108">
        <f t="shared" si="17"/>
        <v>1.9792201773043118E-2</v>
      </c>
      <c r="H21" s="144">
        <f t="shared" si="18"/>
        <v>4727.9399999999987</v>
      </c>
      <c r="I21" s="89">
        <v>11495.01</v>
      </c>
      <c r="J21" s="108">
        <f t="shared" si="19"/>
        <v>1.4793650758514666E-2</v>
      </c>
      <c r="K21" s="144">
        <f t="shared" si="20"/>
        <v>9152.9299999999985</v>
      </c>
      <c r="L21" s="297"/>
      <c r="M21" s="89">
        <v>122002.36</v>
      </c>
      <c r="N21" s="51">
        <f t="shared" si="21"/>
        <v>2.4199542472861553E-2</v>
      </c>
      <c r="O21" s="36">
        <v>44010.559999999998</v>
      </c>
      <c r="P21" s="108">
        <f t="shared" si="22"/>
        <v>8.342351225702602E-3</v>
      </c>
      <c r="Q21" s="144">
        <f t="shared" si="23"/>
        <v>77991.8</v>
      </c>
      <c r="R21" s="89">
        <v>20297.71</v>
      </c>
      <c r="S21" s="108">
        <f t="shared" si="24"/>
        <v>3.8921747194389949E-3</v>
      </c>
      <c r="T21" s="144">
        <f t="shared" si="25"/>
        <v>101704.65</v>
      </c>
    </row>
    <row r="22" spans="2:20" x14ac:dyDescent="0.25">
      <c r="B22" s="14" t="s">
        <v>141</v>
      </c>
      <c r="C22" s="17" t="s">
        <v>357</v>
      </c>
      <c r="D22" s="36">
        <v>0</v>
      </c>
      <c r="E22" s="51">
        <f t="shared" si="16"/>
        <v>0</v>
      </c>
      <c r="F22" s="36">
        <v>0</v>
      </c>
      <c r="G22" s="108">
        <f t="shared" si="17"/>
        <v>0</v>
      </c>
      <c r="H22" s="144">
        <f t="shared" si="18"/>
        <v>0</v>
      </c>
      <c r="I22" s="89">
        <v>0</v>
      </c>
      <c r="J22" s="108">
        <f t="shared" si="19"/>
        <v>0</v>
      </c>
      <c r="K22" s="144">
        <f t="shared" si="20"/>
        <v>0</v>
      </c>
      <c r="L22" s="297"/>
      <c r="M22" s="89">
        <v>0</v>
      </c>
      <c r="N22" s="51">
        <f t="shared" si="21"/>
        <v>0</v>
      </c>
      <c r="O22" s="36">
        <v>0</v>
      </c>
      <c r="P22" s="108">
        <f t="shared" si="22"/>
        <v>0</v>
      </c>
      <c r="Q22" s="144">
        <f t="shared" si="23"/>
        <v>0</v>
      </c>
      <c r="R22" s="89">
        <v>0</v>
      </c>
      <c r="S22" s="108">
        <f t="shared" si="24"/>
        <v>0</v>
      </c>
      <c r="T22" s="144">
        <f t="shared" si="25"/>
        <v>0</v>
      </c>
    </row>
    <row r="23" spans="2:20" x14ac:dyDescent="0.25">
      <c r="B23" s="14" t="s">
        <v>145</v>
      </c>
      <c r="C23" s="17" t="s">
        <v>399</v>
      </c>
      <c r="D23" s="36">
        <v>0</v>
      </c>
      <c r="E23" s="51">
        <f t="shared" si="16"/>
        <v>0</v>
      </c>
      <c r="F23" s="36">
        <v>0</v>
      </c>
      <c r="G23" s="108">
        <f t="shared" si="17"/>
        <v>0</v>
      </c>
      <c r="H23" s="144">
        <f t="shared" si="18"/>
        <v>0</v>
      </c>
      <c r="I23" s="89">
        <v>0</v>
      </c>
      <c r="J23" s="108">
        <f t="shared" si="19"/>
        <v>0</v>
      </c>
      <c r="K23" s="144">
        <f t="shared" si="20"/>
        <v>0</v>
      </c>
      <c r="L23" s="297"/>
      <c r="M23" s="89">
        <v>2640</v>
      </c>
      <c r="N23" s="51">
        <f t="shared" si="21"/>
        <v>5.2365210089669171E-4</v>
      </c>
      <c r="O23" s="36">
        <v>6077.94</v>
      </c>
      <c r="P23" s="108">
        <f t="shared" si="22"/>
        <v>1.1520941839582789E-3</v>
      </c>
      <c r="Q23" s="144">
        <f t="shared" si="23"/>
        <v>-3437.9399999999996</v>
      </c>
      <c r="R23" s="89">
        <v>6229</v>
      </c>
      <c r="S23" s="108">
        <f t="shared" si="24"/>
        <v>1.1944380093806394E-3</v>
      </c>
      <c r="T23" s="144">
        <f t="shared" si="25"/>
        <v>-3589</v>
      </c>
    </row>
    <row r="24" spans="2:20" x14ac:dyDescent="0.25">
      <c r="B24" s="14" t="s">
        <v>144</v>
      </c>
      <c r="C24" s="17" t="s">
        <v>358</v>
      </c>
      <c r="D24" s="36">
        <v>0</v>
      </c>
      <c r="E24" s="51">
        <f t="shared" si="16"/>
        <v>0</v>
      </c>
      <c r="F24" s="36">
        <v>0</v>
      </c>
      <c r="G24" s="108">
        <f t="shared" si="17"/>
        <v>0</v>
      </c>
      <c r="H24" s="144">
        <f t="shared" si="18"/>
        <v>0</v>
      </c>
      <c r="I24" s="89">
        <v>0</v>
      </c>
      <c r="J24" s="108">
        <f t="shared" si="19"/>
        <v>0</v>
      </c>
      <c r="K24" s="144">
        <f t="shared" si="20"/>
        <v>0</v>
      </c>
      <c r="L24" s="297"/>
      <c r="M24" s="89">
        <v>19434.98</v>
      </c>
      <c r="N24" s="51">
        <f t="shared" si="21"/>
        <v>3.8549879196534791E-3</v>
      </c>
      <c r="O24" s="36">
        <v>13815</v>
      </c>
      <c r="P24" s="108">
        <f t="shared" si="22"/>
        <v>2.6186802027304687E-3</v>
      </c>
      <c r="Q24" s="144">
        <f t="shared" si="23"/>
        <v>5619.98</v>
      </c>
      <c r="R24" s="89">
        <v>10825</v>
      </c>
      <c r="S24" s="108">
        <f t="shared" si="24"/>
        <v>2.0757411224185942E-3</v>
      </c>
      <c r="T24" s="144">
        <f t="shared" si="25"/>
        <v>8609.98</v>
      </c>
    </row>
    <row r="25" spans="2:20" x14ac:dyDescent="0.25">
      <c r="B25" s="14" t="s">
        <v>142</v>
      </c>
      <c r="C25" s="17" t="s">
        <v>428</v>
      </c>
      <c r="D25" s="36">
        <v>0</v>
      </c>
      <c r="E25" s="51">
        <f t="shared" si="16"/>
        <v>0</v>
      </c>
      <c r="F25" s="36">
        <v>0</v>
      </c>
      <c r="G25" s="108">
        <f t="shared" si="17"/>
        <v>0</v>
      </c>
      <c r="H25" s="144">
        <f t="shared" si="18"/>
        <v>0</v>
      </c>
      <c r="I25" s="89">
        <v>0</v>
      </c>
      <c r="J25" s="108">
        <f t="shared" si="19"/>
        <v>0</v>
      </c>
      <c r="K25" s="144">
        <f t="shared" si="20"/>
        <v>0</v>
      </c>
      <c r="L25" s="297"/>
      <c r="M25" s="89">
        <v>0</v>
      </c>
      <c r="N25" s="51">
        <f t="shared" si="21"/>
        <v>0</v>
      </c>
      <c r="O25" s="36">
        <v>0</v>
      </c>
      <c r="P25" s="108">
        <f t="shared" si="22"/>
        <v>0</v>
      </c>
      <c r="Q25" s="144">
        <f t="shared" si="23"/>
        <v>0</v>
      </c>
      <c r="R25" s="89">
        <v>0</v>
      </c>
      <c r="S25" s="108">
        <f t="shared" si="24"/>
        <v>0</v>
      </c>
      <c r="T25" s="144">
        <f t="shared" si="25"/>
        <v>0</v>
      </c>
    </row>
    <row r="26" spans="2:20" x14ac:dyDescent="0.25">
      <c r="B26" s="14" t="s">
        <v>634</v>
      </c>
      <c r="C26" s="17" t="s">
        <v>706</v>
      </c>
      <c r="D26" s="106">
        <v>0</v>
      </c>
      <c r="E26" s="107">
        <f t="shared" si="16"/>
        <v>0</v>
      </c>
      <c r="F26" s="106">
        <v>0</v>
      </c>
      <c r="G26" s="147">
        <f t="shared" si="17"/>
        <v>0</v>
      </c>
      <c r="H26" s="153">
        <f t="shared" si="18"/>
        <v>0</v>
      </c>
      <c r="I26" s="157">
        <v>0</v>
      </c>
      <c r="J26" s="147">
        <f t="shared" si="19"/>
        <v>0</v>
      </c>
      <c r="K26" s="153">
        <f t="shared" si="20"/>
        <v>0</v>
      </c>
      <c r="L26" s="297"/>
      <c r="M26" s="157">
        <v>0</v>
      </c>
      <c r="N26" s="107">
        <f t="shared" si="21"/>
        <v>0</v>
      </c>
      <c r="O26" s="106">
        <v>0</v>
      </c>
      <c r="P26" s="147">
        <f t="shared" si="22"/>
        <v>0</v>
      </c>
      <c r="Q26" s="153">
        <f t="shared" si="23"/>
        <v>0</v>
      </c>
      <c r="R26" s="157">
        <v>0</v>
      </c>
      <c r="S26" s="147">
        <f t="shared" si="24"/>
        <v>0</v>
      </c>
      <c r="T26" s="153">
        <f t="shared" si="25"/>
        <v>0</v>
      </c>
    </row>
    <row r="27" spans="2:20" x14ac:dyDescent="0.25">
      <c r="B27" s="14" t="s">
        <v>143</v>
      </c>
      <c r="C27" s="23" t="s">
        <v>400</v>
      </c>
      <c r="D27" s="103">
        <f t="shared" ref="D27" si="26">SUM(D20:D26)</f>
        <v>105740.74</v>
      </c>
      <c r="E27" s="104">
        <f t="shared" si="16"/>
        <v>0.14289327808994076</v>
      </c>
      <c r="F27" s="103">
        <f>SUM(F20:F26)</f>
        <v>155171</v>
      </c>
      <c r="G27" s="148">
        <f t="shared" si="17"/>
        <v>0.19291304907819559</v>
      </c>
      <c r="H27" s="154">
        <f t="shared" si="18"/>
        <v>-49430.259999999995</v>
      </c>
      <c r="I27" s="152">
        <f>SUM(I20:I26)</f>
        <v>134953.01</v>
      </c>
      <c r="J27" s="148">
        <f t="shared" si="19"/>
        <v>0.17367950952198713</v>
      </c>
      <c r="K27" s="154">
        <f t="shared" si="20"/>
        <v>-29212.270000000004</v>
      </c>
      <c r="L27" s="297"/>
      <c r="M27" s="152">
        <f t="shared" ref="M27" si="27">SUM(M20:M26)</f>
        <v>853040.41999999993</v>
      </c>
      <c r="N27" s="104">
        <f t="shared" si="21"/>
        <v>0.16920318487984706</v>
      </c>
      <c r="O27" s="103">
        <f>SUM(O20:O26)</f>
        <v>766807.76</v>
      </c>
      <c r="P27" s="148">
        <f t="shared" si="22"/>
        <v>0.14535101704032549</v>
      </c>
      <c r="Q27" s="154">
        <f t="shared" si="23"/>
        <v>86232.659999999916</v>
      </c>
      <c r="R27" s="152">
        <f>SUM(R20:R26)</f>
        <v>706786.71</v>
      </c>
      <c r="S27" s="148">
        <f t="shared" si="24"/>
        <v>0.13552944468599956</v>
      </c>
      <c r="T27" s="154">
        <f t="shared" si="25"/>
        <v>146253.70999999996</v>
      </c>
    </row>
    <row r="28" spans="2:20" x14ac:dyDescent="0.25">
      <c r="B28" s="14" t="s">
        <v>82</v>
      </c>
      <c r="C28" s="17" t="s">
        <v>401</v>
      </c>
      <c r="D28" s="311">
        <v>0</v>
      </c>
      <c r="E28" s="51">
        <f t="shared" si="16"/>
        <v>0</v>
      </c>
      <c r="F28" s="106">
        <v>0</v>
      </c>
      <c r="G28" s="147">
        <f t="shared" si="17"/>
        <v>0</v>
      </c>
      <c r="H28" s="153">
        <f t="shared" si="18"/>
        <v>0</v>
      </c>
      <c r="I28" s="157">
        <v>0</v>
      </c>
      <c r="J28" s="147">
        <f t="shared" si="19"/>
        <v>0</v>
      </c>
      <c r="K28" s="153">
        <f t="shared" si="20"/>
        <v>0</v>
      </c>
      <c r="L28" s="297"/>
      <c r="M28" s="109">
        <v>0</v>
      </c>
      <c r="N28" s="51">
        <f t="shared" si="21"/>
        <v>0</v>
      </c>
      <c r="O28" s="106">
        <v>0</v>
      </c>
      <c r="P28" s="147">
        <f t="shared" si="22"/>
        <v>0</v>
      </c>
      <c r="Q28" s="153">
        <f t="shared" si="23"/>
        <v>0</v>
      </c>
      <c r="R28" s="157">
        <v>0</v>
      </c>
      <c r="S28" s="147">
        <f t="shared" si="24"/>
        <v>0</v>
      </c>
      <c r="T28" s="153">
        <f t="shared" si="25"/>
        <v>0</v>
      </c>
    </row>
    <row r="29" spans="2:20" x14ac:dyDescent="0.25">
      <c r="B29" s="14" t="s">
        <v>206</v>
      </c>
      <c r="C29" s="17" t="s">
        <v>402</v>
      </c>
      <c r="D29" s="50">
        <v>-189.07</v>
      </c>
      <c r="E29" s="51">
        <f t="shared" si="16"/>
        <v>-2.5550069054240682E-4</v>
      </c>
      <c r="F29" s="36">
        <v>5319</v>
      </c>
      <c r="G29" s="51">
        <f t="shared" si="17"/>
        <v>6.6127337456542935E-3</v>
      </c>
      <c r="H29" s="137">
        <f t="shared" si="18"/>
        <v>-5508.07</v>
      </c>
      <c r="I29" s="36">
        <v>8875.4599999999991</v>
      </c>
      <c r="J29" s="51">
        <f t="shared" si="19"/>
        <v>1.1422387241173915E-2</v>
      </c>
      <c r="K29" s="137">
        <f t="shared" si="20"/>
        <v>-9064.5299999999988</v>
      </c>
      <c r="L29" s="297"/>
      <c r="M29" s="110">
        <v>18185.419999999998</v>
      </c>
      <c r="N29" s="51">
        <f t="shared" si="21"/>
        <v>3.6071338593517857E-3</v>
      </c>
      <c r="O29" s="36">
        <v>35881</v>
      </c>
      <c r="P29" s="51">
        <f t="shared" si="22"/>
        <v>6.8013654979494718E-3</v>
      </c>
      <c r="Q29" s="137">
        <f t="shared" si="23"/>
        <v>-17695.580000000002</v>
      </c>
      <c r="R29" s="36">
        <v>43995.32</v>
      </c>
      <c r="S29" s="51">
        <f t="shared" si="24"/>
        <v>8.4362951425372024E-3</v>
      </c>
      <c r="T29" s="137">
        <f t="shared" si="25"/>
        <v>-25809.9</v>
      </c>
    </row>
    <row r="30" spans="2:20" x14ac:dyDescent="0.25">
      <c r="B30" s="14" t="s">
        <v>54</v>
      </c>
      <c r="C30" s="17" t="s">
        <v>403</v>
      </c>
      <c r="D30" s="312">
        <v>0</v>
      </c>
      <c r="E30" s="56">
        <f t="shared" si="16"/>
        <v>0</v>
      </c>
      <c r="F30" s="106">
        <v>0</v>
      </c>
      <c r="G30" s="147">
        <f t="shared" si="17"/>
        <v>0</v>
      </c>
      <c r="H30" s="153">
        <f t="shared" si="18"/>
        <v>0</v>
      </c>
      <c r="I30" s="157">
        <v>-3710.56</v>
      </c>
      <c r="J30" s="147">
        <f t="shared" si="19"/>
        <v>-4.7753528494985367E-3</v>
      </c>
      <c r="K30" s="153">
        <f t="shared" si="20"/>
        <v>3710.56</v>
      </c>
      <c r="L30" s="297"/>
      <c r="M30" s="111">
        <v>0</v>
      </c>
      <c r="N30" s="56">
        <f t="shared" si="21"/>
        <v>0</v>
      </c>
      <c r="O30" s="106">
        <v>0</v>
      </c>
      <c r="P30" s="147">
        <f t="shared" si="22"/>
        <v>0</v>
      </c>
      <c r="Q30" s="153">
        <f t="shared" si="23"/>
        <v>0</v>
      </c>
      <c r="R30" s="157">
        <v>-9161.93</v>
      </c>
      <c r="S30" s="147">
        <f t="shared" si="24"/>
        <v>-1.7568401719834264E-3</v>
      </c>
      <c r="T30" s="153">
        <f t="shared" si="25"/>
        <v>9161.93</v>
      </c>
    </row>
    <row r="31" spans="2:20" x14ac:dyDescent="0.25">
      <c r="B31" s="14" t="s">
        <v>10</v>
      </c>
      <c r="C31" s="23" t="s">
        <v>404</v>
      </c>
      <c r="D31" s="313">
        <f t="shared" ref="D31" si="28">+D17+D27+SUM(D28:D30)</f>
        <v>739998.00000000012</v>
      </c>
      <c r="E31" s="104">
        <f t="shared" si="16"/>
        <v>1</v>
      </c>
      <c r="F31" s="103">
        <f t="shared" ref="F31" si="29">+F17+F27+SUM(F28:F30)</f>
        <v>804357.20000000007</v>
      </c>
      <c r="G31" s="148">
        <f t="shared" si="17"/>
        <v>1</v>
      </c>
      <c r="H31" s="154">
        <f t="shared" si="18"/>
        <v>-64359.199999999953</v>
      </c>
      <c r="I31" s="152">
        <f>+I17+I27+SUM(I28:I30)</f>
        <v>777023.21</v>
      </c>
      <c r="J31" s="148">
        <f t="shared" si="19"/>
        <v>1</v>
      </c>
      <c r="K31" s="154">
        <f t="shared" si="20"/>
        <v>-37025.209999999846</v>
      </c>
      <c r="L31" s="297"/>
      <c r="M31" s="112">
        <f t="shared" ref="M31" si="30">+M17+M27+SUM(M28:M30)</f>
        <v>5041515.1500000004</v>
      </c>
      <c r="N31" s="104">
        <f t="shared" si="21"/>
        <v>1</v>
      </c>
      <c r="O31" s="103">
        <f t="shared" ref="O31" si="31">+O17+O27+SUM(O28:O30)</f>
        <v>5275558.2699999996</v>
      </c>
      <c r="P31" s="148">
        <f t="shared" si="22"/>
        <v>1</v>
      </c>
      <c r="Q31" s="154">
        <f t="shared" si="23"/>
        <v>-234043.11999999918</v>
      </c>
      <c r="R31" s="152">
        <f t="shared" ref="R31" si="32">+R17+R27+SUM(R28:R30)</f>
        <v>5215004.84</v>
      </c>
      <c r="S31" s="148">
        <f t="shared" si="24"/>
        <v>1</v>
      </c>
      <c r="T31" s="154">
        <f t="shared" si="25"/>
        <v>-173489.68999999948</v>
      </c>
    </row>
    <row r="32" spans="2:20" x14ac:dyDescent="0.25">
      <c r="D32" s="244"/>
      <c r="F32" s="244"/>
      <c r="K32" s="74"/>
      <c r="L32" s="297"/>
      <c r="O32" s="244"/>
      <c r="T32" s="74"/>
    </row>
    <row r="33" spans="2:20" x14ac:dyDescent="0.25">
      <c r="B33" s="14"/>
      <c r="C33" s="15" t="s">
        <v>405</v>
      </c>
      <c r="D33" s="48"/>
      <c r="E33" s="32"/>
      <c r="F33" s="48"/>
      <c r="G33" s="32"/>
      <c r="H33" s="16"/>
      <c r="I33" s="16"/>
      <c r="J33" s="32"/>
      <c r="K33" s="49"/>
      <c r="L33" s="297"/>
      <c r="M33" s="16"/>
      <c r="N33" s="32"/>
      <c r="O33" s="48"/>
      <c r="P33" s="32"/>
      <c r="Q33" s="16"/>
      <c r="R33" s="16"/>
      <c r="S33" s="32"/>
      <c r="T33" s="49"/>
    </row>
    <row r="34" spans="2:20" x14ac:dyDescent="0.25">
      <c r="B34" s="14" t="s">
        <v>234</v>
      </c>
      <c r="C34" s="22" t="s">
        <v>406</v>
      </c>
      <c r="D34" s="48"/>
      <c r="E34" s="32"/>
      <c r="F34" s="48"/>
      <c r="G34" s="32"/>
      <c r="H34" s="16"/>
      <c r="I34" s="16"/>
      <c r="J34" s="32"/>
      <c r="K34" s="49"/>
      <c r="L34" s="74"/>
      <c r="M34" s="16"/>
      <c r="N34" s="32"/>
      <c r="O34" s="48"/>
      <c r="P34" s="32"/>
      <c r="Q34" s="16"/>
      <c r="R34" s="16"/>
      <c r="S34" s="32"/>
      <c r="T34" s="49"/>
    </row>
    <row r="35" spans="2:20" x14ac:dyDescent="0.25">
      <c r="B35" s="14" t="s">
        <v>151</v>
      </c>
      <c r="C35" s="17" t="s">
        <v>429</v>
      </c>
      <c r="D35" s="36">
        <v>0</v>
      </c>
      <c r="E35" s="51">
        <f t="shared" ref="E35:E37" si="33">IFERROR(D35/D$31,"")</f>
        <v>0</v>
      </c>
      <c r="F35" s="36">
        <v>0</v>
      </c>
      <c r="G35" s="51">
        <f t="shared" ref="G35:G37" si="34">IFERROR(F35/F$31,"")</f>
        <v>0</v>
      </c>
      <c r="H35" s="137">
        <f>+D35-F35</f>
        <v>0</v>
      </c>
      <c r="I35" s="36">
        <v>0</v>
      </c>
      <c r="J35" s="51">
        <f t="shared" ref="J35:J37" si="35">IFERROR(I35/I$31,"")</f>
        <v>0</v>
      </c>
      <c r="K35" s="137">
        <f>+D35-I35</f>
        <v>0</v>
      </c>
      <c r="L35" s="74"/>
      <c r="M35" s="89">
        <v>0</v>
      </c>
      <c r="N35" s="51">
        <f t="shared" ref="N35:N37" si="36">IFERROR(M35/M$31,"")</f>
        <v>0</v>
      </c>
      <c r="O35" s="36">
        <v>0</v>
      </c>
      <c r="P35" s="51">
        <f t="shared" ref="P35:P37" si="37">IFERROR(O35/O$31,"")</f>
        <v>0</v>
      </c>
      <c r="Q35" s="137">
        <f>+M35-O35</f>
        <v>0</v>
      </c>
      <c r="R35" s="36">
        <v>0</v>
      </c>
      <c r="S35" s="51">
        <f t="shared" ref="S35:S37" si="38">IFERROR(R35/R$31,"")</f>
        <v>0</v>
      </c>
      <c r="T35" s="137">
        <f>+M35-R35</f>
        <v>0</v>
      </c>
    </row>
    <row r="36" spans="2:20" x14ac:dyDescent="0.25">
      <c r="B36" s="14" t="s">
        <v>132</v>
      </c>
      <c r="C36" s="17" t="s">
        <v>430</v>
      </c>
      <c r="D36" s="36">
        <v>0</v>
      </c>
      <c r="E36" s="51">
        <f t="shared" si="33"/>
        <v>0</v>
      </c>
      <c r="F36" s="36">
        <v>0</v>
      </c>
      <c r="G36" s="51">
        <f t="shared" si="34"/>
        <v>0</v>
      </c>
      <c r="H36" s="137">
        <f>+D36-F36</f>
        <v>0</v>
      </c>
      <c r="I36" s="36">
        <v>0</v>
      </c>
      <c r="J36" s="51">
        <f t="shared" si="35"/>
        <v>0</v>
      </c>
      <c r="K36" s="137">
        <f>+D36-I36</f>
        <v>0</v>
      </c>
      <c r="L36" s="74"/>
      <c r="M36" s="89">
        <v>0</v>
      </c>
      <c r="N36" s="51">
        <f t="shared" si="36"/>
        <v>0</v>
      </c>
      <c r="O36" s="36">
        <v>0</v>
      </c>
      <c r="P36" s="51">
        <f t="shared" si="37"/>
        <v>0</v>
      </c>
      <c r="Q36" s="137">
        <f>+M36-O36</f>
        <v>0</v>
      </c>
      <c r="R36" s="36">
        <v>0</v>
      </c>
      <c r="S36" s="51">
        <f t="shared" si="38"/>
        <v>0</v>
      </c>
      <c r="T36" s="137">
        <f>+M36-R36</f>
        <v>0</v>
      </c>
    </row>
    <row r="37" spans="2:20" x14ac:dyDescent="0.25">
      <c r="B37" s="14" t="s">
        <v>333</v>
      </c>
      <c r="C37" s="17" t="s">
        <v>407</v>
      </c>
      <c r="D37" s="36">
        <v>9168.2000000000007</v>
      </c>
      <c r="E37" s="51">
        <f t="shared" si="33"/>
        <v>1.2389492944575526E-2</v>
      </c>
      <c r="F37" s="36">
        <v>11906.08</v>
      </c>
      <c r="G37" s="51">
        <f t="shared" si="34"/>
        <v>1.480198101042671E-2</v>
      </c>
      <c r="H37" s="137">
        <f>+D37-F37</f>
        <v>-2737.8799999999992</v>
      </c>
      <c r="I37" s="36">
        <v>12428.73</v>
      </c>
      <c r="J37" s="51">
        <f t="shared" si="35"/>
        <v>1.5995313704979287E-2</v>
      </c>
      <c r="K37" s="137">
        <f>+D37-I37</f>
        <v>-3260.5299999999988</v>
      </c>
      <c r="L37" s="74"/>
      <c r="M37" s="89">
        <v>57725.58</v>
      </c>
      <c r="N37" s="51">
        <f t="shared" si="36"/>
        <v>1.1450045925181836E-2</v>
      </c>
      <c r="O37" s="36">
        <v>59887.44</v>
      </c>
      <c r="P37" s="51">
        <f t="shared" si="37"/>
        <v>1.1351867790098356E-2</v>
      </c>
      <c r="Q37" s="137">
        <f>+M37-O37</f>
        <v>-2161.8600000000006</v>
      </c>
      <c r="R37" s="36">
        <v>47156.84</v>
      </c>
      <c r="S37" s="51">
        <f t="shared" si="38"/>
        <v>9.0425304379966789E-3</v>
      </c>
      <c r="T37" s="137">
        <f>+M37-R37</f>
        <v>10568.740000000005</v>
      </c>
    </row>
    <row r="38" spans="2:20" x14ac:dyDescent="0.25">
      <c r="B38" s="14" t="s">
        <v>238</v>
      </c>
      <c r="C38" s="18" t="s">
        <v>408</v>
      </c>
      <c r="D38" s="314"/>
      <c r="E38" s="114"/>
      <c r="F38" s="244"/>
      <c r="G38" s="114"/>
      <c r="J38" s="114"/>
      <c r="K38" s="74"/>
      <c r="L38" s="74"/>
      <c r="M38" s="113"/>
      <c r="N38" s="114"/>
      <c r="O38" s="244"/>
      <c r="P38" s="114"/>
      <c r="S38" s="114"/>
      <c r="T38" s="74"/>
    </row>
    <row r="39" spans="2:20" x14ac:dyDescent="0.25">
      <c r="B39" s="14" t="s">
        <v>133</v>
      </c>
      <c r="C39" s="17" t="s">
        <v>409</v>
      </c>
      <c r="D39" s="36">
        <v>18446.97</v>
      </c>
      <c r="E39" s="115">
        <f t="shared" ref="E39:E53" si="39">IFERROR(D39/D$31,"")</f>
        <v>2.4928405211905976E-2</v>
      </c>
      <c r="F39" s="36">
        <v>17740.580000000002</v>
      </c>
      <c r="G39" s="115">
        <f t="shared" ref="G39:G53" si="40">IFERROR(F39/F$31,"")</f>
        <v>2.2055599179071191E-2</v>
      </c>
      <c r="H39" s="137">
        <f t="shared" ref="H39:H53" si="41">+D39-F39</f>
        <v>706.38999999999942</v>
      </c>
      <c r="I39" s="36">
        <v>14951.98</v>
      </c>
      <c r="J39" s="115">
        <f t="shared" ref="J39:J53" si="42">IFERROR(I39/I$31,"")</f>
        <v>1.9242642700467081E-2</v>
      </c>
      <c r="K39" s="137">
        <f t="shared" ref="K39:K53" si="43">+D39-I39</f>
        <v>3494.9900000000016</v>
      </c>
      <c r="L39" s="74"/>
      <c r="M39" s="89">
        <v>71723.38</v>
      </c>
      <c r="N39" s="115">
        <f t="shared" ref="N39:N53" si="44">IFERROR(M39/M$31,"")</f>
        <v>1.4226552507731728E-2</v>
      </c>
      <c r="O39" s="36">
        <v>85157.6</v>
      </c>
      <c r="P39" s="115">
        <f t="shared" ref="P39:P45" si="45">IFERROR(O39/O$31,"")</f>
        <v>1.6141912503224044E-2</v>
      </c>
      <c r="Q39" s="137">
        <f t="shared" ref="Q39:Q53" si="46">+M39-O39</f>
        <v>-13434.220000000001</v>
      </c>
      <c r="R39" s="36">
        <v>52834.18</v>
      </c>
      <c r="S39" s="115">
        <f t="shared" ref="S39:S45" si="47">IFERROR(R39/R$31,"")</f>
        <v>1.0131185228200095E-2</v>
      </c>
      <c r="T39" s="137">
        <f t="shared" ref="T39:T53" si="48">+M39-R39</f>
        <v>18889.200000000004</v>
      </c>
    </row>
    <row r="40" spans="2:20" x14ac:dyDescent="0.25">
      <c r="B40" s="14" t="s">
        <v>152</v>
      </c>
      <c r="C40" s="17" t="s">
        <v>410</v>
      </c>
      <c r="D40" s="36">
        <v>43167.9</v>
      </c>
      <c r="E40" s="115">
        <f t="shared" si="39"/>
        <v>5.8335157662588268E-2</v>
      </c>
      <c r="F40" s="36">
        <v>44745.68</v>
      </c>
      <c r="G40" s="115">
        <f t="shared" si="40"/>
        <v>5.5629116019599245E-2</v>
      </c>
      <c r="H40" s="137">
        <f t="shared" si="41"/>
        <v>-1577.7799999999988</v>
      </c>
      <c r="I40" s="36">
        <v>35570.410000000003</v>
      </c>
      <c r="J40" s="115">
        <f t="shared" si="42"/>
        <v>4.577779600689149E-2</v>
      </c>
      <c r="K40" s="137">
        <f t="shared" si="43"/>
        <v>7597.489999999998</v>
      </c>
      <c r="L40" s="74"/>
      <c r="M40" s="89">
        <v>217294.4</v>
      </c>
      <c r="N40" s="115">
        <f t="shared" si="44"/>
        <v>4.3101011012532608E-2</v>
      </c>
      <c r="O40" s="36">
        <v>225430.37</v>
      </c>
      <c r="P40" s="115">
        <f t="shared" si="45"/>
        <v>4.2731092798639493E-2</v>
      </c>
      <c r="Q40" s="137">
        <f t="shared" si="46"/>
        <v>-8135.9700000000012</v>
      </c>
      <c r="R40" s="36">
        <v>186331.75</v>
      </c>
      <c r="S40" s="115">
        <f t="shared" si="47"/>
        <v>3.5729928488426869E-2</v>
      </c>
      <c r="T40" s="137">
        <f t="shared" si="48"/>
        <v>30962.649999999994</v>
      </c>
    </row>
    <row r="41" spans="2:20" x14ac:dyDescent="0.25">
      <c r="B41" s="14" t="s">
        <v>224</v>
      </c>
      <c r="C41" s="17" t="s">
        <v>374</v>
      </c>
      <c r="D41" s="36">
        <v>0</v>
      </c>
      <c r="E41" s="115">
        <f t="shared" ref="E41" si="49">IFERROR(D41/D$31,"")</f>
        <v>0</v>
      </c>
      <c r="F41" s="36">
        <v>0</v>
      </c>
      <c r="G41" s="115">
        <f t="shared" ref="G41" si="50">IFERROR(F41/F$31,"")</f>
        <v>0</v>
      </c>
      <c r="H41" s="137">
        <f t="shared" si="41"/>
        <v>0</v>
      </c>
      <c r="I41" s="36">
        <v>0</v>
      </c>
      <c r="J41" s="115">
        <f t="shared" ref="J41" si="51">IFERROR(I41/I$31,"")</f>
        <v>0</v>
      </c>
      <c r="K41" s="137">
        <f t="shared" si="43"/>
        <v>0</v>
      </c>
      <c r="L41" s="74"/>
      <c r="M41" s="89">
        <v>0</v>
      </c>
      <c r="N41" s="115">
        <f t="shared" si="44"/>
        <v>0</v>
      </c>
      <c r="O41" s="36">
        <v>0</v>
      </c>
      <c r="P41" s="115">
        <f t="shared" si="45"/>
        <v>0</v>
      </c>
      <c r="Q41" s="137">
        <f t="shared" si="46"/>
        <v>0</v>
      </c>
      <c r="R41" s="36">
        <v>0</v>
      </c>
      <c r="S41" s="115">
        <f t="shared" si="47"/>
        <v>0</v>
      </c>
      <c r="T41" s="137">
        <f t="shared" si="48"/>
        <v>0</v>
      </c>
    </row>
    <row r="42" spans="2:20" x14ac:dyDescent="0.25">
      <c r="B42" s="14" t="s">
        <v>75</v>
      </c>
      <c r="C42" s="17" t="s">
        <v>431</v>
      </c>
      <c r="D42" s="36">
        <v>0</v>
      </c>
      <c r="E42" s="115">
        <f t="shared" si="39"/>
        <v>0</v>
      </c>
      <c r="F42" s="36">
        <v>0</v>
      </c>
      <c r="G42" s="115">
        <f t="shared" si="40"/>
        <v>0</v>
      </c>
      <c r="H42" s="137">
        <f t="shared" si="41"/>
        <v>0</v>
      </c>
      <c r="I42" s="36">
        <v>0</v>
      </c>
      <c r="J42" s="115">
        <f t="shared" si="42"/>
        <v>0</v>
      </c>
      <c r="K42" s="137">
        <f t="shared" si="43"/>
        <v>0</v>
      </c>
      <c r="L42" s="74"/>
      <c r="M42" s="89">
        <v>0</v>
      </c>
      <c r="N42" s="115">
        <f t="shared" si="44"/>
        <v>0</v>
      </c>
      <c r="O42" s="36">
        <v>0</v>
      </c>
      <c r="P42" s="115">
        <f t="shared" si="45"/>
        <v>0</v>
      </c>
      <c r="Q42" s="137">
        <f t="shared" si="46"/>
        <v>0</v>
      </c>
      <c r="R42" s="36">
        <v>0</v>
      </c>
      <c r="S42" s="115">
        <f t="shared" si="47"/>
        <v>0</v>
      </c>
      <c r="T42" s="137">
        <f t="shared" si="48"/>
        <v>0</v>
      </c>
    </row>
    <row r="43" spans="2:20" x14ac:dyDescent="0.25">
      <c r="B43" s="14" t="s">
        <v>652</v>
      </c>
      <c r="C43" s="17" t="s">
        <v>463</v>
      </c>
      <c r="D43" s="54">
        <v>0</v>
      </c>
      <c r="E43" s="121">
        <f t="shared" si="39"/>
        <v>0</v>
      </c>
      <c r="F43" s="55">
        <v>0</v>
      </c>
      <c r="G43" s="162">
        <f t="shared" si="40"/>
        <v>0</v>
      </c>
      <c r="H43" s="166">
        <f t="shared" si="41"/>
        <v>0</v>
      </c>
      <c r="I43" s="151">
        <v>0</v>
      </c>
      <c r="J43" s="162">
        <f t="shared" si="42"/>
        <v>0</v>
      </c>
      <c r="K43" s="153">
        <f t="shared" si="43"/>
        <v>0</v>
      </c>
      <c r="L43" s="74"/>
      <c r="M43" s="116">
        <v>0</v>
      </c>
      <c r="N43" s="121">
        <f t="shared" si="44"/>
        <v>0</v>
      </c>
      <c r="O43" s="55">
        <v>0</v>
      </c>
      <c r="P43" s="162">
        <f t="shared" si="45"/>
        <v>0</v>
      </c>
      <c r="Q43" s="166">
        <f t="shared" si="46"/>
        <v>0</v>
      </c>
      <c r="R43" s="151">
        <v>0</v>
      </c>
      <c r="S43" s="162">
        <f t="shared" si="47"/>
        <v>0</v>
      </c>
      <c r="T43" s="153">
        <f t="shared" si="48"/>
        <v>0</v>
      </c>
    </row>
    <row r="44" spans="2:20" x14ac:dyDescent="0.25">
      <c r="B44" s="14" t="s">
        <v>672</v>
      </c>
      <c r="C44" s="23" t="s">
        <v>411</v>
      </c>
      <c r="D44" s="313">
        <f t="shared" ref="D44" si="52">SUM(D35:D43)</f>
        <v>70783.070000000007</v>
      </c>
      <c r="E44" s="104">
        <f t="shared" si="39"/>
        <v>9.5653055819069771E-2</v>
      </c>
      <c r="F44" s="103">
        <f t="shared" ref="F44" si="53">SUM(F35:F43)</f>
        <v>74392.34</v>
      </c>
      <c r="G44" s="148">
        <f t="shared" si="40"/>
        <v>9.2486696209097136E-2</v>
      </c>
      <c r="H44" s="154">
        <f t="shared" si="41"/>
        <v>-3609.2699999999895</v>
      </c>
      <c r="I44" s="152">
        <f>SUM(I35:I43)</f>
        <v>62951.12</v>
      </c>
      <c r="J44" s="148">
        <f t="shared" si="42"/>
        <v>8.1015752412337855E-2</v>
      </c>
      <c r="K44" s="154">
        <f t="shared" si="43"/>
        <v>7831.9500000000044</v>
      </c>
      <c r="L44" s="74"/>
      <c r="M44" s="112">
        <f t="shared" ref="M44" si="54">SUM(M35:M43)</f>
        <v>346743.36</v>
      </c>
      <c r="N44" s="104">
        <f t="shared" si="44"/>
        <v>6.877760944544617E-2</v>
      </c>
      <c r="O44" s="103">
        <f t="shared" ref="O44" si="55">SUM(O35:O43)</f>
        <v>370475.41000000003</v>
      </c>
      <c r="P44" s="148">
        <f t="shared" si="45"/>
        <v>7.0224873091961904E-2</v>
      </c>
      <c r="Q44" s="154">
        <f t="shared" si="46"/>
        <v>-23732.050000000047</v>
      </c>
      <c r="R44" s="152">
        <f>SUM(R35:R43)</f>
        <v>286322.77</v>
      </c>
      <c r="S44" s="148">
        <f t="shared" si="47"/>
        <v>5.4903644154623649E-2</v>
      </c>
      <c r="T44" s="154">
        <f t="shared" si="48"/>
        <v>60420.589999999967</v>
      </c>
    </row>
    <row r="45" spans="2:20" x14ac:dyDescent="0.25">
      <c r="B45" s="14" t="s">
        <v>676</v>
      </c>
      <c r="C45" s="17" t="s">
        <v>558</v>
      </c>
      <c r="D45" s="315">
        <v>0</v>
      </c>
      <c r="E45" s="122">
        <f t="shared" ref="E45:E46" si="56">IFERROR(D45/D$31,"")</f>
        <v>0</v>
      </c>
      <c r="F45" s="161">
        <v>0</v>
      </c>
      <c r="G45" s="163">
        <f t="shared" si="40"/>
        <v>0</v>
      </c>
      <c r="H45" s="167">
        <f t="shared" si="41"/>
        <v>0</v>
      </c>
      <c r="I45" s="169">
        <v>0</v>
      </c>
      <c r="J45" s="163">
        <f t="shared" si="42"/>
        <v>0</v>
      </c>
      <c r="K45" s="167">
        <f t="shared" si="43"/>
        <v>0</v>
      </c>
      <c r="L45" s="74"/>
      <c r="M45" s="117">
        <v>0</v>
      </c>
      <c r="N45" s="122">
        <f t="shared" si="44"/>
        <v>0</v>
      </c>
      <c r="O45" s="161">
        <v>0</v>
      </c>
      <c r="P45" s="163">
        <f t="shared" si="45"/>
        <v>0</v>
      </c>
      <c r="Q45" s="167">
        <f t="shared" si="46"/>
        <v>0</v>
      </c>
      <c r="R45" s="169">
        <v>0</v>
      </c>
      <c r="S45" s="163">
        <f t="shared" si="47"/>
        <v>0</v>
      </c>
      <c r="T45" s="167">
        <f t="shared" si="48"/>
        <v>0</v>
      </c>
    </row>
    <row r="46" spans="2:20" x14ac:dyDescent="0.25">
      <c r="B46" s="14" t="s">
        <v>253</v>
      </c>
      <c r="C46" s="17" t="s">
        <v>412</v>
      </c>
      <c r="D46" s="36">
        <v>42772.49</v>
      </c>
      <c r="E46" s="51">
        <f t="shared" si="56"/>
        <v>5.7800818380590209E-2</v>
      </c>
      <c r="F46" s="36">
        <v>34532.76</v>
      </c>
      <c r="G46" s="115">
        <f>IFERROR(F46/F$31,"")</f>
        <v>4.2932120207290987E-2</v>
      </c>
      <c r="H46" s="137">
        <f t="shared" si="41"/>
        <v>8239.7299999999959</v>
      </c>
      <c r="I46" s="36">
        <v>52093.46</v>
      </c>
      <c r="J46" s="115">
        <f>IFERROR(I46/I$31,"")</f>
        <v>6.7042347422286139E-2</v>
      </c>
      <c r="K46" s="137">
        <f t="shared" si="43"/>
        <v>-9320.9700000000012</v>
      </c>
      <c r="L46" s="74"/>
      <c r="M46" s="89">
        <v>211408.09</v>
      </c>
      <c r="N46" s="51">
        <f t="shared" si="44"/>
        <v>4.1933443361763967E-2</v>
      </c>
      <c r="O46" s="36">
        <v>171234.52</v>
      </c>
      <c r="P46" s="115">
        <f>IFERROR(O46/O$31,"")</f>
        <v>3.2458085236920342E-2</v>
      </c>
      <c r="Q46" s="137">
        <f t="shared" si="46"/>
        <v>40173.570000000007</v>
      </c>
      <c r="R46" s="36">
        <v>299709.92</v>
      </c>
      <c r="S46" s="115">
        <f>IFERROR(R46/R$31,"")</f>
        <v>5.7470688752035752E-2</v>
      </c>
      <c r="T46" s="137">
        <f t="shared" si="48"/>
        <v>-88301.829999999987</v>
      </c>
    </row>
    <row r="47" spans="2:20" x14ac:dyDescent="0.25">
      <c r="B47" s="14" t="s">
        <v>247</v>
      </c>
      <c r="C47" s="17" t="s">
        <v>413</v>
      </c>
      <c r="D47" s="316">
        <v>1058.02</v>
      </c>
      <c r="E47" s="123">
        <f t="shared" si="39"/>
        <v>1.429760620974651E-3</v>
      </c>
      <c r="F47" s="106">
        <v>3247.37</v>
      </c>
      <c r="G47" s="164">
        <f t="shared" si="40"/>
        <v>4.037223760786874E-3</v>
      </c>
      <c r="H47" s="153">
        <f t="shared" si="41"/>
        <v>-2189.35</v>
      </c>
      <c r="I47" s="157">
        <v>3510.66</v>
      </c>
      <c r="J47" s="164">
        <f t="shared" si="42"/>
        <v>4.5180889770332598E-3</v>
      </c>
      <c r="K47" s="153">
        <f t="shared" si="43"/>
        <v>-2452.64</v>
      </c>
      <c r="L47" s="74"/>
      <c r="M47" s="118">
        <v>8395.2999999999993</v>
      </c>
      <c r="N47" s="123">
        <f t="shared" si="44"/>
        <v>1.6652335161583317E-3</v>
      </c>
      <c r="O47" s="106">
        <v>16072.42</v>
      </c>
      <c r="P47" s="164">
        <f t="shared" ref="P47:P53" si="57">IFERROR(O47/O$31,"")</f>
        <v>3.0465818359731627E-3</v>
      </c>
      <c r="Q47" s="153">
        <f t="shared" si="46"/>
        <v>-7677.1200000000008</v>
      </c>
      <c r="R47" s="157">
        <v>9443.9699999999993</v>
      </c>
      <c r="S47" s="164">
        <f t="shared" ref="S47:S53" si="58">IFERROR(R47/R$31,"")</f>
        <v>1.8109225762482704E-3</v>
      </c>
      <c r="T47" s="153">
        <f t="shared" si="48"/>
        <v>-1048.67</v>
      </c>
    </row>
    <row r="48" spans="2:20" x14ac:dyDescent="0.25">
      <c r="B48" s="14" t="s">
        <v>674</v>
      </c>
      <c r="C48" s="23" t="s">
        <v>414</v>
      </c>
      <c r="D48" s="313">
        <f t="shared" ref="D48" si="59">+SUM(D44:D47)</f>
        <v>114613.58</v>
      </c>
      <c r="E48" s="104">
        <f t="shared" si="39"/>
        <v>0.15488363482063464</v>
      </c>
      <c r="F48" s="103">
        <f>+SUM(F44:F47)</f>
        <v>112172.47</v>
      </c>
      <c r="G48" s="148">
        <f t="shared" si="40"/>
        <v>0.139456040177175</v>
      </c>
      <c r="H48" s="154">
        <f t="shared" si="41"/>
        <v>2441.1100000000006</v>
      </c>
      <c r="I48" s="152">
        <f>+SUM(I44:I47)</f>
        <v>118555.24</v>
      </c>
      <c r="J48" s="148">
        <f t="shared" si="42"/>
        <v>0.15257618881165727</v>
      </c>
      <c r="K48" s="154">
        <f t="shared" si="43"/>
        <v>-3941.6600000000035</v>
      </c>
      <c r="L48" s="74"/>
      <c r="M48" s="112">
        <f t="shared" ref="M48" si="60">+SUM(M44:M47)</f>
        <v>566546.75</v>
      </c>
      <c r="N48" s="104">
        <f t="shared" si="44"/>
        <v>0.11237628632336848</v>
      </c>
      <c r="O48" s="103">
        <f>+SUM(O44:O47)</f>
        <v>557782.35000000009</v>
      </c>
      <c r="P48" s="148">
        <f t="shared" si="57"/>
        <v>0.10572954016485542</v>
      </c>
      <c r="Q48" s="154">
        <f t="shared" si="46"/>
        <v>8764.3999999999069</v>
      </c>
      <c r="R48" s="152">
        <f>+SUM(R44:R47)</f>
        <v>595476.65999999992</v>
      </c>
      <c r="S48" s="148">
        <f t="shared" si="58"/>
        <v>0.11418525548290764</v>
      </c>
      <c r="T48" s="154">
        <f t="shared" si="48"/>
        <v>-28929.909999999916</v>
      </c>
    </row>
    <row r="49" spans="2:20" x14ac:dyDescent="0.25">
      <c r="B49" s="14" t="s">
        <v>293</v>
      </c>
      <c r="C49" s="17" t="s">
        <v>415</v>
      </c>
      <c r="D49" s="312">
        <v>6635.86</v>
      </c>
      <c r="E49" s="124">
        <f t="shared" si="39"/>
        <v>8.9674026146016588E-3</v>
      </c>
      <c r="F49" s="106">
        <v>7023.34</v>
      </c>
      <c r="G49" s="165">
        <f t="shared" si="40"/>
        <v>8.7316182412490364E-3</v>
      </c>
      <c r="H49" s="153">
        <f t="shared" si="41"/>
        <v>-387.48000000000047</v>
      </c>
      <c r="I49" s="157">
        <v>5158.62</v>
      </c>
      <c r="J49" s="165">
        <f t="shared" si="42"/>
        <v>6.6389522650166398E-3</v>
      </c>
      <c r="K49" s="153">
        <f t="shared" si="43"/>
        <v>1477.2399999999998</v>
      </c>
      <c r="L49" s="74"/>
      <c r="M49" s="111">
        <v>28464.68</v>
      </c>
      <c r="N49" s="124">
        <f t="shared" si="44"/>
        <v>5.6460566224818343E-3</v>
      </c>
      <c r="O49" s="106">
        <v>36035.89</v>
      </c>
      <c r="P49" s="165">
        <f t="shared" si="57"/>
        <v>6.8307254238706384E-3</v>
      </c>
      <c r="Q49" s="153">
        <f t="shared" si="46"/>
        <v>-7571.2099999999991</v>
      </c>
      <c r="R49" s="157">
        <v>23891.39</v>
      </c>
      <c r="S49" s="165">
        <f t="shared" si="58"/>
        <v>4.5812785861192029E-3</v>
      </c>
      <c r="T49" s="153">
        <f t="shared" si="48"/>
        <v>4573.2900000000009</v>
      </c>
    </row>
    <row r="50" spans="2:20" x14ac:dyDescent="0.25">
      <c r="B50" s="14" t="s">
        <v>305</v>
      </c>
      <c r="C50" s="17" t="s">
        <v>360</v>
      </c>
      <c r="D50" s="50">
        <v>7140.45</v>
      </c>
      <c r="E50" s="115">
        <f t="shared" si="39"/>
        <v>9.6492828358995548E-3</v>
      </c>
      <c r="F50" s="36">
        <v>7491.72</v>
      </c>
      <c r="G50" s="160">
        <f t="shared" si="40"/>
        <v>9.3139217253230284E-3</v>
      </c>
      <c r="H50" s="144">
        <f t="shared" si="41"/>
        <v>-351.27000000000044</v>
      </c>
      <c r="I50" s="89">
        <v>8701.5499999999993</v>
      </c>
      <c r="J50" s="160">
        <f t="shared" si="42"/>
        <v>1.1198571533017655E-2</v>
      </c>
      <c r="K50" s="144">
        <f t="shared" si="43"/>
        <v>-1561.0999999999995</v>
      </c>
      <c r="L50" s="74"/>
      <c r="M50" s="110">
        <v>37650.22</v>
      </c>
      <c r="N50" s="115">
        <f t="shared" si="44"/>
        <v>7.4680366675085761E-3</v>
      </c>
      <c r="O50" s="36">
        <v>31606.98</v>
      </c>
      <c r="P50" s="160">
        <f t="shared" si="57"/>
        <v>5.9912104809336135E-3</v>
      </c>
      <c r="Q50" s="144">
        <f t="shared" si="46"/>
        <v>6043.2400000000016</v>
      </c>
      <c r="R50" s="89">
        <v>25429.3</v>
      </c>
      <c r="S50" s="160">
        <f t="shared" si="58"/>
        <v>4.8761795588285594E-3</v>
      </c>
      <c r="T50" s="144">
        <f t="shared" si="48"/>
        <v>12220.920000000002</v>
      </c>
    </row>
    <row r="51" spans="2:20" x14ac:dyDescent="0.25">
      <c r="B51" s="14" t="s">
        <v>265</v>
      </c>
      <c r="C51" s="17" t="s">
        <v>361</v>
      </c>
      <c r="D51" s="316">
        <v>10788.35</v>
      </c>
      <c r="E51" s="123">
        <f t="shared" si="39"/>
        <v>1.4578890753758792E-2</v>
      </c>
      <c r="F51" s="106">
        <v>10251.17</v>
      </c>
      <c r="G51" s="164">
        <f t="shared" si="40"/>
        <v>1.2744549312171258E-2</v>
      </c>
      <c r="H51" s="153">
        <f t="shared" si="41"/>
        <v>537.18000000000029</v>
      </c>
      <c r="I51" s="157">
        <v>9211.61</v>
      </c>
      <c r="J51" s="164">
        <f t="shared" si="42"/>
        <v>1.1854999801099894E-2</v>
      </c>
      <c r="K51" s="153">
        <f t="shared" si="43"/>
        <v>1576.7399999999998</v>
      </c>
      <c r="L51" s="74"/>
      <c r="M51" s="118">
        <v>42409.49</v>
      </c>
      <c r="N51" s="123">
        <f t="shared" si="44"/>
        <v>8.4120524759307719E-3</v>
      </c>
      <c r="O51" s="106">
        <v>50911.55</v>
      </c>
      <c r="P51" s="164">
        <f t="shared" si="57"/>
        <v>9.6504573344424471E-3</v>
      </c>
      <c r="Q51" s="153">
        <f t="shared" si="46"/>
        <v>-8502.0600000000049</v>
      </c>
      <c r="R51" s="157">
        <v>45525.06</v>
      </c>
      <c r="S51" s="164">
        <f t="shared" si="58"/>
        <v>8.7296294819929638E-3</v>
      </c>
      <c r="T51" s="153">
        <f t="shared" si="48"/>
        <v>-3115.5699999999997</v>
      </c>
    </row>
    <row r="52" spans="2:20" s="11" customFormat="1" x14ac:dyDescent="0.25">
      <c r="B52" s="14" t="s">
        <v>287</v>
      </c>
      <c r="C52" s="23" t="s">
        <v>416</v>
      </c>
      <c r="D52" s="317">
        <f t="shared" ref="D52" si="61">SUM(D49:D51)</f>
        <v>24564.66</v>
      </c>
      <c r="E52" s="125">
        <f t="shared" si="39"/>
        <v>3.3195576204260009E-2</v>
      </c>
      <c r="F52" s="142">
        <f t="shared" ref="F52" si="62">SUM(F49:F51)</f>
        <v>24766.230000000003</v>
      </c>
      <c r="G52" s="135">
        <f t="shared" si="40"/>
        <v>3.0790089278743327E-2</v>
      </c>
      <c r="H52" s="168">
        <f t="shared" si="41"/>
        <v>-201.57000000000335</v>
      </c>
      <c r="I52" s="133">
        <f t="shared" ref="I52" si="63">SUM(I49:I51)</f>
        <v>23071.78</v>
      </c>
      <c r="J52" s="135">
        <f t="shared" si="42"/>
        <v>2.9692523599134189E-2</v>
      </c>
      <c r="K52" s="168">
        <f t="shared" si="43"/>
        <v>1492.880000000001</v>
      </c>
      <c r="L52" s="299"/>
      <c r="M52" s="119">
        <f t="shared" ref="M52" si="64">SUM(M49:M51)</f>
        <v>108524.38999999998</v>
      </c>
      <c r="N52" s="125">
        <f t="shared" si="44"/>
        <v>2.1526145765921177E-2</v>
      </c>
      <c r="O52" s="142">
        <f t="shared" ref="O52" si="65">SUM(O49:O51)</f>
        <v>118554.42</v>
      </c>
      <c r="P52" s="135">
        <f t="shared" si="57"/>
        <v>2.2472393239246699E-2</v>
      </c>
      <c r="Q52" s="168">
        <f t="shared" si="46"/>
        <v>-10030.030000000013</v>
      </c>
      <c r="R52" s="133">
        <f t="shared" ref="R52" si="66">SUM(R49:R51)</f>
        <v>94845.75</v>
      </c>
      <c r="S52" s="135">
        <f t="shared" si="58"/>
        <v>1.8187087626940726E-2</v>
      </c>
      <c r="T52" s="168">
        <f t="shared" si="48"/>
        <v>13678.639999999985</v>
      </c>
    </row>
    <row r="53" spans="2:20" x14ac:dyDescent="0.25">
      <c r="B53" s="14" t="s">
        <v>667</v>
      </c>
      <c r="C53" s="23" t="s">
        <v>417</v>
      </c>
      <c r="D53" s="318">
        <f t="shared" ref="D53" si="67">+D52+D48</f>
        <v>139178.23999999999</v>
      </c>
      <c r="E53" s="126">
        <f t="shared" si="39"/>
        <v>0.18807921102489461</v>
      </c>
      <c r="F53" s="91">
        <f t="shared" ref="F53" si="68">+F52+F48</f>
        <v>136938.70000000001</v>
      </c>
      <c r="G53" s="83">
        <f t="shared" si="40"/>
        <v>0.17024612945591833</v>
      </c>
      <c r="H53" s="140">
        <f t="shared" si="41"/>
        <v>2239.539999999979</v>
      </c>
      <c r="I53" s="86">
        <f t="shared" ref="I53" si="69">+I52+I48</f>
        <v>141627.02000000002</v>
      </c>
      <c r="J53" s="83">
        <f t="shared" si="42"/>
        <v>0.18226871241079146</v>
      </c>
      <c r="K53" s="140">
        <f t="shared" si="43"/>
        <v>-2448.7800000000279</v>
      </c>
      <c r="L53" s="74"/>
      <c r="M53" s="120">
        <f t="shared" ref="M53" si="70">+M52+M48</f>
        <v>675071.14</v>
      </c>
      <c r="N53" s="126">
        <f t="shared" si="44"/>
        <v>0.13390243208928965</v>
      </c>
      <c r="O53" s="91">
        <f t="shared" ref="O53" si="71">+O52+O48</f>
        <v>676336.77000000014</v>
      </c>
      <c r="P53" s="83">
        <f t="shared" si="57"/>
        <v>0.12820193340410213</v>
      </c>
      <c r="Q53" s="140">
        <f t="shared" si="46"/>
        <v>-1265.6300000001211</v>
      </c>
      <c r="R53" s="86">
        <f t="shared" ref="R53" si="72">+R52+R48</f>
        <v>690322.40999999992</v>
      </c>
      <c r="S53" s="83">
        <f t="shared" si="58"/>
        <v>0.13237234310984838</v>
      </c>
      <c r="T53" s="140">
        <f t="shared" si="48"/>
        <v>-15251.269999999902</v>
      </c>
    </row>
    <row r="54" spans="2:20" x14ac:dyDescent="0.25">
      <c r="B54" s="14"/>
      <c r="C54" s="16"/>
      <c r="D54" s="48"/>
      <c r="E54" s="32"/>
      <c r="F54" s="48"/>
      <c r="G54" s="32"/>
      <c r="H54" s="16"/>
      <c r="I54" s="16"/>
      <c r="J54" s="32"/>
      <c r="K54" s="49"/>
      <c r="L54" s="74"/>
      <c r="M54" s="16"/>
      <c r="N54" s="32"/>
      <c r="O54" s="48"/>
      <c r="P54" s="32"/>
      <c r="Q54" s="16"/>
      <c r="R54" s="16"/>
      <c r="S54" s="32"/>
      <c r="T54" s="49"/>
    </row>
    <row r="55" spans="2:20" x14ac:dyDescent="0.25">
      <c r="B55" s="14"/>
      <c r="C55" s="15" t="s">
        <v>51</v>
      </c>
      <c r="D55" s="48"/>
      <c r="E55" s="32"/>
      <c r="F55" s="48"/>
      <c r="G55" s="32"/>
      <c r="H55" s="16"/>
      <c r="I55" s="16"/>
      <c r="J55" s="32"/>
      <c r="K55" s="49"/>
      <c r="L55" s="74"/>
      <c r="M55" s="16"/>
      <c r="N55" s="32"/>
      <c r="O55" s="48"/>
      <c r="P55" s="32"/>
      <c r="Q55" s="16"/>
      <c r="R55" s="16"/>
      <c r="S55" s="32"/>
      <c r="T55" s="49"/>
    </row>
    <row r="56" spans="2:20" x14ac:dyDescent="0.25">
      <c r="B56" s="14" t="s">
        <v>109</v>
      </c>
      <c r="C56" s="17" t="s">
        <v>432</v>
      </c>
      <c r="D56" s="36">
        <v>0</v>
      </c>
      <c r="E56" s="51">
        <f t="shared" ref="E56:E84" si="73">IFERROR(D56/D$31,"")</f>
        <v>0</v>
      </c>
      <c r="F56" s="36">
        <v>0</v>
      </c>
      <c r="G56" s="51">
        <f t="shared" ref="G56:G84" si="74">IFERROR(F56/F$31,"")</f>
        <v>0</v>
      </c>
      <c r="H56" s="137">
        <f t="shared" ref="H56:H84" si="75">+D56-F56</f>
        <v>0</v>
      </c>
      <c r="I56" s="36">
        <v>0</v>
      </c>
      <c r="J56" s="51">
        <f t="shared" ref="J56:J84" si="76">IFERROR(I56/I$31,"")</f>
        <v>0</v>
      </c>
      <c r="K56" s="137">
        <f t="shared" ref="K56:K84" si="77">+D56-I56</f>
        <v>0</v>
      </c>
      <c r="L56" s="74"/>
      <c r="M56" s="89">
        <v>0</v>
      </c>
      <c r="N56" s="51">
        <f t="shared" ref="N56:N84" si="78">IFERROR(M56/M$31,"")</f>
        <v>0</v>
      </c>
      <c r="O56" s="36">
        <v>0</v>
      </c>
      <c r="P56" s="51">
        <f t="shared" ref="P56:P84" si="79">IFERROR(O56/O$31,"")</f>
        <v>0</v>
      </c>
      <c r="Q56" s="137">
        <f t="shared" ref="Q56:Q84" si="80">+M56-O56</f>
        <v>0</v>
      </c>
      <c r="R56" s="36">
        <v>0</v>
      </c>
      <c r="S56" s="51">
        <f t="shared" ref="S56:S84" si="81">IFERROR(R56/R$31,"")</f>
        <v>0</v>
      </c>
      <c r="T56" s="137">
        <f t="shared" ref="T56:T84" si="82">+M56-R56</f>
        <v>0</v>
      </c>
    </row>
    <row r="57" spans="2:20" x14ac:dyDescent="0.25">
      <c r="B57" s="14" t="s">
        <v>162</v>
      </c>
      <c r="C57" s="17" t="s">
        <v>371</v>
      </c>
      <c r="D57" s="36">
        <v>0</v>
      </c>
      <c r="E57" s="51">
        <f t="shared" si="73"/>
        <v>0</v>
      </c>
      <c r="F57" s="36">
        <v>0</v>
      </c>
      <c r="G57" s="51">
        <f t="shared" si="74"/>
        <v>0</v>
      </c>
      <c r="H57" s="137">
        <f t="shared" si="75"/>
        <v>0</v>
      </c>
      <c r="I57" s="36">
        <v>0</v>
      </c>
      <c r="J57" s="51">
        <f t="shared" si="76"/>
        <v>0</v>
      </c>
      <c r="K57" s="137">
        <f t="shared" si="77"/>
        <v>0</v>
      </c>
      <c r="L57" s="74"/>
      <c r="M57" s="89">
        <v>0</v>
      </c>
      <c r="N57" s="51">
        <f t="shared" si="78"/>
        <v>0</v>
      </c>
      <c r="O57" s="36">
        <v>0</v>
      </c>
      <c r="P57" s="51">
        <f t="shared" si="79"/>
        <v>0</v>
      </c>
      <c r="Q57" s="137">
        <f t="shared" si="80"/>
        <v>0</v>
      </c>
      <c r="R57" s="36">
        <v>0</v>
      </c>
      <c r="S57" s="51">
        <f t="shared" si="81"/>
        <v>0</v>
      </c>
      <c r="T57" s="137">
        <f t="shared" si="82"/>
        <v>0</v>
      </c>
    </row>
    <row r="58" spans="2:20" x14ac:dyDescent="0.25">
      <c r="B58" s="14" t="s">
        <v>216</v>
      </c>
      <c r="C58" s="17" t="s">
        <v>418</v>
      </c>
      <c r="D58" s="36">
        <v>0</v>
      </c>
      <c r="E58" s="51">
        <f t="shared" si="73"/>
        <v>0</v>
      </c>
      <c r="F58" s="36">
        <v>0</v>
      </c>
      <c r="G58" s="51">
        <f t="shared" si="74"/>
        <v>0</v>
      </c>
      <c r="H58" s="137">
        <f t="shared" si="75"/>
        <v>0</v>
      </c>
      <c r="I58" s="36">
        <v>0</v>
      </c>
      <c r="J58" s="51">
        <f t="shared" si="76"/>
        <v>0</v>
      </c>
      <c r="K58" s="137">
        <f t="shared" si="77"/>
        <v>0</v>
      </c>
      <c r="L58" s="74"/>
      <c r="M58" s="89">
        <v>0</v>
      </c>
      <c r="N58" s="51">
        <f t="shared" si="78"/>
        <v>0</v>
      </c>
      <c r="O58" s="36">
        <v>0</v>
      </c>
      <c r="P58" s="51">
        <f t="shared" si="79"/>
        <v>0</v>
      </c>
      <c r="Q58" s="137">
        <f t="shared" si="80"/>
        <v>0</v>
      </c>
      <c r="R58" s="36">
        <v>0</v>
      </c>
      <c r="S58" s="51">
        <f t="shared" si="81"/>
        <v>0</v>
      </c>
      <c r="T58" s="137">
        <f t="shared" si="82"/>
        <v>0</v>
      </c>
    </row>
    <row r="59" spans="2:20" x14ac:dyDescent="0.25">
      <c r="B59" s="14" t="s">
        <v>217</v>
      </c>
      <c r="C59" s="17" t="s">
        <v>419</v>
      </c>
      <c r="D59" s="36">
        <v>643.17999999999995</v>
      </c>
      <c r="E59" s="51">
        <f t="shared" si="73"/>
        <v>8.6916451125543563E-4</v>
      </c>
      <c r="F59" s="36">
        <v>558.24</v>
      </c>
      <c r="G59" s="51">
        <f t="shared" si="74"/>
        <v>6.9402001996128084E-4</v>
      </c>
      <c r="H59" s="137">
        <f t="shared" si="75"/>
        <v>84.939999999999941</v>
      </c>
      <c r="I59" s="36">
        <v>579.26</v>
      </c>
      <c r="J59" s="51">
        <f t="shared" si="76"/>
        <v>7.4548609686961602E-4</v>
      </c>
      <c r="K59" s="137">
        <f t="shared" si="77"/>
        <v>63.919999999999959</v>
      </c>
      <c r="L59" s="74"/>
      <c r="M59" s="89">
        <v>2369.98</v>
      </c>
      <c r="N59" s="51">
        <f t="shared" si="78"/>
        <v>4.7009280533452327E-4</v>
      </c>
      <c r="O59" s="36">
        <v>2888.32</v>
      </c>
      <c r="P59" s="51">
        <f t="shared" si="79"/>
        <v>5.4749087246836543E-4</v>
      </c>
      <c r="Q59" s="137">
        <f t="shared" si="80"/>
        <v>-518.34000000000015</v>
      </c>
      <c r="R59" s="36">
        <v>2421.34</v>
      </c>
      <c r="S59" s="51">
        <f t="shared" si="81"/>
        <v>4.6430254128009598E-4</v>
      </c>
      <c r="T59" s="137">
        <f t="shared" si="82"/>
        <v>-51.360000000000127</v>
      </c>
    </row>
    <row r="60" spans="2:20" x14ac:dyDescent="0.25">
      <c r="B60" s="14" t="s">
        <v>191</v>
      </c>
      <c r="C60" s="17" t="s">
        <v>373</v>
      </c>
      <c r="D60" s="36">
        <v>3310.72</v>
      </c>
      <c r="E60" s="51">
        <f t="shared" si="73"/>
        <v>4.4739580377244252E-3</v>
      </c>
      <c r="F60" s="36">
        <v>3768.12</v>
      </c>
      <c r="G60" s="51">
        <f t="shared" si="74"/>
        <v>4.6846351347386451E-3</v>
      </c>
      <c r="H60" s="137">
        <f t="shared" si="75"/>
        <v>-457.40000000000009</v>
      </c>
      <c r="I60" s="36">
        <v>4549.7</v>
      </c>
      <c r="J60" s="51">
        <f t="shared" si="76"/>
        <v>5.8552948502014505E-3</v>
      </c>
      <c r="K60" s="137">
        <f t="shared" si="77"/>
        <v>-1238.98</v>
      </c>
      <c r="L60" s="74"/>
      <c r="M60" s="89">
        <v>18541.77</v>
      </c>
      <c r="N60" s="51">
        <f t="shared" si="78"/>
        <v>3.6778169753194133E-3</v>
      </c>
      <c r="O60" s="36">
        <v>19496.16</v>
      </c>
      <c r="P60" s="51">
        <f t="shared" si="79"/>
        <v>3.6955633891614663E-3</v>
      </c>
      <c r="Q60" s="137">
        <f t="shared" si="80"/>
        <v>-954.38999999999942</v>
      </c>
      <c r="R60" s="36">
        <v>21253.97</v>
      </c>
      <c r="S60" s="51">
        <f t="shared" si="81"/>
        <v>4.0755417592287417E-3</v>
      </c>
      <c r="T60" s="137">
        <f t="shared" si="82"/>
        <v>-2712.2000000000007</v>
      </c>
    </row>
    <row r="61" spans="2:20" x14ac:dyDescent="0.25">
      <c r="B61" s="14" t="s">
        <v>69</v>
      </c>
      <c r="C61" s="17" t="s">
        <v>362</v>
      </c>
      <c r="D61" s="36">
        <v>1642.54</v>
      </c>
      <c r="E61" s="51">
        <f t="shared" si="73"/>
        <v>2.2196546477152635E-3</v>
      </c>
      <c r="F61" s="36">
        <v>1570.05</v>
      </c>
      <c r="G61" s="51">
        <f t="shared" si="74"/>
        <v>1.9519313061411023E-3</v>
      </c>
      <c r="H61" s="137">
        <f t="shared" si="75"/>
        <v>72.490000000000009</v>
      </c>
      <c r="I61" s="36">
        <v>1092.99</v>
      </c>
      <c r="J61" s="51">
        <f t="shared" si="76"/>
        <v>1.4066375185884088E-3</v>
      </c>
      <c r="K61" s="137">
        <f t="shared" si="77"/>
        <v>549.54999999999995</v>
      </c>
      <c r="L61" s="74"/>
      <c r="M61" s="89">
        <v>7263.05</v>
      </c>
      <c r="N61" s="51">
        <f t="shared" si="78"/>
        <v>1.4406482543248926E-3</v>
      </c>
      <c r="O61" s="36">
        <v>8123.4</v>
      </c>
      <c r="P61" s="51">
        <f t="shared" si="79"/>
        <v>1.5398180788172774E-3</v>
      </c>
      <c r="Q61" s="137">
        <f t="shared" si="80"/>
        <v>-860.34999999999945</v>
      </c>
      <c r="R61" s="36">
        <v>7669.27</v>
      </c>
      <c r="S61" s="51">
        <f t="shared" si="81"/>
        <v>1.4706160847973442E-3</v>
      </c>
      <c r="T61" s="137">
        <f t="shared" si="82"/>
        <v>-406.22000000000025</v>
      </c>
    </row>
    <row r="62" spans="2:20" x14ac:dyDescent="0.25">
      <c r="B62" s="14" t="s">
        <v>147</v>
      </c>
      <c r="C62" s="17" t="s">
        <v>369</v>
      </c>
      <c r="D62" s="36">
        <v>3019.47</v>
      </c>
      <c r="E62" s="51">
        <f t="shared" si="73"/>
        <v>4.0803758929078178E-3</v>
      </c>
      <c r="F62" s="36">
        <v>3349.44</v>
      </c>
      <c r="G62" s="51">
        <f t="shared" si="74"/>
        <v>4.1641201197676848E-3</v>
      </c>
      <c r="H62" s="137">
        <f t="shared" si="75"/>
        <v>-329.97000000000025</v>
      </c>
      <c r="I62" s="36">
        <v>4532.8599999999997</v>
      </c>
      <c r="J62" s="51">
        <f t="shared" si="76"/>
        <v>5.8336223959127298E-3</v>
      </c>
      <c r="K62" s="137">
        <f t="shared" si="77"/>
        <v>-1513.3899999999999</v>
      </c>
      <c r="L62" s="74"/>
      <c r="M62" s="89">
        <v>16447.77</v>
      </c>
      <c r="N62" s="51">
        <f t="shared" si="78"/>
        <v>3.2624656498354467E-3</v>
      </c>
      <c r="O62" s="36">
        <v>17329.919999999998</v>
      </c>
      <c r="P62" s="51">
        <f t="shared" si="79"/>
        <v>3.2849452348101917E-3</v>
      </c>
      <c r="Q62" s="137">
        <f t="shared" si="80"/>
        <v>-882.14999999999782</v>
      </c>
      <c r="R62" s="36">
        <v>18036.599999999999</v>
      </c>
      <c r="S62" s="51">
        <f t="shared" si="81"/>
        <v>3.458596981858218E-3</v>
      </c>
      <c r="T62" s="137">
        <f t="shared" si="82"/>
        <v>-1588.8299999999981</v>
      </c>
    </row>
    <row r="63" spans="2:20" x14ac:dyDescent="0.25">
      <c r="B63" s="14" t="s">
        <v>103</v>
      </c>
      <c r="C63" s="17" t="s">
        <v>366</v>
      </c>
      <c r="D63" s="36">
        <v>0</v>
      </c>
      <c r="E63" s="51">
        <f t="shared" si="73"/>
        <v>0</v>
      </c>
      <c r="F63" s="36">
        <v>0</v>
      </c>
      <c r="G63" s="51">
        <f t="shared" si="74"/>
        <v>0</v>
      </c>
      <c r="H63" s="137">
        <f t="shared" si="75"/>
        <v>0</v>
      </c>
      <c r="I63" s="36">
        <v>0</v>
      </c>
      <c r="J63" s="51">
        <f t="shared" si="76"/>
        <v>0</v>
      </c>
      <c r="K63" s="137">
        <f t="shared" si="77"/>
        <v>0</v>
      </c>
      <c r="L63" s="74"/>
      <c r="M63" s="89">
        <v>0</v>
      </c>
      <c r="N63" s="51">
        <f t="shared" si="78"/>
        <v>0</v>
      </c>
      <c r="O63" s="36">
        <v>0</v>
      </c>
      <c r="P63" s="51">
        <f t="shared" si="79"/>
        <v>0</v>
      </c>
      <c r="Q63" s="137">
        <f t="shared" si="80"/>
        <v>0</v>
      </c>
      <c r="R63" s="36">
        <v>-3600</v>
      </c>
      <c r="S63" s="51">
        <f t="shared" si="81"/>
        <v>-6.9031575433782337E-4</v>
      </c>
      <c r="T63" s="137">
        <f t="shared" si="82"/>
        <v>3600</v>
      </c>
    </row>
    <row r="64" spans="2:20" x14ac:dyDescent="0.25">
      <c r="B64" s="14" t="s">
        <v>118</v>
      </c>
      <c r="C64" s="17" t="s">
        <v>433</v>
      </c>
      <c r="D64" s="36">
        <v>0</v>
      </c>
      <c r="E64" s="51">
        <f t="shared" si="73"/>
        <v>0</v>
      </c>
      <c r="F64" s="36">
        <v>0</v>
      </c>
      <c r="G64" s="51">
        <f t="shared" si="74"/>
        <v>0</v>
      </c>
      <c r="H64" s="137">
        <f t="shared" si="75"/>
        <v>0</v>
      </c>
      <c r="I64" s="36">
        <v>0</v>
      </c>
      <c r="J64" s="51">
        <f t="shared" si="76"/>
        <v>0</v>
      </c>
      <c r="K64" s="137">
        <f t="shared" si="77"/>
        <v>0</v>
      </c>
      <c r="L64" s="74"/>
      <c r="M64" s="89">
        <v>0</v>
      </c>
      <c r="N64" s="51">
        <f t="shared" si="78"/>
        <v>0</v>
      </c>
      <c r="O64" s="36">
        <v>0</v>
      </c>
      <c r="P64" s="51">
        <f t="shared" si="79"/>
        <v>0</v>
      </c>
      <c r="Q64" s="137">
        <f t="shared" si="80"/>
        <v>0</v>
      </c>
      <c r="R64" s="36">
        <v>0</v>
      </c>
      <c r="S64" s="51">
        <f t="shared" si="81"/>
        <v>0</v>
      </c>
      <c r="T64" s="137">
        <f t="shared" si="82"/>
        <v>0</v>
      </c>
    </row>
    <row r="65" spans="2:20" x14ac:dyDescent="0.25">
      <c r="B65" s="14" t="s">
        <v>122</v>
      </c>
      <c r="C65" s="17" t="s">
        <v>367</v>
      </c>
      <c r="D65" s="36">
        <v>0</v>
      </c>
      <c r="E65" s="51">
        <f t="shared" si="73"/>
        <v>0</v>
      </c>
      <c r="F65" s="36">
        <v>0</v>
      </c>
      <c r="G65" s="51">
        <f t="shared" si="74"/>
        <v>0</v>
      </c>
      <c r="H65" s="137">
        <f t="shared" si="75"/>
        <v>0</v>
      </c>
      <c r="I65" s="36">
        <v>0</v>
      </c>
      <c r="J65" s="51">
        <f t="shared" si="76"/>
        <v>0</v>
      </c>
      <c r="K65" s="137">
        <f t="shared" si="77"/>
        <v>0</v>
      </c>
      <c r="L65" s="74"/>
      <c r="M65" s="89">
        <v>0</v>
      </c>
      <c r="N65" s="51">
        <f t="shared" si="78"/>
        <v>0</v>
      </c>
      <c r="O65" s="36">
        <v>0</v>
      </c>
      <c r="P65" s="51">
        <f t="shared" si="79"/>
        <v>0</v>
      </c>
      <c r="Q65" s="137">
        <f t="shared" si="80"/>
        <v>0</v>
      </c>
      <c r="R65" s="36">
        <v>0</v>
      </c>
      <c r="S65" s="51">
        <f t="shared" si="81"/>
        <v>0</v>
      </c>
      <c r="T65" s="137">
        <f t="shared" si="82"/>
        <v>0</v>
      </c>
    </row>
    <row r="66" spans="2:20" x14ac:dyDescent="0.25">
      <c r="B66" s="14" t="s">
        <v>159</v>
      </c>
      <c r="C66" s="17" t="s">
        <v>61</v>
      </c>
      <c r="D66" s="36">
        <v>19530.79</v>
      </c>
      <c r="E66" s="51">
        <f t="shared" si="73"/>
        <v>2.6393030791975112E-2</v>
      </c>
      <c r="F66" s="36">
        <v>21945.81</v>
      </c>
      <c r="G66" s="51">
        <f t="shared" si="74"/>
        <v>2.7283662034727853E-2</v>
      </c>
      <c r="H66" s="137">
        <f t="shared" si="75"/>
        <v>-2415.0200000000004</v>
      </c>
      <c r="I66" s="36">
        <v>22728.87</v>
      </c>
      <c r="J66" s="51">
        <f t="shared" si="76"/>
        <v>2.9251211170384473E-2</v>
      </c>
      <c r="K66" s="137">
        <f t="shared" si="77"/>
        <v>-3198.0799999999981</v>
      </c>
      <c r="L66" s="74"/>
      <c r="M66" s="89">
        <v>102067.84</v>
      </c>
      <c r="N66" s="51">
        <f t="shared" si="78"/>
        <v>2.0245469261358857E-2</v>
      </c>
      <c r="O66" s="36">
        <v>113547.08</v>
      </c>
      <c r="P66" s="51">
        <f t="shared" si="79"/>
        <v>2.1523234923912615E-2</v>
      </c>
      <c r="Q66" s="137">
        <f t="shared" si="80"/>
        <v>-11479.240000000005</v>
      </c>
      <c r="R66" s="36">
        <v>115194.49</v>
      </c>
      <c r="S66" s="51">
        <f t="shared" si="81"/>
        <v>2.208904757219746E-2</v>
      </c>
      <c r="T66" s="137">
        <f t="shared" si="82"/>
        <v>-13126.650000000009</v>
      </c>
    </row>
    <row r="67" spans="2:20" x14ac:dyDescent="0.25">
      <c r="B67" s="14" t="s">
        <v>83</v>
      </c>
      <c r="C67" s="17" t="s">
        <v>365</v>
      </c>
      <c r="D67" s="36">
        <v>3875</v>
      </c>
      <c r="E67" s="51">
        <f t="shared" si="73"/>
        <v>5.2365006391909162E-3</v>
      </c>
      <c r="F67" s="36">
        <v>3488</v>
      </c>
      <c r="G67" s="51">
        <f t="shared" si="74"/>
        <v>4.3363818960034167E-3</v>
      </c>
      <c r="H67" s="137">
        <f t="shared" si="75"/>
        <v>387</v>
      </c>
      <c r="I67" s="36">
        <v>3109</v>
      </c>
      <c r="J67" s="51">
        <f t="shared" si="76"/>
        <v>4.0011674812133347E-3</v>
      </c>
      <c r="K67" s="137">
        <f t="shared" si="77"/>
        <v>766</v>
      </c>
      <c r="L67" s="74"/>
      <c r="M67" s="89">
        <v>16916.25</v>
      </c>
      <c r="N67" s="51">
        <f t="shared" si="78"/>
        <v>3.3553900953763867E-3</v>
      </c>
      <c r="O67" s="36">
        <v>18740</v>
      </c>
      <c r="P67" s="51">
        <f t="shared" si="79"/>
        <v>3.5522306912174439E-3</v>
      </c>
      <c r="Q67" s="137">
        <f t="shared" si="80"/>
        <v>-1823.75</v>
      </c>
      <c r="R67" s="36">
        <v>14114.49</v>
      </c>
      <c r="S67" s="51">
        <f t="shared" si="81"/>
        <v>2.7065152254010182E-3</v>
      </c>
      <c r="T67" s="137">
        <f t="shared" si="82"/>
        <v>2801.76</v>
      </c>
    </row>
    <row r="68" spans="2:20" x14ac:dyDescent="0.25">
      <c r="B68" s="28" t="s">
        <v>328</v>
      </c>
      <c r="C68" s="17" t="s">
        <v>377</v>
      </c>
      <c r="D68" s="36">
        <v>0</v>
      </c>
      <c r="E68" s="51">
        <f t="shared" si="73"/>
        <v>0</v>
      </c>
      <c r="F68" s="36">
        <v>0</v>
      </c>
      <c r="G68" s="51">
        <f t="shared" si="74"/>
        <v>0</v>
      </c>
      <c r="H68" s="137">
        <f t="shared" si="75"/>
        <v>0</v>
      </c>
      <c r="I68" s="36">
        <v>-99.09</v>
      </c>
      <c r="J68" s="51">
        <f t="shared" si="76"/>
        <v>-1.275251481870149E-4</v>
      </c>
      <c r="K68" s="137">
        <f t="shared" si="77"/>
        <v>99.09</v>
      </c>
      <c r="L68" s="74"/>
      <c r="M68" s="89">
        <v>0</v>
      </c>
      <c r="N68" s="51">
        <f t="shared" si="78"/>
        <v>0</v>
      </c>
      <c r="O68" s="36">
        <v>0</v>
      </c>
      <c r="P68" s="51">
        <f t="shared" si="79"/>
        <v>0</v>
      </c>
      <c r="Q68" s="137">
        <f t="shared" si="80"/>
        <v>0</v>
      </c>
      <c r="R68" s="36">
        <v>3993.13</v>
      </c>
      <c r="S68" s="51">
        <f t="shared" si="81"/>
        <v>7.6570015225527579E-4</v>
      </c>
      <c r="T68" s="137">
        <f t="shared" si="82"/>
        <v>-3993.13</v>
      </c>
    </row>
    <row r="69" spans="2:20" x14ac:dyDescent="0.25">
      <c r="B69" s="28" t="s">
        <v>323</v>
      </c>
      <c r="C69" s="17" t="s">
        <v>376</v>
      </c>
      <c r="D69" s="36">
        <v>0</v>
      </c>
      <c r="E69" s="51">
        <f t="shared" si="73"/>
        <v>0</v>
      </c>
      <c r="F69" s="36">
        <v>0</v>
      </c>
      <c r="G69" s="51">
        <f t="shared" si="74"/>
        <v>0</v>
      </c>
      <c r="H69" s="137">
        <f t="shared" si="75"/>
        <v>0</v>
      </c>
      <c r="I69" s="36">
        <v>0</v>
      </c>
      <c r="J69" s="51">
        <f t="shared" si="76"/>
        <v>0</v>
      </c>
      <c r="K69" s="137">
        <f t="shared" si="77"/>
        <v>0</v>
      </c>
      <c r="L69" s="74"/>
      <c r="M69" s="89">
        <v>0</v>
      </c>
      <c r="N69" s="51">
        <f t="shared" si="78"/>
        <v>0</v>
      </c>
      <c r="O69" s="36">
        <v>0</v>
      </c>
      <c r="P69" s="51">
        <f t="shared" si="79"/>
        <v>0</v>
      </c>
      <c r="Q69" s="137">
        <f t="shared" si="80"/>
        <v>0</v>
      </c>
      <c r="R69" s="36">
        <v>4651.3900000000003</v>
      </c>
      <c r="S69" s="51">
        <f t="shared" si="81"/>
        <v>8.9192438793594681E-4</v>
      </c>
      <c r="T69" s="137">
        <f t="shared" si="82"/>
        <v>-4651.3900000000003</v>
      </c>
    </row>
    <row r="70" spans="2:20" x14ac:dyDescent="0.25">
      <c r="B70" s="28" t="s">
        <v>76</v>
      </c>
      <c r="C70" s="17" t="s">
        <v>420</v>
      </c>
      <c r="D70" s="36">
        <v>4406.45</v>
      </c>
      <c r="E70" s="51">
        <f t="shared" si="73"/>
        <v>5.9546782558871766E-3</v>
      </c>
      <c r="F70" s="36">
        <v>4814.82</v>
      </c>
      <c r="G70" s="51">
        <f t="shared" si="74"/>
        <v>5.9859226721660471E-3</v>
      </c>
      <c r="H70" s="137">
        <f t="shared" si="75"/>
        <v>-408.36999999999989</v>
      </c>
      <c r="I70" s="36">
        <v>9769.61</v>
      </c>
      <c r="J70" s="51">
        <f t="shared" si="76"/>
        <v>1.2573125067911422E-2</v>
      </c>
      <c r="K70" s="137">
        <f t="shared" si="77"/>
        <v>-5363.1600000000008</v>
      </c>
      <c r="L70" s="74"/>
      <c r="M70" s="89">
        <v>20128.11</v>
      </c>
      <c r="N70" s="51">
        <f t="shared" si="78"/>
        <v>3.992472382037769E-3</v>
      </c>
      <c r="O70" s="36">
        <v>24911.759999999998</v>
      </c>
      <c r="P70" s="51">
        <f t="shared" si="79"/>
        <v>4.7221087750396514E-3</v>
      </c>
      <c r="Q70" s="137">
        <f t="shared" si="80"/>
        <v>-4783.6499999999978</v>
      </c>
      <c r="R70" s="36">
        <v>30356.81</v>
      </c>
      <c r="S70" s="51">
        <f t="shared" si="81"/>
        <v>5.8210511651222169E-3</v>
      </c>
      <c r="T70" s="137">
        <f t="shared" si="82"/>
        <v>-10228.700000000001</v>
      </c>
    </row>
    <row r="71" spans="2:20" x14ac:dyDescent="0.25">
      <c r="B71" s="10" t="s">
        <v>78</v>
      </c>
      <c r="C71" s="17" t="s">
        <v>364</v>
      </c>
      <c r="D71" s="36">
        <v>9282.66</v>
      </c>
      <c r="E71" s="51">
        <f t="shared" si="73"/>
        <v>1.2544169038294696E-2</v>
      </c>
      <c r="F71" s="36">
        <v>5477.73</v>
      </c>
      <c r="G71" s="51">
        <f t="shared" si="74"/>
        <v>6.8100714458700674E-3</v>
      </c>
      <c r="H71" s="137">
        <f t="shared" si="75"/>
        <v>3804.9300000000003</v>
      </c>
      <c r="I71" s="36">
        <v>6047.94</v>
      </c>
      <c r="J71" s="51">
        <f t="shared" si="76"/>
        <v>7.7834740612188402E-3</v>
      </c>
      <c r="K71" s="137">
        <f t="shared" si="77"/>
        <v>3234.7200000000003</v>
      </c>
      <c r="L71" s="74"/>
      <c r="M71" s="89">
        <v>49070.35</v>
      </c>
      <c r="N71" s="51">
        <f t="shared" si="78"/>
        <v>9.733254495922718E-3</v>
      </c>
      <c r="O71" s="36">
        <v>28341.64</v>
      </c>
      <c r="P71" s="51">
        <f t="shared" si="79"/>
        <v>5.3722541860958348E-3</v>
      </c>
      <c r="Q71" s="137">
        <f t="shared" si="80"/>
        <v>20728.71</v>
      </c>
      <c r="R71" s="36">
        <v>26674.18</v>
      </c>
      <c r="S71" s="51">
        <f t="shared" si="81"/>
        <v>5.1148907466785788E-3</v>
      </c>
      <c r="T71" s="137">
        <f t="shared" si="82"/>
        <v>22396.17</v>
      </c>
    </row>
    <row r="72" spans="2:20" x14ac:dyDescent="0.25">
      <c r="B72" s="28" t="s">
        <v>311</v>
      </c>
      <c r="C72" s="17" t="s">
        <v>375</v>
      </c>
      <c r="D72" s="36">
        <v>0</v>
      </c>
      <c r="E72" s="51">
        <f t="shared" si="73"/>
        <v>0</v>
      </c>
      <c r="F72" s="36">
        <v>0</v>
      </c>
      <c r="G72" s="51">
        <f t="shared" si="74"/>
        <v>0</v>
      </c>
      <c r="H72" s="137">
        <f t="shared" si="75"/>
        <v>0</v>
      </c>
      <c r="I72" s="36">
        <v>0</v>
      </c>
      <c r="J72" s="51">
        <f t="shared" si="76"/>
        <v>0</v>
      </c>
      <c r="K72" s="137">
        <f t="shared" si="77"/>
        <v>0</v>
      </c>
      <c r="L72" s="74"/>
      <c r="M72" s="89">
        <v>0</v>
      </c>
      <c r="N72" s="51">
        <f t="shared" si="78"/>
        <v>0</v>
      </c>
      <c r="O72" s="36">
        <v>1200</v>
      </c>
      <c r="P72" s="51">
        <f t="shared" si="79"/>
        <v>2.2746407841307004E-4</v>
      </c>
      <c r="Q72" s="137">
        <f t="shared" si="80"/>
        <v>-1200</v>
      </c>
      <c r="R72" s="36">
        <v>0</v>
      </c>
      <c r="S72" s="51">
        <f t="shared" si="81"/>
        <v>0</v>
      </c>
      <c r="T72" s="137">
        <f t="shared" si="82"/>
        <v>0</v>
      </c>
    </row>
    <row r="73" spans="2:20" x14ac:dyDescent="0.25">
      <c r="B73" s="28" t="s">
        <v>334</v>
      </c>
      <c r="C73" s="17" t="s">
        <v>378</v>
      </c>
      <c r="D73" s="36">
        <v>0</v>
      </c>
      <c r="E73" s="51">
        <f t="shared" si="73"/>
        <v>0</v>
      </c>
      <c r="F73" s="36">
        <v>0</v>
      </c>
      <c r="G73" s="51">
        <f t="shared" si="74"/>
        <v>0</v>
      </c>
      <c r="H73" s="137">
        <f t="shared" si="75"/>
        <v>0</v>
      </c>
      <c r="I73" s="36">
        <v>0</v>
      </c>
      <c r="J73" s="51">
        <f t="shared" si="76"/>
        <v>0</v>
      </c>
      <c r="K73" s="137">
        <f t="shared" si="77"/>
        <v>0</v>
      </c>
      <c r="L73" s="74"/>
      <c r="M73" s="89">
        <v>-1000</v>
      </c>
      <c r="N73" s="51">
        <f t="shared" si="78"/>
        <v>-1.9835306852147413E-4</v>
      </c>
      <c r="O73" s="36">
        <v>1000</v>
      </c>
      <c r="P73" s="51">
        <f t="shared" si="79"/>
        <v>1.8955339867755835E-4</v>
      </c>
      <c r="Q73" s="137">
        <f t="shared" si="80"/>
        <v>-2000</v>
      </c>
      <c r="R73" s="36">
        <v>0</v>
      </c>
      <c r="S73" s="51">
        <f t="shared" si="81"/>
        <v>0</v>
      </c>
      <c r="T73" s="137">
        <f t="shared" si="82"/>
        <v>-1000</v>
      </c>
    </row>
    <row r="74" spans="2:20" x14ac:dyDescent="0.25">
      <c r="B74" s="28" t="s">
        <v>338</v>
      </c>
      <c r="C74" s="17" t="s">
        <v>421</v>
      </c>
      <c r="D74" s="36">
        <v>0</v>
      </c>
      <c r="E74" s="51">
        <f t="shared" si="73"/>
        <v>0</v>
      </c>
      <c r="F74" s="36">
        <v>0</v>
      </c>
      <c r="G74" s="51">
        <f t="shared" si="74"/>
        <v>0</v>
      </c>
      <c r="H74" s="137">
        <f t="shared" si="75"/>
        <v>0</v>
      </c>
      <c r="I74" s="36">
        <v>0</v>
      </c>
      <c r="J74" s="51">
        <f t="shared" si="76"/>
        <v>0</v>
      </c>
      <c r="K74" s="137">
        <f t="shared" si="77"/>
        <v>0</v>
      </c>
      <c r="L74" s="74"/>
      <c r="M74" s="89">
        <v>0</v>
      </c>
      <c r="N74" s="51">
        <f t="shared" si="78"/>
        <v>0</v>
      </c>
      <c r="O74" s="36">
        <v>0</v>
      </c>
      <c r="P74" s="51">
        <f t="shared" si="79"/>
        <v>0</v>
      </c>
      <c r="Q74" s="137">
        <f t="shared" si="80"/>
        <v>0</v>
      </c>
      <c r="R74" s="36">
        <v>0</v>
      </c>
      <c r="S74" s="51">
        <f t="shared" si="81"/>
        <v>0</v>
      </c>
      <c r="T74" s="137">
        <f t="shared" si="82"/>
        <v>0</v>
      </c>
    </row>
    <row r="75" spans="2:20" x14ac:dyDescent="0.25">
      <c r="B75" s="28" t="s">
        <v>167</v>
      </c>
      <c r="C75" s="17" t="s">
        <v>372</v>
      </c>
      <c r="D75" s="36">
        <v>3766.61</v>
      </c>
      <c r="E75" s="51">
        <f t="shared" si="73"/>
        <v>5.0900272703439733E-3</v>
      </c>
      <c r="F75" s="36">
        <v>4508</v>
      </c>
      <c r="G75" s="51">
        <f t="shared" si="74"/>
        <v>5.6044752256833152E-3</v>
      </c>
      <c r="H75" s="137">
        <f t="shared" si="75"/>
        <v>-741.38999999999987</v>
      </c>
      <c r="I75" s="36">
        <v>4417.04</v>
      </c>
      <c r="J75" s="51">
        <f t="shared" si="76"/>
        <v>5.6845663593498063E-3</v>
      </c>
      <c r="K75" s="137">
        <f t="shared" si="77"/>
        <v>-650.42999999999984</v>
      </c>
      <c r="L75" s="74"/>
      <c r="M75" s="89">
        <v>26595.75</v>
      </c>
      <c r="N75" s="51">
        <f t="shared" si="78"/>
        <v>5.275348622129996E-3</v>
      </c>
      <c r="O75" s="36">
        <v>27540</v>
      </c>
      <c r="P75" s="51">
        <f t="shared" si="79"/>
        <v>5.2203005995799575E-3</v>
      </c>
      <c r="Q75" s="137">
        <f t="shared" si="80"/>
        <v>-944.25</v>
      </c>
      <c r="R75" s="36">
        <v>27798.51</v>
      </c>
      <c r="S75" s="51">
        <f t="shared" si="81"/>
        <v>5.3304859444770905E-3</v>
      </c>
      <c r="T75" s="137">
        <f t="shared" si="82"/>
        <v>-1202.7599999999984</v>
      </c>
    </row>
    <row r="76" spans="2:20" x14ac:dyDescent="0.25">
      <c r="B76" s="10" t="s">
        <v>77</v>
      </c>
      <c r="C76" s="17" t="s">
        <v>422</v>
      </c>
      <c r="D76" s="36">
        <v>2543.58</v>
      </c>
      <c r="E76" s="51">
        <f t="shared" si="73"/>
        <v>3.4372795602150268E-3</v>
      </c>
      <c r="F76" s="36">
        <v>2446.67</v>
      </c>
      <c r="G76" s="51">
        <f t="shared" si="74"/>
        <v>3.0417704969881538E-3</v>
      </c>
      <c r="H76" s="137">
        <f t="shared" si="75"/>
        <v>96.909999999999854</v>
      </c>
      <c r="I76" s="36">
        <v>2423.69</v>
      </c>
      <c r="J76" s="51">
        <f t="shared" si="76"/>
        <v>3.1191989747642161E-3</v>
      </c>
      <c r="K76" s="137">
        <f t="shared" si="77"/>
        <v>119.88999999999987</v>
      </c>
      <c r="L76" s="74"/>
      <c r="M76" s="89">
        <v>12475.38</v>
      </c>
      <c r="N76" s="51">
        <f t="shared" si="78"/>
        <v>2.4745299039714277E-3</v>
      </c>
      <c r="O76" s="36">
        <v>12233.35</v>
      </c>
      <c r="P76" s="51">
        <f t="shared" si="79"/>
        <v>2.3188730697121089E-3</v>
      </c>
      <c r="Q76" s="137">
        <f t="shared" si="80"/>
        <v>242.02999999999884</v>
      </c>
      <c r="R76" s="36">
        <v>12118.45</v>
      </c>
      <c r="S76" s="51">
        <f t="shared" si="81"/>
        <v>2.3237658203208878E-3</v>
      </c>
      <c r="T76" s="137">
        <f t="shared" si="82"/>
        <v>356.92999999999847</v>
      </c>
    </row>
    <row r="77" spans="2:20" x14ac:dyDescent="0.25">
      <c r="B77" s="28" t="s">
        <v>73</v>
      </c>
      <c r="C77" s="17" t="s">
        <v>379</v>
      </c>
      <c r="D77" s="36">
        <v>40777.279999999999</v>
      </c>
      <c r="E77" s="51">
        <f t="shared" si="73"/>
        <v>5.5104581363733404E-2</v>
      </c>
      <c r="F77" s="36">
        <v>32193.360000000001</v>
      </c>
      <c r="G77" s="51">
        <f t="shared" si="74"/>
        <v>4.0023710858807501E-2</v>
      </c>
      <c r="H77" s="137">
        <f t="shared" si="75"/>
        <v>8583.9199999999983</v>
      </c>
      <c r="I77" s="36">
        <v>44994.29</v>
      </c>
      <c r="J77" s="51">
        <f t="shared" si="76"/>
        <v>5.7905979410833822E-2</v>
      </c>
      <c r="K77" s="137">
        <f t="shared" si="77"/>
        <v>-4217.010000000002</v>
      </c>
      <c r="L77" s="74"/>
      <c r="M77" s="89">
        <v>256261.49</v>
      </c>
      <c r="N77" s="51">
        <f t="shared" si="78"/>
        <v>5.0830252885385056E-2</v>
      </c>
      <c r="O77" s="36">
        <v>223643.46</v>
      </c>
      <c r="P77" s="51">
        <f t="shared" si="79"/>
        <v>4.2392377935008572E-2</v>
      </c>
      <c r="Q77" s="137">
        <f t="shared" si="80"/>
        <v>32618.03</v>
      </c>
      <c r="R77" s="36">
        <v>222492.36</v>
      </c>
      <c r="S77" s="51">
        <f t="shared" si="81"/>
        <v>4.2663883702167379E-2</v>
      </c>
      <c r="T77" s="137">
        <f t="shared" si="82"/>
        <v>33769.130000000005</v>
      </c>
    </row>
    <row r="78" spans="2:20" x14ac:dyDescent="0.25">
      <c r="B78" s="28" t="s">
        <v>74</v>
      </c>
      <c r="C78" s="17" t="s">
        <v>363</v>
      </c>
      <c r="D78" s="36">
        <v>4741.2</v>
      </c>
      <c r="E78" s="51">
        <f t="shared" si="73"/>
        <v>6.4070443433630886E-3</v>
      </c>
      <c r="F78" s="36">
        <v>4655.13</v>
      </c>
      <c r="G78" s="51">
        <f t="shared" si="74"/>
        <v>5.7873914723458675E-3</v>
      </c>
      <c r="H78" s="137">
        <f t="shared" si="75"/>
        <v>86.069999999999709</v>
      </c>
      <c r="I78" s="36">
        <v>11466.91</v>
      </c>
      <c r="J78" s="51">
        <f t="shared" si="76"/>
        <v>1.4757487102605339E-2</v>
      </c>
      <c r="K78" s="137">
        <f t="shared" si="77"/>
        <v>-6725.71</v>
      </c>
      <c r="L78" s="74"/>
      <c r="M78" s="89">
        <v>38183.15</v>
      </c>
      <c r="N78" s="51">
        <f t="shared" si="78"/>
        <v>7.5737449683157248E-3</v>
      </c>
      <c r="O78" s="36">
        <v>23004.23</v>
      </c>
      <c r="P78" s="51">
        <f t="shared" si="79"/>
        <v>4.3605299804602487E-3</v>
      </c>
      <c r="Q78" s="137">
        <f t="shared" si="80"/>
        <v>15178.920000000002</v>
      </c>
      <c r="R78" s="36">
        <v>47244.54</v>
      </c>
      <c r="S78" s="51">
        <f t="shared" si="81"/>
        <v>9.0593472967898537E-3</v>
      </c>
      <c r="T78" s="137">
        <f t="shared" si="82"/>
        <v>-9061.39</v>
      </c>
    </row>
    <row r="79" spans="2:20" x14ac:dyDescent="0.25">
      <c r="B79" s="28" t="s">
        <v>146</v>
      </c>
      <c r="C79" s="17" t="s">
        <v>368</v>
      </c>
      <c r="D79" s="36">
        <v>0</v>
      </c>
      <c r="E79" s="51">
        <f t="shared" si="73"/>
        <v>0</v>
      </c>
      <c r="F79" s="36">
        <v>244.23</v>
      </c>
      <c r="G79" s="51">
        <f t="shared" si="74"/>
        <v>3.0363375873306036E-4</v>
      </c>
      <c r="H79" s="137">
        <f t="shared" si="75"/>
        <v>-244.23</v>
      </c>
      <c r="I79" s="36">
        <v>1796.64</v>
      </c>
      <c r="J79" s="51">
        <f t="shared" si="76"/>
        <v>2.312208923591871E-3</v>
      </c>
      <c r="K79" s="137">
        <f t="shared" si="77"/>
        <v>-1796.64</v>
      </c>
      <c r="L79" s="74"/>
      <c r="M79" s="89">
        <v>1558.34</v>
      </c>
      <c r="N79" s="51">
        <f t="shared" si="78"/>
        <v>3.0910152079975396E-4</v>
      </c>
      <c r="O79" s="36">
        <v>1263.6400000000001</v>
      </c>
      <c r="P79" s="51">
        <f t="shared" si="79"/>
        <v>2.3952725670490986E-4</v>
      </c>
      <c r="Q79" s="137">
        <f t="shared" si="80"/>
        <v>294.69999999999982</v>
      </c>
      <c r="R79" s="36">
        <v>3838.2</v>
      </c>
      <c r="S79" s="51">
        <f t="shared" si="81"/>
        <v>7.3599164674984267E-4</v>
      </c>
      <c r="T79" s="137">
        <f t="shared" si="82"/>
        <v>-2279.8599999999997</v>
      </c>
    </row>
    <row r="80" spans="2:20" x14ac:dyDescent="0.25">
      <c r="B80" s="28" t="s">
        <v>148</v>
      </c>
      <c r="C80" s="17" t="s">
        <v>370</v>
      </c>
      <c r="D80" s="36">
        <v>35.25</v>
      </c>
      <c r="E80" s="51">
        <f t="shared" si="73"/>
        <v>4.7635263879091559E-5</v>
      </c>
      <c r="F80" s="36">
        <v>0</v>
      </c>
      <c r="G80" s="51">
        <f t="shared" si="74"/>
        <v>0</v>
      </c>
      <c r="H80" s="137">
        <f t="shared" si="75"/>
        <v>35.25</v>
      </c>
      <c r="I80" s="36">
        <v>0</v>
      </c>
      <c r="J80" s="51">
        <f t="shared" si="76"/>
        <v>0</v>
      </c>
      <c r="K80" s="137">
        <f t="shared" si="77"/>
        <v>35.25</v>
      </c>
      <c r="L80" s="74"/>
      <c r="M80" s="89">
        <v>35.25</v>
      </c>
      <c r="N80" s="51">
        <f t="shared" si="78"/>
        <v>6.9919456653819634E-6</v>
      </c>
      <c r="O80" s="36">
        <v>0</v>
      </c>
      <c r="P80" s="51">
        <f t="shared" si="79"/>
        <v>0</v>
      </c>
      <c r="Q80" s="137">
        <f t="shared" si="80"/>
        <v>35.25</v>
      </c>
      <c r="R80" s="36">
        <v>0</v>
      </c>
      <c r="S80" s="51">
        <f t="shared" si="81"/>
        <v>0</v>
      </c>
      <c r="T80" s="137">
        <f t="shared" si="82"/>
        <v>35.25</v>
      </c>
    </row>
    <row r="81" spans="2:20" x14ac:dyDescent="0.25">
      <c r="B81" s="28" t="s">
        <v>174</v>
      </c>
      <c r="C81" s="17" t="s">
        <v>359</v>
      </c>
      <c r="D81" s="36">
        <v>0</v>
      </c>
      <c r="E81" s="51">
        <f t="shared" si="73"/>
        <v>0</v>
      </c>
      <c r="F81" s="36">
        <v>0</v>
      </c>
      <c r="G81" s="51">
        <f t="shared" si="74"/>
        <v>0</v>
      </c>
      <c r="H81" s="137">
        <f t="shared" si="75"/>
        <v>0</v>
      </c>
      <c r="I81" s="36">
        <v>0</v>
      </c>
      <c r="J81" s="51">
        <f t="shared" si="76"/>
        <v>0</v>
      </c>
      <c r="K81" s="137">
        <f t="shared" si="77"/>
        <v>0</v>
      </c>
      <c r="L81" s="74"/>
      <c r="M81" s="89">
        <v>0</v>
      </c>
      <c r="N81" s="51">
        <f t="shared" si="78"/>
        <v>0</v>
      </c>
      <c r="O81" s="36">
        <v>0</v>
      </c>
      <c r="P81" s="51">
        <f t="shared" si="79"/>
        <v>0</v>
      </c>
      <c r="Q81" s="137">
        <f t="shared" si="80"/>
        <v>0</v>
      </c>
      <c r="R81" s="36">
        <v>0</v>
      </c>
      <c r="S81" s="51">
        <f t="shared" si="81"/>
        <v>0</v>
      </c>
      <c r="T81" s="137">
        <f t="shared" si="82"/>
        <v>0</v>
      </c>
    </row>
    <row r="82" spans="2:20" x14ac:dyDescent="0.25">
      <c r="B82" s="28" t="s">
        <v>89</v>
      </c>
      <c r="C82" s="17" t="s">
        <v>423</v>
      </c>
      <c r="D82" s="36">
        <v>9197.59</v>
      </c>
      <c r="E82" s="51">
        <f t="shared" si="73"/>
        <v>1.2429209268133155E-2</v>
      </c>
      <c r="F82" s="36">
        <v>8043.57</v>
      </c>
      <c r="G82" s="51">
        <f t="shared" si="74"/>
        <v>9.9999975135424898E-3</v>
      </c>
      <c r="H82" s="137">
        <f t="shared" si="75"/>
        <v>1154.0200000000004</v>
      </c>
      <c r="I82" s="36">
        <v>8153.12</v>
      </c>
      <c r="J82" s="51">
        <f t="shared" si="76"/>
        <v>1.0492762500620799E-2</v>
      </c>
      <c r="K82" s="137">
        <f t="shared" si="77"/>
        <v>1044.4700000000003</v>
      </c>
      <c r="L82" s="74"/>
      <c r="M82" s="89">
        <v>50420.61</v>
      </c>
      <c r="N82" s="51">
        <f t="shared" si="78"/>
        <v>1.0001082710224525E-2</v>
      </c>
      <c r="O82" s="36">
        <v>52755.57</v>
      </c>
      <c r="P82" s="51">
        <f t="shared" si="79"/>
        <v>9.999997592671837E-3</v>
      </c>
      <c r="Q82" s="137">
        <f t="shared" si="80"/>
        <v>-2334.9599999999991</v>
      </c>
      <c r="R82" s="36">
        <v>52150.05</v>
      </c>
      <c r="S82" s="51">
        <f t="shared" si="81"/>
        <v>1.0000000306807004E-2</v>
      </c>
      <c r="T82" s="137">
        <f t="shared" si="82"/>
        <v>-1729.4400000000023</v>
      </c>
    </row>
    <row r="83" spans="2:20" x14ac:dyDescent="0.25">
      <c r="B83" s="28" t="s">
        <v>223</v>
      </c>
      <c r="C83" s="17" t="s">
        <v>424</v>
      </c>
      <c r="D83" s="306">
        <v>492.8</v>
      </c>
      <c r="E83" s="127">
        <f t="shared" si="73"/>
        <v>6.6594774580471829E-4</v>
      </c>
      <c r="F83" s="90">
        <v>320</v>
      </c>
      <c r="G83" s="127">
        <f t="shared" si="74"/>
        <v>3.9783320146820339E-4</v>
      </c>
      <c r="H83" s="139">
        <f t="shared" si="75"/>
        <v>172.8</v>
      </c>
      <c r="I83" s="85">
        <v>134.4</v>
      </c>
      <c r="J83" s="82">
        <f t="shared" si="76"/>
        <v>1.7296780619976591E-4</v>
      </c>
      <c r="K83" s="141">
        <f t="shared" si="77"/>
        <v>358.4</v>
      </c>
      <c r="L83" s="74"/>
      <c r="M83" s="298">
        <v>2406.4</v>
      </c>
      <c r="N83" s="127">
        <f t="shared" si="78"/>
        <v>4.7731682409007535E-4</v>
      </c>
      <c r="O83" s="90">
        <v>1644.8</v>
      </c>
      <c r="P83" s="127">
        <f t="shared" si="79"/>
        <v>3.1177743014484797E-4</v>
      </c>
      <c r="Q83" s="139">
        <f t="shared" si="80"/>
        <v>761.60000000000014</v>
      </c>
      <c r="R83" s="85">
        <v>1388</v>
      </c>
      <c r="S83" s="82">
        <f t="shared" si="81"/>
        <v>2.6615507417247189E-4</v>
      </c>
      <c r="T83" s="141">
        <f t="shared" si="82"/>
        <v>1018.4000000000001</v>
      </c>
    </row>
    <row r="84" spans="2:20" x14ac:dyDescent="0.25">
      <c r="B84" s="14" t="s">
        <v>282</v>
      </c>
      <c r="C84" s="18" t="s">
        <v>425</v>
      </c>
      <c r="D84" s="318">
        <f t="shared" ref="D84" si="83">SUM(D56:D83)</f>
        <v>107265.12</v>
      </c>
      <c r="E84" s="126">
        <f t="shared" si="73"/>
        <v>0.1449532566304233</v>
      </c>
      <c r="F84" s="91">
        <f>SUM(F56:F83)</f>
        <v>97383.170000000013</v>
      </c>
      <c r="G84" s="126">
        <f t="shared" si="74"/>
        <v>0.1210695571569447</v>
      </c>
      <c r="H84" s="140">
        <f t="shared" si="75"/>
        <v>9881.9499999999825</v>
      </c>
      <c r="I84" s="86">
        <f>SUM(I56:I83)</f>
        <v>125697.23</v>
      </c>
      <c r="J84" s="83">
        <f t="shared" si="76"/>
        <v>0.16176766457207886</v>
      </c>
      <c r="K84" s="140">
        <f t="shared" si="77"/>
        <v>-18432.11</v>
      </c>
      <c r="L84" s="74"/>
      <c r="M84" s="120">
        <f t="shared" ref="M84" si="84">SUM(M56:M83)</f>
        <v>619741.49</v>
      </c>
      <c r="N84" s="126">
        <f t="shared" si="78"/>
        <v>0.12292762623157047</v>
      </c>
      <c r="O84" s="91">
        <f>SUM(O56:O83)</f>
        <v>577663.32999999996</v>
      </c>
      <c r="P84" s="126">
        <f t="shared" si="79"/>
        <v>0.10949804749289595</v>
      </c>
      <c r="Q84" s="140">
        <f t="shared" si="80"/>
        <v>42078.160000000033</v>
      </c>
      <c r="R84" s="86">
        <f>SUM(R56:R83)</f>
        <v>607795.78</v>
      </c>
      <c r="S84" s="83">
        <f t="shared" si="81"/>
        <v>0.11654750065390161</v>
      </c>
      <c r="T84" s="140">
        <f t="shared" si="82"/>
        <v>11945.709999999963</v>
      </c>
    </row>
    <row r="85" spans="2:20" x14ac:dyDescent="0.25">
      <c r="B85" s="28"/>
      <c r="C85" s="16"/>
      <c r="D85" s="319"/>
      <c r="E85" s="129"/>
      <c r="F85" s="16"/>
      <c r="G85" s="32"/>
      <c r="H85" s="16"/>
      <c r="I85" s="16"/>
      <c r="J85" s="32"/>
      <c r="K85" s="79"/>
      <c r="L85" s="74"/>
      <c r="M85" s="128"/>
      <c r="N85" s="129"/>
      <c r="O85" s="16"/>
      <c r="P85" s="32"/>
      <c r="Q85" s="16"/>
      <c r="R85" s="16"/>
      <c r="S85" s="32"/>
      <c r="T85" s="79"/>
    </row>
    <row r="86" spans="2:20" x14ac:dyDescent="0.25">
      <c r="B86" s="14" t="s">
        <v>20</v>
      </c>
      <c r="C86" s="18" t="s">
        <v>426</v>
      </c>
      <c r="D86" s="317">
        <f t="shared" ref="D86" si="85">+D53+D84</f>
        <v>246443.36</v>
      </c>
      <c r="E86" s="125">
        <f t="shared" ref="E86:E87" si="86">IFERROR(D86/D$31,"")</f>
        <v>0.33303246765531791</v>
      </c>
      <c r="F86" s="142">
        <f t="shared" ref="F86" si="87">+F53+F84</f>
        <v>234321.87000000002</v>
      </c>
      <c r="G86" s="135">
        <f t="shared" ref="G86:G87" si="88">IFERROR(F86/F$31,"")</f>
        <v>0.29131568661286306</v>
      </c>
      <c r="H86" s="131">
        <f>+D86-F86</f>
        <v>12121.489999999962</v>
      </c>
      <c r="I86" s="133">
        <f t="shared" ref="I86" si="89">+I53+I84</f>
        <v>267324.25</v>
      </c>
      <c r="J86" s="135">
        <f t="shared" ref="J86:J87" si="90">IFERROR(I86/I$31,"")</f>
        <v>0.34403637698287032</v>
      </c>
      <c r="K86" s="233">
        <f>+D86-I86</f>
        <v>-20880.890000000014</v>
      </c>
      <c r="L86" s="74"/>
      <c r="M86" s="119">
        <f t="shared" ref="M86" si="91">+M53+M84</f>
        <v>1294812.6299999999</v>
      </c>
      <c r="N86" s="125">
        <f t="shared" ref="N86:N87" si="92">IFERROR(M86/M$31,"")</f>
        <v>0.25683005832086009</v>
      </c>
      <c r="O86" s="142">
        <f t="shared" ref="O86" si="93">+O53+O84</f>
        <v>1254000.1000000001</v>
      </c>
      <c r="P86" s="135">
        <f t="shared" ref="P86:P87" si="94">IFERROR(O86/O$31,"")</f>
        <v>0.23769998089699806</v>
      </c>
      <c r="Q86" s="131">
        <f>+M86-O86</f>
        <v>40812.529999999795</v>
      </c>
      <c r="R86" s="133">
        <f t="shared" ref="R86" si="95">+R53+R84</f>
        <v>1298118.19</v>
      </c>
      <c r="S86" s="135">
        <f t="shared" ref="S86:S87" si="96">IFERROR(R86/R$31,"")</f>
        <v>0.24891984376374998</v>
      </c>
      <c r="T86" s="233">
        <f>+M86-R86</f>
        <v>-3305.5600000000559</v>
      </c>
    </row>
    <row r="87" spans="2:20" ht="15.75" thickBot="1" x14ac:dyDescent="0.3">
      <c r="B87" s="14" t="s">
        <v>106</v>
      </c>
      <c r="C87" s="18" t="s">
        <v>427</v>
      </c>
      <c r="D87" s="320">
        <f t="shared" ref="D87" si="97">+D31-D86</f>
        <v>493554.64000000013</v>
      </c>
      <c r="E87" s="88">
        <f t="shared" si="86"/>
        <v>0.66696753234468209</v>
      </c>
      <c r="F87" s="143">
        <f>+F31-F86</f>
        <v>570035.33000000007</v>
      </c>
      <c r="G87" s="136">
        <f t="shared" si="88"/>
        <v>0.708684313387137</v>
      </c>
      <c r="H87" s="132">
        <f>+D87-F87</f>
        <v>-76480.689999999944</v>
      </c>
      <c r="I87" s="134">
        <f>+I31-I86</f>
        <v>509698.95999999996</v>
      </c>
      <c r="J87" s="136">
        <f t="shared" si="90"/>
        <v>0.65596362301712963</v>
      </c>
      <c r="K87" s="132">
        <f>+D87-I87</f>
        <v>-16144.319999999832</v>
      </c>
      <c r="L87" s="297"/>
      <c r="M87" s="236">
        <f t="shared" ref="M87" si="98">+M31-M86</f>
        <v>3746702.5200000005</v>
      </c>
      <c r="N87" s="88">
        <f t="shared" si="92"/>
        <v>0.74316994167913986</v>
      </c>
      <c r="O87" s="143">
        <f>+O31-O86</f>
        <v>4021558.1699999995</v>
      </c>
      <c r="P87" s="136">
        <f t="shared" si="94"/>
        <v>0.76230001910300194</v>
      </c>
      <c r="Q87" s="132">
        <f>+M87-O87</f>
        <v>-274855.64999999898</v>
      </c>
      <c r="R87" s="134">
        <f>+R31-R86</f>
        <v>3916886.65</v>
      </c>
      <c r="S87" s="136">
        <f t="shared" si="96"/>
        <v>0.75108015623625002</v>
      </c>
      <c r="T87" s="132">
        <f>+M87-R87</f>
        <v>-170184.12999999942</v>
      </c>
    </row>
    <row r="88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130F-2ADD-47E2-981A-EA39968965B8}">
  <dimension ref="B1:V112"/>
  <sheetViews>
    <sheetView showGridLines="0" zoomScale="80" zoomScaleNormal="80" workbookViewId="0">
      <pane xSplit="3" ySplit="8" topLeftCell="D96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24.140625" style="9" hidden="1" customWidth="1" outlineLevel="1"/>
    <col min="3" max="3" width="44.140625" bestFit="1" customWidth="1" collapsed="1"/>
    <col min="4" max="4" width="12.28515625" bestFit="1" customWidth="1"/>
    <col min="6" max="6" width="13.140625" customWidth="1"/>
    <col min="7" max="7" width="9" customWidth="1"/>
    <col min="8" max="8" width="11.85546875" customWidth="1"/>
    <col min="9" max="9" width="13.140625" customWidth="1"/>
    <col min="10" max="10" width="9" customWidth="1"/>
    <col min="11" max="11" width="11.85546875" customWidth="1"/>
    <col min="13" max="13" width="12.28515625" bestFit="1" customWidth="1"/>
    <col min="15" max="15" width="13.140625" customWidth="1"/>
    <col min="16" max="16" width="9" customWidth="1"/>
    <col min="17" max="17" width="11.85546875" customWidth="1"/>
    <col min="18" max="18" width="13.140625" customWidth="1"/>
    <col min="19" max="19" width="9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L6" s="297"/>
      <c r="M6" s="294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L7" s="297"/>
      <c r="M7" s="327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L8" s="297"/>
      <c r="M8" s="40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9</v>
      </c>
      <c r="D9" s="179"/>
      <c r="E9" s="93"/>
      <c r="F9" s="179"/>
      <c r="G9" s="30"/>
      <c r="H9" s="79"/>
      <c r="I9" s="20"/>
      <c r="J9" s="20"/>
      <c r="K9" s="93"/>
      <c r="L9" s="74"/>
      <c r="M9" s="20"/>
      <c r="N9" s="93"/>
      <c r="O9" s="179"/>
      <c r="P9" s="30"/>
      <c r="Q9" s="79"/>
      <c r="R9" s="20"/>
      <c r="S9" s="20"/>
      <c r="T9" s="93"/>
    </row>
    <row r="10" spans="2:22" x14ac:dyDescent="0.25">
      <c r="C10" s="22" t="s">
        <v>81</v>
      </c>
      <c r="D10" s="48"/>
      <c r="E10" s="49"/>
      <c r="F10" s="48"/>
      <c r="H10" s="49"/>
      <c r="I10" s="16"/>
      <c r="J10" s="16"/>
      <c r="K10" s="49"/>
      <c r="L10" s="74"/>
      <c r="M10" s="16"/>
      <c r="N10" s="49"/>
      <c r="O10" s="48"/>
      <c r="Q10" s="49"/>
      <c r="R10" s="16"/>
      <c r="S10" s="16"/>
      <c r="T10" s="49"/>
    </row>
    <row r="11" spans="2:22" x14ac:dyDescent="0.25">
      <c r="B11" s="28" t="s">
        <v>347</v>
      </c>
      <c r="C11" s="17" t="s">
        <v>532</v>
      </c>
      <c r="D11" s="296">
        <v>194532.93</v>
      </c>
      <c r="E11" s="51">
        <f t="shared" ref="E11:E17" si="0">IFERROR(D11/D$35,"")</f>
        <v>0.59689821343473581</v>
      </c>
      <c r="F11" s="36">
        <v>230175</v>
      </c>
      <c r="G11" s="51">
        <f t="shared" ref="G11:G17" si="1">IFERROR(F11/F$35,"")</f>
        <v>0.50351539827417213</v>
      </c>
      <c r="H11" s="137">
        <f t="shared" ref="H11:H17" si="2">+D11-F11</f>
        <v>-35642.070000000007</v>
      </c>
      <c r="I11" s="36">
        <v>156046.51</v>
      </c>
      <c r="J11" s="51">
        <f t="shared" ref="J11:J17" si="3">IFERROR(I11/I$35,"")</f>
        <v>0.56494068750384441</v>
      </c>
      <c r="K11" s="137">
        <f t="shared" ref="K11:K17" si="4">+D11-I11</f>
        <v>38486.419999999984</v>
      </c>
      <c r="L11" s="74"/>
      <c r="M11" s="89">
        <v>1100339.46</v>
      </c>
      <c r="N11" s="51">
        <f t="shared" ref="N11:N17" si="5">IFERROR(M11/M$35,"")</f>
        <v>0.59481919010014173</v>
      </c>
      <c r="O11" s="36">
        <v>1131810</v>
      </c>
      <c r="P11" s="51">
        <f t="shared" ref="P11:P17" si="6">IFERROR(O11/O$35,"")</f>
        <v>0.50306468494179002</v>
      </c>
      <c r="Q11" s="137">
        <f t="shared" ref="Q11:Q17" si="7">+M11-O11</f>
        <v>-31470.540000000037</v>
      </c>
      <c r="R11" s="36">
        <v>653759.80000000005</v>
      </c>
      <c r="S11" s="51">
        <f t="shared" ref="S11:S17" si="8">IFERROR(R11/R$35,"")</f>
        <v>0.54803439168344148</v>
      </c>
      <c r="T11" s="137">
        <f t="shared" ref="T11:T17" si="9">+M11-R11</f>
        <v>446579.65999999992</v>
      </c>
    </row>
    <row r="12" spans="2:22" x14ac:dyDescent="0.25">
      <c r="B12" s="28" t="s">
        <v>345</v>
      </c>
      <c r="C12" s="17" t="s">
        <v>535</v>
      </c>
      <c r="D12" s="36">
        <v>2788</v>
      </c>
      <c r="E12" s="51">
        <f t="shared" si="0"/>
        <v>8.5546041950637537E-3</v>
      </c>
      <c r="F12" s="36">
        <v>2477.19</v>
      </c>
      <c r="G12" s="51">
        <f t="shared" si="1"/>
        <v>5.4189347646390641E-3</v>
      </c>
      <c r="H12" s="137">
        <f t="shared" si="2"/>
        <v>310.80999999999995</v>
      </c>
      <c r="I12" s="36">
        <v>2372.39</v>
      </c>
      <c r="J12" s="51">
        <f t="shared" si="3"/>
        <v>8.5888472457810502E-3</v>
      </c>
      <c r="K12" s="137">
        <f t="shared" si="4"/>
        <v>415.61000000000013</v>
      </c>
      <c r="L12" s="74"/>
      <c r="M12" s="89">
        <v>14868.25</v>
      </c>
      <c r="N12" s="51">
        <f t="shared" si="5"/>
        <v>8.037447301223237E-3</v>
      </c>
      <c r="O12" s="36">
        <v>12816.92</v>
      </c>
      <c r="P12" s="51">
        <f t="shared" si="6"/>
        <v>5.6968394180331745E-3</v>
      </c>
      <c r="Q12" s="137">
        <f t="shared" si="7"/>
        <v>2051.33</v>
      </c>
      <c r="R12" s="36">
        <v>12384.48</v>
      </c>
      <c r="S12" s="51">
        <f t="shared" si="8"/>
        <v>1.038167376323192E-2</v>
      </c>
      <c r="T12" s="137">
        <f t="shared" si="9"/>
        <v>2483.7700000000004</v>
      </c>
    </row>
    <row r="13" spans="2:22" x14ac:dyDescent="0.25">
      <c r="B13" s="28" t="s">
        <v>613</v>
      </c>
      <c r="C13" s="17" t="s">
        <v>614</v>
      </c>
      <c r="D13" s="36">
        <v>0</v>
      </c>
      <c r="E13" s="51">
        <f t="shared" si="0"/>
        <v>0</v>
      </c>
      <c r="F13" s="36">
        <v>0</v>
      </c>
      <c r="G13" s="51">
        <f t="shared" si="1"/>
        <v>0</v>
      </c>
      <c r="H13" s="137">
        <f t="shared" si="2"/>
        <v>0</v>
      </c>
      <c r="I13" s="36">
        <v>0</v>
      </c>
      <c r="J13" s="51">
        <f t="shared" si="3"/>
        <v>0</v>
      </c>
      <c r="K13" s="137">
        <f t="shared" si="4"/>
        <v>0</v>
      </c>
      <c r="L13" s="74"/>
      <c r="M13" s="89">
        <v>0</v>
      </c>
      <c r="N13" s="51">
        <f t="shared" si="5"/>
        <v>0</v>
      </c>
      <c r="O13" s="36">
        <v>0</v>
      </c>
      <c r="P13" s="51">
        <f t="shared" si="6"/>
        <v>0</v>
      </c>
      <c r="Q13" s="137">
        <f t="shared" si="7"/>
        <v>0</v>
      </c>
      <c r="R13" s="36">
        <v>0</v>
      </c>
      <c r="S13" s="51">
        <f t="shared" si="8"/>
        <v>0</v>
      </c>
      <c r="T13" s="137">
        <f t="shared" si="9"/>
        <v>0</v>
      </c>
    </row>
    <row r="14" spans="2:22" x14ac:dyDescent="0.25">
      <c r="B14" s="28" t="s">
        <v>620</v>
      </c>
      <c r="C14" s="17" t="s">
        <v>615</v>
      </c>
      <c r="D14" s="36">
        <v>0</v>
      </c>
      <c r="E14" s="51">
        <f t="shared" si="0"/>
        <v>0</v>
      </c>
      <c r="F14" s="36">
        <v>0</v>
      </c>
      <c r="G14" s="51">
        <f t="shared" si="1"/>
        <v>0</v>
      </c>
      <c r="H14" s="137">
        <f t="shared" si="2"/>
        <v>0</v>
      </c>
      <c r="I14" s="36">
        <v>0</v>
      </c>
      <c r="J14" s="51">
        <f t="shared" si="3"/>
        <v>0</v>
      </c>
      <c r="K14" s="137">
        <f t="shared" si="4"/>
        <v>0</v>
      </c>
      <c r="L14" s="74"/>
      <c r="M14" s="89">
        <v>0</v>
      </c>
      <c r="N14" s="51">
        <f t="shared" si="5"/>
        <v>0</v>
      </c>
      <c r="O14" s="36">
        <v>0</v>
      </c>
      <c r="P14" s="51">
        <f t="shared" si="6"/>
        <v>0</v>
      </c>
      <c r="Q14" s="137">
        <f t="shared" si="7"/>
        <v>0</v>
      </c>
      <c r="R14" s="36">
        <v>0</v>
      </c>
      <c r="S14" s="51">
        <f t="shared" si="8"/>
        <v>0</v>
      </c>
      <c r="T14" s="137">
        <f t="shared" si="9"/>
        <v>0</v>
      </c>
    </row>
    <row r="15" spans="2:22" x14ac:dyDescent="0.25">
      <c r="B15" s="28" t="s">
        <v>227</v>
      </c>
      <c r="C15" s="17" t="s">
        <v>533</v>
      </c>
      <c r="D15" s="36">
        <v>0</v>
      </c>
      <c r="E15" s="51">
        <f t="shared" si="0"/>
        <v>0</v>
      </c>
      <c r="F15" s="36">
        <v>0</v>
      </c>
      <c r="G15" s="51">
        <f t="shared" si="1"/>
        <v>0</v>
      </c>
      <c r="H15" s="137">
        <f t="shared" si="2"/>
        <v>0</v>
      </c>
      <c r="I15" s="36">
        <v>0</v>
      </c>
      <c r="J15" s="51">
        <f t="shared" si="3"/>
        <v>0</v>
      </c>
      <c r="K15" s="137">
        <f t="shared" si="4"/>
        <v>0</v>
      </c>
      <c r="L15" s="74"/>
      <c r="M15" s="89">
        <v>0</v>
      </c>
      <c r="N15" s="51">
        <f t="shared" si="5"/>
        <v>0</v>
      </c>
      <c r="O15" s="36">
        <v>0</v>
      </c>
      <c r="P15" s="51">
        <f t="shared" si="6"/>
        <v>0</v>
      </c>
      <c r="Q15" s="137">
        <f t="shared" si="7"/>
        <v>0</v>
      </c>
      <c r="R15" s="36">
        <v>0</v>
      </c>
      <c r="S15" s="51">
        <f t="shared" si="8"/>
        <v>0</v>
      </c>
      <c r="T15" s="137">
        <f t="shared" si="9"/>
        <v>0</v>
      </c>
    </row>
    <row r="16" spans="2:22" x14ac:dyDescent="0.25">
      <c r="B16" s="28" t="s">
        <v>246</v>
      </c>
      <c r="C16" s="17" t="s">
        <v>534</v>
      </c>
      <c r="D16" s="90">
        <v>0</v>
      </c>
      <c r="E16" s="253">
        <f t="shared" si="0"/>
        <v>0</v>
      </c>
      <c r="F16" s="159">
        <v>0</v>
      </c>
      <c r="G16" s="253">
        <f t="shared" si="1"/>
        <v>0</v>
      </c>
      <c r="H16" s="141">
        <f t="shared" si="2"/>
        <v>0</v>
      </c>
      <c r="I16" s="36">
        <v>0</v>
      </c>
      <c r="J16" s="253">
        <f t="shared" si="3"/>
        <v>0</v>
      </c>
      <c r="K16" s="141">
        <f t="shared" si="4"/>
        <v>0</v>
      </c>
      <c r="L16" s="74"/>
      <c r="M16" s="85">
        <v>0</v>
      </c>
      <c r="N16" s="253">
        <f t="shared" si="5"/>
        <v>0</v>
      </c>
      <c r="O16" s="159">
        <v>0</v>
      </c>
      <c r="P16" s="253">
        <f t="shared" si="6"/>
        <v>0</v>
      </c>
      <c r="Q16" s="141">
        <f t="shared" si="7"/>
        <v>0</v>
      </c>
      <c r="R16" s="36">
        <v>8277.2099999999991</v>
      </c>
      <c r="S16" s="253">
        <f t="shared" si="8"/>
        <v>6.9386275313748228E-3</v>
      </c>
      <c r="T16" s="141">
        <f t="shared" si="9"/>
        <v>-8277.2099999999991</v>
      </c>
    </row>
    <row r="17" spans="2:20" x14ac:dyDescent="0.25">
      <c r="B17" s="28" t="s">
        <v>665</v>
      </c>
      <c r="C17" s="22" t="s">
        <v>536</v>
      </c>
      <c r="D17" s="103">
        <f t="shared" ref="D17" si="10">SUM(D11:D16)</f>
        <v>197320.93</v>
      </c>
      <c r="E17" s="146">
        <f t="shared" si="0"/>
        <v>0.60545281762979963</v>
      </c>
      <c r="F17" s="103">
        <f t="shared" ref="F17" si="11">SUM(F11:F16)</f>
        <v>232652.19</v>
      </c>
      <c r="G17" s="146">
        <f t="shared" si="1"/>
        <v>0.50893433303881119</v>
      </c>
      <c r="H17" s="154">
        <f t="shared" si="2"/>
        <v>-35331.260000000009</v>
      </c>
      <c r="I17" s="103">
        <f t="shared" ref="I17" si="12">SUM(I11:I16)</f>
        <v>158418.90000000002</v>
      </c>
      <c r="J17" s="146">
        <f t="shared" si="3"/>
        <v>0.57352953474962542</v>
      </c>
      <c r="K17" s="154">
        <f t="shared" si="4"/>
        <v>38902.02999999997</v>
      </c>
      <c r="L17" s="74"/>
      <c r="M17" s="152">
        <f t="shared" ref="M17" si="13">SUM(M11:M16)</f>
        <v>1115207.71</v>
      </c>
      <c r="N17" s="146">
        <f t="shared" si="5"/>
        <v>0.60285663740136497</v>
      </c>
      <c r="O17" s="103">
        <f t="shared" ref="O17" si="14">SUM(O11:O16)</f>
        <v>1144626.92</v>
      </c>
      <c r="P17" s="146">
        <f t="shared" si="6"/>
        <v>0.50876152435982314</v>
      </c>
      <c r="Q17" s="154">
        <f t="shared" si="7"/>
        <v>-29419.209999999963</v>
      </c>
      <c r="R17" s="103">
        <f t="shared" ref="R17" si="15">SUM(R11:R16)</f>
        <v>674421.49</v>
      </c>
      <c r="S17" s="146">
        <f t="shared" si="8"/>
        <v>0.56535469297804819</v>
      </c>
      <c r="T17" s="154">
        <f t="shared" si="9"/>
        <v>440786.22</v>
      </c>
    </row>
    <row r="18" spans="2:20" x14ac:dyDescent="0.25">
      <c r="B18" s="28"/>
      <c r="C18" s="22" t="s">
        <v>63</v>
      </c>
      <c r="D18" s="250"/>
      <c r="E18" s="147"/>
      <c r="F18" s="250"/>
      <c r="G18" s="114"/>
      <c r="H18" s="266"/>
      <c r="I18" s="250"/>
      <c r="K18" s="169"/>
      <c r="L18" s="297"/>
      <c r="M18" s="249"/>
      <c r="N18" s="147"/>
      <c r="O18" s="250"/>
      <c r="P18" s="114"/>
      <c r="Q18" s="266"/>
      <c r="R18" s="250"/>
      <c r="T18" s="169"/>
    </row>
    <row r="19" spans="2:20" x14ac:dyDescent="0.25">
      <c r="B19" s="28" t="s">
        <v>346</v>
      </c>
      <c r="C19" s="17" t="s">
        <v>537</v>
      </c>
      <c r="D19" s="36">
        <v>75346</v>
      </c>
      <c r="E19" s="51">
        <f t="shared" ref="E19:E24" si="16">IFERROR(D19/D$35,"")</f>
        <v>0.23118909888137504</v>
      </c>
      <c r="F19" s="36">
        <v>141075</v>
      </c>
      <c r="G19" s="51">
        <f t="shared" ref="G19:G35" si="17">IFERROR(F19/F$35,"")</f>
        <v>0.30860621184546033</v>
      </c>
      <c r="H19" s="137">
        <f t="shared" ref="H19:H27" si="18">+D19-F19</f>
        <v>-65729</v>
      </c>
      <c r="I19" s="36">
        <v>74860.22</v>
      </c>
      <c r="J19" s="51">
        <f t="shared" ref="J19:J35" si="19">IFERROR(I19/I$35,"")</f>
        <v>0.27101909650840023</v>
      </c>
      <c r="K19" s="137">
        <f t="shared" ref="K19:K27" si="20">+D19-I19</f>
        <v>485.77999999999884</v>
      </c>
      <c r="L19" s="74"/>
      <c r="M19" s="89">
        <v>421540.51</v>
      </c>
      <c r="N19" s="51">
        <f t="shared" ref="N19:N27" si="21">IFERROR(M19/M$35,"")</f>
        <v>0.22787548194681734</v>
      </c>
      <c r="O19" s="36">
        <v>693690</v>
      </c>
      <c r="P19" s="51">
        <f t="shared" ref="P19:P27" si="22">IFERROR(O19/O$35,"")</f>
        <v>0.30832996819012937</v>
      </c>
      <c r="Q19" s="137">
        <f t="shared" ref="Q19:Q27" si="23">+M19-O19</f>
        <v>-272149.49</v>
      </c>
      <c r="R19" s="36">
        <v>310229.68</v>
      </c>
      <c r="S19" s="51">
        <f t="shared" ref="S19:S27" si="24">IFERROR(R19/R$35,"")</f>
        <v>0.26005963346315986</v>
      </c>
      <c r="T19" s="137">
        <f t="shared" ref="T19:T27" si="25">+M19-R19</f>
        <v>111310.83000000002</v>
      </c>
    </row>
    <row r="20" spans="2:20" x14ac:dyDescent="0.25">
      <c r="B20" s="28" t="s">
        <v>344</v>
      </c>
      <c r="C20" s="17" t="s">
        <v>540</v>
      </c>
      <c r="D20" s="36">
        <v>2389</v>
      </c>
      <c r="E20" s="51">
        <f t="shared" si="16"/>
        <v>7.3303261915377725E-3</v>
      </c>
      <c r="F20" s="36">
        <v>2756.31</v>
      </c>
      <c r="G20" s="51">
        <f t="shared" si="17"/>
        <v>6.0295189634716343E-3</v>
      </c>
      <c r="H20" s="137">
        <f t="shared" si="18"/>
        <v>-367.30999999999995</v>
      </c>
      <c r="I20" s="36">
        <v>2132</v>
      </c>
      <c r="J20" s="51">
        <f t="shared" si="19"/>
        <v>7.7185548446946752E-3</v>
      </c>
      <c r="K20" s="137">
        <f t="shared" si="20"/>
        <v>257</v>
      </c>
      <c r="L20" s="74"/>
      <c r="M20" s="89">
        <v>14178.51</v>
      </c>
      <c r="N20" s="51">
        <f t="shared" si="21"/>
        <v>7.6645891032816015E-3</v>
      </c>
      <c r="O20" s="36">
        <v>14261.08</v>
      </c>
      <c r="P20" s="51">
        <f t="shared" si="22"/>
        <v>6.3387368172481799E-3</v>
      </c>
      <c r="Q20" s="137">
        <f t="shared" si="23"/>
        <v>-82.569999999999709</v>
      </c>
      <c r="R20" s="36">
        <v>14235.67</v>
      </c>
      <c r="S20" s="51">
        <f t="shared" si="24"/>
        <v>1.1933491090544595E-2</v>
      </c>
      <c r="T20" s="137">
        <f t="shared" si="25"/>
        <v>-57.159999999999854</v>
      </c>
    </row>
    <row r="21" spans="2:20" x14ac:dyDescent="0.25">
      <c r="B21" s="28" t="s">
        <v>618</v>
      </c>
      <c r="C21" s="17" t="s">
        <v>616</v>
      </c>
      <c r="D21" s="36">
        <v>0</v>
      </c>
      <c r="E21" s="51">
        <f t="shared" si="16"/>
        <v>0</v>
      </c>
      <c r="F21" s="36">
        <v>0</v>
      </c>
      <c r="G21" s="51">
        <f t="shared" si="17"/>
        <v>0</v>
      </c>
      <c r="H21" s="137">
        <f t="shared" si="18"/>
        <v>0</v>
      </c>
      <c r="I21" s="36">
        <v>0</v>
      </c>
      <c r="J21" s="51">
        <f t="shared" si="19"/>
        <v>0</v>
      </c>
      <c r="K21" s="137">
        <f t="shared" si="20"/>
        <v>0</v>
      </c>
      <c r="L21" s="74"/>
      <c r="M21" s="89">
        <v>0</v>
      </c>
      <c r="N21" s="51">
        <f t="shared" si="21"/>
        <v>0</v>
      </c>
      <c r="O21" s="36">
        <v>0</v>
      </c>
      <c r="P21" s="51">
        <f t="shared" si="22"/>
        <v>0</v>
      </c>
      <c r="Q21" s="137">
        <f t="shared" si="23"/>
        <v>0</v>
      </c>
      <c r="R21" s="36">
        <v>0</v>
      </c>
      <c r="S21" s="51">
        <f t="shared" si="24"/>
        <v>0</v>
      </c>
      <c r="T21" s="137">
        <f t="shared" si="25"/>
        <v>0</v>
      </c>
    </row>
    <row r="22" spans="2:20" x14ac:dyDescent="0.25">
      <c r="B22" s="28" t="s">
        <v>619</v>
      </c>
      <c r="C22" s="17" t="s">
        <v>617</v>
      </c>
      <c r="D22" s="36">
        <v>0</v>
      </c>
      <c r="E22" s="51">
        <f t="shared" si="16"/>
        <v>0</v>
      </c>
      <c r="F22" s="36">
        <v>0</v>
      </c>
      <c r="G22" s="51">
        <f t="shared" si="17"/>
        <v>0</v>
      </c>
      <c r="H22" s="137">
        <f t="shared" si="18"/>
        <v>0</v>
      </c>
      <c r="I22" s="36">
        <v>0</v>
      </c>
      <c r="J22" s="51">
        <f t="shared" si="19"/>
        <v>0</v>
      </c>
      <c r="K22" s="137">
        <f t="shared" si="20"/>
        <v>0</v>
      </c>
      <c r="L22" s="74"/>
      <c r="M22" s="89">
        <v>0</v>
      </c>
      <c r="N22" s="51">
        <f t="shared" si="21"/>
        <v>0</v>
      </c>
      <c r="O22" s="36">
        <v>0</v>
      </c>
      <c r="P22" s="51">
        <f t="shared" si="22"/>
        <v>0</v>
      </c>
      <c r="Q22" s="137">
        <f t="shared" si="23"/>
        <v>0</v>
      </c>
      <c r="R22" s="36">
        <v>0</v>
      </c>
      <c r="S22" s="51">
        <f t="shared" si="24"/>
        <v>0</v>
      </c>
      <c r="T22" s="137">
        <f t="shared" si="25"/>
        <v>0</v>
      </c>
    </row>
    <row r="23" spans="2:20" x14ac:dyDescent="0.25">
      <c r="B23" s="28" t="s">
        <v>226</v>
      </c>
      <c r="C23" s="17" t="s">
        <v>538</v>
      </c>
      <c r="D23" s="36">
        <v>0</v>
      </c>
      <c r="E23" s="51">
        <f t="shared" si="16"/>
        <v>0</v>
      </c>
      <c r="F23" s="36">
        <v>0</v>
      </c>
      <c r="G23" s="51">
        <f t="shared" si="17"/>
        <v>0</v>
      </c>
      <c r="H23" s="137">
        <f t="shared" si="18"/>
        <v>0</v>
      </c>
      <c r="I23" s="36">
        <v>0</v>
      </c>
      <c r="J23" s="51">
        <f t="shared" si="19"/>
        <v>0</v>
      </c>
      <c r="K23" s="137">
        <f t="shared" si="20"/>
        <v>0</v>
      </c>
      <c r="L23" s="74"/>
      <c r="M23" s="89">
        <v>0</v>
      </c>
      <c r="N23" s="51">
        <f t="shared" si="21"/>
        <v>0</v>
      </c>
      <c r="O23" s="36">
        <v>0</v>
      </c>
      <c r="P23" s="51">
        <f t="shared" si="22"/>
        <v>0</v>
      </c>
      <c r="Q23" s="137">
        <f t="shared" si="23"/>
        <v>0</v>
      </c>
      <c r="R23" s="36">
        <v>0</v>
      </c>
      <c r="S23" s="51">
        <f t="shared" si="24"/>
        <v>0</v>
      </c>
      <c r="T23" s="137">
        <f t="shared" si="25"/>
        <v>0</v>
      </c>
    </row>
    <row r="24" spans="2:20" x14ac:dyDescent="0.25">
      <c r="B24" s="28" t="s">
        <v>245</v>
      </c>
      <c r="C24" s="17" t="s">
        <v>539</v>
      </c>
      <c r="D24" s="159">
        <v>0</v>
      </c>
      <c r="E24" s="253">
        <f t="shared" si="16"/>
        <v>0</v>
      </c>
      <c r="F24" s="159">
        <v>0</v>
      </c>
      <c r="G24" s="253">
        <f t="shared" si="17"/>
        <v>0</v>
      </c>
      <c r="H24" s="141">
        <f t="shared" si="18"/>
        <v>0</v>
      </c>
      <c r="I24" s="36">
        <v>0</v>
      </c>
      <c r="J24" s="253">
        <f t="shared" si="19"/>
        <v>0</v>
      </c>
      <c r="K24" s="141">
        <f t="shared" si="20"/>
        <v>0</v>
      </c>
      <c r="L24" s="74"/>
      <c r="M24" s="158">
        <v>0</v>
      </c>
      <c r="N24" s="253">
        <f t="shared" si="21"/>
        <v>0</v>
      </c>
      <c r="O24" s="159">
        <v>0</v>
      </c>
      <c r="P24" s="253">
        <f t="shared" si="22"/>
        <v>0</v>
      </c>
      <c r="Q24" s="141">
        <f t="shared" si="23"/>
        <v>0</v>
      </c>
      <c r="R24" s="36">
        <v>0</v>
      </c>
      <c r="S24" s="253">
        <f t="shared" si="24"/>
        <v>0</v>
      </c>
      <c r="T24" s="141">
        <f t="shared" si="25"/>
        <v>0</v>
      </c>
    </row>
    <row r="25" spans="2:20" x14ac:dyDescent="0.25">
      <c r="B25" s="28" t="s">
        <v>659</v>
      </c>
      <c r="C25" s="22" t="s">
        <v>541</v>
      </c>
      <c r="D25" s="103">
        <f t="shared" ref="D25" si="26">SUM(D19:D24)</f>
        <v>77735</v>
      </c>
      <c r="E25" s="146">
        <f t="shared" ref="E25:E35" si="27">IFERROR(D25/D$35,"")</f>
        <v>0.23851942507291282</v>
      </c>
      <c r="F25" s="103">
        <f t="shared" ref="F25" si="28">SUM(F19:F24)</f>
        <v>143831.31</v>
      </c>
      <c r="G25" s="146">
        <f t="shared" si="17"/>
        <v>0.31463573080893198</v>
      </c>
      <c r="H25" s="154">
        <f t="shared" si="18"/>
        <v>-66096.31</v>
      </c>
      <c r="I25" s="103">
        <f t="shared" ref="I25" si="29">SUM(I19:I24)</f>
        <v>76992.22</v>
      </c>
      <c r="J25" s="146">
        <f t="shared" si="19"/>
        <v>0.27873765135309486</v>
      </c>
      <c r="K25" s="154">
        <f t="shared" si="20"/>
        <v>742.77999999999884</v>
      </c>
      <c r="L25" s="74"/>
      <c r="M25" s="152">
        <f t="shared" ref="M25" si="30">SUM(M19:M24)</f>
        <v>435719.02</v>
      </c>
      <c r="N25" s="146">
        <f t="shared" si="21"/>
        <v>0.23554007105009894</v>
      </c>
      <c r="O25" s="103">
        <f t="shared" ref="O25" si="31">SUM(O19:O24)</f>
        <v>707951.08</v>
      </c>
      <c r="P25" s="146">
        <f t="shared" si="22"/>
        <v>0.31466870500737754</v>
      </c>
      <c r="Q25" s="154">
        <f t="shared" si="23"/>
        <v>-272232.05999999994</v>
      </c>
      <c r="R25" s="103">
        <f t="shared" ref="R25" si="32">SUM(R19:R24)</f>
        <v>324465.34999999998</v>
      </c>
      <c r="S25" s="146">
        <f t="shared" si="24"/>
        <v>0.27199312455370445</v>
      </c>
      <c r="T25" s="154">
        <f t="shared" si="25"/>
        <v>111253.67000000004</v>
      </c>
    </row>
    <row r="26" spans="2:20" x14ac:dyDescent="0.25">
      <c r="B26" s="28" t="s">
        <v>197</v>
      </c>
      <c r="C26" s="17" t="s">
        <v>542</v>
      </c>
      <c r="D26" s="159">
        <v>-50</v>
      </c>
      <c r="E26" s="253">
        <f t="shared" si="27"/>
        <v>-1.5341829618120077E-4</v>
      </c>
      <c r="F26" s="159">
        <v>0</v>
      </c>
      <c r="G26" s="253">
        <f t="shared" si="17"/>
        <v>0</v>
      </c>
      <c r="H26" s="141">
        <f t="shared" si="18"/>
        <v>-50</v>
      </c>
      <c r="I26" s="36">
        <v>0</v>
      </c>
      <c r="J26" s="253">
        <f t="shared" si="19"/>
        <v>0</v>
      </c>
      <c r="K26" s="141">
        <f t="shared" si="20"/>
        <v>-50</v>
      </c>
      <c r="L26" s="74"/>
      <c r="M26" s="158">
        <v>-777.2</v>
      </c>
      <c r="N26" s="253">
        <f t="shared" si="21"/>
        <v>-4.2013714072003763E-4</v>
      </c>
      <c r="O26" s="159">
        <v>0</v>
      </c>
      <c r="P26" s="253">
        <f t="shared" si="22"/>
        <v>0</v>
      </c>
      <c r="Q26" s="141">
        <f t="shared" si="23"/>
        <v>-777.2</v>
      </c>
      <c r="R26" s="36">
        <v>-43.18</v>
      </c>
      <c r="S26" s="253">
        <f t="shared" si="24"/>
        <v>-3.6196971782130078E-5</v>
      </c>
      <c r="T26" s="141">
        <f t="shared" si="25"/>
        <v>-734.0200000000001</v>
      </c>
    </row>
    <row r="27" spans="2:20" x14ac:dyDescent="0.25">
      <c r="B27" s="28" t="s">
        <v>664</v>
      </c>
      <c r="C27" s="22" t="s">
        <v>543</v>
      </c>
      <c r="D27" s="103">
        <f t="shared" ref="D27" si="33">+D17+D25+D26</f>
        <v>275005.93</v>
      </c>
      <c r="E27" s="146">
        <f t="shared" si="27"/>
        <v>0.84381882440653122</v>
      </c>
      <c r="F27" s="103">
        <f>F17+F25+F26</f>
        <v>376483.5</v>
      </c>
      <c r="G27" s="146">
        <f t="shared" si="17"/>
        <v>0.82357006384774323</v>
      </c>
      <c r="H27" s="154">
        <f t="shared" si="18"/>
        <v>-101477.57</v>
      </c>
      <c r="I27" s="103">
        <f>I17+I25+I26</f>
        <v>235411.12000000002</v>
      </c>
      <c r="J27" s="146">
        <f t="shared" si="19"/>
        <v>0.85226718610272034</v>
      </c>
      <c r="K27" s="154">
        <f t="shared" si="20"/>
        <v>39594.809999999969</v>
      </c>
      <c r="L27" s="74"/>
      <c r="M27" s="152">
        <f t="shared" ref="M27" si="34">+M17+M25+M26</f>
        <v>1550149.53</v>
      </c>
      <c r="N27" s="146">
        <f t="shared" si="21"/>
        <v>0.83797657131074388</v>
      </c>
      <c r="O27" s="103">
        <f>O17+O25+O26</f>
        <v>1852578</v>
      </c>
      <c r="P27" s="146">
        <f t="shared" si="22"/>
        <v>0.82343022936720067</v>
      </c>
      <c r="Q27" s="154">
        <f t="shared" si="23"/>
        <v>-302428.46999999997</v>
      </c>
      <c r="R27" s="103">
        <f>R17+R25+R26</f>
        <v>998843.65999999992</v>
      </c>
      <c r="S27" s="146">
        <f t="shared" si="24"/>
        <v>0.83731162055997044</v>
      </c>
      <c r="T27" s="154">
        <f t="shared" si="25"/>
        <v>551305.87000000011</v>
      </c>
    </row>
    <row r="28" spans="2:20" x14ac:dyDescent="0.25">
      <c r="B28" s="28"/>
      <c r="C28" s="18" t="s">
        <v>55</v>
      </c>
      <c r="D28" s="308"/>
      <c r="E28" s="83"/>
      <c r="F28" s="250"/>
      <c r="G28" s="114"/>
      <c r="H28" s="266"/>
      <c r="I28" s="250"/>
      <c r="K28" s="169"/>
      <c r="L28" s="74"/>
      <c r="M28" s="262"/>
      <c r="N28" s="83"/>
      <c r="O28" s="250"/>
      <c r="P28" s="114"/>
      <c r="Q28" s="266"/>
      <c r="R28" s="250"/>
      <c r="T28" s="169"/>
    </row>
    <row r="29" spans="2:20" x14ac:dyDescent="0.25">
      <c r="B29" s="28" t="s">
        <v>198</v>
      </c>
      <c r="C29" s="17" t="s">
        <v>544</v>
      </c>
      <c r="D29" s="36">
        <v>4250</v>
      </c>
      <c r="E29" s="51">
        <f t="shared" si="27"/>
        <v>1.3040555175402065E-2</v>
      </c>
      <c r="F29" s="36">
        <v>6000</v>
      </c>
      <c r="G29" s="51">
        <f t="shared" si="17"/>
        <v>1.3125197739307192E-2</v>
      </c>
      <c r="H29" s="137">
        <f>+D29-F29</f>
        <v>-1750</v>
      </c>
      <c r="I29" s="36">
        <v>4457</v>
      </c>
      <c r="J29" s="51">
        <f t="shared" si="19"/>
        <v>1.613583440094004E-2</v>
      </c>
      <c r="K29" s="137">
        <f>+D29-I29</f>
        <v>-207</v>
      </c>
      <c r="L29" s="74"/>
      <c r="M29" s="89">
        <v>41979</v>
      </c>
      <c r="N29" s="51">
        <f t="shared" ref="N29:N33" si="35">IFERROR(M29/M$35,"")</f>
        <v>2.269291949342056E-2</v>
      </c>
      <c r="O29" s="36">
        <v>30000</v>
      </c>
      <c r="P29" s="51">
        <f t="shared" ref="P29:P33" si="36">IFERROR(O29/O$35,"")</f>
        <v>1.3334341053934582E-2</v>
      </c>
      <c r="Q29" s="137">
        <f>+M29-O29</f>
        <v>11979</v>
      </c>
      <c r="R29" s="36">
        <v>30504</v>
      </c>
      <c r="S29" s="51">
        <f t="shared" ref="S29:S33" si="37">IFERROR(R29/R$35,"")</f>
        <v>2.5570922353916069E-2</v>
      </c>
      <c r="T29" s="137">
        <f>+M29-R29</f>
        <v>11475</v>
      </c>
    </row>
    <row r="30" spans="2:20" x14ac:dyDescent="0.25">
      <c r="B30" s="28" t="s">
        <v>204</v>
      </c>
      <c r="C30" s="17" t="s">
        <v>545</v>
      </c>
      <c r="D30" s="36">
        <v>0</v>
      </c>
      <c r="E30" s="51">
        <f t="shared" si="27"/>
        <v>0</v>
      </c>
      <c r="F30" s="36">
        <v>0</v>
      </c>
      <c r="G30" s="51">
        <f t="shared" si="17"/>
        <v>0</v>
      </c>
      <c r="H30" s="137">
        <f>+D30-F30</f>
        <v>0</v>
      </c>
      <c r="I30" s="36">
        <v>0</v>
      </c>
      <c r="J30" s="51">
        <f t="shared" si="19"/>
        <v>0</v>
      </c>
      <c r="K30" s="137">
        <f>+D30-I30</f>
        <v>0</v>
      </c>
      <c r="L30" s="74"/>
      <c r="M30" s="89">
        <v>0</v>
      </c>
      <c r="N30" s="51">
        <f t="shared" si="35"/>
        <v>0</v>
      </c>
      <c r="O30" s="36">
        <v>0</v>
      </c>
      <c r="P30" s="51">
        <f t="shared" si="36"/>
        <v>0</v>
      </c>
      <c r="Q30" s="137">
        <f>+M30-O30</f>
        <v>0</v>
      </c>
      <c r="R30" s="36">
        <v>1000</v>
      </c>
      <c r="S30" s="51">
        <f t="shared" si="37"/>
        <v>8.3828095836336442E-4</v>
      </c>
      <c r="T30" s="137">
        <f>+M30-R30</f>
        <v>-1000</v>
      </c>
    </row>
    <row r="31" spans="2:20" x14ac:dyDescent="0.25">
      <c r="B31" s="28" t="s">
        <v>207</v>
      </c>
      <c r="C31" s="17" t="s">
        <v>546</v>
      </c>
      <c r="D31" s="36">
        <v>51331.38</v>
      </c>
      <c r="E31" s="51">
        <f t="shared" si="27"/>
        <v>0.1575034572045953</v>
      </c>
      <c r="F31" s="36">
        <v>74250</v>
      </c>
      <c r="G31" s="51">
        <f t="shared" si="17"/>
        <v>0.16242432202392651</v>
      </c>
      <c r="H31" s="137">
        <f>+D31-F31</f>
        <v>-22918.620000000003</v>
      </c>
      <c r="I31" s="36">
        <v>42261.65</v>
      </c>
      <c r="J31" s="51">
        <f t="shared" si="19"/>
        <v>0.15300134303578364</v>
      </c>
      <c r="K31" s="137">
        <f>+D31-I31</f>
        <v>9069.7299999999959</v>
      </c>
      <c r="L31" s="74"/>
      <c r="M31" s="89">
        <v>295529.48</v>
      </c>
      <c r="N31" s="51">
        <f t="shared" si="35"/>
        <v>0.15975670448491963</v>
      </c>
      <c r="O31" s="36">
        <v>365100</v>
      </c>
      <c r="P31" s="51">
        <f t="shared" si="36"/>
        <v>0.16227893062638388</v>
      </c>
      <c r="Q31" s="137">
        <f>+M31-O31</f>
        <v>-69570.520000000019</v>
      </c>
      <c r="R31" s="36">
        <v>172709.04</v>
      </c>
      <c r="S31" s="51">
        <f t="shared" si="37"/>
        <v>0.14477869956921666</v>
      </c>
      <c r="T31" s="137">
        <f>+M31-R31</f>
        <v>122820.43999999997</v>
      </c>
    </row>
    <row r="32" spans="2:20" x14ac:dyDescent="0.25">
      <c r="B32" s="28" t="s">
        <v>205</v>
      </c>
      <c r="C32" s="17" t="s">
        <v>547</v>
      </c>
      <c r="D32" s="159">
        <v>-4680.9399999999996</v>
      </c>
      <c r="E32" s="253">
        <f t="shared" si="27"/>
        <v>-1.4362836786528596E-2</v>
      </c>
      <c r="F32" s="159">
        <v>402.47</v>
      </c>
      <c r="G32" s="253">
        <f t="shared" si="17"/>
        <v>8.8041638902316098E-4</v>
      </c>
      <c r="H32" s="141">
        <f>+D32-F32</f>
        <v>-5083.41</v>
      </c>
      <c r="I32" s="36">
        <v>-5912.26</v>
      </c>
      <c r="J32" s="253">
        <f t="shared" si="19"/>
        <v>-2.1404363539443968E-2</v>
      </c>
      <c r="K32" s="141">
        <f>+D32-I32</f>
        <v>1231.3200000000006</v>
      </c>
      <c r="L32" s="74"/>
      <c r="M32" s="158">
        <v>-37785.85</v>
      </c>
      <c r="N32" s="253">
        <f t="shared" si="35"/>
        <v>-2.0426195289084192E-2</v>
      </c>
      <c r="O32" s="159">
        <v>2151.96</v>
      </c>
      <c r="P32" s="253">
        <f t="shared" si="36"/>
        <v>9.5649895248083548E-4</v>
      </c>
      <c r="Q32" s="141">
        <f>+M32-O32</f>
        <v>-39937.81</v>
      </c>
      <c r="R32" s="36">
        <v>-10139.23</v>
      </c>
      <c r="S32" s="253">
        <f t="shared" si="37"/>
        <v>-8.4995234414665752E-3</v>
      </c>
      <c r="T32" s="141">
        <f>+M32-R32</f>
        <v>-27646.62</v>
      </c>
    </row>
    <row r="33" spans="2:20" x14ac:dyDescent="0.25">
      <c r="B33" s="28" t="s">
        <v>670</v>
      </c>
      <c r="C33" s="22" t="s">
        <v>548</v>
      </c>
      <c r="D33" s="103">
        <f t="shared" ref="D33" si="38">SUM(D29:D32)</f>
        <v>50900.439999999995</v>
      </c>
      <c r="E33" s="146">
        <f t="shared" si="27"/>
        <v>0.15618117559346875</v>
      </c>
      <c r="F33" s="103">
        <f t="shared" ref="F33" si="39">SUM(F29:F32)</f>
        <v>80652.47</v>
      </c>
      <c r="G33" s="146">
        <f t="shared" si="17"/>
        <v>0.17642993615225686</v>
      </c>
      <c r="H33" s="154">
        <f>+D33-F33</f>
        <v>-29752.030000000006</v>
      </c>
      <c r="I33" s="103">
        <f t="shared" ref="I33" si="40">SUM(I29:I32)</f>
        <v>40806.39</v>
      </c>
      <c r="J33" s="146">
        <f t="shared" si="19"/>
        <v>0.14773281389727971</v>
      </c>
      <c r="K33" s="154">
        <f>+D33-I33</f>
        <v>10094.049999999996</v>
      </c>
      <c r="L33" s="74"/>
      <c r="M33" s="152">
        <f t="shared" ref="M33" si="41">SUM(M29:M32)</f>
        <v>299722.63</v>
      </c>
      <c r="N33" s="146">
        <f t="shared" si="35"/>
        <v>0.16202342868925601</v>
      </c>
      <c r="O33" s="103">
        <f t="shared" ref="O33" si="42">SUM(O29:O32)</f>
        <v>397251.96</v>
      </c>
      <c r="P33" s="146">
        <f t="shared" si="36"/>
        <v>0.1765697706327993</v>
      </c>
      <c r="Q33" s="154">
        <f>+M33-O33</f>
        <v>-97529.330000000016</v>
      </c>
      <c r="R33" s="103">
        <f t="shared" ref="R33" si="43">SUM(R29:R32)</f>
        <v>194073.81</v>
      </c>
      <c r="S33" s="146">
        <f t="shared" si="37"/>
        <v>0.16268837944002951</v>
      </c>
      <c r="T33" s="154">
        <f>+M33-R33</f>
        <v>105648.82</v>
      </c>
    </row>
    <row r="34" spans="2:20" x14ac:dyDescent="0.25">
      <c r="B34" s="28"/>
      <c r="C34" s="17"/>
      <c r="D34" s="309"/>
      <c r="E34" s="263"/>
      <c r="F34" s="250"/>
      <c r="G34" s="114"/>
      <c r="H34" s="266"/>
      <c r="I34" s="250"/>
      <c r="K34" s="169"/>
      <c r="L34" s="74"/>
      <c r="M34" s="264"/>
      <c r="N34" s="263"/>
      <c r="O34" s="250"/>
      <c r="P34" s="114"/>
      <c r="Q34" s="266"/>
      <c r="R34" s="250"/>
      <c r="T34" s="169"/>
    </row>
    <row r="35" spans="2:20" x14ac:dyDescent="0.25">
      <c r="B35" s="28" t="s">
        <v>12</v>
      </c>
      <c r="C35" s="22" t="s">
        <v>448</v>
      </c>
      <c r="D35" s="103">
        <f t="shared" ref="D35" si="44">+D27+D33</f>
        <v>325906.37</v>
      </c>
      <c r="E35" s="146">
        <f t="shared" si="27"/>
        <v>1</v>
      </c>
      <c r="F35" s="103">
        <f t="shared" ref="F35" si="45">+F27+F33</f>
        <v>457135.97</v>
      </c>
      <c r="G35" s="146">
        <f t="shared" si="17"/>
        <v>1</v>
      </c>
      <c r="H35" s="154">
        <f>+D35-F35</f>
        <v>-131229.59999999998</v>
      </c>
      <c r="I35" s="103">
        <f t="shared" ref="I35" si="46">+I27+I33</f>
        <v>276217.51</v>
      </c>
      <c r="J35" s="146">
        <f t="shared" si="19"/>
        <v>1</v>
      </c>
      <c r="K35" s="154">
        <f>+D35-I35</f>
        <v>49688.859999999986</v>
      </c>
      <c r="L35" s="74"/>
      <c r="M35" s="152">
        <f t="shared" ref="M35" si="47">+M27+M33</f>
        <v>1849872.1600000001</v>
      </c>
      <c r="N35" s="146">
        <f t="shared" ref="N35" si="48">IFERROR(M35/M$35,"")</f>
        <v>1</v>
      </c>
      <c r="O35" s="103">
        <f t="shared" ref="O35" si="49">+O27+O33</f>
        <v>2249829.96</v>
      </c>
      <c r="P35" s="146">
        <f t="shared" ref="P35" si="50">IFERROR(O35/O$35,"")</f>
        <v>1</v>
      </c>
      <c r="Q35" s="154">
        <f>+M35-O35</f>
        <v>-399957.79999999981</v>
      </c>
      <c r="R35" s="103">
        <f t="shared" ref="R35" si="51">+R27+R33</f>
        <v>1192917.47</v>
      </c>
      <c r="S35" s="146">
        <f t="shared" ref="S35" si="52">IFERROR(R35/R$35,"")</f>
        <v>1</v>
      </c>
      <c r="T35" s="154">
        <f>+M35-R35</f>
        <v>656954.69000000018</v>
      </c>
    </row>
    <row r="36" spans="2:20" x14ac:dyDescent="0.25">
      <c r="B36" s="28"/>
      <c r="C36" s="16"/>
      <c r="D36" s="241"/>
      <c r="E36" s="53"/>
      <c r="F36" s="260"/>
      <c r="G36" s="261"/>
      <c r="H36" s="49"/>
      <c r="I36" s="260"/>
      <c r="J36" s="261"/>
      <c r="K36" s="49"/>
      <c r="L36" s="74"/>
      <c r="M36" s="240"/>
      <c r="N36" s="53"/>
      <c r="O36" s="260"/>
      <c r="P36" s="261"/>
      <c r="Q36" s="49"/>
      <c r="R36" s="260"/>
      <c r="S36" s="261"/>
      <c r="T36" s="49"/>
    </row>
    <row r="37" spans="2:20" x14ac:dyDescent="0.25">
      <c r="B37" s="28"/>
      <c r="C37" s="15" t="s">
        <v>549</v>
      </c>
      <c r="D37" s="48"/>
      <c r="E37" s="53"/>
      <c r="F37" s="48"/>
      <c r="G37" s="32"/>
      <c r="H37" s="49"/>
      <c r="I37" s="48"/>
      <c r="J37" s="32"/>
      <c r="K37" s="49"/>
      <c r="L37" s="74"/>
      <c r="M37" s="16"/>
      <c r="N37" s="53"/>
      <c r="O37" s="48"/>
      <c r="P37" s="32"/>
      <c r="Q37" s="49"/>
      <c r="R37" s="48"/>
      <c r="S37" s="32"/>
      <c r="T37" s="49"/>
    </row>
    <row r="38" spans="2:20" x14ac:dyDescent="0.25">
      <c r="B38" s="28"/>
      <c r="C38" s="22" t="s">
        <v>550</v>
      </c>
      <c r="D38" s="48"/>
      <c r="E38" s="53"/>
      <c r="F38" s="77"/>
      <c r="G38" s="99"/>
      <c r="H38" s="49"/>
      <c r="I38" s="77"/>
      <c r="J38" s="99"/>
      <c r="K38" s="49"/>
      <c r="L38" s="74"/>
      <c r="M38" s="16"/>
      <c r="N38" s="53"/>
      <c r="O38" s="77"/>
      <c r="P38" s="99"/>
      <c r="Q38" s="49"/>
      <c r="R38" s="77"/>
      <c r="S38" s="99"/>
      <c r="T38" s="49"/>
    </row>
    <row r="39" spans="2:20" x14ac:dyDescent="0.25">
      <c r="B39" s="28" t="s">
        <v>628</v>
      </c>
      <c r="C39" s="17" t="s">
        <v>551</v>
      </c>
      <c r="D39" s="36">
        <v>67400.070000000007</v>
      </c>
      <c r="E39" s="51">
        <f>IFERROR(D39/D$17,"")</f>
        <v>0.34157587844330556</v>
      </c>
      <c r="F39" s="36">
        <v>69726.3</v>
      </c>
      <c r="G39" s="51">
        <f>IFERROR(F39/F$17,"")</f>
        <v>0.29970188546258686</v>
      </c>
      <c r="H39" s="137">
        <f>+D39-F39</f>
        <v>-2326.2299999999959</v>
      </c>
      <c r="I39" s="36">
        <v>70099.88</v>
      </c>
      <c r="J39" s="51">
        <f>IFERROR(I39/I$17,"")</f>
        <v>0.44249694954326785</v>
      </c>
      <c r="K39" s="137">
        <f>+D39-I39</f>
        <v>-2699.8099999999977</v>
      </c>
      <c r="L39" s="74"/>
      <c r="M39" s="89">
        <v>329451.21000000002</v>
      </c>
      <c r="N39" s="51">
        <f>IFERROR(M39/M$17,"")</f>
        <v>0.2954169048920941</v>
      </c>
      <c r="O39" s="36">
        <v>343029.2</v>
      </c>
      <c r="P39" s="51">
        <f>IFERROR(O39/O$17,"")</f>
        <v>0.29968646901996682</v>
      </c>
      <c r="Q39" s="137">
        <f>+M39-O39</f>
        <v>-13577.989999999991</v>
      </c>
      <c r="R39" s="36">
        <v>242497.91</v>
      </c>
      <c r="S39" s="51">
        <f>IFERROR(R39/R$17,"")</f>
        <v>0.35956432823633777</v>
      </c>
      <c r="T39" s="137">
        <f>+M39-R39</f>
        <v>86953.300000000017</v>
      </c>
    </row>
    <row r="40" spans="2:20" x14ac:dyDescent="0.25">
      <c r="B40" s="28" t="s">
        <v>621</v>
      </c>
      <c r="C40" s="17" t="s">
        <v>552</v>
      </c>
      <c r="D40" s="106">
        <v>16633.89</v>
      </c>
      <c r="E40" s="145">
        <f>+IFERROR(D40/D$25,"")</f>
        <v>0.21398199009455199</v>
      </c>
      <c r="F40" s="106">
        <v>26060.87</v>
      </c>
      <c r="G40" s="145">
        <f>+IFERROR(F40/F$25,"")</f>
        <v>0.18119052103467598</v>
      </c>
      <c r="H40" s="153">
        <f>+D40-F40</f>
        <v>-9426.98</v>
      </c>
      <c r="I40" s="36">
        <v>9576.98</v>
      </c>
      <c r="J40" s="145">
        <f>+IFERROR(I40/I$25,"")</f>
        <v>0.12438893176479389</v>
      </c>
      <c r="K40" s="153">
        <f>+D40-I40</f>
        <v>7056.91</v>
      </c>
      <c r="L40" s="74"/>
      <c r="M40" s="157">
        <v>80155.03</v>
      </c>
      <c r="N40" s="145">
        <f>+IFERROR(M40/M$25,"")</f>
        <v>0.18396036509950839</v>
      </c>
      <c r="O40" s="106">
        <v>128355.29</v>
      </c>
      <c r="P40" s="145">
        <f>+IFERROR(O40/O$25,"")</f>
        <v>0.18130530996576769</v>
      </c>
      <c r="Q40" s="153">
        <f>+M40-O40</f>
        <v>-48200.259999999995</v>
      </c>
      <c r="R40" s="36">
        <v>72047.58</v>
      </c>
      <c r="S40" s="145">
        <f>+IFERROR(R40/R$25,"")</f>
        <v>0.22205015111783125</v>
      </c>
      <c r="T40" s="153">
        <f>+M40-R40</f>
        <v>8107.4499999999971</v>
      </c>
    </row>
    <row r="41" spans="2:20" x14ac:dyDescent="0.25">
      <c r="B41" s="28" t="s">
        <v>95</v>
      </c>
      <c r="C41" s="23" t="s">
        <v>553</v>
      </c>
      <c r="D41" s="103">
        <f t="shared" ref="D41" si="53">+SUM(D39:D40)</f>
        <v>84033.96</v>
      </c>
      <c r="E41" s="146">
        <f>+IFERROR(D41/D$27,"")</f>
        <v>0.30557144713206735</v>
      </c>
      <c r="F41" s="103">
        <f t="shared" ref="F41" si="54">+SUM(F39:F40)</f>
        <v>95787.17</v>
      </c>
      <c r="G41" s="146">
        <f>+IFERROR(F41/F$27,"")</f>
        <v>0.25442594429769166</v>
      </c>
      <c r="H41" s="154">
        <f>+D41-F41</f>
        <v>-11753.209999999992</v>
      </c>
      <c r="I41" s="103">
        <f t="shared" ref="I41" si="55">+SUM(I39:I40)</f>
        <v>79676.86</v>
      </c>
      <c r="J41" s="146">
        <f>+IFERROR(I41/I$27,"")</f>
        <v>0.33845835319928808</v>
      </c>
      <c r="K41" s="154">
        <f>+D41-I41</f>
        <v>4357.1000000000058</v>
      </c>
      <c r="L41" s="74"/>
      <c r="M41" s="152">
        <f t="shared" ref="M41" si="56">+SUM(M39:M40)</f>
        <v>409606.24</v>
      </c>
      <c r="N41" s="146">
        <f>+IFERROR(M41/M$27,"")</f>
        <v>0.26423659916214665</v>
      </c>
      <c r="O41" s="103">
        <f t="shared" ref="O41" si="57">+SUM(O39:O40)</f>
        <v>471384.49</v>
      </c>
      <c r="P41" s="146">
        <f>+IFERROR(O41/O$27,"")</f>
        <v>0.25444785050885849</v>
      </c>
      <c r="Q41" s="154">
        <f>+M41-O41</f>
        <v>-61778.25</v>
      </c>
      <c r="R41" s="103">
        <f t="shared" ref="R41" si="58">+SUM(R39:R40)</f>
        <v>314545.49</v>
      </c>
      <c r="S41" s="146">
        <f>+IFERROR(R41/R$27,"")</f>
        <v>0.314909632604566</v>
      </c>
      <c r="T41" s="154">
        <f>+M41-R41</f>
        <v>95060.75</v>
      </c>
    </row>
    <row r="42" spans="2:20" x14ac:dyDescent="0.25">
      <c r="B42" s="28"/>
      <c r="C42" s="23" t="s">
        <v>554</v>
      </c>
      <c r="D42" s="250"/>
      <c r="E42" s="254"/>
      <c r="F42" s="250"/>
      <c r="G42" s="265"/>
      <c r="H42" s="169"/>
      <c r="I42" s="250"/>
      <c r="J42" s="265"/>
      <c r="K42" s="169"/>
      <c r="L42" s="297"/>
      <c r="M42" s="249"/>
      <c r="N42" s="254"/>
      <c r="O42" s="250"/>
      <c r="P42" s="265"/>
      <c r="Q42" s="169"/>
      <c r="R42" s="250"/>
      <c r="S42" s="265"/>
      <c r="T42" s="169"/>
    </row>
    <row r="43" spans="2:20" x14ac:dyDescent="0.25">
      <c r="B43" s="28" t="s">
        <v>99</v>
      </c>
      <c r="C43" s="17" t="s">
        <v>555</v>
      </c>
      <c r="D43" s="106">
        <v>2978.38</v>
      </c>
      <c r="E43" s="255">
        <f>+IFERROR(D43/D$33,"")</f>
        <v>5.8513836029708201E-2</v>
      </c>
      <c r="F43" s="106">
        <v>454.2</v>
      </c>
      <c r="G43" s="248">
        <f>+IFERROR(F43/F$33,"")</f>
        <v>5.6315696221082871E-3</v>
      </c>
      <c r="H43" s="153">
        <f>+D43-F43</f>
        <v>2524.1800000000003</v>
      </c>
      <c r="I43" s="36">
        <v>1770.47</v>
      </c>
      <c r="J43" s="255">
        <f>+IFERROR(I43/I$33,"")</f>
        <v>4.3387077367049623E-2</v>
      </c>
      <c r="K43" s="153">
        <f>+D43-I43</f>
        <v>1207.9100000000001</v>
      </c>
      <c r="L43" s="74"/>
      <c r="M43" s="157">
        <v>14037.14</v>
      </c>
      <c r="N43" s="255">
        <f>+IFERROR(M43/M$33,"")</f>
        <v>4.6833767607070573E-2</v>
      </c>
      <c r="O43" s="106">
        <v>2350.02</v>
      </c>
      <c r="P43" s="248">
        <f>+IFERROR(O43/O$33,"")</f>
        <v>5.9156913914282508E-3</v>
      </c>
      <c r="Q43" s="153">
        <f>+M43-O43</f>
        <v>11687.119999999999</v>
      </c>
      <c r="R43" s="36">
        <v>10067.84</v>
      </c>
      <c r="S43" s="255">
        <f>+IFERROR(R43/R$33,"")</f>
        <v>5.1876345396630281E-2</v>
      </c>
      <c r="T43" s="153">
        <f>+M43-R43</f>
        <v>3969.2999999999993</v>
      </c>
    </row>
    <row r="44" spans="2:20" x14ac:dyDescent="0.25">
      <c r="B44" s="28" t="s">
        <v>256</v>
      </c>
      <c r="C44" s="23" t="s">
        <v>556</v>
      </c>
      <c r="D44" s="103">
        <f t="shared" ref="D44" si="59">+D41+D43</f>
        <v>87012.340000000011</v>
      </c>
      <c r="E44" s="146">
        <f>IFERROR(D44/D$35,"")</f>
        <v>0.26698569899078689</v>
      </c>
      <c r="F44" s="103">
        <f t="shared" ref="F44" si="60">+F41+F43</f>
        <v>96241.37</v>
      </c>
      <c r="G44" s="146">
        <f>IFERROR(F44/F$35,"")</f>
        <v>0.21053116865863783</v>
      </c>
      <c r="H44" s="154">
        <f>+D44-F44</f>
        <v>-9229.0299999999843</v>
      </c>
      <c r="I44" s="103">
        <f t="shared" ref="I44" si="61">+I41+I43</f>
        <v>81447.33</v>
      </c>
      <c r="J44" s="146">
        <f>IFERROR(I44/I$35,"")</f>
        <v>0.29486664332033113</v>
      </c>
      <c r="K44" s="154">
        <f>+D44-I44</f>
        <v>5565.0100000000093</v>
      </c>
      <c r="L44" s="74"/>
      <c r="M44" s="152">
        <f t="shared" ref="M44" si="62">+M41+M43</f>
        <v>423643.38</v>
      </c>
      <c r="N44" s="146">
        <f>IFERROR(M44/M$35,"")</f>
        <v>0.22901224698684042</v>
      </c>
      <c r="O44" s="103">
        <f t="shared" ref="O44" si="63">+O41+O43</f>
        <v>473734.51</v>
      </c>
      <c r="P44" s="146">
        <f>IFERROR(O44/O$35,"")</f>
        <v>0.21056458417861945</v>
      </c>
      <c r="Q44" s="154">
        <f>+M44-O44</f>
        <v>-50091.130000000005</v>
      </c>
      <c r="R44" s="103">
        <f t="shared" ref="R44" si="64">+R41+R43</f>
        <v>324613.33</v>
      </c>
      <c r="S44" s="146">
        <f>IFERROR(R44/R$35,"")</f>
        <v>0.27211717336992308</v>
      </c>
      <c r="T44" s="154">
        <f>+M44-R44</f>
        <v>99030.049999999988</v>
      </c>
    </row>
    <row r="45" spans="2:20" x14ac:dyDescent="0.25">
      <c r="B45" s="14"/>
      <c r="D45" s="244"/>
      <c r="E45" s="34"/>
      <c r="F45" s="244"/>
      <c r="G45" s="34"/>
      <c r="H45" s="246"/>
      <c r="I45" s="244"/>
      <c r="J45" s="34"/>
      <c r="K45" s="245"/>
      <c r="L45" s="74"/>
      <c r="N45" s="34"/>
      <c r="O45" s="244"/>
      <c r="P45" s="34"/>
      <c r="Q45" s="246"/>
      <c r="R45" s="244"/>
      <c r="S45" s="34"/>
      <c r="T45" s="245"/>
    </row>
    <row r="46" spans="2:20" x14ac:dyDescent="0.25">
      <c r="B46" s="28"/>
      <c r="C46" s="18" t="s">
        <v>557</v>
      </c>
      <c r="D46" s="67">
        <f t="shared" ref="D46" si="65">+D35-D44</f>
        <v>238894.02999999997</v>
      </c>
      <c r="E46" s="146">
        <f>IFERROR(D46/D$35,"")</f>
        <v>0.73301430100921305</v>
      </c>
      <c r="F46" s="67">
        <f t="shared" ref="F46" si="66">+F35-F44</f>
        <v>360894.6</v>
      </c>
      <c r="G46" s="146">
        <f>IFERROR(F46/F$35,"")</f>
        <v>0.78946883134136214</v>
      </c>
      <c r="H46" s="233">
        <f>+D46-F46</f>
        <v>-122000.57</v>
      </c>
      <c r="I46" s="67">
        <f t="shared" ref="I46" si="67">+I35-I44</f>
        <v>194770.18</v>
      </c>
      <c r="J46" s="146">
        <f>IFERROR(I46/I$35,"")</f>
        <v>0.70513335667966881</v>
      </c>
      <c r="K46" s="233">
        <f>+D46-I46</f>
        <v>44123.849999999977</v>
      </c>
      <c r="L46" s="74"/>
      <c r="M46" s="232">
        <f t="shared" ref="M46" si="68">+M35-M44</f>
        <v>1426228.7800000003</v>
      </c>
      <c r="N46" s="146">
        <f>IFERROR(M46/M$35,"")</f>
        <v>0.77098775301315969</v>
      </c>
      <c r="O46" s="67">
        <f t="shared" ref="O46" si="69">+O35-O44</f>
        <v>1776095.45</v>
      </c>
      <c r="P46" s="146">
        <f>IFERROR(O46/O$35,"")</f>
        <v>0.78943541582138055</v>
      </c>
      <c r="Q46" s="233">
        <f>+M46-O46</f>
        <v>-349866.66999999969</v>
      </c>
      <c r="R46" s="67">
        <f t="shared" ref="R46" si="70">+R35-R44</f>
        <v>868304.1399999999</v>
      </c>
      <c r="S46" s="146">
        <f>IFERROR(R46/R$35,"")</f>
        <v>0.72788282663007686</v>
      </c>
      <c r="T46" s="233">
        <f>+M46-R46</f>
        <v>557924.64000000036</v>
      </c>
    </row>
    <row r="47" spans="2:20" x14ac:dyDescent="0.25">
      <c r="B47" s="28"/>
      <c r="C47" s="16"/>
      <c r="D47" s="241"/>
      <c r="E47" s="53"/>
      <c r="F47" s="241"/>
      <c r="G47" s="32"/>
      <c r="H47" s="102"/>
      <c r="I47" s="241"/>
      <c r="J47" s="32"/>
      <c r="K47" s="102"/>
      <c r="L47" s="74"/>
      <c r="M47" s="240"/>
      <c r="N47" s="53"/>
      <c r="O47" s="241"/>
      <c r="P47" s="32"/>
      <c r="Q47" s="102"/>
      <c r="R47" s="241"/>
      <c r="S47" s="32"/>
      <c r="T47" s="102"/>
    </row>
    <row r="48" spans="2:20" x14ac:dyDescent="0.25">
      <c r="B48" s="28"/>
      <c r="C48" s="15" t="s">
        <v>405</v>
      </c>
      <c r="D48" s="48"/>
      <c r="E48" s="256"/>
      <c r="F48" s="242"/>
      <c r="G48" s="258"/>
      <c r="H48" s="49"/>
      <c r="I48" s="242"/>
      <c r="J48" s="258"/>
      <c r="K48" s="49"/>
      <c r="L48" s="74"/>
      <c r="M48" s="16"/>
      <c r="N48" s="256"/>
      <c r="O48" s="242"/>
      <c r="P48" s="258"/>
      <c r="Q48" s="49"/>
      <c r="R48" s="242"/>
      <c r="S48" s="258"/>
      <c r="T48" s="49"/>
    </row>
    <row r="49" spans="2:20" x14ac:dyDescent="0.25">
      <c r="B49" s="28"/>
      <c r="C49" s="22" t="s">
        <v>406</v>
      </c>
      <c r="D49" s="48"/>
      <c r="E49" s="53"/>
      <c r="F49" s="77"/>
      <c r="G49" s="32"/>
      <c r="H49" s="101"/>
      <c r="I49" s="77"/>
      <c r="J49" s="32"/>
      <c r="K49" s="101"/>
      <c r="L49" s="74"/>
      <c r="M49" s="16"/>
      <c r="N49" s="53"/>
      <c r="O49" s="77"/>
      <c r="P49" s="32"/>
      <c r="Q49" s="101"/>
      <c r="R49" s="77"/>
      <c r="S49" s="32"/>
      <c r="T49" s="101"/>
    </row>
    <row r="50" spans="2:20" x14ac:dyDescent="0.25">
      <c r="B50" s="28" t="s">
        <v>622</v>
      </c>
      <c r="C50" s="17" t="s">
        <v>407</v>
      </c>
      <c r="D50" s="36">
        <v>0</v>
      </c>
      <c r="E50" s="51">
        <f>IFERROR(D50/D$35,"")</f>
        <v>0</v>
      </c>
      <c r="F50" s="36">
        <v>0</v>
      </c>
      <c r="G50" s="51">
        <f>IFERROR(F50/F$35,"")</f>
        <v>0</v>
      </c>
      <c r="H50" s="137">
        <f>+D50-F50</f>
        <v>0</v>
      </c>
      <c r="I50" s="36">
        <v>0</v>
      </c>
      <c r="J50" s="51">
        <f>IFERROR(I50/I$35,"")</f>
        <v>0</v>
      </c>
      <c r="K50" s="137">
        <f>+D50-I50</f>
        <v>0</v>
      </c>
      <c r="L50" s="74"/>
      <c r="M50" s="89">
        <v>0</v>
      </c>
      <c r="N50" s="51">
        <f>IFERROR(M50/M$35,"")</f>
        <v>0</v>
      </c>
      <c r="O50" s="36">
        <v>0</v>
      </c>
      <c r="P50" s="51">
        <f>IFERROR(O50/O$35,"")</f>
        <v>0</v>
      </c>
      <c r="Q50" s="137">
        <f>+M50-O50</f>
        <v>0</v>
      </c>
      <c r="R50" s="36">
        <v>0</v>
      </c>
      <c r="S50" s="51">
        <f>IFERROR(R50/R$35,"")</f>
        <v>0</v>
      </c>
      <c r="T50" s="137">
        <f>+M50-R50</f>
        <v>0</v>
      </c>
    </row>
    <row r="51" spans="2:20" x14ac:dyDescent="0.25">
      <c r="B51" s="28"/>
      <c r="C51" s="18" t="s">
        <v>408</v>
      </c>
      <c r="D51" s="251"/>
      <c r="E51" s="257"/>
      <c r="F51" s="251"/>
      <c r="G51" s="257"/>
      <c r="H51" s="247"/>
      <c r="I51" s="251"/>
      <c r="J51" s="257"/>
      <c r="K51" s="252"/>
      <c r="L51" s="74"/>
      <c r="M51" s="247"/>
      <c r="N51" s="257"/>
      <c r="O51" s="251"/>
      <c r="P51" s="257"/>
      <c r="Q51" s="247"/>
      <c r="R51" s="251"/>
      <c r="S51" s="257"/>
      <c r="T51" s="252"/>
    </row>
    <row r="52" spans="2:20" x14ac:dyDescent="0.25">
      <c r="B52" s="28" t="s">
        <v>655</v>
      </c>
      <c r="C52" s="17" t="s">
        <v>408</v>
      </c>
      <c r="D52" s="36">
        <v>106451.02</v>
      </c>
      <c r="E52" s="51">
        <f t="shared" ref="E52" si="71">IFERROR(D52/D$35,"")</f>
        <v>0.3266306823030185</v>
      </c>
      <c r="F52" s="36">
        <v>84791.25</v>
      </c>
      <c r="G52" s="51">
        <f t="shared" ref="G52" si="72">IFERROR(F52/F$35,"")</f>
        <v>0.18548365380217183</v>
      </c>
      <c r="H52" s="137">
        <f t="shared" ref="H52:H63" si="73">+D52-F52</f>
        <v>21659.770000000004</v>
      </c>
      <c r="I52" s="36">
        <v>67054.14</v>
      </c>
      <c r="J52" s="51">
        <f t="shared" ref="J52" si="74">IFERROR(I52/I$35,"")</f>
        <v>0.24275846958435038</v>
      </c>
      <c r="K52" s="137">
        <f t="shared" ref="K52:K63" si="75">+D52-I52</f>
        <v>39396.880000000005</v>
      </c>
      <c r="L52" s="74"/>
      <c r="M52" s="89">
        <v>550273.15</v>
      </c>
      <c r="N52" s="51">
        <f t="shared" ref="N52:N63" si="76">IFERROR(M52/M$35,"")</f>
        <v>0.29746550161606844</v>
      </c>
      <c r="O52" s="36">
        <v>417037.5</v>
      </c>
      <c r="P52" s="51">
        <f t="shared" ref="P52:P63" si="77">IFERROR(O52/O$35,"")</f>
        <v>0.18536400857600813</v>
      </c>
      <c r="Q52" s="137">
        <f t="shared" ref="Q52:Q63" si="78">+M52-O52</f>
        <v>133235.65000000002</v>
      </c>
      <c r="R52" s="36">
        <v>280264.12</v>
      </c>
      <c r="S52" s="51">
        <f t="shared" ref="S52:S63" si="79">IFERROR(R52/R$35,"")</f>
        <v>0.23494007510846496</v>
      </c>
      <c r="T52" s="137">
        <f t="shared" ref="T52:T63" si="80">+M52-R52</f>
        <v>270009.03000000003</v>
      </c>
    </row>
    <row r="53" spans="2:20" x14ac:dyDescent="0.25">
      <c r="B53" s="28" t="s">
        <v>656</v>
      </c>
      <c r="C53" s="17" t="s">
        <v>708</v>
      </c>
      <c r="D53" s="106">
        <v>0</v>
      </c>
      <c r="E53" s="145">
        <f t="shared" ref="E53:E63" si="81">IFERROR(D53/D$35,"")</f>
        <v>0</v>
      </c>
      <c r="F53" s="106">
        <v>0</v>
      </c>
      <c r="G53" s="145">
        <f t="shared" ref="G53:G63" si="82">IFERROR(F53/F$35,"")</f>
        <v>0</v>
      </c>
      <c r="H53" s="153">
        <f t="shared" si="73"/>
        <v>0</v>
      </c>
      <c r="I53" s="36">
        <v>0</v>
      </c>
      <c r="J53" s="145">
        <f t="shared" ref="J53:J63" si="83">IFERROR(I53/I$35,"")</f>
        <v>0</v>
      </c>
      <c r="K53" s="153">
        <f t="shared" si="75"/>
        <v>0</v>
      </c>
      <c r="L53" s="74"/>
      <c r="M53" s="157">
        <v>0</v>
      </c>
      <c r="N53" s="145">
        <f t="shared" si="76"/>
        <v>0</v>
      </c>
      <c r="O53" s="106">
        <v>0</v>
      </c>
      <c r="P53" s="145">
        <f t="shared" si="77"/>
        <v>0</v>
      </c>
      <c r="Q53" s="153">
        <f t="shared" si="78"/>
        <v>0</v>
      </c>
      <c r="R53" s="36">
        <v>0</v>
      </c>
      <c r="S53" s="145">
        <f t="shared" si="79"/>
        <v>0</v>
      </c>
      <c r="T53" s="153">
        <f t="shared" si="80"/>
        <v>0</v>
      </c>
    </row>
    <row r="54" spans="2:20" x14ac:dyDescent="0.25">
      <c r="B54" s="28" t="s">
        <v>673</v>
      </c>
      <c r="C54" s="23" t="s">
        <v>411</v>
      </c>
      <c r="D54" s="103">
        <f t="shared" ref="D54" si="84">+D50+D52+D53</f>
        <v>106451.02</v>
      </c>
      <c r="E54" s="146">
        <f t="shared" si="81"/>
        <v>0.3266306823030185</v>
      </c>
      <c r="F54" s="103">
        <f t="shared" ref="F54" si="85">+F50+F52+F53</f>
        <v>84791.25</v>
      </c>
      <c r="G54" s="146">
        <f t="shared" si="82"/>
        <v>0.18548365380217183</v>
      </c>
      <c r="H54" s="154">
        <f t="shared" si="73"/>
        <v>21659.770000000004</v>
      </c>
      <c r="I54" s="103">
        <f t="shared" ref="I54" si="86">+I50+I52+I53</f>
        <v>67054.14</v>
      </c>
      <c r="J54" s="146">
        <f t="shared" si="83"/>
        <v>0.24275846958435038</v>
      </c>
      <c r="K54" s="154">
        <f t="shared" si="75"/>
        <v>39396.880000000005</v>
      </c>
      <c r="L54" s="74"/>
      <c r="M54" s="152">
        <f t="shared" ref="M54" si="87">+M50+M52+M53</f>
        <v>550273.15</v>
      </c>
      <c r="N54" s="146">
        <f t="shared" si="76"/>
        <v>0.29746550161606844</v>
      </c>
      <c r="O54" s="103">
        <f t="shared" ref="O54" si="88">+O50+O52+O53</f>
        <v>417037.5</v>
      </c>
      <c r="P54" s="146">
        <f t="shared" si="77"/>
        <v>0.18536400857600813</v>
      </c>
      <c r="Q54" s="154">
        <f t="shared" si="78"/>
        <v>133235.65000000002</v>
      </c>
      <c r="R54" s="103">
        <f t="shared" ref="R54" si="89">+R50+R52+R53</f>
        <v>280264.12</v>
      </c>
      <c r="S54" s="146">
        <f t="shared" si="79"/>
        <v>0.23494007510846496</v>
      </c>
      <c r="T54" s="154">
        <f t="shared" si="80"/>
        <v>270009.03000000003</v>
      </c>
    </row>
    <row r="55" spans="2:20" x14ac:dyDescent="0.25">
      <c r="B55" s="28" t="s">
        <v>304</v>
      </c>
      <c r="C55" s="17" t="s">
        <v>558</v>
      </c>
      <c r="D55" s="106">
        <v>30032.49</v>
      </c>
      <c r="E55" s="145">
        <f t="shared" si="81"/>
        <v>9.2150668917579004E-2</v>
      </c>
      <c r="F55" s="106">
        <v>63112.5</v>
      </c>
      <c r="G55" s="145">
        <f t="shared" si="82"/>
        <v>0.13806067372033753</v>
      </c>
      <c r="H55" s="153">
        <f t="shared" si="73"/>
        <v>-33080.009999999995</v>
      </c>
      <c r="I55" s="36">
        <v>24800</v>
      </c>
      <c r="J55" s="145">
        <f t="shared" si="83"/>
        <v>8.9784315266617232E-2</v>
      </c>
      <c r="K55" s="153">
        <f t="shared" si="75"/>
        <v>5232.4900000000016</v>
      </c>
      <c r="L55" s="74"/>
      <c r="M55" s="157">
        <v>213608.44</v>
      </c>
      <c r="N55" s="145">
        <f t="shared" si="76"/>
        <v>0.11547200104898059</v>
      </c>
      <c r="O55" s="106">
        <v>310335</v>
      </c>
      <c r="P55" s="145">
        <f t="shared" si="77"/>
        <v>0.1379370910324263</v>
      </c>
      <c r="Q55" s="153">
        <f t="shared" si="78"/>
        <v>-96726.56</v>
      </c>
      <c r="R55" s="36">
        <v>139742.60999999999</v>
      </c>
      <c r="S55" s="145">
        <f t="shared" si="79"/>
        <v>0.11714356903499785</v>
      </c>
      <c r="T55" s="153">
        <f t="shared" si="80"/>
        <v>73865.830000000016</v>
      </c>
    </row>
    <row r="56" spans="2:20" x14ac:dyDescent="0.25">
      <c r="B56" s="28" t="s">
        <v>254</v>
      </c>
      <c r="C56" s="17" t="s">
        <v>412</v>
      </c>
      <c r="D56" s="36">
        <v>0</v>
      </c>
      <c r="E56" s="51">
        <f t="shared" si="81"/>
        <v>0</v>
      </c>
      <c r="F56" s="36">
        <v>30148</v>
      </c>
      <c r="G56" s="51">
        <f t="shared" si="82"/>
        <v>6.5949743574105532E-2</v>
      </c>
      <c r="H56" s="137">
        <f t="shared" si="73"/>
        <v>-30148</v>
      </c>
      <c r="I56" s="36">
        <v>34224.019999999997</v>
      </c>
      <c r="J56" s="51">
        <f t="shared" si="83"/>
        <v>0.12390242747463763</v>
      </c>
      <c r="K56" s="137">
        <f t="shared" si="75"/>
        <v>-34224.019999999997</v>
      </c>
      <c r="L56" s="74"/>
      <c r="M56" s="89">
        <v>0</v>
      </c>
      <c r="N56" s="51">
        <f t="shared" si="76"/>
        <v>0</v>
      </c>
      <c r="O56" s="36">
        <v>148280</v>
      </c>
      <c r="P56" s="51">
        <f t="shared" si="77"/>
        <v>6.5907203049247326E-2</v>
      </c>
      <c r="Q56" s="137">
        <f t="shared" si="78"/>
        <v>-148280</v>
      </c>
      <c r="R56" s="36">
        <v>150038.20000000001</v>
      </c>
      <c r="S56" s="51">
        <f t="shared" si="79"/>
        <v>0.12577416608711414</v>
      </c>
      <c r="T56" s="137">
        <f t="shared" si="80"/>
        <v>-150038.20000000001</v>
      </c>
    </row>
    <row r="57" spans="2:20" x14ac:dyDescent="0.25">
      <c r="B57" s="28" t="s">
        <v>248</v>
      </c>
      <c r="C57" s="17" t="s">
        <v>413</v>
      </c>
      <c r="D57" s="106">
        <v>0</v>
      </c>
      <c r="E57" s="145">
        <f t="shared" si="81"/>
        <v>0</v>
      </c>
      <c r="F57" s="106">
        <v>0</v>
      </c>
      <c r="G57" s="145">
        <f t="shared" si="82"/>
        <v>0</v>
      </c>
      <c r="H57" s="153">
        <f t="shared" si="73"/>
        <v>0</v>
      </c>
      <c r="I57" s="36">
        <v>0</v>
      </c>
      <c r="J57" s="145">
        <f t="shared" si="83"/>
        <v>0</v>
      </c>
      <c r="K57" s="153">
        <f t="shared" si="75"/>
        <v>0</v>
      </c>
      <c r="L57" s="74"/>
      <c r="M57" s="157">
        <v>0</v>
      </c>
      <c r="N57" s="145">
        <f t="shared" si="76"/>
        <v>0</v>
      </c>
      <c r="O57" s="106">
        <v>0</v>
      </c>
      <c r="P57" s="145">
        <f t="shared" si="77"/>
        <v>0</v>
      </c>
      <c r="Q57" s="153">
        <f t="shared" si="78"/>
        <v>0</v>
      </c>
      <c r="R57" s="36">
        <v>0</v>
      </c>
      <c r="S57" s="145">
        <f t="shared" si="79"/>
        <v>0</v>
      </c>
      <c r="T57" s="153">
        <f t="shared" si="80"/>
        <v>0</v>
      </c>
    </row>
    <row r="58" spans="2:20" x14ac:dyDescent="0.25">
      <c r="B58" s="28" t="s">
        <v>675</v>
      </c>
      <c r="C58" s="23" t="s">
        <v>414</v>
      </c>
      <c r="D58" s="103">
        <f t="shared" ref="D58" si="90">+D54+SUM(D55:D57)</f>
        <v>136483.51</v>
      </c>
      <c r="E58" s="146">
        <f t="shared" si="81"/>
        <v>0.41878135122059751</v>
      </c>
      <c r="F58" s="103">
        <f t="shared" ref="F58" si="91">+F54+SUM(F55:F57)</f>
        <v>178051.75</v>
      </c>
      <c r="G58" s="146">
        <f t="shared" si="82"/>
        <v>0.38949407109661488</v>
      </c>
      <c r="H58" s="154">
        <f t="shared" si="73"/>
        <v>-41568.239999999991</v>
      </c>
      <c r="I58" s="103">
        <f t="shared" ref="I58" si="92">+I54+SUM(I55:I57)</f>
        <v>126078.16</v>
      </c>
      <c r="J58" s="146">
        <f t="shared" si="83"/>
        <v>0.45644521232560525</v>
      </c>
      <c r="K58" s="154">
        <f t="shared" si="75"/>
        <v>10405.350000000006</v>
      </c>
      <c r="L58" s="74"/>
      <c r="M58" s="152">
        <f t="shared" ref="M58" si="93">+M54+SUM(M55:M57)</f>
        <v>763881.59000000008</v>
      </c>
      <c r="N58" s="146">
        <f t="shared" si="76"/>
        <v>0.41293750266504903</v>
      </c>
      <c r="O58" s="103">
        <f t="shared" ref="O58" si="94">+O54+SUM(O55:O57)</f>
        <v>875652.5</v>
      </c>
      <c r="P58" s="146">
        <f t="shared" si="77"/>
        <v>0.38920830265768175</v>
      </c>
      <c r="Q58" s="154">
        <f t="shared" si="78"/>
        <v>-111770.90999999992</v>
      </c>
      <c r="R58" s="103">
        <f t="shared" ref="R58" si="95">+R54+SUM(R55:R57)</f>
        <v>570044.92999999993</v>
      </c>
      <c r="S58" s="146">
        <f t="shared" si="79"/>
        <v>0.47785781023057694</v>
      </c>
      <c r="T58" s="154">
        <f t="shared" si="80"/>
        <v>193836.66000000015</v>
      </c>
    </row>
    <row r="59" spans="2:20" x14ac:dyDescent="0.25">
      <c r="B59" s="28" t="s">
        <v>294</v>
      </c>
      <c r="C59" s="17" t="s">
        <v>415</v>
      </c>
      <c r="D59" s="106">
        <v>4634.41</v>
      </c>
      <c r="E59" s="145">
        <f t="shared" si="81"/>
        <v>1.4220065720102372E-2</v>
      </c>
      <c r="F59" s="106">
        <v>12624.475</v>
      </c>
      <c r="G59" s="145">
        <f t="shared" si="82"/>
        <v>2.7616455121656693E-2</v>
      </c>
      <c r="H59" s="153">
        <f t="shared" si="73"/>
        <v>-7990.0650000000005</v>
      </c>
      <c r="I59" s="36">
        <v>6826.05</v>
      </c>
      <c r="J59" s="145">
        <f t="shared" si="83"/>
        <v>2.4712589726842444E-2</v>
      </c>
      <c r="K59" s="153">
        <f t="shared" si="75"/>
        <v>-2191.6400000000003</v>
      </c>
      <c r="L59" s="74"/>
      <c r="M59" s="157">
        <v>31735.82</v>
      </c>
      <c r="N59" s="145">
        <f t="shared" si="76"/>
        <v>1.7155682801345579E-2</v>
      </c>
      <c r="O59" s="106">
        <v>62092.25</v>
      </c>
      <c r="P59" s="145">
        <f t="shared" si="77"/>
        <v>2.759864127687232E-2</v>
      </c>
      <c r="Q59" s="153">
        <f t="shared" si="78"/>
        <v>-30356.43</v>
      </c>
      <c r="R59" s="36">
        <v>36301.730000000003</v>
      </c>
      <c r="S59" s="145">
        <f t="shared" si="79"/>
        <v>3.04310490146481E-2</v>
      </c>
      <c r="T59" s="153">
        <f t="shared" si="80"/>
        <v>-4565.9100000000035</v>
      </c>
    </row>
    <row r="60" spans="2:20" x14ac:dyDescent="0.25">
      <c r="B60" s="28" t="s">
        <v>306</v>
      </c>
      <c r="C60" s="17" t="s">
        <v>360</v>
      </c>
      <c r="D60" s="36">
        <v>0</v>
      </c>
      <c r="E60" s="51">
        <f t="shared" si="81"/>
        <v>0</v>
      </c>
      <c r="F60" s="36">
        <v>0</v>
      </c>
      <c r="G60" s="51">
        <f t="shared" si="82"/>
        <v>0</v>
      </c>
      <c r="H60" s="137">
        <f t="shared" si="73"/>
        <v>0</v>
      </c>
      <c r="I60" s="36">
        <v>0</v>
      </c>
      <c r="J60" s="51">
        <f t="shared" si="83"/>
        <v>0</v>
      </c>
      <c r="K60" s="137">
        <f t="shared" si="75"/>
        <v>0</v>
      </c>
      <c r="L60" s="74"/>
      <c r="M60" s="89">
        <v>0</v>
      </c>
      <c r="N60" s="51">
        <f t="shared" si="76"/>
        <v>0</v>
      </c>
      <c r="O60" s="36">
        <v>0</v>
      </c>
      <c r="P60" s="51">
        <f t="shared" si="77"/>
        <v>0</v>
      </c>
      <c r="Q60" s="137">
        <f t="shared" si="78"/>
        <v>0</v>
      </c>
      <c r="R60" s="36">
        <v>2493.94</v>
      </c>
      <c r="S60" s="51">
        <f t="shared" si="79"/>
        <v>2.090622413300729E-3</v>
      </c>
      <c r="T60" s="137">
        <f t="shared" si="80"/>
        <v>-2493.94</v>
      </c>
    </row>
    <row r="61" spans="2:20" x14ac:dyDescent="0.25">
      <c r="B61" s="28" t="s">
        <v>266</v>
      </c>
      <c r="C61" s="17" t="s">
        <v>361</v>
      </c>
      <c r="D61" s="106">
        <v>823.76</v>
      </c>
      <c r="E61" s="145">
        <f t="shared" si="81"/>
        <v>2.5275971132445187E-3</v>
      </c>
      <c r="F61" s="106">
        <v>2255.5</v>
      </c>
      <c r="G61" s="145">
        <f t="shared" si="82"/>
        <v>4.9339805835012284E-3</v>
      </c>
      <c r="H61" s="153">
        <f t="shared" si="73"/>
        <v>-1431.74</v>
      </c>
      <c r="I61" s="36">
        <v>846.57</v>
      </c>
      <c r="J61" s="145">
        <f t="shared" si="83"/>
        <v>3.0648672490024256E-3</v>
      </c>
      <c r="K61" s="153">
        <f t="shared" si="75"/>
        <v>-22.810000000000059</v>
      </c>
      <c r="L61" s="74"/>
      <c r="M61" s="157">
        <v>4070.4</v>
      </c>
      <c r="N61" s="145">
        <f t="shared" si="76"/>
        <v>2.2003682676104493E-3</v>
      </c>
      <c r="O61" s="106">
        <v>11093</v>
      </c>
      <c r="P61" s="145">
        <f t="shared" si="77"/>
        <v>4.930594843709878E-3</v>
      </c>
      <c r="Q61" s="153">
        <f t="shared" si="78"/>
        <v>-7022.6</v>
      </c>
      <c r="R61" s="36">
        <v>7689.38</v>
      </c>
      <c r="S61" s="145">
        <f t="shared" si="79"/>
        <v>6.4458608356200873E-3</v>
      </c>
      <c r="T61" s="153">
        <f t="shared" si="80"/>
        <v>-3618.98</v>
      </c>
    </row>
    <row r="62" spans="2:20" x14ac:dyDescent="0.25">
      <c r="B62" s="28" t="s">
        <v>288</v>
      </c>
      <c r="C62" s="23" t="s">
        <v>416</v>
      </c>
      <c r="D62" s="142">
        <f t="shared" ref="D62" si="96">SUM(D59:D61)</f>
        <v>5458.17</v>
      </c>
      <c r="E62" s="130">
        <f t="shared" si="81"/>
        <v>1.6747662833346891E-2</v>
      </c>
      <c r="F62" s="142">
        <f t="shared" ref="F62" si="97">SUM(F59:F61)</f>
        <v>14879.975</v>
      </c>
      <c r="G62" s="130">
        <f t="shared" si="82"/>
        <v>3.2550435705157921E-2</v>
      </c>
      <c r="H62" s="168">
        <f t="shared" si="73"/>
        <v>-9421.8050000000003</v>
      </c>
      <c r="I62" s="142">
        <f t="shared" ref="I62" si="98">SUM(I59:I61)</f>
        <v>7672.62</v>
      </c>
      <c r="J62" s="130">
        <f t="shared" si="83"/>
        <v>2.7777456975844869E-2</v>
      </c>
      <c r="K62" s="168">
        <f t="shared" si="75"/>
        <v>-2214.4499999999998</v>
      </c>
      <c r="L62" s="74"/>
      <c r="M62" s="133">
        <f t="shared" ref="M62" si="99">SUM(M59:M61)</f>
        <v>35806.22</v>
      </c>
      <c r="N62" s="130">
        <f t="shared" si="76"/>
        <v>1.9356051068956028E-2</v>
      </c>
      <c r="O62" s="142">
        <f t="shared" ref="O62" si="100">SUM(O59:O61)</f>
        <v>73185.25</v>
      </c>
      <c r="P62" s="130">
        <f t="shared" si="77"/>
        <v>3.25292361205822E-2</v>
      </c>
      <c r="Q62" s="168">
        <f t="shared" si="78"/>
        <v>-37379.03</v>
      </c>
      <c r="R62" s="142">
        <f t="shared" ref="R62" si="101">SUM(R59:R61)</f>
        <v>46485.05</v>
      </c>
      <c r="S62" s="130">
        <f t="shared" si="79"/>
        <v>3.8967532263568916E-2</v>
      </c>
      <c r="T62" s="168">
        <f t="shared" si="80"/>
        <v>-10678.830000000002</v>
      </c>
    </row>
    <row r="63" spans="2:20" x14ac:dyDescent="0.25">
      <c r="B63" s="28" t="s">
        <v>273</v>
      </c>
      <c r="C63" s="23" t="s">
        <v>417</v>
      </c>
      <c r="D63" s="91">
        <f t="shared" ref="D63" si="102">+D58+D62</f>
        <v>141941.68000000002</v>
      </c>
      <c r="E63" s="81">
        <f t="shared" si="81"/>
        <v>0.43552901405394445</v>
      </c>
      <c r="F63" s="91">
        <f t="shared" ref="F63" si="103">+F58+F62</f>
        <v>192931.72500000001</v>
      </c>
      <c r="G63" s="81">
        <f t="shared" si="82"/>
        <v>0.4220445068017728</v>
      </c>
      <c r="H63" s="140">
        <f t="shared" si="73"/>
        <v>-50990.044999999984</v>
      </c>
      <c r="I63" s="91">
        <f t="shared" ref="I63" si="104">+I58+I62</f>
        <v>133750.78</v>
      </c>
      <c r="J63" s="81">
        <f t="shared" si="83"/>
        <v>0.48422266930145014</v>
      </c>
      <c r="K63" s="140">
        <f t="shared" si="75"/>
        <v>8190.9000000000233</v>
      </c>
      <c r="L63" s="74"/>
      <c r="M63" s="86">
        <f t="shared" ref="M63" si="105">+M58+M62</f>
        <v>799687.81</v>
      </c>
      <c r="N63" s="81">
        <f t="shared" si="76"/>
        <v>0.43229355373400508</v>
      </c>
      <c r="O63" s="91">
        <f t="shared" ref="O63" si="106">+O58+O62</f>
        <v>948837.75</v>
      </c>
      <c r="P63" s="81">
        <f t="shared" si="77"/>
        <v>0.42173753877826392</v>
      </c>
      <c r="Q63" s="140">
        <f t="shared" si="78"/>
        <v>-149149.93999999994</v>
      </c>
      <c r="R63" s="91">
        <f t="shared" ref="R63" si="107">+R58+R62</f>
        <v>616529.98</v>
      </c>
      <c r="S63" s="81">
        <f t="shared" si="79"/>
        <v>0.51682534249414591</v>
      </c>
      <c r="T63" s="140">
        <f t="shared" si="80"/>
        <v>183157.83000000007</v>
      </c>
    </row>
    <row r="64" spans="2:20" x14ac:dyDescent="0.25">
      <c r="B64" s="28"/>
      <c r="C64" s="16"/>
      <c r="D64" s="241"/>
      <c r="E64" s="53"/>
      <c r="F64" s="259"/>
      <c r="G64" s="210"/>
      <c r="H64" s="49"/>
      <c r="I64" s="259"/>
      <c r="J64" s="210"/>
      <c r="K64" s="49"/>
      <c r="L64" s="74"/>
      <c r="M64" s="240"/>
      <c r="N64" s="53"/>
      <c r="O64" s="259"/>
      <c r="P64" s="210"/>
      <c r="Q64" s="49"/>
      <c r="R64" s="259"/>
      <c r="S64" s="210"/>
      <c r="T64" s="49"/>
    </row>
    <row r="65" spans="2:20" x14ac:dyDescent="0.25">
      <c r="B65" s="28"/>
      <c r="C65" s="15" t="s">
        <v>51</v>
      </c>
      <c r="D65" s="48"/>
      <c r="E65" s="53"/>
      <c r="F65" s="77"/>
      <c r="G65" s="99"/>
      <c r="H65" s="49"/>
      <c r="I65" s="77"/>
      <c r="J65" s="99"/>
      <c r="K65" s="49"/>
      <c r="L65" s="74"/>
      <c r="M65" s="16"/>
      <c r="N65" s="53"/>
      <c r="O65" s="77"/>
      <c r="P65" s="99"/>
      <c r="Q65" s="49"/>
      <c r="R65" s="77"/>
      <c r="S65" s="99"/>
      <c r="T65" s="49"/>
    </row>
    <row r="66" spans="2:20" x14ac:dyDescent="0.25">
      <c r="B66" s="28" t="s">
        <v>591</v>
      </c>
      <c r="C66" s="17" t="s">
        <v>419</v>
      </c>
      <c r="D66" s="36">
        <v>0</v>
      </c>
      <c r="E66" s="108">
        <f t="shared" ref="E66:E104" si="108">IFERROR(D66/D$35,"")</f>
        <v>0</v>
      </c>
      <c r="F66" s="36">
        <v>0</v>
      </c>
      <c r="G66" s="108">
        <f t="shared" ref="G66:G104" si="109">IFERROR(F66/F$35,"")</f>
        <v>0</v>
      </c>
      <c r="H66" s="137">
        <f t="shared" ref="H66:H104" si="110">+D66-F66</f>
        <v>0</v>
      </c>
      <c r="I66" s="36">
        <v>0</v>
      </c>
      <c r="J66" s="108">
        <f t="shared" ref="J66:J104" si="111">IFERROR(I66/I$35,"")</f>
        <v>0</v>
      </c>
      <c r="K66" s="137">
        <f t="shared" ref="K66:K104" si="112">+D66-I66</f>
        <v>0</v>
      </c>
      <c r="L66" s="74"/>
      <c r="M66" s="89">
        <v>0</v>
      </c>
      <c r="N66" s="108">
        <f t="shared" ref="N66:N104" si="113">IFERROR(M66/M$35,"")</f>
        <v>0</v>
      </c>
      <c r="O66" s="36">
        <v>0</v>
      </c>
      <c r="P66" s="108">
        <f t="shared" ref="P66:P104" si="114">IFERROR(O66/O$35,"")</f>
        <v>0</v>
      </c>
      <c r="Q66" s="137">
        <f t="shared" ref="Q66:Q104" si="115">+M66-O66</f>
        <v>0</v>
      </c>
      <c r="R66" s="36">
        <v>0</v>
      </c>
      <c r="S66" s="108">
        <f t="shared" ref="S66:S104" si="116">IFERROR(R66/R$35,"")</f>
        <v>0</v>
      </c>
      <c r="T66" s="137">
        <f t="shared" ref="T66:T104" si="117">+M66-R66</f>
        <v>0</v>
      </c>
    </row>
    <row r="67" spans="2:20" x14ac:dyDescent="0.25">
      <c r="B67" s="28" t="s">
        <v>589</v>
      </c>
      <c r="C67" s="17" t="s">
        <v>373</v>
      </c>
      <c r="D67" s="36">
        <v>1843.25</v>
      </c>
      <c r="E67" s="108">
        <f t="shared" si="108"/>
        <v>5.6557654887199656E-3</v>
      </c>
      <c r="F67" s="36">
        <v>1460.6940886560001</v>
      </c>
      <c r="G67" s="108">
        <f t="shared" si="109"/>
        <v>3.1953164583745186E-3</v>
      </c>
      <c r="H67" s="137">
        <f t="shared" si="110"/>
        <v>382.55591134399992</v>
      </c>
      <c r="I67" s="36">
        <v>1327.62</v>
      </c>
      <c r="J67" s="108">
        <f t="shared" si="111"/>
        <v>4.8064295417042891E-3</v>
      </c>
      <c r="K67" s="137">
        <f t="shared" si="112"/>
        <v>515.63000000000011</v>
      </c>
      <c r="L67" s="74"/>
      <c r="M67" s="89">
        <v>21146.74</v>
      </c>
      <c r="N67" s="108">
        <f t="shared" si="113"/>
        <v>1.143146021506697E-2</v>
      </c>
      <c r="O67" s="36">
        <v>7492.9856020670004</v>
      </c>
      <c r="P67" s="108">
        <f t="shared" si="114"/>
        <v>3.3304675176727581E-3</v>
      </c>
      <c r="Q67" s="137">
        <f t="shared" si="115"/>
        <v>13653.754397933</v>
      </c>
      <c r="R67" s="36">
        <v>5805.77</v>
      </c>
      <c r="S67" s="108">
        <f t="shared" si="116"/>
        <v>4.8668664396372702E-3</v>
      </c>
      <c r="T67" s="137">
        <f t="shared" si="117"/>
        <v>15340.970000000001</v>
      </c>
    </row>
    <row r="68" spans="2:20" x14ac:dyDescent="0.25">
      <c r="B68" s="28" t="s">
        <v>572</v>
      </c>
      <c r="C68" s="17" t="s">
        <v>362</v>
      </c>
      <c r="D68" s="36">
        <v>2374.79</v>
      </c>
      <c r="E68" s="108">
        <f t="shared" si="108"/>
        <v>7.2867247117630752E-3</v>
      </c>
      <c r="F68" s="36">
        <v>1817.625842617</v>
      </c>
      <c r="G68" s="108">
        <f t="shared" si="109"/>
        <v>3.9761164334038293E-3</v>
      </c>
      <c r="H68" s="137">
        <f t="shared" si="110"/>
        <v>557.16415738299997</v>
      </c>
      <c r="I68" s="36">
        <v>1183.7</v>
      </c>
      <c r="J68" s="108">
        <f t="shared" si="111"/>
        <v>4.2853908863344685E-3</v>
      </c>
      <c r="K68" s="137">
        <f t="shared" si="112"/>
        <v>1191.0899999999999</v>
      </c>
      <c r="L68" s="74"/>
      <c r="M68" s="89">
        <v>12133.09</v>
      </c>
      <c r="N68" s="108">
        <f t="shared" si="113"/>
        <v>6.5588802633799294E-3</v>
      </c>
      <c r="O68" s="36">
        <v>8939.4473385740002</v>
      </c>
      <c r="P68" s="108">
        <f t="shared" si="114"/>
        <v>3.9733879882077848E-3</v>
      </c>
      <c r="Q68" s="137">
        <f t="shared" si="115"/>
        <v>3193.6426614259999</v>
      </c>
      <c r="R68" s="36">
        <v>7924.33</v>
      </c>
      <c r="S68" s="108">
        <f t="shared" si="116"/>
        <v>6.6428149467875593E-3</v>
      </c>
      <c r="T68" s="137">
        <f t="shared" si="117"/>
        <v>4208.76</v>
      </c>
    </row>
    <row r="69" spans="2:20" x14ac:dyDescent="0.25">
      <c r="B69" s="28" t="s">
        <v>576</v>
      </c>
      <c r="C69" s="17" t="s">
        <v>559</v>
      </c>
      <c r="D69" s="36">
        <v>0</v>
      </c>
      <c r="E69" s="108">
        <f t="shared" si="108"/>
        <v>0</v>
      </c>
      <c r="F69" s="36">
        <v>0</v>
      </c>
      <c r="G69" s="108">
        <f t="shared" si="109"/>
        <v>0</v>
      </c>
      <c r="H69" s="137">
        <f t="shared" si="110"/>
        <v>0</v>
      </c>
      <c r="I69" s="36">
        <v>0</v>
      </c>
      <c r="J69" s="108">
        <f t="shared" si="111"/>
        <v>0</v>
      </c>
      <c r="K69" s="137">
        <f t="shared" si="112"/>
        <v>0</v>
      </c>
      <c r="L69" s="74"/>
      <c r="M69" s="89">
        <v>0</v>
      </c>
      <c r="N69" s="108">
        <f t="shared" si="113"/>
        <v>0</v>
      </c>
      <c r="O69" s="36">
        <v>0</v>
      </c>
      <c r="P69" s="108">
        <f t="shared" si="114"/>
        <v>0</v>
      </c>
      <c r="Q69" s="137">
        <f t="shared" si="115"/>
        <v>0</v>
      </c>
      <c r="R69" s="36">
        <v>0</v>
      </c>
      <c r="S69" s="108">
        <f t="shared" si="116"/>
        <v>0</v>
      </c>
      <c r="T69" s="137">
        <f t="shared" si="117"/>
        <v>0</v>
      </c>
    </row>
    <row r="70" spans="2:20" x14ac:dyDescent="0.25">
      <c r="B70" s="28" t="s">
        <v>581</v>
      </c>
      <c r="C70" s="17" t="s">
        <v>560</v>
      </c>
      <c r="D70" s="36">
        <v>1193.92</v>
      </c>
      <c r="E70" s="108">
        <f t="shared" si="108"/>
        <v>3.6633834435331842E-3</v>
      </c>
      <c r="F70" s="36">
        <v>2363.4947468770001</v>
      </c>
      <c r="G70" s="108">
        <f t="shared" si="109"/>
        <v>5.1702226514290708E-3</v>
      </c>
      <c r="H70" s="137">
        <f t="shared" si="110"/>
        <v>-1169.5747468770001</v>
      </c>
      <c r="I70" s="36">
        <v>2081.58</v>
      </c>
      <c r="J70" s="108">
        <f t="shared" si="111"/>
        <v>7.5360175392211737E-3</v>
      </c>
      <c r="K70" s="137">
        <f t="shared" si="112"/>
        <v>-887.65999999999985</v>
      </c>
      <c r="L70" s="74"/>
      <c r="M70" s="89">
        <v>3964.37</v>
      </c>
      <c r="N70" s="108">
        <f t="shared" si="113"/>
        <v>2.1430507933045489E-3</v>
      </c>
      <c r="O70" s="36">
        <v>11624.139759301999</v>
      </c>
      <c r="P70" s="108">
        <f t="shared" si="114"/>
        <v>5.1666748003044638E-3</v>
      </c>
      <c r="Q70" s="137">
        <f t="shared" si="115"/>
        <v>-7659.7697593019993</v>
      </c>
      <c r="R70" s="36">
        <v>7298.68</v>
      </c>
      <c r="S70" s="108">
        <f t="shared" si="116"/>
        <v>6.1183444651875208E-3</v>
      </c>
      <c r="T70" s="137">
        <f t="shared" si="117"/>
        <v>-3334.3100000000004</v>
      </c>
    </row>
    <row r="71" spans="2:20" x14ac:dyDescent="0.25">
      <c r="B71" s="28" t="s">
        <v>606</v>
      </c>
      <c r="C71" s="17" t="s">
        <v>607</v>
      </c>
      <c r="D71" s="36">
        <v>0</v>
      </c>
      <c r="E71" s="108">
        <f t="shared" si="108"/>
        <v>0</v>
      </c>
      <c r="F71" s="36">
        <v>0</v>
      </c>
      <c r="G71" s="108">
        <f t="shared" si="109"/>
        <v>0</v>
      </c>
      <c r="H71" s="137">
        <f t="shared" si="110"/>
        <v>0</v>
      </c>
      <c r="I71" s="36">
        <v>0</v>
      </c>
      <c r="J71" s="108">
        <f t="shared" si="111"/>
        <v>0</v>
      </c>
      <c r="K71" s="137">
        <f t="shared" si="112"/>
        <v>0</v>
      </c>
      <c r="L71" s="74"/>
      <c r="M71" s="89">
        <v>0</v>
      </c>
      <c r="N71" s="108">
        <f t="shared" si="113"/>
        <v>0</v>
      </c>
      <c r="O71" s="36">
        <v>0</v>
      </c>
      <c r="P71" s="108">
        <f t="shared" si="114"/>
        <v>0</v>
      </c>
      <c r="Q71" s="137">
        <f t="shared" si="115"/>
        <v>0</v>
      </c>
      <c r="R71" s="36">
        <v>0</v>
      </c>
      <c r="S71" s="108">
        <f t="shared" si="116"/>
        <v>0</v>
      </c>
      <c r="T71" s="137">
        <f t="shared" si="117"/>
        <v>0</v>
      </c>
    </row>
    <row r="72" spans="2:20" x14ac:dyDescent="0.25">
      <c r="B72" s="28" t="s">
        <v>587</v>
      </c>
      <c r="C72" s="17" t="s">
        <v>570</v>
      </c>
      <c r="D72" s="36">
        <v>0</v>
      </c>
      <c r="E72" s="108">
        <f t="shared" si="108"/>
        <v>0</v>
      </c>
      <c r="F72" s="36">
        <v>0</v>
      </c>
      <c r="G72" s="108">
        <f t="shared" si="109"/>
        <v>0</v>
      </c>
      <c r="H72" s="137">
        <f t="shared" si="110"/>
        <v>0</v>
      </c>
      <c r="I72" s="36">
        <v>0</v>
      </c>
      <c r="J72" s="108">
        <f t="shared" si="111"/>
        <v>0</v>
      </c>
      <c r="K72" s="137">
        <f t="shared" si="112"/>
        <v>0</v>
      </c>
      <c r="L72" s="74"/>
      <c r="M72" s="89">
        <v>0</v>
      </c>
      <c r="N72" s="108">
        <f t="shared" si="113"/>
        <v>0</v>
      </c>
      <c r="O72" s="36">
        <v>0</v>
      </c>
      <c r="P72" s="108">
        <f t="shared" si="114"/>
        <v>0</v>
      </c>
      <c r="Q72" s="137">
        <f t="shared" si="115"/>
        <v>0</v>
      </c>
      <c r="R72" s="36">
        <v>0</v>
      </c>
      <c r="S72" s="108">
        <f t="shared" si="116"/>
        <v>0</v>
      </c>
      <c r="T72" s="137">
        <f t="shared" si="117"/>
        <v>0</v>
      </c>
    </row>
    <row r="73" spans="2:20" x14ac:dyDescent="0.25">
      <c r="B73" s="28" t="s">
        <v>601</v>
      </c>
      <c r="C73" s="17" t="s">
        <v>561</v>
      </c>
      <c r="D73" s="36">
        <v>200</v>
      </c>
      <c r="E73" s="108">
        <f t="shared" si="108"/>
        <v>6.1367318472480307E-4</v>
      </c>
      <c r="F73" s="36">
        <v>4059.9</v>
      </c>
      <c r="G73" s="108">
        <f t="shared" si="109"/>
        <v>8.8811650503022119E-3</v>
      </c>
      <c r="H73" s="137">
        <f t="shared" si="110"/>
        <v>-3859.9</v>
      </c>
      <c r="I73" s="36">
        <v>38.450000000000003</v>
      </c>
      <c r="J73" s="108">
        <f t="shared" si="111"/>
        <v>1.3920189201618681E-4</v>
      </c>
      <c r="K73" s="137">
        <f t="shared" si="112"/>
        <v>161.55000000000001</v>
      </c>
      <c r="L73" s="74"/>
      <c r="M73" s="89">
        <v>12625.1</v>
      </c>
      <c r="N73" s="108">
        <f t="shared" si="113"/>
        <v>6.8248499939585015E-3</v>
      </c>
      <c r="O73" s="36">
        <v>19967.400000000001</v>
      </c>
      <c r="P73" s="108">
        <f t="shared" si="114"/>
        <v>8.875070718677781E-3</v>
      </c>
      <c r="Q73" s="137">
        <f t="shared" si="115"/>
        <v>-7342.3000000000011</v>
      </c>
      <c r="R73" s="36">
        <v>1928.42</v>
      </c>
      <c r="S73" s="108">
        <f t="shared" si="116"/>
        <v>1.6165577657270792E-3</v>
      </c>
      <c r="T73" s="137">
        <f t="shared" si="117"/>
        <v>10696.68</v>
      </c>
    </row>
    <row r="74" spans="2:20" x14ac:dyDescent="0.25">
      <c r="B74" s="28" t="s">
        <v>590</v>
      </c>
      <c r="C74" s="17" t="s">
        <v>562</v>
      </c>
      <c r="D74" s="36">
        <v>0</v>
      </c>
      <c r="E74" s="108">
        <f t="shared" si="108"/>
        <v>0</v>
      </c>
      <c r="F74" s="36">
        <v>1804.4</v>
      </c>
      <c r="G74" s="108">
        <f t="shared" si="109"/>
        <v>3.9471844668009827E-3</v>
      </c>
      <c r="H74" s="137">
        <f t="shared" si="110"/>
        <v>-1804.4</v>
      </c>
      <c r="I74" s="36">
        <v>192</v>
      </c>
      <c r="J74" s="108">
        <f t="shared" si="111"/>
        <v>6.9510437625768179E-4</v>
      </c>
      <c r="K74" s="137">
        <f t="shared" si="112"/>
        <v>-192</v>
      </c>
      <c r="L74" s="74"/>
      <c r="M74" s="89">
        <v>0</v>
      </c>
      <c r="N74" s="108">
        <f t="shared" si="113"/>
        <v>0</v>
      </c>
      <c r="O74" s="36">
        <v>8874.4</v>
      </c>
      <c r="P74" s="108">
        <f t="shared" si="114"/>
        <v>3.9444758749679022E-3</v>
      </c>
      <c r="Q74" s="137">
        <f t="shared" si="115"/>
        <v>-8874.4</v>
      </c>
      <c r="R74" s="36">
        <v>821.48</v>
      </c>
      <c r="S74" s="108">
        <f t="shared" si="116"/>
        <v>6.8863104167633663E-4</v>
      </c>
      <c r="T74" s="137">
        <f t="shared" si="117"/>
        <v>-821.48</v>
      </c>
    </row>
    <row r="75" spans="2:20" x14ac:dyDescent="0.25">
      <c r="B75" s="28" t="s">
        <v>609</v>
      </c>
      <c r="C75" s="17" t="s">
        <v>610</v>
      </c>
      <c r="D75" s="36">
        <v>0</v>
      </c>
      <c r="E75" s="108">
        <f t="shared" si="108"/>
        <v>0</v>
      </c>
      <c r="F75" s="36">
        <v>0</v>
      </c>
      <c r="G75" s="108">
        <f t="shared" si="109"/>
        <v>0</v>
      </c>
      <c r="H75" s="137">
        <f t="shared" si="110"/>
        <v>0</v>
      </c>
      <c r="I75" s="36">
        <v>0</v>
      </c>
      <c r="J75" s="108">
        <f t="shared" si="111"/>
        <v>0</v>
      </c>
      <c r="K75" s="137">
        <f t="shared" si="112"/>
        <v>0</v>
      </c>
      <c r="L75" s="74"/>
      <c r="M75" s="89">
        <v>0</v>
      </c>
      <c r="N75" s="108">
        <f t="shared" si="113"/>
        <v>0</v>
      </c>
      <c r="O75" s="36">
        <v>0</v>
      </c>
      <c r="P75" s="108">
        <f t="shared" si="114"/>
        <v>0</v>
      </c>
      <c r="Q75" s="137">
        <f t="shared" si="115"/>
        <v>0</v>
      </c>
      <c r="R75" s="36">
        <v>0</v>
      </c>
      <c r="S75" s="108">
        <f t="shared" si="116"/>
        <v>0</v>
      </c>
      <c r="T75" s="137">
        <f t="shared" si="117"/>
        <v>0</v>
      </c>
    </row>
    <row r="76" spans="2:20" x14ac:dyDescent="0.25">
      <c r="B76" s="28" t="s">
        <v>575</v>
      </c>
      <c r="C76" s="17" t="s">
        <v>366</v>
      </c>
      <c r="D76" s="36">
        <v>0</v>
      </c>
      <c r="E76" s="108">
        <f t="shared" si="108"/>
        <v>0</v>
      </c>
      <c r="F76" s="36">
        <v>130.319832375</v>
      </c>
      <c r="G76" s="108">
        <f t="shared" si="109"/>
        <v>2.8507892821254038E-4</v>
      </c>
      <c r="H76" s="137">
        <f t="shared" si="110"/>
        <v>-130.319832375</v>
      </c>
      <c r="I76" s="36">
        <v>0</v>
      </c>
      <c r="J76" s="108">
        <f t="shared" si="111"/>
        <v>0</v>
      </c>
      <c r="K76" s="137">
        <f t="shared" si="112"/>
        <v>0</v>
      </c>
      <c r="L76" s="74"/>
      <c r="M76" s="89">
        <v>0</v>
      </c>
      <c r="N76" s="108">
        <f t="shared" si="113"/>
        <v>0</v>
      </c>
      <c r="O76" s="36">
        <v>640.93899381100005</v>
      </c>
      <c r="P76" s="108">
        <f t="shared" si="114"/>
        <v>2.8488330460805139E-4</v>
      </c>
      <c r="Q76" s="137">
        <f t="shared" si="115"/>
        <v>-640.93899381100005</v>
      </c>
      <c r="R76" s="36">
        <v>0</v>
      </c>
      <c r="S76" s="108">
        <f t="shared" si="116"/>
        <v>0</v>
      </c>
      <c r="T76" s="137">
        <f t="shared" si="117"/>
        <v>0</v>
      </c>
    </row>
    <row r="77" spans="2:20" x14ac:dyDescent="0.25">
      <c r="B77" s="28" t="s">
        <v>592</v>
      </c>
      <c r="C77" s="17" t="s">
        <v>374</v>
      </c>
      <c r="D77" s="36">
        <v>0</v>
      </c>
      <c r="E77" s="108">
        <f t="shared" si="108"/>
        <v>0</v>
      </c>
      <c r="F77" s="36">
        <v>0</v>
      </c>
      <c r="G77" s="108">
        <f t="shared" si="109"/>
        <v>0</v>
      </c>
      <c r="H77" s="137">
        <f t="shared" si="110"/>
        <v>0</v>
      </c>
      <c r="I77" s="36">
        <v>0</v>
      </c>
      <c r="J77" s="108">
        <f t="shared" si="111"/>
        <v>0</v>
      </c>
      <c r="K77" s="137">
        <f t="shared" si="112"/>
        <v>0</v>
      </c>
      <c r="L77" s="74"/>
      <c r="M77" s="89">
        <v>0</v>
      </c>
      <c r="N77" s="108">
        <f t="shared" si="113"/>
        <v>0</v>
      </c>
      <c r="O77" s="36">
        <v>0</v>
      </c>
      <c r="P77" s="108">
        <f t="shared" si="114"/>
        <v>0</v>
      </c>
      <c r="Q77" s="137">
        <f t="shared" si="115"/>
        <v>0</v>
      </c>
      <c r="R77" s="36">
        <v>20</v>
      </c>
      <c r="S77" s="108">
        <f t="shared" si="116"/>
        <v>1.6765619167267289E-5</v>
      </c>
      <c r="T77" s="137">
        <f t="shared" si="117"/>
        <v>-20</v>
      </c>
    </row>
    <row r="78" spans="2:20" x14ac:dyDescent="0.25">
      <c r="B78" s="28" t="s">
        <v>574</v>
      </c>
      <c r="C78" s="17" t="s">
        <v>365</v>
      </c>
      <c r="D78" s="36">
        <v>0</v>
      </c>
      <c r="E78" s="108">
        <f t="shared" si="108"/>
        <v>0</v>
      </c>
      <c r="F78" s="36">
        <v>0</v>
      </c>
      <c r="G78" s="108">
        <f t="shared" si="109"/>
        <v>0</v>
      </c>
      <c r="H78" s="137">
        <f t="shared" si="110"/>
        <v>0</v>
      </c>
      <c r="I78" s="36">
        <v>0</v>
      </c>
      <c r="J78" s="108">
        <f t="shared" si="111"/>
        <v>0</v>
      </c>
      <c r="K78" s="137">
        <f t="shared" si="112"/>
        <v>0</v>
      </c>
      <c r="L78" s="74"/>
      <c r="M78" s="89">
        <v>0</v>
      </c>
      <c r="N78" s="108">
        <f t="shared" si="113"/>
        <v>0</v>
      </c>
      <c r="O78" s="36">
        <v>0</v>
      </c>
      <c r="P78" s="108">
        <f t="shared" si="114"/>
        <v>0</v>
      </c>
      <c r="Q78" s="137">
        <f t="shared" si="115"/>
        <v>0</v>
      </c>
      <c r="R78" s="36">
        <v>724.84</v>
      </c>
      <c r="S78" s="108">
        <f t="shared" si="116"/>
        <v>6.0761956986010105E-4</v>
      </c>
      <c r="T78" s="137">
        <f t="shared" si="117"/>
        <v>-724.84</v>
      </c>
    </row>
    <row r="79" spans="2:20" x14ac:dyDescent="0.25">
      <c r="B79" s="28" t="s">
        <v>595</v>
      </c>
      <c r="C79" s="17" t="s">
        <v>377</v>
      </c>
      <c r="D79" s="36">
        <v>0</v>
      </c>
      <c r="E79" s="108">
        <f t="shared" si="108"/>
        <v>0</v>
      </c>
      <c r="F79" s="36">
        <v>0</v>
      </c>
      <c r="G79" s="108">
        <f t="shared" si="109"/>
        <v>0</v>
      </c>
      <c r="H79" s="137">
        <f t="shared" si="110"/>
        <v>0</v>
      </c>
      <c r="I79" s="36">
        <v>0</v>
      </c>
      <c r="J79" s="108">
        <f t="shared" si="111"/>
        <v>0</v>
      </c>
      <c r="K79" s="137">
        <f t="shared" si="112"/>
        <v>0</v>
      </c>
      <c r="L79" s="74"/>
      <c r="M79" s="89">
        <v>0</v>
      </c>
      <c r="N79" s="108">
        <f t="shared" si="113"/>
        <v>0</v>
      </c>
      <c r="O79" s="36">
        <v>0</v>
      </c>
      <c r="P79" s="108">
        <f t="shared" si="114"/>
        <v>0</v>
      </c>
      <c r="Q79" s="137">
        <f t="shared" si="115"/>
        <v>0</v>
      </c>
      <c r="R79" s="36">
        <v>0</v>
      </c>
      <c r="S79" s="108">
        <f t="shared" si="116"/>
        <v>0</v>
      </c>
      <c r="T79" s="137">
        <f t="shared" si="117"/>
        <v>0</v>
      </c>
    </row>
    <row r="80" spans="2:20" x14ac:dyDescent="0.25">
      <c r="B80" s="28" t="s">
        <v>594</v>
      </c>
      <c r="C80" s="17" t="s">
        <v>376</v>
      </c>
      <c r="D80" s="36">
        <v>0</v>
      </c>
      <c r="E80" s="108">
        <f t="shared" si="108"/>
        <v>0</v>
      </c>
      <c r="F80" s="36">
        <v>0</v>
      </c>
      <c r="G80" s="108">
        <f t="shared" si="109"/>
        <v>0</v>
      </c>
      <c r="H80" s="137">
        <f t="shared" si="110"/>
        <v>0</v>
      </c>
      <c r="I80" s="36">
        <v>0</v>
      </c>
      <c r="J80" s="108">
        <f t="shared" si="111"/>
        <v>0</v>
      </c>
      <c r="K80" s="137">
        <f t="shared" si="112"/>
        <v>0</v>
      </c>
      <c r="L80" s="74"/>
      <c r="M80" s="89">
        <v>0</v>
      </c>
      <c r="N80" s="108">
        <f t="shared" si="113"/>
        <v>0</v>
      </c>
      <c r="O80" s="36">
        <v>0</v>
      </c>
      <c r="P80" s="108">
        <f t="shared" si="114"/>
        <v>0</v>
      </c>
      <c r="Q80" s="137">
        <f t="shared" si="115"/>
        <v>0</v>
      </c>
      <c r="R80" s="36">
        <v>-43.94</v>
      </c>
      <c r="S80" s="108">
        <f t="shared" si="116"/>
        <v>-3.6834065310486233E-5</v>
      </c>
      <c r="T80" s="137">
        <f t="shared" si="117"/>
        <v>43.94</v>
      </c>
    </row>
    <row r="81" spans="2:20" x14ac:dyDescent="0.25">
      <c r="B81" s="28" t="s">
        <v>602</v>
      </c>
      <c r="C81" s="17" t="s">
        <v>487</v>
      </c>
      <c r="D81" s="36">
        <v>0</v>
      </c>
      <c r="E81" s="108">
        <f t="shared" si="108"/>
        <v>0</v>
      </c>
      <c r="F81" s="36">
        <v>0</v>
      </c>
      <c r="G81" s="108">
        <f t="shared" si="109"/>
        <v>0</v>
      </c>
      <c r="H81" s="137">
        <f t="shared" si="110"/>
        <v>0</v>
      </c>
      <c r="I81" s="36">
        <v>0</v>
      </c>
      <c r="J81" s="108">
        <f t="shared" si="111"/>
        <v>0</v>
      </c>
      <c r="K81" s="137">
        <f t="shared" si="112"/>
        <v>0</v>
      </c>
      <c r="L81" s="74"/>
      <c r="M81" s="89">
        <v>0</v>
      </c>
      <c r="N81" s="108">
        <f t="shared" si="113"/>
        <v>0</v>
      </c>
      <c r="O81" s="36">
        <v>0</v>
      </c>
      <c r="P81" s="108">
        <f t="shared" si="114"/>
        <v>0</v>
      </c>
      <c r="Q81" s="137">
        <f t="shared" si="115"/>
        <v>0</v>
      </c>
      <c r="R81" s="36">
        <v>0</v>
      </c>
      <c r="S81" s="108">
        <f t="shared" si="116"/>
        <v>0</v>
      </c>
      <c r="T81" s="137">
        <f t="shared" si="117"/>
        <v>0</v>
      </c>
    </row>
    <row r="82" spans="2:20" x14ac:dyDescent="0.25">
      <c r="B82" s="28" t="s">
        <v>573</v>
      </c>
      <c r="C82" s="17" t="s">
        <v>364</v>
      </c>
      <c r="D82" s="36">
        <v>1288.3399999999999</v>
      </c>
      <c r="E82" s="108">
        <f t="shared" si="108"/>
        <v>3.9530985540417634E-3</v>
      </c>
      <c r="F82" s="36">
        <v>3834.35</v>
      </c>
      <c r="G82" s="108">
        <f t="shared" si="109"/>
        <v>8.3877669919520878E-3</v>
      </c>
      <c r="H82" s="137">
        <f t="shared" si="110"/>
        <v>-2546.0100000000002</v>
      </c>
      <c r="I82" s="36">
        <v>2157.5300000000002</v>
      </c>
      <c r="J82" s="108">
        <f t="shared" si="111"/>
        <v>7.81098200472519E-3</v>
      </c>
      <c r="K82" s="137">
        <f t="shared" si="112"/>
        <v>-869.19000000000028</v>
      </c>
      <c r="L82" s="74"/>
      <c r="M82" s="89">
        <v>10176.959999999999</v>
      </c>
      <c r="N82" s="108">
        <f t="shared" si="113"/>
        <v>5.5014396238062197E-3</v>
      </c>
      <c r="O82" s="36">
        <v>18858.099999999999</v>
      </c>
      <c r="P82" s="108">
        <f t="shared" si="114"/>
        <v>8.382011234306791E-3</v>
      </c>
      <c r="Q82" s="137">
        <f t="shared" si="115"/>
        <v>-8681.14</v>
      </c>
      <c r="R82" s="36">
        <v>10017.86</v>
      </c>
      <c r="S82" s="108">
        <f t="shared" si="116"/>
        <v>8.3977812815500142E-3</v>
      </c>
      <c r="T82" s="137">
        <f t="shared" si="117"/>
        <v>159.09999999999854</v>
      </c>
    </row>
    <row r="83" spans="2:20" x14ac:dyDescent="0.25">
      <c r="B83" s="28" t="s">
        <v>603</v>
      </c>
      <c r="C83" s="17" t="s">
        <v>488</v>
      </c>
      <c r="D83" s="36">
        <v>0</v>
      </c>
      <c r="E83" s="108">
        <f t="shared" si="108"/>
        <v>0</v>
      </c>
      <c r="F83" s="36">
        <v>0</v>
      </c>
      <c r="G83" s="108">
        <f t="shared" si="109"/>
        <v>0</v>
      </c>
      <c r="H83" s="137">
        <f t="shared" si="110"/>
        <v>0</v>
      </c>
      <c r="I83" s="36">
        <v>0</v>
      </c>
      <c r="J83" s="108">
        <f t="shared" si="111"/>
        <v>0</v>
      </c>
      <c r="K83" s="137">
        <f t="shared" si="112"/>
        <v>0</v>
      </c>
      <c r="L83" s="74"/>
      <c r="M83" s="89">
        <v>0</v>
      </c>
      <c r="N83" s="108">
        <f t="shared" si="113"/>
        <v>0</v>
      </c>
      <c r="O83" s="36">
        <v>0</v>
      </c>
      <c r="P83" s="108">
        <f t="shared" si="114"/>
        <v>0</v>
      </c>
      <c r="Q83" s="137">
        <f t="shared" si="115"/>
        <v>0</v>
      </c>
      <c r="R83" s="36">
        <v>0</v>
      </c>
      <c r="S83" s="108">
        <f t="shared" si="116"/>
        <v>0</v>
      </c>
      <c r="T83" s="137">
        <f t="shared" si="117"/>
        <v>0</v>
      </c>
    </row>
    <row r="84" spans="2:20" x14ac:dyDescent="0.25">
      <c r="B84" s="28" t="s">
        <v>593</v>
      </c>
      <c r="C84" s="17" t="s">
        <v>375</v>
      </c>
      <c r="D84" s="36">
        <v>0</v>
      </c>
      <c r="E84" s="108">
        <f t="shared" si="108"/>
        <v>0</v>
      </c>
      <c r="F84" s="36">
        <v>0</v>
      </c>
      <c r="G84" s="108">
        <f t="shared" si="109"/>
        <v>0</v>
      </c>
      <c r="H84" s="137">
        <f t="shared" si="110"/>
        <v>0</v>
      </c>
      <c r="I84" s="36">
        <v>0</v>
      </c>
      <c r="J84" s="108">
        <f t="shared" si="111"/>
        <v>0</v>
      </c>
      <c r="K84" s="137">
        <f t="shared" si="112"/>
        <v>0</v>
      </c>
      <c r="L84" s="74"/>
      <c r="M84" s="89">
        <v>0</v>
      </c>
      <c r="N84" s="108">
        <f t="shared" si="113"/>
        <v>0</v>
      </c>
      <c r="O84" s="36">
        <v>0</v>
      </c>
      <c r="P84" s="108">
        <f t="shared" si="114"/>
        <v>0</v>
      </c>
      <c r="Q84" s="137">
        <f t="shared" si="115"/>
        <v>0</v>
      </c>
      <c r="R84" s="36">
        <v>0</v>
      </c>
      <c r="S84" s="108">
        <f t="shared" si="116"/>
        <v>0</v>
      </c>
      <c r="T84" s="137">
        <f t="shared" si="117"/>
        <v>0</v>
      </c>
    </row>
    <row r="85" spans="2:20" x14ac:dyDescent="0.25">
      <c r="B85" s="28" t="s">
        <v>596</v>
      </c>
      <c r="C85" s="17" t="s">
        <v>378</v>
      </c>
      <c r="D85" s="36">
        <v>824.12</v>
      </c>
      <c r="E85" s="108">
        <f t="shared" si="108"/>
        <v>2.5287017249770232E-3</v>
      </c>
      <c r="F85" s="36">
        <v>207.61573501300001</v>
      </c>
      <c r="G85" s="108">
        <f t="shared" si="109"/>
        <v>4.5416626263953814E-4</v>
      </c>
      <c r="H85" s="137">
        <f t="shared" si="110"/>
        <v>616.50426498699994</v>
      </c>
      <c r="I85" s="36">
        <v>0</v>
      </c>
      <c r="J85" s="108">
        <f t="shared" si="111"/>
        <v>0</v>
      </c>
      <c r="K85" s="137">
        <f t="shared" si="112"/>
        <v>824.12</v>
      </c>
      <c r="L85" s="74"/>
      <c r="M85" s="89">
        <v>824.12</v>
      </c>
      <c r="N85" s="108">
        <f t="shared" si="113"/>
        <v>4.4550105559726892E-4</v>
      </c>
      <c r="O85" s="36">
        <v>1021.095698738</v>
      </c>
      <c r="P85" s="108">
        <f t="shared" si="114"/>
        <v>4.5385460985593773E-4</v>
      </c>
      <c r="Q85" s="137">
        <f t="shared" si="115"/>
        <v>-196.97569873800001</v>
      </c>
      <c r="R85" s="36">
        <v>1210.02</v>
      </c>
      <c r="S85" s="108">
        <f t="shared" si="116"/>
        <v>1.0143367252388382E-3</v>
      </c>
      <c r="T85" s="137">
        <f t="shared" si="117"/>
        <v>-385.9</v>
      </c>
    </row>
    <row r="86" spans="2:20" x14ac:dyDescent="0.25">
      <c r="B86" s="28" t="s">
        <v>597</v>
      </c>
      <c r="C86" s="17" t="s">
        <v>421</v>
      </c>
      <c r="D86" s="36">
        <v>0</v>
      </c>
      <c r="E86" s="108">
        <f t="shared" si="108"/>
        <v>0</v>
      </c>
      <c r="F86" s="36">
        <v>0</v>
      </c>
      <c r="G86" s="108">
        <f t="shared" si="109"/>
        <v>0</v>
      </c>
      <c r="H86" s="137">
        <f t="shared" si="110"/>
        <v>0</v>
      </c>
      <c r="I86" s="36">
        <v>0</v>
      </c>
      <c r="J86" s="108">
        <f t="shared" si="111"/>
        <v>0</v>
      </c>
      <c r="K86" s="137">
        <f t="shared" si="112"/>
        <v>0</v>
      </c>
      <c r="L86" s="74"/>
      <c r="M86" s="89">
        <v>0</v>
      </c>
      <c r="N86" s="108">
        <f t="shared" si="113"/>
        <v>0</v>
      </c>
      <c r="O86" s="36">
        <v>0</v>
      </c>
      <c r="P86" s="108">
        <f t="shared" si="114"/>
        <v>0</v>
      </c>
      <c r="Q86" s="137">
        <f t="shared" si="115"/>
        <v>0</v>
      </c>
      <c r="R86" s="36">
        <v>0</v>
      </c>
      <c r="S86" s="108">
        <f t="shared" si="116"/>
        <v>0</v>
      </c>
      <c r="T86" s="137">
        <f t="shared" si="117"/>
        <v>0</v>
      </c>
    </row>
    <row r="87" spans="2:20" x14ac:dyDescent="0.25">
      <c r="B87" s="28" t="s">
        <v>582</v>
      </c>
      <c r="C87" s="17" t="s">
        <v>61</v>
      </c>
      <c r="D87" s="36">
        <v>0</v>
      </c>
      <c r="E87" s="108">
        <f t="shared" si="108"/>
        <v>0</v>
      </c>
      <c r="F87" s="36">
        <v>0</v>
      </c>
      <c r="G87" s="108">
        <f t="shared" si="109"/>
        <v>0</v>
      </c>
      <c r="H87" s="137">
        <f t="shared" si="110"/>
        <v>0</v>
      </c>
      <c r="I87" s="36">
        <v>0</v>
      </c>
      <c r="J87" s="108">
        <f t="shared" si="111"/>
        <v>0</v>
      </c>
      <c r="K87" s="137">
        <f t="shared" si="112"/>
        <v>0</v>
      </c>
      <c r="L87" s="74"/>
      <c r="M87" s="89">
        <v>0</v>
      </c>
      <c r="N87" s="108">
        <f t="shared" si="113"/>
        <v>0</v>
      </c>
      <c r="O87" s="36">
        <v>0</v>
      </c>
      <c r="P87" s="108">
        <f t="shared" si="114"/>
        <v>0</v>
      </c>
      <c r="Q87" s="137">
        <f t="shared" si="115"/>
        <v>0</v>
      </c>
      <c r="R87" s="36">
        <v>92.89</v>
      </c>
      <c r="S87" s="108">
        <f t="shared" si="116"/>
        <v>7.7867918222372925E-5</v>
      </c>
      <c r="T87" s="137">
        <f t="shared" si="117"/>
        <v>-92.89</v>
      </c>
    </row>
    <row r="88" spans="2:20" x14ac:dyDescent="0.25">
      <c r="B88" s="28" t="s">
        <v>584</v>
      </c>
      <c r="C88" s="17" t="s">
        <v>372</v>
      </c>
      <c r="D88" s="36">
        <v>2548.7800000000002</v>
      </c>
      <c r="E88" s="108">
        <f t="shared" si="108"/>
        <v>7.8205896988144171E-3</v>
      </c>
      <c r="F88" s="36">
        <v>4511</v>
      </c>
      <c r="G88" s="108">
        <f t="shared" si="109"/>
        <v>9.8679611670024567E-3</v>
      </c>
      <c r="H88" s="137">
        <f t="shared" si="110"/>
        <v>-1962.2199999999998</v>
      </c>
      <c r="I88" s="36">
        <v>1452.63</v>
      </c>
      <c r="J88" s="108">
        <f t="shared" si="111"/>
        <v>5.2590076566833149E-3</v>
      </c>
      <c r="K88" s="137">
        <f t="shared" si="112"/>
        <v>1096.1500000000001</v>
      </c>
      <c r="L88" s="74"/>
      <c r="M88" s="89">
        <v>13123.92</v>
      </c>
      <c r="N88" s="108">
        <f t="shared" si="113"/>
        <v>7.0945010600083841E-3</v>
      </c>
      <c r="O88" s="36">
        <v>22186</v>
      </c>
      <c r="P88" s="108">
        <f t="shared" si="114"/>
        <v>9.8611896874197559E-3</v>
      </c>
      <c r="Q88" s="137">
        <f t="shared" si="115"/>
        <v>-9062.08</v>
      </c>
      <c r="R88" s="36">
        <v>7349.26</v>
      </c>
      <c r="S88" s="108">
        <f t="shared" si="116"/>
        <v>6.16074471606154E-3</v>
      </c>
      <c r="T88" s="137">
        <f t="shared" si="117"/>
        <v>5774.66</v>
      </c>
    </row>
    <row r="89" spans="2:20" x14ac:dyDescent="0.25">
      <c r="B89" s="28" t="s">
        <v>571</v>
      </c>
      <c r="C89" s="17" t="s">
        <v>563</v>
      </c>
      <c r="D89" s="36">
        <v>0</v>
      </c>
      <c r="E89" s="108">
        <f t="shared" si="108"/>
        <v>0</v>
      </c>
      <c r="F89" s="36">
        <v>1493.624008042</v>
      </c>
      <c r="G89" s="108">
        <f t="shared" si="109"/>
        <v>3.2673517422879676E-3</v>
      </c>
      <c r="H89" s="137">
        <f t="shared" si="110"/>
        <v>-1493.624008042</v>
      </c>
      <c r="I89" s="36">
        <v>0</v>
      </c>
      <c r="J89" s="108">
        <f t="shared" si="111"/>
        <v>0</v>
      </c>
      <c r="K89" s="137">
        <f t="shared" si="112"/>
        <v>0</v>
      </c>
      <c r="L89" s="74"/>
      <c r="M89" s="89">
        <v>0</v>
      </c>
      <c r="N89" s="108">
        <f t="shared" si="113"/>
        <v>0</v>
      </c>
      <c r="O89" s="36">
        <v>7345.941530131</v>
      </c>
      <c r="P89" s="108">
        <f t="shared" si="114"/>
        <v>3.2651096575009608E-3</v>
      </c>
      <c r="Q89" s="137">
        <f t="shared" si="115"/>
        <v>-7345.941530131</v>
      </c>
      <c r="R89" s="36">
        <v>1324</v>
      </c>
      <c r="S89" s="108">
        <f t="shared" si="116"/>
        <v>1.1098839888730944E-3</v>
      </c>
      <c r="T89" s="137">
        <f t="shared" si="117"/>
        <v>-1324</v>
      </c>
    </row>
    <row r="90" spans="2:20" x14ac:dyDescent="0.25">
      <c r="B90" s="28" t="s">
        <v>579</v>
      </c>
      <c r="C90" s="17" t="s">
        <v>564</v>
      </c>
      <c r="D90" s="36">
        <v>0</v>
      </c>
      <c r="E90" s="108">
        <f t="shared" si="108"/>
        <v>0</v>
      </c>
      <c r="F90" s="36">
        <v>0</v>
      </c>
      <c r="G90" s="108">
        <f t="shared" si="109"/>
        <v>0</v>
      </c>
      <c r="H90" s="137">
        <f t="shared" si="110"/>
        <v>0</v>
      </c>
      <c r="I90" s="36">
        <v>0</v>
      </c>
      <c r="J90" s="108">
        <f t="shared" si="111"/>
        <v>0</v>
      </c>
      <c r="K90" s="137">
        <f t="shared" si="112"/>
        <v>0</v>
      </c>
      <c r="L90" s="74"/>
      <c r="M90" s="89">
        <v>0</v>
      </c>
      <c r="N90" s="108">
        <f t="shared" si="113"/>
        <v>0</v>
      </c>
      <c r="O90" s="36">
        <v>0</v>
      </c>
      <c r="P90" s="108">
        <f t="shared" si="114"/>
        <v>0</v>
      </c>
      <c r="Q90" s="137">
        <f t="shared" si="115"/>
        <v>0</v>
      </c>
      <c r="R90" s="36">
        <v>0</v>
      </c>
      <c r="S90" s="108">
        <f t="shared" si="116"/>
        <v>0</v>
      </c>
      <c r="T90" s="137">
        <f t="shared" si="117"/>
        <v>0</v>
      </c>
    </row>
    <row r="91" spans="2:20" x14ac:dyDescent="0.25">
      <c r="B91" s="28" t="s">
        <v>578</v>
      </c>
      <c r="C91" s="17" t="s">
        <v>565</v>
      </c>
      <c r="D91" s="36">
        <v>0</v>
      </c>
      <c r="E91" s="108">
        <f t="shared" si="108"/>
        <v>0</v>
      </c>
      <c r="F91" s="36">
        <v>0</v>
      </c>
      <c r="G91" s="108">
        <f t="shared" si="109"/>
        <v>0</v>
      </c>
      <c r="H91" s="137">
        <f t="shared" si="110"/>
        <v>0</v>
      </c>
      <c r="I91" s="36">
        <v>0</v>
      </c>
      <c r="J91" s="108">
        <f t="shared" si="111"/>
        <v>0</v>
      </c>
      <c r="K91" s="137">
        <f t="shared" si="112"/>
        <v>0</v>
      </c>
      <c r="L91" s="74"/>
      <c r="M91" s="89">
        <v>0</v>
      </c>
      <c r="N91" s="108">
        <f t="shared" si="113"/>
        <v>0</v>
      </c>
      <c r="O91" s="36">
        <v>0</v>
      </c>
      <c r="P91" s="108">
        <f t="shared" si="114"/>
        <v>0</v>
      </c>
      <c r="Q91" s="137">
        <f t="shared" si="115"/>
        <v>0</v>
      </c>
      <c r="R91" s="36">
        <v>0</v>
      </c>
      <c r="S91" s="108">
        <f t="shared" si="116"/>
        <v>0</v>
      </c>
      <c r="T91" s="137">
        <f t="shared" si="117"/>
        <v>0</v>
      </c>
    </row>
    <row r="92" spans="2:20" x14ac:dyDescent="0.25">
      <c r="B92" s="28" t="s">
        <v>580</v>
      </c>
      <c r="C92" s="17" t="s">
        <v>566</v>
      </c>
      <c r="D92" s="36">
        <v>0</v>
      </c>
      <c r="E92" s="108">
        <f t="shared" si="108"/>
        <v>0</v>
      </c>
      <c r="F92" s="36">
        <v>0</v>
      </c>
      <c r="G92" s="108">
        <f t="shared" si="109"/>
        <v>0</v>
      </c>
      <c r="H92" s="137">
        <f t="shared" si="110"/>
        <v>0</v>
      </c>
      <c r="I92" s="36">
        <v>0</v>
      </c>
      <c r="J92" s="108">
        <f t="shared" si="111"/>
        <v>0</v>
      </c>
      <c r="K92" s="137">
        <f t="shared" si="112"/>
        <v>0</v>
      </c>
      <c r="L92" s="74"/>
      <c r="M92" s="89">
        <v>0</v>
      </c>
      <c r="N92" s="108">
        <f t="shared" si="113"/>
        <v>0</v>
      </c>
      <c r="O92" s="36">
        <v>0</v>
      </c>
      <c r="P92" s="108">
        <f t="shared" si="114"/>
        <v>0</v>
      </c>
      <c r="Q92" s="137">
        <f t="shared" si="115"/>
        <v>0</v>
      </c>
      <c r="R92" s="36">
        <v>0</v>
      </c>
      <c r="S92" s="108">
        <f t="shared" si="116"/>
        <v>0</v>
      </c>
      <c r="T92" s="137">
        <f t="shared" si="117"/>
        <v>0</v>
      </c>
    </row>
    <row r="93" spans="2:20" x14ac:dyDescent="0.25">
      <c r="B93" s="28" t="s">
        <v>598</v>
      </c>
      <c r="C93" s="17" t="s">
        <v>567</v>
      </c>
      <c r="D93" s="36">
        <v>0</v>
      </c>
      <c r="E93" s="108">
        <f t="shared" si="108"/>
        <v>0</v>
      </c>
      <c r="F93" s="36">
        <v>0</v>
      </c>
      <c r="G93" s="108">
        <f t="shared" si="109"/>
        <v>0</v>
      </c>
      <c r="H93" s="137">
        <f t="shared" si="110"/>
        <v>0</v>
      </c>
      <c r="I93" s="36">
        <v>0</v>
      </c>
      <c r="J93" s="108">
        <f t="shared" si="111"/>
        <v>0</v>
      </c>
      <c r="K93" s="137">
        <f t="shared" si="112"/>
        <v>0</v>
      </c>
      <c r="L93" s="74"/>
      <c r="M93" s="89">
        <v>0</v>
      </c>
      <c r="N93" s="108">
        <f t="shared" si="113"/>
        <v>0</v>
      </c>
      <c r="O93" s="36">
        <v>0</v>
      </c>
      <c r="P93" s="108">
        <f t="shared" si="114"/>
        <v>0</v>
      </c>
      <c r="Q93" s="137">
        <f t="shared" si="115"/>
        <v>0</v>
      </c>
      <c r="R93" s="36">
        <v>0</v>
      </c>
      <c r="S93" s="108">
        <f t="shared" si="116"/>
        <v>0</v>
      </c>
      <c r="T93" s="137">
        <f t="shared" si="117"/>
        <v>0</v>
      </c>
    </row>
    <row r="94" spans="2:20" x14ac:dyDescent="0.25">
      <c r="B94" s="28" t="s">
        <v>585</v>
      </c>
      <c r="C94" s="17" t="s">
        <v>568</v>
      </c>
      <c r="D94" s="36">
        <v>0</v>
      </c>
      <c r="E94" s="108">
        <f t="shared" si="108"/>
        <v>0</v>
      </c>
      <c r="F94" s="36">
        <v>0</v>
      </c>
      <c r="G94" s="108">
        <f t="shared" si="109"/>
        <v>0</v>
      </c>
      <c r="H94" s="137">
        <f t="shared" si="110"/>
        <v>0</v>
      </c>
      <c r="I94" s="36">
        <v>35.159999999999997</v>
      </c>
      <c r="J94" s="108">
        <f t="shared" si="111"/>
        <v>1.2729098890218798E-4</v>
      </c>
      <c r="K94" s="137">
        <f t="shared" si="112"/>
        <v>-35.159999999999997</v>
      </c>
      <c r="L94" s="74"/>
      <c r="M94" s="89">
        <v>0</v>
      </c>
      <c r="N94" s="108">
        <f t="shared" si="113"/>
        <v>0</v>
      </c>
      <c r="O94" s="36">
        <v>0</v>
      </c>
      <c r="P94" s="108">
        <f t="shared" si="114"/>
        <v>0</v>
      </c>
      <c r="Q94" s="137">
        <f t="shared" si="115"/>
        <v>0</v>
      </c>
      <c r="R94" s="36">
        <v>35.159999999999997</v>
      </c>
      <c r="S94" s="108">
        <f t="shared" si="116"/>
        <v>2.9473958496055889E-5</v>
      </c>
      <c r="T94" s="137">
        <f t="shared" si="117"/>
        <v>-35.159999999999997</v>
      </c>
    </row>
    <row r="95" spans="2:20" x14ac:dyDescent="0.25">
      <c r="B95" s="28" t="s">
        <v>577</v>
      </c>
      <c r="C95" s="17" t="s">
        <v>367</v>
      </c>
      <c r="D95" s="36">
        <v>1159.3900000000001</v>
      </c>
      <c r="E95" s="108">
        <f t="shared" si="108"/>
        <v>3.5574327681904471E-3</v>
      </c>
      <c r="F95" s="36">
        <v>486.55765624100002</v>
      </c>
      <c r="G95" s="108">
        <f t="shared" si="109"/>
        <v>1.0643609082894967E-3</v>
      </c>
      <c r="H95" s="137">
        <f t="shared" si="110"/>
        <v>672.83234375900008</v>
      </c>
      <c r="I95" s="36">
        <v>986</v>
      </c>
      <c r="J95" s="108">
        <f t="shared" si="111"/>
        <v>3.5696505989066367E-3</v>
      </c>
      <c r="K95" s="137">
        <f t="shared" si="112"/>
        <v>173.3900000000001</v>
      </c>
      <c r="L95" s="74"/>
      <c r="M95" s="89">
        <v>7135.75</v>
      </c>
      <c r="N95" s="108">
        <f t="shared" si="113"/>
        <v>3.85742872091226E-3</v>
      </c>
      <c r="O95" s="36">
        <v>2392.9878433499998</v>
      </c>
      <c r="P95" s="108">
        <f t="shared" si="114"/>
        <v>1.0636305347049427E-3</v>
      </c>
      <c r="Q95" s="137">
        <f t="shared" si="115"/>
        <v>4742.7621566500002</v>
      </c>
      <c r="R95" s="36">
        <v>5825.41</v>
      </c>
      <c r="S95" s="108">
        <f t="shared" si="116"/>
        <v>4.8833302776595264E-3</v>
      </c>
      <c r="T95" s="137">
        <f t="shared" si="117"/>
        <v>1310.3400000000001</v>
      </c>
    </row>
    <row r="96" spans="2:20" x14ac:dyDescent="0.25">
      <c r="B96" s="28" t="s">
        <v>588</v>
      </c>
      <c r="C96" s="17" t="s">
        <v>569</v>
      </c>
      <c r="D96" s="36">
        <v>3000</v>
      </c>
      <c r="E96" s="108">
        <f t="shared" si="108"/>
        <v>9.2050977708720456E-3</v>
      </c>
      <c r="F96" s="36">
        <v>1353.3</v>
      </c>
      <c r="G96" s="108">
        <f t="shared" si="109"/>
        <v>2.960388350100737E-3</v>
      </c>
      <c r="H96" s="137">
        <f t="shared" si="110"/>
        <v>1646.7</v>
      </c>
      <c r="I96" s="36">
        <v>2000</v>
      </c>
      <c r="J96" s="108">
        <f t="shared" si="111"/>
        <v>7.2406705860175195E-3</v>
      </c>
      <c r="K96" s="137">
        <f t="shared" si="112"/>
        <v>1000</v>
      </c>
      <c r="L96" s="74"/>
      <c r="M96" s="89">
        <v>15670</v>
      </c>
      <c r="N96" s="108">
        <f t="shared" si="113"/>
        <v>8.4708556292884575E-3</v>
      </c>
      <c r="O96" s="36">
        <v>6655.8</v>
      </c>
      <c r="P96" s="108">
        <f t="shared" si="114"/>
        <v>2.9583569062259269E-3</v>
      </c>
      <c r="Q96" s="137">
        <f t="shared" si="115"/>
        <v>9014.2000000000007</v>
      </c>
      <c r="R96" s="36">
        <v>7700</v>
      </c>
      <c r="S96" s="108">
        <f t="shared" si="116"/>
        <v>6.454763379397906E-3</v>
      </c>
      <c r="T96" s="137">
        <f t="shared" si="117"/>
        <v>7970</v>
      </c>
    </row>
    <row r="97" spans="2:20" x14ac:dyDescent="0.25">
      <c r="B97" s="28" t="s">
        <v>604</v>
      </c>
      <c r="C97" s="17" t="s">
        <v>467</v>
      </c>
      <c r="D97" s="36">
        <v>0</v>
      </c>
      <c r="E97" s="108">
        <f t="shared" si="108"/>
        <v>0</v>
      </c>
      <c r="F97" s="36">
        <v>0</v>
      </c>
      <c r="G97" s="108">
        <f t="shared" si="109"/>
        <v>0</v>
      </c>
      <c r="H97" s="137">
        <f t="shared" si="110"/>
        <v>0</v>
      </c>
      <c r="I97" s="36">
        <v>0</v>
      </c>
      <c r="J97" s="108">
        <f t="shared" si="111"/>
        <v>0</v>
      </c>
      <c r="K97" s="137">
        <f t="shared" si="112"/>
        <v>0</v>
      </c>
      <c r="L97" s="74"/>
      <c r="M97" s="89">
        <v>0</v>
      </c>
      <c r="N97" s="108">
        <f t="shared" si="113"/>
        <v>0</v>
      </c>
      <c r="O97" s="36">
        <v>0</v>
      </c>
      <c r="P97" s="108">
        <f t="shared" si="114"/>
        <v>0</v>
      </c>
      <c r="Q97" s="137">
        <f t="shared" si="115"/>
        <v>0</v>
      </c>
      <c r="R97" s="36">
        <v>0</v>
      </c>
      <c r="S97" s="108">
        <f t="shared" si="116"/>
        <v>0</v>
      </c>
      <c r="T97" s="137">
        <f t="shared" si="117"/>
        <v>0</v>
      </c>
    </row>
    <row r="98" spans="2:20" x14ac:dyDescent="0.25">
      <c r="B98" s="28" t="s">
        <v>605</v>
      </c>
      <c r="C98" s="17" t="s">
        <v>489</v>
      </c>
      <c r="D98" s="36">
        <v>0</v>
      </c>
      <c r="E98" s="108">
        <f t="shared" si="108"/>
        <v>0</v>
      </c>
      <c r="F98" s="36">
        <v>0</v>
      </c>
      <c r="G98" s="108">
        <f t="shared" si="109"/>
        <v>0</v>
      </c>
      <c r="H98" s="137">
        <f t="shared" si="110"/>
        <v>0</v>
      </c>
      <c r="I98" s="36">
        <v>0</v>
      </c>
      <c r="J98" s="108">
        <f t="shared" si="111"/>
        <v>0</v>
      </c>
      <c r="K98" s="137">
        <f t="shared" si="112"/>
        <v>0</v>
      </c>
      <c r="L98" s="74"/>
      <c r="M98" s="89">
        <v>0</v>
      </c>
      <c r="N98" s="108">
        <f t="shared" si="113"/>
        <v>0</v>
      </c>
      <c r="O98" s="36">
        <v>0</v>
      </c>
      <c r="P98" s="108">
        <f t="shared" si="114"/>
        <v>0</v>
      </c>
      <c r="Q98" s="137">
        <f t="shared" si="115"/>
        <v>0</v>
      </c>
      <c r="R98" s="36">
        <v>0</v>
      </c>
      <c r="S98" s="108">
        <f t="shared" si="116"/>
        <v>0</v>
      </c>
      <c r="T98" s="137">
        <f t="shared" si="117"/>
        <v>0</v>
      </c>
    </row>
    <row r="99" spans="2:20" x14ac:dyDescent="0.25">
      <c r="B99" s="28" t="s">
        <v>600</v>
      </c>
      <c r="C99" s="17" t="s">
        <v>379</v>
      </c>
      <c r="D99" s="36">
        <v>0</v>
      </c>
      <c r="E99" s="108">
        <f t="shared" si="108"/>
        <v>0</v>
      </c>
      <c r="F99" s="36">
        <v>0</v>
      </c>
      <c r="G99" s="108">
        <f t="shared" si="109"/>
        <v>0</v>
      </c>
      <c r="H99" s="137">
        <f t="shared" si="110"/>
        <v>0</v>
      </c>
      <c r="I99" s="36">
        <v>0</v>
      </c>
      <c r="J99" s="108">
        <f t="shared" si="111"/>
        <v>0</v>
      </c>
      <c r="K99" s="137">
        <f t="shared" si="112"/>
        <v>0</v>
      </c>
      <c r="L99" s="74"/>
      <c r="M99" s="89">
        <v>0</v>
      </c>
      <c r="N99" s="108">
        <f t="shared" si="113"/>
        <v>0</v>
      </c>
      <c r="O99" s="36">
        <v>0</v>
      </c>
      <c r="P99" s="108">
        <f t="shared" si="114"/>
        <v>0</v>
      </c>
      <c r="Q99" s="137">
        <f t="shared" si="115"/>
        <v>0</v>
      </c>
      <c r="R99" s="36">
        <v>0</v>
      </c>
      <c r="S99" s="108">
        <f t="shared" si="116"/>
        <v>0</v>
      </c>
      <c r="T99" s="137">
        <f t="shared" si="117"/>
        <v>0</v>
      </c>
    </row>
    <row r="100" spans="2:20" x14ac:dyDescent="0.25">
      <c r="B100" s="28" t="s">
        <v>583</v>
      </c>
      <c r="C100" s="17" t="s">
        <v>371</v>
      </c>
      <c r="D100" s="36">
        <v>0</v>
      </c>
      <c r="E100" s="108">
        <f t="shared" si="108"/>
        <v>0</v>
      </c>
      <c r="F100" s="36">
        <v>0</v>
      </c>
      <c r="G100" s="108">
        <f t="shared" si="109"/>
        <v>0</v>
      </c>
      <c r="H100" s="137">
        <f t="shared" si="110"/>
        <v>0</v>
      </c>
      <c r="I100" s="36">
        <v>0</v>
      </c>
      <c r="J100" s="108">
        <f t="shared" si="111"/>
        <v>0</v>
      </c>
      <c r="K100" s="137">
        <f t="shared" si="112"/>
        <v>0</v>
      </c>
      <c r="L100" s="74"/>
      <c r="M100" s="89">
        <v>0</v>
      </c>
      <c r="N100" s="108">
        <f t="shared" si="113"/>
        <v>0</v>
      </c>
      <c r="O100" s="36">
        <v>0</v>
      </c>
      <c r="P100" s="108">
        <f t="shared" si="114"/>
        <v>0</v>
      </c>
      <c r="Q100" s="137">
        <f t="shared" si="115"/>
        <v>0</v>
      </c>
      <c r="R100" s="36">
        <v>0</v>
      </c>
      <c r="S100" s="108">
        <f t="shared" si="116"/>
        <v>0</v>
      </c>
      <c r="T100" s="137">
        <f t="shared" si="117"/>
        <v>0</v>
      </c>
    </row>
    <row r="101" spans="2:20" x14ac:dyDescent="0.25">
      <c r="B101" s="28" t="s">
        <v>586</v>
      </c>
      <c r="C101" s="17" t="s">
        <v>359</v>
      </c>
      <c r="D101" s="36">
        <v>552.84</v>
      </c>
      <c r="E101" s="108">
        <f t="shared" si="108"/>
        <v>1.6963154172163007E-3</v>
      </c>
      <c r="F101" s="36">
        <v>1356.66</v>
      </c>
      <c r="G101" s="108">
        <f t="shared" si="109"/>
        <v>2.9677384608347494E-3</v>
      </c>
      <c r="H101" s="137">
        <f t="shared" si="110"/>
        <v>-803.82</v>
      </c>
      <c r="I101" s="36">
        <v>215.8</v>
      </c>
      <c r="J101" s="108">
        <f t="shared" si="111"/>
        <v>7.8126835623129034E-4</v>
      </c>
      <c r="K101" s="137">
        <f t="shared" si="112"/>
        <v>337.04</v>
      </c>
      <c r="L101" s="74"/>
      <c r="M101" s="89">
        <v>3808.68</v>
      </c>
      <c r="N101" s="108">
        <f t="shared" si="113"/>
        <v>2.058888220686558E-3</v>
      </c>
      <c r="O101" s="36">
        <v>6672.6</v>
      </c>
      <c r="P101" s="108">
        <f t="shared" si="114"/>
        <v>2.9658241372161301E-3</v>
      </c>
      <c r="Q101" s="137">
        <f t="shared" si="115"/>
        <v>-2863.9200000000005</v>
      </c>
      <c r="R101" s="36">
        <v>2379.9299999999998</v>
      </c>
      <c r="S101" s="108">
        <f t="shared" si="116"/>
        <v>1.9950500012377217E-3</v>
      </c>
      <c r="T101" s="137">
        <f t="shared" si="117"/>
        <v>1428.75</v>
      </c>
    </row>
    <row r="102" spans="2:20" x14ac:dyDescent="0.25">
      <c r="B102" s="28" t="s">
        <v>611</v>
      </c>
      <c r="C102" s="17" t="s">
        <v>612</v>
      </c>
      <c r="D102" s="36">
        <v>0</v>
      </c>
      <c r="E102" s="108">
        <f t="shared" si="108"/>
        <v>0</v>
      </c>
      <c r="F102" s="36">
        <v>0</v>
      </c>
      <c r="G102" s="108">
        <f t="shared" si="109"/>
        <v>0</v>
      </c>
      <c r="H102" s="144">
        <f t="shared" si="110"/>
        <v>0</v>
      </c>
      <c r="I102" s="36">
        <v>0</v>
      </c>
      <c r="J102" s="108">
        <f t="shared" si="111"/>
        <v>0</v>
      </c>
      <c r="K102" s="144">
        <f t="shared" si="112"/>
        <v>0</v>
      </c>
      <c r="L102" s="74"/>
      <c r="M102" s="89">
        <v>0</v>
      </c>
      <c r="N102" s="108">
        <f t="shared" si="113"/>
        <v>0</v>
      </c>
      <c r="O102" s="36">
        <v>0</v>
      </c>
      <c r="P102" s="108">
        <f t="shared" si="114"/>
        <v>0</v>
      </c>
      <c r="Q102" s="144">
        <f t="shared" si="115"/>
        <v>0</v>
      </c>
      <c r="R102" s="36">
        <v>0</v>
      </c>
      <c r="S102" s="108">
        <f t="shared" si="116"/>
        <v>0</v>
      </c>
      <c r="T102" s="144">
        <f t="shared" si="117"/>
        <v>0</v>
      </c>
    </row>
    <row r="103" spans="2:20" x14ac:dyDescent="0.25">
      <c r="B103" s="28" t="s">
        <v>608</v>
      </c>
      <c r="C103" s="17" t="s">
        <v>49</v>
      </c>
      <c r="D103" s="307">
        <v>0</v>
      </c>
      <c r="E103" s="156">
        <f t="shared" si="108"/>
        <v>0</v>
      </c>
      <c r="F103" s="159">
        <v>0</v>
      </c>
      <c r="G103" s="156">
        <f t="shared" si="109"/>
        <v>0</v>
      </c>
      <c r="H103" s="141">
        <f t="shared" si="110"/>
        <v>0</v>
      </c>
      <c r="I103" s="36">
        <v>0</v>
      </c>
      <c r="J103" s="156">
        <f t="shared" si="111"/>
        <v>0</v>
      </c>
      <c r="K103" s="141">
        <f t="shared" si="112"/>
        <v>0</v>
      </c>
      <c r="L103" s="74"/>
      <c r="M103" s="231">
        <v>0</v>
      </c>
      <c r="N103" s="156">
        <f t="shared" si="113"/>
        <v>0</v>
      </c>
      <c r="O103" s="159">
        <v>0</v>
      </c>
      <c r="P103" s="156">
        <f t="shared" si="114"/>
        <v>0</v>
      </c>
      <c r="Q103" s="141">
        <f t="shared" si="115"/>
        <v>0</v>
      </c>
      <c r="R103" s="36">
        <v>0</v>
      </c>
      <c r="S103" s="156">
        <f t="shared" si="116"/>
        <v>0</v>
      </c>
      <c r="T103" s="141">
        <f t="shared" si="117"/>
        <v>0</v>
      </c>
    </row>
    <row r="104" spans="2:20" x14ac:dyDescent="0.25">
      <c r="B104" s="28" t="s">
        <v>599</v>
      </c>
      <c r="C104" s="18" t="s">
        <v>425</v>
      </c>
      <c r="D104" s="91">
        <f t="shared" ref="D104" si="118">+SUM(D66:D103)</f>
        <v>14985.43</v>
      </c>
      <c r="E104" s="83">
        <f t="shared" si="108"/>
        <v>4.5980782762853029E-2</v>
      </c>
      <c r="F104" s="91">
        <f t="shared" ref="F104" si="119">+SUM(F66:F103)</f>
        <v>24879.541909820997</v>
      </c>
      <c r="G104" s="83">
        <f t="shared" si="109"/>
        <v>5.4424817871630178E-2</v>
      </c>
      <c r="H104" s="140">
        <f t="shared" si="110"/>
        <v>-9894.1119098209965</v>
      </c>
      <c r="I104" s="91">
        <f t="shared" ref="I104" si="120">+SUM(I66:I103)</f>
        <v>11670.469999999998</v>
      </c>
      <c r="J104" s="83">
        <f t="shared" si="111"/>
        <v>4.2251014426999932E-2</v>
      </c>
      <c r="K104" s="140">
        <f t="shared" si="112"/>
        <v>3314.9600000000028</v>
      </c>
      <c r="L104" s="74"/>
      <c r="M104" s="86">
        <f t="shared" ref="M104" si="121">+SUM(M66:M103)</f>
        <v>100608.73</v>
      </c>
      <c r="N104" s="83">
        <f t="shared" si="113"/>
        <v>5.4386855576009092E-2</v>
      </c>
      <c r="O104" s="91">
        <f t="shared" ref="O104" si="122">+SUM(O66:O103)</f>
        <v>122671.83676597301</v>
      </c>
      <c r="P104" s="83">
        <f t="shared" si="114"/>
        <v>5.4524936971669193E-2</v>
      </c>
      <c r="Q104" s="140">
        <f t="shared" si="115"/>
        <v>-22063.106765973018</v>
      </c>
      <c r="R104" s="91">
        <f t="shared" ref="R104" si="123">+SUM(R66:R103)</f>
        <v>60414.110000000008</v>
      </c>
      <c r="S104" s="83">
        <f t="shared" si="116"/>
        <v>5.0643998029469728E-2</v>
      </c>
      <c r="T104" s="140">
        <f t="shared" si="117"/>
        <v>40194.619999999988</v>
      </c>
    </row>
    <row r="105" spans="2:20" x14ac:dyDescent="0.25">
      <c r="B105" s="28"/>
      <c r="C105" s="16"/>
      <c r="D105" s="241"/>
      <c r="E105" s="32"/>
      <c r="F105" s="240"/>
      <c r="G105" s="32"/>
      <c r="H105" s="16"/>
      <c r="I105" s="240"/>
      <c r="J105" s="32"/>
      <c r="K105" s="304"/>
      <c r="L105" s="74"/>
      <c r="M105" s="240"/>
      <c r="N105" s="32"/>
      <c r="O105" s="240"/>
      <c r="P105" s="32"/>
      <c r="Q105" s="16"/>
      <c r="R105" s="240"/>
      <c r="S105" s="32"/>
      <c r="T105" s="79"/>
    </row>
    <row r="106" spans="2:20" x14ac:dyDescent="0.25">
      <c r="B106" s="14" t="s">
        <v>21</v>
      </c>
      <c r="C106" s="18" t="s">
        <v>426</v>
      </c>
      <c r="D106" s="142">
        <f t="shared" ref="D106" si="124">+D63+D104+D44</f>
        <v>243939.45</v>
      </c>
      <c r="E106" s="135">
        <f t="shared" ref="E106:E107" si="125">IFERROR(D106/D$35,"")</f>
        <v>0.74849549580758434</v>
      </c>
      <c r="F106" s="142">
        <f>F44+F63+F104</f>
        <v>314052.63690982095</v>
      </c>
      <c r="G106" s="135">
        <f t="shared" ref="G106:G107" si="126">IFERROR(F106/F$35,"")</f>
        <v>0.68700049333204072</v>
      </c>
      <c r="H106" s="131">
        <f>+D106-F106</f>
        <v>-70113.186909820943</v>
      </c>
      <c r="I106" s="142">
        <f>I44+I63+I104</f>
        <v>226868.58</v>
      </c>
      <c r="J106" s="135">
        <f t="shared" ref="J106:J107" si="127">IFERROR(I106/I$35,"")</f>
        <v>0.82134032704878113</v>
      </c>
      <c r="K106" s="131">
        <f>+D106-I106</f>
        <v>17070.870000000024</v>
      </c>
      <c r="L106" s="74"/>
      <c r="M106" s="133">
        <f t="shared" ref="M106" si="128">+M63+M104+M44</f>
        <v>1323939.92</v>
      </c>
      <c r="N106" s="135">
        <f t="shared" ref="N106:N107" si="129">IFERROR(M106/M$35,"")</f>
        <v>0.71569265629685452</v>
      </c>
      <c r="O106" s="142">
        <f>O44+O63+O104</f>
        <v>1545244.0967659731</v>
      </c>
      <c r="P106" s="135">
        <f t="shared" ref="P106:P107" si="130">IFERROR(O106/O$35,"")</f>
        <v>0.68682705992855264</v>
      </c>
      <c r="Q106" s="131">
        <f>+M106-O106</f>
        <v>-221304.17676597321</v>
      </c>
      <c r="R106" s="142">
        <f>R44+R63+R104</f>
        <v>1001557.42</v>
      </c>
      <c r="S106" s="135">
        <f t="shared" ref="S106:S107" si="131">IFERROR(R106/R$35,"")</f>
        <v>0.83958651389353878</v>
      </c>
      <c r="T106" s="233">
        <f>+M106-R106</f>
        <v>322382.49999999988</v>
      </c>
    </row>
    <row r="107" spans="2:20" ht="15.75" thickBot="1" x14ac:dyDescent="0.3">
      <c r="B107" s="28"/>
      <c r="C107" s="18" t="s">
        <v>427</v>
      </c>
      <c r="D107" s="143">
        <f t="shared" ref="D107" si="132">+D46-D106</f>
        <v>-5045.4200000000419</v>
      </c>
      <c r="E107" s="136">
        <f t="shared" si="125"/>
        <v>-1.5481194798371206E-2</v>
      </c>
      <c r="F107" s="143">
        <f t="shared" ref="F107" si="133">+F46-F106</f>
        <v>46841.963090179022</v>
      </c>
      <c r="G107" s="136">
        <f t="shared" si="126"/>
        <v>0.10246833800932144</v>
      </c>
      <c r="H107" s="132">
        <f>+D107-F107</f>
        <v>-51887.383090179064</v>
      </c>
      <c r="I107" s="143">
        <f t="shared" ref="I107" si="134">+I46-I106</f>
        <v>-32098.399999999994</v>
      </c>
      <c r="J107" s="136">
        <f t="shared" si="127"/>
        <v>-0.11620697036911234</v>
      </c>
      <c r="K107" s="132">
        <f>+D107-I107</f>
        <v>27052.979999999952</v>
      </c>
      <c r="L107" s="74"/>
      <c r="M107" s="134">
        <f t="shared" ref="M107" si="135">+M46-M106</f>
        <v>102288.86000000034</v>
      </c>
      <c r="N107" s="136">
        <f t="shared" si="129"/>
        <v>5.5295096716305156E-2</v>
      </c>
      <c r="O107" s="143">
        <f t="shared" ref="O107" si="136">+O46-O106</f>
        <v>230851.35323402681</v>
      </c>
      <c r="P107" s="136">
        <f t="shared" si="130"/>
        <v>0.10260835589282792</v>
      </c>
      <c r="Q107" s="132">
        <f>+M107-O107</f>
        <v>-128562.49323402648</v>
      </c>
      <c r="R107" s="143">
        <f t="shared" ref="R107" si="137">+R46-R106</f>
        <v>-133253.28000000014</v>
      </c>
      <c r="S107" s="136">
        <f t="shared" si="131"/>
        <v>-0.11170368726346186</v>
      </c>
      <c r="T107" s="132">
        <f>+M107-R107</f>
        <v>235542.14000000048</v>
      </c>
    </row>
    <row r="108" spans="2:20" ht="15.75" thickTop="1" x14ac:dyDescent="0.25">
      <c r="B108" s="28"/>
    </row>
    <row r="109" spans="2:20" x14ac:dyDescent="0.25">
      <c r="B109" s="28"/>
    </row>
    <row r="110" spans="2:20" x14ac:dyDescent="0.25">
      <c r="B110" s="28"/>
    </row>
    <row r="112" spans="2:20" x14ac:dyDescent="0.25">
      <c r="D112" s="290"/>
      <c r="M112" s="290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4D44-DDB6-4E29-ACB2-67F954F124A0}">
  <dimension ref="B1:V40"/>
  <sheetViews>
    <sheetView showGridLines="0" zoomScale="80" zoomScaleNormal="80" workbookViewId="0">
      <pane xSplit="3" ySplit="8" topLeftCell="D21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9</v>
      </c>
      <c r="D9" s="179"/>
      <c r="E9" s="235"/>
      <c r="F9" s="274"/>
      <c r="G9" s="275"/>
      <c r="H9" s="275"/>
      <c r="I9" s="275"/>
      <c r="J9" s="94"/>
      <c r="K9" s="234"/>
      <c r="M9" s="179"/>
      <c r="N9" s="235"/>
      <c r="O9" s="274"/>
      <c r="P9" s="275"/>
      <c r="Q9" s="275"/>
      <c r="R9" s="275"/>
      <c r="S9" s="94"/>
      <c r="T9" s="234"/>
    </row>
    <row r="10" spans="2:22" x14ac:dyDescent="0.25">
      <c r="B10" s="14" t="s">
        <v>271</v>
      </c>
      <c r="C10" s="17" t="s">
        <v>60</v>
      </c>
      <c r="D10" s="36">
        <v>3.98</v>
      </c>
      <c r="E10" s="108">
        <f t="shared" ref="E10:E17" si="0">+IFERROR(D10/D$17,"")</f>
        <v>2.1292189832176887E-3</v>
      </c>
      <c r="F10" s="36">
        <v>85.13</v>
      </c>
      <c r="G10" s="108">
        <f t="shared" ref="G10:G17" si="1">+IFERROR(F10/F$17,"")</f>
        <v>5.7088251072961366E-2</v>
      </c>
      <c r="H10" s="144">
        <f t="shared" ref="H10:H17" si="2">+D10-F10</f>
        <v>-81.149999999999991</v>
      </c>
      <c r="I10" s="36">
        <v>36.36</v>
      </c>
      <c r="J10" s="108">
        <f t="shared" ref="J10:J17" si="3">+IFERROR(I10/I$17,"")</f>
        <v>5.2972799720275646E-2</v>
      </c>
      <c r="K10" s="144">
        <f t="shared" ref="K10:K17" si="4">+D10-I10</f>
        <v>-32.380000000000003</v>
      </c>
      <c r="M10" s="36">
        <v>392.24</v>
      </c>
      <c r="N10" s="108">
        <f t="shared" ref="N10:N17" si="5">+IFERROR(M10/M$17,"")</f>
        <v>3.3400974337008886E-2</v>
      </c>
      <c r="O10" s="36">
        <v>440.46</v>
      </c>
      <c r="P10" s="108">
        <f t="shared" ref="P10:P17" si="6">+IFERROR(O10/O$17,"")</f>
        <v>5.7088272576217493E-2</v>
      </c>
      <c r="Q10" s="144">
        <f t="shared" ref="Q10:Q17" si="7">+M10-O10</f>
        <v>-48.21999999999997</v>
      </c>
      <c r="R10" s="36">
        <v>186.05</v>
      </c>
      <c r="S10" s="108">
        <f t="shared" ref="S10:S17" si="8">+IFERROR(R10/R$17,"")</f>
        <v>2.3571100981358496E-2</v>
      </c>
      <c r="T10" s="144">
        <f t="shared" ref="T10:T17" si="9">+M10-R10</f>
        <v>206.19</v>
      </c>
    </row>
    <row r="11" spans="2:22" x14ac:dyDescent="0.25">
      <c r="B11" s="14" t="s">
        <v>272</v>
      </c>
      <c r="C11" s="17" t="s">
        <v>56</v>
      </c>
      <c r="D11" s="36">
        <v>0</v>
      </c>
      <c r="E11" s="108">
        <f t="shared" si="0"/>
        <v>0</v>
      </c>
      <c r="F11" s="36">
        <v>0</v>
      </c>
      <c r="G11" s="108">
        <f t="shared" si="1"/>
        <v>0</v>
      </c>
      <c r="H11" s="144">
        <f t="shared" si="2"/>
        <v>0</v>
      </c>
      <c r="I11" s="36">
        <v>0</v>
      </c>
      <c r="J11" s="108">
        <f t="shared" si="3"/>
        <v>0</v>
      </c>
      <c r="K11" s="144">
        <f t="shared" si="4"/>
        <v>0</v>
      </c>
      <c r="M11" s="36">
        <v>0</v>
      </c>
      <c r="N11" s="108">
        <f t="shared" si="5"/>
        <v>0</v>
      </c>
      <c r="O11" s="36">
        <v>0</v>
      </c>
      <c r="P11" s="108">
        <f t="shared" si="6"/>
        <v>0</v>
      </c>
      <c r="Q11" s="144">
        <f t="shared" si="7"/>
        <v>0</v>
      </c>
      <c r="R11" s="36">
        <v>0</v>
      </c>
      <c r="S11" s="108">
        <f t="shared" si="8"/>
        <v>0</v>
      </c>
      <c r="T11" s="144">
        <f t="shared" si="9"/>
        <v>0</v>
      </c>
    </row>
    <row r="12" spans="2:22" x14ac:dyDescent="0.25">
      <c r="B12" s="14" t="s">
        <v>286</v>
      </c>
      <c r="C12" s="17" t="s">
        <v>58</v>
      </c>
      <c r="D12" s="36">
        <v>0</v>
      </c>
      <c r="E12" s="108">
        <f t="shared" si="0"/>
        <v>0</v>
      </c>
      <c r="F12" s="36">
        <v>0</v>
      </c>
      <c r="G12" s="108">
        <f t="shared" si="1"/>
        <v>0</v>
      </c>
      <c r="H12" s="144">
        <f t="shared" si="2"/>
        <v>0</v>
      </c>
      <c r="I12" s="36">
        <v>0</v>
      </c>
      <c r="J12" s="108">
        <f t="shared" si="3"/>
        <v>0</v>
      </c>
      <c r="K12" s="144">
        <f t="shared" si="4"/>
        <v>0</v>
      </c>
      <c r="M12" s="36">
        <v>0</v>
      </c>
      <c r="N12" s="108">
        <f t="shared" si="5"/>
        <v>0</v>
      </c>
      <c r="O12" s="36">
        <v>0</v>
      </c>
      <c r="P12" s="108">
        <f t="shared" si="6"/>
        <v>0</v>
      </c>
      <c r="Q12" s="144">
        <f t="shared" si="7"/>
        <v>0</v>
      </c>
      <c r="R12" s="36">
        <v>0</v>
      </c>
      <c r="S12" s="108">
        <f t="shared" si="8"/>
        <v>0</v>
      </c>
      <c r="T12" s="144">
        <f t="shared" si="9"/>
        <v>0</v>
      </c>
    </row>
    <row r="13" spans="2:22" x14ac:dyDescent="0.25">
      <c r="B13" s="14" t="s">
        <v>278</v>
      </c>
      <c r="C13" s="17" t="s">
        <v>61</v>
      </c>
      <c r="D13" s="36">
        <v>890.25</v>
      </c>
      <c r="E13" s="108">
        <f t="shared" si="0"/>
        <v>0.47626562809285106</v>
      </c>
      <c r="F13" s="36">
        <v>558.24</v>
      </c>
      <c r="G13" s="108">
        <f t="shared" si="1"/>
        <v>0.37435622317596567</v>
      </c>
      <c r="H13" s="144">
        <f t="shared" si="2"/>
        <v>332.01</v>
      </c>
      <c r="I13" s="36">
        <v>325.27999999999997</v>
      </c>
      <c r="J13" s="108">
        <f t="shared" si="3"/>
        <v>0.47389967802561223</v>
      </c>
      <c r="K13" s="144">
        <f t="shared" si="4"/>
        <v>564.97</v>
      </c>
      <c r="M13" s="36">
        <v>7195.13</v>
      </c>
      <c r="N13" s="108">
        <f t="shared" si="5"/>
        <v>0.6126972070197908</v>
      </c>
      <c r="O13" s="36">
        <v>2888.32</v>
      </c>
      <c r="P13" s="108">
        <f t="shared" si="6"/>
        <v>0.37435680753607714</v>
      </c>
      <c r="Q13" s="144">
        <f t="shared" si="7"/>
        <v>4306.8099999999995</v>
      </c>
      <c r="R13" s="36">
        <v>3042.34</v>
      </c>
      <c r="S13" s="108">
        <f t="shared" si="8"/>
        <v>0.38544102853870577</v>
      </c>
      <c r="T13" s="144">
        <f t="shared" si="9"/>
        <v>4152.79</v>
      </c>
    </row>
    <row r="14" spans="2:22" x14ac:dyDescent="0.25">
      <c r="B14" s="14" t="s">
        <v>299</v>
      </c>
      <c r="C14" s="17" t="s">
        <v>434</v>
      </c>
      <c r="D14" s="36">
        <v>0</v>
      </c>
      <c r="E14" s="108">
        <f t="shared" si="0"/>
        <v>0</v>
      </c>
      <c r="F14" s="36">
        <v>0</v>
      </c>
      <c r="G14" s="108">
        <f t="shared" si="1"/>
        <v>0</v>
      </c>
      <c r="H14" s="144">
        <f t="shared" si="2"/>
        <v>0</v>
      </c>
      <c r="I14" s="36">
        <v>0</v>
      </c>
      <c r="J14" s="108">
        <f t="shared" si="3"/>
        <v>0</v>
      </c>
      <c r="K14" s="144">
        <f t="shared" si="4"/>
        <v>0</v>
      </c>
      <c r="M14" s="36">
        <v>0</v>
      </c>
      <c r="N14" s="108">
        <f t="shared" si="5"/>
        <v>0</v>
      </c>
      <c r="O14" s="36">
        <v>0</v>
      </c>
      <c r="P14" s="108">
        <f t="shared" si="6"/>
        <v>0</v>
      </c>
      <c r="Q14" s="144">
        <f t="shared" si="7"/>
        <v>0</v>
      </c>
      <c r="R14" s="36">
        <v>0</v>
      </c>
      <c r="S14" s="108">
        <f t="shared" si="8"/>
        <v>0</v>
      </c>
      <c r="T14" s="144">
        <f t="shared" si="9"/>
        <v>0</v>
      </c>
    </row>
    <row r="15" spans="2:22" x14ac:dyDescent="0.25">
      <c r="B15" s="14" t="s">
        <v>280</v>
      </c>
      <c r="C15" s="17" t="s">
        <v>437</v>
      </c>
      <c r="D15" s="36">
        <v>0</v>
      </c>
      <c r="E15" s="108">
        <f t="shared" si="0"/>
        <v>0</v>
      </c>
      <c r="F15" s="36">
        <v>0</v>
      </c>
      <c r="G15" s="108">
        <f t="shared" si="1"/>
        <v>0</v>
      </c>
      <c r="H15" s="144">
        <f t="shared" si="2"/>
        <v>0</v>
      </c>
      <c r="I15" s="36">
        <v>0</v>
      </c>
      <c r="J15" s="108">
        <f t="shared" si="3"/>
        <v>0</v>
      </c>
      <c r="K15" s="144">
        <f t="shared" si="4"/>
        <v>0</v>
      </c>
      <c r="M15" s="36">
        <v>0</v>
      </c>
      <c r="N15" s="108">
        <f t="shared" si="5"/>
        <v>0</v>
      </c>
      <c r="O15" s="36">
        <v>0</v>
      </c>
      <c r="P15" s="108">
        <f t="shared" si="6"/>
        <v>0</v>
      </c>
      <c r="Q15" s="144">
        <f t="shared" si="7"/>
        <v>0</v>
      </c>
      <c r="R15" s="36">
        <v>0</v>
      </c>
      <c r="S15" s="108">
        <f t="shared" si="8"/>
        <v>0</v>
      </c>
      <c r="T15" s="144">
        <f t="shared" si="9"/>
        <v>0</v>
      </c>
    </row>
    <row r="16" spans="2:22" x14ac:dyDescent="0.25">
      <c r="B16" s="14" t="s">
        <v>281</v>
      </c>
      <c r="C16" s="17" t="s">
        <v>438</v>
      </c>
      <c r="D16" s="230">
        <v>975</v>
      </c>
      <c r="E16" s="156">
        <f t="shared" si="0"/>
        <v>0.52160515292393128</v>
      </c>
      <c r="F16" s="159">
        <v>847.83</v>
      </c>
      <c r="G16" s="156">
        <f t="shared" si="1"/>
        <v>0.56855552575107293</v>
      </c>
      <c r="H16" s="141">
        <f t="shared" si="2"/>
        <v>127.16999999999996</v>
      </c>
      <c r="I16" s="36">
        <v>324.75</v>
      </c>
      <c r="J16" s="156">
        <f t="shared" si="3"/>
        <v>0.47312752225411209</v>
      </c>
      <c r="K16" s="141">
        <f t="shared" si="4"/>
        <v>650.25</v>
      </c>
      <c r="M16" s="230">
        <v>4156</v>
      </c>
      <c r="N16" s="156">
        <f t="shared" si="5"/>
        <v>0.35390181864320042</v>
      </c>
      <c r="O16" s="159">
        <v>4386.6400000000003</v>
      </c>
      <c r="P16" s="156">
        <f t="shared" si="6"/>
        <v>0.56855491988770546</v>
      </c>
      <c r="Q16" s="141">
        <f t="shared" si="7"/>
        <v>-230.64000000000033</v>
      </c>
      <c r="R16" s="36">
        <v>4664.75</v>
      </c>
      <c r="S16" s="156">
        <f t="shared" si="8"/>
        <v>0.59098787047993573</v>
      </c>
      <c r="T16" s="141">
        <f t="shared" si="9"/>
        <v>-508.75</v>
      </c>
    </row>
    <row r="17" spans="2:20" x14ac:dyDescent="0.25">
      <c r="B17" s="14" t="s">
        <v>14</v>
      </c>
      <c r="C17" s="18" t="s">
        <v>435</v>
      </c>
      <c r="D17" s="67">
        <f t="shared" ref="D17" si="10">SUM(D10:D16)</f>
        <v>1869.23</v>
      </c>
      <c r="E17" s="229">
        <f t="shared" si="0"/>
        <v>1</v>
      </c>
      <c r="F17" s="67">
        <f>SUM(F10:F16)</f>
        <v>1491.2</v>
      </c>
      <c r="G17" s="229">
        <f t="shared" si="1"/>
        <v>1</v>
      </c>
      <c r="H17" s="233">
        <f t="shared" si="2"/>
        <v>378.03</v>
      </c>
      <c r="I17" s="232">
        <f>SUM(I10:I16)</f>
        <v>686.39</v>
      </c>
      <c r="J17" s="229">
        <f t="shared" si="3"/>
        <v>1</v>
      </c>
      <c r="K17" s="233">
        <f t="shared" si="4"/>
        <v>1182.8400000000001</v>
      </c>
      <c r="M17" s="67">
        <f t="shared" ref="M17" si="11">SUM(M10:M16)</f>
        <v>11743.369999999999</v>
      </c>
      <c r="N17" s="229">
        <f t="shared" si="5"/>
        <v>1</v>
      </c>
      <c r="O17" s="67">
        <f>SUM(O10:O16)</f>
        <v>7715.42</v>
      </c>
      <c r="P17" s="229">
        <f t="shared" si="6"/>
        <v>1</v>
      </c>
      <c r="Q17" s="233">
        <f t="shared" si="7"/>
        <v>4027.9499999999989</v>
      </c>
      <c r="R17" s="232">
        <f>SUM(R10:R16)</f>
        <v>7893.14</v>
      </c>
      <c r="S17" s="229">
        <f t="shared" si="8"/>
        <v>1</v>
      </c>
      <c r="T17" s="233">
        <f t="shared" si="9"/>
        <v>3850.2299999999987</v>
      </c>
    </row>
    <row r="18" spans="2:20" x14ac:dyDescent="0.25">
      <c r="B18" s="14"/>
      <c r="C18" s="18"/>
      <c r="D18" s="48"/>
      <c r="E18" s="16"/>
      <c r="F18" s="31"/>
      <c r="G18" s="16"/>
      <c r="H18" s="31"/>
      <c r="I18" s="16"/>
      <c r="J18" s="16"/>
      <c r="K18" s="102"/>
      <c r="M18" s="48"/>
      <c r="N18" s="16"/>
      <c r="O18" s="31"/>
      <c r="P18" s="16"/>
      <c r="Q18" s="31"/>
      <c r="R18" s="16"/>
      <c r="S18" s="16"/>
      <c r="T18" s="102"/>
    </row>
    <row r="19" spans="2:20" x14ac:dyDescent="0.25">
      <c r="B19" s="14"/>
      <c r="C19" s="15" t="s">
        <v>436</v>
      </c>
      <c r="D19" s="48"/>
      <c r="E19" s="16"/>
      <c r="F19" s="16"/>
      <c r="G19" s="16"/>
      <c r="H19" s="16"/>
      <c r="I19" s="16"/>
      <c r="J19" s="16"/>
      <c r="K19" s="101"/>
      <c r="M19" s="48"/>
      <c r="N19" s="16"/>
      <c r="O19" s="16"/>
      <c r="P19" s="16"/>
      <c r="Q19" s="16"/>
      <c r="R19" s="16"/>
      <c r="S19" s="16"/>
      <c r="T19" s="101"/>
    </row>
    <row r="20" spans="2:20" x14ac:dyDescent="0.25">
      <c r="B20" s="14" t="s">
        <v>260</v>
      </c>
      <c r="C20" s="17" t="s">
        <v>60</v>
      </c>
      <c r="D20" s="36">
        <v>2</v>
      </c>
      <c r="E20" s="51">
        <f t="shared" ref="E20:E27" si="12">+IFERROR(D20/D10,"")</f>
        <v>0.50251256281407031</v>
      </c>
      <c r="F20" s="36">
        <v>39.159999999999997</v>
      </c>
      <c r="G20" s="108">
        <f t="shared" ref="G20:G27" si="13">+IFERROR(F20/F10,"")</f>
        <v>0.46000234934805589</v>
      </c>
      <c r="H20" s="144">
        <f t="shared" ref="H20:H27" si="14">+D20-F20</f>
        <v>-37.159999999999997</v>
      </c>
      <c r="I20" s="36">
        <v>17</v>
      </c>
      <c r="J20" s="108">
        <f t="shared" ref="J20:J27" si="15">+IFERROR(I20/I10,"")</f>
        <v>0.46754675467546758</v>
      </c>
      <c r="K20" s="144">
        <f t="shared" ref="K20:K27" si="16">+D20-I20</f>
        <v>-15</v>
      </c>
      <c r="M20" s="36">
        <v>180</v>
      </c>
      <c r="N20" s="51">
        <f t="shared" ref="N20:N27" si="17">+IFERROR(M20/M10,"")</f>
        <v>0.45890271262492349</v>
      </c>
      <c r="O20" s="36">
        <v>202.61</v>
      </c>
      <c r="P20" s="108">
        <f t="shared" ref="P20:P27" si="18">+IFERROR(O20/O10,"")</f>
        <v>0.45999636743404626</v>
      </c>
      <c r="Q20" s="144">
        <f t="shared" ref="Q20:Q27" si="19">+M20-O20</f>
        <v>-22.610000000000014</v>
      </c>
      <c r="R20" s="36">
        <v>88</v>
      </c>
      <c r="S20" s="108">
        <f t="shared" ref="S20:S24" si="20">+IFERROR(R20/R10,"")</f>
        <v>0.4729911314162859</v>
      </c>
      <c r="T20" s="144">
        <f t="shared" ref="T20:T27" si="21">+M20-R20</f>
        <v>92</v>
      </c>
    </row>
    <row r="21" spans="2:20" x14ac:dyDescent="0.25">
      <c r="B21" s="14" t="s">
        <v>257</v>
      </c>
      <c r="C21" s="17" t="s">
        <v>56</v>
      </c>
      <c r="D21" s="36">
        <v>0</v>
      </c>
      <c r="E21" s="51" t="str">
        <f t="shared" si="12"/>
        <v/>
      </c>
      <c r="F21" s="36">
        <v>0</v>
      </c>
      <c r="G21" s="108" t="str">
        <f t="shared" si="13"/>
        <v/>
      </c>
      <c r="H21" s="144">
        <f t="shared" si="14"/>
        <v>0</v>
      </c>
      <c r="I21" s="36">
        <v>0</v>
      </c>
      <c r="J21" s="108" t="str">
        <f t="shared" si="15"/>
        <v/>
      </c>
      <c r="K21" s="144">
        <f t="shared" si="16"/>
        <v>0</v>
      </c>
      <c r="M21" s="36">
        <v>0</v>
      </c>
      <c r="N21" s="51" t="str">
        <f t="shared" si="17"/>
        <v/>
      </c>
      <c r="O21" s="36">
        <v>0</v>
      </c>
      <c r="P21" s="108" t="str">
        <f t="shared" si="18"/>
        <v/>
      </c>
      <c r="Q21" s="144">
        <f t="shared" si="19"/>
        <v>0</v>
      </c>
      <c r="R21" s="36">
        <v>0</v>
      </c>
      <c r="S21" s="108" t="str">
        <f t="shared" si="20"/>
        <v/>
      </c>
      <c r="T21" s="144">
        <f t="shared" si="21"/>
        <v>0</v>
      </c>
    </row>
    <row r="22" spans="2:20" x14ac:dyDescent="0.25">
      <c r="B22" s="14" t="s">
        <v>258</v>
      </c>
      <c r="C22" s="17" t="s">
        <v>58</v>
      </c>
      <c r="D22" s="36">
        <v>0</v>
      </c>
      <c r="E22" s="51" t="str">
        <f t="shared" si="12"/>
        <v/>
      </c>
      <c r="F22" s="36">
        <v>0</v>
      </c>
      <c r="G22" s="108" t="str">
        <f t="shared" si="13"/>
        <v/>
      </c>
      <c r="H22" s="144">
        <f t="shared" si="14"/>
        <v>0</v>
      </c>
      <c r="I22" s="36">
        <v>0</v>
      </c>
      <c r="J22" s="108" t="str">
        <f t="shared" si="15"/>
        <v/>
      </c>
      <c r="K22" s="144">
        <f t="shared" si="16"/>
        <v>0</v>
      </c>
      <c r="M22" s="36">
        <v>0</v>
      </c>
      <c r="N22" s="51" t="str">
        <f t="shared" si="17"/>
        <v/>
      </c>
      <c r="O22" s="36">
        <v>0</v>
      </c>
      <c r="P22" s="108" t="str">
        <f t="shared" si="18"/>
        <v/>
      </c>
      <c r="Q22" s="144">
        <f t="shared" si="19"/>
        <v>0</v>
      </c>
      <c r="R22" s="36">
        <v>0</v>
      </c>
      <c r="S22" s="108" t="str">
        <f t="shared" si="20"/>
        <v/>
      </c>
      <c r="T22" s="144">
        <f t="shared" si="21"/>
        <v>0</v>
      </c>
    </row>
    <row r="23" spans="2:20" x14ac:dyDescent="0.25">
      <c r="B23" s="14" t="s">
        <v>261</v>
      </c>
      <c r="C23" s="17" t="s">
        <v>61</v>
      </c>
      <c r="D23" s="36">
        <v>759.49</v>
      </c>
      <c r="E23" s="51">
        <f t="shared" si="12"/>
        <v>0.8531199101376018</v>
      </c>
      <c r="F23" s="36">
        <v>469.48</v>
      </c>
      <c r="G23" s="108">
        <f t="shared" si="13"/>
        <v>0.84100028661507598</v>
      </c>
      <c r="H23" s="144">
        <f t="shared" si="14"/>
        <v>290.01</v>
      </c>
      <c r="I23" s="36">
        <v>277.5</v>
      </c>
      <c r="J23" s="108">
        <f t="shared" si="15"/>
        <v>0.85311116576487955</v>
      </c>
      <c r="K23" s="144">
        <f t="shared" si="16"/>
        <v>481.99</v>
      </c>
      <c r="M23" s="36">
        <v>5654.49</v>
      </c>
      <c r="N23" s="51">
        <f t="shared" si="17"/>
        <v>0.78587739206935803</v>
      </c>
      <c r="O23" s="36">
        <v>2429.08</v>
      </c>
      <c r="P23" s="108">
        <f t="shared" si="18"/>
        <v>0.84100099711943266</v>
      </c>
      <c r="Q23" s="144">
        <f t="shared" si="19"/>
        <v>3225.41</v>
      </c>
      <c r="R23" s="36">
        <v>2528.27</v>
      </c>
      <c r="S23" s="108">
        <f t="shared" si="20"/>
        <v>0.83102809022002799</v>
      </c>
      <c r="T23" s="144">
        <f t="shared" si="21"/>
        <v>3126.22</v>
      </c>
    </row>
    <row r="24" spans="2:20" x14ac:dyDescent="0.25">
      <c r="B24" s="14" t="s">
        <v>259</v>
      </c>
      <c r="C24" s="17" t="s">
        <v>434</v>
      </c>
      <c r="D24" s="36">
        <v>0</v>
      </c>
      <c r="E24" s="51" t="str">
        <f t="shared" si="12"/>
        <v/>
      </c>
      <c r="F24" s="36">
        <v>0</v>
      </c>
      <c r="G24" s="108" t="str">
        <f t="shared" si="13"/>
        <v/>
      </c>
      <c r="H24" s="144">
        <f t="shared" si="14"/>
        <v>0</v>
      </c>
      <c r="I24" s="36">
        <v>0</v>
      </c>
      <c r="J24" s="108" t="str">
        <f t="shared" si="15"/>
        <v/>
      </c>
      <c r="K24" s="144">
        <f t="shared" si="16"/>
        <v>0</v>
      </c>
      <c r="M24" s="36">
        <v>0</v>
      </c>
      <c r="N24" s="51" t="str">
        <f t="shared" si="17"/>
        <v/>
      </c>
      <c r="O24" s="36">
        <v>0</v>
      </c>
      <c r="P24" s="108" t="str">
        <f t="shared" si="18"/>
        <v/>
      </c>
      <c r="Q24" s="144">
        <f t="shared" si="19"/>
        <v>0</v>
      </c>
      <c r="R24" s="36">
        <v>0</v>
      </c>
      <c r="S24" s="108" t="str">
        <f t="shared" si="20"/>
        <v/>
      </c>
      <c r="T24" s="144">
        <f t="shared" si="21"/>
        <v>0</v>
      </c>
    </row>
    <row r="25" spans="2:20" x14ac:dyDescent="0.25">
      <c r="B25" s="14" t="s">
        <v>262</v>
      </c>
      <c r="C25" s="17" t="s">
        <v>437</v>
      </c>
      <c r="D25" s="36">
        <v>0</v>
      </c>
      <c r="E25" s="51" t="str">
        <f t="shared" si="12"/>
        <v/>
      </c>
      <c r="F25" s="36">
        <v>0</v>
      </c>
      <c r="G25" s="108" t="str">
        <f t="shared" si="13"/>
        <v/>
      </c>
      <c r="H25" s="144">
        <f t="shared" si="14"/>
        <v>0</v>
      </c>
      <c r="I25" s="36">
        <v>0</v>
      </c>
      <c r="J25" s="108" t="str">
        <f>+IFERROR(I25/I15,"")</f>
        <v/>
      </c>
      <c r="K25" s="144">
        <f t="shared" si="16"/>
        <v>0</v>
      </c>
      <c r="M25" s="36">
        <v>0</v>
      </c>
      <c r="N25" s="51" t="str">
        <f t="shared" si="17"/>
        <v/>
      </c>
      <c r="O25" s="36">
        <v>0</v>
      </c>
      <c r="P25" s="108" t="str">
        <f t="shared" si="18"/>
        <v/>
      </c>
      <c r="Q25" s="144">
        <f t="shared" si="19"/>
        <v>0</v>
      </c>
      <c r="R25" s="36">
        <v>0</v>
      </c>
      <c r="S25" s="108" t="str">
        <f>+IFERROR(R25/R15,"")</f>
        <v/>
      </c>
      <c r="T25" s="144">
        <f t="shared" si="21"/>
        <v>0</v>
      </c>
    </row>
    <row r="26" spans="2:20" x14ac:dyDescent="0.25">
      <c r="B26" s="14" t="s">
        <v>263</v>
      </c>
      <c r="C26" s="17" t="s">
        <v>438</v>
      </c>
      <c r="D26" s="306">
        <v>0</v>
      </c>
      <c r="E26" s="127">
        <f t="shared" si="12"/>
        <v>0</v>
      </c>
      <c r="F26" s="159">
        <v>0</v>
      </c>
      <c r="G26" s="156">
        <f t="shared" si="13"/>
        <v>0</v>
      </c>
      <c r="H26" s="141">
        <f t="shared" si="14"/>
        <v>0</v>
      </c>
      <c r="I26" s="36">
        <v>0</v>
      </c>
      <c r="J26" s="156">
        <f t="shared" si="15"/>
        <v>0</v>
      </c>
      <c r="K26" s="141">
        <f t="shared" si="16"/>
        <v>0</v>
      </c>
      <c r="M26" s="306">
        <v>0</v>
      </c>
      <c r="N26" s="127">
        <f t="shared" si="17"/>
        <v>0</v>
      </c>
      <c r="O26" s="159">
        <v>0</v>
      </c>
      <c r="P26" s="156">
        <f t="shared" si="18"/>
        <v>0</v>
      </c>
      <c r="Q26" s="141">
        <f t="shared" si="19"/>
        <v>0</v>
      </c>
      <c r="R26" s="36">
        <v>0</v>
      </c>
      <c r="S26" s="156">
        <f t="shared" ref="S26:S27" si="22">+IFERROR(R26/R16,"")</f>
        <v>0</v>
      </c>
      <c r="T26" s="141">
        <f t="shared" si="21"/>
        <v>0</v>
      </c>
    </row>
    <row r="27" spans="2:20" x14ac:dyDescent="0.25">
      <c r="B27" s="14" t="s">
        <v>22</v>
      </c>
      <c r="C27" s="18" t="s">
        <v>380</v>
      </c>
      <c r="D27" s="66">
        <f t="shared" ref="D27" si="23">SUM(D20:D26)</f>
        <v>761.49</v>
      </c>
      <c r="E27" s="68">
        <f t="shared" si="12"/>
        <v>0.40738164912825064</v>
      </c>
      <c r="F27" s="67">
        <f>SUM(F20:F26)</f>
        <v>508.64</v>
      </c>
      <c r="G27" s="229">
        <f t="shared" si="13"/>
        <v>0.34109442060085837</v>
      </c>
      <c r="H27" s="233">
        <f t="shared" si="14"/>
        <v>252.85000000000002</v>
      </c>
      <c r="I27" s="232">
        <f>SUM(I20:I26)</f>
        <v>294.5</v>
      </c>
      <c r="J27" s="229">
        <f t="shared" si="15"/>
        <v>0.42905636737131952</v>
      </c>
      <c r="K27" s="233">
        <f t="shared" si="16"/>
        <v>466.99</v>
      </c>
      <c r="M27" s="66">
        <f t="shared" ref="M27" si="24">SUM(M20:M26)</f>
        <v>5834.49</v>
      </c>
      <c r="N27" s="68">
        <f t="shared" si="17"/>
        <v>0.49683268090846155</v>
      </c>
      <c r="O27" s="67">
        <f>SUM(O20:O26)</f>
        <v>2631.69</v>
      </c>
      <c r="P27" s="229">
        <f t="shared" si="18"/>
        <v>0.34109484642443316</v>
      </c>
      <c r="Q27" s="233">
        <f t="shared" si="19"/>
        <v>3202.7999999999997</v>
      </c>
      <c r="R27" s="232">
        <f>SUM(R20:R26)</f>
        <v>2616.27</v>
      </c>
      <c r="S27" s="229">
        <f t="shared" si="22"/>
        <v>0.3314612435608642</v>
      </c>
      <c r="T27" s="233">
        <f t="shared" si="21"/>
        <v>3218.22</v>
      </c>
    </row>
    <row r="28" spans="2:20" x14ac:dyDescent="0.25">
      <c r="B28" s="14"/>
      <c r="C28" s="18"/>
      <c r="D28" s="48"/>
      <c r="E28" s="32"/>
      <c r="F28" s="31"/>
      <c r="G28" s="32"/>
      <c r="H28" s="16"/>
      <c r="I28" s="31"/>
      <c r="J28" s="32"/>
      <c r="K28" s="49"/>
      <c r="M28" s="48"/>
      <c r="N28" s="32"/>
      <c r="O28" s="31"/>
      <c r="P28" s="32"/>
      <c r="Q28" s="16"/>
      <c r="R28" s="31"/>
      <c r="S28" s="32"/>
      <c r="T28" s="49"/>
    </row>
    <row r="29" spans="2:20" x14ac:dyDescent="0.25">
      <c r="B29" s="14"/>
      <c r="C29" s="15" t="s">
        <v>427</v>
      </c>
      <c r="D29" s="48"/>
      <c r="E29" s="32"/>
      <c r="F29" s="16"/>
      <c r="G29" s="32"/>
      <c r="H29" s="16"/>
      <c r="I29" s="16"/>
      <c r="J29" s="32"/>
      <c r="K29" s="49"/>
      <c r="M29" s="48"/>
      <c r="N29" s="32"/>
      <c r="O29" s="16"/>
      <c r="P29" s="32"/>
      <c r="Q29" s="16"/>
      <c r="R29" s="16"/>
      <c r="S29" s="32"/>
      <c r="T29" s="49"/>
    </row>
    <row r="30" spans="2:20" x14ac:dyDescent="0.25">
      <c r="B30" s="14"/>
      <c r="C30" s="17" t="s">
        <v>60</v>
      </c>
      <c r="D30" s="36">
        <v>0</v>
      </c>
      <c r="E30" s="108">
        <f t="shared" ref="E30:E37" si="25">+IFERROR(D30/D10,"")</f>
        <v>0</v>
      </c>
      <c r="F30" s="36">
        <v>0</v>
      </c>
      <c r="G30" s="108">
        <f t="shared" ref="G30:G37" si="26">+IFERROR(F30/F10,"")</f>
        <v>0</v>
      </c>
      <c r="H30" s="144">
        <f t="shared" ref="H30:H37" si="27">+D30-F30</f>
        <v>0</v>
      </c>
      <c r="I30" s="36">
        <v>0</v>
      </c>
      <c r="J30" s="108">
        <f t="shared" ref="J30:J37" si="28">+IFERROR(I30/I10,"")</f>
        <v>0</v>
      </c>
      <c r="K30" s="144">
        <f t="shared" ref="K30:K37" si="29">+D30-I30</f>
        <v>0</v>
      </c>
      <c r="M30" s="36">
        <v>0</v>
      </c>
      <c r="N30" s="108">
        <f t="shared" ref="N30:N37" si="30">+IFERROR(M30/M10,"")</f>
        <v>0</v>
      </c>
      <c r="O30" s="36">
        <v>0</v>
      </c>
      <c r="P30" s="108">
        <f t="shared" ref="P30:P37" si="31">+IFERROR(O30/O10,"")</f>
        <v>0</v>
      </c>
      <c r="Q30" s="144">
        <f t="shared" ref="Q30:Q37" si="32">+M30-O30</f>
        <v>0</v>
      </c>
      <c r="R30" s="36">
        <v>0</v>
      </c>
      <c r="S30" s="108">
        <f t="shared" ref="S30:S37" si="33">+IFERROR(R30/R10,"")</f>
        <v>0</v>
      </c>
      <c r="T30" s="144">
        <f t="shared" ref="T30:T37" si="34">+M30-R30</f>
        <v>0</v>
      </c>
    </row>
    <row r="31" spans="2:20" x14ac:dyDescent="0.25">
      <c r="B31" s="14"/>
      <c r="C31" s="17" t="s">
        <v>56</v>
      </c>
      <c r="D31" s="36">
        <v>0</v>
      </c>
      <c r="E31" s="108" t="str">
        <f t="shared" si="25"/>
        <v/>
      </c>
      <c r="F31" s="36">
        <v>0</v>
      </c>
      <c r="G31" s="108" t="str">
        <f t="shared" si="26"/>
        <v/>
      </c>
      <c r="H31" s="144">
        <f t="shared" si="27"/>
        <v>0</v>
      </c>
      <c r="I31" s="36">
        <v>0</v>
      </c>
      <c r="J31" s="108" t="str">
        <f t="shared" si="28"/>
        <v/>
      </c>
      <c r="K31" s="144">
        <f t="shared" si="29"/>
        <v>0</v>
      </c>
      <c r="M31" s="36">
        <v>0</v>
      </c>
      <c r="N31" s="108" t="str">
        <f t="shared" si="30"/>
        <v/>
      </c>
      <c r="O31" s="36">
        <v>0</v>
      </c>
      <c r="P31" s="108" t="str">
        <f t="shared" si="31"/>
        <v/>
      </c>
      <c r="Q31" s="144">
        <f t="shared" si="32"/>
        <v>0</v>
      </c>
      <c r="R31" s="36">
        <v>0</v>
      </c>
      <c r="S31" s="108" t="str">
        <f t="shared" si="33"/>
        <v/>
      </c>
      <c r="T31" s="144">
        <f t="shared" si="34"/>
        <v>0</v>
      </c>
    </row>
    <row r="32" spans="2:20" x14ac:dyDescent="0.25">
      <c r="B32" s="14"/>
      <c r="C32" s="17" t="s">
        <v>58</v>
      </c>
      <c r="D32" s="36">
        <v>0</v>
      </c>
      <c r="E32" s="108" t="str">
        <f t="shared" si="25"/>
        <v/>
      </c>
      <c r="F32" s="36">
        <v>0</v>
      </c>
      <c r="G32" s="108" t="str">
        <f t="shared" si="26"/>
        <v/>
      </c>
      <c r="H32" s="144">
        <f t="shared" si="27"/>
        <v>0</v>
      </c>
      <c r="I32" s="36">
        <v>0</v>
      </c>
      <c r="J32" s="108" t="str">
        <f t="shared" si="28"/>
        <v/>
      </c>
      <c r="K32" s="144">
        <f t="shared" si="29"/>
        <v>0</v>
      </c>
      <c r="M32" s="36">
        <v>0</v>
      </c>
      <c r="N32" s="108" t="str">
        <f t="shared" si="30"/>
        <v/>
      </c>
      <c r="O32" s="36">
        <v>0</v>
      </c>
      <c r="P32" s="108" t="str">
        <f t="shared" si="31"/>
        <v/>
      </c>
      <c r="Q32" s="144">
        <f t="shared" si="32"/>
        <v>0</v>
      </c>
      <c r="R32" s="36">
        <v>0</v>
      </c>
      <c r="S32" s="108" t="str">
        <f t="shared" si="33"/>
        <v/>
      </c>
      <c r="T32" s="144">
        <f t="shared" si="34"/>
        <v>0</v>
      </c>
    </row>
    <row r="33" spans="2:20" x14ac:dyDescent="0.25">
      <c r="B33" s="14"/>
      <c r="C33" s="17" t="s">
        <v>61</v>
      </c>
      <c r="D33" s="36">
        <v>0</v>
      </c>
      <c r="E33" s="108">
        <f t="shared" si="25"/>
        <v>0</v>
      </c>
      <c r="F33" s="36">
        <v>0</v>
      </c>
      <c r="G33" s="108">
        <f t="shared" si="26"/>
        <v>0</v>
      </c>
      <c r="H33" s="144">
        <f t="shared" si="27"/>
        <v>0</v>
      </c>
      <c r="I33" s="36">
        <v>0</v>
      </c>
      <c r="J33" s="108">
        <f t="shared" si="28"/>
        <v>0</v>
      </c>
      <c r="K33" s="144">
        <f t="shared" si="29"/>
        <v>0</v>
      </c>
      <c r="M33" s="36">
        <v>0</v>
      </c>
      <c r="N33" s="108">
        <f t="shared" si="30"/>
        <v>0</v>
      </c>
      <c r="O33" s="36">
        <v>0</v>
      </c>
      <c r="P33" s="108">
        <f t="shared" si="31"/>
        <v>0</v>
      </c>
      <c r="Q33" s="144">
        <f t="shared" si="32"/>
        <v>0</v>
      </c>
      <c r="R33" s="36">
        <v>0</v>
      </c>
      <c r="S33" s="108">
        <f t="shared" si="33"/>
        <v>0</v>
      </c>
      <c r="T33" s="144">
        <f t="shared" si="34"/>
        <v>0</v>
      </c>
    </row>
    <row r="34" spans="2:20" x14ac:dyDescent="0.25">
      <c r="B34" s="14"/>
      <c r="C34" s="17" t="s">
        <v>434</v>
      </c>
      <c r="D34" s="36">
        <v>0</v>
      </c>
      <c r="E34" s="108" t="str">
        <f t="shared" si="25"/>
        <v/>
      </c>
      <c r="F34" s="36">
        <v>0</v>
      </c>
      <c r="G34" s="108" t="str">
        <f t="shared" si="26"/>
        <v/>
      </c>
      <c r="H34" s="144">
        <f t="shared" si="27"/>
        <v>0</v>
      </c>
      <c r="I34" s="36">
        <v>0</v>
      </c>
      <c r="J34" s="108" t="str">
        <f t="shared" si="28"/>
        <v/>
      </c>
      <c r="K34" s="144">
        <f t="shared" si="29"/>
        <v>0</v>
      </c>
      <c r="M34" s="36">
        <v>0</v>
      </c>
      <c r="N34" s="108" t="str">
        <f t="shared" si="30"/>
        <v/>
      </c>
      <c r="O34" s="36">
        <v>0</v>
      </c>
      <c r="P34" s="108" t="str">
        <f t="shared" si="31"/>
        <v/>
      </c>
      <c r="Q34" s="144">
        <f t="shared" si="32"/>
        <v>0</v>
      </c>
      <c r="R34" s="36">
        <v>0</v>
      </c>
      <c r="S34" s="108" t="str">
        <f t="shared" si="33"/>
        <v/>
      </c>
      <c r="T34" s="144">
        <f t="shared" si="34"/>
        <v>0</v>
      </c>
    </row>
    <row r="35" spans="2:20" x14ac:dyDescent="0.25">
      <c r="B35" s="14"/>
      <c r="C35" s="17" t="s">
        <v>437</v>
      </c>
      <c r="D35" s="36">
        <v>0</v>
      </c>
      <c r="E35" s="108" t="str">
        <f t="shared" si="25"/>
        <v/>
      </c>
      <c r="F35" s="36">
        <v>0</v>
      </c>
      <c r="G35" s="108" t="str">
        <f t="shared" si="26"/>
        <v/>
      </c>
      <c r="H35" s="144">
        <f t="shared" si="27"/>
        <v>0</v>
      </c>
      <c r="I35" s="36">
        <v>0</v>
      </c>
      <c r="J35" s="108" t="str">
        <f t="shared" si="28"/>
        <v/>
      </c>
      <c r="K35" s="144">
        <f t="shared" si="29"/>
        <v>0</v>
      </c>
      <c r="M35" s="36">
        <v>0</v>
      </c>
      <c r="N35" s="108" t="str">
        <f t="shared" si="30"/>
        <v/>
      </c>
      <c r="O35" s="36">
        <v>0</v>
      </c>
      <c r="P35" s="108" t="str">
        <f t="shared" si="31"/>
        <v/>
      </c>
      <c r="Q35" s="144">
        <f t="shared" si="32"/>
        <v>0</v>
      </c>
      <c r="R35" s="36">
        <v>0</v>
      </c>
      <c r="S35" s="108" t="str">
        <f t="shared" si="33"/>
        <v/>
      </c>
      <c r="T35" s="144">
        <f t="shared" si="34"/>
        <v>0</v>
      </c>
    </row>
    <row r="36" spans="2:20" x14ac:dyDescent="0.25">
      <c r="B36" s="14"/>
      <c r="C36" s="17" t="s">
        <v>438</v>
      </c>
      <c r="D36" s="307">
        <v>0</v>
      </c>
      <c r="E36" s="156">
        <f t="shared" si="25"/>
        <v>0</v>
      </c>
      <c r="F36" s="90">
        <v>0</v>
      </c>
      <c r="G36" s="156">
        <f t="shared" si="26"/>
        <v>0</v>
      </c>
      <c r="H36" s="141">
        <f t="shared" si="27"/>
        <v>0</v>
      </c>
      <c r="I36" s="36">
        <v>0</v>
      </c>
      <c r="J36" s="156">
        <f t="shared" si="28"/>
        <v>0</v>
      </c>
      <c r="K36" s="141">
        <f t="shared" si="29"/>
        <v>0</v>
      </c>
      <c r="M36" s="307">
        <v>0</v>
      </c>
      <c r="N36" s="156">
        <f t="shared" si="30"/>
        <v>0</v>
      </c>
      <c r="O36" s="90">
        <v>0</v>
      </c>
      <c r="P36" s="156">
        <f t="shared" si="31"/>
        <v>0</v>
      </c>
      <c r="Q36" s="141">
        <f t="shared" si="32"/>
        <v>0</v>
      </c>
      <c r="R36" s="36">
        <v>0</v>
      </c>
      <c r="S36" s="156">
        <f t="shared" si="33"/>
        <v>0</v>
      </c>
      <c r="T36" s="141">
        <f t="shared" si="34"/>
        <v>0</v>
      </c>
    </row>
    <row r="37" spans="2:20" x14ac:dyDescent="0.25">
      <c r="B37" s="14"/>
      <c r="C37" s="18" t="s">
        <v>24</v>
      </c>
      <c r="D37" s="67">
        <f t="shared" ref="D37:F37" si="35">+D17-D27</f>
        <v>1107.74</v>
      </c>
      <c r="E37" s="229">
        <f t="shared" si="25"/>
        <v>0.5926183508717493</v>
      </c>
      <c r="F37" s="67">
        <f t="shared" si="35"/>
        <v>982.56000000000006</v>
      </c>
      <c r="G37" s="229">
        <f t="shared" si="26"/>
        <v>0.65890557939914163</v>
      </c>
      <c r="H37" s="233">
        <f t="shared" si="27"/>
        <v>125.17999999999995</v>
      </c>
      <c r="I37" s="232">
        <f t="shared" ref="I37" si="36">+I17-I27</f>
        <v>391.89</v>
      </c>
      <c r="J37" s="229">
        <f t="shared" si="28"/>
        <v>0.57094363262868053</v>
      </c>
      <c r="K37" s="233">
        <f t="shared" si="29"/>
        <v>715.85</v>
      </c>
      <c r="M37" s="67">
        <f t="shared" ref="M37" si="37">+M17-M27</f>
        <v>5908.8799999999992</v>
      </c>
      <c r="N37" s="229">
        <f t="shared" si="30"/>
        <v>0.50316731909153845</v>
      </c>
      <c r="O37" s="67">
        <f t="shared" ref="O37" si="38">+O17-O27</f>
        <v>5083.7299999999996</v>
      </c>
      <c r="P37" s="229">
        <f t="shared" si="31"/>
        <v>0.65890515357556678</v>
      </c>
      <c r="Q37" s="233">
        <f t="shared" si="32"/>
        <v>825.14999999999964</v>
      </c>
      <c r="R37" s="232">
        <f t="shared" ref="R37" si="39">+R17-R27</f>
        <v>5276.8700000000008</v>
      </c>
      <c r="S37" s="229">
        <f t="shared" si="33"/>
        <v>0.66853875643913585</v>
      </c>
      <c r="T37" s="233">
        <f t="shared" si="34"/>
        <v>632.0099999999984</v>
      </c>
    </row>
    <row r="38" spans="2:20" x14ac:dyDescent="0.25">
      <c r="B38" s="14"/>
      <c r="C38" s="16"/>
      <c r="D38" s="48"/>
      <c r="E38" s="32"/>
      <c r="F38" s="16"/>
      <c r="G38" s="32"/>
      <c r="H38" s="16"/>
      <c r="I38" s="16"/>
      <c r="J38" s="32"/>
      <c r="K38" s="49"/>
      <c r="M38" s="48"/>
      <c r="N38" s="32"/>
      <c r="O38" s="16"/>
      <c r="P38" s="32"/>
      <c r="Q38" s="16"/>
      <c r="R38" s="16"/>
      <c r="S38" s="32"/>
      <c r="T38" s="49"/>
    </row>
    <row r="39" spans="2:20" ht="15.75" thickBot="1" x14ac:dyDescent="0.3">
      <c r="B39" s="14" t="s">
        <v>107</v>
      </c>
      <c r="C39" s="18" t="s">
        <v>427</v>
      </c>
      <c r="D39" s="143">
        <f>D37</f>
        <v>1107.74</v>
      </c>
      <c r="E39" s="136">
        <f>+IFERROR(D39/D17,"")</f>
        <v>0.5926183508717493</v>
      </c>
      <c r="F39" s="134">
        <f>F37</f>
        <v>982.56000000000006</v>
      </c>
      <c r="G39" s="136">
        <f>+IFERROR(F39/F17,"")</f>
        <v>0.65890557939914163</v>
      </c>
      <c r="H39" s="132">
        <f>+D39-F39</f>
        <v>125.17999999999995</v>
      </c>
      <c r="I39" s="134">
        <f>I37</f>
        <v>391.89</v>
      </c>
      <c r="J39" s="136">
        <f>+IFERROR(I39/I17,"")</f>
        <v>0.57094363262868053</v>
      </c>
      <c r="K39" s="132">
        <f>+D39-I39</f>
        <v>715.85</v>
      </c>
      <c r="M39" s="143">
        <f>M37</f>
        <v>5908.8799999999992</v>
      </c>
      <c r="N39" s="136">
        <f>+IFERROR(M39/M17,"")</f>
        <v>0.50316731909153845</v>
      </c>
      <c r="O39" s="134">
        <f>O37</f>
        <v>5083.7299999999996</v>
      </c>
      <c r="P39" s="136">
        <f>+IFERROR(O39/O17,"")</f>
        <v>0.65890515357556678</v>
      </c>
      <c r="Q39" s="132">
        <f>+M39-O39</f>
        <v>825.14999999999964</v>
      </c>
      <c r="R39" s="134">
        <f>R37</f>
        <v>5276.8700000000008</v>
      </c>
      <c r="S39" s="136">
        <f>+IFERROR(R39/R17,"")</f>
        <v>0.66853875643913585</v>
      </c>
      <c r="T39" s="132">
        <f>+M39-R39</f>
        <v>632.0099999999984</v>
      </c>
    </row>
    <row r="40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D7F-8392-4A30-8565-96ED3FB7458D}">
  <dimension ref="B1:V28"/>
  <sheetViews>
    <sheetView showGridLines="0" zoomScale="80" zoomScaleNormal="80" workbookViewId="0">
      <pane xSplit="3" ySplit="8" topLeftCell="D9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9</v>
      </c>
      <c r="D9" s="179"/>
      <c r="E9" s="235"/>
      <c r="F9" s="179"/>
      <c r="G9" s="20"/>
      <c r="H9" s="239"/>
      <c r="I9" s="20"/>
      <c r="J9" s="20"/>
      <c r="K9" s="93"/>
      <c r="M9" s="179"/>
      <c r="N9" s="235"/>
      <c r="O9" s="179"/>
      <c r="P9" s="20"/>
      <c r="Q9" s="239"/>
      <c r="R9" s="20"/>
      <c r="S9" s="20"/>
      <c r="T9" s="93"/>
    </row>
    <row r="10" spans="2:22" x14ac:dyDescent="0.25">
      <c r="B10" s="14" t="s">
        <v>185</v>
      </c>
      <c r="C10" s="17" t="s">
        <v>439</v>
      </c>
      <c r="D10" s="36">
        <v>0</v>
      </c>
      <c r="E10" s="108">
        <f t="shared" ref="E10:E22" si="0">IFERROR(D10/D$22,"")</f>
        <v>0</v>
      </c>
      <c r="F10" s="105">
        <v>0</v>
      </c>
      <c r="G10" s="238">
        <f t="shared" ref="G10:G22" si="1">IFERROR(F10/F$22,"")</f>
        <v>0</v>
      </c>
      <c r="H10" s="237">
        <f t="shared" ref="H10:H22" si="2">D10-F10</f>
        <v>0</v>
      </c>
      <c r="I10" s="36">
        <v>0</v>
      </c>
      <c r="J10" s="238">
        <f t="shared" ref="J10:J22" si="3">IFERROR(I10/I$22,"")</f>
        <v>0</v>
      </c>
      <c r="K10" s="237">
        <f t="shared" ref="K10:K22" si="4">D10-I10</f>
        <v>0</v>
      </c>
      <c r="M10" s="36">
        <v>0</v>
      </c>
      <c r="N10" s="108">
        <f t="shared" ref="N10:N22" si="5">IFERROR(M10/M$22,"")</f>
        <v>0</v>
      </c>
      <c r="O10" s="105">
        <v>0</v>
      </c>
      <c r="P10" s="238">
        <f t="shared" ref="P10:P22" si="6">IFERROR(O10/O$22,"")</f>
        <v>0</v>
      </c>
      <c r="Q10" s="237">
        <f t="shared" ref="Q10:Q22" si="7">M10-O10</f>
        <v>0</v>
      </c>
      <c r="R10" s="36">
        <v>0</v>
      </c>
      <c r="S10" s="238">
        <f t="shared" ref="S10:S22" si="8">IFERROR(R10/R$22,"")</f>
        <v>0</v>
      </c>
      <c r="T10" s="237">
        <f t="shared" ref="T10:T22" si="9">M10-R10</f>
        <v>0</v>
      </c>
    </row>
    <row r="11" spans="2:22" x14ac:dyDescent="0.25">
      <c r="B11" s="14" t="s">
        <v>173</v>
      </c>
      <c r="C11" s="17" t="s">
        <v>379</v>
      </c>
      <c r="D11" s="36">
        <v>7700</v>
      </c>
      <c r="E11" s="108">
        <f t="shared" si="0"/>
        <v>7.537706397329734E-2</v>
      </c>
      <c r="F11" s="105">
        <v>7700</v>
      </c>
      <c r="G11" s="238">
        <f t="shared" si="1"/>
        <v>6.6357000663570004E-2</v>
      </c>
      <c r="H11" s="237">
        <f t="shared" si="2"/>
        <v>0</v>
      </c>
      <c r="I11" s="36">
        <v>3152.49</v>
      </c>
      <c r="J11" s="238">
        <f t="shared" si="3"/>
        <v>2.6344272473762188E-2</v>
      </c>
      <c r="K11" s="237">
        <f t="shared" si="4"/>
        <v>4547.51</v>
      </c>
      <c r="M11" s="36">
        <v>27044.7</v>
      </c>
      <c r="N11" s="108">
        <f t="shared" si="5"/>
        <v>4.8637912915642956E-2</v>
      </c>
      <c r="O11" s="105">
        <v>38500</v>
      </c>
      <c r="P11" s="238">
        <f t="shared" si="6"/>
        <v>6.3078354785435289E-2</v>
      </c>
      <c r="Q11" s="237">
        <f t="shared" si="7"/>
        <v>-11455.3</v>
      </c>
      <c r="R11" s="36">
        <v>2007.79</v>
      </c>
      <c r="S11" s="238">
        <f t="shared" si="8"/>
        <v>3.6043158153939879E-3</v>
      </c>
      <c r="T11" s="237">
        <f t="shared" si="9"/>
        <v>25036.91</v>
      </c>
    </row>
    <row r="12" spans="2:22" x14ac:dyDescent="0.25">
      <c r="B12" s="14" t="s">
        <v>172</v>
      </c>
      <c r="C12" s="17" t="s">
        <v>440</v>
      </c>
      <c r="D12" s="36">
        <v>0</v>
      </c>
      <c r="E12" s="108">
        <f t="shared" si="0"/>
        <v>0</v>
      </c>
      <c r="F12" s="105">
        <v>0</v>
      </c>
      <c r="G12" s="238">
        <f t="shared" si="1"/>
        <v>0</v>
      </c>
      <c r="H12" s="237">
        <f t="shared" si="2"/>
        <v>0</v>
      </c>
      <c r="I12" s="36">
        <v>0</v>
      </c>
      <c r="J12" s="238">
        <f t="shared" si="3"/>
        <v>0</v>
      </c>
      <c r="K12" s="237">
        <f t="shared" si="4"/>
        <v>0</v>
      </c>
      <c r="M12" s="36">
        <v>0</v>
      </c>
      <c r="N12" s="108">
        <f t="shared" si="5"/>
        <v>0</v>
      </c>
      <c r="O12" s="105">
        <v>0</v>
      </c>
      <c r="P12" s="238">
        <f t="shared" si="6"/>
        <v>0</v>
      </c>
      <c r="Q12" s="237">
        <f t="shared" si="7"/>
        <v>0</v>
      </c>
      <c r="R12" s="36">
        <v>0</v>
      </c>
      <c r="S12" s="238">
        <f t="shared" si="8"/>
        <v>0</v>
      </c>
      <c r="T12" s="237">
        <f t="shared" si="9"/>
        <v>0</v>
      </c>
    </row>
    <row r="13" spans="2:22" x14ac:dyDescent="0.25">
      <c r="B13" s="14" t="s">
        <v>170</v>
      </c>
      <c r="C13" s="17" t="s">
        <v>441</v>
      </c>
      <c r="D13" s="36">
        <v>0</v>
      </c>
      <c r="E13" s="108">
        <f t="shared" si="0"/>
        <v>0</v>
      </c>
      <c r="F13" s="105">
        <v>600</v>
      </c>
      <c r="G13" s="238">
        <f t="shared" si="1"/>
        <v>5.1706753763820787E-3</v>
      </c>
      <c r="H13" s="237">
        <f t="shared" si="2"/>
        <v>-600</v>
      </c>
      <c r="I13" s="36">
        <v>590.79999999999995</v>
      </c>
      <c r="J13" s="238">
        <f t="shared" si="3"/>
        <v>4.9371119900455517E-3</v>
      </c>
      <c r="K13" s="237">
        <f t="shared" si="4"/>
        <v>-590.79999999999995</v>
      </c>
      <c r="M13" s="36">
        <v>32135.3</v>
      </c>
      <c r="N13" s="108">
        <f t="shared" si="5"/>
        <v>5.7792984315524334E-2</v>
      </c>
      <c r="O13" s="105">
        <v>2550</v>
      </c>
      <c r="P13" s="238">
        <f t="shared" si="6"/>
        <v>4.1779170052690905E-3</v>
      </c>
      <c r="Q13" s="237">
        <f t="shared" si="7"/>
        <v>29585.3</v>
      </c>
      <c r="R13" s="36">
        <v>2537.6</v>
      </c>
      <c r="S13" s="238">
        <f t="shared" si="8"/>
        <v>4.5554125745938482E-3</v>
      </c>
      <c r="T13" s="237">
        <f t="shared" si="9"/>
        <v>29597.7</v>
      </c>
    </row>
    <row r="14" spans="2:22" x14ac:dyDescent="0.25">
      <c r="B14" s="14" t="s">
        <v>171</v>
      </c>
      <c r="C14" s="17" t="s">
        <v>442</v>
      </c>
      <c r="D14" s="36">
        <v>1857.34</v>
      </c>
      <c r="E14" s="108">
        <f t="shared" si="0"/>
        <v>1.818192675326806E-2</v>
      </c>
      <c r="F14" s="105">
        <v>6284</v>
      </c>
      <c r="G14" s="238">
        <f t="shared" si="1"/>
        <v>5.41542067753083E-2</v>
      </c>
      <c r="H14" s="237">
        <f t="shared" si="2"/>
        <v>-4426.66</v>
      </c>
      <c r="I14" s="36">
        <v>6284.18</v>
      </c>
      <c r="J14" s="238">
        <f t="shared" si="3"/>
        <v>5.2514726515918174E-2</v>
      </c>
      <c r="K14" s="237">
        <f t="shared" si="4"/>
        <v>-4426.84</v>
      </c>
      <c r="M14" s="36">
        <v>8749.09</v>
      </c>
      <c r="N14" s="108">
        <f t="shared" si="5"/>
        <v>1.5734597814400699E-2</v>
      </c>
      <c r="O14" s="105">
        <v>44377</v>
      </c>
      <c r="P14" s="238">
        <f t="shared" si="6"/>
        <v>7.2707224683461344E-2</v>
      </c>
      <c r="Q14" s="237">
        <f t="shared" si="7"/>
        <v>-35627.910000000003</v>
      </c>
      <c r="R14" s="36">
        <v>44376.79</v>
      </c>
      <c r="S14" s="238">
        <f t="shared" si="8"/>
        <v>7.9663692932735883E-2</v>
      </c>
      <c r="T14" s="237">
        <f t="shared" si="9"/>
        <v>-35627.699999999997</v>
      </c>
    </row>
    <row r="15" spans="2:22" x14ac:dyDescent="0.25">
      <c r="B15" s="14" t="s">
        <v>179</v>
      </c>
      <c r="C15" s="17" t="s">
        <v>443</v>
      </c>
      <c r="D15" s="36">
        <v>0</v>
      </c>
      <c r="E15" s="108">
        <f t="shared" si="0"/>
        <v>0</v>
      </c>
      <c r="F15" s="105">
        <v>0</v>
      </c>
      <c r="G15" s="238">
        <f t="shared" si="1"/>
        <v>0</v>
      </c>
      <c r="H15" s="237">
        <f t="shared" si="2"/>
        <v>0</v>
      </c>
      <c r="I15" s="36">
        <v>0</v>
      </c>
      <c r="J15" s="238">
        <f t="shared" si="3"/>
        <v>0</v>
      </c>
      <c r="K15" s="237">
        <f t="shared" si="4"/>
        <v>0</v>
      </c>
      <c r="M15" s="36">
        <v>0</v>
      </c>
      <c r="N15" s="108">
        <f t="shared" si="5"/>
        <v>0</v>
      </c>
      <c r="O15" s="105">
        <v>0</v>
      </c>
      <c r="P15" s="238">
        <f t="shared" si="6"/>
        <v>0</v>
      </c>
      <c r="Q15" s="237">
        <f t="shared" si="7"/>
        <v>0</v>
      </c>
      <c r="R15" s="36">
        <v>0</v>
      </c>
      <c r="S15" s="238">
        <f t="shared" si="8"/>
        <v>0</v>
      </c>
      <c r="T15" s="237">
        <f t="shared" si="9"/>
        <v>0</v>
      </c>
    </row>
    <row r="16" spans="2:22" x14ac:dyDescent="0.25">
      <c r="B16" s="14" t="s">
        <v>180</v>
      </c>
      <c r="C16" s="17" t="s">
        <v>449</v>
      </c>
      <c r="D16" s="36">
        <v>0</v>
      </c>
      <c r="E16" s="108">
        <f t="shared" si="0"/>
        <v>0</v>
      </c>
      <c r="F16" s="105">
        <v>0</v>
      </c>
      <c r="G16" s="238">
        <f t="shared" si="1"/>
        <v>0</v>
      </c>
      <c r="H16" s="237">
        <f t="shared" si="2"/>
        <v>0</v>
      </c>
      <c r="I16" s="36">
        <v>8745.83</v>
      </c>
      <c r="J16" s="238">
        <f t="shared" si="3"/>
        <v>7.308588719685187E-2</v>
      </c>
      <c r="K16" s="237">
        <f t="shared" si="4"/>
        <v>-8745.83</v>
      </c>
      <c r="M16" s="36">
        <v>0</v>
      </c>
      <c r="N16" s="108">
        <f t="shared" si="5"/>
        <v>0</v>
      </c>
      <c r="O16" s="105">
        <v>0</v>
      </c>
      <c r="P16" s="238">
        <f t="shared" si="6"/>
        <v>0</v>
      </c>
      <c r="Q16" s="237">
        <f t="shared" si="7"/>
        <v>0</v>
      </c>
      <c r="R16" s="36">
        <v>43306.78</v>
      </c>
      <c r="S16" s="238">
        <f t="shared" si="8"/>
        <v>7.7742847642327154E-2</v>
      </c>
      <c r="T16" s="237">
        <f t="shared" si="9"/>
        <v>-43306.78</v>
      </c>
    </row>
    <row r="17" spans="2:20" x14ac:dyDescent="0.25">
      <c r="B17" s="14" t="s">
        <v>181</v>
      </c>
      <c r="C17" s="17" t="s">
        <v>444</v>
      </c>
      <c r="D17" s="36">
        <v>0</v>
      </c>
      <c r="E17" s="108">
        <f t="shared" si="0"/>
        <v>0</v>
      </c>
      <c r="F17" s="105">
        <v>0</v>
      </c>
      <c r="G17" s="238">
        <f t="shared" si="1"/>
        <v>0</v>
      </c>
      <c r="H17" s="237">
        <f t="shared" si="2"/>
        <v>0</v>
      </c>
      <c r="I17" s="36">
        <v>0</v>
      </c>
      <c r="J17" s="238">
        <f t="shared" si="3"/>
        <v>0</v>
      </c>
      <c r="K17" s="237">
        <f t="shared" si="4"/>
        <v>0</v>
      </c>
      <c r="M17" s="36">
        <v>0</v>
      </c>
      <c r="N17" s="108">
        <f t="shared" si="5"/>
        <v>0</v>
      </c>
      <c r="O17" s="105">
        <v>0</v>
      </c>
      <c r="P17" s="238">
        <f t="shared" si="6"/>
        <v>0</v>
      </c>
      <c r="Q17" s="237">
        <f t="shared" si="7"/>
        <v>0</v>
      </c>
      <c r="R17" s="36">
        <v>0</v>
      </c>
      <c r="S17" s="238">
        <f t="shared" si="8"/>
        <v>0</v>
      </c>
      <c r="T17" s="237">
        <f t="shared" si="9"/>
        <v>0</v>
      </c>
    </row>
    <row r="18" spans="2:20" x14ac:dyDescent="0.25">
      <c r="B18" s="14" t="s">
        <v>183</v>
      </c>
      <c r="C18" s="17" t="s">
        <v>445</v>
      </c>
      <c r="D18" s="36">
        <v>0</v>
      </c>
      <c r="E18" s="108">
        <f t="shared" si="0"/>
        <v>0</v>
      </c>
      <c r="F18" s="105">
        <v>0</v>
      </c>
      <c r="G18" s="238">
        <f t="shared" si="1"/>
        <v>0</v>
      </c>
      <c r="H18" s="237">
        <f t="shared" si="2"/>
        <v>0</v>
      </c>
      <c r="I18" s="36">
        <v>0</v>
      </c>
      <c r="J18" s="238">
        <f t="shared" si="3"/>
        <v>0</v>
      </c>
      <c r="K18" s="237">
        <f t="shared" si="4"/>
        <v>0</v>
      </c>
      <c r="M18" s="36">
        <v>0</v>
      </c>
      <c r="N18" s="108">
        <f t="shared" si="5"/>
        <v>0</v>
      </c>
      <c r="O18" s="105">
        <v>0</v>
      </c>
      <c r="P18" s="238">
        <f t="shared" si="6"/>
        <v>0</v>
      </c>
      <c r="Q18" s="237">
        <f t="shared" si="7"/>
        <v>0</v>
      </c>
      <c r="R18" s="36">
        <v>0</v>
      </c>
      <c r="S18" s="238">
        <f t="shared" si="8"/>
        <v>0</v>
      </c>
      <c r="T18" s="237">
        <f t="shared" si="9"/>
        <v>0</v>
      </c>
    </row>
    <row r="19" spans="2:20" x14ac:dyDescent="0.25">
      <c r="B19" s="14" t="s">
        <v>184</v>
      </c>
      <c r="C19" s="17" t="s">
        <v>446</v>
      </c>
      <c r="D19" s="36">
        <v>92417.04</v>
      </c>
      <c r="E19" s="108">
        <f t="shared" si="0"/>
        <v>0.90469157614321793</v>
      </c>
      <c r="F19" s="105">
        <v>101455</v>
      </c>
      <c r="G19" s="238">
        <f t="shared" si="1"/>
        <v>0.87431811718473962</v>
      </c>
      <c r="H19" s="237">
        <f t="shared" si="2"/>
        <v>-9037.9600000000064</v>
      </c>
      <c r="I19" s="36">
        <v>100891.8</v>
      </c>
      <c r="J19" s="238">
        <f t="shared" si="3"/>
        <v>0.84311800182342223</v>
      </c>
      <c r="K19" s="237">
        <f t="shared" si="4"/>
        <v>-8474.7600000000093</v>
      </c>
      <c r="M19" s="36">
        <v>487573.91</v>
      </c>
      <c r="N19" s="108">
        <f t="shared" si="5"/>
        <v>0.87686598019277473</v>
      </c>
      <c r="O19" s="105">
        <v>524925</v>
      </c>
      <c r="P19" s="238">
        <f t="shared" si="6"/>
        <v>0.86003650352583427</v>
      </c>
      <c r="Q19" s="237">
        <f t="shared" si="7"/>
        <v>-37351.090000000026</v>
      </c>
      <c r="R19" s="36">
        <v>464822.67</v>
      </c>
      <c r="S19" s="238">
        <f t="shared" si="8"/>
        <v>0.83443373103494911</v>
      </c>
      <c r="T19" s="237">
        <f t="shared" si="9"/>
        <v>22751.239999999991</v>
      </c>
    </row>
    <row r="20" spans="2:20" x14ac:dyDescent="0.25">
      <c r="B20" s="14" t="s">
        <v>641</v>
      </c>
      <c r="C20" s="17" t="s">
        <v>703</v>
      </c>
      <c r="D20" s="36">
        <v>0</v>
      </c>
      <c r="E20" s="108">
        <f t="shared" si="0"/>
        <v>0</v>
      </c>
      <c r="F20" s="105">
        <v>0</v>
      </c>
      <c r="G20" s="238">
        <f t="shared" si="1"/>
        <v>0</v>
      </c>
      <c r="H20" s="237">
        <f t="shared" si="2"/>
        <v>0</v>
      </c>
      <c r="I20" s="36">
        <v>0</v>
      </c>
      <c r="J20" s="238">
        <f t="shared" si="3"/>
        <v>0</v>
      </c>
      <c r="K20" s="237">
        <f t="shared" si="4"/>
        <v>0</v>
      </c>
      <c r="M20" s="36">
        <v>0</v>
      </c>
      <c r="N20" s="108">
        <f t="shared" si="5"/>
        <v>0</v>
      </c>
      <c r="O20" s="105">
        <v>0</v>
      </c>
      <c r="P20" s="238">
        <f t="shared" si="6"/>
        <v>0</v>
      </c>
      <c r="Q20" s="237">
        <f t="shared" si="7"/>
        <v>0</v>
      </c>
      <c r="R20" s="36">
        <v>0</v>
      </c>
      <c r="S20" s="238">
        <f t="shared" si="8"/>
        <v>0</v>
      </c>
      <c r="T20" s="237">
        <f t="shared" si="9"/>
        <v>0</v>
      </c>
    </row>
    <row r="21" spans="2:20" x14ac:dyDescent="0.25">
      <c r="B21" s="14" t="s">
        <v>182</v>
      </c>
      <c r="C21" s="17" t="s">
        <v>447</v>
      </c>
      <c r="D21" s="106">
        <v>178.71</v>
      </c>
      <c r="E21" s="147">
        <f t="shared" si="0"/>
        <v>1.7494331302166191E-3</v>
      </c>
      <c r="F21" s="105">
        <v>0</v>
      </c>
      <c r="G21" s="238">
        <f t="shared" si="1"/>
        <v>0</v>
      </c>
      <c r="H21" s="237">
        <f t="shared" si="2"/>
        <v>178.71</v>
      </c>
      <c r="I21" s="36">
        <v>0</v>
      </c>
      <c r="J21" s="238">
        <f t="shared" si="3"/>
        <v>0</v>
      </c>
      <c r="K21" s="237">
        <f t="shared" si="4"/>
        <v>178.71</v>
      </c>
      <c r="M21" s="106">
        <v>538.54</v>
      </c>
      <c r="N21" s="147">
        <f t="shared" si="5"/>
        <v>9.6852476165719544E-4</v>
      </c>
      <c r="O21" s="105">
        <v>0</v>
      </c>
      <c r="P21" s="238">
        <f t="shared" si="6"/>
        <v>0</v>
      </c>
      <c r="Q21" s="237">
        <f t="shared" si="7"/>
        <v>538.54</v>
      </c>
      <c r="R21" s="36">
        <v>0</v>
      </c>
      <c r="S21" s="238">
        <f t="shared" si="8"/>
        <v>0</v>
      </c>
      <c r="T21" s="237">
        <f t="shared" si="9"/>
        <v>538.54</v>
      </c>
    </row>
    <row r="22" spans="2:20" x14ac:dyDescent="0.25">
      <c r="B22" s="14" t="s">
        <v>16</v>
      </c>
      <c r="C22" s="23" t="s">
        <v>448</v>
      </c>
      <c r="D22" s="103">
        <f t="shared" ref="D22" si="10">SUM(D10:D21)</f>
        <v>102153.09</v>
      </c>
      <c r="E22" s="148">
        <f t="shared" si="0"/>
        <v>1</v>
      </c>
      <c r="F22" s="103">
        <f>SUM(F10:F21)</f>
        <v>116039</v>
      </c>
      <c r="G22" s="148">
        <f t="shared" si="1"/>
        <v>1</v>
      </c>
      <c r="H22" s="154">
        <f t="shared" si="2"/>
        <v>-13885.910000000003</v>
      </c>
      <c r="I22" s="103">
        <f>SUM(I10:I21)</f>
        <v>119665.1</v>
      </c>
      <c r="J22" s="148">
        <f t="shared" si="3"/>
        <v>1</v>
      </c>
      <c r="K22" s="154">
        <f t="shared" si="4"/>
        <v>-17512.010000000009</v>
      </c>
      <c r="M22" s="103">
        <f t="shared" ref="M22" si="11">SUM(M10:M21)</f>
        <v>556041.54</v>
      </c>
      <c r="N22" s="148">
        <f t="shared" si="5"/>
        <v>1</v>
      </c>
      <c r="O22" s="103">
        <f>SUM(O10:O21)</f>
        <v>610352</v>
      </c>
      <c r="P22" s="148">
        <f t="shared" si="6"/>
        <v>1</v>
      </c>
      <c r="Q22" s="154">
        <f t="shared" si="7"/>
        <v>-54310.459999999963</v>
      </c>
      <c r="R22" s="103">
        <f>SUM(R10:R21)</f>
        <v>557051.63</v>
      </c>
      <c r="S22" s="148">
        <f t="shared" si="8"/>
        <v>1</v>
      </c>
      <c r="T22" s="154">
        <f t="shared" si="9"/>
        <v>-1010.0899999999674</v>
      </c>
    </row>
    <row r="23" spans="2:20" x14ac:dyDescent="0.25">
      <c r="B23" s="14"/>
      <c r="C23" s="16"/>
      <c r="D23" s="48"/>
      <c r="E23" s="32"/>
      <c r="F23" s="16"/>
      <c r="G23" s="32"/>
      <c r="H23" s="16"/>
      <c r="I23" s="16"/>
      <c r="J23" s="32"/>
      <c r="K23" s="49"/>
      <c r="M23" s="48"/>
      <c r="N23" s="32"/>
      <c r="O23" s="16"/>
      <c r="P23" s="32"/>
      <c r="Q23" s="16"/>
      <c r="R23" s="16"/>
      <c r="S23" s="32"/>
      <c r="T23" s="49"/>
    </row>
    <row r="24" spans="2:20" ht="15.75" thickBot="1" x14ac:dyDescent="0.3">
      <c r="B24" s="14" t="s">
        <v>16</v>
      </c>
      <c r="C24" s="18" t="s">
        <v>427</v>
      </c>
      <c r="D24" s="320">
        <f>D22</f>
        <v>102153.09</v>
      </c>
      <c r="E24" s="44">
        <f>IFERROR(D24/D$22,"")</f>
        <v>1</v>
      </c>
      <c r="F24" s="143">
        <f>F22</f>
        <v>116039</v>
      </c>
      <c r="G24" s="136">
        <f>IFERROR(F24/F$22,"")</f>
        <v>1</v>
      </c>
      <c r="H24" s="132">
        <f>D24-F24</f>
        <v>-13885.910000000003</v>
      </c>
      <c r="I24" s="134">
        <f>I22</f>
        <v>119665.1</v>
      </c>
      <c r="J24" s="136">
        <f>IFERROR(I24/I$22,"")</f>
        <v>1</v>
      </c>
      <c r="K24" s="132">
        <f>D24-I24</f>
        <v>-17512.010000000009</v>
      </c>
      <c r="M24" s="320">
        <f>M22</f>
        <v>556041.54</v>
      </c>
      <c r="N24" s="44">
        <f>IFERROR(M24/M$22,"")</f>
        <v>1</v>
      </c>
      <c r="O24" s="143">
        <f>O22</f>
        <v>610352</v>
      </c>
      <c r="P24" s="136">
        <f>IFERROR(O24/O$22,"")</f>
        <v>1</v>
      </c>
      <c r="Q24" s="132">
        <f>M24-O24</f>
        <v>-54310.459999999963</v>
      </c>
      <c r="R24" s="134">
        <f>R22</f>
        <v>557051.63</v>
      </c>
      <c r="S24" s="136">
        <f>IFERROR(R24/R$22,"")</f>
        <v>1</v>
      </c>
      <c r="T24" s="132">
        <f>M24-R24</f>
        <v>-1010.0899999999674</v>
      </c>
    </row>
    <row r="25" spans="2:20" ht="15.75" thickTop="1" x14ac:dyDescent="0.25"/>
    <row r="28" spans="2:20" x14ac:dyDescent="0.25">
      <c r="C28" s="288"/>
      <c r="D28" s="287"/>
      <c r="M28" s="287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EA3F-59A7-4A70-9DEE-D4D62B6553D8}">
  <dimension ref="B1:V69"/>
  <sheetViews>
    <sheetView showGridLines="0" zoomScale="80" zoomScaleNormal="80" workbookViewId="0">
      <pane xSplit="3" ySplit="8" topLeftCell="D44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405</v>
      </c>
      <c r="D9" s="48"/>
      <c r="E9" s="49"/>
      <c r="F9" s="179"/>
      <c r="G9" s="16"/>
      <c r="H9" s="79"/>
      <c r="I9" s="16"/>
      <c r="J9" s="16"/>
      <c r="K9" s="79"/>
      <c r="M9" s="48"/>
      <c r="N9" s="49"/>
      <c r="O9" s="179"/>
      <c r="P9" s="16"/>
      <c r="Q9" s="79"/>
      <c r="R9" s="16"/>
      <c r="S9" s="16"/>
      <c r="T9" s="79"/>
    </row>
    <row r="10" spans="2:22" x14ac:dyDescent="0.25">
      <c r="B10" s="14"/>
      <c r="C10" s="22" t="s">
        <v>406</v>
      </c>
      <c r="D10" s="48"/>
      <c r="E10" s="101"/>
      <c r="F10" s="77"/>
      <c r="G10" s="19"/>
      <c r="H10" s="49"/>
      <c r="I10" s="19"/>
      <c r="J10" s="19"/>
      <c r="K10" s="101"/>
      <c r="M10" s="48"/>
      <c r="N10" s="101"/>
      <c r="O10" s="77"/>
      <c r="P10" s="19"/>
      <c r="Q10" s="49"/>
      <c r="R10" s="19"/>
      <c r="S10" s="19"/>
      <c r="T10" s="101"/>
    </row>
    <row r="11" spans="2:22" x14ac:dyDescent="0.25">
      <c r="B11" s="14" t="s">
        <v>654</v>
      </c>
      <c r="C11" s="17" t="s">
        <v>407</v>
      </c>
      <c r="D11" s="36">
        <v>33028.1</v>
      </c>
      <c r="E11" s="51">
        <f>+D11/Summary!$D$19</f>
        <v>2.823091419514499E-2</v>
      </c>
      <c r="F11" s="36">
        <v>26553.13</v>
      </c>
      <c r="G11" s="205">
        <f>F11/Summary!F$19</f>
        <v>1.9255025388003399E-2</v>
      </c>
      <c r="H11" s="137">
        <f>+D11-F11</f>
        <v>6474.9699999999975</v>
      </c>
      <c r="I11" s="36">
        <v>25086.33</v>
      </c>
      <c r="J11" s="205">
        <f>I11/Summary!I$19</f>
        <v>2.153617028882384E-2</v>
      </c>
      <c r="K11" s="137">
        <f>+D11-I11</f>
        <v>7941.7699999999968</v>
      </c>
      <c r="M11" s="36">
        <v>161300.73000000001</v>
      </c>
      <c r="N11" s="51">
        <f>+M11/Summary!$D$19</f>
        <v>0.13787251062714023</v>
      </c>
      <c r="O11" s="36">
        <v>133187.88</v>
      </c>
      <c r="P11" s="205">
        <f>O11/Summary!O$19</f>
        <v>1.6355204193934551E-2</v>
      </c>
      <c r="Q11" s="137">
        <f>+M11-O11</f>
        <v>28112.850000000006</v>
      </c>
      <c r="R11" s="36">
        <v>131533.93</v>
      </c>
      <c r="S11" s="205">
        <f>R11/Summary!R$19</f>
        <v>1.8711835177889879E-2</v>
      </c>
      <c r="T11" s="137">
        <f>+M11-R11</f>
        <v>29766.800000000017</v>
      </c>
    </row>
    <row r="12" spans="2:22" x14ac:dyDescent="0.25">
      <c r="B12" s="14"/>
      <c r="C12" s="22" t="s">
        <v>408</v>
      </c>
      <c r="D12" s="244"/>
      <c r="E12" s="34"/>
      <c r="F12" s="178"/>
      <c r="G12" s="34"/>
      <c r="H12" s="196"/>
      <c r="I12" s="178"/>
      <c r="J12" s="34"/>
      <c r="K12" s="196"/>
      <c r="M12" s="244"/>
      <c r="N12" s="34"/>
      <c r="O12" s="178"/>
      <c r="P12" s="34"/>
      <c r="Q12" s="196"/>
      <c r="R12" s="178"/>
      <c r="S12" s="34"/>
      <c r="T12" s="196"/>
    </row>
    <row r="13" spans="2:22" x14ac:dyDescent="0.25">
      <c r="B13" s="14" t="s">
        <v>186</v>
      </c>
      <c r="C13" s="17" t="s">
        <v>450</v>
      </c>
      <c r="D13" s="36">
        <v>5639.1</v>
      </c>
      <c r="E13" s="51">
        <f>+D13/Summary!$D$19</f>
        <v>4.8200456047378486E-3</v>
      </c>
      <c r="F13" s="36">
        <v>9109.0499999999993</v>
      </c>
      <c r="G13" s="205">
        <f>F13/Summary!F$19</f>
        <v>6.605435555454002E-3</v>
      </c>
      <c r="H13" s="137">
        <f t="shared" ref="H13:H27" si="0">+D13-F13</f>
        <v>-3469.9499999999989</v>
      </c>
      <c r="I13" s="36">
        <v>11904.04</v>
      </c>
      <c r="J13" s="205">
        <f>I13/Summary!I$19</f>
        <v>1.0219407644122139E-2</v>
      </c>
      <c r="K13" s="182">
        <f t="shared" ref="K13:K27" si="1">+D13-I13</f>
        <v>-6264.9400000000005</v>
      </c>
      <c r="M13" s="36">
        <v>21720.54</v>
      </c>
      <c r="N13" s="51">
        <f>+M13/Summary!$D$19</f>
        <v>1.8565727396132829E-2</v>
      </c>
      <c r="O13" s="36">
        <v>44124</v>
      </c>
      <c r="P13" s="205">
        <f>O13/Summary!O$19</f>
        <v>5.418338589466009E-3</v>
      </c>
      <c r="Q13" s="137">
        <f t="shared" ref="Q13:Q27" si="2">+M13-O13</f>
        <v>-22403.46</v>
      </c>
      <c r="R13" s="36">
        <v>46651.55</v>
      </c>
      <c r="S13" s="205">
        <f>R13/Summary!R$19</f>
        <v>6.636585057506369E-3</v>
      </c>
      <c r="T13" s="182">
        <f t="shared" ref="T13:T27" si="3">+M13-R13</f>
        <v>-24931.010000000002</v>
      </c>
      <c r="U13" s="113"/>
    </row>
    <row r="14" spans="2:22" x14ac:dyDescent="0.25">
      <c r="B14" s="14" t="s">
        <v>189</v>
      </c>
      <c r="C14" s="17" t="s">
        <v>459</v>
      </c>
      <c r="D14" s="36">
        <v>0</v>
      </c>
      <c r="E14" s="51">
        <f>+D14/Summary!$D$19</f>
        <v>0</v>
      </c>
      <c r="F14" s="36">
        <v>0</v>
      </c>
      <c r="G14" s="205">
        <f>F14/Summary!F$19</f>
        <v>0</v>
      </c>
      <c r="H14" s="137">
        <f t="shared" si="0"/>
        <v>0</v>
      </c>
      <c r="I14" s="36">
        <v>0</v>
      </c>
      <c r="J14" s="205">
        <f>I14/Summary!I$19</f>
        <v>0</v>
      </c>
      <c r="K14" s="137">
        <f t="shared" si="1"/>
        <v>0</v>
      </c>
      <c r="M14" s="36">
        <v>0</v>
      </c>
      <c r="N14" s="51">
        <f>+M14/Summary!$D$19</f>
        <v>0</v>
      </c>
      <c r="O14" s="36">
        <v>0</v>
      </c>
      <c r="P14" s="205">
        <f>O14/Summary!O$19</f>
        <v>0</v>
      </c>
      <c r="Q14" s="137">
        <f t="shared" si="2"/>
        <v>0</v>
      </c>
      <c r="R14" s="36">
        <v>0</v>
      </c>
      <c r="S14" s="205">
        <f>R14/Summary!R$19</f>
        <v>0</v>
      </c>
      <c r="T14" s="137">
        <f t="shared" si="3"/>
        <v>0</v>
      </c>
    </row>
    <row r="15" spans="2:22" x14ac:dyDescent="0.25">
      <c r="B15" s="14" t="s">
        <v>187</v>
      </c>
      <c r="C15" s="17" t="s">
        <v>461</v>
      </c>
      <c r="D15" s="36">
        <v>0</v>
      </c>
      <c r="E15" s="51">
        <f>+D15/Summary!$D$19</f>
        <v>0</v>
      </c>
      <c r="F15" s="36">
        <v>0</v>
      </c>
      <c r="G15" s="205">
        <f>F15/Summary!F$19</f>
        <v>0</v>
      </c>
      <c r="H15" s="137">
        <f t="shared" si="0"/>
        <v>0</v>
      </c>
      <c r="I15" s="36">
        <v>0</v>
      </c>
      <c r="J15" s="205">
        <f>I15/Summary!I$19</f>
        <v>0</v>
      </c>
      <c r="K15" s="137">
        <f t="shared" si="1"/>
        <v>0</v>
      </c>
      <c r="M15" s="36">
        <v>0</v>
      </c>
      <c r="N15" s="51">
        <f>+M15/Summary!$D$19</f>
        <v>0</v>
      </c>
      <c r="O15" s="36">
        <v>0</v>
      </c>
      <c r="P15" s="205">
        <f>O15/Summary!O$19</f>
        <v>0</v>
      </c>
      <c r="Q15" s="137">
        <f t="shared" si="2"/>
        <v>0</v>
      </c>
      <c r="R15" s="36">
        <v>0</v>
      </c>
      <c r="S15" s="205">
        <f>R15/Summary!R$19</f>
        <v>0</v>
      </c>
      <c r="T15" s="137">
        <f t="shared" si="3"/>
        <v>0</v>
      </c>
    </row>
    <row r="16" spans="2:22" x14ac:dyDescent="0.25">
      <c r="B16" s="14" t="s">
        <v>188</v>
      </c>
      <c r="C16" s="17" t="s">
        <v>462</v>
      </c>
      <c r="D16" s="36">
        <v>2365.29</v>
      </c>
      <c r="E16" s="51">
        <f>+D16/Summary!$D$19</f>
        <v>2.0217420631714962E-3</v>
      </c>
      <c r="F16" s="36">
        <v>2527.4699999999998</v>
      </c>
      <c r="G16" s="205">
        <f>F16/Summary!F$19</f>
        <v>1.8327970758030012E-3</v>
      </c>
      <c r="H16" s="137">
        <f t="shared" si="0"/>
        <v>-162.17999999999984</v>
      </c>
      <c r="I16" s="36">
        <v>2690.64</v>
      </c>
      <c r="J16" s="205">
        <f>I16/Summary!I$19</f>
        <v>2.3098668169445656E-3</v>
      </c>
      <c r="K16" s="137">
        <f t="shared" si="1"/>
        <v>-325.34999999999991</v>
      </c>
      <c r="M16" s="36">
        <v>11206.93</v>
      </c>
      <c r="N16" s="51">
        <f>+M16/Summary!$D$19</f>
        <v>9.5791728625320947E-3</v>
      </c>
      <c r="O16" s="36">
        <v>12132.27</v>
      </c>
      <c r="P16" s="205">
        <f>O16/Summary!O$19</f>
        <v>1.4898183917781884E-3</v>
      </c>
      <c r="Q16" s="137">
        <f t="shared" si="2"/>
        <v>-925.34000000000015</v>
      </c>
      <c r="R16" s="36">
        <v>11095.24</v>
      </c>
      <c r="S16" s="205">
        <f>R16/Summary!R$19</f>
        <v>1.578393515187533E-3</v>
      </c>
      <c r="T16" s="137">
        <f t="shared" si="3"/>
        <v>111.69000000000051</v>
      </c>
    </row>
    <row r="17" spans="2:20" x14ac:dyDescent="0.25">
      <c r="B17" s="14" t="s">
        <v>190</v>
      </c>
      <c r="C17" s="17" t="s">
        <v>463</v>
      </c>
      <c r="D17" s="55">
        <v>0</v>
      </c>
      <c r="E17" s="56">
        <f>+D17/Summary!$D$19</f>
        <v>0</v>
      </c>
      <c r="F17" s="55">
        <v>0</v>
      </c>
      <c r="G17" s="56">
        <f>F17/Summary!F$19</f>
        <v>0</v>
      </c>
      <c r="H17" s="25">
        <f t="shared" si="0"/>
        <v>0</v>
      </c>
      <c r="I17" s="36">
        <v>0</v>
      </c>
      <c r="J17" s="56">
        <f>I17/Summary!I$19</f>
        <v>0</v>
      </c>
      <c r="K17" s="321">
        <f t="shared" si="1"/>
        <v>0</v>
      </c>
      <c r="M17" s="55">
        <v>0</v>
      </c>
      <c r="N17" s="56">
        <f>+M17/Summary!$D$19</f>
        <v>0</v>
      </c>
      <c r="O17" s="55">
        <v>0</v>
      </c>
      <c r="P17" s="56">
        <f>O17/Summary!O$19</f>
        <v>0</v>
      </c>
      <c r="Q17" s="25">
        <f t="shared" si="2"/>
        <v>0</v>
      </c>
      <c r="R17" s="36">
        <v>0</v>
      </c>
      <c r="S17" s="56">
        <f>R17/Summary!R$19</f>
        <v>0</v>
      </c>
      <c r="T17" s="321">
        <f t="shared" si="3"/>
        <v>0</v>
      </c>
    </row>
    <row r="18" spans="2:20" x14ac:dyDescent="0.25">
      <c r="B18" s="14" t="s">
        <v>657</v>
      </c>
      <c r="C18" s="17" t="s">
        <v>708</v>
      </c>
      <c r="D18" s="55">
        <v>0</v>
      </c>
      <c r="E18" s="56">
        <f>+D18/Summary!$D$19</f>
        <v>0</v>
      </c>
      <c r="F18" s="55">
        <v>0</v>
      </c>
      <c r="G18" s="56">
        <f>F18/Summary!F$19</f>
        <v>0</v>
      </c>
      <c r="H18" s="25">
        <f t="shared" si="0"/>
        <v>0</v>
      </c>
      <c r="I18" s="36">
        <v>0</v>
      </c>
      <c r="J18" s="56">
        <f>I18/Summary!I$19</f>
        <v>0</v>
      </c>
      <c r="K18" s="321">
        <f t="shared" si="1"/>
        <v>0</v>
      </c>
      <c r="M18" s="55">
        <v>0</v>
      </c>
      <c r="N18" s="56">
        <f>+M18/Summary!$D$19</f>
        <v>0</v>
      </c>
      <c r="O18" s="55">
        <v>0</v>
      </c>
      <c r="P18" s="56">
        <f>O18/Summary!O$19</f>
        <v>0</v>
      </c>
      <c r="Q18" s="25">
        <f t="shared" si="2"/>
        <v>0</v>
      </c>
      <c r="R18" s="36">
        <v>0</v>
      </c>
      <c r="S18" s="56">
        <f>R18/Summary!R$19</f>
        <v>0</v>
      </c>
      <c r="T18" s="321">
        <f t="shared" si="3"/>
        <v>0</v>
      </c>
    </row>
    <row r="19" spans="2:20" x14ac:dyDescent="0.25">
      <c r="B19" s="14" t="s">
        <v>300</v>
      </c>
      <c r="C19" s="23" t="s">
        <v>411</v>
      </c>
      <c r="D19" s="103">
        <f t="shared" ref="D19" si="4">SUM(D13:D18)+D11</f>
        <v>41032.49</v>
      </c>
      <c r="E19" s="104">
        <f>+D19/Summary!$D$19</f>
        <v>3.5072701863054334E-2</v>
      </c>
      <c r="F19" s="103">
        <f>SUM(F13:F18)</f>
        <v>11636.519999999999</v>
      </c>
      <c r="G19" s="104">
        <f>F19/Summary!F$19</f>
        <v>8.4382326312570036E-3</v>
      </c>
      <c r="H19" s="24">
        <f t="shared" si="0"/>
        <v>29395.97</v>
      </c>
      <c r="I19" s="103">
        <f>SUM(I13:I18)</f>
        <v>14594.68</v>
      </c>
      <c r="J19" s="104">
        <f>I19/Summary!I$19</f>
        <v>1.2529274461066704E-2</v>
      </c>
      <c r="K19" s="322">
        <f t="shared" si="1"/>
        <v>26437.809999999998</v>
      </c>
      <c r="M19" s="103">
        <f t="shared" ref="M19" si="5">SUM(M13:M18)+M11</f>
        <v>194228.2</v>
      </c>
      <c r="N19" s="104">
        <f>+M19/Summary!$D$19</f>
        <v>0.16601741088580516</v>
      </c>
      <c r="O19" s="103">
        <f>SUM(O13:O18)</f>
        <v>56256.270000000004</v>
      </c>
      <c r="P19" s="104">
        <f>O19/Summary!O$19</f>
        <v>6.9081569812441982E-3</v>
      </c>
      <c r="Q19" s="24">
        <f t="shared" si="2"/>
        <v>137971.93</v>
      </c>
      <c r="R19" s="103">
        <f>SUM(R13:R18)</f>
        <v>57746.79</v>
      </c>
      <c r="S19" s="104">
        <f>R19/Summary!R$19</f>
        <v>8.2149785726939022E-3</v>
      </c>
      <c r="T19" s="322">
        <f t="shared" si="3"/>
        <v>136481.41</v>
      </c>
    </row>
    <row r="20" spans="2:20" x14ac:dyDescent="0.25">
      <c r="B20" s="14" t="s">
        <v>660</v>
      </c>
      <c r="C20" s="17" t="s">
        <v>412</v>
      </c>
      <c r="D20" s="208">
        <v>0</v>
      </c>
      <c r="E20" s="174">
        <f>+D20/Summary!$D$19</f>
        <v>0</v>
      </c>
      <c r="F20" s="208">
        <v>0</v>
      </c>
      <c r="G20" s="174">
        <f>F20/Summary!F$19</f>
        <v>0</v>
      </c>
      <c r="H20" s="206">
        <f t="shared" si="0"/>
        <v>0</v>
      </c>
      <c r="I20" s="36">
        <v>0</v>
      </c>
      <c r="J20" s="174">
        <f>I20/Summary!I$19</f>
        <v>0</v>
      </c>
      <c r="K20" s="228">
        <f t="shared" si="1"/>
        <v>0</v>
      </c>
      <c r="M20" s="208">
        <v>7086.8</v>
      </c>
      <c r="N20" s="174">
        <f>+M20/Summary!$D$19</f>
        <v>6.0574735669976032E-3</v>
      </c>
      <c r="O20" s="208">
        <v>0</v>
      </c>
      <c r="P20" s="174">
        <f>O20/Summary!O$19</f>
        <v>0</v>
      </c>
      <c r="Q20" s="206">
        <f t="shared" si="2"/>
        <v>7086.8</v>
      </c>
      <c r="R20" s="36">
        <v>0</v>
      </c>
      <c r="S20" s="174">
        <f>R20/Summary!R$19</f>
        <v>0</v>
      </c>
      <c r="T20" s="228">
        <f t="shared" si="3"/>
        <v>7086.8</v>
      </c>
    </row>
    <row r="21" spans="2:20" x14ac:dyDescent="0.25">
      <c r="B21" s="14" t="s">
        <v>249</v>
      </c>
      <c r="C21" s="17" t="s">
        <v>413</v>
      </c>
      <c r="D21" s="209">
        <v>1431.21</v>
      </c>
      <c r="E21" s="175">
        <f>+D21/Summary!$D$19</f>
        <v>1.223333062005791E-3</v>
      </c>
      <c r="F21" s="209">
        <v>7027.77</v>
      </c>
      <c r="G21" s="175">
        <f>F21/Summary!F$19</f>
        <v>5.096193547466858E-3</v>
      </c>
      <c r="H21" s="25">
        <f t="shared" si="0"/>
        <v>-5596.56</v>
      </c>
      <c r="I21" s="36">
        <v>2993.25</v>
      </c>
      <c r="J21" s="175">
        <f>I21/Summary!I$19</f>
        <v>2.5696521458906884E-3</v>
      </c>
      <c r="K21" s="321">
        <f t="shared" si="1"/>
        <v>-1562.04</v>
      </c>
      <c r="M21" s="209">
        <v>20070.41</v>
      </c>
      <c r="N21" s="175">
        <f>+M21/Summary!$D$19</f>
        <v>1.7155271498250885E-2</v>
      </c>
      <c r="O21" s="209">
        <v>34624.589999999997</v>
      </c>
      <c r="P21" s="175">
        <f>O21/Summary!O$19</f>
        <v>4.2518301183355738E-3</v>
      </c>
      <c r="Q21" s="25">
        <f t="shared" si="2"/>
        <v>-14554.179999999997</v>
      </c>
      <c r="R21" s="36">
        <v>19836.439999999999</v>
      </c>
      <c r="S21" s="175">
        <f>R21/Summary!R$19</f>
        <v>2.8219045518985248E-3</v>
      </c>
      <c r="T21" s="321">
        <f t="shared" si="3"/>
        <v>233.97000000000116</v>
      </c>
    </row>
    <row r="22" spans="2:20" x14ac:dyDescent="0.25">
      <c r="B22" s="14"/>
      <c r="C22" s="23" t="s">
        <v>414</v>
      </c>
      <c r="D22" s="103">
        <f t="shared" ref="D22" si="6">+D19+SUM(D20:D21)</f>
        <v>42463.7</v>
      </c>
      <c r="E22" s="104">
        <f>+D22/Summary!$D$19</f>
        <v>3.6296034925060124E-2</v>
      </c>
      <c r="F22" s="103">
        <f>+F11+F19+SUM(F20:F21)</f>
        <v>45217.42</v>
      </c>
      <c r="G22" s="104"/>
      <c r="H22" s="24">
        <f t="shared" si="0"/>
        <v>-2753.7200000000012</v>
      </c>
      <c r="I22" s="103">
        <f>+I11+I19+SUM(I20:I21)</f>
        <v>42674.26</v>
      </c>
      <c r="J22" s="104"/>
      <c r="K22" s="322">
        <f t="shared" si="1"/>
        <v>-210.56000000000495</v>
      </c>
      <c r="M22" s="103">
        <f t="shared" ref="M22" si="7">+M19+SUM(M20:M21)</f>
        <v>221385.41</v>
      </c>
      <c r="N22" s="104">
        <f>+M22/Summary!$D$19</f>
        <v>0.18923015595105364</v>
      </c>
      <c r="O22" s="103">
        <f>+O11+O19+SUM(O20:O21)</f>
        <v>224068.74000000002</v>
      </c>
      <c r="P22" s="104"/>
      <c r="Q22" s="24">
        <f t="shared" si="2"/>
        <v>-2683.3300000000163</v>
      </c>
      <c r="R22" s="103">
        <f>+R11+R19+SUM(R20:R21)</f>
        <v>209117.16</v>
      </c>
      <c r="S22" s="104"/>
      <c r="T22" s="322">
        <f t="shared" si="3"/>
        <v>12268.25</v>
      </c>
    </row>
    <row r="23" spans="2:20" x14ac:dyDescent="0.25">
      <c r="B23" s="14" t="s">
        <v>295</v>
      </c>
      <c r="C23" s="17" t="s">
        <v>415</v>
      </c>
      <c r="D23" s="106">
        <v>5364.59</v>
      </c>
      <c r="E23" s="107">
        <f>+D23/Summary!$D$19</f>
        <v>4.5854069710983339E-3</v>
      </c>
      <c r="F23" s="106">
        <v>3564.4</v>
      </c>
      <c r="G23" s="107">
        <f>F23/Summary!F$19</f>
        <v>2.5847277700594734E-3</v>
      </c>
      <c r="H23" s="25">
        <f t="shared" si="0"/>
        <v>1800.19</v>
      </c>
      <c r="I23" s="36">
        <v>3259.29</v>
      </c>
      <c r="J23" s="107">
        <f>I23/Summary!I$19</f>
        <v>2.7980427771085148E-3</v>
      </c>
      <c r="K23" s="321">
        <f t="shared" si="1"/>
        <v>2105.3000000000002</v>
      </c>
      <c r="M23" s="106">
        <v>20793.78</v>
      </c>
      <c r="N23" s="107">
        <f>+M23/Summary!$D$19</f>
        <v>1.7773575197262997E-2</v>
      </c>
      <c r="O23" s="106">
        <v>17829.669999999998</v>
      </c>
      <c r="P23" s="107">
        <f>O23/Summary!O$19</f>
        <v>2.1894476701669026E-3</v>
      </c>
      <c r="Q23" s="25">
        <f t="shared" si="2"/>
        <v>2964.1100000000006</v>
      </c>
      <c r="R23" s="36">
        <v>17670.419999999998</v>
      </c>
      <c r="S23" s="107">
        <f>R23/Summary!R$19</f>
        <v>2.5137695388869541E-3</v>
      </c>
      <c r="T23" s="321">
        <f t="shared" si="3"/>
        <v>3123.3600000000006</v>
      </c>
    </row>
    <row r="24" spans="2:20" x14ac:dyDescent="0.25">
      <c r="B24" s="14" t="s">
        <v>307</v>
      </c>
      <c r="C24" s="17" t="s">
        <v>360</v>
      </c>
      <c r="D24" s="36">
        <v>6516.17</v>
      </c>
      <c r="E24" s="51">
        <f>+D24/Summary!$D$19</f>
        <v>5.5697250568751437E-3</v>
      </c>
      <c r="F24" s="36">
        <v>5008.29</v>
      </c>
      <c r="G24" s="51">
        <f>F24/Summary!F$19</f>
        <v>3.6317658634023005E-3</v>
      </c>
      <c r="H24" s="137">
        <f t="shared" si="0"/>
        <v>1507.88</v>
      </c>
      <c r="I24" s="36">
        <v>5324.58</v>
      </c>
      <c r="J24" s="51">
        <f>I24/Summary!I$19</f>
        <v>4.5710576874523146E-3</v>
      </c>
      <c r="K24" s="137">
        <f t="shared" si="1"/>
        <v>1191.5900000000001</v>
      </c>
      <c r="M24" s="36">
        <v>25718.78</v>
      </c>
      <c r="N24" s="51">
        <f>+M24/Summary!$D$19</f>
        <v>2.198324067638802E-2</v>
      </c>
      <c r="O24" s="36">
        <v>21637.49</v>
      </c>
      <c r="P24" s="51">
        <f>O24/Summary!O$19</f>
        <v>2.6570403192408866E-3</v>
      </c>
      <c r="Q24" s="137">
        <f t="shared" si="2"/>
        <v>4081.2899999999972</v>
      </c>
      <c r="R24" s="36">
        <v>21556.05</v>
      </c>
      <c r="S24" s="51">
        <f>R24/Summary!R$19</f>
        <v>3.0665338949908451E-3</v>
      </c>
      <c r="T24" s="137">
        <f t="shared" si="3"/>
        <v>4162.7299999999996</v>
      </c>
    </row>
    <row r="25" spans="2:20" x14ac:dyDescent="0.25">
      <c r="B25" s="14" t="s">
        <v>267</v>
      </c>
      <c r="C25" s="17" t="s">
        <v>361</v>
      </c>
      <c r="D25" s="106">
        <v>8172.5</v>
      </c>
      <c r="E25" s="107">
        <f>+D25/Summary!$D$19</f>
        <v>6.985480432111519E-3</v>
      </c>
      <c r="F25" s="106">
        <v>6567.43</v>
      </c>
      <c r="G25" s="107">
        <f>F25/Summary!F$19</f>
        <v>4.7623775948046482E-3</v>
      </c>
      <c r="H25" s="25">
        <f t="shared" si="0"/>
        <v>1605.0699999999997</v>
      </c>
      <c r="I25" s="36">
        <v>5381.61</v>
      </c>
      <c r="J25" s="107">
        <f>I25/Summary!I$19</f>
        <v>4.6200169330482873E-3</v>
      </c>
      <c r="K25" s="321">
        <f t="shared" si="1"/>
        <v>2790.8900000000003</v>
      </c>
      <c r="M25" s="106">
        <v>30169.67</v>
      </c>
      <c r="N25" s="107">
        <f>+M25/Summary!$D$19</f>
        <v>2.578765854123731E-2</v>
      </c>
      <c r="O25" s="106">
        <v>32768.870000000003</v>
      </c>
      <c r="P25" s="107">
        <f>O25/Summary!O$19</f>
        <v>4.0239514290226416E-3</v>
      </c>
      <c r="Q25" s="25">
        <f t="shared" si="2"/>
        <v>-2599.2000000000044</v>
      </c>
      <c r="R25" s="36">
        <v>31805</v>
      </c>
      <c r="S25" s="107">
        <f>R25/Summary!R$19</f>
        <v>4.524535363862295E-3</v>
      </c>
      <c r="T25" s="321">
        <f t="shared" si="3"/>
        <v>-1635.3300000000017</v>
      </c>
    </row>
    <row r="26" spans="2:20" x14ac:dyDescent="0.25">
      <c r="B26" s="14" t="s">
        <v>289</v>
      </c>
      <c r="C26" s="23" t="s">
        <v>416</v>
      </c>
      <c r="D26" s="142">
        <f t="shared" ref="D26" si="8">SUM(D23:D25)</f>
        <v>20053.260000000002</v>
      </c>
      <c r="E26" s="125">
        <f>+D26/Summary!$D$19</f>
        <v>1.7140612460084997E-2</v>
      </c>
      <c r="F26" s="142">
        <f t="shared" ref="F26" si="9">SUM(F23:F25)</f>
        <v>15140.12</v>
      </c>
      <c r="G26" s="125">
        <f>F26/Summary!F$19</f>
        <v>1.0978871228266423E-2</v>
      </c>
      <c r="H26" s="26">
        <f t="shared" si="0"/>
        <v>4913.1400000000012</v>
      </c>
      <c r="I26" s="142">
        <f t="shared" ref="I26" si="10">SUM(I23:I25)</f>
        <v>13965.48</v>
      </c>
      <c r="J26" s="125">
        <f>I26/Summary!I$19</f>
        <v>1.1989117397609118E-2</v>
      </c>
      <c r="K26" s="323">
        <f t="shared" si="1"/>
        <v>6087.7800000000025</v>
      </c>
      <c r="M26" s="142">
        <f t="shared" ref="M26" si="11">SUM(M23:M25)</f>
        <v>76682.23</v>
      </c>
      <c r="N26" s="125">
        <f>+M26/Summary!$D$19</f>
        <v>6.5544474414888323E-2</v>
      </c>
      <c r="O26" s="142">
        <f t="shared" ref="O26" si="12">SUM(O23:O25)</f>
        <v>72236.03</v>
      </c>
      <c r="P26" s="125">
        <f>O26/Summary!O$19</f>
        <v>8.87043941843043E-3</v>
      </c>
      <c r="Q26" s="26">
        <f t="shared" si="2"/>
        <v>4446.1999999999971</v>
      </c>
      <c r="R26" s="142">
        <f t="shared" ref="R26" si="13">SUM(R23:R25)</f>
        <v>71031.47</v>
      </c>
      <c r="S26" s="125">
        <f>R26/Summary!R$19</f>
        <v>1.0104838797740094E-2</v>
      </c>
      <c r="T26" s="323">
        <f t="shared" si="3"/>
        <v>5650.7599999999948</v>
      </c>
    </row>
    <row r="27" spans="2:20" x14ac:dyDescent="0.25">
      <c r="B27" s="14" t="s">
        <v>274</v>
      </c>
      <c r="C27" s="23" t="s">
        <v>417</v>
      </c>
      <c r="D27" s="91">
        <f t="shared" ref="D27" si="14">+D22+D26</f>
        <v>62516.959999999999</v>
      </c>
      <c r="E27" s="126">
        <f>+D27/Summary!$D$19</f>
        <v>5.3436647385145121E-2</v>
      </c>
      <c r="F27" s="91">
        <f t="shared" ref="F27" si="15">+F22+F26</f>
        <v>60357.54</v>
      </c>
      <c r="G27" s="126">
        <f>F27/Summary!F$19</f>
        <v>4.376832279499368E-2</v>
      </c>
      <c r="H27" s="26">
        <f t="shared" si="0"/>
        <v>2159.4199999999983</v>
      </c>
      <c r="I27" s="91">
        <f t="shared" ref="I27" si="16">+I22+I26</f>
        <v>56639.740000000005</v>
      </c>
      <c r="J27" s="126">
        <f>I27/Summary!I$19</f>
        <v>4.8624214293390353E-2</v>
      </c>
      <c r="K27" s="323">
        <f t="shared" si="1"/>
        <v>5877.2199999999939</v>
      </c>
      <c r="M27" s="91">
        <f t="shared" ref="M27" si="17">+M22+M26</f>
        <v>298067.64</v>
      </c>
      <c r="N27" s="126">
        <f>+M27/Summary!$D$19</f>
        <v>0.25477463036594195</v>
      </c>
      <c r="O27" s="91">
        <f t="shared" ref="O27" si="18">+O22+O26</f>
        <v>296304.77</v>
      </c>
      <c r="P27" s="126">
        <f>O27/Summary!O$19</f>
        <v>3.6385630711944755E-2</v>
      </c>
      <c r="Q27" s="26">
        <f t="shared" si="2"/>
        <v>1762.8699999999953</v>
      </c>
      <c r="R27" s="91">
        <f t="shared" ref="R27" si="19">+R22+R26</f>
        <v>280148.63</v>
      </c>
      <c r="S27" s="126">
        <f>R27/Summary!R$19</f>
        <v>3.9853557100222405E-2</v>
      </c>
      <c r="T27" s="323">
        <f t="shared" si="3"/>
        <v>17919.010000000009</v>
      </c>
    </row>
    <row r="28" spans="2:20" x14ac:dyDescent="0.25">
      <c r="B28" s="14"/>
      <c r="C28" s="18"/>
      <c r="D28" s="48"/>
      <c r="E28" s="176"/>
      <c r="F28" s="48"/>
      <c r="G28" s="210"/>
      <c r="H28" s="79"/>
      <c r="I28" s="48"/>
      <c r="J28" s="210"/>
      <c r="K28" s="79"/>
      <c r="M28" s="48"/>
      <c r="N28" s="176"/>
      <c r="O28" s="48"/>
      <c r="P28" s="210"/>
      <c r="Q28" s="79"/>
      <c r="R28" s="48"/>
      <c r="S28" s="210"/>
      <c r="T28" s="79"/>
    </row>
    <row r="29" spans="2:20" x14ac:dyDescent="0.25">
      <c r="B29" s="14"/>
      <c r="C29" s="15" t="s">
        <v>51</v>
      </c>
      <c r="D29" s="48"/>
      <c r="E29" s="53"/>
      <c r="F29" s="48"/>
      <c r="G29" s="32"/>
      <c r="H29" s="101"/>
      <c r="I29" s="48"/>
      <c r="J29" s="32"/>
      <c r="K29" s="101"/>
      <c r="M29" s="48"/>
      <c r="N29" s="53"/>
      <c r="O29" s="48"/>
      <c r="P29" s="32"/>
      <c r="Q29" s="101"/>
      <c r="R29" s="48"/>
      <c r="S29" s="32"/>
      <c r="T29" s="101"/>
    </row>
    <row r="30" spans="2:20" x14ac:dyDescent="0.25">
      <c r="B30" s="14" t="s">
        <v>110</v>
      </c>
      <c r="C30" s="17" t="s">
        <v>432</v>
      </c>
      <c r="D30" s="36">
        <v>3660.29</v>
      </c>
      <c r="E30" s="51">
        <f>+D30/Summary!$D$19</f>
        <v>3.1286490267180755E-3</v>
      </c>
      <c r="F30" s="36">
        <v>1855</v>
      </c>
      <c r="G30" s="51">
        <f>F30/Summary!F$19</f>
        <v>1.3451548685501974E-3</v>
      </c>
      <c r="H30" s="137">
        <f t="shared" ref="H30:H65" si="20">+D30-F30</f>
        <v>1805.29</v>
      </c>
      <c r="I30" s="36">
        <v>772.19</v>
      </c>
      <c r="J30" s="51">
        <f>I30/Summary!I$19</f>
        <v>6.6291144760221524E-4</v>
      </c>
      <c r="K30" s="137">
        <f t="shared" ref="K30:K65" si="21">+D30-I30</f>
        <v>2888.1</v>
      </c>
      <c r="M30" s="36">
        <v>13649.87</v>
      </c>
      <c r="N30" s="51">
        <f>+M30/Summary!$D$19</f>
        <v>1.1667286605795786E-2</v>
      </c>
      <c r="O30" s="36">
        <v>8588</v>
      </c>
      <c r="P30" s="51">
        <f>O30/Summary!O$19</f>
        <v>1.0545891534388108E-3</v>
      </c>
      <c r="Q30" s="137">
        <f t="shared" ref="Q30:Q65" si="22">+M30-O30</f>
        <v>5061.8700000000008</v>
      </c>
      <c r="R30" s="36">
        <v>2721.06</v>
      </c>
      <c r="S30" s="51">
        <f>R30/Summary!R$19</f>
        <v>3.8709423666691202E-4</v>
      </c>
      <c r="T30" s="137">
        <f t="shared" ref="T30:T65" si="23">+M30-R30</f>
        <v>10928.810000000001</v>
      </c>
    </row>
    <row r="31" spans="2:20" x14ac:dyDescent="0.25">
      <c r="B31" s="14" t="s">
        <v>214</v>
      </c>
      <c r="C31" s="17" t="s">
        <v>418</v>
      </c>
      <c r="D31" s="36">
        <v>41.35</v>
      </c>
      <c r="E31" s="51">
        <f>+D31/Summary!$D$19</f>
        <v>3.5344094936410071E-5</v>
      </c>
      <c r="F31" s="36">
        <v>280.5</v>
      </c>
      <c r="G31" s="51">
        <f>F31/Summary!F$19</f>
        <v>2.0340481974573065E-4</v>
      </c>
      <c r="H31" s="137">
        <f t="shared" si="20"/>
        <v>-239.15</v>
      </c>
      <c r="I31" s="36">
        <v>0</v>
      </c>
      <c r="J31" s="51">
        <f>I31/Summary!I$19</f>
        <v>0</v>
      </c>
      <c r="K31" s="137">
        <f t="shared" si="21"/>
        <v>41.35</v>
      </c>
      <c r="M31" s="36">
        <v>425.08</v>
      </c>
      <c r="N31" s="51">
        <f>+M31/Summary!$D$19</f>
        <v>3.633390054551195E-4</v>
      </c>
      <c r="O31" s="36">
        <v>1402.5</v>
      </c>
      <c r="P31" s="51">
        <f>O31/Summary!O$19</f>
        <v>1.7222418347670378E-4</v>
      </c>
      <c r="Q31" s="137">
        <f t="shared" si="22"/>
        <v>-977.42000000000007</v>
      </c>
      <c r="R31" s="36">
        <v>572.37</v>
      </c>
      <c r="S31" s="51">
        <f>R31/Summary!R$19</f>
        <v>8.1424565515291996E-5</v>
      </c>
      <c r="T31" s="137">
        <f t="shared" si="23"/>
        <v>-147.29000000000002</v>
      </c>
    </row>
    <row r="32" spans="2:20" x14ac:dyDescent="0.25">
      <c r="B32" s="14" t="s">
        <v>714</v>
      </c>
      <c r="C32" s="289" t="s">
        <v>713</v>
      </c>
      <c r="D32" s="36">
        <v>0</v>
      </c>
      <c r="E32" s="51">
        <f>+D32/Summary!$D$19</f>
        <v>0</v>
      </c>
      <c r="F32" s="36">
        <v>0</v>
      </c>
      <c r="G32" s="51">
        <f>F32/Summary!F$19</f>
        <v>0</v>
      </c>
      <c r="H32" s="137">
        <f t="shared" si="20"/>
        <v>0</v>
      </c>
      <c r="I32" s="36">
        <v>0</v>
      </c>
      <c r="J32" s="51">
        <f>I32/Summary!I$19</f>
        <v>0</v>
      </c>
      <c r="K32" s="137">
        <f t="shared" si="21"/>
        <v>0</v>
      </c>
      <c r="M32" s="36">
        <v>0</v>
      </c>
      <c r="N32" s="51">
        <f>+M32/Summary!$D$19</f>
        <v>0</v>
      </c>
      <c r="O32" s="36">
        <v>0</v>
      </c>
      <c r="P32" s="51">
        <f>O32/Summary!O$19</f>
        <v>0</v>
      </c>
      <c r="Q32" s="137">
        <f t="shared" si="22"/>
        <v>0</v>
      </c>
      <c r="R32" s="36">
        <v>0</v>
      </c>
      <c r="S32" s="51">
        <f>R32/Summary!R$19</f>
        <v>0</v>
      </c>
      <c r="T32" s="137">
        <f t="shared" si="23"/>
        <v>0</v>
      </c>
    </row>
    <row r="33" spans="2:20" x14ac:dyDescent="0.25">
      <c r="B33" s="14" t="s">
        <v>219</v>
      </c>
      <c r="C33" s="17" t="s">
        <v>451</v>
      </c>
      <c r="D33" s="36">
        <v>0</v>
      </c>
      <c r="E33" s="51">
        <f>+D33/Summary!$D$19</f>
        <v>0</v>
      </c>
      <c r="F33" s="36">
        <v>1578.85</v>
      </c>
      <c r="G33" s="51">
        <f>F33/Summary!F$19</f>
        <v>1.1449044550999887E-3</v>
      </c>
      <c r="H33" s="137">
        <f t="shared" si="20"/>
        <v>-1578.85</v>
      </c>
      <c r="I33" s="36">
        <v>0</v>
      </c>
      <c r="J33" s="51">
        <f>I33/Summary!I$19</f>
        <v>0</v>
      </c>
      <c r="K33" s="137">
        <f t="shared" si="21"/>
        <v>0</v>
      </c>
      <c r="M33" s="36">
        <v>13301</v>
      </c>
      <c r="N33" s="51">
        <f>+M33/Summary!$D$19</f>
        <v>1.1369088434079574E-2</v>
      </c>
      <c r="O33" s="36">
        <v>20670.099999999999</v>
      </c>
      <c r="P33" s="51">
        <f>O33/Summary!O$19</f>
        <v>2.5382467699692083E-3</v>
      </c>
      <c r="Q33" s="137">
        <f t="shared" si="22"/>
        <v>-7369.0999999999985</v>
      </c>
      <c r="R33" s="36">
        <v>13525</v>
      </c>
      <c r="S33" s="51">
        <f>R33/Summary!R$19</f>
        <v>1.9240478162627745E-3</v>
      </c>
      <c r="T33" s="137">
        <f t="shared" si="23"/>
        <v>-224</v>
      </c>
    </row>
    <row r="34" spans="2:20" x14ac:dyDescent="0.25">
      <c r="B34" s="14" t="s">
        <v>192</v>
      </c>
      <c r="C34" s="17" t="s">
        <v>373</v>
      </c>
      <c r="D34" s="36">
        <v>1645.51</v>
      </c>
      <c r="E34" s="51">
        <f>+D34/Summary!$D$19</f>
        <v>1.4065069324984798E-3</v>
      </c>
      <c r="F34" s="36">
        <v>5694.5337720220004</v>
      </c>
      <c r="G34" s="51">
        <f>F34/Summary!F$19</f>
        <v>4.1293961334549403E-3</v>
      </c>
      <c r="H34" s="137">
        <f t="shared" si="20"/>
        <v>-4049.0237720220002</v>
      </c>
      <c r="I34" s="36">
        <v>640.41</v>
      </c>
      <c r="J34" s="51">
        <f>I34/Summary!I$19</f>
        <v>5.4978065004588847E-4</v>
      </c>
      <c r="K34" s="137">
        <f t="shared" si="21"/>
        <v>1005.1</v>
      </c>
      <c r="M34" s="36">
        <v>7591.14</v>
      </c>
      <c r="N34" s="51">
        <f>+M34/Summary!$D$19</f>
        <v>6.4885604071482457E-3</v>
      </c>
      <c r="O34" s="36">
        <v>27789.669755284001</v>
      </c>
      <c r="P34" s="51">
        <f>O34/Summary!O$19</f>
        <v>3.4125156382823802E-3</v>
      </c>
      <c r="Q34" s="137">
        <f t="shared" si="22"/>
        <v>-20198.529755284002</v>
      </c>
      <c r="R34" s="36">
        <v>7726.11</v>
      </c>
      <c r="S34" s="51">
        <f>R34/Summary!R$19</f>
        <v>1.0991057355790007E-3</v>
      </c>
      <c r="T34" s="137">
        <f t="shared" si="23"/>
        <v>-134.96999999999935</v>
      </c>
    </row>
    <row r="35" spans="2:20" x14ac:dyDescent="0.25">
      <c r="B35" s="14" t="s">
        <v>79</v>
      </c>
      <c r="C35" s="17" t="s">
        <v>364</v>
      </c>
      <c r="D35" s="36">
        <v>0</v>
      </c>
      <c r="E35" s="51">
        <f>+D35/Summary!$D$19</f>
        <v>0</v>
      </c>
      <c r="F35" s="36">
        <v>0</v>
      </c>
      <c r="G35" s="51">
        <f>F35/Summary!F$19</f>
        <v>0</v>
      </c>
      <c r="H35" s="137">
        <f t="shared" si="20"/>
        <v>0</v>
      </c>
      <c r="I35" s="36">
        <v>0</v>
      </c>
      <c r="J35" s="51">
        <f>I35/Summary!I$19</f>
        <v>0</v>
      </c>
      <c r="K35" s="137">
        <f t="shared" si="21"/>
        <v>0</v>
      </c>
      <c r="M35" s="36">
        <v>0</v>
      </c>
      <c r="N35" s="51">
        <f>+M35/Summary!$D$19</f>
        <v>0</v>
      </c>
      <c r="O35" s="36">
        <v>0</v>
      </c>
      <c r="P35" s="51">
        <f>O35/Summary!O$19</f>
        <v>0</v>
      </c>
      <c r="Q35" s="137">
        <f t="shared" si="22"/>
        <v>0</v>
      </c>
      <c r="R35" s="36">
        <v>0</v>
      </c>
      <c r="S35" s="51">
        <f>R35/Summary!R$19</f>
        <v>0</v>
      </c>
      <c r="T35" s="137">
        <f t="shared" si="23"/>
        <v>0</v>
      </c>
    </row>
    <row r="36" spans="2:20" x14ac:dyDescent="0.25">
      <c r="B36" s="14" t="s">
        <v>84</v>
      </c>
      <c r="C36" s="17" t="s">
        <v>365</v>
      </c>
      <c r="D36" s="36">
        <v>431.39</v>
      </c>
      <c r="E36" s="51">
        <f>+D36/Summary!$D$19</f>
        <v>3.6873250579487157E-4</v>
      </c>
      <c r="F36" s="36">
        <v>451.5</v>
      </c>
      <c r="G36" s="51">
        <f>F36/Summary!F$19</f>
        <v>3.2740561894901028E-4</v>
      </c>
      <c r="H36" s="137">
        <f t="shared" si="20"/>
        <v>-20.110000000000014</v>
      </c>
      <c r="I36" s="36">
        <v>426.56</v>
      </c>
      <c r="J36" s="51">
        <f>I36/Summary!I$19</f>
        <v>3.6619421008974597E-4</v>
      </c>
      <c r="K36" s="137">
        <f t="shared" si="21"/>
        <v>4.8299999999999841</v>
      </c>
      <c r="M36" s="36">
        <v>2526.9499999999998</v>
      </c>
      <c r="N36" s="51">
        <f>+M36/Summary!$D$19</f>
        <v>2.1599216614162373E-3</v>
      </c>
      <c r="O36" s="36">
        <v>3232.5</v>
      </c>
      <c r="P36" s="51">
        <f>O36/Summary!O$19</f>
        <v>3.9694450844095897E-4</v>
      </c>
      <c r="Q36" s="137">
        <f t="shared" si="22"/>
        <v>-705.55000000000018</v>
      </c>
      <c r="R36" s="36">
        <v>2832.8</v>
      </c>
      <c r="S36" s="51">
        <f>R36/Summary!R$19</f>
        <v>4.0299021470677915E-4</v>
      </c>
      <c r="T36" s="137">
        <f t="shared" si="23"/>
        <v>-305.85000000000036</v>
      </c>
    </row>
    <row r="37" spans="2:20" x14ac:dyDescent="0.25">
      <c r="B37" s="14" t="s">
        <v>104</v>
      </c>
      <c r="C37" s="17" t="s">
        <v>366</v>
      </c>
      <c r="D37" s="36">
        <v>0</v>
      </c>
      <c r="E37" s="51">
        <f>+D37/Summary!$D$19</f>
        <v>0</v>
      </c>
      <c r="F37" s="36">
        <v>0</v>
      </c>
      <c r="G37" s="51">
        <f>F37/Summary!F$19</f>
        <v>0</v>
      </c>
      <c r="H37" s="137">
        <f t="shared" si="20"/>
        <v>0</v>
      </c>
      <c r="I37" s="36">
        <v>0</v>
      </c>
      <c r="J37" s="51">
        <f>I37/Summary!I$19</f>
        <v>0</v>
      </c>
      <c r="K37" s="137">
        <f t="shared" si="21"/>
        <v>0</v>
      </c>
      <c r="M37" s="36">
        <v>0</v>
      </c>
      <c r="N37" s="51">
        <f>+M37/Summary!$D$19</f>
        <v>0</v>
      </c>
      <c r="O37" s="36">
        <v>0</v>
      </c>
      <c r="P37" s="51">
        <f>O37/Summary!O$19</f>
        <v>0</v>
      </c>
      <c r="Q37" s="137">
        <f t="shared" si="22"/>
        <v>0</v>
      </c>
      <c r="R37" s="36">
        <v>0</v>
      </c>
      <c r="S37" s="51">
        <f>R37/Summary!R$19</f>
        <v>0</v>
      </c>
      <c r="T37" s="137">
        <f t="shared" si="23"/>
        <v>0</v>
      </c>
    </row>
    <row r="38" spans="2:20" x14ac:dyDescent="0.25">
      <c r="B38" s="14" t="s">
        <v>119</v>
      </c>
      <c r="C38" s="17" t="s">
        <v>467</v>
      </c>
      <c r="D38" s="36">
        <v>0</v>
      </c>
      <c r="E38" s="51">
        <f>+D38/Summary!$D$19</f>
        <v>0</v>
      </c>
      <c r="F38" s="36">
        <v>0</v>
      </c>
      <c r="G38" s="51">
        <f>F38/Summary!F$19</f>
        <v>0</v>
      </c>
      <c r="H38" s="137">
        <f t="shared" si="20"/>
        <v>0</v>
      </c>
      <c r="I38" s="36">
        <v>0</v>
      </c>
      <c r="J38" s="51">
        <f>I38/Summary!I$19</f>
        <v>0</v>
      </c>
      <c r="K38" s="137">
        <f t="shared" si="21"/>
        <v>0</v>
      </c>
      <c r="M38" s="36">
        <v>0</v>
      </c>
      <c r="N38" s="51">
        <f>+M38/Summary!$D$19</f>
        <v>0</v>
      </c>
      <c r="O38" s="36">
        <v>0</v>
      </c>
      <c r="P38" s="51">
        <f>O38/Summary!O$19</f>
        <v>0</v>
      </c>
      <c r="Q38" s="137">
        <f t="shared" si="22"/>
        <v>0</v>
      </c>
      <c r="R38" s="36">
        <v>0</v>
      </c>
      <c r="S38" s="51">
        <f>R38/Summary!R$19</f>
        <v>0</v>
      </c>
      <c r="T38" s="137">
        <f t="shared" si="23"/>
        <v>0</v>
      </c>
    </row>
    <row r="39" spans="2:20" x14ac:dyDescent="0.25">
      <c r="B39" s="14" t="s">
        <v>123</v>
      </c>
      <c r="C39" s="17" t="s">
        <v>367</v>
      </c>
      <c r="D39" s="36">
        <v>0</v>
      </c>
      <c r="E39" s="51">
        <f>+D39/Summary!$D$19</f>
        <v>0</v>
      </c>
      <c r="F39" s="36">
        <v>0</v>
      </c>
      <c r="G39" s="51">
        <f>F39/Summary!F$19</f>
        <v>0</v>
      </c>
      <c r="H39" s="137">
        <f t="shared" si="20"/>
        <v>0</v>
      </c>
      <c r="I39" s="36">
        <v>0</v>
      </c>
      <c r="J39" s="51">
        <f>I39/Summary!I$19</f>
        <v>0</v>
      </c>
      <c r="K39" s="137">
        <f t="shared" si="21"/>
        <v>0</v>
      </c>
      <c r="M39" s="36">
        <v>0</v>
      </c>
      <c r="N39" s="51">
        <f>+M39/Summary!$D$19</f>
        <v>0</v>
      </c>
      <c r="O39" s="36">
        <v>0</v>
      </c>
      <c r="P39" s="51">
        <f>O39/Summary!O$19</f>
        <v>0</v>
      </c>
      <c r="Q39" s="137">
        <f t="shared" si="22"/>
        <v>0</v>
      </c>
      <c r="R39" s="36">
        <v>0</v>
      </c>
      <c r="S39" s="51">
        <f>R39/Summary!R$19</f>
        <v>0</v>
      </c>
      <c r="T39" s="137">
        <f t="shared" si="23"/>
        <v>0</v>
      </c>
    </row>
    <row r="40" spans="2:20" x14ac:dyDescent="0.25">
      <c r="B40" s="14" t="s">
        <v>329</v>
      </c>
      <c r="C40" s="17" t="s">
        <v>377</v>
      </c>
      <c r="D40" s="36">
        <v>13.56</v>
      </c>
      <c r="E40" s="51">
        <f>+D40/Summary!$D$19</f>
        <v>1.1590469826788889E-5</v>
      </c>
      <c r="F40" s="36">
        <v>20</v>
      </c>
      <c r="G40" s="51">
        <f>F40/Summary!F$19</f>
        <v>1.4503017450675982E-5</v>
      </c>
      <c r="H40" s="137">
        <f t="shared" si="20"/>
        <v>-6.4399999999999995</v>
      </c>
      <c r="I40" s="36">
        <v>0</v>
      </c>
      <c r="J40" s="51">
        <f>I40/Summary!I$19</f>
        <v>0</v>
      </c>
      <c r="K40" s="137">
        <f t="shared" si="21"/>
        <v>13.56</v>
      </c>
      <c r="M40" s="36">
        <v>838.53</v>
      </c>
      <c r="N40" s="51">
        <f>+M40/Summary!$D$19</f>
        <v>7.1673721709861996E-4</v>
      </c>
      <c r="O40" s="36">
        <v>657</v>
      </c>
      <c r="P40" s="51">
        <f>O40/Summary!O$19</f>
        <v>8.0678280601921136E-5</v>
      </c>
      <c r="Q40" s="137">
        <f t="shared" si="22"/>
        <v>181.52999999999997</v>
      </c>
      <c r="R40" s="36">
        <v>207.25</v>
      </c>
      <c r="S40" s="51">
        <f>R40/Summary!R$19</f>
        <v>2.9483098700218854E-5</v>
      </c>
      <c r="T40" s="137">
        <f t="shared" si="23"/>
        <v>631.28</v>
      </c>
    </row>
    <row r="41" spans="2:20" x14ac:dyDescent="0.25">
      <c r="B41" s="14" t="s">
        <v>324</v>
      </c>
      <c r="C41" s="17" t="s">
        <v>376</v>
      </c>
      <c r="D41" s="36">
        <v>134.02000000000001</v>
      </c>
      <c r="E41" s="51">
        <f>+D41/Summary!$D$19</f>
        <v>1.1455418629692087E-4</v>
      </c>
      <c r="F41" s="36">
        <v>20</v>
      </c>
      <c r="G41" s="51">
        <f>F41/Summary!F$19</f>
        <v>1.4503017450675982E-5</v>
      </c>
      <c r="H41" s="137">
        <f t="shared" si="20"/>
        <v>114.02000000000001</v>
      </c>
      <c r="I41" s="36">
        <v>0</v>
      </c>
      <c r="J41" s="51">
        <f>I41/Summary!I$19</f>
        <v>0</v>
      </c>
      <c r="K41" s="137">
        <f t="shared" si="21"/>
        <v>134.02000000000001</v>
      </c>
      <c r="M41" s="36">
        <v>1130.31</v>
      </c>
      <c r="N41" s="51">
        <f>+M41/Summary!$D$19</f>
        <v>9.6613745943346224E-4</v>
      </c>
      <c r="O41" s="36">
        <v>900</v>
      </c>
      <c r="P41" s="51">
        <f>O41/Summary!O$19</f>
        <v>1.1051819260537142E-4</v>
      </c>
      <c r="Q41" s="137">
        <f t="shared" si="22"/>
        <v>230.30999999999995</v>
      </c>
      <c r="R41" s="36">
        <v>58.95</v>
      </c>
      <c r="S41" s="51">
        <f>R41/Summary!R$19</f>
        <v>8.386145565152721E-6</v>
      </c>
      <c r="T41" s="137">
        <f t="shared" si="23"/>
        <v>1071.3599999999999</v>
      </c>
    </row>
    <row r="42" spans="2:20" x14ac:dyDescent="0.25">
      <c r="B42" s="14" t="s">
        <v>653</v>
      </c>
      <c r="C42" s="17" t="s">
        <v>711</v>
      </c>
      <c r="D42" s="36">
        <v>0</v>
      </c>
      <c r="E42" s="51">
        <f>+D42/Summary!$D$19</f>
        <v>0</v>
      </c>
      <c r="F42" s="36">
        <v>0</v>
      </c>
      <c r="G42" s="51">
        <f>F42/Summary!F$19</f>
        <v>0</v>
      </c>
      <c r="H42" s="137">
        <f t="shared" si="20"/>
        <v>0</v>
      </c>
      <c r="I42" s="36">
        <v>0</v>
      </c>
      <c r="J42" s="51">
        <f>I42/Summary!I$19</f>
        <v>0</v>
      </c>
      <c r="K42" s="137">
        <f t="shared" si="21"/>
        <v>0</v>
      </c>
      <c r="M42" s="36">
        <v>0</v>
      </c>
      <c r="N42" s="51">
        <f>+M42/Summary!$D$19</f>
        <v>0</v>
      </c>
      <c r="O42" s="36">
        <v>0</v>
      </c>
      <c r="P42" s="51">
        <f>O42/Summary!O$19</f>
        <v>0</v>
      </c>
      <c r="Q42" s="137">
        <f t="shared" si="22"/>
        <v>0</v>
      </c>
      <c r="R42" s="36">
        <v>0</v>
      </c>
      <c r="S42" s="51">
        <f>R42/Summary!R$19</f>
        <v>0</v>
      </c>
      <c r="T42" s="137">
        <f t="shared" si="23"/>
        <v>0</v>
      </c>
    </row>
    <row r="43" spans="2:20" x14ac:dyDescent="0.25">
      <c r="B43" s="14" t="s">
        <v>312</v>
      </c>
      <c r="C43" s="17" t="s">
        <v>375</v>
      </c>
      <c r="D43" s="36">
        <v>84.82</v>
      </c>
      <c r="E43" s="51">
        <f>+D43/Summary!$D$19</f>
        <v>7.2500269226270903E-5</v>
      </c>
      <c r="F43" s="36">
        <v>1130</v>
      </c>
      <c r="G43" s="51">
        <f>F43/Summary!F$19</f>
        <v>8.1942048596319304E-4</v>
      </c>
      <c r="H43" s="137">
        <f t="shared" si="20"/>
        <v>-1045.18</v>
      </c>
      <c r="I43" s="36">
        <v>-1833.32</v>
      </c>
      <c r="J43" s="51">
        <f>I43/Summary!I$19</f>
        <v>-1.5738727711030874E-3</v>
      </c>
      <c r="K43" s="137">
        <f t="shared" si="21"/>
        <v>1918.1399999999999</v>
      </c>
      <c r="M43" s="36">
        <v>351.5</v>
      </c>
      <c r="N43" s="51">
        <f>+M43/Summary!$D$19</f>
        <v>3.0044617581978571E-4</v>
      </c>
      <c r="O43" s="36">
        <v>1350</v>
      </c>
      <c r="P43" s="51">
        <f>O43/Summary!O$19</f>
        <v>1.6577728890805713E-4</v>
      </c>
      <c r="Q43" s="137">
        <f t="shared" si="22"/>
        <v>-998.5</v>
      </c>
      <c r="R43" s="36">
        <v>0</v>
      </c>
      <c r="S43" s="51">
        <f>R43/Summary!R$19</f>
        <v>0</v>
      </c>
      <c r="T43" s="137">
        <f t="shared" si="23"/>
        <v>351.5</v>
      </c>
    </row>
    <row r="44" spans="2:20" x14ac:dyDescent="0.25">
      <c r="B44" s="14" t="s">
        <v>335</v>
      </c>
      <c r="C44" s="17" t="s">
        <v>378</v>
      </c>
      <c r="D44" s="36">
        <v>0</v>
      </c>
      <c r="E44" s="51">
        <f>+D44/Summary!$D$19</f>
        <v>0</v>
      </c>
      <c r="F44" s="36">
        <v>0</v>
      </c>
      <c r="G44" s="51">
        <f>F44/Summary!F$19</f>
        <v>0</v>
      </c>
      <c r="H44" s="137">
        <f t="shared" si="20"/>
        <v>0</v>
      </c>
      <c r="I44" s="36">
        <v>0</v>
      </c>
      <c r="J44" s="51">
        <f>I44/Summary!I$19</f>
        <v>0</v>
      </c>
      <c r="K44" s="137">
        <f t="shared" si="21"/>
        <v>0</v>
      </c>
      <c r="M44" s="36">
        <v>0</v>
      </c>
      <c r="N44" s="51">
        <f>+M44/Summary!$D$19</f>
        <v>0</v>
      </c>
      <c r="O44" s="36">
        <v>0</v>
      </c>
      <c r="P44" s="51">
        <f>O44/Summary!O$19</f>
        <v>0</v>
      </c>
      <c r="Q44" s="137">
        <f t="shared" si="22"/>
        <v>0</v>
      </c>
      <c r="R44" s="36">
        <v>0</v>
      </c>
      <c r="S44" s="51">
        <f>R44/Summary!R$19</f>
        <v>0</v>
      </c>
      <c r="T44" s="137">
        <f t="shared" si="23"/>
        <v>0</v>
      </c>
    </row>
    <row r="45" spans="2:20" x14ac:dyDescent="0.25">
      <c r="B45" s="14" t="s">
        <v>339</v>
      </c>
      <c r="C45" s="17" t="s">
        <v>421</v>
      </c>
      <c r="D45" s="36">
        <v>0</v>
      </c>
      <c r="E45" s="51">
        <f>+D45/Summary!$D$19</f>
        <v>0</v>
      </c>
      <c r="F45" s="36">
        <v>0</v>
      </c>
      <c r="G45" s="51">
        <f>F45/Summary!F$19</f>
        <v>0</v>
      </c>
      <c r="H45" s="137">
        <f t="shared" si="20"/>
        <v>0</v>
      </c>
      <c r="I45" s="36">
        <v>0</v>
      </c>
      <c r="J45" s="51">
        <f>I45/Summary!I$19</f>
        <v>0</v>
      </c>
      <c r="K45" s="137">
        <f t="shared" si="21"/>
        <v>0</v>
      </c>
      <c r="M45" s="36">
        <v>138.57</v>
      </c>
      <c r="N45" s="51">
        <f>+M45/Summary!$D$19</f>
        <v>1.1844331887154397E-4</v>
      </c>
      <c r="O45" s="36">
        <v>0</v>
      </c>
      <c r="P45" s="51">
        <f>O45/Summary!O$19</f>
        <v>0</v>
      </c>
      <c r="Q45" s="137">
        <f t="shared" si="22"/>
        <v>138.57</v>
      </c>
      <c r="R45" s="36">
        <v>60.7</v>
      </c>
      <c r="S45" s="51">
        <f>R45/Summary!R$19</f>
        <v>8.6350981476636171E-6</v>
      </c>
      <c r="T45" s="137">
        <f t="shared" si="23"/>
        <v>77.86999999999999</v>
      </c>
    </row>
    <row r="46" spans="2:20" x14ac:dyDescent="0.25">
      <c r="B46" s="14" t="s">
        <v>102</v>
      </c>
      <c r="C46" s="17" t="s">
        <v>466</v>
      </c>
      <c r="D46" s="36">
        <v>0</v>
      </c>
      <c r="E46" s="51">
        <f>+D46/Summary!$D$19</f>
        <v>0</v>
      </c>
      <c r="F46" s="36">
        <v>0</v>
      </c>
      <c r="G46" s="51">
        <f>F46/Summary!F$19</f>
        <v>0</v>
      </c>
      <c r="H46" s="137">
        <f t="shared" si="20"/>
        <v>0</v>
      </c>
      <c r="I46" s="36">
        <v>0</v>
      </c>
      <c r="J46" s="51">
        <f>I46/Summary!I$19</f>
        <v>0</v>
      </c>
      <c r="K46" s="137">
        <f t="shared" si="21"/>
        <v>0</v>
      </c>
      <c r="M46" s="36">
        <v>0</v>
      </c>
      <c r="N46" s="51">
        <f>+M46/Summary!$D$19</f>
        <v>0</v>
      </c>
      <c r="O46" s="36">
        <v>0</v>
      </c>
      <c r="P46" s="51">
        <f>O46/Summary!O$19</f>
        <v>0</v>
      </c>
      <c r="Q46" s="137">
        <f t="shared" si="22"/>
        <v>0</v>
      </c>
      <c r="R46" s="36">
        <v>0</v>
      </c>
      <c r="S46" s="51">
        <f>R46/Summary!R$19</f>
        <v>0</v>
      </c>
      <c r="T46" s="137">
        <f t="shared" si="23"/>
        <v>0</v>
      </c>
    </row>
    <row r="47" spans="2:20" x14ac:dyDescent="0.25">
      <c r="B47" s="14" t="s">
        <v>101</v>
      </c>
      <c r="C47" s="17" t="s">
        <v>452</v>
      </c>
      <c r="D47" s="36">
        <v>37858.33</v>
      </c>
      <c r="E47" s="51">
        <f>+D47/Summary!$D$19</f>
        <v>3.2359574598644296E-2</v>
      </c>
      <c r="F47" s="36">
        <v>41584.769999999997</v>
      </c>
      <c r="G47" s="51">
        <f>F47/Summary!F$19</f>
        <v>3.0155232249617352E-2</v>
      </c>
      <c r="H47" s="137">
        <f t="shared" si="20"/>
        <v>-3726.4399999999951</v>
      </c>
      <c r="I47" s="36">
        <v>35060.03</v>
      </c>
      <c r="J47" s="51">
        <f>I47/Summary!I$19</f>
        <v>3.0098415209051002E-2</v>
      </c>
      <c r="K47" s="137">
        <f t="shared" si="21"/>
        <v>2798.3000000000029</v>
      </c>
      <c r="M47" s="36">
        <v>218116.95</v>
      </c>
      <c r="N47" s="51">
        <f>+M47/Summary!$D$19</f>
        <v>0.18643642534559152</v>
      </c>
      <c r="O47" s="36">
        <v>242361.99</v>
      </c>
      <c r="P47" s="51">
        <f>O47/Summary!O$19</f>
        <v>2.9761565656712334E-2</v>
      </c>
      <c r="Q47" s="137">
        <f t="shared" si="22"/>
        <v>-24245.039999999979</v>
      </c>
      <c r="R47" s="36">
        <v>195056.9</v>
      </c>
      <c r="S47" s="51">
        <f>R47/Summary!R$19</f>
        <v>2.7748525138039656E-2</v>
      </c>
      <c r="T47" s="137">
        <f t="shared" si="23"/>
        <v>23060.050000000017</v>
      </c>
    </row>
    <row r="48" spans="2:20" x14ac:dyDescent="0.25">
      <c r="B48" s="14" t="s">
        <v>65</v>
      </c>
      <c r="C48" s="17" t="s">
        <v>453</v>
      </c>
      <c r="D48" s="36">
        <v>14.58</v>
      </c>
      <c r="E48" s="51">
        <f>+D48/Summary!$D$19</f>
        <v>1.2462319327034071E-5</v>
      </c>
      <c r="F48" s="36">
        <v>225.55</v>
      </c>
      <c r="G48" s="51">
        <f>F48/Summary!F$19</f>
        <v>1.6355777929999839E-4</v>
      </c>
      <c r="H48" s="137">
        <f t="shared" si="20"/>
        <v>-210.97</v>
      </c>
      <c r="I48" s="36">
        <v>380.72</v>
      </c>
      <c r="J48" s="51">
        <f>I48/Summary!I$19</f>
        <v>3.2684138143606548E-4</v>
      </c>
      <c r="K48" s="137">
        <f t="shared" si="21"/>
        <v>-366.14000000000004</v>
      </c>
      <c r="M48" s="36">
        <v>325.06</v>
      </c>
      <c r="N48" s="51">
        <f>+M48/Summary!$D$19</f>
        <v>2.7784646916637138E-4</v>
      </c>
      <c r="O48" s="36">
        <v>1109.3</v>
      </c>
      <c r="P48" s="51">
        <f>O48/Summary!O$19</f>
        <v>1.3621981228570946E-4</v>
      </c>
      <c r="Q48" s="137">
        <f t="shared" si="22"/>
        <v>-784.24</v>
      </c>
      <c r="R48" s="36">
        <v>1705.66</v>
      </c>
      <c r="S48" s="51">
        <f>R48/Summary!R$19</f>
        <v>2.4264483536316187E-4</v>
      </c>
      <c r="T48" s="137">
        <f t="shared" si="23"/>
        <v>-1380.6000000000001</v>
      </c>
    </row>
    <row r="49" spans="2:20" x14ac:dyDescent="0.25">
      <c r="B49" s="14" t="s">
        <v>66</v>
      </c>
      <c r="C49" s="17" t="s">
        <v>465</v>
      </c>
      <c r="D49" s="36">
        <v>6387.8</v>
      </c>
      <c r="E49" s="51">
        <f>+D49/Summary!$D$19</f>
        <v>5.4600002330060524E-3</v>
      </c>
      <c r="F49" s="36">
        <v>6029.39</v>
      </c>
      <c r="G49" s="51">
        <f>F49/Summary!F$19</f>
        <v>4.372217419346563E-3</v>
      </c>
      <c r="H49" s="137">
        <f t="shared" si="20"/>
        <v>358.40999999999985</v>
      </c>
      <c r="I49" s="36">
        <v>6086.1</v>
      </c>
      <c r="J49" s="51">
        <f>I49/Summary!I$19</f>
        <v>5.2248091289084841E-3</v>
      </c>
      <c r="K49" s="137">
        <f t="shared" si="21"/>
        <v>301.69999999999982</v>
      </c>
      <c r="M49" s="36">
        <v>36635.71</v>
      </c>
      <c r="N49" s="51">
        <f>+M49/Summary!$D$19</f>
        <v>3.1314534759438642E-2</v>
      </c>
      <c r="O49" s="36">
        <v>38498.080000000002</v>
      </c>
      <c r="P49" s="51">
        <f>O49/Summary!O$19</f>
        <v>4.7274869115299968E-3</v>
      </c>
      <c r="Q49" s="137">
        <f t="shared" si="22"/>
        <v>-1862.3700000000026</v>
      </c>
      <c r="R49" s="36">
        <v>37626.120000000003</v>
      </c>
      <c r="S49" s="51">
        <f>R49/Summary!R$19</f>
        <v>5.352639853637051E-3</v>
      </c>
      <c r="T49" s="137">
        <f t="shared" si="23"/>
        <v>-990.41000000000349</v>
      </c>
    </row>
    <row r="50" spans="2:20" x14ac:dyDescent="0.25">
      <c r="B50" s="14" t="s">
        <v>627</v>
      </c>
      <c r="C50" s="17" t="s">
        <v>487</v>
      </c>
      <c r="D50" s="36">
        <v>0</v>
      </c>
      <c r="E50" s="51">
        <f>+D50/Summary!$D$19</f>
        <v>0</v>
      </c>
      <c r="F50" s="36">
        <v>0</v>
      </c>
      <c r="G50" s="51">
        <f>F50/Summary!F$19</f>
        <v>0</v>
      </c>
      <c r="H50" s="137">
        <f t="shared" si="20"/>
        <v>0</v>
      </c>
      <c r="I50" s="36">
        <v>0</v>
      </c>
      <c r="J50" s="51">
        <f>I50/Summary!I$19</f>
        <v>0</v>
      </c>
      <c r="K50" s="137">
        <f t="shared" si="21"/>
        <v>0</v>
      </c>
      <c r="M50" s="36">
        <v>0</v>
      </c>
      <c r="N50" s="51">
        <f>+M50/Summary!$D$19</f>
        <v>0</v>
      </c>
      <c r="O50" s="36">
        <v>0</v>
      </c>
      <c r="P50" s="51">
        <f>O50/Summary!O$19</f>
        <v>0</v>
      </c>
      <c r="Q50" s="137">
        <f t="shared" si="22"/>
        <v>0</v>
      </c>
      <c r="R50" s="36">
        <v>0</v>
      </c>
      <c r="S50" s="51">
        <f>R50/Summary!R$19</f>
        <v>0</v>
      </c>
      <c r="T50" s="137">
        <f t="shared" si="23"/>
        <v>0</v>
      </c>
    </row>
    <row r="51" spans="2:20" x14ac:dyDescent="0.25">
      <c r="B51" s="14" t="s">
        <v>222</v>
      </c>
      <c r="C51" s="17" t="s">
        <v>454</v>
      </c>
      <c r="D51" s="36">
        <v>-478.49</v>
      </c>
      <c r="E51" s="51">
        <f>+D51/Summary!$D$19</f>
        <v>-4.089914386003109E-4</v>
      </c>
      <c r="F51" s="36">
        <v>324.77</v>
      </c>
      <c r="G51" s="51">
        <f>F51/Summary!F$19</f>
        <v>2.3550724887280193E-4</v>
      </c>
      <c r="H51" s="137">
        <f t="shared" si="20"/>
        <v>-803.26</v>
      </c>
      <c r="I51" s="36">
        <v>1539.37</v>
      </c>
      <c r="J51" s="51">
        <f>I51/Summary!I$19</f>
        <v>1.3215218988790608E-3</v>
      </c>
      <c r="K51" s="137">
        <f t="shared" si="21"/>
        <v>-2017.86</v>
      </c>
      <c r="M51" s="36">
        <v>1303.49</v>
      </c>
      <c r="N51" s="51">
        <f>+M51/Summary!$D$19</f>
        <v>1.114163828504502E-3</v>
      </c>
      <c r="O51" s="36">
        <v>2073.6999999999998</v>
      </c>
      <c r="P51" s="51">
        <f>O51/Summary!O$19</f>
        <v>2.5464619556195408E-4</v>
      </c>
      <c r="Q51" s="137">
        <f t="shared" si="22"/>
        <v>-770.20999999999981</v>
      </c>
      <c r="R51" s="36">
        <v>4902</v>
      </c>
      <c r="S51" s="51">
        <f>R51/Summary!R$19</f>
        <v>6.973517482676614E-4</v>
      </c>
      <c r="T51" s="137">
        <f t="shared" si="23"/>
        <v>-3598.51</v>
      </c>
    </row>
    <row r="52" spans="2:20" x14ac:dyDescent="0.25">
      <c r="B52" s="14" t="s">
        <v>57</v>
      </c>
      <c r="C52" s="17" t="s">
        <v>464</v>
      </c>
      <c r="D52" s="36">
        <v>0</v>
      </c>
      <c r="E52" s="51">
        <f>+D52/Summary!$D$19</f>
        <v>0</v>
      </c>
      <c r="F52" s="36">
        <v>0</v>
      </c>
      <c r="G52" s="51">
        <f>F52/Summary!F$19</f>
        <v>0</v>
      </c>
      <c r="H52" s="137">
        <f t="shared" si="20"/>
        <v>0</v>
      </c>
      <c r="I52" s="36">
        <v>0</v>
      </c>
      <c r="J52" s="51">
        <f>I52/Summary!I$19</f>
        <v>0</v>
      </c>
      <c r="K52" s="137">
        <f t="shared" si="21"/>
        <v>0</v>
      </c>
      <c r="M52" s="36">
        <v>0</v>
      </c>
      <c r="N52" s="51">
        <f>+M52/Summary!$D$19</f>
        <v>0</v>
      </c>
      <c r="O52" s="36">
        <v>0</v>
      </c>
      <c r="P52" s="51">
        <f>O52/Summary!O$19</f>
        <v>0</v>
      </c>
      <c r="Q52" s="137">
        <f t="shared" si="22"/>
        <v>0</v>
      </c>
      <c r="R52" s="36">
        <v>0</v>
      </c>
      <c r="S52" s="51">
        <f>R52/Summary!R$19</f>
        <v>0</v>
      </c>
      <c r="T52" s="137">
        <f t="shared" si="23"/>
        <v>0</v>
      </c>
    </row>
    <row r="53" spans="2:20" x14ac:dyDescent="0.25">
      <c r="B53" s="14" t="s">
        <v>62</v>
      </c>
      <c r="C53" s="17" t="s">
        <v>455</v>
      </c>
      <c r="D53" s="36">
        <v>2044.66</v>
      </c>
      <c r="E53" s="51">
        <f>+D53/Summary!$D$19</f>
        <v>1.7476821560503076E-3</v>
      </c>
      <c r="F53" s="36">
        <v>1500.17</v>
      </c>
      <c r="G53" s="51">
        <f>F53/Summary!F$19</f>
        <v>1.0878495844490294E-3</v>
      </c>
      <c r="H53" s="137">
        <f t="shared" si="20"/>
        <v>544.49</v>
      </c>
      <c r="I53" s="36">
        <v>1570.12</v>
      </c>
      <c r="J53" s="51">
        <f>I53/Summary!I$19</f>
        <v>1.3479202296186044E-3</v>
      </c>
      <c r="K53" s="137">
        <f t="shared" si="21"/>
        <v>474.54000000000019</v>
      </c>
      <c r="M53" s="36">
        <v>10982.41</v>
      </c>
      <c r="N53" s="51">
        <f>+M53/Summary!$D$19</f>
        <v>9.3872634019487138E-3</v>
      </c>
      <c r="O53" s="36">
        <v>7500.85</v>
      </c>
      <c r="P53" s="51">
        <f>O53/Summary!O$19</f>
        <v>9.2108931667111136E-4</v>
      </c>
      <c r="Q53" s="137">
        <f t="shared" si="22"/>
        <v>3481.5599999999995</v>
      </c>
      <c r="R53" s="36">
        <v>8055.76</v>
      </c>
      <c r="S53" s="51">
        <f>R53/Summary!R$19</f>
        <v>1.1460012891931245E-3</v>
      </c>
      <c r="T53" s="137">
        <f t="shared" si="23"/>
        <v>2926.6499999999996</v>
      </c>
    </row>
    <row r="54" spans="2:20" x14ac:dyDescent="0.25">
      <c r="B54" s="14" t="s">
        <v>211</v>
      </c>
      <c r="C54" s="17" t="s">
        <v>456</v>
      </c>
      <c r="D54" s="36">
        <v>225.61</v>
      </c>
      <c r="E54" s="51">
        <f>+D54/Summary!$D$19</f>
        <v>1.9284114289246619E-4</v>
      </c>
      <c r="F54" s="36">
        <v>248</v>
      </c>
      <c r="G54" s="51">
        <f>F54/Summary!F$19</f>
        <v>1.7983741638838218E-4</v>
      </c>
      <c r="H54" s="137">
        <f t="shared" si="20"/>
        <v>-22.389999999999986</v>
      </c>
      <c r="I54" s="36">
        <v>216.12</v>
      </c>
      <c r="J54" s="51">
        <f>I54/Summary!I$19</f>
        <v>1.8553519477821617E-4</v>
      </c>
      <c r="K54" s="137">
        <f t="shared" si="21"/>
        <v>9.4900000000000091</v>
      </c>
      <c r="M54" s="36">
        <v>1111.3</v>
      </c>
      <c r="N54" s="51">
        <f>+M54/Summary!$D$19</f>
        <v>9.4988857806124565E-4</v>
      </c>
      <c r="O54" s="36">
        <v>1240</v>
      </c>
      <c r="P54" s="51">
        <f>O54/Summary!O$19</f>
        <v>1.5226950981184507E-4</v>
      </c>
      <c r="Q54" s="137">
        <f t="shared" si="22"/>
        <v>-128.70000000000005</v>
      </c>
      <c r="R54" s="36">
        <v>1015.23</v>
      </c>
      <c r="S54" s="51">
        <f>R54/Summary!R$19</f>
        <v>1.4442521733859198E-4</v>
      </c>
      <c r="T54" s="137">
        <f t="shared" si="23"/>
        <v>96.069999999999936</v>
      </c>
    </row>
    <row r="55" spans="2:20" x14ac:dyDescent="0.25">
      <c r="B55" s="14" t="s">
        <v>161</v>
      </c>
      <c r="C55" s="17" t="s">
        <v>457</v>
      </c>
      <c r="D55" s="36">
        <v>0</v>
      </c>
      <c r="E55" s="51">
        <f>+D55/Summary!$D$19</f>
        <v>0</v>
      </c>
      <c r="F55" s="36">
        <v>0</v>
      </c>
      <c r="G55" s="51">
        <f>F55/Summary!F$19</f>
        <v>0</v>
      </c>
      <c r="H55" s="137">
        <f t="shared" si="20"/>
        <v>0</v>
      </c>
      <c r="I55" s="36">
        <v>0</v>
      </c>
      <c r="J55" s="51">
        <f>I55/Summary!I$19</f>
        <v>0</v>
      </c>
      <c r="K55" s="137">
        <f t="shared" si="21"/>
        <v>0</v>
      </c>
      <c r="M55" s="36">
        <v>0</v>
      </c>
      <c r="N55" s="51">
        <f>+M55/Summary!$D$19</f>
        <v>0</v>
      </c>
      <c r="O55" s="36">
        <v>0</v>
      </c>
      <c r="P55" s="51">
        <f>O55/Summary!O$19</f>
        <v>0</v>
      </c>
      <c r="Q55" s="137">
        <f t="shared" si="22"/>
        <v>0</v>
      </c>
      <c r="R55" s="36">
        <v>0</v>
      </c>
      <c r="S55" s="51">
        <f>R55/Summary!R$19</f>
        <v>0</v>
      </c>
      <c r="T55" s="137">
        <f t="shared" si="23"/>
        <v>0</v>
      </c>
    </row>
    <row r="56" spans="2:20" x14ac:dyDescent="0.25">
      <c r="B56" s="14" t="s">
        <v>230</v>
      </c>
      <c r="C56" s="17" t="s">
        <v>469</v>
      </c>
      <c r="D56" s="36">
        <v>0</v>
      </c>
      <c r="E56" s="51">
        <f>+D56/Summary!$D$19</f>
        <v>0</v>
      </c>
      <c r="F56" s="36">
        <v>0</v>
      </c>
      <c r="G56" s="51">
        <f>F56/Summary!F$19</f>
        <v>0</v>
      </c>
      <c r="H56" s="137">
        <f t="shared" si="20"/>
        <v>0</v>
      </c>
      <c r="I56" s="36">
        <v>0</v>
      </c>
      <c r="J56" s="51">
        <f>I56/Summary!I$19</f>
        <v>0</v>
      </c>
      <c r="K56" s="137">
        <f t="shared" si="21"/>
        <v>0</v>
      </c>
      <c r="M56" s="36">
        <v>0</v>
      </c>
      <c r="N56" s="51">
        <f>+M56/Summary!$D$19</f>
        <v>0</v>
      </c>
      <c r="O56" s="36">
        <v>0</v>
      </c>
      <c r="P56" s="51">
        <f>O56/Summary!O$19</f>
        <v>0</v>
      </c>
      <c r="Q56" s="137">
        <f t="shared" si="22"/>
        <v>0</v>
      </c>
      <c r="R56" s="36">
        <v>0</v>
      </c>
      <c r="S56" s="51">
        <f>R56/Summary!R$19</f>
        <v>0</v>
      </c>
      <c r="T56" s="137">
        <f t="shared" si="23"/>
        <v>0</v>
      </c>
    </row>
    <row r="57" spans="2:20" x14ac:dyDescent="0.25">
      <c r="B57" s="14" t="s">
        <v>163</v>
      </c>
      <c r="C57" s="17" t="s">
        <v>371</v>
      </c>
      <c r="D57" s="36">
        <v>595.83000000000004</v>
      </c>
      <c r="E57" s="51">
        <f>+D57/Summary!$D$19</f>
        <v>5.0928832130498706E-4</v>
      </c>
      <c r="F57" s="36">
        <v>1342.2</v>
      </c>
      <c r="G57" s="51">
        <f>F57/Summary!F$19</f>
        <v>9.7329750111486524E-4</v>
      </c>
      <c r="H57" s="137">
        <f t="shared" si="20"/>
        <v>-746.37</v>
      </c>
      <c r="I57" s="36">
        <v>198.63</v>
      </c>
      <c r="J57" s="51">
        <f>I57/Summary!I$19</f>
        <v>1.7052033934294411E-4</v>
      </c>
      <c r="K57" s="137">
        <f t="shared" si="21"/>
        <v>397.20000000000005</v>
      </c>
      <c r="M57" s="36">
        <v>2978.03</v>
      </c>
      <c r="N57" s="51">
        <f>+M57/Summary!$D$19</f>
        <v>2.5454842815834894E-3</v>
      </c>
      <c r="O57" s="36">
        <v>7157.2</v>
      </c>
      <c r="P57" s="51">
        <f>O57/Summary!O$19</f>
        <v>8.7888978679462695E-4</v>
      </c>
      <c r="Q57" s="137">
        <f t="shared" si="22"/>
        <v>-4179.17</v>
      </c>
      <c r="R57" s="36">
        <v>3533.41</v>
      </c>
      <c r="S57" s="51">
        <f>R57/Summary!R$19</f>
        <v>5.0265802546846947E-4</v>
      </c>
      <c r="T57" s="137">
        <f t="shared" si="23"/>
        <v>-555.37999999999965</v>
      </c>
    </row>
    <row r="58" spans="2:20" x14ac:dyDescent="0.25">
      <c r="B58" s="14" t="s">
        <v>108</v>
      </c>
      <c r="C58" s="17" t="s">
        <v>458</v>
      </c>
      <c r="D58" s="36">
        <v>0</v>
      </c>
      <c r="E58" s="51">
        <f>+D58/Summary!$D$19</f>
        <v>0</v>
      </c>
      <c r="F58" s="36">
        <v>0</v>
      </c>
      <c r="G58" s="51">
        <f>F58/Summary!F$19</f>
        <v>0</v>
      </c>
      <c r="H58" s="137">
        <f t="shared" si="20"/>
        <v>0</v>
      </c>
      <c r="I58" s="36">
        <v>0</v>
      </c>
      <c r="J58" s="51">
        <f>I58/Summary!I$19</f>
        <v>0</v>
      </c>
      <c r="K58" s="137">
        <f t="shared" si="21"/>
        <v>0</v>
      </c>
      <c r="M58" s="36">
        <v>0</v>
      </c>
      <c r="N58" s="51">
        <f>+M58/Summary!$D$19</f>
        <v>0</v>
      </c>
      <c r="O58" s="36">
        <v>0</v>
      </c>
      <c r="P58" s="51">
        <f>O58/Summary!O$19</f>
        <v>0</v>
      </c>
      <c r="Q58" s="137">
        <f t="shared" si="22"/>
        <v>0</v>
      </c>
      <c r="R58" s="36">
        <v>0</v>
      </c>
      <c r="S58" s="51">
        <f>R58/Summary!R$19</f>
        <v>0</v>
      </c>
      <c r="T58" s="137">
        <f t="shared" si="23"/>
        <v>0</v>
      </c>
    </row>
    <row r="59" spans="2:20" x14ac:dyDescent="0.25">
      <c r="B59" s="14" t="s">
        <v>229</v>
      </c>
      <c r="C59" s="17" t="s">
        <v>459</v>
      </c>
      <c r="D59" s="36">
        <v>481.48</v>
      </c>
      <c r="E59" s="51">
        <f>+D59/Summary!$D$19</f>
        <v>4.1154715429220608E-4</v>
      </c>
      <c r="F59" s="36">
        <v>409</v>
      </c>
      <c r="G59" s="51">
        <f>F59/Summary!F$19</f>
        <v>2.9658670686632383E-4</v>
      </c>
      <c r="H59" s="137">
        <f t="shared" si="20"/>
        <v>72.480000000000018</v>
      </c>
      <c r="I59" s="36">
        <v>412.9</v>
      </c>
      <c r="J59" s="51">
        <f>I59/Summary!I$19</f>
        <v>3.5446734186528529E-4</v>
      </c>
      <c r="K59" s="137">
        <f t="shared" si="21"/>
        <v>68.580000000000041</v>
      </c>
      <c r="M59" s="36">
        <v>2477.4699999999998</v>
      </c>
      <c r="N59" s="51">
        <f>+M59/Summary!$D$19</f>
        <v>2.117628413110226E-3</v>
      </c>
      <c r="O59" s="36">
        <v>2045</v>
      </c>
      <c r="P59" s="51">
        <f>O59/Summary!O$19</f>
        <v>2.5112189319776058E-4</v>
      </c>
      <c r="Q59" s="137">
        <f t="shared" si="22"/>
        <v>432.4699999999998</v>
      </c>
      <c r="R59" s="36">
        <v>2053.35</v>
      </c>
      <c r="S59" s="51">
        <f>R59/Summary!R$19</f>
        <v>2.9210673445642643E-4</v>
      </c>
      <c r="T59" s="137">
        <f t="shared" si="23"/>
        <v>424.11999999999989</v>
      </c>
    </row>
    <row r="60" spans="2:20" s="11" customFormat="1" x14ac:dyDescent="0.25">
      <c r="B60" s="14" t="s">
        <v>642</v>
      </c>
      <c r="C60" s="17" t="s">
        <v>710</v>
      </c>
      <c r="D60" s="36">
        <v>0</v>
      </c>
      <c r="E60" s="51">
        <f>+D60/Summary!$D$19</f>
        <v>0</v>
      </c>
      <c r="F60" s="36">
        <v>0</v>
      </c>
      <c r="G60" s="51">
        <f>F60/Summary!F$19</f>
        <v>0</v>
      </c>
      <c r="H60" s="137">
        <f t="shared" si="20"/>
        <v>0</v>
      </c>
      <c r="I60" s="36">
        <v>0</v>
      </c>
      <c r="J60" s="51">
        <f>I60/Summary!I$19</f>
        <v>0</v>
      </c>
      <c r="K60" s="137">
        <f t="shared" si="21"/>
        <v>0</v>
      </c>
      <c r="M60" s="36">
        <v>0</v>
      </c>
      <c r="N60" s="51">
        <f>+M60/Summary!$D$19</f>
        <v>0</v>
      </c>
      <c r="O60" s="36">
        <v>0</v>
      </c>
      <c r="P60" s="51">
        <f>O60/Summary!O$19</f>
        <v>0</v>
      </c>
      <c r="Q60" s="137">
        <f t="shared" si="22"/>
        <v>0</v>
      </c>
      <c r="R60" s="36">
        <v>0</v>
      </c>
      <c r="S60" s="51">
        <f>R60/Summary!R$19</f>
        <v>0</v>
      </c>
      <c r="T60" s="137">
        <f t="shared" si="23"/>
        <v>0</v>
      </c>
    </row>
    <row r="61" spans="2:20" s="11" customFormat="1" x14ac:dyDescent="0.25">
      <c r="B61" s="14" t="s">
        <v>640</v>
      </c>
      <c r="C61" s="17" t="s">
        <v>707</v>
      </c>
      <c r="D61" s="36">
        <v>0</v>
      </c>
      <c r="E61" s="51">
        <f>+D61/Summary!$D$19</f>
        <v>0</v>
      </c>
      <c r="F61" s="36">
        <v>0</v>
      </c>
      <c r="G61" s="51">
        <f>F61/Summary!F$19</f>
        <v>0</v>
      </c>
      <c r="H61" s="137">
        <f t="shared" si="20"/>
        <v>0</v>
      </c>
      <c r="I61" s="36">
        <v>0</v>
      </c>
      <c r="J61" s="51">
        <f>I61/Summary!I$19</f>
        <v>0</v>
      </c>
      <c r="K61" s="137">
        <f t="shared" si="21"/>
        <v>0</v>
      </c>
      <c r="M61" s="36">
        <v>0</v>
      </c>
      <c r="N61" s="51">
        <f>+M61/Summary!$D$19</f>
        <v>0</v>
      </c>
      <c r="O61" s="36">
        <v>0</v>
      </c>
      <c r="P61" s="51">
        <f>O61/Summary!O$19</f>
        <v>0</v>
      </c>
      <c r="Q61" s="137">
        <f t="shared" si="22"/>
        <v>0</v>
      </c>
      <c r="R61" s="36">
        <v>0</v>
      </c>
      <c r="S61" s="51">
        <f>R61/Summary!R$19</f>
        <v>0</v>
      </c>
      <c r="T61" s="137">
        <f t="shared" si="23"/>
        <v>0</v>
      </c>
    </row>
    <row r="62" spans="2:20" s="11" customFormat="1" x14ac:dyDescent="0.25">
      <c r="B62" s="14" t="s">
        <v>175</v>
      </c>
      <c r="C62" s="17" t="s">
        <v>359</v>
      </c>
      <c r="D62" s="36">
        <v>0</v>
      </c>
      <c r="E62" s="51">
        <f>+D62/Summary!$D$19</f>
        <v>0</v>
      </c>
      <c r="F62" s="36">
        <v>1068.6731177019999</v>
      </c>
      <c r="G62" s="51">
        <f>F62/Summary!F$19</f>
        <v>7.7494924375502065E-4</v>
      </c>
      <c r="H62" s="137">
        <f t="shared" si="20"/>
        <v>-1068.6731177019999</v>
      </c>
      <c r="I62" s="36">
        <v>252</v>
      </c>
      <c r="J62" s="51">
        <f>I62/Summary!I$19</f>
        <v>2.16337539719186E-4</v>
      </c>
      <c r="K62" s="137">
        <f t="shared" si="21"/>
        <v>-252</v>
      </c>
      <c r="M62" s="36">
        <v>-20.05</v>
      </c>
      <c r="N62" s="51">
        <f>+M62/Summary!$D$19</f>
        <v>-1.7137825960701861E-5</v>
      </c>
      <c r="O62" s="36">
        <v>5255.9480801030004</v>
      </c>
      <c r="P62" s="51">
        <f>O62/Summary!O$19</f>
        <v>6.4541986915628389E-4</v>
      </c>
      <c r="Q62" s="137">
        <f t="shared" si="22"/>
        <v>-5275.9980801030006</v>
      </c>
      <c r="R62" s="36">
        <v>549.19000000000005</v>
      </c>
      <c r="S62" s="51">
        <f>R62/Summary!R$19</f>
        <v>7.8127010736661972E-5</v>
      </c>
      <c r="T62" s="137">
        <f t="shared" si="23"/>
        <v>-569.24</v>
      </c>
    </row>
    <row r="63" spans="2:20" x14ac:dyDescent="0.25">
      <c r="B63" s="14" t="s">
        <v>90</v>
      </c>
      <c r="C63" s="17" t="s">
        <v>423</v>
      </c>
      <c r="D63" s="36">
        <v>0</v>
      </c>
      <c r="E63" s="51">
        <f>+D63/Summary!$D$19</f>
        <v>0</v>
      </c>
      <c r="F63" s="36">
        <v>0</v>
      </c>
      <c r="G63" s="51">
        <f>F63/Summary!F$19</f>
        <v>0</v>
      </c>
      <c r="H63" s="137">
        <f t="shared" si="20"/>
        <v>0</v>
      </c>
      <c r="I63" s="36">
        <v>0</v>
      </c>
      <c r="J63" s="51">
        <f>I63/Summary!I$19</f>
        <v>0</v>
      </c>
      <c r="K63" s="137">
        <f t="shared" si="21"/>
        <v>0</v>
      </c>
      <c r="M63" s="36">
        <v>0</v>
      </c>
      <c r="N63" s="51">
        <f>+M63/Summary!$D$19</f>
        <v>0</v>
      </c>
      <c r="O63" s="36">
        <v>0</v>
      </c>
      <c r="P63" s="51">
        <f>O63/Summary!O$19</f>
        <v>0</v>
      </c>
      <c r="Q63" s="137">
        <f t="shared" si="22"/>
        <v>0</v>
      </c>
      <c r="R63" s="36">
        <v>0</v>
      </c>
      <c r="S63" s="51">
        <f>R63/Summary!R$19</f>
        <v>0</v>
      </c>
      <c r="T63" s="137">
        <f t="shared" si="23"/>
        <v>0</v>
      </c>
    </row>
    <row r="64" spans="2:20" x14ac:dyDescent="0.25">
      <c r="B64" s="14" t="s">
        <v>153</v>
      </c>
      <c r="C64" s="17" t="s">
        <v>460</v>
      </c>
      <c r="D64" s="90">
        <v>1423.14</v>
      </c>
      <c r="E64" s="82">
        <f>+D64/Summary!$D$19</f>
        <v>1.21643519390091E-3</v>
      </c>
      <c r="F64" s="90">
        <v>3937.33</v>
      </c>
      <c r="G64" s="82">
        <f>F64/Summary!F$19</f>
        <v>2.8551582849535031E-3</v>
      </c>
      <c r="H64" s="195">
        <f t="shared" si="20"/>
        <v>-2514.1899999999996</v>
      </c>
      <c r="I64" s="36">
        <v>9632.74</v>
      </c>
      <c r="J64" s="82">
        <f>I64/Summary!I$19</f>
        <v>8.2695367950579041E-3</v>
      </c>
      <c r="K64" s="195">
        <f t="shared" si="21"/>
        <v>-8209.6</v>
      </c>
      <c r="M64" s="90">
        <v>11841.16</v>
      </c>
      <c r="N64" s="82">
        <f>+M64/Summary!$D$19</f>
        <v>1.0121283753258076E-2</v>
      </c>
      <c r="O64" s="90">
        <v>16337.65</v>
      </c>
      <c r="P64" s="82">
        <f>O64/Summary!O$19</f>
        <v>2.0062306104657182E-3</v>
      </c>
      <c r="Q64" s="195">
        <f t="shared" si="22"/>
        <v>-4496.49</v>
      </c>
      <c r="R64" s="36">
        <v>18361.53</v>
      </c>
      <c r="S64" s="82">
        <f>R64/Summary!R$19</f>
        <v>2.6120858927721567E-3</v>
      </c>
      <c r="T64" s="195">
        <f t="shared" si="23"/>
        <v>-6520.369999999999</v>
      </c>
    </row>
    <row r="65" spans="2:20" x14ac:dyDescent="0.25">
      <c r="B65" s="14" t="s">
        <v>283</v>
      </c>
      <c r="C65" s="18" t="s">
        <v>425</v>
      </c>
      <c r="D65" s="91">
        <f t="shared" ref="D65" si="24">SUM(D30:D64)</f>
        <v>54563.880000000019</v>
      </c>
      <c r="E65" s="83">
        <f>+D65/Summary!$D$19</f>
        <v>4.6638717166115777E-2</v>
      </c>
      <c r="F65" s="91">
        <f>SUM(F30:F64)</f>
        <v>67700.236889723979</v>
      </c>
      <c r="G65" s="83">
        <f>F65/Summary!F$19</f>
        <v>4.909288585132824E-2</v>
      </c>
      <c r="H65" s="192">
        <f t="shared" si="20"/>
        <v>-13136.35688972396</v>
      </c>
      <c r="I65" s="91">
        <f>SUM(I30:I64)</f>
        <v>55354.57</v>
      </c>
      <c r="J65" s="83">
        <f>I65/Summary!I$19</f>
        <v>4.7520918595291513E-2</v>
      </c>
      <c r="K65" s="192">
        <f t="shared" si="21"/>
        <v>-790.6899999999805</v>
      </c>
      <c r="M65" s="91">
        <f t="shared" ref="M65" si="25">SUM(M30:M64)</f>
        <v>325704.48</v>
      </c>
      <c r="N65" s="83">
        <f>+M65/Summary!$D$19</f>
        <v>0.27839734128982041</v>
      </c>
      <c r="O65" s="91">
        <f>SUM(O30:O64)</f>
        <v>388169.487835387</v>
      </c>
      <c r="P65" s="83">
        <f>O65/Summary!O$19</f>
        <v>4.7666433577910755E-2</v>
      </c>
      <c r="Q65" s="192">
        <f t="shared" si="22"/>
        <v>-62465.007835387019</v>
      </c>
      <c r="R65" s="91">
        <f>SUM(R30:R64)</f>
        <v>300563.3899999999</v>
      </c>
      <c r="S65" s="83">
        <f>R65/Summary!R$19</f>
        <v>4.275773265641674E-2</v>
      </c>
      <c r="T65" s="192">
        <f t="shared" si="23"/>
        <v>25141.090000000084</v>
      </c>
    </row>
    <row r="66" spans="2:20" x14ac:dyDescent="0.25">
      <c r="B66" s="14"/>
      <c r="C66" s="16"/>
      <c r="D66" s="48"/>
      <c r="E66" s="32"/>
      <c r="F66" s="48"/>
      <c r="G66" s="32"/>
      <c r="H66" s="16"/>
      <c r="I66" s="48"/>
      <c r="J66" s="32"/>
      <c r="K66" s="49"/>
      <c r="M66" s="48"/>
      <c r="N66" s="32"/>
      <c r="O66" s="48"/>
      <c r="P66" s="32"/>
      <c r="Q66" s="16"/>
      <c r="R66" s="48"/>
      <c r="S66" s="32"/>
      <c r="T66" s="49"/>
    </row>
    <row r="67" spans="2:20" x14ac:dyDescent="0.25">
      <c r="B67" s="14" t="s">
        <v>26</v>
      </c>
      <c r="C67" s="18" t="s">
        <v>426</v>
      </c>
      <c r="D67" s="142">
        <f t="shared" ref="D67" si="26">+D27+D65</f>
        <v>117080.84000000003</v>
      </c>
      <c r="E67" s="130">
        <f>+D67/Summary!$D$19</f>
        <v>0.10007536455126091</v>
      </c>
      <c r="F67" s="142">
        <f>+F27+F65</f>
        <v>128057.77688972399</v>
      </c>
      <c r="G67" s="130">
        <f>F67/Summary!F$19</f>
        <v>9.2861208646321927E-2</v>
      </c>
      <c r="H67" s="207">
        <f>+D67-F67</f>
        <v>-10976.936889723962</v>
      </c>
      <c r="I67" s="142">
        <f>+I27+I65</f>
        <v>111994.31</v>
      </c>
      <c r="J67" s="130">
        <f>I67/Summary!I$19</f>
        <v>9.6145132888681858E-2</v>
      </c>
      <c r="K67" s="207">
        <f>+D67-I67</f>
        <v>5086.5300000000279</v>
      </c>
      <c r="M67" s="142">
        <f t="shared" ref="M67" si="27">+M27+M65</f>
        <v>623772.12</v>
      </c>
      <c r="N67" s="130">
        <f>+M67/Summary!$D$19</f>
        <v>0.53317197165576236</v>
      </c>
      <c r="O67" s="142">
        <f>+O27+O65</f>
        <v>684474.25783538702</v>
      </c>
      <c r="P67" s="130">
        <f>O67/Summary!O$19</f>
        <v>8.405206428985551E-2</v>
      </c>
      <c r="Q67" s="207">
        <f>+M67-O67</f>
        <v>-60702.137835387024</v>
      </c>
      <c r="R67" s="142">
        <f>+R27+R65</f>
        <v>580712.0199999999</v>
      </c>
      <c r="S67" s="130">
        <f>R67/Summary!R$19</f>
        <v>8.2611289756639145E-2</v>
      </c>
      <c r="T67" s="207">
        <f>+M67-R67</f>
        <v>43060.100000000093</v>
      </c>
    </row>
    <row r="68" spans="2:20" ht="15.75" thickBot="1" x14ac:dyDescent="0.3">
      <c r="B68" s="14"/>
      <c r="C68" s="18" t="s">
        <v>427</v>
      </c>
      <c r="D68" s="143">
        <f t="shared" ref="D68" si="28">0-D67</f>
        <v>-117080.84000000003</v>
      </c>
      <c r="E68" s="172">
        <f>+D68/Summary!$D$19</f>
        <v>-0.10007536455126091</v>
      </c>
      <c r="F68" s="143">
        <f t="shared" ref="F68" si="29">0-F67</f>
        <v>-128057.77688972399</v>
      </c>
      <c r="G68" s="172">
        <f>F68/Summary!F$19</f>
        <v>-9.2861208646321927E-2</v>
      </c>
      <c r="H68" s="194">
        <f>+D68-F68</f>
        <v>10976.936889723962</v>
      </c>
      <c r="I68" s="143">
        <f t="shared" ref="I68" si="30">0-I67</f>
        <v>-111994.31</v>
      </c>
      <c r="J68" s="172">
        <f>I68/Summary!I$19</f>
        <v>-9.6145132888681858E-2</v>
      </c>
      <c r="K68" s="194">
        <f>+D68-I68</f>
        <v>-5086.5300000000279</v>
      </c>
      <c r="M68" s="143">
        <f t="shared" ref="M68" si="31">0-M67</f>
        <v>-623772.12</v>
      </c>
      <c r="N68" s="172">
        <f>+M68/Summary!$D$19</f>
        <v>-0.53317197165576236</v>
      </c>
      <c r="O68" s="143">
        <f t="shared" ref="O68" si="32">0-O67</f>
        <v>-684474.25783538702</v>
      </c>
      <c r="P68" s="172">
        <f>O68/Summary!O$19</f>
        <v>-8.405206428985551E-2</v>
      </c>
      <c r="Q68" s="194">
        <f>+M68-O68</f>
        <v>60702.137835387024</v>
      </c>
      <c r="R68" s="143">
        <f t="shared" ref="R68" si="33">0-R67</f>
        <v>-580712.0199999999</v>
      </c>
      <c r="S68" s="172">
        <f>R68/Summary!R$19</f>
        <v>-8.2611289756639145E-2</v>
      </c>
      <c r="T68" s="194">
        <f>+M68-R68</f>
        <v>-43060.100000000093</v>
      </c>
    </row>
    <row r="69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63AD-F441-4358-A878-B80B27B9DAE2}">
  <dimension ref="B1:V71"/>
  <sheetViews>
    <sheetView showGridLines="0" zoomScale="80" zoomScaleNormal="80" workbookViewId="0">
      <pane xSplit="3" ySplit="8" topLeftCell="D60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2" x14ac:dyDescent="0.25"/>
  <cols>
    <col min="1" max="1" width="3.28515625" customWidth="1"/>
    <col min="2" max="2" width="11.28515625" style="9" hidden="1" customWidth="1" outlineLevel="2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405</v>
      </c>
      <c r="D9" s="48"/>
      <c r="E9" s="49"/>
      <c r="F9" s="179"/>
      <c r="G9" s="20"/>
      <c r="H9" s="49"/>
      <c r="I9" s="49"/>
      <c r="J9" s="16"/>
      <c r="K9" s="49"/>
      <c r="M9" s="48"/>
      <c r="N9" s="49"/>
      <c r="O9" s="179"/>
      <c r="P9" s="20"/>
      <c r="Q9" s="49"/>
      <c r="R9" s="49"/>
      <c r="S9" s="16"/>
      <c r="T9" s="49"/>
    </row>
    <row r="10" spans="2:22" x14ac:dyDescent="0.25">
      <c r="B10" s="14"/>
      <c r="C10" s="22" t="s">
        <v>406</v>
      </c>
      <c r="D10" s="92"/>
      <c r="E10" s="101"/>
      <c r="F10" s="92"/>
      <c r="G10" s="94"/>
      <c r="H10" s="80"/>
      <c r="I10" s="80"/>
      <c r="J10" s="19"/>
      <c r="K10" s="80"/>
      <c r="M10" s="92"/>
      <c r="N10" s="101"/>
      <c r="O10" s="92"/>
      <c r="P10" s="94"/>
      <c r="Q10" s="80"/>
      <c r="R10" s="80"/>
      <c r="S10" s="19"/>
      <c r="T10" s="80"/>
    </row>
    <row r="11" spans="2:22" x14ac:dyDescent="0.25">
      <c r="B11" s="14" t="s">
        <v>236</v>
      </c>
      <c r="C11" s="17" t="s">
        <v>407</v>
      </c>
      <c r="D11" s="36">
        <v>0</v>
      </c>
      <c r="E11" s="51">
        <f>+IFERROR(D11/Summary!D$19,"")</f>
        <v>0</v>
      </c>
      <c r="F11" s="36">
        <v>0</v>
      </c>
      <c r="G11" s="51">
        <f>+IFERROR(F11/Summary!F$19,"")</f>
        <v>0</v>
      </c>
      <c r="H11" s="144">
        <f>+D11-F11</f>
        <v>0</v>
      </c>
      <c r="I11" s="36">
        <v>0</v>
      </c>
      <c r="J11" s="51">
        <f>+IFERROR(I11/Summary!I$19,"")</f>
        <v>0</v>
      </c>
      <c r="K11" s="144">
        <f>+D11-I11</f>
        <v>0</v>
      </c>
      <c r="M11" s="36">
        <v>0</v>
      </c>
      <c r="N11" s="51">
        <f>+IFERROR(M11/Summary!M$19,"")</f>
        <v>0</v>
      </c>
      <c r="O11" s="36">
        <v>0</v>
      </c>
      <c r="P11" s="51">
        <f>+IFERROR(O11/Summary!O$19,"")</f>
        <v>0</v>
      </c>
      <c r="Q11" s="144">
        <f>+M11-O11</f>
        <v>0</v>
      </c>
      <c r="R11" s="36">
        <v>0</v>
      </c>
      <c r="S11" s="51">
        <f>+IFERROR(R11/Summary!R$19,"")</f>
        <v>0</v>
      </c>
      <c r="T11" s="144">
        <f>+M11-R11</f>
        <v>0</v>
      </c>
    </row>
    <row r="12" spans="2:22" x14ac:dyDescent="0.25">
      <c r="B12" s="14"/>
      <c r="C12" s="22" t="s">
        <v>408</v>
      </c>
      <c r="D12" s="244"/>
      <c r="E12" s="34"/>
      <c r="F12" s="178"/>
      <c r="G12" s="220"/>
      <c r="H12" s="196"/>
      <c r="I12" s="178"/>
      <c r="J12" s="220"/>
      <c r="K12" s="196"/>
      <c r="M12" s="244"/>
      <c r="N12" s="34"/>
      <c r="O12" s="178"/>
      <c r="P12" s="220"/>
      <c r="Q12" s="196"/>
      <c r="R12" s="178"/>
      <c r="S12" s="220"/>
      <c r="T12" s="196"/>
    </row>
    <row r="13" spans="2:22" x14ac:dyDescent="0.25">
      <c r="B13" s="14" t="s">
        <v>239</v>
      </c>
      <c r="C13" s="17" t="s">
        <v>450</v>
      </c>
      <c r="D13" s="36">
        <v>0</v>
      </c>
      <c r="E13" s="51">
        <f>+IFERROR(D13/Summary!D$19,"")</f>
        <v>0</v>
      </c>
      <c r="F13" s="36">
        <v>0</v>
      </c>
      <c r="G13" s="51">
        <f>+IFERROR(F13/Summary!F$19,"")</f>
        <v>0</v>
      </c>
      <c r="H13" s="144">
        <f t="shared" ref="H13:H22" si="0">+D13-F13</f>
        <v>0</v>
      </c>
      <c r="I13" s="36">
        <v>0</v>
      </c>
      <c r="J13" s="51">
        <f>+IFERROR(I13/Summary!I$19,"")</f>
        <v>0</v>
      </c>
      <c r="K13" s="144">
        <f t="shared" ref="K13:K22" si="1">+D13-I13</f>
        <v>0</v>
      </c>
      <c r="M13" s="36">
        <v>0</v>
      </c>
      <c r="N13" s="51">
        <f>+IFERROR(M13/Summary!M$19,"")</f>
        <v>0</v>
      </c>
      <c r="O13" s="36">
        <v>0</v>
      </c>
      <c r="P13" s="51">
        <f>+IFERROR(O13/Summary!O$19,"")</f>
        <v>0</v>
      </c>
      <c r="Q13" s="144">
        <f t="shared" ref="Q13:Q22" si="2">+M13-O13</f>
        <v>0</v>
      </c>
      <c r="R13" s="36">
        <v>0</v>
      </c>
      <c r="S13" s="51">
        <f>+IFERROR(R13/Summary!R$19,"")</f>
        <v>0</v>
      </c>
      <c r="T13" s="144">
        <f t="shared" ref="T13:T22" si="3">+M13-R13</f>
        <v>0</v>
      </c>
    </row>
    <row r="14" spans="2:22" x14ac:dyDescent="0.25">
      <c r="B14" s="14" t="s">
        <v>301</v>
      </c>
      <c r="C14" s="23" t="s">
        <v>411</v>
      </c>
      <c r="D14" s="103">
        <f t="shared" ref="D14:F14" si="4">+D11+D13</f>
        <v>0</v>
      </c>
      <c r="E14" s="104">
        <f>+IFERROR(D14/Summary!D$19,"")</f>
        <v>0</v>
      </c>
      <c r="F14" s="152">
        <f t="shared" si="4"/>
        <v>0</v>
      </c>
      <c r="G14" s="104">
        <f>+IFERROR(F14/Summary!F$19,"")</f>
        <v>0</v>
      </c>
      <c r="H14" s="154">
        <f t="shared" si="0"/>
        <v>0</v>
      </c>
      <c r="I14" s="152">
        <f t="shared" ref="I14" si="5">+I11+I13</f>
        <v>0</v>
      </c>
      <c r="J14" s="104">
        <f>+IFERROR(I14/Summary!I$19,"")</f>
        <v>0</v>
      </c>
      <c r="K14" s="154">
        <f t="shared" si="1"/>
        <v>0</v>
      </c>
      <c r="M14" s="103">
        <f t="shared" ref="M14" si="6">+M11+M13</f>
        <v>0</v>
      </c>
      <c r="N14" s="104">
        <f>+IFERROR(M14/Summary!M$19,"")</f>
        <v>0</v>
      </c>
      <c r="O14" s="152">
        <f t="shared" ref="O14" si="7">+O11+O13</f>
        <v>0</v>
      </c>
      <c r="P14" s="104">
        <f>+IFERROR(O14/Summary!O$19,"")</f>
        <v>0</v>
      </c>
      <c r="Q14" s="154">
        <f t="shared" si="2"/>
        <v>0</v>
      </c>
      <c r="R14" s="152">
        <f t="shared" ref="R14" si="8">+R11+R13</f>
        <v>0</v>
      </c>
      <c r="S14" s="104">
        <f>+IFERROR(R14/Summary!R$19,"")</f>
        <v>0</v>
      </c>
      <c r="T14" s="154">
        <f t="shared" si="3"/>
        <v>0</v>
      </c>
    </row>
    <row r="15" spans="2:22" x14ac:dyDescent="0.25">
      <c r="B15" s="14" t="s">
        <v>255</v>
      </c>
      <c r="C15" s="17" t="s">
        <v>412</v>
      </c>
      <c r="D15" s="208">
        <v>0</v>
      </c>
      <c r="E15" s="174">
        <f>+IFERROR(D15/Summary!D$19,"")</f>
        <v>0</v>
      </c>
      <c r="F15" s="208">
        <v>0</v>
      </c>
      <c r="G15" s="174">
        <f>+IFERROR(F15/Summary!F$19,"")</f>
        <v>0</v>
      </c>
      <c r="H15" s="167">
        <f t="shared" si="0"/>
        <v>0</v>
      </c>
      <c r="I15" s="36">
        <v>0</v>
      </c>
      <c r="J15" s="174">
        <f>+IFERROR(I15/Summary!I$19,"")</f>
        <v>0</v>
      </c>
      <c r="K15" s="167">
        <f t="shared" si="1"/>
        <v>0</v>
      </c>
      <c r="M15" s="208">
        <v>0</v>
      </c>
      <c r="N15" s="174">
        <f>+IFERROR(M15/Summary!M$19,"")</f>
        <v>0</v>
      </c>
      <c r="O15" s="208">
        <v>0</v>
      </c>
      <c r="P15" s="174">
        <f>+IFERROR(O15/Summary!O$19,"")</f>
        <v>0</v>
      </c>
      <c r="Q15" s="167">
        <f t="shared" si="2"/>
        <v>0</v>
      </c>
      <c r="R15" s="36">
        <v>0</v>
      </c>
      <c r="S15" s="174">
        <f>+IFERROR(R15/Summary!R$19,"")</f>
        <v>0</v>
      </c>
      <c r="T15" s="167">
        <f t="shared" si="3"/>
        <v>0</v>
      </c>
    </row>
    <row r="16" spans="2:22" x14ac:dyDescent="0.25">
      <c r="B16" s="14" t="s">
        <v>250</v>
      </c>
      <c r="C16" s="17" t="s">
        <v>413</v>
      </c>
      <c r="D16" s="209">
        <v>0</v>
      </c>
      <c r="E16" s="175">
        <f>+IFERROR(D16/Summary!D$19,"")</f>
        <v>0</v>
      </c>
      <c r="F16" s="209">
        <v>0</v>
      </c>
      <c r="G16" s="175">
        <f>+IFERROR(F16/Summary!F$19,"")</f>
        <v>0</v>
      </c>
      <c r="H16" s="153">
        <f t="shared" si="0"/>
        <v>0</v>
      </c>
      <c r="I16" s="36">
        <v>0</v>
      </c>
      <c r="J16" s="175">
        <f>+IFERROR(I16/Summary!I$19,"")</f>
        <v>0</v>
      </c>
      <c r="K16" s="153">
        <f t="shared" si="1"/>
        <v>0</v>
      </c>
      <c r="M16" s="209">
        <v>0</v>
      </c>
      <c r="N16" s="175">
        <f>+IFERROR(M16/Summary!M$19,"")</f>
        <v>0</v>
      </c>
      <c r="O16" s="209">
        <v>0</v>
      </c>
      <c r="P16" s="175">
        <f>+IFERROR(O16/Summary!O$19,"")</f>
        <v>0</v>
      </c>
      <c r="Q16" s="153">
        <f t="shared" si="2"/>
        <v>0</v>
      </c>
      <c r="R16" s="36">
        <v>0</v>
      </c>
      <c r="S16" s="175">
        <f>+IFERROR(R16/Summary!R$19,"")</f>
        <v>0</v>
      </c>
      <c r="T16" s="153">
        <f t="shared" si="3"/>
        <v>0</v>
      </c>
    </row>
    <row r="17" spans="2:20" x14ac:dyDescent="0.25">
      <c r="B17" s="14"/>
      <c r="C17" s="23" t="s">
        <v>414</v>
      </c>
      <c r="D17" s="103">
        <f t="shared" ref="D17" si="9">SUM(D14:D16)</f>
        <v>0</v>
      </c>
      <c r="E17" s="104">
        <f>+IFERROR(D17/Summary!D$19,"")</f>
        <v>0</v>
      </c>
      <c r="F17" s="103">
        <f t="shared" ref="F17" si="10">SUM(F14:F16)</f>
        <v>0</v>
      </c>
      <c r="G17" s="104">
        <f>+IFERROR(F17/Summary!F$19,"")</f>
        <v>0</v>
      </c>
      <c r="H17" s="154">
        <f t="shared" si="0"/>
        <v>0</v>
      </c>
      <c r="I17" s="103">
        <f t="shared" ref="I17" si="11">SUM(I14:I16)</f>
        <v>0</v>
      </c>
      <c r="J17" s="104">
        <f>+IFERROR(I17/Summary!I$19,"")</f>
        <v>0</v>
      </c>
      <c r="K17" s="154">
        <f t="shared" si="1"/>
        <v>0</v>
      </c>
      <c r="M17" s="103">
        <f t="shared" ref="M17" si="12">SUM(M14:M16)</f>
        <v>0</v>
      </c>
      <c r="N17" s="104">
        <f>+IFERROR(M17/Summary!M$19,"")</f>
        <v>0</v>
      </c>
      <c r="O17" s="103">
        <f t="shared" ref="O17" si="13">SUM(O14:O16)</f>
        <v>0</v>
      </c>
      <c r="P17" s="104">
        <f>+IFERROR(O17/Summary!O$19,"")</f>
        <v>0</v>
      </c>
      <c r="Q17" s="154">
        <f t="shared" si="2"/>
        <v>0</v>
      </c>
      <c r="R17" s="103">
        <f t="shared" ref="R17" si="14">SUM(R14:R16)</f>
        <v>0</v>
      </c>
      <c r="S17" s="104">
        <f>+IFERROR(R17/Summary!R$19,"")</f>
        <v>0</v>
      </c>
      <c r="T17" s="154">
        <f t="shared" si="3"/>
        <v>0</v>
      </c>
    </row>
    <row r="18" spans="2:20" x14ac:dyDescent="0.25">
      <c r="B18" s="14" t="s">
        <v>296</v>
      </c>
      <c r="C18" s="17" t="s">
        <v>415</v>
      </c>
      <c r="D18" s="106">
        <v>0</v>
      </c>
      <c r="E18" s="107">
        <f>+IFERROR(D18/Summary!D$19,"")</f>
        <v>0</v>
      </c>
      <c r="F18" s="106">
        <v>0</v>
      </c>
      <c r="G18" s="107">
        <f>+IFERROR(F18/Summary!F$19,"")</f>
        <v>0</v>
      </c>
      <c r="H18" s="153">
        <f t="shared" si="0"/>
        <v>0</v>
      </c>
      <c r="I18" s="36">
        <v>0</v>
      </c>
      <c r="J18" s="107">
        <f>+IFERROR(I18/Summary!I$19,"")</f>
        <v>0</v>
      </c>
      <c r="K18" s="153">
        <f t="shared" si="1"/>
        <v>0</v>
      </c>
      <c r="M18" s="106">
        <v>0</v>
      </c>
      <c r="N18" s="107">
        <f>+IFERROR(M18/Summary!M$19,"")</f>
        <v>0</v>
      </c>
      <c r="O18" s="106">
        <v>0</v>
      </c>
      <c r="P18" s="107">
        <f>+IFERROR(O18/Summary!O$19,"")</f>
        <v>0</v>
      </c>
      <c r="Q18" s="153">
        <f t="shared" si="2"/>
        <v>0</v>
      </c>
      <c r="R18" s="36">
        <v>0</v>
      </c>
      <c r="S18" s="107">
        <f>+IFERROR(R18/Summary!R$19,"")</f>
        <v>0</v>
      </c>
      <c r="T18" s="153">
        <f t="shared" si="3"/>
        <v>0</v>
      </c>
    </row>
    <row r="19" spans="2:20" x14ac:dyDescent="0.25">
      <c r="B19" s="14" t="s">
        <v>308</v>
      </c>
      <c r="C19" s="17" t="s">
        <v>360</v>
      </c>
      <c r="D19" s="36">
        <v>0</v>
      </c>
      <c r="E19" s="51">
        <f>+IFERROR(D19/Summary!D$19,"")</f>
        <v>0</v>
      </c>
      <c r="F19" s="36">
        <v>0</v>
      </c>
      <c r="G19" s="51">
        <f>+IFERROR(F19/Summary!F$19,"")</f>
        <v>0</v>
      </c>
      <c r="H19" s="144">
        <f t="shared" si="0"/>
        <v>0</v>
      </c>
      <c r="I19" s="36">
        <v>0</v>
      </c>
      <c r="J19" s="51">
        <f>+IFERROR(I19/Summary!I$19,"")</f>
        <v>0</v>
      </c>
      <c r="K19" s="144">
        <f t="shared" si="1"/>
        <v>0</v>
      </c>
      <c r="M19" s="36">
        <v>0</v>
      </c>
      <c r="N19" s="51">
        <f>+IFERROR(M19/Summary!M$19,"")</f>
        <v>0</v>
      </c>
      <c r="O19" s="36">
        <v>0</v>
      </c>
      <c r="P19" s="51">
        <f>+IFERROR(O19/Summary!O$19,"")</f>
        <v>0</v>
      </c>
      <c r="Q19" s="144">
        <f t="shared" si="2"/>
        <v>0</v>
      </c>
      <c r="R19" s="36">
        <v>0</v>
      </c>
      <c r="S19" s="51">
        <f>+IFERROR(R19/Summary!R$19,"")</f>
        <v>0</v>
      </c>
      <c r="T19" s="144">
        <f t="shared" si="3"/>
        <v>0</v>
      </c>
    </row>
    <row r="20" spans="2:20" x14ac:dyDescent="0.25">
      <c r="B20" s="14" t="s">
        <v>268</v>
      </c>
      <c r="C20" s="17" t="s">
        <v>361</v>
      </c>
      <c r="D20" s="106">
        <v>0</v>
      </c>
      <c r="E20" s="107">
        <f>+IFERROR(D20/Summary!D$19,"")</f>
        <v>0</v>
      </c>
      <c r="F20" s="106">
        <v>0</v>
      </c>
      <c r="G20" s="107">
        <f>+IFERROR(F20/Summary!F$19,"")</f>
        <v>0</v>
      </c>
      <c r="H20" s="153">
        <f t="shared" si="0"/>
        <v>0</v>
      </c>
      <c r="I20" s="36">
        <v>0</v>
      </c>
      <c r="J20" s="107">
        <f>+IFERROR(I20/Summary!I$19,"")</f>
        <v>0</v>
      </c>
      <c r="K20" s="153">
        <f t="shared" si="1"/>
        <v>0</v>
      </c>
      <c r="M20" s="106">
        <v>0</v>
      </c>
      <c r="N20" s="107">
        <f>+IFERROR(M20/Summary!M$19,"")</f>
        <v>0</v>
      </c>
      <c r="O20" s="106">
        <v>0</v>
      </c>
      <c r="P20" s="107">
        <f>+IFERROR(O20/Summary!O$19,"")</f>
        <v>0</v>
      </c>
      <c r="Q20" s="153">
        <f t="shared" si="2"/>
        <v>0</v>
      </c>
      <c r="R20" s="36">
        <v>0</v>
      </c>
      <c r="S20" s="107">
        <f>+IFERROR(R20/Summary!R$19,"")</f>
        <v>0</v>
      </c>
      <c r="T20" s="153">
        <f t="shared" si="3"/>
        <v>0</v>
      </c>
    </row>
    <row r="21" spans="2:20" x14ac:dyDescent="0.25">
      <c r="B21" s="14" t="s">
        <v>290</v>
      </c>
      <c r="C21" s="23" t="s">
        <v>416</v>
      </c>
      <c r="D21" s="142">
        <f t="shared" ref="D21:F21" si="15">SUM(D18:D20)</f>
        <v>0</v>
      </c>
      <c r="E21" s="125">
        <f>+IFERROR(D21/Summary!D$19,"")</f>
        <v>0</v>
      </c>
      <c r="F21" s="133">
        <f t="shared" si="15"/>
        <v>0</v>
      </c>
      <c r="G21" s="125">
        <f>+IFERROR(F21/Summary!F$19,"")</f>
        <v>0</v>
      </c>
      <c r="H21" s="168">
        <f t="shared" si="0"/>
        <v>0</v>
      </c>
      <c r="I21" s="133">
        <f t="shared" ref="I21" si="16">SUM(I18:I20)</f>
        <v>0</v>
      </c>
      <c r="J21" s="125">
        <f>+IFERROR(I21/Summary!I$19,"")</f>
        <v>0</v>
      </c>
      <c r="K21" s="168">
        <f t="shared" si="1"/>
        <v>0</v>
      </c>
      <c r="M21" s="142">
        <f t="shared" ref="M21" si="17">SUM(M18:M20)</f>
        <v>0</v>
      </c>
      <c r="N21" s="125">
        <f>+IFERROR(M21/Summary!M$19,"")</f>
        <v>0</v>
      </c>
      <c r="O21" s="133">
        <f t="shared" ref="O21" si="18">SUM(O18:O20)</f>
        <v>0</v>
      </c>
      <c r="P21" s="125">
        <f>+IFERROR(O21/Summary!O$19,"")</f>
        <v>0</v>
      </c>
      <c r="Q21" s="168">
        <f t="shared" si="2"/>
        <v>0</v>
      </c>
      <c r="R21" s="133">
        <f t="shared" ref="R21" si="19">SUM(R18:R20)</f>
        <v>0</v>
      </c>
      <c r="S21" s="125">
        <f>+IFERROR(R21/Summary!R$19,"")</f>
        <v>0</v>
      </c>
      <c r="T21" s="168">
        <f t="shared" si="3"/>
        <v>0</v>
      </c>
    </row>
    <row r="22" spans="2:20" x14ac:dyDescent="0.25">
      <c r="B22" s="14" t="s">
        <v>275</v>
      </c>
      <c r="C22" s="23" t="s">
        <v>417</v>
      </c>
      <c r="D22" s="91">
        <f t="shared" ref="D22:F22" si="20">+D17+D21</f>
        <v>0</v>
      </c>
      <c r="E22" s="126">
        <f>+IFERROR(D22/Summary!D$19,"")</f>
        <v>0</v>
      </c>
      <c r="F22" s="86">
        <f t="shared" si="20"/>
        <v>0</v>
      </c>
      <c r="G22" s="126">
        <f>+IFERROR(F22/Summary!F$19,"")</f>
        <v>0</v>
      </c>
      <c r="H22" s="168">
        <f t="shared" si="0"/>
        <v>0</v>
      </c>
      <c r="I22" s="86">
        <f t="shared" ref="I22" si="21">+I17+I21</f>
        <v>0</v>
      </c>
      <c r="J22" s="126">
        <f>+IFERROR(I22/Summary!I$19,"")</f>
        <v>0</v>
      </c>
      <c r="K22" s="168">
        <f t="shared" si="1"/>
        <v>0</v>
      </c>
      <c r="M22" s="91">
        <f t="shared" ref="M22" si="22">+M17+M21</f>
        <v>0</v>
      </c>
      <c r="N22" s="126">
        <f>+IFERROR(M22/Summary!M$19,"")</f>
        <v>0</v>
      </c>
      <c r="O22" s="86">
        <f t="shared" ref="O22" si="23">+O17+O21</f>
        <v>0</v>
      </c>
      <c r="P22" s="126">
        <f>+IFERROR(O22/Summary!O$19,"")</f>
        <v>0</v>
      </c>
      <c r="Q22" s="168">
        <f t="shared" si="2"/>
        <v>0</v>
      </c>
      <c r="R22" s="86">
        <f t="shared" ref="R22" si="24">+R17+R21</f>
        <v>0</v>
      </c>
      <c r="S22" s="126">
        <f>+IFERROR(R22/Summary!R$19,"")</f>
        <v>0</v>
      </c>
      <c r="T22" s="168">
        <f t="shared" si="3"/>
        <v>0</v>
      </c>
    </row>
    <row r="23" spans="2:20" x14ac:dyDescent="0.25">
      <c r="B23" s="14"/>
      <c r="C23" s="18"/>
      <c r="D23" s="48"/>
      <c r="E23" s="176"/>
      <c r="F23" s="48"/>
      <c r="G23" s="16"/>
      <c r="H23" s="49"/>
      <c r="I23" s="48"/>
      <c r="J23" s="16"/>
      <c r="K23" s="49"/>
      <c r="M23" s="48"/>
      <c r="N23" s="176"/>
      <c r="O23" s="48"/>
      <c r="P23" s="16"/>
      <c r="Q23" s="49"/>
      <c r="R23" s="48"/>
      <c r="S23" s="16"/>
      <c r="T23" s="49"/>
    </row>
    <row r="24" spans="2:20" x14ac:dyDescent="0.25">
      <c r="B24" s="14"/>
      <c r="C24" s="15" t="s">
        <v>470</v>
      </c>
      <c r="D24" s="48"/>
      <c r="E24" s="214"/>
      <c r="F24" s="48"/>
      <c r="G24" s="16"/>
      <c r="H24" s="49"/>
      <c r="I24" s="48"/>
      <c r="J24" s="16"/>
      <c r="K24" s="49"/>
      <c r="M24" s="48"/>
      <c r="N24" s="214"/>
      <c r="O24" s="48"/>
      <c r="P24" s="16"/>
      <c r="Q24" s="49"/>
      <c r="R24" s="48"/>
      <c r="S24" s="16"/>
      <c r="T24" s="49"/>
    </row>
    <row r="25" spans="2:20" x14ac:dyDescent="0.25">
      <c r="B25" s="14" t="s">
        <v>94</v>
      </c>
      <c r="C25" s="17" t="s">
        <v>471</v>
      </c>
      <c r="D25" s="36">
        <v>360.2</v>
      </c>
      <c r="E25" s="51">
        <f>+IFERROR(D25/Summary!D$19,"")</f>
        <v>3.0788253920422992E-4</v>
      </c>
      <c r="F25" s="36">
        <v>657</v>
      </c>
      <c r="G25" s="51">
        <f>+IFERROR(F25/Summary!F$19,"")</f>
        <v>4.7642412325470601E-4</v>
      </c>
      <c r="H25" s="137">
        <f t="shared" ref="H25:H30" si="25">+D25-F25</f>
        <v>-296.8</v>
      </c>
      <c r="I25" s="36">
        <v>649.94000000000005</v>
      </c>
      <c r="J25" s="51">
        <f>+IFERROR(I25/Summary!I$19,"")</f>
        <v>5.5796198636939582E-4</v>
      </c>
      <c r="K25" s="137">
        <f t="shared" ref="K25:K30" si="26">+D25-I25</f>
        <v>-289.74000000000007</v>
      </c>
      <c r="M25" s="36">
        <v>2856.14</v>
      </c>
      <c r="N25" s="51">
        <f>+IFERROR(M25/Summary!M$19,"")</f>
        <v>3.8290307768225785E-4</v>
      </c>
      <c r="O25" s="36">
        <v>3285</v>
      </c>
      <c r="P25" s="51">
        <f>+IFERROR(O25/Summary!O$19,"")</f>
        <v>4.0339140300960568E-4</v>
      </c>
      <c r="Q25" s="137">
        <f t="shared" ref="Q25:Q30" si="27">+M25-O25</f>
        <v>-428.86000000000013</v>
      </c>
      <c r="R25" s="36">
        <v>3293.76</v>
      </c>
      <c r="S25" s="51">
        <f>+IFERROR(R25/Summary!R$19,"")</f>
        <v>4.6856574752633467E-4</v>
      </c>
      <c r="T25" s="137">
        <f t="shared" ref="T25:T30" si="28">+M25-R25</f>
        <v>-437.62000000000035</v>
      </c>
    </row>
    <row r="26" spans="2:20" x14ac:dyDescent="0.25">
      <c r="B26" s="14" t="s">
        <v>96</v>
      </c>
      <c r="C26" s="17" t="s">
        <v>472</v>
      </c>
      <c r="D26" s="36">
        <v>4196.6899999999996</v>
      </c>
      <c r="E26" s="51">
        <f>+IFERROR(D26/Summary!D$19,"")</f>
        <v>3.5871392933176003E-3</v>
      </c>
      <c r="F26" s="36">
        <v>4027</v>
      </c>
      <c r="G26" s="51">
        <f>+IFERROR(F26/Summary!F$19,"")</f>
        <v>2.9201825636936091E-3</v>
      </c>
      <c r="H26" s="137">
        <f t="shared" si="25"/>
        <v>169.6899999999996</v>
      </c>
      <c r="I26" s="36">
        <v>3553.02</v>
      </c>
      <c r="J26" s="51">
        <f>+IFERROR(I26/Summary!I$19,"")</f>
        <v>3.0502047832264372E-3</v>
      </c>
      <c r="K26" s="137">
        <f t="shared" si="26"/>
        <v>643.66999999999962</v>
      </c>
      <c r="M26" s="36">
        <v>21585.45</v>
      </c>
      <c r="N26" s="51">
        <f>+IFERROR(M26/Summary!M$19,"")</f>
        <v>2.8938130617394433E-3</v>
      </c>
      <c r="O26" s="36">
        <v>20135</v>
      </c>
      <c r="P26" s="51">
        <f>+IFERROR(O26/Summary!O$19,"")</f>
        <v>2.4725375645657261E-3</v>
      </c>
      <c r="Q26" s="137">
        <f t="shared" si="27"/>
        <v>1450.4500000000007</v>
      </c>
      <c r="R26" s="36">
        <v>17984.740000000002</v>
      </c>
      <c r="S26" s="51">
        <f>+IFERROR(R26/Summary!R$19,"")</f>
        <v>2.5584842678782827E-3</v>
      </c>
      <c r="T26" s="137">
        <f t="shared" si="28"/>
        <v>3600.7099999999991</v>
      </c>
    </row>
    <row r="27" spans="2:20" x14ac:dyDescent="0.25">
      <c r="B27" s="14" t="s">
        <v>97</v>
      </c>
      <c r="C27" s="17" t="s">
        <v>473</v>
      </c>
      <c r="D27" s="36">
        <v>0</v>
      </c>
      <c r="E27" s="51">
        <f>+IFERROR(D27/Summary!D$19,"")</f>
        <v>0</v>
      </c>
      <c r="F27" s="36">
        <v>0</v>
      </c>
      <c r="G27" s="51">
        <f>+IFERROR(F27/Summary!F$19,"")</f>
        <v>0</v>
      </c>
      <c r="H27" s="137">
        <f t="shared" si="25"/>
        <v>0</v>
      </c>
      <c r="I27" s="36">
        <v>0</v>
      </c>
      <c r="J27" s="51">
        <f>+IFERROR(I27/Summary!I$19,"")</f>
        <v>0</v>
      </c>
      <c r="K27" s="137">
        <f t="shared" si="26"/>
        <v>0</v>
      </c>
      <c r="M27" s="36">
        <v>0</v>
      </c>
      <c r="N27" s="51">
        <f>+IFERROR(M27/Summary!M$19,"")</f>
        <v>0</v>
      </c>
      <c r="O27" s="36">
        <v>0</v>
      </c>
      <c r="P27" s="51">
        <f>+IFERROR(O27/Summary!O$19,"")</f>
        <v>0</v>
      </c>
      <c r="Q27" s="137">
        <f t="shared" si="27"/>
        <v>0</v>
      </c>
      <c r="R27" s="36">
        <v>0</v>
      </c>
      <c r="S27" s="51">
        <f>+IFERROR(R27/Summary!R$19,"")</f>
        <v>0</v>
      </c>
      <c r="T27" s="137">
        <f t="shared" si="28"/>
        <v>0</v>
      </c>
    </row>
    <row r="28" spans="2:20" x14ac:dyDescent="0.25">
      <c r="B28" s="14" t="s">
        <v>98</v>
      </c>
      <c r="C28" s="17" t="s">
        <v>474</v>
      </c>
      <c r="D28" s="36">
        <v>0</v>
      </c>
      <c r="E28" s="51">
        <f>+IFERROR(D28/Summary!D$19,"")</f>
        <v>0</v>
      </c>
      <c r="F28" s="36">
        <v>0</v>
      </c>
      <c r="G28" s="51">
        <f>+IFERROR(F28/Summary!F$19,"")</f>
        <v>0</v>
      </c>
      <c r="H28" s="137">
        <f t="shared" si="25"/>
        <v>0</v>
      </c>
      <c r="I28" s="36">
        <v>0</v>
      </c>
      <c r="J28" s="51">
        <f>+IFERROR(I28/Summary!I$19,"")</f>
        <v>0</v>
      </c>
      <c r="K28" s="137">
        <f t="shared" si="26"/>
        <v>0</v>
      </c>
      <c r="M28" s="36">
        <v>0</v>
      </c>
      <c r="N28" s="51">
        <f>+IFERROR(M28/Summary!M$19,"")</f>
        <v>0</v>
      </c>
      <c r="O28" s="36">
        <v>0</v>
      </c>
      <c r="P28" s="51">
        <f>+IFERROR(O28/Summary!O$19,"")</f>
        <v>0</v>
      </c>
      <c r="Q28" s="137">
        <f t="shared" si="27"/>
        <v>0</v>
      </c>
      <c r="R28" s="36">
        <v>0</v>
      </c>
      <c r="S28" s="51">
        <f>+IFERROR(R28/Summary!R$19,"")</f>
        <v>0</v>
      </c>
      <c r="T28" s="137">
        <f t="shared" si="28"/>
        <v>0</v>
      </c>
    </row>
    <row r="29" spans="2:20" x14ac:dyDescent="0.25">
      <c r="B29" s="14" t="s">
        <v>199</v>
      </c>
      <c r="C29" s="17" t="s">
        <v>475</v>
      </c>
      <c r="D29" s="90">
        <v>0</v>
      </c>
      <c r="E29" s="127">
        <f>+IFERROR(D29/Summary!D$19,"")</f>
        <v>0</v>
      </c>
      <c r="F29" s="90">
        <v>0</v>
      </c>
      <c r="G29" s="156">
        <f>+IFERROR(F29/Summary!F$19,"")</f>
        <v>0</v>
      </c>
      <c r="H29" s="141">
        <f t="shared" si="25"/>
        <v>0</v>
      </c>
      <c r="I29" s="36">
        <v>0</v>
      </c>
      <c r="J29" s="156">
        <f>+IFERROR(I29/Summary!I$19,"")</f>
        <v>0</v>
      </c>
      <c r="K29" s="141">
        <f t="shared" si="26"/>
        <v>0</v>
      </c>
      <c r="M29" s="90">
        <v>0</v>
      </c>
      <c r="N29" s="127">
        <f>+IFERROR(M29/Summary!M$19,"")</f>
        <v>0</v>
      </c>
      <c r="O29" s="90">
        <v>0</v>
      </c>
      <c r="P29" s="156">
        <f>+IFERROR(O29/Summary!O$19,"")</f>
        <v>0</v>
      </c>
      <c r="Q29" s="141">
        <f t="shared" si="27"/>
        <v>0</v>
      </c>
      <c r="R29" s="36">
        <v>0</v>
      </c>
      <c r="S29" s="156">
        <f>+IFERROR(R29/Summary!R$19,"")</f>
        <v>0</v>
      </c>
      <c r="T29" s="141">
        <f t="shared" si="28"/>
        <v>0</v>
      </c>
    </row>
    <row r="30" spans="2:20" x14ac:dyDescent="0.25">
      <c r="B30" s="14" t="s">
        <v>100</v>
      </c>
      <c r="C30" s="18" t="s">
        <v>476</v>
      </c>
      <c r="D30" s="91">
        <f t="shared" ref="D30:F30" si="29">SUM(D25:D29)</f>
        <v>4556.8899999999994</v>
      </c>
      <c r="E30" s="126">
        <f>+IFERROR(D30/Summary!D$19,"")</f>
        <v>3.8950218325218299E-3</v>
      </c>
      <c r="F30" s="84">
        <f t="shared" si="29"/>
        <v>4684</v>
      </c>
      <c r="G30" s="83">
        <f>+IFERROR(F30/Summary!F$19,"")</f>
        <v>3.396606686948315E-3</v>
      </c>
      <c r="H30" s="140">
        <f t="shared" si="25"/>
        <v>-127.11000000000058</v>
      </c>
      <c r="I30" s="84">
        <f t="shared" ref="I30" si="30">SUM(I25:I29)</f>
        <v>4202.96</v>
      </c>
      <c r="J30" s="83">
        <f>+IFERROR(I30/Summary!I$19,"")</f>
        <v>3.6081667695958331E-3</v>
      </c>
      <c r="K30" s="140">
        <f t="shared" si="26"/>
        <v>353.92999999999938</v>
      </c>
      <c r="M30" s="91">
        <f t="shared" ref="M30" si="31">SUM(M25:M29)</f>
        <v>24441.59</v>
      </c>
      <c r="N30" s="126">
        <f>+IFERROR(M30/Summary!M$19,"")</f>
        <v>3.276716139421701E-3</v>
      </c>
      <c r="O30" s="84">
        <f t="shared" ref="O30" si="32">SUM(O25:O29)</f>
        <v>23420</v>
      </c>
      <c r="P30" s="83">
        <f>+IFERROR(O30/Summary!O$19,"")</f>
        <v>2.8759289675753317E-3</v>
      </c>
      <c r="Q30" s="140">
        <f t="shared" si="27"/>
        <v>1021.5900000000001</v>
      </c>
      <c r="R30" s="84">
        <f t="shared" ref="R30" si="33">SUM(R25:R29)</f>
        <v>21278.5</v>
      </c>
      <c r="S30" s="83">
        <f>+IFERROR(R30/Summary!R$19,"")</f>
        <v>3.0270500154046171E-3</v>
      </c>
      <c r="T30" s="140">
        <f t="shared" si="28"/>
        <v>3163.09</v>
      </c>
    </row>
    <row r="31" spans="2:20" x14ac:dyDescent="0.25">
      <c r="D31" s="244"/>
      <c r="E31" s="211"/>
      <c r="F31" s="177"/>
      <c r="G31" s="276"/>
      <c r="H31" s="211"/>
      <c r="I31" s="276"/>
      <c r="J31" s="276"/>
      <c r="K31" s="211"/>
      <c r="M31" s="244"/>
      <c r="N31" s="211"/>
      <c r="O31" s="177"/>
      <c r="P31" s="276"/>
      <c r="Q31" s="211"/>
      <c r="R31" s="276"/>
      <c r="S31" s="276"/>
      <c r="T31" s="211"/>
    </row>
    <row r="32" spans="2:20" x14ac:dyDescent="0.25">
      <c r="B32" s="14"/>
      <c r="C32" s="15" t="s">
        <v>477</v>
      </c>
      <c r="D32" s="48"/>
      <c r="E32" s="53"/>
      <c r="F32" s="48"/>
      <c r="G32" s="32"/>
      <c r="H32" s="49"/>
      <c r="I32" s="48"/>
      <c r="J32" s="32"/>
      <c r="K32" s="49"/>
      <c r="M32" s="48"/>
      <c r="N32" s="53"/>
      <c r="O32" s="48"/>
      <c r="P32" s="32"/>
      <c r="Q32" s="49"/>
      <c r="R32" s="48"/>
      <c r="S32" s="32"/>
      <c r="T32" s="49"/>
    </row>
    <row r="33" spans="2:20" x14ac:dyDescent="0.25">
      <c r="B33" s="14" t="s">
        <v>50</v>
      </c>
      <c r="C33" s="17" t="s">
        <v>478</v>
      </c>
      <c r="D33" s="36">
        <v>475</v>
      </c>
      <c r="E33" s="51">
        <f>+IFERROR(D33/Summary!D$19,"")</f>
        <v>4.0600834570241311E-4</v>
      </c>
      <c r="F33" s="36">
        <v>460</v>
      </c>
      <c r="G33" s="51">
        <f>+IFERROR(F33/Summary!F$19,"")</f>
        <v>3.335694013655476E-4</v>
      </c>
      <c r="H33" s="137">
        <f t="shared" ref="H33:H49" si="34">+D33-F33</f>
        <v>15</v>
      </c>
      <c r="I33" s="36">
        <v>255</v>
      </c>
      <c r="J33" s="51">
        <f>+IFERROR(I33/Summary!I$19,"")</f>
        <v>2.1891298662060488E-4</v>
      </c>
      <c r="K33" s="137">
        <f t="shared" ref="K33:K49" si="35">+D33-I33</f>
        <v>220</v>
      </c>
      <c r="M33" s="36">
        <v>2650</v>
      </c>
      <c r="N33" s="51">
        <f>+IFERROR(M33/Summary!M$19,"")</f>
        <v>3.5526730337377834E-4</v>
      </c>
      <c r="O33" s="36">
        <v>2300</v>
      </c>
      <c r="P33" s="51">
        <f>+IFERROR(O33/Summary!O$19,"")</f>
        <v>2.8243538110261582E-4</v>
      </c>
      <c r="Q33" s="137">
        <f t="shared" ref="Q33:Q49" si="36">+M33-O33</f>
        <v>350</v>
      </c>
      <c r="R33" s="36">
        <v>1275</v>
      </c>
      <c r="S33" s="51">
        <f>+IFERROR(R33/Summary!R$19,"")</f>
        <v>1.8137973868650924E-4</v>
      </c>
      <c r="T33" s="137">
        <f t="shared" ref="T33:T49" si="37">+M33-R33</f>
        <v>1375</v>
      </c>
    </row>
    <row r="34" spans="2:20" x14ac:dyDescent="0.25">
      <c r="B34" s="14" t="s">
        <v>67</v>
      </c>
      <c r="C34" s="17" t="s">
        <v>468</v>
      </c>
      <c r="D34" s="36">
        <v>0</v>
      </c>
      <c r="E34" s="51">
        <f>+IFERROR(D34/Summary!D$19,"")</f>
        <v>0</v>
      </c>
      <c r="F34" s="36">
        <v>0</v>
      </c>
      <c r="G34" s="51">
        <f>+IFERROR(F34/Summary!F$19,"")</f>
        <v>0</v>
      </c>
      <c r="H34" s="137">
        <f t="shared" si="34"/>
        <v>0</v>
      </c>
      <c r="I34" s="36">
        <v>0</v>
      </c>
      <c r="J34" s="51">
        <f>+IFERROR(I34/Summary!I$19,"")</f>
        <v>0</v>
      </c>
      <c r="K34" s="137">
        <f t="shared" si="35"/>
        <v>0</v>
      </c>
      <c r="M34" s="36">
        <v>0</v>
      </c>
      <c r="N34" s="51">
        <f>+IFERROR(M34/Summary!M$19,"")</f>
        <v>0</v>
      </c>
      <c r="O34" s="36">
        <v>0</v>
      </c>
      <c r="P34" s="51">
        <f>+IFERROR(O34/Summary!O$19,"")</f>
        <v>0</v>
      </c>
      <c r="Q34" s="137">
        <f t="shared" si="36"/>
        <v>0</v>
      </c>
      <c r="R34" s="36">
        <v>0</v>
      </c>
      <c r="S34" s="51">
        <f>+IFERROR(R34/Summary!R$19,"")</f>
        <v>0</v>
      </c>
      <c r="T34" s="137">
        <f t="shared" si="37"/>
        <v>0</v>
      </c>
    </row>
    <row r="35" spans="2:20" x14ac:dyDescent="0.25">
      <c r="B35" s="14" t="s">
        <v>116</v>
      </c>
      <c r="C35" s="17" t="s">
        <v>480</v>
      </c>
      <c r="D35" s="36">
        <v>0</v>
      </c>
      <c r="E35" s="51">
        <f>+IFERROR(D35/Summary!D$19,"")</f>
        <v>0</v>
      </c>
      <c r="F35" s="36">
        <v>0</v>
      </c>
      <c r="G35" s="51">
        <f>+IFERROR(F35/Summary!F$19,"")</f>
        <v>0</v>
      </c>
      <c r="H35" s="137">
        <f t="shared" si="34"/>
        <v>0</v>
      </c>
      <c r="I35" s="36">
        <v>0</v>
      </c>
      <c r="J35" s="51">
        <f>+IFERROR(I35/Summary!I$19,"")</f>
        <v>0</v>
      </c>
      <c r="K35" s="137">
        <f t="shared" si="35"/>
        <v>0</v>
      </c>
      <c r="M35" s="36">
        <v>0</v>
      </c>
      <c r="N35" s="51">
        <f>+IFERROR(M35/Summary!M$19,"")</f>
        <v>0</v>
      </c>
      <c r="O35" s="36">
        <v>0</v>
      </c>
      <c r="P35" s="51">
        <f>+IFERROR(O35/Summary!O$19,"")</f>
        <v>0</v>
      </c>
      <c r="Q35" s="137">
        <f t="shared" si="36"/>
        <v>0</v>
      </c>
      <c r="R35" s="36">
        <v>0</v>
      </c>
      <c r="S35" s="51">
        <f>+IFERROR(R35/Summary!R$19,"")</f>
        <v>0</v>
      </c>
      <c r="T35" s="137">
        <f t="shared" si="37"/>
        <v>0</v>
      </c>
    </row>
    <row r="36" spans="2:20" x14ac:dyDescent="0.25">
      <c r="B36" s="14" t="s">
        <v>129</v>
      </c>
      <c r="C36" s="17" t="s">
        <v>381</v>
      </c>
      <c r="D36" s="36">
        <v>0</v>
      </c>
      <c r="E36" s="51">
        <f>+IFERROR(D36/Summary!D$19,"")</f>
        <v>0</v>
      </c>
      <c r="F36" s="36">
        <v>0</v>
      </c>
      <c r="G36" s="51">
        <f>+IFERROR(F36/Summary!F$19,"")</f>
        <v>0</v>
      </c>
      <c r="H36" s="137">
        <f t="shared" si="34"/>
        <v>0</v>
      </c>
      <c r="I36" s="36">
        <v>0</v>
      </c>
      <c r="J36" s="51">
        <f>+IFERROR(I36/Summary!I$19,"")</f>
        <v>0</v>
      </c>
      <c r="K36" s="137">
        <f t="shared" si="35"/>
        <v>0</v>
      </c>
      <c r="M36" s="36">
        <v>0</v>
      </c>
      <c r="N36" s="51">
        <f>+IFERROR(M36/Summary!M$19,"")</f>
        <v>0</v>
      </c>
      <c r="O36" s="36">
        <v>0</v>
      </c>
      <c r="P36" s="51">
        <f>+IFERROR(O36/Summary!O$19,"")</f>
        <v>0</v>
      </c>
      <c r="Q36" s="137">
        <f t="shared" si="36"/>
        <v>0</v>
      </c>
      <c r="R36" s="36">
        <v>168.53</v>
      </c>
      <c r="S36" s="51">
        <f>+IFERROR(R36/Summary!R$19,"")</f>
        <v>2.397484498889208E-5</v>
      </c>
      <c r="T36" s="137">
        <f t="shared" si="37"/>
        <v>-168.53</v>
      </c>
    </row>
    <row r="37" spans="2:20" x14ac:dyDescent="0.25">
      <c r="B37" s="14" t="s">
        <v>137</v>
      </c>
      <c r="C37" s="17" t="s">
        <v>481</v>
      </c>
      <c r="D37" s="36">
        <v>0</v>
      </c>
      <c r="E37" s="51">
        <f>+IFERROR(D37/Summary!D$19,"")</f>
        <v>0</v>
      </c>
      <c r="F37" s="36">
        <v>0</v>
      </c>
      <c r="G37" s="51">
        <f>+IFERROR(F37/Summary!F$19,"")</f>
        <v>0</v>
      </c>
      <c r="H37" s="137">
        <f t="shared" si="34"/>
        <v>0</v>
      </c>
      <c r="I37" s="36">
        <v>0</v>
      </c>
      <c r="J37" s="51">
        <f>+IFERROR(I37/Summary!I$19,"")</f>
        <v>0</v>
      </c>
      <c r="K37" s="137">
        <f t="shared" si="35"/>
        <v>0</v>
      </c>
      <c r="M37" s="36">
        <v>0</v>
      </c>
      <c r="N37" s="51">
        <f>+IFERROR(M37/Summary!M$19,"")</f>
        <v>0</v>
      </c>
      <c r="O37" s="36">
        <v>0</v>
      </c>
      <c r="P37" s="51">
        <f>+IFERROR(O37/Summary!O$19,"")</f>
        <v>0</v>
      </c>
      <c r="Q37" s="137">
        <f t="shared" si="36"/>
        <v>0</v>
      </c>
      <c r="R37" s="36">
        <v>0</v>
      </c>
      <c r="S37" s="51">
        <f>+IFERROR(R37/Summary!R$19,"")</f>
        <v>0</v>
      </c>
      <c r="T37" s="137">
        <f t="shared" si="37"/>
        <v>0</v>
      </c>
    </row>
    <row r="38" spans="2:20" x14ac:dyDescent="0.25">
      <c r="B38" s="14" t="s">
        <v>149</v>
      </c>
      <c r="C38" s="17" t="s">
        <v>482</v>
      </c>
      <c r="D38" s="36">
        <v>277.5</v>
      </c>
      <c r="E38" s="51">
        <f>+IFERROR(D38/Summary!D$19,"")</f>
        <v>2.3719434933140978E-4</v>
      </c>
      <c r="F38" s="36">
        <v>0</v>
      </c>
      <c r="G38" s="51">
        <f>+IFERROR(F38/Summary!F$19,"")</f>
        <v>0</v>
      </c>
      <c r="H38" s="137">
        <f t="shared" si="34"/>
        <v>277.5</v>
      </c>
      <c r="I38" s="36">
        <v>29.95</v>
      </c>
      <c r="J38" s="51">
        <f>+IFERROR(I38/Summary!I$19,"")</f>
        <v>2.5711544899165162E-5</v>
      </c>
      <c r="K38" s="137">
        <f t="shared" si="35"/>
        <v>247.55</v>
      </c>
      <c r="M38" s="36">
        <v>2401.5</v>
      </c>
      <c r="N38" s="51">
        <f>+IFERROR(M38/Summary!M$19,"")</f>
        <v>3.2195261473665234E-4</v>
      </c>
      <c r="O38" s="36">
        <v>1600</v>
      </c>
      <c r="P38" s="51">
        <f>+IFERROR(O38/Summary!O$19,"")</f>
        <v>1.9647678685399362E-4</v>
      </c>
      <c r="Q38" s="137">
        <f t="shared" si="36"/>
        <v>801.5</v>
      </c>
      <c r="R38" s="36">
        <v>1669.15</v>
      </c>
      <c r="S38" s="51">
        <f>+IFERROR(R38/Summary!R$19,"")</f>
        <v>2.374509731988917E-4</v>
      </c>
      <c r="T38" s="137">
        <f t="shared" si="37"/>
        <v>732.34999999999991</v>
      </c>
    </row>
    <row r="39" spans="2:20" x14ac:dyDescent="0.25">
      <c r="B39" s="14" t="s">
        <v>150</v>
      </c>
      <c r="C39" s="17" t="s">
        <v>56</v>
      </c>
      <c r="D39" s="36">
        <v>0</v>
      </c>
      <c r="E39" s="51">
        <f>+IFERROR(D39/Summary!D$19,"")</f>
        <v>0</v>
      </c>
      <c r="F39" s="36">
        <v>0</v>
      </c>
      <c r="G39" s="51">
        <f>+IFERROR(F39/Summary!F$19,"")</f>
        <v>0</v>
      </c>
      <c r="H39" s="137">
        <f t="shared" si="34"/>
        <v>0</v>
      </c>
      <c r="I39" s="36">
        <v>0</v>
      </c>
      <c r="J39" s="51">
        <f>+IFERROR(I39/Summary!I$19,"")</f>
        <v>0</v>
      </c>
      <c r="K39" s="137">
        <f t="shared" si="35"/>
        <v>0</v>
      </c>
      <c r="M39" s="36">
        <v>0</v>
      </c>
      <c r="N39" s="51">
        <f>+IFERROR(M39/Summary!M$19,"")</f>
        <v>0</v>
      </c>
      <c r="O39" s="36">
        <v>0</v>
      </c>
      <c r="P39" s="51">
        <f>+IFERROR(O39/Summary!O$19,"")</f>
        <v>0</v>
      </c>
      <c r="Q39" s="137">
        <f t="shared" si="36"/>
        <v>0</v>
      </c>
      <c r="R39" s="36">
        <v>0</v>
      </c>
      <c r="S39" s="51">
        <f>+IFERROR(R39/Summary!R$19,"")</f>
        <v>0</v>
      </c>
      <c r="T39" s="137">
        <f t="shared" si="37"/>
        <v>0</v>
      </c>
    </row>
    <row r="40" spans="2:20" x14ac:dyDescent="0.25">
      <c r="B40" s="14" t="s">
        <v>154</v>
      </c>
      <c r="C40" s="17" t="s">
        <v>468</v>
      </c>
      <c r="D40" s="36">
        <v>-90.24</v>
      </c>
      <c r="E40" s="51">
        <f>+IFERROR(D40/Summary!D$19,"")</f>
        <v>-7.7133038139338443E-5</v>
      </c>
      <c r="F40" s="36">
        <v>613.5</v>
      </c>
      <c r="G40" s="51">
        <f>+IFERROR(F40/Summary!F$19,"")</f>
        <v>4.4488006029948576E-4</v>
      </c>
      <c r="H40" s="137">
        <f t="shared" si="34"/>
        <v>-703.74</v>
      </c>
      <c r="I40" s="36">
        <v>402.64</v>
      </c>
      <c r="J40" s="51">
        <f>+IFERROR(I40/Summary!I$19,"")</f>
        <v>3.4565931346243272E-4</v>
      </c>
      <c r="K40" s="137">
        <f t="shared" si="35"/>
        <v>-492.88</v>
      </c>
      <c r="M40" s="36">
        <v>3299.28</v>
      </c>
      <c r="N40" s="51">
        <f>+IFERROR(M40/Summary!M$19,"")</f>
        <v>4.4231181459435451E-4</v>
      </c>
      <c r="O40" s="36">
        <v>3067.5</v>
      </c>
      <c r="P40" s="51">
        <f>+IFERROR(O40/Summary!O$19,"")</f>
        <v>3.766828397966409E-4</v>
      </c>
      <c r="Q40" s="137">
        <f t="shared" si="36"/>
        <v>231.7800000000002</v>
      </c>
      <c r="R40" s="36">
        <v>6443.75</v>
      </c>
      <c r="S40" s="51">
        <f>+IFERROR(R40/Summary!R$19,"")</f>
        <v>9.1667897345975994E-4</v>
      </c>
      <c r="T40" s="137">
        <f t="shared" si="37"/>
        <v>-3144.47</v>
      </c>
    </row>
    <row r="41" spans="2:20" x14ac:dyDescent="0.25">
      <c r="B41" s="14" t="s">
        <v>156</v>
      </c>
      <c r="C41" s="17" t="s">
        <v>483</v>
      </c>
      <c r="D41" s="36">
        <v>0</v>
      </c>
      <c r="E41" s="51">
        <f>+IFERROR(D41/Summary!D$19,"")</f>
        <v>0</v>
      </c>
      <c r="F41" s="36">
        <v>0</v>
      </c>
      <c r="G41" s="51">
        <f>+IFERROR(F41/Summary!F$19,"")</f>
        <v>0</v>
      </c>
      <c r="H41" s="137">
        <f t="shared" si="34"/>
        <v>0</v>
      </c>
      <c r="I41" s="36">
        <v>0</v>
      </c>
      <c r="J41" s="51">
        <f>+IFERROR(I41/Summary!I$19,"")</f>
        <v>0</v>
      </c>
      <c r="K41" s="137">
        <f t="shared" si="35"/>
        <v>0</v>
      </c>
      <c r="M41" s="36">
        <v>0</v>
      </c>
      <c r="N41" s="51">
        <f>+IFERROR(M41/Summary!M$19,"")</f>
        <v>0</v>
      </c>
      <c r="O41" s="36">
        <v>0</v>
      </c>
      <c r="P41" s="51">
        <f>+IFERROR(O41/Summary!O$19,"")</f>
        <v>0</v>
      </c>
      <c r="Q41" s="137">
        <f t="shared" si="36"/>
        <v>0</v>
      </c>
      <c r="R41" s="36">
        <v>0</v>
      </c>
      <c r="S41" s="51">
        <f>+IFERROR(R41/Summary!R$19,"")</f>
        <v>0</v>
      </c>
      <c r="T41" s="137">
        <f t="shared" si="37"/>
        <v>0</v>
      </c>
    </row>
    <row r="42" spans="2:20" x14ac:dyDescent="0.25">
      <c r="B42" s="14" t="s">
        <v>157</v>
      </c>
      <c r="C42" s="17" t="s">
        <v>484</v>
      </c>
      <c r="D42" s="36">
        <v>0</v>
      </c>
      <c r="E42" s="51">
        <f>+IFERROR(D42/Summary!D$19,"")</f>
        <v>0</v>
      </c>
      <c r="F42" s="36">
        <v>0</v>
      </c>
      <c r="G42" s="51">
        <f>+IFERROR(F42/Summary!F$19,"")</f>
        <v>0</v>
      </c>
      <c r="H42" s="137">
        <f t="shared" si="34"/>
        <v>0</v>
      </c>
      <c r="I42" s="36">
        <v>0</v>
      </c>
      <c r="J42" s="51">
        <f>+IFERROR(I42/Summary!I$19,"")</f>
        <v>0</v>
      </c>
      <c r="K42" s="137">
        <f t="shared" si="35"/>
        <v>0</v>
      </c>
      <c r="M42" s="36">
        <v>0</v>
      </c>
      <c r="N42" s="51">
        <f>+IFERROR(M42/Summary!M$19,"")</f>
        <v>0</v>
      </c>
      <c r="O42" s="36">
        <v>0</v>
      </c>
      <c r="P42" s="51">
        <f>+IFERROR(O42/Summary!O$19,"")</f>
        <v>0</v>
      </c>
      <c r="Q42" s="137">
        <f t="shared" si="36"/>
        <v>0</v>
      </c>
      <c r="R42" s="36">
        <v>-1287.51</v>
      </c>
      <c r="S42" s="51">
        <f>+IFERROR(R42/Summary!R$19,"")</f>
        <v>-1.831593940049157E-4</v>
      </c>
      <c r="T42" s="137">
        <f t="shared" si="37"/>
        <v>1287.51</v>
      </c>
    </row>
    <row r="43" spans="2:20" x14ac:dyDescent="0.25">
      <c r="B43" s="14" t="s">
        <v>196</v>
      </c>
      <c r="C43" s="17" t="s">
        <v>447</v>
      </c>
      <c r="D43" s="36">
        <v>157</v>
      </c>
      <c r="E43" s="51">
        <f>+IFERROR(D43/Summary!D$19,"")</f>
        <v>1.3419644268479759E-4</v>
      </c>
      <c r="F43" s="36">
        <v>523.83000000000004</v>
      </c>
      <c r="G43" s="51">
        <f>+IFERROR(F43/Summary!F$19,"")</f>
        <v>3.7985578155938E-4</v>
      </c>
      <c r="H43" s="137">
        <f t="shared" si="34"/>
        <v>-366.83000000000004</v>
      </c>
      <c r="I43" s="36">
        <v>1643.84</v>
      </c>
      <c r="J43" s="51">
        <f>+IFERROR(I43/Summary!I$19,"")</f>
        <v>1.411207544809471E-3</v>
      </c>
      <c r="K43" s="137">
        <f t="shared" si="35"/>
        <v>-1486.84</v>
      </c>
      <c r="M43" s="36">
        <v>1691.32</v>
      </c>
      <c r="N43" s="51">
        <f>+IFERROR(M43/Summary!M$19,"")</f>
        <v>2.2674365869514672E-4</v>
      </c>
      <c r="O43" s="36">
        <v>3119.15</v>
      </c>
      <c r="P43" s="51">
        <f>+IFERROR(O43/Summary!O$19,"")</f>
        <v>3.8302535607227139E-4</v>
      </c>
      <c r="Q43" s="137">
        <f t="shared" si="36"/>
        <v>-1427.8300000000002</v>
      </c>
      <c r="R43" s="36">
        <v>5399.84</v>
      </c>
      <c r="S43" s="51">
        <f>+IFERROR(R43/Summary!R$19,"")</f>
        <v>7.6817377894036081E-4</v>
      </c>
      <c r="T43" s="137">
        <f t="shared" si="37"/>
        <v>-3708.5200000000004</v>
      </c>
    </row>
    <row r="44" spans="2:20" x14ac:dyDescent="0.25">
      <c r="B44" s="14" t="s">
        <v>210</v>
      </c>
      <c r="C44" s="17" t="s">
        <v>58</v>
      </c>
      <c r="D44" s="36">
        <v>0</v>
      </c>
      <c r="E44" s="51">
        <f>+IFERROR(D44/Summary!D$19,"")</f>
        <v>0</v>
      </c>
      <c r="F44" s="36">
        <v>0</v>
      </c>
      <c r="G44" s="51">
        <f>+IFERROR(F44/Summary!F$19,"")</f>
        <v>0</v>
      </c>
      <c r="H44" s="137">
        <f t="shared" si="34"/>
        <v>0</v>
      </c>
      <c r="I44" s="36">
        <v>0</v>
      </c>
      <c r="J44" s="51">
        <f>+IFERROR(I44/Summary!I$19,"")</f>
        <v>0</v>
      </c>
      <c r="K44" s="137">
        <f t="shared" si="35"/>
        <v>0</v>
      </c>
      <c r="M44" s="36">
        <v>0</v>
      </c>
      <c r="N44" s="51">
        <f>+IFERROR(M44/Summary!M$19,"")</f>
        <v>0</v>
      </c>
      <c r="O44" s="36">
        <v>0</v>
      </c>
      <c r="P44" s="51">
        <f>+IFERROR(O44/Summary!O$19,"")</f>
        <v>0</v>
      </c>
      <c r="Q44" s="137">
        <f t="shared" si="36"/>
        <v>0</v>
      </c>
      <c r="R44" s="36">
        <v>0</v>
      </c>
      <c r="S44" s="51">
        <f>+IFERROR(R44/Summary!R$19,"")</f>
        <v>0</v>
      </c>
      <c r="T44" s="137">
        <f t="shared" si="37"/>
        <v>0</v>
      </c>
    </row>
    <row r="45" spans="2:20" x14ac:dyDescent="0.25">
      <c r="B45" s="14" t="s">
        <v>221</v>
      </c>
      <c r="C45" s="17" t="s">
        <v>485</v>
      </c>
      <c r="D45" s="36">
        <v>0</v>
      </c>
      <c r="E45" s="51">
        <f>+IFERROR(D45/Summary!D$19,"")</f>
        <v>0</v>
      </c>
      <c r="F45" s="36">
        <v>0</v>
      </c>
      <c r="G45" s="51">
        <f>+IFERROR(F45/Summary!F$19,"")</f>
        <v>0</v>
      </c>
      <c r="H45" s="137">
        <f t="shared" si="34"/>
        <v>0</v>
      </c>
      <c r="I45" s="36">
        <v>0</v>
      </c>
      <c r="J45" s="51">
        <f>+IFERROR(I45/Summary!I$19,"")</f>
        <v>0</v>
      </c>
      <c r="K45" s="137">
        <f t="shared" si="35"/>
        <v>0</v>
      </c>
      <c r="M45" s="36">
        <v>0</v>
      </c>
      <c r="N45" s="51">
        <f>+IFERROR(M45/Summary!M$19,"")</f>
        <v>0</v>
      </c>
      <c r="O45" s="36">
        <v>0</v>
      </c>
      <c r="P45" s="51">
        <f>+IFERROR(O45/Summary!O$19,"")</f>
        <v>0</v>
      </c>
      <c r="Q45" s="137">
        <f t="shared" si="36"/>
        <v>0</v>
      </c>
      <c r="R45" s="36">
        <v>0</v>
      </c>
      <c r="S45" s="51">
        <f>+IFERROR(R45/Summary!R$19,"")</f>
        <v>0</v>
      </c>
      <c r="T45" s="137">
        <f t="shared" si="37"/>
        <v>0</v>
      </c>
    </row>
    <row r="46" spans="2:20" x14ac:dyDescent="0.25">
      <c r="B46" s="14" t="s">
        <v>225</v>
      </c>
      <c r="C46" s="17" t="s">
        <v>53</v>
      </c>
      <c r="D46" s="36">
        <v>140</v>
      </c>
      <c r="E46" s="51">
        <f>+IFERROR(D46/Summary!D$19,"")</f>
        <v>1.1966561768071124E-4</v>
      </c>
      <c r="F46" s="36">
        <v>140</v>
      </c>
      <c r="G46" s="51">
        <f>+IFERROR(F46/Summary!F$19,"")</f>
        <v>1.0152112215473188E-4</v>
      </c>
      <c r="H46" s="137">
        <f t="shared" si="34"/>
        <v>0</v>
      </c>
      <c r="I46" s="36">
        <v>1836</v>
      </c>
      <c r="J46" s="51">
        <f>+IFERROR(I46/Summary!I$19,"")</f>
        <v>1.576173503668355E-3</v>
      </c>
      <c r="K46" s="137">
        <f t="shared" si="35"/>
        <v>-1696</v>
      </c>
      <c r="M46" s="36">
        <v>8262.94</v>
      </c>
      <c r="N46" s="51">
        <f>+IFERROR(M46/Summary!M$19,"")</f>
        <v>1.1077556270714447E-3</v>
      </c>
      <c r="O46" s="36">
        <v>8173</v>
      </c>
      <c r="P46" s="51">
        <f>+IFERROR(O46/Summary!O$19,"")</f>
        <v>1.0036279868485562E-3</v>
      </c>
      <c r="Q46" s="137">
        <f t="shared" si="36"/>
        <v>89.940000000000509</v>
      </c>
      <c r="R46" s="36">
        <v>7399</v>
      </c>
      <c r="S46" s="51">
        <f>+IFERROR(R46/Summary!R$19,"")</f>
        <v>1.0525715188560642E-3</v>
      </c>
      <c r="T46" s="137">
        <f t="shared" si="37"/>
        <v>863.94000000000051</v>
      </c>
    </row>
    <row r="47" spans="2:20" x14ac:dyDescent="0.25">
      <c r="B47" s="14" t="s">
        <v>228</v>
      </c>
      <c r="C47" s="17" t="s">
        <v>385</v>
      </c>
      <c r="D47" s="36">
        <v>0</v>
      </c>
      <c r="E47" s="51">
        <f>+IFERROR(D47/Summary!D$19,"")</f>
        <v>0</v>
      </c>
      <c r="F47" s="36">
        <v>0</v>
      </c>
      <c r="G47" s="51">
        <f>+IFERROR(F47/Summary!F$19,"")</f>
        <v>0</v>
      </c>
      <c r="H47" s="137">
        <f t="shared" si="34"/>
        <v>0</v>
      </c>
      <c r="I47" s="36">
        <v>582.66</v>
      </c>
      <c r="J47" s="51">
        <f>+IFERROR(I47/Summary!I$19,"")</f>
        <v>5.0020329719357504E-4</v>
      </c>
      <c r="K47" s="137">
        <f t="shared" si="35"/>
        <v>-582.66</v>
      </c>
      <c r="M47" s="36">
        <v>12158.36</v>
      </c>
      <c r="N47" s="51">
        <f>+IFERROR(M47/Summary!M$19,"")</f>
        <v>1.6299878379802308E-3</v>
      </c>
      <c r="O47" s="36">
        <v>11434</v>
      </c>
      <c r="P47" s="51">
        <f>+IFERROR(O47/Summary!O$19,"")</f>
        <v>1.404072238055352E-3</v>
      </c>
      <c r="Q47" s="137">
        <f t="shared" si="36"/>
        <v>724.36000000000058</v>
      </c>
      <c r="R47" s="36">
        <v>12705.27</v>
      </c>
      <c r="S47" s="51">
        <f>+IFERROR(R47/Summary!R$19,"")</f>
        <v>1.8074341588561139E-3</v>
      </c>
      <c r="T47" s="137">
        <f t="shared" si="37"/>
        <v>-546.90999999999985</v>
      </c>
    </row>
    <row r="48" spans="2:20" x14ac:dyDescent="0.25">
      <c r="B48" s="14" t="s">
        <v>244</v>
      </c>
      <c r="C48" s="17" t="s">
        <v>486</v>
      </c>
      <c r="D48" s="90">
        <v>0</v>
      </c>
      <c r="E48" s="82">
        <f>+IFERROR(D48/Summary!D$19,"")</f>
        <v>0</v>
      </c>
      <c r="F48" s="90">
        <v>0</v>
      </c>
      <c r="G48" s="156">
        <f>+IFERROR(F48/Summary!F$19,"")</f>
        <v>0</v>
      </c>
      <c r="H48" s="141">
        <f t="shared" si="34"/>
        <v>0</v>
      </c>
      <c r="I48" s="36">
        <v>0</v>
      </c>
      <c r="J48" s="156">
        <f>+IFERROR(I48/Summary!I$19,"")</f>
        <v>0</v>
      </c>
      <c r="K48" s="141">
        <f t="shared" si="35"/>
        <v>0</v>
      </c>
      <c r="M48" s="90">
        <v>0</v>
      </c>
      <c r="N48" s="82">
        <f>+IFERROR(M48/Summary!M$19,"")</f>
        <v>0</v>
      </c>
      <c r="O48" s="90">
        <v>0</v>
      </c>
      <c r="P48" s="156">
        <f>+IFERROR(O48/Summary!O$19,"")</f>
        <v>0</v>
      </c>
      <c r="Q48" s="141">
        <f t="shared" si="36"/>
        <v>0</v>
      </c>
      <c r="R48" s="36">
        <v>0</v>
      </c>
      <c r="S48" s="156">
        <f>+IFERROR(R48/Summary!R$19,"")</f>
        <v>0</v>
      </c>
      <c r="T48" s="141">
        <f t="shared" si="37"/>
        <v>0</v>
      </c>
    </row>
    <row r="49" spans="2:20" x14ac:dyDescent="0.25">
      <c r="B49" s="14" t="s">
        <v>242</v>
      </c>
      <c r="C49" s="18" t="s">
        <v>479</v>
      </c>
      <c r="D49" s="91">
        <f t="shared" ref="D49:F49" si="38">SUM(D33:D48)</f>
        <v>959.26</v>
      </c>
      <c r="E49" s="83">
        <f>+IFERROR(D49/Summary!D$19,"")</f>
        <v>8.1993171725999335E-4</v>
      </c>
      <c r="F49" s="86">
        <f t="shared" si="38"/>
        <v>1737.33</v>
      </c>
      <c r="G49" s="83">
        <f>+IFERROR(F49/Summary!F$19,"")</f>
        <v>1.2598263653791453E-3</v>
      </c>
      <c r="H49" s="140">
        <f t="shared" si="34"/>
        <v>-778.06999999999994</v>
      </c>
      <c r="I49" s="86">
        <f t="shared" ref="I49" si="39">SUM(I33:I48)</f>
        <v>4750.09</v>
      </c>
      <c r="J49" s="83">
        <f>+IFERROR(I49/Summary!I$19,"")</f>
        <v>4.0778681906536041E-3</v>
      </c>
      <c r="K49" s="140">
        <f t="shared" si="35"/>
        <v>-3790.83</v>
      </c>
      <c r="M49" s="91">
        <f t="shared" ref="M49" si="40">SUM(M33:M48)</f>
        <v>30463.4</v>
      </c>
      <c r="N49" s="83">
        <f>+IFERROR(M49/Summary!M$19,"")</f>
        <v>4.0840188564516076E-3</v>
      </c>
      <c r="O49" s="86">
        <f t="shared" ref="O49" si="41">SUM(O33:O48)</f>
        <v>29693.65</v>
      </c>
      <c r="P49" s="83">
        <f>+IFERROR(O49/Summary!O$19,"")</f>
        <v>3.64632058872943E-3</v>
      </c>
      <c r="Q49" s="140">
        <f t="shared" si="36"/>
        <v>769.75</v>
      </c>
      <c r="R49" s="86">
        <f t="shared" ref="R49" si="42">SUM(R33:R48)</f>
        <v>33773.03</v>
      </c>
      <c r="S49" s="83">
        <f>+IFERROR(R49/Summary!R$19,"")</f>
        <v>4.8045045929816762E-3</v>
      </c>
      <c r="T49" s="140">
        <f t="shared" si="37"/>
        <v>-3309.6299999999974</v>
      </c>
    </row>
    <row r="50" spans="2:20" x14ac:dyDescent="0.25">
      <c r="B50" s="14"/>
      <c r="C50" s="18"/>
      <c r="D50" s="48"/>
      <c r="F50" s="48"/>
      <c r="G50" s="32"/>
      <c r="H50" s="49"/>
      <c r="I50" s="48"/>
      <c r="J50" s="32"/>
      <c r="K50" s="49"/>
      <c r="M50" s="48"/>
      <c r="O50" s="48"/>
      <c r="P50" s="32"/>
      <c r="Q50" s="49"/>
      <c r="R50" s="48"/>
      <c r="S50" s="32"/>
      <c r="T50" s="49"/>
    </row>
    <row r="51" spans="2:20" x14ac:dyDescent="0.25">
      <c r="B51" s="14"/>
      <c r="C51" s="15" t="s">
        <v>51</v>
      </c>
      <c r="D51" s="244"/>
      <c r="F51" s="48"/>
      <c r="G51" s="32"/>
      <c r="H51" s="49"/>
      <c r="I51" s="48"/>
      <c r="J51" s="32"/>
      <c r="K51" s="49"/>
      <c r="M51" s="244"/>
      <c r="O51" s="48"/>
      <c r="P51" s="32"/>
      <c r="Q51" s="49"/>
      <c r="R51" s="48"/>
      <c r="S51" s="32"/>
      <c r="T51" s="49"/>
    </row>
    <row r="52" spans="2:20" x14ac:dyDescent="0.25">
      <c r="B52" s="14" t="s">
        <v>70</v>
      </c>
      <c r="C52" s="17" t="s">
        <v>487</v>
      </c>
      <c r="D52" s="36">
        <v>0</v>
      </c>
      <c r="E52" s="51">
        <f>+IFERROR(D52/Summary!D$19,"")</f>
        <v>0</v>
      </c>
      <c r="F52" s="36">
        <v>0</v>
      </c>
      <c r="G52" s="51">
        <f>+IFERROR(F52/Summary!F$19,"")</f>
        <v>0</v>
      </c>
      <c r="H52" s="137">
        <f t="shared" ref="H52:H67" si="43">+D52-F52</f>
        <v>0</v>
      </c>
      <c r="I52" s="36">
        <v>0</v>
      </c>
      <c r="J52" s="51">
        <f>+IFERROR(I52/Summary!I$19,"")</f>
        <v>0</v>
      </c>
      <c r="K52" s="137">
        <f t="shared" ref="K52:K67" si="44">+D52-I52</f>
        <v>0</v>
      </c>
      <c r="M52" s="36">
        <v>0</v>
      </c>
      <c r="N52" s="51">
        <f>+IFERROR(M52/Summary!M$19,"")</f>
        <v>0</v>
      </c>
      <c r="O52" s="36">
        <v>0</v>
      </c>
      <c r="P52" s="51">
        <f>+IFERROR(O52/Summary!O$19,"")</f>
        <v>0</v>
      </c>
      <c r="Q52" s="137">
        <f t="shared" ref="Q52:Q67" si="45">+M52-O52</f>
        <v>0</v>
      </c>
      <c r="R52" s="36">
        <v>0</v>
      </c>
      <c r="S52" s="51">
        <f>+IFERROR(R52/Summary!R$19,"")</f>
        <v>0</v>
      </c>
      <c r="T52" s="137">
        <f t="shared" ref="T52:T67" si="46">+M52-R52</f>
        <v>0</v>
      </c>
    </row>
    <row r="53" spans="2:20" x14ac:dyDescent="0.25">
      <c r="B53" s="14" t="s">
        <v>85</v>
      </c>
      <c r="C53" s="17" t="s">
        <v>365</v>
      </c>
      <c r="D53" s="36">
        <v>44.8</v>
      </c>
      <c r="E53" s="51">
        <f>+IFERROR(D53/Summary!D$19,"")</f>
        <v>3.8292997657827592E-5</v>
      </c>
      <c r="F53" s="36">
        <v>118.75</v>
      </c>
      <c r="G53" s="51">
        <f>+IFERROR(F53/Summary!F$19,"")</f>
        <v>8.6111666113388639E-5</v>
      </c>
      <c r="H53" s="137">
        <f t="shared" si="43"/>
        <v>-73.95</v>
      </c>
      <c r="I53" s="36">
        <v>93.36</v>
      </c>
      <c r="J53" s="51">
        <f>+IFERROR(I53/Summary!I$19,"")</f>
        <v>8.0147907572155575E-5</v>
      </c>
      <c r="K53" s="137">
        <f t="shared" si="44"/>
        <v>-48.56</v>
      </c>
      <c r="M53" s="36">
        <v>318.06</v>
      </c>
      <c r="N53" s="51">
        <f>+IFERROR(M53/Summary!M$19,"")</f>
        <v>4.2640120192854318E-5</v>
      </c>
      <c r="O53" s="36">
        <v>593.75</v>
      </c>
      <c r="P53" s="51">
        <f>+IFERROR(O53/Summary!O$19,"")</f>
        <v>7.2911307621599194E-5</v>
      </c>
      <c r="Q53" s="137">
        <f t="shared" si="45"/>
        <v>-275.69</v>
      </c>
      <c r="R53" s="36">
        <v>461.89</v>
      </c>
      <c r="S53" s="51">
        <f>+IFERROR(R53/Summary!R$19,"")</f>
        <v>6.5707833334832739E-5</v>
      </c>
      <c r="T53" s="137">
        <f t="shared" si="46"/>
        <v>-143.82999999999998</v>
      </c>
    </row>
    <row r="54" spans="2:20" x14ac:dyDescent="0.25">
      <c r="B54" s="14" t="s">
        <v>91</v>
      </c>
      <c r="C54" s="17" t="s">
        <v>488</v>
      </c>
      <c r="D54" s="36">
        <v>5936.59</v>
      </c>
      <c r="E54" s="51">
        <f>+IFERROR(D54/Summary!D$19,"")</f>
        <v>5.0743264947652397E-3</v>
      </c>
      <c r="F54" s="36">
        <v>6029.39</v>
      </c>
      <c r="G54" s="51">
        <f>+IFERROR(F54/Summary!F$19,"")</f>
        <v>4.372217419346563E-3</v>
      </c>
      <c r="H54" s="137">
        <f t="shared" si="43"/>
        <v>-92.800000000000182</v>
      </c>
      <c r="I54" s="36">
        <v>6086.1</v>
      </c>
      <c r="J54" s="51">
        <f>+IFERROR(I54/Summary!I$19,"")</f>
        <v>5.2248091289084841E-3</v>
      </c>
      <c r="K54" s="137">
        <f t="shared" si="44"/>
        <v>-149.51000000000022</v>
      </c>
      <c r="M54" s="36">
        <v>36635.71</v>
      </c>
      <c r="N54" s="51">
        <f>+IFERROR(M54/Summary!M$19,"")</f>
        <v>4.9114980750504774E-3</v>
      </c>
      <c r="O54" s="36">
        <v>38498.080000000002</v>
      </c>
      <c r="P54" s="51">
        <f>+IFERROR(O54/Summary!O$19,"")</f>
        <v>4.7274869115299968E-3</v>
      </c>
      <c r="Q54" s="137">
        <f t="shared" si="45"/>
        <v>-1862.3700000000026</v>
      </c>
      <c r="R54" s="36">
        <v>37626.120000000003</v>
      </c>
      <c r="S54" s="51">
        <f>+IFERROR(R54/Summary!R$19,"")</f>
        <v>5.352639853637051E-3</v>
      </c>
      <c r="T54" s="137">
        <f t="shared" si="46"/>
        <v>-990.41000000000349</v>
      </c>
    </row>
    <row r="55" spans="2:20" x14ac:dyDescent="0.25">
      <c r="B55" s="14" t="s">
        <v>111</v>
      </c>
      <c r="C55" s="17" t="s">
        <v>489</v>
      </c>
      <c r="D55" s="36">
        <v>0</v>
      </c>
      <c r="E55" s="51">
        <f>+IFERROR(D55/Summary!D$19,"")</f>
        <v>0</v>
      </c>
      <c r="F55" s="36">
        <v>0</v>
      </c>
      <c r="G55" s="51">
        <f>+IFERROR(F55/Summary!F$19,"")</f>
        <v>0</v>
      </c>
      <c r="H55" s="137">
        <f t="shared" si="43"/>
        <v>0</v>
      </c>
      <c r="I55" s="36">
        <v>0</v>
      </c>
      <c r="J55" s="51">
        <f>+IFERROR(I55/Summary!I$19,"")</f>
        <v>0</v>
      </c>
      <c r="K55" s="137">
        <f t="shared" si="44"/>
        <v>0</v>
      </c>
      <c r="M55" s="36">
        <v>0</v>
      </c>
      <c r="N55" s="51">
        <f>+IFERROR(M55/Summary!M$19,"")</f>
        <v>0</v>
      </c>
      <c r="O55" s="36">
        <v>0</v>
      </c>
      <c r="P55" s="51">
        <f>+IFERROR(O55/Summary!O$19,"")</f>
        <v>0</v>
      </c>
      <c r="Q55" s="137">
        <f t="shared" si="45"/>
        <v>0</v>
      </c>
      <c r="R55" s="36">
        <v>0</v>
      </c>
      <c r="S55" s="51">
        <f>+IFERROR(R55/Summary!R$19,"")</f>
        <v>0</v>
      </c>
      <c r="T55" s="137">
        <f t="shared" si="46"/>
        <v>0</v>
      </c>
    </row>
    <row r="56" spans="2:20" x14ac:dyDescent="0.25">
      <c r="B56" s="14" t="s">
        <v>120</v>
      </c>
      <c r="C56" s="17" t="s">
        <v>490</v>
      </c>
      <c r="D56" s="36">
        <v>0</v>
      </c>
      <c r="E56" s="51">
        <f>+IFERROR(D56/Summary!D$19,"")</f>
        <v>0</v>
      </c>
      <c r="F56" s="36">
        <v>0</v>
      </c>
      <c r="G56" s="51">
        <f>+IFERROR(F56/Summary!F$19,"")</f>
        <v>0</v>
      </c>
      <c r="H56" s="137">
        <f t="shared" si="43"/>
        <v>0</v>
      </c>
      <c r="I56" s="36">
        <v>0</v>
      </c>
      <c r="J56" s="51">
        <f>+IFERROR(I56/Summary!I$19,"")</f>
        <v>0</v>
      </c>
      <c r="K56" s="137">
        <f t="shared" si="44"/>
        <v>0</v>
      </c>
      <c r="M56" s="36">
        <v>0</v>
      </c>
      <c r="N56" s="51">
        <f>+IFERROR(M56/Summary!M$19,"")</f>
        <v>0</v>
      </c>
      <c r="O56" s="36">
        <v>0</v>
      </c>
      <c r="P56" s="51">
        <f>+IFERROR(O56/Summary!O$19,"")</f>
        <v>0</v>
      </c>
      <c r="Q56" s="137">
        <f t="shared" si="45"/>
        <v>0</v>
      </c>
      <c r="R56" s="36">
        <v>0</v>
      </c>
      <c r="S56" s="51">
        <f>+IFERROR(R56/Summary!R$19,"")</f>
        <v>0</v>
      </c>
      <c r="T56" s="137">
        <f t="shared" si="46"/>
        <v>0</v>
      </c>
    </row>
    <row r="57" spans="2:20" x14ac:dyDescent="0.25">
      <c r="B57" s="14" t="s">
        <v>124</v>
      </c>
      <c r="C57" s="17" t="s">
        <v>367</v>
      </c>
      <c r="D57" s="36">
        <v>0</v>
      </c>
      <c r="E57" s="51">
        <f>+IFERROR(D57/Summary!D$19,"")</f>
        <v>0</v>
      </c>
      <c r="F57" s="36">
        <v>0</v>
      </c>
      <c r="G57" s="51">
        <f>+IFERROR(F57/Summary!F$19,"")</f>
        <v>0</v>
      </c>
      <c r="H57" s="137">
        <f t="shared" si="43"/>
        <v>0</v>
      </c>
      <c r="I57" s="36">
        <v>0</v>
      </c>
      <c r="J57" s="51">
        <f>+IFERROR(I57/Summary!I$19,"")</f>
        <v>0</v>
      </c>
      <c r="K57" s="137">
        <f t="shared" si="44"/>
        <v>0</v>
      </c>
      <c r="M57" s="36">
        <v>0</v>
      </c>
      <c r="N57" s="51">
        <f>+IFERROR(M57/Summary!M$19,"")</f>
        <v>0</v>
      </c>
      <c r="O57" s="36">
        <v>0</v>
      </c>
      <c r="P57" s="51">
        <f>+IFERROR(O57/Summary!O$19,"")</f>
        <v>0</v>
      </c>
      <c r="Q57" s="137">
        <f t="shared" si="45"/>
        <v>0</v>
      </c>
      <c r="R57" s="36">
        <v>0</v>
      </c>
      <c r="S57" s="51">
        <f>+IFERROR(R57/Summary!R$19,"")</f>
        <v>0</v>
      </c>
      <c r="T57" s="137">
        <f t="shared" si="46"/>
        <v>0</v>
      </c>
    </row>
    <row r="58" spans="2:20" x14ac:dyDescent="0.25">
      <c r="B58" s="14" t="s">
        <v>176</v>
      </c>
      <c r="C58" s="17" t="s">
        <v>359</v>
      </c>
      <c r="D58" s="36">
        <v>0</v>
      </c>
      <c r="E58" s="51">
        <f>+IFERROR(D58/Summary!D$19,"")</f>
        <v>0</v>
      </c>
      <c r="F58" s="36">
        <v>0</v>
      </c>
      <c r="G58" s="51">
        <f>+IFERROR(F58/Summary!F$19,"")</f>
        <v>0</v>
      </c>
      <c r="H58" s="137">
        <f t="shared" si="43"/>
        <v>0</v>
      </c>
      <c r="I58" s="36">
        <v>0</v>
      </c>
      <c r="J58" s="51">
        <f>+IFERROR(I58/Summary!I$19,"")</f>
        <v>0</v>
      </c>
      <c r="K58" s="137">
        <f t="shared" si="44"/>
        <v>0</v>
      </c>
      <c r="M58" s="36">
        <v>0</v>
      </c>
      <c r="N58" s="51">
        <f>+IFERROR(M58/Summary!M$19,"")</f>
        <v>0</v>
      </c>
      <c r="O58" s="36">
        <v>0</v>
      </c>
      <c r="P58" s="51">
        <f>+IFERROR(O58/Summary!O$19,"")</f>
        <v>0</v>
      </c>
      <c r="Q58" s="137">
        <f t="shared" si="45"/>
        <v>0</v>
      </c>
      <c r="R58" s="36">
        <v>0</v>
      </c>
      <c r="S58" s="51">
        <f>+IFERROR(R58/Summary!R$19,"")</f>
        <v>0</v>
      </c>
      <c r="T58" s="137">
        <f t="shared" si="46"/>
        <v>0</v>
      </c>
    </row>
    <row r="59" spans="2:20" x14ac:dyDescent="0.25">
      <c r="B59" s="14" t="s">
        <v>193</v>
      </c>
      <c r="C59" s="17" t="s">
        <v>373</v>
      </c>
      <c r="D59" s="36">
        <v>0</v>
      </c>
      <c r="E59" s="51">
        <f>+IFERROR(D59/Summary!D$19,"")</f>
        <v>0</v>
      </c>
      <c r="F59" s="36">
        <v>0</v>
      </c>
      <c r="G59" s="51">
        <f>+IFERROR(F59/Summary!F$19,"")</f>
        <v>0</v>
      </c>
      <c r="H59" s="137">
        <f t="shared" si="43"/>
        <v>0</v>
      </c>
      <c r="I59" s="36">
        <v>0</v>
      </c>
      <c r="J59" s="51">
        <f>+IFERROR(I59/Summary!I$19,"")</f>
        <v>0</v>
      </c>
      <c r="K59" s="137">
        <f t="shared" si="44"/>
        <v>0</v>
      </c>
      <c r="M59" s="36">
        <v>0</v>
      </c>
      <c r="N59" s="51">
        <f>+IFERROR(M59/Summary!M$19,"")</f>
        <v>0</v>
      </c>
      <c r="O59" s="36">
        <v>0</v>
      </c>
      <c r="P59" s="51">
        <f>+IFERROR(O59/Summary!O$19,"")</f>
        <v>0</v>
      </c>
      <c r="Q59" s="137">
        <f t="shared" si="45"/>
        <v>0</v>
      </c>
      <c r="R59" s="36">
        <v>0</v>
      </c>
      <c r="S59" s="51">
        <f>+IFERROR(R59/Summary!R$19,"")</f>
        <v>0</v>
      </c>
      <c r="T59" s="137">
        <f t="shared" si="46"/>
        <v>0</v>
      </c>
    </row>
    <row r="60" spans="2:20" x14ac:dyDescent="0.25">
      <c r="B60" s="14" t="s">
        <v>200</v>
      </c>
      <c r="C60" s="17" t="s">
        <v>491</v>
      </c>
      <c r="D60" s="36">
        <v>0</v>
      </c>
      <c r="E60" s="51">
        <f>+IFERROR(D60/Summary!D$19,"")</f>
        <v>0</v>
      </c>
      <c r="F60" s="36">
        <v>0</v>
      </c>
      <c r="G60" s="51">
        <f>+IFERROR(F60/Summary!F$19,"")</f>
        <v>0</v>
      </c>
      <c r="H60" s="137">
        <f t="shared" si="43"/>
        <v>0</v>
      </c>
      <c r="I60" s="36">
        <v>0</v>
      </c>
      <c r="J60" s="51">
        <f>+IFERROR(I60/Summary!I$19,"")</f>
        <v>0</v>
      </c>
      <c r="K60" s="137">
        <f t="shared" si="44"/>
        <v>0</v>
      </c>
      <c r="M60" s="36">
        <v>0</v>
      </c>
      <c r="N60" s="51">
        <f>+IFERROR(M60/Summary!M$19,"")</f>
        <v>0</v>
      </c>
      <c r="O60" s="36">
        <v>0</v>
      </c>
      <c r="P60" s="51">
        <f>+IFERROR(O60/Summary!O$19,"")</f>
        <v>0</v>
      </c>
      <c r="Q60" s="137">
        <f t="shared" si="45"/>
        <v>0</v>
      </c>
      <c r="R60" s="36">
        <v>0</v>
      </c>
      <c r="S60" s="51">
        <f>+IFERROR(R60/Summary!R$19,"")</f>
        <v>0</v>
      </c>
      <c r="T60" s="137">
        <f t="shared" si="46"/>
        <v>0</v>
      </c>
    </row>
    <row r="61" spans="2:20" x14ac:dyDescent="0.25">
      <c r="B61" s="14" t="s">
        <v>243</v>
      </c>
      <c r="C61" s="17" t="s">
        <v>492</v>
      </c>
      <c r="D61" s="36">
        <v>0</v>
      </c>
      <c r="E61" s="51">
        <f>+IFERROR(D61/Summary!D$19,"")</f>
        <v>0</v>
      </c>
      <c r="F61" s="36">
        <v>0</v>
      </c>
      <c r="G61" s="51">
        <f>+IFERROR(F61/Summary!F$19,"")</f>
        <v>0</v>
      </c>
      <c r="H61" s="137">
        <f t="shared" si="43"/>
        <v>0</v>
      </c>
      <c r="I61" s="36">
        <v>0</v>
      </c>
      <c r="J61" s="51">
        <f>+IFERROR(I61/Summary!I$19,"")</f>
        <v>0</v>
      </c>
      <c r="K61" s="137">
        <f t="shared" si="44"/>
        <v>0</v>
      </c>
      <c r="M61" s="36">
        <v>0</v>
      </c>
      <c r="N61" s="51">
        <f>+IFERROR(M61/Summary!M$19,"")</f>
        <v>0</v>
      </c>
      <c r="O61" s="36">
        <v>0</v>
      </c>
      <c r="P61" s="51">
        <f>+IFERROR(O61/Summary!O$19,"")</f>
        <v>0</v>
      </c>
      <c r="Q61" s="137">
        <f t="shared" si="45"/>
        <v>0</v>
      </c>
      <c r="R61" s="36">
        <v>0</v>
      </c>
      <c r="S61" s="51">
        <f>+IFERROR(R61/Summary!R$19,"")</f>
        <v>0</v>
      </c>
      <c r="T61" s="137">
        <f t="shared" si="46"/>
        <v>0</v>
      </c>
    </row>
    <row r="62" spans="2:20" x14ac:dyDescent="0.25">
      <c r="B62" s="14" t="s">
        <v>313</v>
      </c>
      <c r="C62" s="17" t="s">
        <v>375</v>
      </c>
      <c r="D62" s="36">
        <v>0</v>
      </c>
      <c r="E62" s="51">
        <f>+IFERROR(D62/Summary!D$19,"")</f>
        <v>0</v>
      </c>
      <c r="F62" s="36">
        <v>0</v>
      </c>
      <c r="G62" s="51">
        <f>+IFERROR(F62/Summary!F$19,"")</f>
        <v>0</v>
      </c>
      <c r="H62" s="137">
        <f t="shared" si="43"/>
        <v>0</v>
      </c>
      <c r="I62" s="36">
        <v>0</v>
      </c>
      <c r="J62" s="51">
        <f>+IFERROR(I62/Summary!I$19,"")</f>
        <v>0</v>
      </c>
      <c r="K62" s="137">
        <f t="shared" si="44"/>
        <v>0</v>
      </c>
      <c r="M62" s="36">
        <v>0</v>
      </c>
      <c r="N62" s="51">
        <f>+IFERROR(M62/Summary!M$19,"")</f>
        <v>0</v>
      </c>
      <c r="O62" s="36">
        <v>0</v>
      </c>
      <c r="P62" s="51">
        <f>+IFERROR(O62/Summary!O$19,"")</f>
        <v>0</v>
      </c>
      <c r="Q62" s="137">
        <f t="shared" si="45"/>
        <v>0</v>
      </c>
      <c r="R62" s="36">
        <v>0</v>
      </c>
      <c r="S62" s="51">
        <f>+IFERROR(R62/Summary!R$19,"")</f>
        <v>0</v>
      </c>
      <c r="T62" s="137">
        <f t="shared" si="46"/>
        <v>0</v>
      </c>
    </row>
    <row r="63" spans="2:20" x14ac:dyDescent="0.25">
      <c r="B63" s="14" t="s">
        <v>325</v>
      </c>
      <c r="C63" s="17" t="s">
        <v>376</v>
      </c>
      <c r="D63" s="36">
        <v>0</v>
      </c>
      <c r="E63" s="51">
        <f>+IFERROR(D63/Summary!D$19,"")</f>
        <v>0</v>
      </c>
      <c r="F63" s="36">
        <v>0</v>
      </c>
      <c r="G63" s="51">
        <f>+IFERROR(F63/Summary!F$19,"")</f>
        <v>0</v>
      </c>
      <c r="H63" s="137">
        <f t="shared" si="43"/>
        <v>0</v>
      </c>
      <c r="I63" s="36">
        <v>0</v>
      </c>
      <c r="J63" s="51">
        <f>+IFERROR(I63/Summary!I$19,"")</f>
        <v>0</v>
      </c>
      <c r="K63" s="137">
        <f t="shared" si="44"/>
        <v>0</v>
      </c>
      <c r="M63" s="36">
        <v>0</v>
      </c>
      <c r="N63" s="51">
        <f>+IFERROR(M63/Summary!M$19,"")</f>
        <v>0</v>
      </c>
      <c r="O63" s="36">
        <v>0</v>
      </c>
      <c r="P63" s="51">
        <f>+IFERROR(O63/Summary!O$19,"")</f>
        <v>0</v>
      </c>
      <c r="Q63" s="137">
        <f t="shared" si="45"/>
        <v>0</v>
      </c>
      <c r="R63" s="36">
        <v>0</v>
      </c>
      <c r="S63" s="51">
        <f>+IFERROR(R63/Summary!R$19,"")</f>
        <v>0</v>
      </c>
      <c r="T63" s="137">
        <f t="shared" si="46"/>
        <v>0</v>
      </c>
    </row>
    <row r="64" spans="2:20" x14ac:dyDescent="0.25">
      <c r="B64" s="14" t="s">
        <v>330</v>
      </c>
      <c r="C64" s="17" t="s">
        <v>377</v>
      </c>
      <c r="D64" s="36">
        <v>0</v>
      </c>
      <c r="E64" s="51">
        <f>+IFERROR(D64/Summary!D$19,"")</f>
        <v>0</v>
      </c>
      <c r="F64" s="36">
        <v>0</v>
      </c>
      <c r="G64" s="51">
        <f>+IFERROR(F64/Summary!F$19,"")</f>
        <v>0</v>
      </c>
      <c r="H64" s="137">
        <f t="shared" si="43"/>
        <v>0</v>
      </c>
      <c r="I64" s="36">
        <v>25.23</v>
      </c>
      <c r="J64" s="51">
        <f>+IFERROR(I64/Summary!I$19,"")</f>
        <v>2.1659508440932789E-5</v>
      </c>
      <c r="K64" s="137">
        <f t="shared" si="44"/>
        <v>-25.23</v>
      </c>
      <c r="M64" s="36">
        <v>0</v>
      </c>
      <c r="N64" s="51">
        <f>+IFERROR(M64/Summary!M$19,"")</f>
        <v>0</v>
      </c>
      <c r="O64" s="36">
        <v>0</v>
      </c>
      <c r="P64" s="51">
        <f>+IFERROR(O64/Summary!O$19,"")</f>
        <v>0</v>
      </c>
      <c r="Q64" s="137">
        <f t="shared" si="45"/>
        <v>0</v>
      </c>
      <c r="R64" s="36">
        <v>63.66</v>
      </c>
      <c r="S64" s="51">
        <f>+IFERROR(R64/Summary!R$19,"")</f>
        <v>9.056183658653472E-6</v>
      </c>
      <c r="T64" s="137">
        <f t="shared" si="46"/>
        <v>-63.66</v>
      </c>
    </row>
    <row r="65" spans="2:20" x14ac:dyDescent="0.25">
      <c r="B65" s="14" t="s">
        <v>336</v>
      </c>
      <c r="C65" s="17" t="s">
        <v>378</v>
      </c>
      <c r="D65" s="36">
        <v>0</v>
      </c>
      <c r="E65" s="51">
        <f>+IFERROR(D65/Summary!D$19,"")</f>
        <v>0</v>
      </c>
      <c r="F65" s="36">
        <v>0</v>
      </c>
      <c r="G65" s="51">
        <f>+IFERROR(F65/Summary!F$19,"")</f>
        <v>0</v>
      </c>
      <c r="H65" s="137">
        <f t="shared" si="43"/>
        <v>0</v>
      </c>
      <c r="I65" s="36">
        <v>0</v>
      </c>
      <c r="J65" s="51">
        <f>+IFERROR(I65/Summary!I$19,"")</f>
        <v>0</v>
      </c>
      <c r="K65" s="137">
        <f t="shared" si="44"/>
        <v>0</v>
      </c>
      <c r="M65" s="36">
        <v>0</v>
      </c>
      <c r="N65" s="51">
        <f>+IFERROR(M65/Summary!M$19,"")</f>
        <v>0</v>
      </c>
      <c r="O65" s="36">
        <v>0</v>
      </c>
      <c r="P65" s="51">
        <f>+IFERROR(O65/Summary!O$19,"")</f>
        <v>0</v>
      </c>
      <c r="Q65" s="137">
        <f t="shared" si="45"/>
        <v>0</v>
      </c>
      <c r="R65" s="36">
        <v>0</v>
      </c>
      <c r="S65" s="51">
        <f>+IFERROR(R65/Summary!R$19,"")</f>
        <v>0</v>
      </c>
      <c r="T65" s="137">
        <f t="shared" si="46"/>
        <v>0</v>
      </c>
    </row>
    <row r="66" spans="2:20" x14ac:dyDescent="0.25">
      <c r="B66" s="14" t="s">
        <v>340</v>
      </c>
      <c r="C66" s="17" t="s">
        <v>493</v>
      </c>
      <c r="D66" s="90">
        <v>0</v>
      </c>
      <c r="E66" s="82">
        <f>+IFERROR(D66/Summary!D$19,"")</f>
        <v>0</v>
      </c>
      <c r="F66" s="90">
        <v>0</v>
      </c>
      <c r="G66" s="82">
        <f>+IFERROR(F66/Summary!F$19,"")</f>
        <v>0</v>
      </c>
      <c r="H66" s="139">
        <f t="shared" si="43"/>
        <v>0</v>
      </c>
      <c r="I66" s="36">
        <v>0</v>
      </c>
      <c r="J66" s="82">
        <f>+IFERROR(I66/Summary!I$19,"")</f>
        <v>0</v>
      </c>
      <c r="K66" s="139">
        <f t="shared" si="44"/>
        <v>0</v>
      </c>
      <c r="M66" s="90">
        <v>0</v>
      </c>
      <c r="N66" s="82">
        <f>+IFERROR(M66/Summary!M$19,"")</f>
        <v>0</v>
      </c>
      <c r="O66" s="90">
        <v>0</v>
      </c>
      <c r="P66" s="82">
        <f>+IFERROR(O66/Summary!O$19,"")</f>
        <v>0</v>
      </c>
      <c r="Q66" s="139">
        <f t="shared" si="45"/>
        <v>0</v>
      </c>
      <c r="R66" s="36">
        <v>0</v>
      </c>
      <c r="S66" s="82">
        <f>+IFERROR(R66/Summary!R$19,"")</f>
        <v>0</v>
      </c>
      <c r="T66" s="139">
        <f t="shared" si="46"/>
        <v>0</v>
      </c>
    </row>
    <row r="67" spans="2:20" x14ac:dyDescent="0.25">
      <c r="B67" s="14" t="s">
        <v>201</v>
      </c>
      <c r="C67" s="18" t="s">
        <v>425</v>
      </c>
      <c r="D67" s="91">
        <f t="shared" ref="D67:F67" si="47">SUM(D52:D66)</f>
        <v>5981.39</v>
      </c>
      <c r="E67" s="83">
        <f>+IFERROR(D67/Summary!D$19,"")</f>
        <v>5.1126194924230673E-3</v>
      </c>
      <c r="F67" s="86">
        <f t="shared" si="47"/>
        <v>6148.14</v>
      </c>
      <c r="G67" s="83">
        <f>+IFERROR(F67/Summary!F$19,"")</f>
        <v>4.4583290854599521E-3</v>
      </c>
      <c r="H67" s="140">
        <f t="shared" si="43"/>
        <v>-166.75</v>
      </c>
      <c r="I67" s="86">
        <f t="shared" ref="I67" si="48">SUM(I52:I66)</f>
        <v>6204.69</v>
      </c>
      <c r="J67" s="83">
        <f>+IFERROR(I67/Summary!I$19,"")</f>
        <v>5.3266165449215716E-3</v>
      </c>
      <c r="K67" s="140">
        <f t="shared" si="44"/>
        <v>-223.29999999999927</v>
      </c>
      <c r="M67" s="91">
        <f t="shared" ref="M67" si="49">SUM(M52:M66)</f>
        <v>36953.769999999997</v>
      </c>
      <c r="N67" s="83">
        <f>+IFERROR(M67/Summary!M$19,"")</f>
        <v>4.9541381952433313E-3</v>
      </c>
      <c r="O67" s="86">
        <f t="shared" ref="O67" si="50">SUM(O52:O66)</f>
        <v>39091.83</v>
      </c>
      <c r="P67" s="83">
        <f>+IFERROR(O67/Summary!O$19,"")</f>
        <v>4.8003982191515962E-3</v>
      </c>
      <c r="Q67" s="140">
        <f t="shared" si="45"/>
        <v>-2138.0600000000049</v>
      </c>
      <c r="R67" s="86">
        <f t="shared" ref="R67" si="51">SUM(R52:R66)</f>
        <v>38151.670000000006</v>
      </c>
      <c r="S67" s="83">
        <f>+IFERROR(R67/Summary!R$19,"")</f>
        <v>5.4274038706305372E-3</v>
      </c>
      <c r="T67" s="140">
        <f t="shared" si="46"/>
        <v>-1197.9000000000087</v>
      </c>
    </row>
    <row r="68" spans="2:20" x14ac:dyDescent="0.25">
      <c r="C68" s="16"/>
      <c r="D68" s="48"/>
      <c r="E68" s="32"/>
      <c r="F68" s="48"/>
      <c r="G68" s="32"/>
      <c r="H68" s="41"/>
      <c r="I68" s="48"/>
      <c r="J68" s="32"/>
      <c r="K68" s="41"/>
      <c r="M68" s="48"/>
      <c r="N68" s="32"/>
      <c r="O68" s="48"/>
      <c r="P68" s="32"/>
      <c r="Q68" s="41"/>
      <c r="R68" s="48"/>
      <c r="S68" s="32"/>
      <c r="T68" s="41"/>
    </row>
    <row r="69" spans="2:20" x14ac:dyDescent="0.25">
      <c r="B69" s="14" t="s">
        <v>284</v>
      </c>
      <c r="C69" s="18" t="s">
        <v>426</v>
      </c>
      <c r="D69" s="142">
        <f t="shared" ref="D69:F69" si="52">+D30+D49+D67</f>
        <v>11497.54</v>
      </c>
      <c r="E69" s="135">
        <f>+IFERROR(D69/Summary!D$19,"")</f>
        <v>9.8275730422048915E-3</v>
      </c>
      <c r="F69" s="170">
        <f t="shared" si="52"/>
        <v>12569.470000000001</v>
      </c>
      <c r="G69" s="135">
        <f>+IFERROR(F69/Summary!F$19,"")</f>
        <v>9.1147621377874119E-3</v>
      </c>
      <c r="H69" s="131">
        <f>+D69-F69</f>
        <v>-1071.9300000000003</v>
      </c>
      <c r="I69" s="170">
        <f t="shared" ref="I69" si="53">+I30+I49+I67</f>
        <v>15157.739999999998</v>
      </c>
      <c r="J69" s="135">
        <f>+IFERROR(I69/Summary!I$19,"")</f>
        <v>1.3012651505171008E-2</v>
      </c>
      <c r="K69" s="131">
        <f>+D69-I69</f>
        <v>-3660.1999999999971</v>
      </c>
      <c r="M69" s="142">
        <f t="shared" ref="M69" si="54">+M30+M49+M67</f>
        <v>91858.760000000009</v>
      </c>
      <c r="N69" s="135">
        <f>+IFERROR(M69/Summary!M$19,"")</f>
        <v>1.2314873191116642E-2</v>
      </c>
      <c r="O69" s="170">
        <f t="shared" ref="O69" si="55">+O30+O49+O67</f>
        <v>92205.48000000001</v>
      </c>
      <c r="P69" s="135">
        <f>+IFERROR(O69/Summary!O$19,"")</f>
        <v>1.1322647775456359E-2</v>
      </c>
      <c r="Q69" s="131">
        <f>+M69-O69</f>
        <v>-346.72000000000116</v>
      </c>
      <c r="R69" s="170">
        <f t="shared" ref="R69" si="56">+R30+R49+R67</f>
        <v>93203.200000000012</v>
      </c>
      <c r="S69" s="135">
        <f>+IFERROR(R69/Summary!R$19,"")</f>
        <v>1.3258958479016831E-2</v>
      </c>
      <c r="T69" s="131">
        <f>+M69-R69</f>
        <v>-1344.4400000000023</v>
      </c>
    </row>
    <row r="70" spans="2:20" ht="15.75" thickBot="1" x14ac:dyDescent="0.3">
      <c r="C70" s="18" t="s">
        <v>427</v>
      </c>
      <c r="D70" s="143">
        <f t="shared" ref="D70" si="57">0-D69</f>
        <v>-11497.54</v>
      </c>
      <c r="E70" s="213">
        <f>+IFERROR(D70/Summary!D$19,"")</f>
        <v>-9.8275730422048915E-3</v>
      </c>
      <c r="F70" s="143">
        <f t="shared" ref="F70" si="58">0-F69</f>
        <v>-12569.470000000001</v>
      </c>
      <c r="G70" s="213">
        <f>+IFERROR(F70/Summary!F$19,"")</f>
        <v>-9.1147621377874119E-3</v>
      </c>
      <c r="H70" s="132">
        <f>+D70-F70</f>
        <v>1071.9300000000003</v>
      </c>
      <c r="I70" s="143">
        <f t="shared" ref="I70" si="59">0-I69</f>
        <v>-15157.739999999998</v>
      </c>
      <c r="J70" s="213">
        <f>+IFERROR(I70/Summary!I$19,"")</f>
        <v>-1.3012651505171008E-2</v>
      </c>
      <c r="K70" s="132">
        <f>+D70-I70</f>
        <v>3660.1999999999971</v>
      </c>
      <c r="M70" s="143">
        <f t="shared" ref="M70" si="60">0-M69</f>
        <v>-91858.760000000009</v>
      </c>
      <c r="N70" s="213">
        <f>+IFERROR(M70/Summary!M$19,"")</f>
        <v>-1.2314873191116642E-2</v>
      </c>
      <c r="O70" s="143">
        <f t="shared" ref="O70" si="61">0-O69</f>
        <v>-92205.48000000001</v>
      </c>
      <c r="P70" s="213">
        <f>+IFERROR(O70/Summary!O$19,"")</f>
        <v>-1.1322647775456359E-2</v>
      </c>
      <c r="Q70" s="132">
        <f>+M70-O70</f>
        <v>346.72000000000116</v>
      </c>
      <c r="R70" s="143">
        <f t="shared" ref="R70" si="62">0-R69</f>
        <v>-93203.200000000012</v>
      </c>
      <c r="S70" s="213">
        <f>+IFERROR(R70/Summary!R$19,"")</f>
        <v>-1.3258958479016831E-2</v>
      </c>
      <c r="T70" s="132">
        <f>+M70-R70</f>
        <v>1344.4400000000023</v>
      </c>
    </row>
    <row r="71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3C7B-8FAE-4D9A-AB65-AF7B82B19A49}">
  <dimension ref="B1:V61"/>
  <sheetViews>
    <sheetView showGridLines="0" zoomScale="80" zoomScaleNormal="80" workbookViewId="0">
      <pane xSplit="3" ySplit="8" topLeftCell="D48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405</v>
      </c>
      <c r="D9" s="48"/>
      <c r="E9" s="49"/>
      <c r="F9" s="179"/>
      <c r="G9" s="16"/>
      <c r="H9" s="49"/>
      <c r="I9" s="179"/>
      <c r="J9" s="16"/>
      <c r="K9" s="49"/>
      <c r="M9" s="48"/>
      <c r="N9" s="49"/>
      <c r="O9" s="179"/>
      <c r="P9" s="16"/>
      <c r="Q9" s="49"/>
      <c r="R9" s="179"/>
      <c r="S9" s="16"/>
      <c r="T9" s="49"/>
    </row>
    <row r="10" spans="2:22" x14ac:dyDescent="0.25">
      <c r="B10" s="14"/>
      <c r="C10" s="22" t="s">
        <v>406</v>
      </c>
      <c r="D10" s="48"/>
      <c r="E10" s="49"/>
      <c r="F10" s="77"/>
      <c r="G10" s="16"/>
      <c r="H10" s="49"/>
      <c r="I10" s="77"/>
      <c r="J10" s="16"/>
      <c r="K10" s="49"/>
      <c r="M10" s="48"/>
      <c r="N10" s="49"/>
      <c r="O10" s="77"/>
      <c r="P10" s="16"/>
      <c r="Q10" s="49"/>
      <c r="R10" s="77"/>
      <c r="S10" s="16"/>
      <c r="T10" s="49"/>
    </row>
    <row r="11" spans="2:22" x14ac:dyDescent="0.25">
      <c r="B11" s="14" t="s">
        <v>235</v>
      </c>
      <c r="C11" s="17" t="s">
        <v>407</v>
      </c>
      <c r="D11" s="36">
        <v>15486.38</v>
      </c>
      <c r="E11" s="51">
        <f>+IFERROR(D11/Summary!D$19,"")</f>
        <v>1.3237051630987234E-2</v>
      </c>
      <c r="F11" s="36">
        <v>23949.119999999999</v>
      </c>
      <c r="G11" s="51">
        <f>+IFERROR(F11/Summary!F$19,"")</f>
        <v>1.7366725264416658E-2</v>
      </c>
      <c r="H11" s="137">
        <f>+D11-F11</f>
        <v>-8462.74</v>
      </c>
      <c r="I11" s="36">
        <v>23901.95</v>
      </c>
      <c r="J11" s="51">
        <f>+IFERROR(I11/Summary!I$19,"")</f>
        <v>2.0519401021789674E-2</v>
      </c>
      <c r="K11" s="137">
        <f>+D11-I11</f>
        <v>-8415.5700000000015</v>
      </c>
      <c r="M11" s="36">
        <v>98317.45</v>
      </c>
      <c r="N11" s="51">
        <f>+IFERROR(M11/Summary!M$19,"")</f>
        <v>1.318074540984388E-2</v>
      </c>
      <c r="O11" s="36">
        <v>119811.04</v>
      </c>
      <c r="P11" s="51">
        <f>+IFERROR(O11/Summary!O$19,"")</f>
        <v>1.4712555105522064E-2</v>
      </c>
      <c r="Q11" s="137">
        <f>+M11-O11</f>
        <v>-21493.589999999997</v>
      </c>
      <c r="R11" s="36">
        <v>116286.22</v>
      </c>
      <c r="S11" s="51">
        <f>+IFERROR(R11/Summary!R$19,"")</f>
        <v>1.6542717016817195E-2</v>
      </c>
      <c r="T11" s="137">
        <f>+M11-R11</f>
        <v>-17968.770000000004</v>
      </c>
    </row>
    <row r="12" spans="2:22" x14ac:dyDescent="0.25">
      <c r="C12" s="18" t="s">
        <v>408</v>
      </c>
      <c r="D12" s="36"/>
      <c r="E12" s="51">
        <f>+IFERROR(D12/Summary!D$19,"")</f>
        <v>0</v>
      </c>
      <c r="F12" s="36"/>
      <c r="G12" s="51">
        <f>+IFERROR(F12/Summary!F$19,"")</f>
        <v>0</v>
      </c>
      <c r="H12" s="166"/>
      <c r="I12" s="36"/>
      <c r="J12" s="51"/>
      <c r="K12" s="166"/>
      <c r="M12" s="36"/>
      <c r="N12" s="51">
        <f>+IFERROR(M12/Summary!M$19,"")</f>
        <v>0</v>
      </c>
      <c r="O12" s="36"/>
      <c r="P12" s="51">
        <f>+IFERROR(O12/Summary!O$19,"")</f>
        <v>0</v>
      </c>
      <c r="Q12" s="166"/>
      <c r="R12" s="36"/>
      <c r="S12" s="51"/>
      <c r="T12" s="166"/>
    </row>
    <row r="13" spans="2:22" x14ac:dyDescent="0.25">
      <c r="B13" s="14" t="s">
        <v>240</v>
      </c>
      <c r="C13" s="17" t="s">
        <v>503</v>
      </c>
      <c r="D13" s="106">
        <v>2371</v>
      </c>
      <c r="E13" s="107">
        <f>+IFERROR(D13/Summary!D$19,"")</f>
        <v>2.0266227108640452E-3</v>
      </c>
      <c r="F13" s="106">
        <v>1997.29</v>
      </c>
      <c r="G13" s="107">
        <f>+IFERROR(F13/Summary!F$19,"")</f>
        <v>1.4483365862030316E-3</v>
      </c>
      <c r="H13" s="137">
        <f t="shared" ref="H13:H23" si="0">+D13-F13</f>
        <v>373.71000000000004</v>
      </c>
      <c r="I13" s="36">
        <v>4774.22</v>
      </c>
      <c r="J13" s="107">
        <f>+IFERROR(I13/Summary!I$19,"")</f>
        <v>4.0985833685640164E-3</v>
      </c>
      <c r="K13" s="137">
        <f t="shared" ref="K13:K23" si="1">+D13-I13</f>
        <v>-2403.2200000000003</v>
      </c>
      <c r="M13" s="106">
        <v>13549.25</v>
      </c>
      <c r="N13" s="107">
        <f>+IFERROR(M13/Summary!M$19,"")</f>
        <v>1.816454909523459E-3</v>
      </c>
      <c r="O13" s="106">
        <v>11615.06</v>
      </c>
      <c r="P13" s="107">
        <f>+IFERROR(O13/Summary!O$19,"")</f>
        <v>1.426306042447717E-3</v>
      </c>
      <c r="Q13" s="137">
        <f t="shared" ref="Q13:Q23" si="2">+M13-O13</f>
        <v>1934.1900000000005</v>
      </c>
      <c r="R13" s="36">
        <v>18994.88</v>
      </c>
      <c r="S13" s="107">
        <f>+IFERROR(R13/Summary!R$19,"")</f>
        <v>2.7021853888483144E-3</v>
      </c>
      <c r="T13" s="137">
        <f t="shared" ref="T13:T23" si="3">+M13-R13</f>
        <v>-5445.630000000001</v>
      </c>
    </row>
    <row r="14" spans="2:22" x14ac:dyDescent="0.25">
      <c r="B14" s="14" t="s">
        <v>302</v>
      </c>
      <c r="C14" s="23" t="s">
        <v>411</v>
      </c>
      <c r="D14" s="103">
        <f t="shared" ref="D14" si="4">D11+D13</f>
        <v>17857.379999999997</v>
      </c>
      <c r="E14" s="104">
        <f>+IFERROR(D14/Summary!D$19,"")</f>
        <v>1.5263674341851278E-2</v>
      </c>
      <c r="F14" s="103">
        <f>F11+F13</f>
        <v>25946.41</v>
      </c>
      <c r="G14" s="104">
        <f>+IFERROR(F14/Summary!F$19,"")</f>
        <v>1.881506185061969E-2</v>
      </c>
      <c r="H14" s="154">
        <f t="shared" si="0"/>
        <v>-8089.0300000000025</v>
      </c>
      <c r="I14" s="103">
        <f>I11+I13</f>
        <v>28676.170000000002</v>
      </c>
      <c r="J14" s="104">
        <f>+IFERROR(I14/Summary!I$19,"")</f>
        <v>2.4617984390353693E-2</v>
      </c>
      <c r="K14" s="154">
        <f t="shared" si="1"/>
        <v>-10818.790000000005</v>
      </c>
      <c r="M14" s="103">
        <f t="shared" ref="M14" si="5">M11+M13</f>
        <v>111866.7</v>
      </c>
      <c r="N14" s="104">
        <f>+IFERROR(M14/Summary!M$19,"")</f>
        <v>1.499720031936734E-2</v>
      </c>
      <c r="O14" s="103">
        <f>O11+O13</f>
        <v>131426.1</v>
      </c>
      <c r="P14" s="104">
        <f>+IFERROR(O14/Summary!O$19,"")</f>
        <v>1.6138861147969783E-2</v>
      </c>
      <c r="Q14" s="154">
        <f t="shared" si="2"/>
        <v>-19559.400000000009</v>
      </c>
      <c r="R14" s="103">
        <f>R11+R13</f>
        <v>135281.1</v>
      </c>
      <c r="S14" s="104">
        <f>+IFERROR(R14/Summary!R$19,"")</f>
        <v>1.9244902405665509E-2</v>
      </c>
      <c r="T14" s="154">
        <f t="shared" si="3"/>
        <v>-23414.400000000009</v>
      </c>
    </row>
    <row r="15" spans="2:22" x14ac:dyDescent="0.25">
      <c r="B15" s="14" t="s">
        <v>677</v>
      </c>
      <c r="C15" s="17" t="s">
        <v>558</v>
      </c>
      <c r="D15" s="161">
        <v>0</v>
      </c>
      <c r="E15" s="222">
        <f>+IFERROR(D15/Summary!D$19,"")</f>
        <v>0</v>
      </c>
      <c r="F15" s="161">
        <v>0</v>
      </c>
      <c r="G15" s="222">
        <f>+IFERROR(F15/Summary!F$19,"")</f>
        <v>0</v>
      </c>
      <c r="H15" s="167">
        <f t="shared" si="0"/>
        <v>0</v>
      </c>
      <c r="I15" s="36">
        <v>0</v>
      </c>
      <c r="J15" s="222">
        <f>+IFERROR(I15/Summary!I$19,"")</f>
        <v>0</v>
      </c>
      <c r="K15" s="167">
        <f t="shared" si="1"/>
        <v>0</v>
      </c>
      <c r="M15" s="161">
        <v>0</v>
      </c>
      <c r="N15" s="222">
        <f>+IFERROR(M15/Summary!M$19,"")</f>
        <v>0</v>
      </c>
      <c r="O15" s="161">
        <v>0</v>
      </c>
      <c r="P15" s="222">
        <f>+IFERROR(O15/Summary!O$19,"")</f>
        <v>0</v>
      </c>
      <c r="Q15" s="167">
        <f t="shared" si="2"/>
        <v>0</v>
      </c>
      <c r="R15" s="36">
        <v>0</v>
      </c>
      <c r="S15" s="222">
        <f>+IFERROR(R15/Summary!R$19,"")</f>
        <v>0</v>
      </c>
      <c r="T15" s="167">
        <f t="shared" si="3"/>
        <v>0</v>
      </c>
    </row>
    <row r="16" spans="2:22" x14ac:dyDescent="0.25">
      <c r="B16" s="14" t="s">
        <v>661</v>
      </c>
      <c r="C16" s="17" t="s">
        <v>412</v>
      </c>
      <c r="D16" s="36">
        <v>4865</v>
      </c>
      <c r="E16" s="51">
        <f>+IFERROR(D16/Summary!D$19,"")</f>
        <v>4.1583802144047159E-3</v>
      </c>
      <c r="F16" s="36">
        <v>3500</v>
      </c>
      <c r="G16" s="51">
        <f>+IFERROR(F16/Summary!F$19,"")</f>
        <v>2.5380280538682969E-3</v>
      </c>
      <c r="H16" s="217">
        <f t="shared" si="0"/>
        <v>1365</v>
      </c>
      <c r="I16" s="36">
        <v>3500</v>
      </c>
      <c r="J16" s="51">
        <f>+IFERROR(I16/Summary!I$19,"")</f>
        <v>3.0046880516553611E-3</v>
      </c>
      <c r="K16" s="217">
        <f t="shared" si="1"/>
        <v>1365</v>
      </c>
      <c r="M16" s="36">
        <v>18865</v>
      </c>
      <c r="N16" s="51">
        <f>+IFERROR(M16/Summary!M$19,"")</f>
        <v>2.5291010106212562E-3</v>
      </c>
      <c r="O16" s="36">
        <v>17500</v>
      </c>
      <c r="P16" s="51">
        <f>+IFERROR(O16/Summary!O$19,"")</f>
        <v>2.1489648562155552E-3</v>
      </c>
      <c r="Q16" s="217">
        <f t="shared" si="2"/>
        <v>1365</v>
      </c>
      <c r="R16" s="36">
        <v>17500</v>
      </c>
      <c r="S16" s="51">
        <f>+IFERROR(R16/Summary!R$19,"")</f>
        <v>2.4895258251089502E-3</v>
      </c>
      <c r="T16" s="217">
        <f t="shared" si="3"/>
        <v>1365</v>
      </c>
    </row>
    <row r="17" spans="2:20" x14ac:dyDescent="0.25">
      <c r="B17" s="14" t="s">
        <v>251</v>
      </c>
      <c r="C17" s="17" t="s">
        <v>413</v>
      </c>
      <c r="D17" s="106">
        <v>3570.67</v>
      </c>
      <c r="E17" s="107">
        <f>+IFERROR(D17/Summary!D$19,"")</f>
        <v>3.05204593631418E-3</v>
      </c>
      <c r="F17" s="106">
        <v>6203.73</v>
      </c>
      <c r="G17" s="107">
        <f>+IFERROR(F17/Summary!F$19,"")</f>
        <v>4.4986402224641052E-3</v>
      </c>
      <c r="H17" s="153">
        <f t="shared" si="0"/>
        <v>-2633.0599999999995</v>
      </c>
      <c r="I17" s="36">
        <v>2762.76</v>
      </c>
      <c r="J17" s="107">
        <f>+IFERROR(I17/Summary!I$19,"")</f>
        <v>2.3717805604546761E-3</v>
      </c>
      <c r="K17" s="153">
        <f t="shared" si="1"/>
        <v>807.90999999999985</v>
      </c>
      <c r="M17" s="106">
        <v>14405.9</v>
      </c>
      <c r="N17" s="107">
        <f>+IFERROR(M17/Summary!M$19,"")</f>
        <v>1.9313000927065334E-3</v>
      </c>
      <c r="O17" s="106">
        <v>30564.720000000001</v>
      </c>
      <c r="P17" s="107">
        <f>+IFERROR(O17/Summary!O$19,"")</f>
        <v>3.7532862354324975E-3</v>
      </c>
      <c r="Q17" s="153">
        <f t="shared" si="2"/>
        <v>-16158.820000000002</v>
      </c>
      <c r="R17" s="36">
        <v>13804</v>
      </c>
      <c r="S17" s="107">
        <f>+IFERROR(R17/Summary!R$19,"")</f>
        <v>1.9637379708459402E-3</v>
      </c>
      <c r="T17" s="153">
        <f t="shared" si="3"/>
        <v>601.89999999999964</v>
      </c>
    </row>
    <row r="18" spans="2:20" x14ac:dyDescent="0.25">
      <c r="B18" s="14"/>
      <c r="C18" s="23" t="s">
        <v>414</v>
      </c>
      <c r="D18" s="103">
        <f t="shared" ref="D18" si="6">+D14+SUM(D15:D17)</f>
        <v>26293.049999999996</v>
      </c>
      <c r="E18" s="104">
        <f>+IFERROR(D18/Summary!D$19,"")</f>
        <v>2.2474100492570172E-2</v>
      </c>
      <c r="F18" s="103">
        <f t="shared" ref="F18" si="7">+F14+SUM(F15:F17)</f>
        <v>35650.14</v>
      </c>
      <c r="G18" s="104">
        <f>+IFERROR(F18/Summary!F$19,"")</f>
        <v>2.5851730126952091E-2</v>
      </c>
      <c r="H18" s="154">
        <f t="shared" si="0"/>
        <v>-9357.0900000000038</v>
      </c>
      <c r="I18" s="103">
        <f>+I14+SUM(I15:I17)</f>
        <v>34938.93</v>
      </c>
      <c r="J18" s="104">
        <f>+IFERROR(I18/Summary!I$19,"")</f>
        <v>2.9994453002463728E-2</v>
      </c>
      <c r="K18" s="154">
        <f t="shared" si="1"/>
        <v>-8645.8800000000047</v>
      </c>
      <c r="M18" s="103">
        <f t="shared" ref="M18" si="8">+M14+SUM(M15:M17)</f>
        <v>145137.60000000001</v>
      </c>
      <c r="N18" s="104">
        <f>+IFERROR(M18/Summary!M$19,"")</f>
        <v>1.945760142269513E-2</v>
      </c>
      <c r="O18" s="103">
        <f t="shared" ref="O18" si="9">+O14+SUM(O15:O17)</f>
        <v>179490.82</v>
      </c>
      <c r="P18" s="104">
        <f>+IFERROR(O18/Summary!O$19,"")</f>
        <v>2.2041112239617838E-2</v>
      </c>
      <c r="Q18" s="154">
        <f t="shared" si="2"/>
        <v>-34353.22</v>
      </c>
      <c r="R18" s="103">
        <f>+R14+SUM(R15:R17)</f>
        <v>166585.1</v>
      </c>
      <c r="S18" s="104">
        <f>+IFERROR(R18/Summary!R$19,"")</f>
        <v>2.3698166201620401E-2</v>
      </c>
      <c r="T18" s="154">
        <f t="shared" si="3"/>
        <v>-21447.5</v>
      </c>
    </row>
    <row r="19" spans="2:20" x14ac:dyDescent="0.25">
      <c r="B19" s="14" t="s">
        <v>297</v>
      </c>
      <c r="C19" s="17" t="s">
        <v>415</v>
      </c>
      <c r="D19" s="106">
        <v>1841.1</v>
      </c>
      <c r="E19" s="107">
        <f>+IFERROR(D19/Summary!D$19,"")</f>
        <v>1.5736883479425532E-3</v>
      </c>
      <c r="F19" s="106">
        <v>2609.71</v>
      </c>
      <c r="G19" s="107">
        <f>+IFERROR(F19/Summary!F$19,"")</f>
        <v>1.8924334835601808E-3</v>
      </c>
      <c r="H19" s="217">
        <f t="shared" si="0"/>
        <v>-768.61000000000013</v>
      </c>
      <c r="I19" s="36">
        <v>2108.61</v>
      </c>
      <c r="J19" s="107">
        <f>+IFERROR(I19/Summary!I$19,"")</f>
        <v>1.8102043636002889E-3</v>
      </c>
      <c r="K19" s="217">
        <f t="shared" si="1"/>
        <v>-267.51000000000022</v>
      </c>
      <c r="M19" s="106">
        <v>9370.7199999999993</v>
      </c>
      <c r="N19" s="107">
        <f>+IFERROR(M19/Summary!M$19,"")</f>
        <v>1.2562680849323518E-3</v>
      </c>
      <c r="O19" s="106">
        <v>13054.37</v>
      </c>
      <c r="P19" s="107">
        <f>+IFERROR(O19/Summary!O$19,"")</f>
        <v>1.6030504200019806E-3</v>
      </c>
      <c r="Q19" s="217">
        <f t="shared" si="2"/>
        <v>-3683.6500000000015</v>
      </c>
      <c r="R19" s="36">
        <v>10981.21</v>
      </c>
      <c r="S19" s="107">
        <f>+IFERROR(R19/Summary!R$19,"")</f>
        <v>1.5621717649111232E-3</v>
      </c>
      <c r="T19" s="217">
        <f t="shared" si="3"/>
        <v>-1610.4899999999998</v>
      </c>
    </row>
    <row r="20" spans="2:20" x14ac:dyDescent="0.25">
      <c r="B20" s="14" t="s">
        <v>309</v>
      </c>
      <c r="C20" s="17" t="s">
        <v>360</v>
      </c>
      <c r="D20" s="36">
        <v>3071.35</v>
      </c>
      <c r="E20" s="51">
        <f>+IFERROR(D20/Summary!D$19,"")</f>
        <v>2.6252499633118032E-3</v>
      </c>
      <c r="F20" s="36">
        <v>3133.69</v>
      </c>
      <c r="G20" s="51">
        <f>+IFERROR(F20/Summary!F$19,"")</f>
        <v>2.2723980377504409E-3</v>
      </c>
      <c r="H20" s="217">
        <f t="shared" si="0"/>
        <v>-62.340000000000146</v>
      </c>
      <c r="I20" s="36">
        <v>3230.7</v>
      </c>
      <c r="J20" s="51">
        <f>+IFERROR(I20/Summary!I$19,"")</f>
        <v>2.7734987681379926E-3</v>
      </c>
      <c r="K20" s="217">
        <f t="shared" si="1"/>
        <v>-159.34999999999991</v>
      </c>
      <c r="M20" s="36">
        <v>12767.15</v>
      </c>
      <c r="N20" s="51">
        <f>+IFERROR(M20/Summary!M$19,"")</f>
        <v>1.7116041329315224E-3</v>
      </c>
      <c r="O20" s="36">
        <v>14702.53</v>
      </c>
      <c r="P20" s="51">
        <f>+IFERROR(O20/Summary!O$19,"")</f>
        <v>1.8054411581402794E-3</v>
      </c>
      <c r="Q20" s="217">
        <f t="shared" si="2"/>
        <v>-1935.380000000001</v>
      </c>
      <c r="R20" s="36">
        <v>12888.99</v>
      </c>
      <c r="S20" s="51">
        <f>+IFERROR(R20/Summary!R$19,"")</f>
        <v>1.8335699122612006E-3</v>
      </c>
      <c r="T20" s="217">
        <f t="shared" si="3"/>
        <v>-121.84000000000015</v>
      </c>
    </row>
    <row r="21" spans="2:20" x14ac:dyDescent="0.25">
      <c r="B21" s="14" t="s">
        <v>269</v>
      </c>
      <c r="C21" s="17" t="s">
        <v>361</v>
      </c>
      <c r="D21" s="106">
        <v>4981</v>
      </c>
      <c r="E21" s="107">
        <f>+IFERROR(D21/Summary!D$19,"")</f>
        <v>4.2575317261973047E-3</v>
      </c>
      <c r="F21" s="106">
        <v>4810.28</v>
      </c>
      <c r="G21" s="107">
        <f>+IFERROR(F21/Summary!F$19,"")</f>
        <v>3.4881787391318831E-3</v>
      </c>
      <c r="H21" s="153">
        <f t="shared" si="0"/>
        <v>170.72000000000025</v>
      </c>
      <c r="I21" s="36">
        <v>3504.52</v>
      </c>
      <c r="J21" s="107">
        <f>+IFERROR(I21/Summary!I$19,"")</f>
        <v>3.0085683916534988E-3</v>
      </c>
      <c r="K21" s="153">
        <f t="shared" si="1"/>
        <v>1476.48</v>
      </c>
      <c r="M21" s="106">
        <v>17960.59</v>
      </c>
      <c r="N21" s="107">
        <f>+IFERROR(M21/Summary!M$19,"")</f>
        <v>2.4078529721894529E-3</v>
      </c>
      <c r="O21" s="106">
        <v>24140.89</v>
      </c>
      <c r="P21" s="107">
        <f>+IFERROR(O21/Summary!O$19,"")</f>
        <v>2.9644528118723161E-3</v>
      </c>
      <c r="Q21" s="153">
        <f t="shared" si="2"/>
        <v>-6180.2999999999993</v>
      </c>
      <c r="R21" s="36">
        <v>23030.400000000001</v>
      </c>
      <c r="S21" s="107">
        <f>+IFERROR(R21/Summary!R$19,"")</f>
        <v>3.27627288929081E-3</v>
      </c>
      <c r="T21" s="153">
        <f t="shared" si="3"/>
        <v>-5069.8100000000013</v>
      </c>
    </row>
    <row r="22" spans="2:20" x14ac:dyDescent="0.25">
      <c r="B22" s="14" t="s">
        <v>291</v>
      </c>
      <c r="C22" s="23" t="s">
        <v>416</v>
      </c>
      <c r="D22" s="103">
        <f t="shared" ref="D22" si="10">SUM(D19:D21)</f>
        <v>9893.4500000000007</v>
      </c>
      <c r="E22" s="125">
        <f>+IFERROR(D22/Summary!D$19,"")</f>
        <v>8.4564700374516622E-3</v>
      </c>
      <c r="F22" s="103">
        <f t="shared" ref="F22" si="11">SUM(F19:F21)</f>
        <v>10553.68</v>
      </c>
      <c r="G22" s="125">
        <f>+IFERROR(F22/Summary!F$19,"")</f>
        <v>7.6530102604425053E-3</v>
      </c>
      <c r="H22" s="168">
        <f t="shared" si="0"/>
        <v>-660.22999999999956</v>
      </c>
      <c r="I22" s="103">
        <f t="shared" ref="I22" si="12">SUM(I19:I21)</f>
        <v>8843.83</v>
      </c>
      <c r="J22" s="125">
        <f>+IFERROR(I22/Summary!I$19,"")</f>
        <v>7.5922715233917807E-3</v>
      </c>
      <c r="K22" s="168">
        <f t="shared" si="1"/>
        <v>1049.6200000000008</v>
      </c>
      <c r="M22" s="103">
        <f t="shared" ref="M22" si="13">SUM(M19:M21)</f>
        <v>40098.46</v>
      </c>
      <c r="N22" s="125">
        <f>+IFERROR(M22/Summary!M$19,"")</f>
        <v>5.3757251900533268E-3</v>
      </c>
      <c r="O22" s="103">
        <f t="shared" ref="O22" si="14">SUM(O19:O21)</f>
        <v>51897.79</v>
      </c>
      <c r="P22" s="125">
        <f>+IFERROR(O22/Summary!O$19,"")</f>
        <v>6.3729443900145764E-3</v>
      </c>
      <c r="Q22" s="168">
        <f t="shared" si="2"/>
        <v>-11799.330000000002</v>
      </c>
      <c r="R22" s="103">
        <f t="shared" ref="R22" si="15">SUM(R19:R21)</f>
        <v>46900.6</v>
      </c>
      <c r="S22" s="125">
        <f>+IFERROR(R22/Summary!R$19,"")</f>
        <v>6.6720145664631329E-3</v>
      </c>
      <c r="T22" s="168">
        <f t="shared" si="3"/>
        <v>-6802.1399999999994</v>
      </c>
    </row>
    <row r="23" spans="2:20" x14ac:dyDescent="0.25">
      <c r="B23" s="14" t="s">
        <v>276</v>
      </c>
      <c r="C23" s="23" t="s">
        <v>417</v>
      </c>
      <c r="D23" s="91">
        <f t="shared" ref="D23" si="16">+D18+D22</f>
        <v>36186.5</v>
      </c>
      <c r="E23" s="126">
        <f>+IFERROR(D23/Summary!D$19,"")</f>
        <v>3.0930570530021836E-2</v>
      </c>
      <c r="F23" s="91">
        <f t="shared" ref="F23" si="17">+F18+F22</f>
        <v>46203.82</v>
      </c>
      <c r="G23" s="126">
        <f>+IFERROR(F23/Summary!F$19,"")</f>
        <v>3.3504740387394601E-2</v>
      </c>
      <c r="H23" s="140">
        <f t="shared" si="0"/>
        <v>-10017.32</v>
      </c>
      <c r="I23" s="91">
        <f t="shared" ref="I23" si="18">+I18+I22</f>
        <v>43782.76</v>
      </c>
      <c r="J23" s="126">
        <f>+IFERROR(I23/Summary!I$19,"")</f>
        <v>3.7586724525855507E-2</v>
      </c>
      <c r="K23" s="140">
        <f t="shared" si="1"/>
        <v>-7596.260000000002</v>
      </c>
      <c r="M23" s="91">
        <f t="shared" ref="M23" si="19">+M18+M22</f>
        <v>185236.06</v>
      </c>
      <c r="N23" s="126">
        <f>+IFERROR(M23/Summary!M$19,"")</f>
        <v>2.4833326612748455E-2</v>
      </c>
      <c r="O23" s="91">
        <f t="shared" ref="O23" si="20">+O18+O22</f>
        <v>231388.61000000002</v>
      </c>
      <c r="P23" s="126">
        <f>+IFERROR(O23/Summary!O$19,"")</f>
        <v>2.8414056629632412E-2</v>
      </c>
      <c r="Q23" s="140">
        <f t="shared" si="2"/>
        <v>-46152.550000000017</v>
      </c>
      <c r="R23" s="91">
        <f t="shared" ref="R23" si="21">+R18+R22</f>
        <v>213485.7</v>
      </c>
      <c r="S23" s="126">
        <f>+IFERROR(R23/Summary!R$19,"")</f>
        <v>3.0370180768083534E-2</v>
      </c>
      <c r="T23" s="140">
        <f t="shared" si="3"/>
        <v>-28249.640000000014</v>
      </c>
    </row>
    <row r="24" spans="2:20" x14ac:dyDescent="0.25">
      <c r="B24" s="14"/>
      <c r="C24" s="18"/>
      <c r="D24" s="179"/>
      <c r="E24" s="53"/>
      <c r="F24" s="277"/>
      <c r="G24" s="32"/>
      <c r="H24" s="79"/>
      <c r="I24" s="20"/>
      <c r="J24" s="32"/>
      <c r="K24" s="79"/>
      <c r="M24" s="179"/>
      <c r="N24" s="53"/>
      <c r="O24" s="277"/>
      <c r="P24" s="32"/>
      <c r="Q24" s="79"/>
      <c r="R24" s="20"/>
      <c r="S24" s="32"/>
      <c r="T24" s="79"/>
    </row>
    <row r="25" spans="2:20" x14ac:dyDescent="0.25">
      <c r="B25" s="14"/>
      <c r="C25" s="15" t="s">
        <v>51</v>
      </c>
      <c r="D25" s="48"/>
      <c r="E25" s="214"/>
      <c r="F25" s="77"/>
      <c r="G25" s="99"/>
      <c r="H25" s="101"/>
      <c r="I25" s="16"/>
      <c r="J25" s="99"/>
      <c r="K25" s="101"/>
      <c r="M25" s="48"/>
      <c r="N25" s="214"/>
      <c r="O25" s="77"/>
      <c r="P25" s="99"/>
      <c r="Q25" s="101"/>
      <c r="R25" s="16"/>
      <c r="S25" s="99"/>
      <c r="T25" s="101"/>
    </row>
    <row r="26" spans="2:20" x14ac:dyDescent="0.25">
      <c r="B26" s="14" t="s">
        <v>71</v>
      </c>
      <c r="C26" s="17" t="s">
        <v>487</v>
      </c>
      <c r="D26" s="36">
        <v>0</v>
      </c>
      <c r="E26" s="51">
        <f>+IFERROR(D26/Summary!D$19,"")</f>
        <v>0</v>
      </c>
      <c r="F26" s="36">
        <v>0</v>
      </c>
      <c r="G26" s="51">
        <f>+IFERROR(F26/Summary!F$19,"")</f>
        <v>0</v>
      </c>
      <c r="H26" s="137">
        <f t="shared" ref="H26:H57" si="22">+D26-F26</f>
        <v>0</v>
      </c>
      <c r="I26" s="36">
        <v>0</v>
      </c>
      <c r="J26" s="51">
        <f>+IFERROR(I26/Summary!I$19,"")</f>
        <v>0</v>
      </c>
      <c r="K26" s="137">
        <f t="shared" ref="K26:K57" si="23">+D26-I26</f>
        <v>0</v>
      </c>
      <c r="M26" s="36">
        <v>0</v>
      </c>
      <c r="N26" s="51">
        <f>+IFERROR(M26/Summary!M$19,"")</f>
        <v>0</v>
      </c>
      <c r="O26" s="36">
        <v>0</v>
      </c>
      <c r="P26" s="51">
        <f>+IFERROR(O26/Summary!O$19,"")</f>
        <v>0</v>
      </c>
      <c r="Q26" s="137">
        <f t="shared" ref="Q26:Q57" si="24">+M26-O26</f>
        <v>0</v>
      </c>
      <c r="R26" s="36">
        <v>0</v>
      </c>
      <c r="S26" s="51">
        <f>+IFERROR(R26/Summary!R$19,"")</f>
        <v>0</v>
      </c>
      <c r="T26" s="137">
        <f t="shared" ref="T26:T57" si="25">+M26-R26</f>
        <v>0</v>
      </c>
    </row>
    <row r="27" spans="2:20" x14ac:dyDescent="0.25">
      <c r="B27" s="14" t="s">
        <v>105</v>
      </c>
      <c r="C27" s="17" t="s">
        <v>366</v>
      </c>
      <c r="D27" s="36">
        <v>0</v>
      </c>
      <c r="E27" s="51">
        <f>+IFERROR(D27/Summary!D$19,"")</f>
        <v>0</v>
      </c>
      <c r="F27" s="36">
        <v>0</v>
      </c>
      <c r="G27" s="51">
        <f>+IFERROR(F27/Summary!F$19,"")</f>
        <v>0</v>
      </c>
      <c r="H27" s="137">
        <f t="shared" si="22"/>
        <v>0</v>
      </c>
      <c r="I27" s="36">
        <v>0</v>
      </c>
      <c r="J27" s="51">
        <f>+IFERROR(I27/Summary!I$19,"")</f>
        <v>0</v>
      </c>
      <c r="K27" s="137">
        <f t="shared" si="23"/>
        <v>0</v>
      </c>
      <c r="M27" s="36">
        <v>0</v>
      </c>
      <c r="N27" s="51">
        <f>+IFERROR(M27/Summary!M$19,"")</f>
        <v>0</v>
      </c>
      <c r="O27" s="36">
        <v>0</v>
      </c>
      <c r="P27" s="51">
        <f>+IFERROR(O27/Summary!O$19,"")</f>
        <v>0</v>
      </c>
      <c r="Q27" s="137">
        <f t="shared" si="24"/>
        <v>0</v>
      </c>
      <c r="R27" s="36">
        <v>0</v>
      </c>
      <c r="S27" s="51">
        <f>+IFERROR(R27/Summary!R$19,"")</f>
        <v>0</v>
      </c>
      <c r="T27" s="137">
        <f t="shared" si="25"/>
        <v>0</v>
      </c>
    </row>
    <row r="28" spans="2:20" x14ac:dyDescent="0.25">
      <c r="B28" s="14" t="s">
        <v>112</v>
      </c>
      <c r="C28" s="17" t="s">
        <v>432</v>
      </c>
      <c r="D28" s="36">
        <v>3567.77</v>
      </c>
      <c r="E28" s="51">
        <f>+IFERROR(D28/Summary!D$19,"")</f>
        <v>3.0495671485193652E-3</v>
      </c>
      <c r="F28" s="36">
        <v>3965</v>
      </c>
      <c r="G28" s="51">
        <f>+IFERROR(F28/Summary!F$19,"")</f>
        <v>2.8752232095965134E-3</v>
      </c>
      <c r="H28" s="137">
        <f t="shared" si="22"/>
        <v>-397.23</v>
      </c>
      <c r="I28" s="36">
        <v>3125.25</v>
      </c>
      <c r="J28" s="51">
        <f>+IFERROR(I28/Summary!I$19,"")</f>
        <v>2.6829718095531191E-3</v>
      </c>
      <c r="K28" s="137">
        <f t="shared" si="23"/>
        <v>442.52</v>
      </c>
      <c r="M28" s="36">
        <v>15081.17</v>
      </c>
      <c r="N28" s="51">
        <f>+IFERROR(M28/Summary!M$19,"")</f>
        <v>2.0218289047628396E-3</v>
      </c>
      <c r="O28" s="36">
        <v>15825</v>
      </c>
      <c r="P28" s="51">
        <f>+IFERROR(O28/Summary!O$19,"")</f>
        <v>1.9432782199777807E-3</v>
      </c>
      <c r="Q28" s="137">
        <f t="shared" si="24"/>
        <v>-743.82999999999993</v>
      </c>
      <c r="R28" s="36">
        <v>12807.15</v>
      </c>
      <c r="S28" s="51">
        <f>+IFERROR(R28/Summary!R$19,"")</f>
        <v>1.8219274669168052E-3</v>
      </c>
      <c r="T28" s="137">
        <f t="shared" si="25"/>
        <v>2274.0200000000004</v>
      </c>
    </row>
    <row r="29" spans="2:20" x14ac:dyDescent="0.25">
      <c r="B29" s="14" t="s">
        <v>121</v>
      </c>
      <c r="C29" s="17" t="s">
        <v>467</v>
      </c>
      <c r="D29" s="36">
        <v>0</v>
      </c>
      <c r="E29" s="51">
        <f>+IFERROR(D29/Summary!D$19,"")</f>
        <v>0</v>
      </c>
      <c r="F29" s="36">
        <v>0</v>
      </c>
      <c r="G29" s="51">
        <f>+IFERROR(F29/Summary!F$19,"")</f>
        <v>0</v>
      </c>
      <c r="H29" s="137">
        <f t="shared" si="22"/>
        <v>0</v>
      </c>
      <c r="I29" s="36">
        <v>0</v>
      </c>
      <c r="J29" s="51">
        <f>+IFERROR(I29/Summary!I$19,"")</f>
        <v>0</v>
      </c>
      <c r="K29" s="137">
        <f t="shared" si="23"/>
        <v>0</v>
      </c>
      <c r="M29" s="36">
        <v>0</v>
      </c>
      <c r="N29" s="51">
        <f>+IFERROR(M29/Summary!M$19,"")</f>
        <v>0</v>
      </c>
      <c r="O29" s="36">
        <v>0</v>
      </c>
      <c r="P29" s="51">
        <f>+IFERROR(O29/Summary!O$19,"")</f>
        <v>0</v>
      </c>
      <c r="Q29" s="137">
        <f t="shared" si="24"/>
        <v>0</v>
      </c>
      <c r="R29" s="36">
        <v>0</v>
      </c>
      <c r="S29" s="51">
        <f>+IFERROR(R29/Summary!R$19,"")</f>
        <v>0</v>
      </c>
      <c r="T29" s="137">
        <f t="shared" si="25"/>
        <v>0</v>
      </c>
    </row>
    <row r="30" spans="2:20" x14ac:dyDescent="0.25">
      <c r="B30" s="14" t="s">
        <v>125</v>
      </c>
      <c r="C30" s="17" t="s">
        <v>367</v>
      </c>
      <c r="D30" s="36">
        <v>0</v>
      </c>
      <c r="E30" s="51">
        <f>+IFERROR(D30/Summary!D$19,"")</f>
        <v>0</v>
      </c>
      <c r="F30" s="36">
        <v>0</v>
      </c>
      <c r="G30" s="51">
        <f>+IFERROR(F30/Summary!F$19,"")</f>
        <v>0</v>
      </c>
      <c r="H30" s="137">
        <f t="shared" si="22"/>
        <v>0</v>
      </c>
      <c r="I30" s="36">
        <v>3360.2</v>
      </c>
      <c r="J30" s="51">
        <f>+IFERROR(I30/Summary!I$19,"")</f>
        <v>2.884672226049241E-3</v>
      </c>
      <c r="K30" s="137">
        <f t="shared" si="23"/>
        <v>-3360.2</v>
      </c>
      <c r="M30" s="36">
        <v>3056</v>
      </c>
      <c r="N30" s="51">
        <f>+IFERROR(M30/Summary!M$19,"")</f>
        <v>4.0969693551330818E-4</v>
      </c>
      <c r="O30" s="36">
        <v>0</v>
      </c>
      <c r="P30" s="51">
        <f>+IFERROR(O30/Summary!O$19,"")</f>
        <v>0</v>
      </c>
      <c r="Q30" s="137">
        <f t="shared" si="24"/>
        <v>3056</v>
      </c>
      <c r="R30" s="36">
        <v>3360.2</v>
      </c>
      <c r="S30" s="51">
        <f>+IFERROR(R30/Summary!R$19,"")</f>
        <v>4.7801741014463398E-4</v>
      </c>
      <c r="T30" s="137">
        <f t="shared" si="25"/>
        <v>-304.19999999999982</v>
      </c>
    </row>
    <row r="31" spans="2:20" x14ac:dyDescent="0.25">
      <c r="B31" s="14" t="s">
        <v>127</v>
      </c>
      <c r="C31" s="17" t="s">
        <v>504</v>
      </c>
      <c r="D31" s="36">
        <v>0</v>
      </c>
      <c r="E31" s="51">
        <f>+IFERROR(D31/Summary!D$19,"")</f>
        <v>0</v>
      </c>
      <c r="F31" s="36">
        <v>0</v>
      </c>
      <c r="G31" s="51">
        <f>+IFERROR(F31/Summary!F$19,"")</f>
        <v>0</v>
      </c>
      <c r="H31" s="137">
        <f t="shared" si="22"/>
        <v>0</v>
      </c>
      <c r="I31" s="36">
        <v>0</v>
      </c>
      <c r="J31" s="51">
        <f>+IFERROR(I31/Summary!I$19,"")</f>
        <v>0</v>
      </c>
      <c r="K31" s="137">
        <f t="shared" si="23"/>
        <v>0</v>
      </c>
      <c r="M31" s="36">
        <v>0</v>
      </c>
      <c r="N31" s="51">
        <f>+IFERROR(M31/Summary!M$19,"")</f>
        <v>0</v>
      </c>
      <c r="O31" s="36">
        <v>0</v>
      </c>
      <c r="P31" s="51">
        <f>+IFERROR(O31/Summary!O$19,"")</f>
        <v>0</v>
      </c>
      <c r="Q31" s="137">
        <f t="shared" si="24"/>
        <v>0</v>
      </c>
      <c r="R31" s="36">
        <v>0</v>
      </c>
      <c r="S31" s="51">
        <f>+IFERROR(R31/Summary!R$19,"")</f>
        <v>0</v>
      </c>
      <c r="T31" s="137">
        <f t="shared" si="25"/>
        <v>0</v>
      </c>
    </row>
    <row r="32" spans="2:20" x14ac:dyDescent="0.25">
      <c r="B32" s="14" t="s">
        <v>215</v>
      </c>
      <c r="C32" s="17" t="s">
        <v>418</v>
      </c>
      <c r="D32" s="36">
        <v>0</v>
      </c>
      <c r="E32" s="51">
        <f>+IFERROR(D32/Summary!D$19,"")</f>
        <v>0</v>
      </c>
      <c r="F32" s="36">
        <v>0</v>
      </c>
      <c r="G32" s="51">
        <f>+IFERROR(F32/Summary!F$19,"")</f>
        <v>0</v>
      </c>
      <c r="H32" s="137">
        <f t="shared" si="22"/>
        <v>0</v>
      </c>
      <c r="I32" s="36">
        <v>0</v>
      </c>
      <c r="J32" s="51">
        <f>+IFERROR(I32/Summary!I$19,"")</f>
        <v>0</v>
      </c>
      <c r="K32" s="137">
        <f t="shared" si="23"/>
        <v>0</v>
      </c>
      <c r="M32" s="36">
        <v>0</v>
      </c>
      <c r="N32" s="51">
        <f>+IFERROR(M32/Summary!M$19,"")</f>
        <v>0</v>
      </c>
      <c r="O32" s="36">
        <v>12</v>
      </c>
      <c r="P32" s="51">
        <f>+IFERROR(O32/Summary!O$19,"")</f>
        <v>1.4735759014049522E-6</v>
      </c>
      <c r="Q32" s="137">
        <f t="shared" si="24"/>
        <v>-12</v>
      </c>
      <c r="R32" s="36">
        <v>0</v>
      </c>
      <c r="S32" s="51">
        <f>+IFERROR(R32/Summary!R$19,"")</f>
        <v>0</v>
      </c>
      <c r="T32" s="137">
        <f t="shared" si="25"/>
        <v>0</v>
      </c>
    </row>
    <row r="33" spans="2:20" x14ac:dyDescent="0.25">
      <c r="B33" s="14" t="s">
        <v>218</v>
      </c>
      <c r="C33" s="17" t="s">
        <v>419</v>
      </c>
      <c r="D33" s="36">
        <v>0</v>
      </c>
      <c r="E33" s="51">
        <f>+IFERROR(D33/Summary!D$19,"")</f>
        <v>0</v>
      </c>
      <c r="F33" s="36">
        <v>0</v>
      </c>
      <c r="G33" s="51">
        <f>+IFERROR(F33/Summary!F$19,"")</f>
        <v>0</v>
      </c>
      <c r="H33" s="137">
        <f t="shared" si="22"/>
        <v>0</v>
      </c>
      <c r="I33" s="36">
        <v>0</v>
      </c>
      <c r="J33" s="51">
        <f>+IFERROR(I33/Summary!I$19,"")</f>
        <v>0</v>
      </c>
      <c r="K33" s="137">
        <f t="shared" si="23"/>
        <v>0</v>
      </c>
      <c r="M33" s="36">
        <v>0</v>
      </c>
      <c r="N33" s="51">
        <f>+IFERROR(M33/Summary!M$19,"")</f>
        <v>0</v>
      </c>
      <c r="O33" s="36">
        <v>0</v>
      </c>
      <c r="P33" s="51">
        <f>+IFERROR(O33/Summary!O$19,"")</f>
        <v>0</v>
      </c>
      <c r="Q33" s="137">
        <f t="shared" si="24"/>
        <v>0</v>
      </c>
      <c r="R33" s="36">
        <v>0</v>
      </c>
      <c r="S33" s="51">
        <f>+IFERROR(R33/Summary!R$19,"")</f>
        <v>0</v>
      </c>
      <c r="T33" s="137">
        <f t="shared" si="25"/>
        <v>0</v>
      </c>
    </row>
    <row r="34" spans="2:20" x14ac:dyDescent="0.25">
      <c r="B34" s="14" t="s">
        <v>194</v>
      </c>
      <c r="C34" s="17" t="s">
        <v>373</v>
      </c>
      <c r="D34" s="36">
        <v>0</v>
      </c>
      <c r="E34" s="51">
        <f>+IFERROR(D34/Summary!D$19,"")</f>
        <v>0</v>
      </c>
      <c r="F34" s="36">
        <v>0</v>
      </c>
      <c r="G34" s="51">
        <f>+IFERROR(F34/Summary!F$19,"")</f>
        <v>0</v>
      </c>
      <c r="H34" s="137">
        <f t="shared" si="22"/>
        <v>0</v>
      </c>
      <c r="I34" s="36">
        <v>0</v>
      </c>
      <c r="J34" s="51">
        <f>+IFERROR(I34/Summary!I$19,"")</f>
        <v>0</v>
      </c>
      <c r="K34" s="137">
        <f t="shared" si="23"/>
        <v>0</v>
      </c>
      <c r="M34" s="36">
        <v>104.82</v>
      </c>
      <c r="N34" s="51">
        <f>+IFERROR(M34/Summary!M$19,"")</f>
        <v>1.405249763759979E-5</v>
      </c>
      <c r="O34" s="36">
        <v>66</v>
      </c>
      <c r="P34" s="51">
        <f>+IFERROR(O34/Summary!O$19,"")</f>
        <v>8.1046674577272368E-6</v>
      </c>
      <c r="Q34" s="137">
        <f t="shared" si="24"/>
        <v>38.819999999999993</v>
      </c>
      <c r="R34" s="36">
        <v>-33.409999999999997</v>
      </c>
      <c r="S34" s="51">
        <f>+IFERROR(R34/Summary!R$19,"")</f>
        <v>-4.7528604466794303E-6</v>
      </c>
      <c r="T34" s="137">
        <f t="shared" si="25"/>
        <v>138.22999999999999</v>
      </c>
    </row>
    <row r="35" spans="2:20" x14ac:dyDescent="0.25">
      <c r="B35" s="14" t="s">
        <v>86</v>
      </c>
      <c r="C35" s="17" t="s">
        <v>365</v>
      </c>
      <c r="D35" s="36">
        <v>429.13</v>
      </c>
      <c r="E35" s="51">
        <f>+IFERROR(D35/Summary!D$19,"")</f>
        <v>3.6680076082374008E-4</v>
      </c>
      <c r="F35" s="36">
        <v>519</v>
      </c>
      <c r="G35" s="51">
        <f>+IFERROR(F35/Summary!F$19,"")</f>
        <v>3.7635330284504175E-4</v>
      </c>
      <c r="H35" s="137">
        <f t="shared" si="22"/>
        <v>-89.87</v>
      </c>
      <c r="I35" s="36">
        <v>429</v>
      </c>
      <c r="J35" s="51">
        <f>+IFERROR(I35/Summary!I$19,"")</f>
        <v>3.6828890690289998E-4</v>
      </c>
      <c r="K35" s="137">
        <f t="shared" si="23"/>
        <v>0.12999999999999545</v>
      </c>
      <c r="M35" s="36">
        <v>1556.96</v>
      </c>
      <c r="N35" s="51">
        <f>+IFERROR(M35/Summary!M$19,"")</f>
        <v>2.0873093609842942E-4</v>
      </c>
      <c r="O35" s="36">
        <v>3195</v>
      </c>
      <c r="P35" s="51">
        <f>+IFERROR(O35/Summary!O$19,"")</f>
        <v>3.9233958374906852E-4</v>
      </c>
      <c r="Q35" s="137">
        <f t="shared" si="24"/>
        <v>-1638.04</v>
      </c>
      <c r="R35" s="36">
        <v>2791.48</v>
      </c>
      <c r="S35" s="51">
        <f>+IFERROR(R35/Summary!R$19,"")</f>
        <v>3.9711208858715045E-4</v>
      </c>
      <c r="T35" s="137">
        <f t="shared" si="25"/>
        <v>-1234.52</v>
      </c>
    </row>
    <row r="36" spans="2:20" x14ac:dyDescent="0.25">
      <c r="B36" s="14" t="s">
        <v>331</v>
      </c>
      <c r="C36" s="17" t="s">
        <v>377</v>
      </c>
      <c r="D36" s="36">
        <v>1162.3399999999999</v>
      </c>
      <c r="E36" s="51">
        <f>+IFERROR(D36/Summary!D$19,"")</f>
        <v>9.9351524324998498E-4</v>
      </c>
      <c r="F36" s="36">
        <v>1250</v>
      </c>
      <c r="G36" s="51">
        <f>+IFERROR(F36/Summary!F$19,"")</f>
        <v>9.0643859066724891E-4</v>
      </c>
      <c r="H36" s="137">
        <f t="shared" si="22"/>
        <v>-87.660000000000082</v>
      </c>
      <c r="I36" s="36">
        <v>4139.57</v>
      </c>
      <c r="J36" s="51">
        <f>+IFERROR(I36/Summary!I$19,"")</f>
        <v>3.553747576568852E-3</v>
      </c>
      <c r="K36" s="137">
        <f t="shared" si="23"/>
        <v>-2977.2299999999996</v>
      </c>
      <c r="M36" s="36">
        <v>1453.77</v>
      </c>
      <c r="N36" s="51">
        <f>+IFERROR(M36/Summary!M$19,"")</f>
        <v>1.9489696136818784E-4</v>
      </c>
      <c r="O36" s="36">
        <v>2300</v>
      </c>
      <c r="P36" s="51">
        <f>+IFERROR(O36/Summary!O$19,"")</f>
        <v>2.8243538110261582E-4</v>
      </c>
      <c r="Q36" s="137">
        <f t="shared" si="24"/>
        <v>-846.23</v>
      </c>
      <c r="R36" s="36">
        <v>4505.32</v>
      </c>
      <c r="S36" s="51">
        <f>+IFERROR(R36/Summary!R$19,"")</f>
        <v>6.409205994502774E-4</v>
      </c>
      <c r="T36" s="137">
        <f t="shared" si="25"/>
        <v>-3051.5499999999997</v>
      </c>
    </row>
    <row r="37" spans="2:20" x14ac:dyDescent="0.25">
      <c r="B37" s="14" t="s">
        <v>326</v>
      </c>
      <c r="C37" s="17" t="s">
        <v>376</v>
      </c>
      <c r="D37" s="36">
        <v>406.38</v>
      </c>
      <c r="E37" s="51">
        <f>+IFERROR(D37/Summary!D$19,"")</f>
        <v>3.4735509795062454E-4</v>
      </c>
      <c r="F37" s="36">
        <v>500</v>
      </c>
      <c r="G37" s="51">
        <f>+IFERROR(F37/Summary!F$19,"")</f>
        <v>3.6257543626689958E-4</v>
      </c>
      <c r="H37" s="137">
        <f t="shared" si="22"/>
        <v>-93.62</v>
      </c>
      <c r="I37" s="36">
        <v>821.24</v>
      </c>
      <c r="J37" s="51">
        <f>+IFERROR(I37/Summary!I$19,"")</f>
        <v>7.0502000444041396E-4</v>
      </c>
      <c r="K37" s="137">
        <f t="shared" si="23"/>
        <v>-414.86</v>
      </c>
      <c r="M37" s="36">
        <v>1009.14</v>
      </c>
      <c r="N37" s="51">
        <f>+IFERROR(M37/Summary!M$19,"")</f>
        <v>1.3528847038740176E-4</v>
      </c>
      <c r="O37" s="36">
        <v>1600</v>
      </c>
      <c r="P37" s="51">
        <f>+IFERROR(O37/Summary!O$19,"")</f>
        <v>1.9647678685399362E-4</v>
      </c>
      <c r="Q37" s="137">
        <f t="shared" si="24"/>
        <v>-590.86</v>
      </c>
      <c r="R37" s="36">
        <v>1249.8599999999999</v>
      </c>
      <c r="S37" s="51">
        <f>+IFERROR(R37/Summary!R$19,"")</f>
        <v>1.77803357015467E-4</v>
      </c>
      <c r="T37" s="137">
        <f t="shared" si="25"/>
        <v>-240.71999999999991</v>
      </c>
    </row>
    <row r="38" spans="2:20" x14ac:dyDescent="0.25">
      <c r="B38" s="14" t="s">
        <v>80</v>
      </c>
      <c r="C38" s="17" t="s">
        <v>364</v>
      </c>
      <c r="D38" s="36">
        <v>3176.06</v>
      </c>
      <c r="E38" s="51">
        <f>+IFERROR(D38/Summary!D$19,"")</f>
        <v>2.7147512977928551E-3</v>
      </c>
      <c r="F38" s="36">
        <v>2500</v>
      </c>
      <c r="G38" s="51">
        <f>+IFERROR(F38/Summary!F$19,"")</f>
        <v>1.8128771813344978E-3</v>
      </c>
      <c r="H38" s="137">
        <f t="shared" si="22"/>
        <v>676.06</v>
      </c>
      <c r="I38" s="36">
        <v>-1685.02</v>
      </c>
      <c r="J38" s="51">
        <f>+IFERROR(I38/Summary!I$19,"")</f>
        <v>-1.4465598459429475E-3</v>
      </c>
      <c r="K38" s="137">
        <f t="shared" si="23"/>
        <v>4861.08</v>
      </c>
      <c r="M38" s="36">
        <v>4374.0200000000004</v>
      </c>
      <c r="N38" s="51">
        <f>+IFERROR(M38/Summary!M$19,"")</f>
        <v>5.8639482652942418E-4</v>
      </c>
      <c r="O38" s="36">
        <v>3952</v>
      </c>
      <c r="P38" s="51">
        <f>+IFERROR(O38/Summary!O$19,"")</f>
        <v>4.8529766352936425E-4</v>
      </c>
      <c r="Q38" s="137">
        <f t="shared" si="24"/>
        <v>422.02000000000044</v>
      </c>
      <c r="R38" s="36">
        <v>2012.69</v>
      </c>
      <c r="S38" s="51">
        <f>+IFERROR(R38/Summary!R$19,"")</f>
        <v>2.8632249902505906E-4</v>
      </c>
      <c r="T38" s="137">
        <f t="shared" si="25"/>
        <v>2361.3300000000004</v>
      </c>
    </row>
    <row r="39" spans="2:20" x14ac:dyDescent="0.25">
      <c r="B39" s="14" t="s">
        <v>314</v>
      </c>
      <c r="C39" s="17" t="s">
        <v>375</v>
      </c>
      <c r="D39" s="36">
        <v>0</v>
      </c>
      <c r="E39" s="51">
        <f>+IFERROR(D39/Summary!D$19,"")</f>
        <v>0</v>
      </c>
      <c r="F39" s="36">
        <v>0</v>
      </c>
      <c r="G39" s="51">
        <f>+IFERROR(F39/Summary!F$19,"")</f>
        <v>0</v>
      </c>
      <c r="H39" s="137">
        <f t="shared" si="22"/>
        <v>0</v>
      </c>
      <c r="I39" s="36">
        <v>0</v>
      </c>
      <c r="J39" s="51">
        <f>+IFERROR(I39/Summary!I$19,"")</f>
        <v>0</v>
      </c>
      <c r="K39" s="137">
        <f t="shared" si="23"/>
        <v>0</v>
      </c>
      <c r="M39" s="36">
        <v>0</v>
      </c>
      <c r="N39" s="51">
        <f>+IFERROR(M39/Summary!M$19,"")</f>
        <v>0</v>
      </c>
      <c r="O39" s="36">
        <v>0</v>
      </c>
      <c r="P39" s="51">
        <f>+IFERROR(O39/Summary!O$19,"")</f>
        <v>0</v>
      </c>
      <c r="Q39" s="137">
        <f t="shared" si="24"/>
        <v>0</v>
      </c>
      <c r="R39" s="36">
        <v>0</v>
      </c>
      <c r="S39" s="51">
        <f>+IFERROR(R39/Summary!R$19,"")</f>
        <v>0</v>
      </c>
      <c r="T39" s="137">
        <f t="shared" si="25"/>
        <v>0</v>
      </c>
    </row>
    <row r="40" spans="2:20" x14ac:dyDescent="0.25">
      <c r="B40" s="14" t="s">
        <v>341</v>
      </c>
      <c r="C40" s="17" t="s">
        <v>421</v>
      </c>
      <c r="D40" s="36">
        <v>63.66</v>
      </c>
      <c r="E40" s="51">
        <f>+IFERROR(D40/Summary!D$19,"")</f>
        <v>5.4413665868243406E-5</v>
      </c>
      <c r="F40" s="36">
        <v>99.33</v>
      </c>
      <c r="G40" s="51">
        <f>+IFERROR(F40/Summary!F$19,"")</f>
        <v>7.2029236168782268E-5</v>
      </c>
      <c r="H40" s="137">
        <f t="shared" si="22"/>
        <v>-35.67</v>
      </c>
      <c r="I40" s="36">
        <v>90.37</v>
      </c>
      <c r="J40" s="51">
        <f>+IFERROR(I40/Summary!I$19,"")</f>
        <v>7.7581045493741425E-5</v>
      </c>
      <c r="K40" s="137">
        <f t="shared" si="23"/>
        <v>-26.710000000000008</v>
      </c>
      <c r="M40" s="36">
        <v>417.49</v>
      </c>
      <c r="N40" s="51">
        <f>+IFERROR(M40/Summary!M$19,"")</f>
        <v>5.5970017541705177E-5</v>
      </c>
      <c r="O40" s="36">
        <v>496.65</v>
      </c>
      <c r="P40" s="51">
        <f>+IFERROR(O40/Summary!O$19,"")</f>
        <v>6.0987622619397456E-5</v>
      </c>
      <c r="Q40" s="137">
        <f t="shared" si="24"/>
        <v>-79.159999999999968</v>
      </c>
      <c r="R40" s="36">
        <v>633.45000000000005</v>
      </c>
      <c r="S40" s="51">
        <f>+IFERROR(R40/Summary!R$19,"")</f>
        <v>9.0113721938015129E-5</v>
      </c>
      <c r="T40" s="137">
        <f t="shared" si="25"/>
        <v>-215.96000000000004</v>
      </c>
    </row>
    <row r="41" spans="2:20" x14ac:dyDescent="0.25">
      <c r="B41" s="14" t="s">
        <v>92</v>
      </c>
      <c r="C41" s="17" t="s">
        <v>423</v>
      </c>
      <c r="D41" s="36">
        <v>0</v>
      </c>
      <c r="E41" s="51">
        <f>+IFERROR(D41/Summary!D$19,"")</f>
        <v>0</v>
      </c>
      <c r="F41" s="36">
        <v>0</v>
      </c>
      <c r="G41" s="51">
        <f>+IFERROR(F41/Summary!F$19,"")</f>
        <v>0</v>
      </c>
      <c r="H41" s="137">
        <f t="shared" si="22"/>
        <v>0</v>
      </c>
      <c r="I41" s="36">
        <v>0</v>
      </c>
      <c r="J41" s="51">
        <f>+IFERROR(I41/Summary!I$19,"")</f>
        <v>0</v>
      </c>
      <c r="K41" s="137">
        <f t="shared" si="23"/>
        <v>0</v>
      </c>
      <c r="M41" s="36">
        <v>0</v>
      </c>
      <c r="N41" s="51">
        <f>+IFERROR(M41/Summary!M$19,"")</f>
        <v>0</v>
      </c>
      <c r="O41" s="36">
        <v>0</v>
      </c>
      <c r="P41" s="51">
        <f>+IFERROR(O41/Summary!O$19,"")</f>
        <v>0</v>
      </c>
      <c r="Q41" s="137">
        <f t="shared" si="24"/>
        <v>0</v>
      </c>
      <c r="R41" s="36">
        <v>0</v>
      </c>
      <c r="S41" s="51">
        <f>+IFERROR(R41/Summary!R$19,"")</f>
        <v>0</v>
      </c>
      <c r="T41" s="137">
        <f t="shared" si="25"/>
        <v>0</v>
      </c>
    </row>
    <row r="42" spans="2:20" x14ac:dyDescent="0.25">
      <c r="B42" s="14" t="s">
        <v>220</v>
      </c>
      <c r="C42" s="17" t="s">
        <v>494</v>
      </c>
      <c r="D42" s="36">
        <v>9588.0400000000009</v>
      </c>
      <c r="E42" s="51">
        <f>+IFERROR(D42/Summary!D$19,"")</f>
        <v>8.1954194924811902E-3</v>
      </c>
      <c r="F42" s="36">
        <v>8989</v>
      </c>
      <c r="G42" s="51">
        <f>+IFERROR(F42/Summary!F$19,"")</f>
        <v>6.51838119320632E-3</v>
      </c>
      <c r="H42" s="137">
        <f t="shared" si="22"/>
        <v>599.04000000000087</v>
      </c>
      <c r="I42" s="36">
        <v>0</v>
      </c>
      <c r="J42" s="51">
        <f>+IFERROR(I42/Summary!I$19,"")</f>
        <v>0</v>
      </c>
      <c r="K42" s="137">
        <f t="shared" si="23"/>
        <v>9588.0400000000009</v>
      </c>
      <c r="M42" s="36">
        <v>12304.14</v>
      </c>
      <c r="N42" s="51">
        <f>+IFERROR(M42/Summary!M$19,"")</f>
        <v>1.649531561559789E-3</v>
      </c>
      <c r="O42" s="36">
        <v>11389</v>
      </c>
      <c r="P42" s="51">
        <f>+IFERROR(O42/Summary!O$19,"")</f>
        <v>1.3985463284250834E-3</v>
      </c>
      <c r="Q42" s="137">
        <f t="shared" si="24"/>
        <v>915.13999999999942</v>
      </c>
      <c r="R42" s="36">
        <v>4636.71</v>
      </c>
      <c r="S42" s="51">
        <f>+IFERROR(R42/Summary!R$19,"")</f>
        <v>6.5961195934519546E-4</v>
      </c>
      <c r="T42" s="137">
        <f t="shared" si="25"/>
        <v>7667.4299999999994</v>
      </c>
    </row>
    <row r="43" spans="2:20" x14ac:dyDescent="0.25">
      <c r="B43" s="14" t="s">
        <v>647</v>
      </c>
      <c r="C43" s="17" t="s">
        <v>705</v>
      </c>
      <c r="D43" s="36">
        <v>0</v>
      </c>
      <c r="E43" s="51">
        <f>+IFERROR(D43/Summary!D$19,"")</f>
        <v>0</v>
      </c>
      <c r="F43" s="36">
        <v>0</v>
      </c>
      <c r="G43" s="51">
        <f>+IFERROR(F43/Summary!F$19,"")</f>
        <v>0</v>
      </c>
      <c r="H43" s="137">
        <f t="shared" si="22"/>
        <v>0</v>
      </c>
      <c r="I43" s="36">
        <v>2410</v>
      </c>
      <c r="J43" s="51">
        <f>+IFERROR(I43/Summary!I$19,"")</f>
        <v>2.0689423441398345E-3</v>
      </c>
      <c r="K43" s="137">
        <f t="shared" si="23"/>
        <v>-2410</v>
      </c>
      <c r="M43" s="36">
        <v>0</v>
      </c>
      <c r="N43" s="51">
        <f>+IFERROR(M43/Summary!M$19,"")</f>
        <v>0</v>
      </c>
      <c r="O43" s="36">
        <v>0</v>
      </c>
      <c r="P43" s="51">
        <f>+IFERROR(O43/Summary!O$19,"")</f>
        <v>0</v>
      </c>
      <c r="Q43" s="137">
        <f t="shared" si="24"/>
        <v>0</v>
      </c>
      <c r="R43" s="36">
        <v>6584</v>
      </c>
      <c r="S43" s="51">
        <f>+IFERROR(R43/Summary!R$19,"")</f>
        <v>9.3663074471527592E-4</v>
      </c>
      <c r="T43" s="137">
        <f t="shared" si="25"/>
        <v>-6584</v>
      </c>
    </row>
    <row r="44" spans="2:20" x14ac:dyDescent="0.25">
      <c r="B44" s="14" t="s">
        <v>310</v>
      </c>
      <c r="C44" s="17" t="s">
        <v>495</v>
      </c>
      <c r="D44" s="36">
        <v>3213.54</v>
      </c>
      <c r="E44" s="51">
        <f>+IFERROR(D44/Summary!D$19,"")</f>
        <v>2.7467874931548057E-3</v>
      </c>
      <c r="F44" s="36">
        <v>3400</v>
      </c>
      <c r="G44" s="51">
        <f>+IFERROR(F44/Summary!F$19,"")</f>
        <v>2.465512966614917E-3</v>
      </c>
      <c r="H44" s="137">
        <f t="shared" si="22"/>
        <v>-186.46000000000004</v>
      </c>
      <c r="I44" s="36">
        <v>990.54</v>
      </c>
      <c r="J44" s="51">
        <f>+IFERROR(I44/Summary!I$19,"")</f>
        <v>8.5036105791048608E-4</v>
      </c>
      <c r="K44" s="137">
        <f t="shared" si="23"/>
        <v>2223</v>
      </c>
      <c r="M44" s="36">
        <v>3516.2</v>
      </c>
      <c r="N44" s="51">
        <f>+IFERROR(M44/Summary!M$19,"")</f>
        <v>4.7139278948033186E-4</v>
      </c>
      <c r="O44" s="36">
        <v>3650</v>
      </c>
      <c r="P44" s="51">
        <f>+IFERROR(O44/Summary!O$19,"")</f>
        <v>4.4821267001067294E-4</v>
      </c>
      <c r="Q44" s="137">
        <f t="shared" si="24"/>
        <v>-133.80000000000018</v>
      </c>
      <c r="R44" s="36">
        <v>2753.89</v>
      </c>
      <c r="S44" s="51">
        <f>+IFERROR(R44/Summary!R$19,"")</f>
        <v>3.9176458711481641E-4</v>
      </c>
      <c r="T44" s="137">
        <f t="shared" si="25"/>
        <v>762.31</v>
      </c>
    </row>
    <row r="45" spans="2:20" x14ac:dyDescent="0.25">
      <c r="B45" s="14" t="s">
        <v>72</v>
      </c>
      <c r="C45" s="17" t="s">
        <v>496</v>
      </c>
      <c r="D45" s="36">
        <v>0</v>
      </c>
      <c r="E45" s="51">
        <f>+IFERROR(D45/Summary!D$19,"")</f>
        <v>0</v>
      </c>
      <c r="F45" s="36">
        <v>0</v>
      </c>
      <c r="G45" s="51">
        <f>+IFERROR(F45/Summary!F$19,"")</f>
        <v>0</v>
      </c>
      <c r="H45" s="137">
        <f t="shared" si="22"/>
        <v>0</v>
      </c>
      <c r="I45" s="36">
        <v>0</v>
      </c>
      <c r="J45" s="51">
        <f>+IFERROR(I45/Summary!I$19,"")</f>
        <v>0</v>
      </c>
      <c r="K45" s="137">
        <f t="shared" si="23"/>
        <v>0</v>
      </c>
      <c r="M45" s="36">
        <v>-100</v>
      </c>
      <c r="N45" s="51">
        <f>+IFERROR(M45/Summary!M$19,"")</f>
        <v>-1.3406313334859561E-5</v>
      </c>
      <c r="O45" s="36">
        <v>100</v>
      </c>
      <c r="P45" s="51">
        <f>+IFERROR(O45/Summary!O$19,"")</f>
        <v>1.2279799178374601E-5</v>
      </c>
      <c r="Q45" s="137">
        <f t="shared" si="24"/>
        <v>-200</v>
      </c>
      <c r="R45" s="36">
        <v>0</v>
      </c>
      <c r="S45" s="51">
        <f>+IFERROR(R45/Summary!R$19,"")</f>
        <v>0</v>
      </c>
      <c r="T45" s="137">
        <f t="shared" si="25"/>
        <v>-100</v>
      </c>
    </row>
    <row r="46" spans="2:20" x14ac:dyDescent="0.25">
      <c r="B46" s="14" t="s">
        <v>631</v>
      </c>
      <c r="C46" s="17" t="s">
        <v>704</v>
      </c>
      <c r="D46" s="36">
        <v>0</v>
      </c>
      <c r="E46" s="51">
        <f>+IFERROR(D46/Summary!D$19,"")</f>
        <v>0</v>
      </c>
      <c r="F46" s="36">
        <v>0</v>
      </c>
      <c r="G46" s="51">
        <f>+IFERROR(F46/Summary!F$19,"")</f>
        <v>0</v>
      </c>
      <c r="H46" s="137">
        <f t="shared" si="22"/>
        <v>0</v>
      </c>
      <c r="I46" s="36">
        <v>0</v>
      </c>
      <c r="J46" s="51">
        <f>+IFERROR(I46/Summary!I$19,"")</f>
        <v>0</v>
      </c>
      <c r="K46" s="137">
        <f t="shared" si="23"/>
        <v>0</v>
      </c>
      <c r="M46" s="36">
        <v>0</v>
      </c>
      <c r="N46" s="51">
        <f>+IFERROR(M46/Summary!M$19,"")</f>
        <v>0</v>
      </c>
      <c r="O46" s="36">
        <v>0</v>
      </c>
      <c r="P46" s="51">
        <f>+IFERROR(O46/Summary!O$19,"")</f>
        <v>0</v>
      </c>
      <c r="Q46" s="137">
        <f t="shared" si="24"/>
        <v>0</v>
      </c>
      <c r="R46" s="36">
        <v>0</v>
      </c>
      <c r="S46" s="51">
        <f>+IFERROR(R46/Summary!R$19,"")</f>
        <v>0</v>
      </c>
      <c r="T46" s="137">
        <f t="shared" si="25"/>
        <v>0</v>
      </c>
    </row>
    <row r="47" spans="2:20" x14ac:dyDescent="0.25">
      <c r="B47" s="14" t="s">
        <v>350</v>
      </c>
      <c r="C47" s="17" t="s">
        <v>497</v>
      </c>
      <c r="D47" s="36">
        <v>745</v>
      </c>
      <c r="E47" s="51">
        <f>+IFERROR(D47/Summary!D$19,"")</f>
        <v>6.3679203694378479E-4</v>
      </c>
      <c r="F47" s="36">
        <v>2525</v>
      </c>
      <c r="G47" s="51">
        <f>+IFERROR(F47/Summary!F$19,"")</f>
        <v>1.8310059531478427E-3</v>
      </c>
      <c r="H47" s="137">
        <f t="shared" si="22"/>
        <v>-1780</v>
      </c>
      <c r="I47" s="36">
        <v>2477.59</v>
      </c>
      <c r="J47" s="51">
        <f>+IFERROR(I47/Summary!I$19,"")</f>
        <v>2.1269671628288017E-3</v>
      </c>
      <c r="K47" s="137">
        <f t="shared" si="23"/>
        <v>-1732.5900000000001</v>
      </c>
      <c r="M47" s="36">
        <v>10210</v>
      </c>
      <c r="N47" s="51">
        <f>+IFERROR(M47/Summary!M$19,"")</f>
        <v>1.3687845914891611E-3</v>
      </c>
      <c r="O47" s="36">
        <v>14125</v>
      </c>
      <c r="P47" s="51">
        <f>+IFERROR(O47/Summary!O$19,"")</f>
        <v>1.7345216339454124E-3</v>
      </c>
      <c r="Q47" s="137">
        <f t="shared" si="24"/>
        <v>-3915</v>
      </c>
      <c r="R47" s="36">
        <v>14938.03</v>
      </c>
      <c r="S47" s="51">
        <f>+IFERROR(R47/Summary!R$19,"")</f>
        <v>2.1250635120715574E-3</v>
      </c>
      <c r="T47" s="137">
        <f t="shared" si="25"/>
        <v>-4728.0300000000007</v>
      </c>
    </row>
    <row r="48" spans="2:20" x14ac:dyDescent="0.25">
      <c r="B48" s="14" t="s">
        <v>169</v>
      </c>
      <c r="C48" s="17" t="s">
        <v>498</v>
      </c>
      <c r="D48" s="36">
        <v>5829.65</v>
      </c>
      <c r="E48" s="51">
        <f>+IFERROR(D48/Summary!D$19,"")</f>
        <v>4.9829190579454164E-3</v>
      </c>
      <c r="F48" s="36">
        <v>8012</v>
      </c>
      <c r="G48" s="51">
        <f>+IFERROR(F48/Summary!F$19,"")</f>
        <v>5.8099087907407983E-3</v>
      </c>
      <c r="H48" s="137">
        <f t="shared" si="22"/>
        <v>-2182.3500000000004</v>
      </c>
      <c r="I48" s="36">
        <v>10346.790000000001</v>
      </c>
      <c r="J48" s="51">
        <f>+IFERROR(I48/Summary!I$19,"")</f>
        <v>8.8825360817106208E-3</v>
      </c>
      <c r="K48" s="137">
        <f t="shared" si="23"/>
        <v>-4517.1400000000012</v>
      </c>
      <c r="M48" s="36">
        <v>54064.51</v>
      </c>
      <c r="N48" s="51">
        <f>+IFERROR(M48/Summary!M$19,"")</f>
        <v>7.2480576135564813E-3</v>
      </c>
      <c r="O48" s="36">
        <v>60010</v>
      </c>
      <c r="P48" s="51">
        <f>+IFERROR(O48/Summary!O$19,"")</f>
        <v>7.369107486942598E-3</v>
      </c>
      <c r="Q48" s="137">
        <f t="shared" si="24"/>
        <v>-5945.489999999998</v>
      </c>
      <c r="R48" s="36">
        <v>62582.98</v>
      </c>
      <c r="S48" s="51">
        <f>+IFERROR(R48/Summary!R$19,"")</f>
        <v>8.9029682812729691E-3</v>
      </c>
      <c r="T48" s="137">
        <f t="shared" si="25"/>
        <v>-8518.4700000000012</v>
      </c>
    </row>
    <row r="49" spans="2:20" x14ac:dyDescent="0.25">
      <c r="B49" s="14" t="s">
        <v>635</v>
      </c>
      <c r="C49" s="289" t="s">
        <v>709</v>
      </c>
      <c r="D49" s="36">
        <v>0</v>
      </c>
      <c r="E49" s="51">
        <f>+IFERROR(D49/Summary!D$19,"")</f>
        <v>0</v>
      </c>
      <c r="F49" s="36">
        <v>0</v>
      </c>
      <c r="G49" s="51">
        <f>+IFERROR(F49/Summary!F$19,"")</f>
        <v>0</v>
      </c>
      <c r="H49" s="137">
        <f t="shared" si="22"/>
        <v>0</v>
      </c>
      <c r="I49" s="36">
        <v>0</v>
      </c>
      <c r="J49" s="51">
        <f>+IFERROR(I49/Summary!I$19,"")</f>
        <v>0</v>
      </c>
      <c r="K49" s="137">
        <f t="shared" si="23"/>
        <v>0</v>
      </c>
      <c r="M49" s="36">
        <v>0</v>
      </c>
      <c r="N49" s="51">
        <f>+IFERROR(M49/Summary!M$19,"")</f>
        <v>0</v>
      </c>
      <c r="O49" s="36">
        <v>0</v>
      </c>
      <c r="P49" s="51">
        <f>+IFERROR(O49/Summary!O$19,"")</f>
        <v>0</v>
      </c>
      <c r="Q49" s="137">
        <f t="shared" si="24"/>
        <v>0</v>
      </c>
      <c r="R49" s="36">
        <v>0</v>
      </c>
      <c r="S49" s="51">
        <f>+IFERROR(R49/Summary!R$19,"")</f>
        <v>0</v>
      </c>
      <c r="T49" s="137">
        <f t="shared" si="25"/>
        <v>0</v>
      </c>
    </row>
    <row r="50" spans="2:20" x14ac:dyDescent="0.25">
      <c r="B50" s="14" t="s">
        <v>177</v>
      </c>
      <c r="C50" s="17" t="s">
        <v>359</v>
      </c>
      <c r="D50" s="36">
        <v>9808.2800000000007</v>
      </c>
      <c r="E50" s="51">
        <f>+IFERROR(D50/Summary!D$19,"")</f>
        <v>8.3836706041811888E-3</v>
      </c>
      <c r="F50" s="36">
        <v>12725</v>
      </c>
      <c r="G50" s="51">
        <f>+IFERROR(F50/Summary!F$19,"")</f>
        <v>9.2275448529925939E-3</v>
      </c>
      <c r="H50" s="137">
        <f t="shared" si="22"/>
        <v>-2916.7199999999993</v>
      </c>
      <c r="I50" s="36">
        <v>7447.33</v>
      </c>
      <c r="J50" s="51">
        <f>+IFERROR(I50/Summary!I$19,"")</f>
        <v>6.3934009907812917E-3</v>
      </c>
      <c r="K50" s="137">
        <f t="shared" si="23"/>
        <v>2360.9500000000007</v>
      </c>
      <c r="M50" s="36">
        <v>35258.92</v>
      </c>
      <c r="N50" s="51">
        <f>+IFERROR(M50/Summary!M$19,"")</f>
        <v>4.7269212936874644E-3</v>
      </c>
      <c r="O50" s="36">
        <v>77761</v>
      </c>
      <c r="P50" s="51">
        <f>+IFERROR(O50/Summary!O$19,"")</f>
        <v>9.5488946390958739E-3</v>
      </c>
      <c r="Q50" s="137">
        <f t="shared" si="24"/>
        <v>-42502.080000000002</v>
      </c>
      <c r="R50" s="36">
        <v>27328.31</v>
      </c>
      <c r="S50" s="51">
        <f>+IFERROR(R50/Summary!R$19,"")</f>
        <v>3.8876876286618963E-3</v>
      </c>
      <c r="T50" s="137">
        <f t="shared" si="25"/>
        <v>7930.6099999999969</v>
      </c>
    </row>
    <row r="51" spans="2:20" x14ac:dyDescent="0.25">
      <c r="B51" s="14" t="s">
        <v>208</v>
      </c>
      <c r="C51" s="17" t="s">
        <v>499</v>
      </c>
      <c r="D51" s="36">
        <v>928.76</v>
      </c>
      <c r="E51" s="51">
        <f>+IFERROR(D51/Summary!D$19,"")</f>
        <v>7.9386170769383841E-4</v>
      </c>
      <c r="F51" s="36">
        <v>993</v>
      </c>
      <c r="G51" s="51">
        <f>+IFERROR(F51/Summary!F$19,"")</f>
        <v>7.2007481642606252E-4</v>
      </c>
      <c r="H51" s="137">
        <f t="shared" si="22"/>
        <v>-64.240000000000009</v>
      </c>
      <c r="I51" s="36">
        <v>800.97</v>
      </c>
      <c r="J51" s="51">
        <f>+IFERROR(I51/Summary!I$19,"")</f>
        <v>6.8761856820982704E-4</v>
      </c>
      <c r="K51" s="137">
        <f t="shared" si="23"/>
        <v>127.78999999999996</v>
      </c>
      <c r="M51" s="36">
        <v>4640.92</v>
      </c>
      <c r="N51" s="51">
        <f>+IFERROR(M51/Summary!M$19,"")</f>
        <v>6.2217627682016434E-4</v>
      </c>
      <c r="O51" s="36">
        <v>5465</v>
      </c>
      <c r="P51" s="51">
        <f>+IFERROR(O51/Summary!O$19,"")</f>
        <v>6.7109102509817198E-4</v>
      </c>
      <c r="Q51" s="137">
        <f t="shared" si="24"/>
        <v>-824.07999999999993</v>
      </c>
      <c r="R51" s="36">
        <v>4582.79</v>
      </c>
      <c r="S51" s="51">
        <f>+IFERROR(R51/Summary!R$19,"")</f>
        <v>6.5194137463148833E-4</v>
      </c>
      <c r="T51" s="137">
        <f t="shared" si="25"/>
        <v>58.130000000000109</v>
      </c>
    </row>
    <row r="52" spans="2:20" x14ac:dyDescent="0.25">
      <c r="B52" s="14" t="s">
        <v>212</v>
      </c>
      <c r="C52" s="17" t="s">
        <v>500</v>
      </c>
      <c r="D52" s="36">
        <v>0</v>
      </c>
      <c r="E52" s="51">
        <f>+IFERROR(D52/Summary!D$19,"")</f>
        <v>0</v>
      </c>
      <c r="F52" s="36">
        <v>0</v>
      </c>
      <c r="G52" s="51">
        <f>+IFERROR(F52/Summary!F$19,"")</f>
        <v>0</v>
      </c>
      <c r="H52" s="137">
        <f t="shared" si="22"/>
        <v>0</v>
      </c>
      <c r="I52" s="36">
        <v>0</v>
      </c>
      <c r="J52" s="51">
        <f>+IFERROR(I52/Summary!I$19,"")</f>
        <v>0</v>
      </c>
      <c r="K52" s="137">
        <f t="shared" si="23"/>
        <v>0</v>
      </c>
      <c r="M52" s="36">
        <v>0</v>
      </c>
      <c r="N52" s="51">
        <f>+IFERROR(M52/Summary!M$19,"")</f>
        <v>0</v>
      </c>
      <c r="O52" s="36">
        <v>0</v>
      </c>
      <c r="P52" s="51">
        <f>+IFERROR(O52/Summary!O$19,"")</f>
        <v>0</v>
      </c>
      <c r="Q52" s="137">
        <f t="shared" si="24"/>
        <v>0</v>
      </c>
      <c r="R52" s="36">
        <v>0</v>
      </c>
      <c r="S52" s="51">
        <f>+IFERROR(R52/Summary!R$19,"")</f>
        <v>0</v>
      </c>
      <c r="T52" s="137">
        <f t="shared" si="25"/>
        <v>0</v>
      </c>
    </row>
    <row r="53" spans="2:20" x14ac:dyDescent="0.25">
      <c r="B53" s="14" t="s">
        <v>130</v>
      </c>
      <c r="C53" s="17" t="s">
        <v>505</v>
      </c>
      <c r="D53" s="36">
        <v>0</v>
      </c>
      <c r="E53" s="51">
        <f>+IFERROR(D53/Summary!D$19,"")</f>
        <v>0</v>
      </c>
      <c r="F53" s="36">
        <v>0</v>
      </c>
      <c r="G53" s="51">
        <f>+IFERROR(F53/Summary!F$19,"")</f>
        <v>0</v>
      </c>
      <c r="H53" s="137">
        <f t="shared" si="22"/>
        <v>0</v>
      </c>
      <c r="I53" s="36">
        <v>0</v>
      </c>
      <c r="J53" s="51">
        <f>+IFERROR(I53/Summary!I$19,"")</f>
        <v>0</v>
      </c>
      <c r="K53" s="137">
        <f t="shared" si="23"/>
        <v>0</v>
      </c>
      <c r="M53" s="36">
        <v>0</v>
      </c>
      <c r="N53" s="51">
        <f>+IFERROR(M53/Summary!M$19,"")</f>
        <v>0</v>
      </c>
      <c r="O53" s="36">
        <v>0</v>
      </c>
      <c r="P53" s="51">
        <f>+IFERROR(O53/Summary!O$19,"")</f>
        <v>0</v>
      </c>
      <c r="Q53" s="137">
        <f t="shared" si="24"/>
        <v>0</v>
      </c>
      <c r="R53" s="36">
        <v>0</v>
      </c>
      <c r="S53" s="51">
        <f>+IFERROR(R53/Summary!R$19,"")</f>
        <v>0</v>
      </c>
      <c r="T53" s="137">
        <f t="shared" si="25"/>
        <v>0</v>
      </c>
    </row>
    <row r="54" spans="2:20" x14ac:dyDescent="0.25">
      <c r="B54" s="14" t="s">
        <v>131</v>
      </c>
      <c r="C54" s="17" t="s">
        <v>506</v>
      </c>
      <c r="D54" s="36">
        <v>15965.03</v>
      </c>
      <c r="E54" s="51">
        <f>+IFERROR(D54/Summary!D$19,"")</f>
        <v>1.3646179830293467E-2</v>
      </c>
      <c r="F54" s="36">
        <v>16087.14</v>
      </c>
      <c r="G54" s="51">
        <f>+IFERROR(F54/Summary!F$19,"")</f>
        <v>1.1665603607573381E-2</v>
      </c>
      <c r="H54" s="137">
        <f t="shared" si="22"/>
        <v>-122.10999999999876</v>
      </c>
      <c r="I54" s="36">
        <v>16306.24</v>
      </c>
      <c r="J54" s="51">
        <f>+IFERROR(I54/Summary!I$19,"")</f>
        <v>1.3998618427264204E-2</v>
      </c>
      <c r="K54" s="137">
        <f t="shared" si="23"/>
        <v>-341.20999999999913</v>
      </c>
      <c r="M54" s="36">
        <v>100841.22</v>
      </c>
      <c r="N54" s="51">
        <f>+IFERROR(M54/Summary!M$19,"")</f>
        <v>1.3519089923895066E-2</v>
      </c>
      <c r="O54" s="36">
        <v>105511.17</v>
      </c>
      <c r="P54" s="51">
        <f>+IFERROR(O54/Summary!O$19,"")</f>
        <v>1.2956559786753429E-2</v>
      </c>
      <c r="Q54" s="137">
        <f t="shared" si="24"/>
        <v>-4669.9499999999971</v>
      </c>
      <c r="R54" s="36">
        <v>104300.1</v>
      </c>
      <c r="S54" s="51">
        <f>+IFERROR(R54/Summary!R$19,"")</f>
        <v>1.4837588143511203E-2</v>
      </c>
      <c r="T54" s="137">
        <f t="shared" si="25"/>
        <v>-3458.8800000000047</v>
      </c>
    </row>
    <row r="55" spans="2:20" x14ac:dyDescent="0.25">
      <c r="B55" s="14" t="s">
        <v>168</v>
      </c>
      <c r="C55" s="17" t="s">
        <v>501</v>
      </c>
      <c r="D55" s="36">
        <v>9187.41</v>
      </c>
      <c r="E55" s="51">
        <f>+IFERROR(D55/Summary!D$19,"")</f>
        <v>7.8529792323995939E-3</v>
      </c>
      <c r="F55" s="36">
        <v>10025</v>
      </c>
      <c r="G55" s="51">
        <f>+IFERROR(F55/Summary!F$19,"")</f>
        <v>7.2696374971513364E-3</v>
      </c>
      <c r="H55" s="137">
        <f t="shared" si="22"/>
        <v>-837.59000000000015</v>
      </c>
      <c r="I55" s="36">
        <v>11768.46</v>
      </c>
      <c r="J55" s="51">
        <f>+IFERROR(I55/Summary!I$19,"")</f>
        <v>1.0103014613824013E-2</v>
      </c>
      <c r="K55" s="137">
        <f t="shared" si="23"/>
        <v>-2581.0499999999993</v>
      </c>
      <c r="M55" s="36">
        <v>49213.1</v>
      </c>
      <c r="N55" s="51">
        <f>+IFERROR(M55/Summary!M$19,"")</f>
        <v>6.5976623877977703E-3</v>
      </c>
      <c r="O55" s="36">
        <v>51887.5</v>
      </c>
      <c r="P55" s="51">
        <f>+IFERROR(O55/Summary!O$19,"")</f>
        <v>6.3716807986791213E-3</v>
      </c>
      <c r="Q55" s="137">
        <f t="shared" si="24"/>
        <v>-2674.4000000000015</v>
      </c>
      <c r="R55" s="36">
        <v>55482.8</v>
      </c>
      <c r="S55" s="51">
        <f>+IFERROR(R55/Summary!R$19,"")</f>
        <v>7.8929064828202784E-3</v>
      </c>
      <c r="T55" s="137">
        <f t="shared" si="25"/>
        <v>-6269.7000000000044</v>
      </c>
    </row>
    <row r="56" spans="2:20" s="11" customFormat="1" x14ac:dyDescent="0.25">
      <c r="B56" s="14" t="s">
        <v>52</v>
      </c>
      <c r="C56" s="17" t="s">
        <v>502</v>
      </c>
      <c r="D56" s="209">
        <v>0</v>
      </c>
      <c r="E56" s="175">
        <f>+IFERROR(D56/Summary!D$19,"")</f>
        <v>0</v>
      </c>
      <c r="F56" s="209">
        <v>0</v>
      </c>
      <c r="G56" s="175">
        <f>+IFERROR(F56/Summary!F$19,"")</f>
        <v>0</v>
      </c>
      <c r="H56" s="139">
        <f t="shared" si="22"/>
        <v>0</v>
      </c>
      <c r="I56" s="36">
        <v>0</v>
      </c>
      <c r="J56" s="175">
        <f>+IFERROR(I56/Summary!I$19,"")</f>
        <v>0</v>
      </c>
      <c r="K56" s="139">
        <f t="shared" si="23"/>
        <v>0</v>
      </c>
      <c r="M56" s="209">
        <v>0</v>
      </c>
      <c r="N56" s="175">
        <f>+IFERROR(M56/Summary!M$19,"")</f>
        <v>0</v>
      </c>
      <c r="O56" s="209">
        <v>0</v>
      </c>
      <c r="P56" s="175">
        <f>+IFERROR(O56/Summary!O$19,"")</f>
        <v>0</v>
      </c>
      <c r="Q56" s="139">
        <f t="shared" si="24"/>
        <v>0</v>
      </c>
      <c r="R56" s="36">
        <v>0</v>
      </c>
      <c r="S56" s="175">
        <f>+IFERROR(R56/Summary!R$19,"")</f>
        <v>0</v>
      </c>
      <c r="T56" s="139">
        <f t="shared" si="25"/>
        <v>0</v>
      </c>
    </row>
    <row r="57" spans="2:20" x14ac:dyDescent="0.25">
      <c r="B57" s="14" t="s">
        <v>285</v>
      </c>
      <c r="C57" s="18" t="s">
        <v>425</v>
      </c>
      <c r="D57" s="91">
        <f t="shared" ref="D57" si="26">SUM(D26:D56)</f>
        <v>64071.05</v>
      </c>
      <c r="E57" s="83">
        <f>+IFERROR(D57/Summary!D$19,"")</f>
        <v>5.4765012669298105E-2</v>
      </c>
      <c r="F57" s="91">
        <f>SUM(F26:F56)</f>
        <v>71589.47</v>
      </c>
      <c r="G57" s="83">
        <f>+IFERROR(F57/Summary!F$19,"")</f>
        <v>5.1913166634732236E-2</v>
      </c>
      <c r="H57" s="140">
        <f t="shared" si="22"/>
        <v>-7518.4199999999983</v>
      </c>
      <c r="I57" s="91">
        <f>SUM(I26:I56)</f>
        <v>62828.53</v>
      </c>
      <c r="J57" s="83">
        <f>+IFERROR(I57/Summary!I$19,"")</f>
        <v>5.3937180969734398E-2</v>
      </c>
      <c r="K57" s="140">
        <f t="shared" si="23"/>
        <v>1242.5200000000041</v>
      </c>
      <c r="M57" s="91">
        <f t="shared" ref="M57" si="27">SUM(M26:M56)</f>
        <v>297002.38</v>
      </c>
      <c r="N57" s="83">
        <f>+IFERROR(M57/Summary!M$19,"")</f>
        <v>3.9817069674790262E-2</v>
      </c>
      <c r="O57" s="91">
        <f>SUM(O26:O56)</f>
        <v>357345.32</v>
      </c>
      <c r="P57" s="83">
        <f>+IFERROR(O57/Summary!O$19,"")</f>
        <v>4.388128766932009E-2</v>
      </c>
      <c r="Q57" s="140">
        <f t="shared" si="24"/>
        <v>-60342.94</v>
      </c>
      <c r="R57" s="91">
        <f>SUM(R26:R56)</f>
        <v>310516.35000000003</v>
      </c>
      <c r="S57" s="83">
        <f>+IFERROR(R57/Summary!R$19,"")</f>
        <v>4.4173626996775413E-2</v>
      </c>
      <c r="T57" s="140">
        <f t="shared" si="25"/>
        <v>-13513.97000000003</v>
      </c>
    </row>
    <row r="58" spans="2:20" x14ac:dyDescent="0.25">
      <c r="B58" s="14"/>
      <c r="C58" s="16"/>
      <c r="D58" s="48"/>
      <c r="E58" s="32"/>
      <c r="F58" s="16"/>
      <c r="G58" s="32"/>
      <c r="H58" s="16"/>
      <c r="I58" s="16"/>
      <c r="J58" s="32"/>
      <c r="K58" s="49"/>
      <c r="M58" s="48"/>
      <c r="N58" s="32"/>
      <c r="O58" s="16"/>
      <c r="P58" s="32"/>
      <c r="Q58" s="16"/>
      <c r="R58" s="16"/>
      <c r="S58" s="32"/>
      <c r="T58" s="49"/>
    </row>
    <row r="59" spans="2:20" x14ac:dyDescent="0.25">
      <c r="B59" s="14" t="s">
        <v>264</v>
      </c>
      <c r="C59" s="18" t="s">
        <v>426</v>
      </c>
      <c r="D59" s="142">
        <f t="shared" ref="D59" si="28">+D23+D57</f>
        <v>100257.55</v>
      </c>
      <c r="E59" s="135">
        <f>+IFERROR(D59/Summary!D$19,"")</f>
        <v>8.5695583199319941E-2</v>
      </c>
      <c r="F59" s="142">
        <f>+F23+F57</f>
        <v>117793.29000000001</v>
      </c>
      <c r="G59" s="135">
        <f>+IFERROR(F59/Summary!F$19,"")</f>
        <v>8.5417907022126843E-2</v>
      </c>
      <c r="H59" s="131">
        <f>+D59-F59</f>
        <v>-17535.740000000005</v>
      </c>
      <c r="I59" s="142">
        <f>+I23+I57</f>
        <v>106611.29000000001</v>
      </c>
      <c r="J59" s="135">
        <f>+IFERROR(I59/Summary!I$19,"")</f>
        <v>9.1523905495589919E-2</v>
      </c>
      <c r="K59" s="131">
        <f>+D59-I59</f>
        <v>-6353.7400000000052</v>
      </c>
      <c r="M59" s="142">
        <f t="shared" ref="M59" si="29">+M23+M57</f>
        <v>482238.44</v>
      </c>
      <c r="N59" s="135">
        <f>+IFERROR(M59/Summary!M$19,"")</f>
        <v>6.4650396287538728E-2</v>
      </c>
      <c r="O59" s="142">
        <f>+O23+O57</f>
        <v>588733.93000000005</v>
      </c>
      <c r="P59" s="135">
        <f>+IFERROR(O59/Summary!O$19,"")</f>
        <v>7.2295344298952513E-2</v>
      </c>
      <c r="Q59" s="131">
        <f>+M59-O59</f>
        <v>-106495.49000000005</v>
      </c>
      <c r="R59" s="142">
        <f>+R23+R57</f>
        <v>524002.05000000005</v>
      </c>
      <c r="S59" s="135">
        <f>+IFERROR(R59/Summary!R$19,"")</f>
        <v>7.4543807764858944E-2</v>
      </c>
      <c r="T59" s="131">
        <f>+M59-R59</f>
        <v>-41763.610000000044</v>
      </c>
    </row>
    <row r="60" spans="2:20" ht="15.75" thickBot="1" x14ac:dyDescent="0.3">
      <c r="B60" s="14"/>
      <c r="C60" s="18" t="s">
        <v>427</v>
      </c>
      <c r="D60" s="143">
        <f t="shared" ref="D60" si="30">0-D59</f>
        <v>-100257.55</v>
      </c>
      <c r="E60" s="213">
        <f>+IFERROR(D60/Summary!D$19,"")</f>
        <v>-8.5695583199319941E-2</v>
      </c>
      <c r="F60" s="143">
        <f t="shared" ref="F60" si="31">0-F59</f>
        <v>-117793.29000000001</v>
      </c>
      <c r="G60" s="213">
        <f>+IFERROR(F60/Summary!F$19,"")</f>
        <v>-8.5417907022126843E-2</v>
      </c>
      <c r="H60" s="132">
        <f>+D60-F60</f>
        <v>17535.740000000005</v>
      </c>
      <c r="I60" s="143">
        <f t="shared" ref="I60" si="32">0-I59</f>
        <v>-106611.29000000001</v>
      </c>
      <c r="J60" s="213">
        <f>+IFERROR(I60/Summary!I$19,"")</f>
        <v>-9.1523905495589919E-2</v>
      </c>
      <c r="K60" s="132">
        <f>+D60-I60</f>
        <v>6353.7400000000052</v>
      </c>
      <c r="M60" s="143">
        <f t="shared" ref="M60" si="33">0-M59</f>
        <v>-482238.44</v>
      </c>
      <c r="N60" s="213">
        <f>+IFERROR(M60/Summary!M$19,"")</f>
        <v>-6.4650396287538728E-2</v>
      </c>
      <c r="O60" s="143">
        <f t="shared" ref="O60" si="34">0-O59</f>
        <v>-588733.93000000005</v>
      </c>
      <c r="P60" s="213">
        <f>+IFERROR(O60/Summary!O$19,"")</f>
        <v>-7.2295344298952513E-2</v>
      </c>
      <c r="Q60" s="132">
        <f>+M60-O60</f>
        <v>106495.49000000005</v>
      </c>
      <c r="R60" s="143">
        <f t="shared" ref="R60" si="35">0-R59</f>
        <v>-524002.05000000005</v>
      </c>
      <c r="S60" s="213">
        <f>+IFERROR(R60/Summary!R$19,"")</f>
        <v>-7.4543807764858944E-2</v>
      </c>
      <c r="T60" s="132">
        <f>+M60-R60</f>
        <v>41763.610000000044</v>
      </c>
    </row>
    <row r="61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D377-E734-476B-AA63-FF769A2736E7}">
  <dimension ref="B1:V60"/>
  <sheetViews>
    <sheetView showGridLines="0" zoomScale="80" zoomScaleNormal="80" workbookViewId="0">
      <pane xSplit="3" ySplit="8" topLeftCell="D39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405</v>
      </c>
      <c r="D9" s="48"/>
      <c r="E9" s="49"/>
      <c r="F9" s="179"/>
      <c r="G9" s="16"/>
      <c r="H9" s="79"/>
      <c r="I9" s="16"/>
      <c r="J9" s="16"/>
      <c r="K9" s="79"/>
      <c r="M9" s="48"/>
      <c r="N9" s="49"/>
      <c r="O9" s="179"/>
      <c r="P9" s="16"/>
      <c r="Q9" s="79"/>
      <c r="R9" s="16"/>
      <c r="S9" s="16"/>
      <c r="T9" s="79"/>
    </row>
    <row r="10" spans="2:22" x14ac:dyDescent="0.25">
      <c r="B10" s="14"/>
      <c r="C10" s="22" t="s">
        <v>406</v>
      </c>
      <c r="D10" s="48"/>
      <c r="E10" s="101"/>
      <c r="F10" s="92"/>
      <c r="G10" s="19"/>
      <c r="H10" s="49"/>
      <c r="I10" s="19"/>
      <c r="J10" s="19"/>
      <c r="K10" s="101"/>
      <c r="M10" s="48"/>
      <c r="N10" s="101"/>
      <c r="O10" s="92"/>
      <c r="P10" s="19"/>
      <c r="Q10" s="49"/>
      <c r="R10" s="19"/>
      <c r="S10" s="19"/>
      <c r="T10" s="101"/>
    </row>
    <row r="11" spans="2:22" x14ac:dyDescent="0.25">
      <c r="B11" s="14" t="s">
        <v>237</v>
      </c>
      <c r="C11" s="17" t="s">
        <v>407</v>
      </c>
      <c r="D11" s="36">
        <v>6110.7</v>
      </c>
      <c r="E11" s="108">
        <f>+IFERROR(D11/Summary!D$19,"")</f>
        <v>5.2231477854394436E-3</v>
      </c>
      <c r="F11" s="36">
        <v>5524.26</v>
      </c>
      <c r="G11" s="108">
        <f>+IFERROR(F11/Summary!F$19,"")</f>
        <v>4.0059219591035656E-3</v>
      </c>
      <c r="H11" s="137">
        <f>+D11-F11</f>
        <v>586.4399999999996</v>
      </c>
      <c r="I11" s="36">
        <v>2604.17</v>
      </c>
      <c r="J11" s="108">
        <f>+IFERROR(I11/Summary!I$19,"")</f>
        <v>2.2356338524226692E-3</v>
      </c>
      <c r="K11" s="137">
        <f>+D11-I11</f>
        <v>3506.5299999999997</v>
      </c>
      <c r="M11" s="36">
        <v>27952.04</v>
      </c>
      <c r="N11" s="108">
        <f>+IFERROR(M11/Summary!M$19,"")</f>
        <v>3.7473380658852784E-3</v>
      </c>
      <c r="O11" s="36">
        <v>27909.759999999998</v>
      </c>
      <c r="P11" s="108">
        <f>+IFERROR(O11/Summary!O$19,"")</f>
        <v>3.4272624791663229E-3</v>
      </c>
      <c r="Q11" s="137">
        <f>+M11-O11</f>
        <v>42.280000000002474</v>
      </c>
      <c r="R11" s="36">
        <v>34606.86</v>
      </c>
      <c r="S11" s="108">
        <f>+IFERROR(R11/Summary!R$19,"")</f>
        <v>4.923124096910282E-3</v>
      </c>
      <c r="T11" s="137">
        <f>+M11-R11</f>
        <v>-6654.82</v>
      </c>
    </row>
    <row r="12" spans="2:22" x14ac:dyDescent="0.25">
      <c r="B12" s="14"/>
      <c r="C12" s="18" t="s">
        <v>408</v>
      </c>
      <c r="D12" s="281"/>
      <c r="E12" s="108"/>
      <c r="F12" s="281"/>
      <c r="G12" s="108"/>
      <c r="H12" s="137"/>
      <c r="I12" s="281"/>
      <c r="J12" s="108"/>
      <c r="K12" s="137"/>
      <c r="M12" s="281"/>
      <c r="N12" s="108"/>
      <c r="O12" s="281"/>
      <c r="P12" s="108"/>
      <c r="Q12" s="137"/>
      <c r="R12" s="281"/>
      <c r="S12" s="108"/>
      <c r="T12" s="137"/>
    </row>
    <row r="13" spans="2:22" x14ac:dyDescent="0.25">
      <c r="B13" s="14" t="s">
        <v>241</v>
      </c>
      <c r="C13" s="17" t="s">
        <v>507</v>
      </c>
      <c r="D13" s="36">
        <v>17604.990000000002</v>
      </c>
      <c r="E13" s="108">
        <f>+IFERROR(D13/Summary!D$19,"")</f>
        <v>1.5047942875805321E-2</v>
      </c>
      <c r="F13" s="36">
        <v>17957.060000000001</v>
      </c>
      <c r="G13" s="108">
        <f>+IFERROR(F13/Summary!F$19,"")</f>
        <v>1.3021577727141784E-2</v>
      </c>
      <c r="H13" s="137">
        <f t="shared" ref="H13:H23" si="0">+D13-F13</f>
        <v>-352.06999999999971</v>
      </c>
      <c r="I13" s="36">
        <v>15746.02</v>
      </c>
      <c r="J13" s="108">
        <f>+IFERROR(I13/Summary!I$19,"")</f>
        <v>1.3517679472893243E-2</v>
      </c>
      <c r="K13" s="137">
        <f t="shared" ref="K13:K23" si="1">+D13-I13</f>
        <v>1858.9700000000012</v>
      </c>
      <c r="M13" s="36">
        <v>82278.48</v>
      </c>
      <c r="N13" s="108">
        <f>+IFERROR(M13/Summary!M$19,"")</f>
        <v>1.1030510835959757E-2</v>
      </c>
      <c r="O13" s="36">
        <v>86859.8</v>
      </c>
      <c r="P13" s="108">
        <f>+IFERROR(O13/Summary!O$19,"")</f>
        <v>1.0666209006737823E-2</v>
      </c>
      <c r="Q13" s="137">
        <f t="shared" ref="Q13:Q23" si="2">+M13-O13</f>
        <v>-4581.320000000007</v>
      </c>
      <c r="R13" s="36">
        <v>90715.97</v>
      </c>
      <c r="S13" s="108">
        <f>+IFERROR(R13/Summary!R$19,"")</f>
        <v>1.290512857513193E-2</v>
      </c>
      <c r="T13" s="137">
        <f t="shared" ref="T13:T23" si="3">+M13-R13</f>
        <v>-8437.4900000000052</v>
      </c>
    </row>
    <row r="14" spans="2:22" x14ac:dyDescent="0.25">
      <c r="B14" s="14" t="s">
        <v>658</v>
      </c>
      <c r="C14" s="17" t="s">
        <v>708</v>
      </c>
      <c r="D14" s="221">
        <v>0</v>
      </c>
      <c r="E14" s="224">
        <f>+IFERROR(D14/Summary!D$19,"")</f>
        <v>0</v>
      </c>
      <c r="F14" s="221">
        <v>0</v>
      </c>
      <c r="G14" s="224">
        <f>+IFERROR(F14/Summary!F$19,"")</f>
        <v>0</v>
      </c>
      <c r="H14" s="183">
        <f t="shared" si="0"/>
        <v>0</v>
      </c>
      <c r="I14" s="36">
        <v>0</v>
      </c>
      <c r="J14" s="224">
        <f>+IFERROR(I14/Summary!I$19,"")</f>
        <v>0</v>
      </c>
      <c r="K14" s="183">
        <f t="shared" si="1"/>
        <v>0</v>
      </c>
      <c r="M14" s="221">
        <v>0</v>
      </c>
      <c r="N14" s="224">
        <f>+IFERROR(M14/Summary!M$19,"")</f>
        <v>0</v>
      </c>
      <c r="O14" s="221">
        <v>0</v>
      </c>
      <c r="P14" s="224">
        <f>+IFERROR(O14/Summary!O$19,"")</f>
        <v>0</v>
      </c>
      <c r="Q14" s="183">
        <f t="shared" si="2"/>
        <v>0</v>
      </c>
      <c r="R14" s="36">
        <v>0</v>
      </c>
      <c r="S14" s="224">
        <f>+IFERROR(R14/Summary!R$19,"")</f>
        <v>0</v>
      </c>
      <c r="T14" s="183">
        <f t="shared" si="3"/>
        <v>0</v>
      </c>
    </row>
    <row r="15" spans="2:22" x14ac:dyDescent="0.25">
      <c r="B15" s="14" t="s">
        <v>303</v>
      </c>
      <c r="C15" s="23" t="s">
        <v>411</v>
      </c>
      <c r="D15" s="103">
        <f t="shared" ref="D15" si="4">SUM(D11,D13:D14)</f>
        <v>23715.690000000002</v>
      </c>
      <c r="E15" s="146">
        <f>+IFERROR(D15/Summary!D$19,"")</f>
        <v>2.0271090661244766E-2</v>
      </c>
      <c r="F15" s="103">
        <f t="shared" ref="F15" si="5">SUM(F11,F13:F14)</f>
        <v>23481.32</v>
      </c>
      <c r="G15" s="146">
        <f>+IFERROR(F15/Summary!F$19,"")</f>
        <v>1.7027499686245347E-2</v>
      </c>
      <c r="H15" s="150">
        <f t="shared" si="0"/>
        <v>234.37000000000262</v>
      </c>
      <c r="I15" s="103">
        <f t="shared" ref="I15" si="6">SUM(I11,I13:I14)</f>
        <v>18350.190000000002</v>
      </c>
      <c r="J15" s="146">
        <f>+IFERROR(I15/Summary!I$19,"")</f>
        <v>1.5753313325315915E-2</v>
      </c>
      <c r="K15" s="150">
        <f t="shared" si="1"/>
        <v>5365.5</v>
      </c>
      <c r="M15" s="103">
        <f t="shared" ref="M15" si="7">SUM(M11,M13:M14)</f>
        <v>110230.51999999999</v>
      </c>
      <c r="N15" s="146">
        <f>+IFERROR(M15/Summary!M$19,"")</f>
        <v>1.4777848901845034E-2</v>
      </c>
      <c r="O15" s="103">
        <f t="shared" ref="O15" si="8">SUM(O11,O13:O14)</f>
        <v>114769.56</v>
      </c>
      <c r="P15" s="146">
        <f>+IFERROR(O15/Summary!O$19,"")</f>
        <v>1.4093471485904145E-2</v>
      </c>
      <c r="Q15" s="150">
        <f t="shared" si="2"/>
        <v>-4539.0400000000081</v>
      </c>
      <c r="R15" s="103">
        <f t="shared" ref="R15" si="9">SUM(R11,R13:R14)</f>
        <v>125322.83</v>
      </c>
      <c r="S15" s="146">
        <f>+IFERROR(R15/Summary!R$19,"")</f>
        <v>1.7828252672042213E-2</v>
      </c>
      <c r="T15" s="150">
        <f t="shared" si="3"/>
        <v>-15092.310000000012</v>
      </c>
    </row>
    <row r="16" spans="2:22" x14ac:dyDescent="0.25">
      <c r="B16" s="14" t="s">
        <v>662</v>
      </c>
      <c r="C16" s="17" t="s">
        <v>412</v>
      </c>
      <c r="D16" s="161">
        <v>0</v>
      </c>
      <c r="E16" s="225">
        <f>+IFERROR(D16/Summary!D$19,"")</f>
        <v>0</v>
      </c>
      <c r="F16" s="161">
        <v>0</v>
      </c>
      <c r="G16" s="225">
        <f>+IFERROR(F16/Summary!F$19,"")</f>
        <v>0</v>
      </c>
      <c r="H16" s="228">
        <f t="shared" si="0"/>
        <v>0</v>
      </c>
      <c r="I16" s="36">
        <v>0</v>
      </c>
      <c r="J16" s="225">
        <f>+IFERROR(I16/Summary!I$19,"")</f>
        <v>0</v>
      </c>
      <c r="K16" s="228">
        <f t="shared" si="1"/>
        <v>0</v>
      </c>
      <c r="M16" s="161">
        <v>4128</v>
      </c>
      <c r="N16" s="225">
        <f>+IFERROR(M16/Summary!M$19,"")</f>
        <v>5.534126144630027E-4</v>
      </c>
      <c r="O16" s="161">
        <v>0</v>
      </c>
      <c r="P16" s="225">
        <f>+IFERROR(O16/Summary!O$19,"")</f>
        <v>0</v>
      </c>
      <c r="Q16" s="228">
        <f t="shared" si="2"/>
        <v>4128</v>
      </c>
      <c r="R16" s="36">
        <v>0</v>
      </c>
      <c r="S16" s="225">
        <f>+IFERROR(R16/Summary!R$19,"")</f>
        <v>0</v>
      </c>
      <c r="T16" s="228">
        <f t="shared" si="3"/>
        <v>4128</v>
      </c>
    </row>
    <row r="17" spans="2:20" x14ac:dyDescent="0.25">
      <c r="B17" s="14" t="s">
        <v>252</v>
      </c>
      <c r="C17" s="17" t="s">
        <v>413</v>
      </c>
      <c r="D17" s="106">
        <v>119.21</v>
      </c>
      <c r="E17" s="145">
        <f>+IFERROR(D17/Summary!D$19,"")</f>
        <v>1.0189527345512562E-4</v>
      </c>
      <c r="F17" s="106">
        <v>581.27</v>
      </c>
      <c r="G17" s="145">
        <f>+IFERROR(F17/Summary!F$19,"")</f>
        <v>4.2150844767772141E-4</v>
      </c>
      <c r="H17" s="183">
        <f t="shared" si="0"/>
        <v>-462.06</v>
      </c>
      <c r="I17" s="36">
        <v>0</v>
      </c>
      <c r="J17" s="145">
        <f>+IFERROR(I17/Summary!I$19,"")</f>
        <v>0</v>
      </c>
      <c r="K17" s="183">
        <f t="shared" si="1"/>
        <v>119.21</v>
      </c>
      <c r="M17" s="106">
        <v>742.75</v>
      </c>
      <c r="N17" s="145">
        <f>+IFERROR(M17/Summary!M$19,"")</f>
        <v>9.9575392294669386E-5</v>
      </c>
      <c r="O17" s="106">
        <v>2906.35</v>
      </c>
      <c r="P17" s="145">
        <f>+IFERROR(O17/Summary!O$19,"")</f>
        <v>3.568939434206902E-4</v>
      </c>
      <c r="Q17" s="183">
        <f t="shared" si="2"/>
        <v>-2163.6</v>
      </c>
      <c r="R17" s="36">
        <v>-2000</v>
      </c>
      <c r="S17" s="145">
        <f>+IFERROR(R17/Summary!R$19,"")</f>
        <v>-2.845172371553086E-4</v>
      </c>
      <c r="T17" s="183">
        <f t="shared" si="3"/>
        <v>2742.75</v>
      </c>
    </row>
    <row r="18" spans="2:20" x14ac:dyDescent="0.25">
      <c r="B18" s="14"/>
      <c r="C18" s="23" t="s">
        <v>414</v>
      </c>
      <c r="D18" s="103">
        <f t="shared" ref="D18" si="10">+D15+SUM(D16:D17)</f>
        <v>23834.9</v>
      </c>
      <c r="E18" s="146">
        <f>+IFERROR(D18/Summary!D$19,"")</f>
        <v>2.037298593469989E-2</v>
      </c>
      <c r="F18" s="103">
        <f>+F15+SUM(F16:F17)</f>
        <v>24062.59</v>
      </c>
      <c r="G18" s="146">
        <f>+IFERROR(F18/Summary!F$19,"")</f>
        <v>1.7449008133923069E-2</v>
      </c>
      <c r="H18" s="150">
        <f t="shared" si="0"/>
        <v>-227.68999999999869</v>
      </c>
      <c r="I18" s="103">
        <f>+I15+SUM(I16:I17)</f>
        <v>18350.190000000002</v>
      </c>
      <c r="J18" s="146">
        <f>+IFERROR(I18/Summary!I$19,"")</f>
        <v>1.5753313325315915E-2</v>
      </c>
      <c r="K18" s="150">
        <f t="shared" si="1"/>
        <v>5484.7099999999991</v>
      </c>
      <c r="M18" s="103">
        <f t="shared" ref="M18" si="11">+M15+SUM(M16:M17)</f>
        <v>115101.26999999999</v>
      </c>
      <c r="N18" s="146">
        <f>+IFERROR(M18/Summary!M$19,"")</f>
        <v>1.5430836908602705E-2</v>
      </c>
      <c r="O18" s="103">
        <f>+O15+SUM(O16:O17)</f>
        <v>117675.91</v>
      </c>
      <c r="P18" s="146">
        <f>+IFERROR(O18/Summary!O$19,"")</f>
        <v>1.4450365429324836E-2</v>
      </c>
      <c r="Q18" s="150">
        <f t="shared" si="2"/>
        <v>-2574.640000000014</v>
      </c>
      <c r="R18" s="103">
        <f>+R15+SUM(R16:R17)</f>
        <v>123322.83</v>
      </c>
      <c r="S18" s="146">
        <f>+IFERROR(R18/Summary!R$19,"")</f>
        <v>1.7543735434886906E-2</v>
      </c>
      <c r="T18" s="150">
        <f t="shared" si="3"/>
        <v>-8221.5600000000122</v>
      </c>
    </row>
    <row r="19" spans="2:20" x14ac:dyDescent="0.25">
      <c r="B19" s="14" t="s">
        <v>298</v>
      </c>
      <c r="C19" s="17" t="s">
        <v>415</v>
      </c>
      <c r="D19" s="106">
        <v>1931.64</v>
      </c>
      <c r="E19" s="145">
        <f>+IFERROR(D19/Summary!D$19,"")</f>
        <v>1.6510778124054933E-3</v>
      </c>
      <c r="F19" s="106">
        <v>2474.1</v>
      </c>
      <c r="G19" s="145">
        <f>+IFERROR(F19/Summary!F$19,"")</f>
        <v>1.7940957737358724E-3</v>
      </c>
      <c r="H19" s="182">
        <f t="shared" si="0"/>
        <v>-542.45999999999981</v>
      </c>
      <c r="I19" s="36">
        <v>1356.01</v>
      </c>
      <c r="J19" s="145">
        <f>+IFERROR(I19/Summary!I$19,"")</f>
        <v>1.1641105842643388E-3</v>
      </c>
      <c r="K19" s="182">
        <f t="shared" si="1"/>
        <v>575.63000000000011</v>
      </c>
      <c r="M19" s="106">
        <v>9105.7900000000009</v>
      </c>
      <c r="N19" s="145">
        <f>+IFERROR(M19/Summary!M$19,"")</f>
        <v>1.2207507390143086E-3</v>
      </c>
      <c r="O19" s="106">
        <v>11942.55</v>
      </c>
      <c r="P19" s="145">
        <f>+IFERROR(O19/Summary!O$19,"")</f>
        <v>1.4665211567769759E-3</v>
      </c>
      <c r="Q19" s="182">
        <f t="shared" si="2"/>
        <v>-2836.7599999999984</v>
      </c>
      <c r="R19" s="36">
        <v>10457.31</v>
      </c>
      <c r="S19" s="145">
        <f>+IFERROR(R19/Summary!R$19,"")</f>
        <v>1.48764247463829E-3</v>
      </c>
      <c r="T19" s="182">
        <f t="shared" si="3"/>
        <v>-1351.5199999999986</v>
      </c>
    </row>
    <row r="20" spans="2:20" x14ac:dyDescent="0.25">
      <c r="B20" s="14" t="s">
        <v>232</v>
      </c>
      <c r="C20" s="17" t="s">
        <v>360</v>
      </c>
      <c r="D20" s="36">
        <v>2392.4899999999998</v>
      </c>
      <c r="E20" s="51">
        <f>+IFERROR(D20/Summary!D$19,"")</f>
        <v>2.0449913831780344E-3</v>
      </c>
      <c r="F20" s="36">
        <v>3427.36</v>
      </c>
      <c r="G20" s="51">
        <f>+IFERROR(F20/Summary!F$19,"")</f>
        <v>2.4853530944874418E-3</v>
      </c>
      <c r="H20" s="182">
        <f t="shared" si="0"/>
        <v>-1034.8700000000003</v>
      </c>
      <c r="I20" s="36">
        <v>3816.83</v>
      </c>
      <c r="J20" s="51">
        <f>+IFERROR(I20/Summary!I$19,"")</f>
        <v>3.2766809989142089E-3</v>
      </c>
      <c r="K20" s="182">
        <f t="shared" si="1"/>
        <v>-1424.3400000000001</v>
      </c>
      <c r="M20" s="36">
        <v>14523.78</v>
      </c>
      <c r="N20" s="51">
        <f>+IFERROR(M20/Summary!M$19,"")</f>
        <v>1.9471034548656659E-3</v>
      </c>
      <c r="O20" s="36">
        <v>15018.95</v>
      </c>
      <c r="P20" s="51">
        <f>+IFERROR(O20/Summary!O$19,"")</f>
        <v>1.8442968987004923E-3</v>
      </c>
      <c r="Q20" s="182">
        <f t="shared" si="2"/>
        <v>-495.17000000000007</v>
      </c>
      <c r="R20" s="36">
        <v>11648.56</v>
      </c>
      <c r="S20" s="51">
        <f>+IFERROR(R20/Summary!R$19,"")</f>
        <v>1.6571080540189209E-3</v>
      </c>
      <c r="T20" s="182">
        <f t="shared" si="3"/>
        <v>2875.2200000000012</v>
      </c>
    </row>
    <row r="21" spans="2:20" x14ac:dyDescent="0.25">
      <c r="B21" s="14" t="s">
        <v>270</v>
      </c>
      <c r="C21" s="17" t="s">
        <v>361</v>
      </c>
      <c r="D21" s="106">
        <v>6840.43</v>
      </c>
      <c r="E21" s="145">
        <f>+IFERROR(D21/Summary!D$19,"")</f>
        <v>5.8468877225119117E-3</v>
      </c>
      <c r="F21" s="106">
        <v>5592.22</v>
      </c>
      <c r="G21" s="145">
        <f>+IFERROR(F21/Summary!F$19,"")</f>
        <v>4.0552032124009625E-3</v>
      </c>
      <c r="H21" s="226">
        <f t="shared" si="0"/>
        <v>1248.21</v>
      </c>
      <c r="I21" s="36">
        <v>7245.5</v>
      </c>
      <c r="J21" s="145">
        <f>+IFERROR(I21/Summary!I$19,"")</f>
        <v>6.2201335080768342E-3</v>
      </c>
      <c r="K21" s="226">
        <f t="shared" si="1"/>
        <v>-405.06999999999971</v>
      </c>
      <c r="M21" s="106">
        <v>25816.67</v>
      </c>
      <c r="N21" s="145">
        <f>+IFERROR(M21/Summary!M$19,"")</f>
        <v>3.4610636728266875E-3</v>
      </c>
      <c r="O21" s="106">
        <v>27669.52</v>
      </c>
      <c r="P21" s="145">
        <f>+IFERROR(O21/Summary!O$19,"")</f>
        <v>3.397761489620196E-3</v>
      </c>
      <c r="Q21" s="226">
        <f t="shared" si="2"/>
        <v>-1852.8500000000022</v>
      </c>
      <c r="R21" s="36">
        <v>33530.92</v>
      </c>
      <c r="S21" s="145">
        <f>+IFERROR(R21/Summary!R$19,"")</f>
        <v>4.7700623588378399E-3</v>
      </c>
      <c r="T21" s="226">
        <f t="shared" si="3"/>
        <v>-7714.25</v>
      </c>
    </row>
    <row r="22" spans="2:20" x14ac:dyDescent="0.25">
      <c r="B22" s="14" t="s">
        <v>292</v>
      </c>
      <c r="C22" s="23" t="s">
        <v>416</v>
      </c>
      <c r="D22" s="142">
        <f t="shared" ref="D22" si="12">+SUM(D19:D21)</f>
        <v>11164.560000000001</v>
      </c>
      <c r="E22" s="130">
        <f>+IFERROR(D22/Summary!D$19,"")</f>
        <v>9.54295691809544E-3</v>
      </c>
      <c r="F22" s="142">
        <f t="shared" ref="F22" si="13">+SUM(F19:F21)</f>
        <v>11493.68</v>
      </c>
      <c r="G22" s="130">
        <f>+IFERROR(F22/Summary!F$19,"")</f>
        <v>8.334652080624276E-3</v>
      </c>
      <c r="H22" s="26">
        <f t="shared" si="0"/>
        <v>-329.11999999999898</v>
      </c>
      <c r="I22" s="142">
        <f t="shared" ref="I22" si="14">+SUM(I19:I21)</f>
        <v>12418.34</v>
      </c>
      <c r="J22" s="130">
        <f>+IFERROR(I22/Summary!I$19,"")</f>
        <v>1.0660925091255382E-2</v>
      </c>
      <c r="K22" s="227">
        <f t="shared" si="1"/>
        <v>-1253.7799999999988</v>
      </c>
      <c r="M22" s="142">
        <f t="shared" ref="M22" si="15">+SUM(M19:M21)</f>
        <v>49446.239999999998</v>
      </c>
      <c r="N22" s="130">
        <f>+IFERROR(M22/Summary!M$19,"")</f>
        <v>6.628917866706662E-3</v>
      </c>
      <c r="O22" s="142">
        <f t="shared" ref="O22" si="16">+SUM(O19:O21)</f>
        <v>54631.020000000004</v>
      </c>
      <c r="P22" s="130">
        <f>+IFERROR(O22/Summary!O$19,"")</f>
        <v>6.708579545097665E-3</v>
      </c>
      <c r="Q22" s="26">
        <f t="shared" si="2"/>
        <v>-5184.7800000000061</v>
      </c>
      <c r="R22" s="142">
        <f t="shared" ref="R22" si="17">+SUM(R19:R21)</f>
        <v>55636.789999999994</v>
      </c>
      <c r="S22" s="130">
        <f>+IFERROR(R22/Summary!R$19,"")</f>
        <v>7.9148128874950499E-3</v>
      </c>
      <c r="T22" s="227">
        <f t="shared" si="3"/>
        <v>-6190.5499999999956</v>
      </c>
    </row>
    <row r="23" spans="2:20" x14ac:dyDescent="0.25">
      <c r="B23" s="14" t="s">
        <v>277</v>
      </c>
      <c r="C23" s="23" t="s">
        <v>417</v>
      </c>
      <c r="D23" s="91">
        <f t="shared" ref="D23" si="18">+D22+D18</f>
        <v>34999.460000000006</v>
      </c>
      <c r="E23" s="81">
        <f>+IFERROR(D23/Summary!D$19,"")</f>
        <v>2.9915942852795332E-2</v>
      </c>
      <c r="F23" s="91">
        <f t="shared" ref="F23" si="19">+F22+F18</f>
        <v>35556.270000000004</v>
      </c>
      <c r="G23" s="81">
        <f>+IFERROR(F23/Summary!F$19,"")</f>
        <v>2.5783660214547349E-2</v>
      </c>
      <c r="H23" s="192">
        <f t="shared" si="0"/>
        <v>-556.80999999999767</v>
      </c>
      <c r="I23" s="91">
        <f t="shared" ref="I23" si="20">+I22+I18</f>
        <v>30768.530000000002</v>
      </c>
      <c r="J23" s="81">
        <f>+IFERROR(I23/Summary!I$19,"")</f>
        <v>2.6414238416571294E-2</v>
      </c>
      <c r="K23" s="192">
        <f t="shared" si="1"/>
        <v>4230.9300000000039</v>
      </c>
      <c r="M23" s="91">
        <f t="shared" ref="M23" si="21">+M22+M18</f>
        <v>164547.50999999998</v>
      </c>
      <c r="N23" s="81">
        <f>+IFERROR(M23/Summary!M$19,"")</f>
        <v>2.2059754775309366E-2</v>
      </c>
      <c r="O23" s="91">
        <f t="shared" ref="O23" si="22">+O22+O18</f>
        <v>172306.93</v>
      </c>
      <c r="P23" s="81">
        <f>+IFERROR(O23/Summary!O$19,"")</f>
        <v>2.11589449744225E-2</v>
      </c>
      <c r="Q23" s="192">
        <f t="shared" si="2"/>
        <v>-7759.4200000000128</v>
      </c>
      <c r="R23" s="91">
        <f t="shared" ref="R23" si="23">+R22+R18</f>
        <v>178959.62</v>
      </c>
      <c r="S23" s="81">
        <f>+IFERROR(R23/Summary!R$19,"")</f>
        <v>2.5458548322381955E-2</v>
      </c>
      <c r="T23" s="192">
        <f t="shared" si="3"/>
        <v>-14412.110000000015</v>
      </c>
    </row>
    <row r="24" spans="2:20" x14ac:dyDescent="0.25">
      <c r="B24" s="14"/>
      <c r="C24" s="18"/>
      <c r="D24" s="48"/>
      <c r="E24" s="176"/>
      <c r="F24" s="48"/>
      <c r="H24" s="74"/>
      <c r="I24" s="48"/>
      <c r="K24" s="74"/>
      <c r="M24" s="48"/>
      <c r="N24" s="176"/>
      <c r="O24" s="48"/>
      <c r="Q24" s="74"/>
      <c r="R24" s="48"/>
      <c r="T24" s="74"/>
    </row>
    <row r="25" spans="2:20" x14ac:dyDescent="0.25">
      <c r="B25" s="14"/>
      <c r="C25" s="15" t="s">
        <v>51</v>
      </c>
      <c r="D25" s="48"/>
      <c r="E25" s="53"/>
      <c r="F25" s="77"/>
      <c r="H25" s="74"/>
      <c r="I25" s="77"/>
      <c r="K25" s="74"/>
      <c r="M25" s="48"/>
      <c r="N25" s="53"/>
      <c r="O25" s="77"/>
      <c r="Q25" s="74"/>
      <c r="R25" s="77"/>
      <c r="T25" s="74"/>
    </row>
    <row r="26" spans="2:20" x14ac:dyDescent="0.25">
      <c r="B26" s="14" t="s">
        <v>195</v>
      </c>
      <c r="C26" s="17" t="s">
        <v>373</v>
      </c>
      <c r="D26" s="36">
        <v>162.02000000000001</v>
      </c>
      <c r="E26" s="51">
        <f>+IFERROR(D26/Summary!D$19,"")</f>
        <v>1.3848730983306311E-4</v>
      </c>
      <c r="F26" s="36">
        <v>800</v>
      </c>
      <c r="G26" s="51">
        <f>+IFERROR(F26/Summary!F$19,"")</f>
        <v>5.8012069802703932E-4</v>
      </c>
      <c r="H26" s="137">
        <f t="shared" ref="H26:H56" si="24">+D26-F26</f>
        <v>-637.98</v>
      </c>
      <c r="I26" s="36">
        <v>472.81</v>
      </c>
      <c r="J26" s="51">
        <f>+IFERROR(I26/Summary!I$19,"")</f>
        <v>4.0589901648662038E-4</v>
      </c>
      <c r="K26" s="137">
        <f t="shared" ref="K26:K56" si="25">+D26-I26</f>
        <v>-310.78999999999996</v>
      </c>
      <c r="M26" s="36">
        <v>213.15</v>
      </c>
      <c r="N26" s="51">
        <f>+IFERROR(M26/Summary!M$19,"")</f>
        <v>2.8575556873253155E-5</v>
      </c>
      <c r="O26" s="36">
        <v>1414</v>
      </c>
      <c r="P26" s="51">
        <f>+IFERROR(O26/Summary!O$19,"")</f>
        <v>1.7363636038221687E-4</v>
      </c>
      <c r="Q26" s="137">
        <f t="shared" ref="Q26:Q56" si="26">+M26-O26</f>
        <v>-1200.8499999999999</v>
      </c>
      <c r="R26" s="36">
        <v>1879.83</v>
      </c>
      <c r="S26" s="51">
        <f>+IFERROR(R26/Summary!R$19,"")</f>
        <v>2.6742201896083189E-4</v>
      </c>
      <c r="T26" s="137">
        <f t="shared" ref="T26:T56" si="27">+M26-R26</f>
        <v>-1666.6799999999998</v>
      </c>
    </row>
    <row r="27" spans="2:20" x14ac:dyDescent="0.25">
      <c r="B27" s="14" t="s">
        <v>87</v>
      </c>
      <c r="C27" s="17" t="s">
        <v>365</v>
      </c>
      <c r="D27" s="36">
        <v>4197.88</v>
      </c>
      <c r="E27" s="51">
        <f>+IFERROR(D27/Summary!D$19,"")</f>
        <v>3.5881564510678865E-3</v>
      </c>
      <c r="F27" s="36">
        <v>4170.8602081250001</v>
      </c>
      <c r="G27" s="51">
        <f>+IFERROR(F27/Summary!F$19,"")</f>
        <v>3.0245029191383467E-3</v>
      </c>
      <c r="H27" s="137">
        <f t="shared" si="24"/>
        <v>27.01979187500001</v>
      </c>
      <c r="I27" s="36">
        <v>5607.22</v>
      </c>
      <c r="J27" s="51">
        <f>+IFERROR(I27/Summary!I$19,"")</f>
        <v>4.8136991248579923E-3</v>
      </c>
      <c r="K27" s="137">
        <f t="shared" si="25"/>
        <v>-1409.3400000000001</v>
      </c>
      <c r="M27" s="36">
        <v>26020.14</v>
      </c>
      <c r="N27" s="51">
        <f>+IFERROR(M27/Summary!M$19,"")</f>
        <v>3.4883414985691264E-3</v>
      </c>
      <c r="O27" s="36">
        <v>20633.534155943002</v>
      </c>
      <c r="P27" s="51">
        <f>+IFERROR(O27/Summary!O$19,"")</f>
        <v>2.5337565577511316E-3</v>
      </c>
      <c r="Q27" s="137">
        <f t="shared" si="26"/>
        <v>5386.6058440569977</v>
      </c>
      <c r="R27" s="36">
        <v>18798.63</v>
      </c>
      <c r="S27" s="51">
        <f>+IFERROR(R27/Summary!R$19,"")</f>
        <v>2.6742671349524495E-3</v>
      </c>
      <c r="T27" s="137">
        <f t="shared" si="27"/>
        <v>7221.5099999999984</v>
      </c>
    </row>
    <row r="28" spans="2:20" x14ac:dyDescent="0.25">
      <c r="B28" s="14" t="s">
        <v>715</v>
      </c>
      <c r="C28" s="289" t="s">
        <v>362</v>
      </c>
      <c r="D28" s="36">
        <v>0</v>
      </c>
      <c r="E28" s="51">
        <f>+IFERROR(D28/Summary!D$19,"")</f>
        <v>0</v>
      </c>
      <c r="F28" s="36">
        <v>0</v>
      </c>
      <c r="G28" s="51">
        <f>+IFERROR(F28/Summary!F$19,"")</f>
        <v>0</v>
      </c>
      <c r="H28" s="137">
        <f t="shared" si="24"/>
        <v>0</v>
      </c>
      <c r="I28" s="36">
        <v>0</v>
      </c>
      <c r="J28" s="51">
        <f>+IFERROR(I28/Summary!I$19,"")</f>
        <v>0</v>
      </c>
      <c r="K28" s="137">
        <f t="shared" si="25"/>
        <v>0</v>
      </c>
      <c r="M28" s="36">
        <v>0</v>
      </c>
      <c r="N28" s="51">
        <f>+IFERROR(M28/Summary!M$19,"")</f>
        <v>0</v>
      </c>
      <c r="O28" s="36">
        <v>0</v>
      </c>
      <c r="P28" s="51">
        <f>+IFERROR(O28/Summary!O$19,"")</f>
        <v>0</v>
      </c>
      <c r="Q28" s="137">
        <f t="shared" si="26"/>
        <v>0</v>
      </c>
      <c r="R28" s="36">
        <v>0</v>
      </c>
      <c r="S28" s="51">
        <f>+IFERROR(R28/Summary!R$19,"")</f>
        <v>0</v>
      </c>
      <c r="T28" s="137">
        <f t="shared" si="27"/>
        <v>0</v>
      </c>
    </row>
    <row r="29" spans="2:20" x14ac:dyDescent="0.25">
      <c r="B29" s="14" t="s">
        <v>632</v>
      </c>
      <c r="C29" s="17" t="s">
        <v>489</v>
      </c>
      <c r="D29" s="36">
        <v>0</v>
      </c>
      <c r="E29" s="51">
        <f>+IFERROR(D29/Summary!D$19,"")</f>
        <v>0</v>
      </c>
      <c r="F29" s="36">
        <v>0</v>
      </c>
      <c r="G29" s="51">
        <f>+IFERROR(F29/Summary!F$19,"")</f>
        <v>0</v>
      </c>
      <c r="H29" s="137">
        <f t="shared" si="24"/>
        <v>0</v>
      </c>
      <c r="I29" s="36">
        <v>0</v>
      </c>
      <c r="J29" s="51">
        <f>+IFERROR(I29/Summary!I$19,"")</f>
        <v>0</v>
      </c>
      <c r="K29" s="137">
        <f t="shared" si="25"/>
        <v>0</v>
      </c>
      <c r="M29" s="36">
        <v>0</v>
      </c>
      <c r="N29" s="51">
        <f>+IFERROR(M29/Summary!M$19,"")</f>
        <v>0</v>
      </c>
      <c r="O29" s="36">
        <v>0</v>
      </c>
      <c r="P29" s="51">
        <f>+IFERROR(O29/Summary!O$19,"")</f>
        <v>0</v>
      </c>
      <c r="Q29" s="137">
        <f t="shared" si="26"/>
        <v>0</v>
      </c>
      <c r="R29" s="36">
        <v>0</v>
      </c>
      <c r="S29" s="51">
        <f>+IFERROR(R29/Summary!R$19,"")</f>
        <v>0</v>
      </c>
      <c r="T29" s="137">
        <f t="shared" si="27"/>
        <v>0</v>
      </c>
    </row>
    <row r="30" spans="2:20" x14ac:dyDescent="0.25">
      <c r="B30" s="14" t="s">
        <v>332</v>
      </c>
      <c r="C30" s="17" t="s">
        <v>377</v>
      </c>
      <c r="D30" s="36">
        <v>174.65</v>
      </c>
      <c r="E30" s="51">
        <f>+IFERROR(D30/Summary!D$19,"")</f>
        <v>1.4928285805668727E-4</v>
      </c>
      <c r="F30" s="36">
        <v>39.58</v>
      </c>
      <c r="G30" s="51">
        <f>+IFERROR(F30/Summary!F$19,"")</f>
        <v>2.8701471534887767E-5</v>
      </c>
      <c r="H30" s="137">
        <f t="shared" si="24"/>
        <v>135.07</v>
      </c>
      <c r="I30" s="36">
        <v>67.900000000000006</v>
      </c>
      <c r="J30" s="51">
        <f>+IFERROR(I30/Summary!I$19,"")</f>
        <v>5.8290948202114007E-5</v>
      </c>
      <c r="K30" s="137">
        <f t="shared" si="25"/>
        <v>106.75</v>
      </c>
      <c r="M30" s="36">
        <v>295.43</v>
      </c>
      <c r="N30" s="51">
        <f>+IFERROR(M30/Summary!M$19,"")</f>
        <v>3.9606271485175601E-5</v>
      </c>
      <c r="O30" s="36">
        <v>297.89999999999998</v>
      </c>
      <c r="P30" s="51">
        <f>+IFERROR(O30/Summary!O$19,"")</f>
        <v>3.6581521752377936E-5</v>
      </c>
      <c r="Q30" s="137">
        <f t="shared" si="26"/>
        <v>-2.4699999999999704</v>
      </c>
      <c r="R30" s="36">
        <v>289</v>
      </c>
      <c r="S30" s="51">
        <f>+IFERROR(R30/Summary!R$19,"")</f>
        <v>4.1112740768942093E-5</v>
      </c>
      <c r="T30" s="137">
        <f t="shared" si="27"/>
        <v>6.4300000000000068</v>
      </c>
    </row>
    <row r="31" spans="2:20" x14ac:dyDescent="0.25">
      <c r="B31" s="14" t="s">
        <v>327</v>
      </c>
      <c r="C31" s="17" t="s">
        <v>376</v>
      </c>
      <c r="D31" s="36">
        <v>0</v>
      </c>
      <c r="E31" s="51">
        <f>+IFERROR(D31/Summary!D$19,"")</f>
        <v>0</v>
      </c>
      <c r="F31" s="36">
        <v>0</v>
      </c>
      <c r="G31" s="51">
        <f>+IFERROR(F31/Summary!F$19,"")</f>
        <v>0</v>
      </c>
      <c r="H31" s="137">
        <f t="shared" si="24"/>
        <v>0</v>
      </c>
      <c r="I31" s="36">
        <v>0</v>
      </c>
      <c r="J31" s="51">
        <f>+IFERROR(I31/Summary!I$19,"")</f>
        <v>0</v>
      </c>
      <c r="K31" s="137">
        <f t="shared" si="25"/>
        <v>0</v>
      </c>
      <c r="M31" s="36">
        <v>0</v>
      </c>
      <c r="N31" s="51">
        <f>+IFERROR(M31/Summary!M$19,"")</f>
        <v>0</v>
      </c>
      <c r="O31" s="36">
        <v>0</v>
      </c>
      <c r="P31" s="51">
        <f>+IFERROR(O31/Summary!O$19,"")</f>
        <v>0</v>
      </c>
      <c r="Q31" s="137">
        <f t="shared" si="26"/>
        <v>0</v>
      </c>
      <c r="R31" s="36">
        <v>0</v>
      </c>
      <c r="S31" s="51">
        <f>+IFERROR(R31/Summary!R$19,"")</f>
        <v>0</v>
      </c>
      <c r="T31" s="137">
        <f t="shared" si="27"/>
        <v>0</v>
      </c>
    </row>
    <row r="32" spans="2:20" x14ac:dyDescent="0.25">
      <c r="B32" s="14" t="s">
        <v>315</v>
      </c>
      <c r="C32" s="17" t="s">
        <v>375</v>
      </c>
      <c r="D32" s="36">
        <v>0</v>
      </c>
      <c r="E32" s="51">
        <f>+IFERROR(D32/Summary!D$19,"")</f>
        <v>0</v>
      </c>
      <c r="F32" s="36">
        <v>0</v>
      </c>
      <c r="G32" s="51">
        <f>+IFERROR(F32/Summary!F$19,"")</f>
        <v>0</v>
      </c>
      <c r="H32" s="137">
        <f t="shared" si="24"/>
        <v>0</v>
      </c>
      <c r="I32" s="36">
        <v>0</v>
      </c>
      <c r="J32" s="51">
        <f>+IFERROR(I32/Summary!I$19,"")</f>
        <v>0</v>
      </c>
      <c r="K32" s="137">
        <f t="shared" si="25"/>
        <v>0</v>
      </c>
      <c r="M32" s="36">
        <v>0</v>
      </c>
      <c r="N32" s="51">
        <f>+IFERROR(M32/Summary!M$19,"")</f>
        <v>0</v>
      </c>
      <c r="O32" s="36">
        <v>0</v>
      </c>
      <c r="P32" s="51">
        <f>+IFERROR(O32/Summary!O$19,"")</f>
        <v>0</v>
      </c>
      <c r="Q32" s="137">
        <f t="shared" si="26"/>
        <v>0</v>
      </c>
      <c r="R32" s="36">
        <v>0</v>
      </c>
      <c r="S32" s="51">
        <f>+IFERROR(R32/Summary!R$19,"")</f>
        <v>0</v>
      </c>
      <c r="T32" s="137">
        <f t="shared" si="27"/>
        <v>0</v>
      </c>
    </row>
    <row r="33" spans="2:20" x14ac:dyDescent="0.25">
      <c r="B33" s="14" t="s">
        <v>337</v>
      </c>
      <c r="C33" s="17" t="s">
        <v>378</v>
      </c>
      <c r="D33" s="36">
        <v>300</v>
      </c>
      <c r="E33" s="51">
        <f>+IFERROR(D33/Summary!D$19,"")</f>
        <v>2.5642632360152408E-4</v>
      </c>
      <c r="F33" s="36">
        <v>300</v>
      </c>
      <c r="G33" s="51">
        <f>+IFERROR(F33/Summary!F$19,"")</f>
        <v>2.1754526176013975E-4</v>
      </c>
      <c r="H33" s="137">
        <f t="shared" si="24"/>
        <v>0</v>
      </c>
      <c r="I33" s="36">
        <v>0</v>
      </c>
      <c r="J33" s="51">
        <f>+IFERROR(I33/Summary!I$19,"")</f>
        <v>0</v>
      </c>
      <c r="K33" s="137">
        <f t="shared" si="25"/>
        <v>300</v>
      </c>
      <c r="M33" s="36">
        <v>608.99</v>
      </c>
      <c r="N33" s="51">
        <f>+IFERROR(M33/Summary!M$19,"")</f>
        <v>8.1643107577961233E-5</v>
      </c>
      <c r="O33" s="36">
        <v>525</v>
      </c>
      <c r="P33" s="51">
        <f>+IFERROR(O33/Summary!O$19,"")</f>
        <v>6.4468945686466656E-5</v>
      </c>
      <c r="Q33" s="137">
        <f t="shared" si="26"/>
        <v>83.990000000000009</v>
      </c>
      <c r="R33" s="36">
        <v>530.28</v>
      </c>
      <c r="S33" s="51">
        <f>+IFERROR(R33/Summary!R$19,"")</f>
        <v>7.5436900259358516E-5</v>
      </c>
      <c r="T33" s="137">
        <f t="shared" si="27"/>
        <v>78.710000000000036</v>
      </c>
    </row>
    <row r="34" spans="2:20" x14ac:dyDescent="0.25">
      <c r="B34" s="14" t="s">
        <v>342</v>
      </c>
      <c r="C34" s="17" t="s">
        <v>421</v>
      </c>
      <c r="D34" s="36">
        <v>413.89</v>
      </c>
      <c r="E34" s="51">
        <f>+IFERROR(D34/Summary!D$19,"")</f>
        <v>3.537743035847827E-4</v>
      </c>
      <c r="F34" s="36">
        <v>320.75</v>
      </c>
      <c r="G34" s="51">
        <f>+IFERROR(F34/Summary!F$19,"")</f>
        <v>2.3259214236521608E-4</v>
      </c>
      <c r="H34" s="137">
        <f t="shared" si="24"/>
        <v>93.139999999999986</v>
      </c>
      <c r="I34" s="36">
        <v>402.05</v>
      </c>
      <c r="J34" s="51">
        <f>+IFERROR(I34/Summary!I$19,"")</f>
        <v>3.4515280890515368E-4</v>
      </c>
      <c r="K34" s="137">
        <f t="shared" si="25"/>
        <v>11.839999999999975</v>
      </c>
      <c r="M34" s="36">
        <v>1604.33</v>
      </c>
      <c r="N34" s="51">
        <f>+IFERROR(M34/Summary!M$19,"")</f>
        <v>2.1508150672515237E-4</v>
      </c>
      <c r="O34" s="36">
        <v>1603.75</v>
      </c>
      <c r="P34" s="51">
        <f>+IFERROR(O34/Summary!O$19,"")</f>
        <v>1.9693727932318267E-4</v>
      </c>
      <c r="Q34" s="137">
        <f t="shared" si="26"/>
        <v>0.57999999999992724</v>
      </c>
      <c r="R34" s="36">
        <v>1730.62</v>
      </c>
      <c r="S34" s="51">
        <f>+IFERROR(R34/Summary!R$19,"")</f>
        <v>2.4619561048286006E-4</v>
      </c>
      <c r="T34" s="137">
        <f t="shared" si="27"/>
        <v>-126.28999999999996</v>
      </c>
    </row>
    <row r="35" spans="2:20" x14ac:dyDescent="0.25">
      <c r="B35" s="14" t="s">
        <v>126</v>
      </c>
      <c r="C35" s="17" t="s">
        <v>367</v>
      </c>
      <c r="D35" s="36">
        <v>0</v>
      </c>
      <c r="E35" s="51">
        <f>+IFERROR(D35/Summary!D$19,"")</f>
        <v>0</v>
      </c>
      <c r="F35" s="36">
        <v>0</v>
      </c>
      <c r="G35" s="51">
        <f>+IFERROR(F35/Summary!F$19,"")</f>
        <v>0</v>
      </c>
      <c r="H35" s="137">
        <f t="shared" si="24"/>
        <v>0</v>
      </c>
      <c r="I35" s="36">
        <v>0</v>
      </c>
      <c r="J35" s="51">
        <f>+IFERROR(I35/Summary!I$19,"")</f>
        <v>0</v>
      </c>
      <c r="K35" s="137">
        <f t="shared" si="25"/>
        <v>0</v>
      </c>
      <c r="M35" s="36">
        <v>0</v>
      </c>
      <c r="N35" s="51">
        <f>+IFERROR(M35/Summary!M$19,"")</f>
        <v>0</v>
      </c>
      <c r="O35" s="36">
        <v>0</v>
      </c>
      <c r="P35" s="51">
        <f>+IFERROR(O35/Summary!O$19,"")</f>
        <v>0</v>
      </c>
      <c r="Q35" s="137">
        <f t="shared" si="26"/>
        <v>0</v>
      </c>
      <c r="R35" s="36">
        <v>0</v>
      </c>
      <c r="S35" s="51">
        <f>+IFERROR(R35/Summary!R$19,"")</f>
        <v>0</v>
      </c>
      <c r="T35" s="137">
        <f t="shared" si="27"/>
        <v>0</v>
      </c>
    </row>
    <row r="36" spans="2:20" x14ac:dyDescent="0.25">
      <c r="B36" s="14" t="s">
        <v>128</v>
      </c>
      <c r="C36" s="17" t="s">
        <v>524</v>
      </c>
      <c r="D36" s="36">
        <v>0</v>
      </c>
      <c r="E36" s="51">
        <f>+IFERROR(D36/Summary!D$19,"")</f>
        <v>0</v>
      </c>
      <c r="F36" s="36">
        <v>0</v>
      </c>
      <c r="G36" s="51">
        <f>+IFERROR(F36/Summary!F$19,"")</f>
        <v>0</v>
      </c>
      <c r="H36" s="137">
        <f t="shared" si="24"/>
        <v>0</v>
      </c>
      <c r="I36" s="36">
        <v>0</v>
      </c>
      <c r="J36" s="51">
        <f>+IFERROR(I36/Summary!I$19,"")</f>
        <v>0</v>
      </c>
      <c r="K36" s="137">
        <f t="shared" si="25"/>
        <v>0</v>
      </c>
      <c r="M36" s="36">
        <v>0</v>
      </c>
      <c r="N36" s="51">
        <f>+IFERROR(M36/Summary!M$19,"")</f>
        <v>0</v>
      </c>
      <c r="O36" s="36">
        <v>0</v>
      </c>
      <c r="P36" s="51">
        <f>+IFERROR(O36/Summary!O$19,"")</f>
        <v>0</v>
      </c>
      <c r="Q36" s="137">
        <f t="shared" si="26"/>
        <v>0</v>
      </c>
      <c r="R36" s="36">
        <v>0</v>
      </c>
      <c r="S36" s="51">
        <f>+IFERROR(R36/Summary!R$19,"")</f>
        <v>0</v>
      </c>
      <c r="T36" s="137">
        <f t="shared" si="27"/>
        <v>0</v>
      </c>
    </row>
    <row r="37" spans="2:20" x14ac:dyDescent="0.25">
      <c r="B37" s="14" t="s">
        <v>164</v>
      </c>
      <c r="C37" s="17" t="s">
        <v>371</v>
      </c>
      <c r="D37" s="36">
        <v>0</v>
      </c>
      <c r="E37" s="51">
        <f>+IFERROR(D37/Summary!D$19,"")</f>
        <v>0</v>
      </c>
      <c r="F37" s="36">
        <v>867</v>
      </c>
      <c r="G37" s="51">
        <f>+IFERROR(F37/Summary!F$19,"")</f>
        <v>6.2870580648680379E-4</v>
      </c>
      <c r="H37" s="137">
        <f t="shared" si="24"/>
        <v>-867</v>
      </c>
      <c r="I37" s="36">
        <v>0</v>
      </c>
      <c r="J37" s="51">
        <f>+IFERROR(I37/Summary!I$19,"")</f>
        <v>0</v>
      </c>
      <c r="K37" s="137">
        <f t="shared" si="25"/>
        <v>0</v>
      </c>
      <c r="M37" s="36">
        <v>-3110</v>
      </c>
      <c r="N37" s="51">
        <f>+IFERROR(M37/Summary!M$19,"")</f>
        <v>-4.1693634471413231E-4</v>
      </c>
      <c r="O37" s="36">
        <v>867</v>
      </c>
      <c r="P37" s="51">
        <f>+IFERROR(O37/Summary!O$19,"")</f>
        <v>1.064658588765078E-4</v>
      </c>
      <c r="Q37" s="137">
        <f t="shared" si="26"/>
        <v>-3977</v>
      </c>
      <c r="R37" s="36">
        <v>-5300</v>
      </c>
      <c r="S37" s="51">
        <f>+IFERROR(R37/Summary!R$19,"")</f>
        <v>-7.5397067846156782E-4</v>
      </c>
      <c r="T37" s="137">
        <f t="shared" si="27"/>
        <v>2190</v>
      </c>
    </row>
    <row r="38" spans="2:20" x14ac:dyDescent="0.25">
      <c r="B38" s="14" t="s">
        <v>165</v>
      </c>
      <c r="C38" s="17" t="s">
        <v>508</v>
      </c>
      <c r="D38" s="36">
        <v>2228.2199999999998</v>
      </c>
      <c r="E38" s="51">
        <f>+IFERROR(D38/Summary!D$19,"")</f>
        <v>1.9045808759179598E-3</v>
      </c>
      <c r="F38" s="36">
        <v>1155</v>
      </c>
      <c r="G38" s="51">
        <f>+IFERROR(F38/Summary!F$19,"")</f>
        <v>8.37549257776538E-4</v>
      </c>
      <c r="H38" s="137">
        <f t="shared" si="24"/>
        <v>1073.2199999999998</v>
      </c>
      <c r="I38" s="36">
        <v>1752.63</v>
      </c>
      <c r="J38" s="51">
        <f>+IFERROR(I38/Summary!I$19,"")</f>
        <v>1.5046018342779245E-3</v>
      </c>
      <c r="K38" s="137">
        <f t="shared" si="25"/>
        <v>475.58999999999969</v>
      </c>
      <c r="M38" s="36">
        <v>4443.22</v>
      </c>
      <c r="N38" s="51">
        <f>+IFERROR(M38/Summary!M$19,"")</f>
        <v>5.9567199535714695E-4</v>
      </c>
      <c r="O38" s="36">
        <v>2535</v>
      </c>
      <c r="P38" s="51">
        <f>+IFERROR(O38/Summary!O$19,"")</f>
        <v>3.1129290917179613E-4</v>
      </c>
      <c r="Q38" s="137">
        <f t="shared" si="26"/>
        <v>1908.2200000000003</v>
      </c>
      <c r="R38" s="36">
        <v>4388.16</v>
      </c>
      <c r="S38" s="51">
        <f>+IFERROR(R38/Summary!R$19,"")</f>
        <v>6.2425357969771948E-4</v>
      </c>
      <c r="T38" s="137">
        <f t="shared" si="27"/>
        <v>55.0600000000004</v>
      </c>
    </row>
    <row r="39" spans="2:20" x14ac:dyDescent="0.25">
      <c r="B39" s="14" t="s">
        <v>113</v>
      </c>
      <c r="C39" s="17" t="s">
        <v>509</v>
      </c>
      <c r="D39" s="36">
        <v>342.54</v>
      </c>
      <c r="E39" s="51">
        <f>+IFERROR(D39/Summary!D$19,"")</f>
        <v>2.9278757628822024E-4</v>
      </c>
      <c r="F39" s="36">
        <v>350</v>
      </c>
      <c r="G39" s="51">
        <f>+IFERROR(F39/Summary!F$19,"")</f>
        <v>2.5380280538682968E-4</v>
      </c>
      <c r="H39" s="137">
        <f t="shared" si="24"/>
        <v>-7.4599999999999795</v>
      </c>
      <c r="I39" s="36">
        <v>165.61</v>
      </c>
      <c r="J39" s="51">
        <f>+IFERROR(I39/Summary!I$19,"")</f>
        <v>1.4217325378132698E-4</v>
      </c>
      <c r="K39" s="137">
        <f t="shared" si="25"/>
        <v>176.93</v>
      </c>
      <c r="M39" s="36">
        <v>2781.27</v>
      </c>
      <c r="N39" s="51">
        <f>+IFERROR(M39/Summary!M$19,"")</f>
        <v>3.7286577088844851E-4</v>
      </c>
      <c r="O39" s="36">
        <v>3637</v>
      </c>
      <c r="P39" s="51">
        <f>+IFERROR(O39/Summary!O$19,"")</f>
        <v>4.4661629611748426E-4</v>
      </c>
      <c r="Q39" s="137">
        <f t="shared" si="26"/>
        <v>-855.73</v>
      </c>
      <c r="R39" s="36">
        <v>2137.2800000000002</v>
      </c>
      <c r="S39" s="51">
        <f>+IFERROR(R39/Summary!R$19,"")</f>
        <v>3.04046500313649E-4</v>
      </c>
      <c r="T39" s="137">
        <f t="shared" si="27"/>
        <v>643.98999999999978</v>
      </c>
    </row>
    <row r="40" spans="2:20" x14ac:dyDescent="0.25">
      <c r="B40" s="14" t="s">
        <v>155</v>
      </c>
      <c r="C40" s="17" t="s">
        <v>510</v>
      </c>
      <c r="D40" s="36">
        <v>378.83</v>
      </c>
      <c r="E40" s="51">
        <f>+IFERROR(D40/Summary!D$19,"")</f>
        <v>3.2380661389988454E-4</v>
      </c>
      <c r="F40" s="36">
        <v>786.17</v>
      </c>
      <c r="G40" s="51">
        <f>+IFERROR(F40/Summary!F$19,"")</f>
        <v>5.700918614598968E-4</v>
      </c>
      <c r="H40" s="137">
        <f t="shared" si="24"/>
        <v>-407.34</v>
      </c>
      <c r="I40" s="36">
        <v>1003.19</v>
      </c>
      <c r="J40" s="51">
        <f>+IFERROR(I40/Summary!I$19,"")</f>
        <v>8.6122085901146905E-4</v>
      </c>
      <c r="K40" s="137">
        <f t="shared" si="25"/>
        <v>-624.36000000000013</v>
      </c>
      <c r="M40" s="36">
        <v>5251.06</v>
      </c>
      <c r="N40" s="51">
        <f>+IFERROR(M40/Summary!M$19,"")</f>
        <v>7.0397355700147651E-4</v>
      </c>
      <c r="O40" s="36">
        <v>7330.85</v>
      </c>
      <c r="P40" s="51">
        <f>+IFERROR(O40/Summary!O$19,"")</f>
        <v>9.0021365806787457E-4</v>
      </c>
      <c r="Q40" s="137">
        <f t="shared" si="26"/>
        <v>-2079.79</v>
      </c>
      <c r="R40" s="36">
        <v>3442.2</v>
      </c>
      <c r="S40" s="51">
        <f>+IFERROR(R40/Summary!R$19,"")</f>
        <v>4.8968261686800163E-4</v>
      </c>
      <c r="T40" s="137">
        <f t="shared" si="27"/>
        <v>1808.8600000000006</v>
      </c>
    </row>
    <row r="41" spans="2:20" x14ac:dyDescent="0.25">
      <c r="B41" s="14" t="s">
        <v>158</v>
      </c>
      <c r="C41" s="17" t="s">
        <v>522</v>
      </c>
      <c r="D41" s="36">
        <v>0</v>
      </c>
      <c r="E41" s="51">
        <f>+IFERROR(D41/Summary!D$19,"")</f>
        <v>0</v>
      </c>
      <c r="F41" s="36">
        <v>0</v>
      </c>
      <c r="G41" s="51">
        <f>+IFERROR(F41/Summary!F$19,"")</f>
        <v>0</v>
      </c>
      <c r="H41" s="137">
        <f t="shared" si="24"/>
        <v>0</v>
      </c>
      <c r="I41" s="36">
        <v>0</v>
      </c>
      <c r="J41" s="51">
        <f>+IFERROR(I41/Summary!I$19,"")</f>
        <v>0</v>
      </c>
      <c r="K41" s="137">
        <f t="shared" si="25"/>
        <v>0</v>
      </c>
      <c r="M41" s="36">
        <v>0</v>
      </c>
      <c r="N41" s="51">
        <f>+IFERROR(M41/Summary!M$19,"")</f>
        <v>0</v>
      </c>
      <c r="O41" s="36">
        <v>0</v>
      </c>
      <c r="P41" s="51">
        <f>+IFERROR(O41/Summary!O$19,"")</f>
        <v>0</v>
      </c>
      <c r="Q41" s="137">
        <f t="shared" si="26"/>
        <v>0</v>
      </c>
      <c r="R41" s="36">
        <v>0</v>
      </c>
      <c r="S41" s="51">
        <f>+IFERROR(R41/Summary!R$19,"")</f>
        <v>0</v>
      </c>
      <c r="T41" s="137">
        <f t="shared" si="27"/>
        <v>0</v>
      </c>
    </row>
    <row r="42" spans="2:20" x14ac:dyDescent="0.25">
      <c r="B42" s="14" t="s">
        <v>160</v>
      </c>
      <c r="C42" s="17" t="s">
        <v>523</v>
      </c>
      <c r="D42" s="36">
        <v>0</v>
      </c>
      <c r="E42" s="51">
        <f>+IFERROR(D42/Summary!D$19,"")</f>
        <v>0</v>
      </c>
      <c r="F42" s="36">
        <v>0</v>
      </c>
      <c r="G42" s="51">
        <f>+IFERROR(F42/Summary!F$19,"")</f>
        <v>0</v>
      </c>
      <c r="H42" s="137">
        <f t="shared" si="24"/>
        <v>0</v>
      </c>
      <c r="I42" s="36">
        <v>0</v>
      </c>
      <c r="J42" s="51">
        <f>+IFERROR(I42/Summary!I$19,"")</f>
        <v>0</v>
      </c>
      <c r="K42" s="137">
        <f t="shared" si="25"/>
        <v>0</v>
      </c>
      <c r="M42" s="36">
        <v>0</v>
      </c>
      <c r="N42" s="51">
        <f>+IFERROR(M42/Summary!M$19,"")</f>
        <v>0</v>
      </c>
      <c r="O42" s="36">
        <v>0</v>
      </c>
      <c r="P42" s="51">
        <f>+IFERROR(O42/Summary!O$19,"")</f>
        <v>0</v>
      </c>
      <c r="Q42" s="137">
        <f t="shared" si="26"/>
        <v>0</v>
      </c>
      <c r="R42" s="36">
        <v>0</v>
      </c>
      <c r="S42" s="51">
        <f>+IFERROR(R42/Summary!R$19,"")</f>
        <v>0</v>
      </c>
      <c r="T42" s="137">
        <f t="shared" si="27"/>
        <v>0</v>
      </c>
    </row>
    <row r="43" spans="2:20" x14ac:dyDescent="0.25">
      <c r="B43" s="14" t="s">
        <v>134</v>
      </c>
      <c r="C43" s="17" t="s">
        <v>511</v>
      </c>
      <c r="D43" s="36">
        <v>-471</v>
      </c>
      <c r="E43" s="51">
        <f>+IFERROR(D43/Summary!D$19,"")</f>
        <v>-4.025893280543928E-4</v>
      </c>
      <c r="F43" s="36">
        <v>0</v>
      </c>
      <c r="G43" s="51">
        <f>+IFERROR(F43/Summary!F$19,"")</f>
        <v>0</v>
      </c>
      <c r="H43" s="137">
        <f t="shared" si="24"/>
        <v>-471</v>
      </c>
      <c r="I43" s="36">
        <v>0</v>
      </c>
      <c r="J43" s="51">
        <f>+IFERROR(I43/Summary!I$19,"")</f>
        <v>0</v>
      </c>
      <c r="K43" s="137">
        <f t="shared" si="25"/>
        <v>-471</v>
      </c>
      <c r="M43" s="36">
        <v>2290.8000000000002</v>
      </c>
      <c r="N43" s="51">
        <f>+IFERROR(M43/Summary!M$19,"")</f>
        <v>3.0711182587496281E-4</v>
      </c>
      <c r="O43" s="36">
        <v>871</v>
      </c>
      <c r="P43" s="51">
        <f>+IFERROR(O43/Summary!O$19,"")</f>
        <v>1.0695705084364279E-4</v>
      </c>
      <c r="Q43" s="137">
        <f t="shared" si="26"/>
        <v>1419.8000000000002</v>
      </c>
      <c r="R43" s="36">
        <v>-875</v>
      </c>
      <c r="S43" s="51">
        <f>+IFERROR(R43/Summary!R$19,"")</f>
        <v>-1.2447629125544751E-4</v>
      </c>
      <c r="T43" s="137">
        <f t="shared" si="27"/>
        <v>3165.8</v>
      </c>
    </row>
    <row r="44" spans="2:20" x14ac:dyDescent="0.25">
      <c r="B44" s="14" t="s">
        <v>64</v>
      </c>
      <c r="C44" s="17" t="s">
        <v>512</v>
      </c>
      <c r="D44" s="36">
        <v>1158.8900000000001</v>
      </c>
      <c r="E44" s="51">
        <f>+IFERROR(D44/Summary!D$19,"")</f>
        <v>9.905663405285676E-4</v>
      </c>
      <c r="F44" s="36">
        <v>1693</v>
      </c>
      <c r="G44" s="51">
        <f>+IFERROR(F44/Summary!F$19,"")</f>
        <v>1.2276804271997219E-3</v>
      </c>
      <c r="H44" s="137">
        <f t="shared" si="24"/>
        <v>-534.1099999999999</v>
      </c>
      <c r="I44" s="36">
        <v>1739.99</v>
      </c>
      <c r="J44" s="51">
        <f>+IFERROR(I44/Summary!I$19,"")</f>
        <v>1.4937506179999462E-3</v>
      </c>
      <c r="K44" s="137">
        <f t="shared" si="25"/>
        <v>-581.09999999999991</v>
      </c>
      <c r="M44" s="36">
        <v>5541.13</v>
      </c>
      <c r="N44" s="51">
        <f>+IFERROR(M44/Summary!M$19,"")</f>
        <v>7.4286125009190361E-4</v>
      </c>
      <c r="O44" s="36">
        <v>7912</v>
      </c>
      <c r="P44" s="51">
        <f>+IFERROR(O44/Summary!O$19,"")</f>
        <v>9.7157771099299847E-4</v>
      </c>
      <c r="Q44" s="137">
        <f t="shared" si="26"/>
        <v>-2370.87</v>
      </c>
      <c r="R44" s="36">
        <v>7146.53</v>
      </c>
      <c r="S44" s="51">
        <f>+IFERROR(R44/Summary!R$19,"")</f>
        <v>1.0166554854237639E-3</v>
      </c>
      <c r="T44" s="137">
        <f t="shared" si="27"/>
        <v>-1605.3999999999996</v>
      </c>
    </row>
    <row r="45" spans="2:20" x14ac:dyDescent="0.25">
      <c r="B45" s="14" t="s">
        <v>213</v>
      </c>
      <c r="C45" s="17" t="s">
        <v>513</v>
      </c>
      <c r="D45" s="36">
        <v>27.67</v>
      </c>
      <c r="E45" s="51">
        <f>+IFERROR(D45/Summary!D$19,"")</f>
        <v>2.3651054580180573E-5</v>
      </c>
      <c r="F45" s="36">
        <v>350.75</v>
      </c>
      <c r="G45" s="51">
        <f>+IFERROR(F45/Summary!F$19,"")</f>
        <v>2.5434666854123005E-4</v>
      </c>
      <c r="H45" s="137">
        <f t="shared" si="24"/>
        <v>-323.08</v>
      </c>
      <c r="I45" s="36">
        <v>232.66</v>
      </c>
      <c r="J45" s="51">
        <f>+IFERROR(I45/Summary!I$19,"")</f>
        <v>1.9973449202803894E-4</v>
      </c>
      <c r="K45" s="137">
        <f t="shared" si="25"/>
        <v>-204.99</v>
      </c>
      <c r="M45" s="36">
        <v>1146.96</v>
      </c>
      <c r="N45" s="51">
        <f>+IFERROR(M45/Summary!M$19,"")</f>
        <v>1.5376505142550523E-4</v>
      </c>
      <c r="O45" s="36">
        <v>1753.75</v>
      </c>
      <c r="P45" s="51">
        <f>+IFERROR(O45/Summary!O$19,"")</f>
        <v>2.1535697809074456E-4</v>
      </c>
      <c r="Q45" s="137">
        <f t="shared" si="26"/>
        <v>-606.79</v>
      </c>
      <c r="R45" s="36">
        <v>1362.54</v>
      </c>
      <c r="S45" s="51">
        <f>+IFERROR(R45/Summary!R$19,"")</f>
        <v>1.9383305815679709E-4</v>
      </c>
      <c r="T45" s="137">
        <f t="shared" si="27"/>
        <v>-215.57999999999993</v>
      </c>
    </row>
    <row r="46" spans="2:20" x14ac:dyDescent="0.25">
      <c r="B46" s="14" t="s">
        <v>209</v>
      </c>
      <c r="C46" s="17" t="s">
        <v>514</v>
      </c>
      <c r="D46" s="36">
        <v>1054.4100000000001</v>
      </c>
      <c r="E46" s="51">
        <f>+IFERROR(D46/Summary!D$19,"")</f>
        <v>9.0126159956227677E-4</v>
      </c>
      <c r="F46" s="36">
        <v>1087</v>
      </c>
      <c r="G46" s="51">
        <f>+IFERROR(F46/Summary!F$19,"")</f>
        <v>7.8823899844423964E-4</v>
      </c>
      <c r="H46" s="137">
        <f t="shared" si="24"/>
        <v>-32.589999999999918</v>
      </c>
      <c r="I46" s="36">
        <v>1140.04</v>
      </c>
      <c r="J46" s="51">
        <f>+IFERROR(I46/Summary!I$19,"")</f>
        <v>9.7870416183119357E-4</v>
      </c>
      <c r="K46" s="137">
        <f t="shared" si="25"/>
        <v>-85.629999999999882</v>
      </c>
      <c r="M46" s="36">
        <v>5442.6</v>
      </c>
      <c r="N46" s="51">
        <f>+IFERROR(M46/Summary!M$19,"")</f>
        <v>7.296520095630665E-4</v>
      </c>
      <c r="O46" s="36">
        <v>5431</v>
      </c>
      <c r="P46" s="51">
        <f>+IFERROR(O46/Summary!O$19,"")</f>
        <v>6.6691589337752465E-4</v>
      </c>
      <c r="Q46" s="137">
        <f t="shared" si="26"/>
        <v>11.600000000000364</v>
      </c>
      <c r="R46" s="36">
        <v>5196.1499999999996</v>
      </c>
      <c r="S46" s="51">
        <f>+IFERROR(R46/Summary!R$19,"")</f>
        <v>7.3919712092227841E-4</v>
      </c>
      <c r="T46" s="137">
        <f t="shared" si="27"/>
        <v>246.45000000000073</v>
      </c>
    </row>
    <row r="47" spans="2:20" x14ac:dyDescent="0.25">
      <c r="B47" s="14" t="s">
        <v>233</v>
      </c>
      <c r="C47" s="17" t="s">
        <v>521</v>
      </c>
      <c r="D47" s="36">
        <v>1922.97</v>
      </c>
      <c r="E47" s="51">
        <f>+IFERROR(D47/Summary!D$19,"")</f>
        <v>1.6436670916534092E-3</v>
      </c>
      <c r="F47" s="36">
        <v>2420</v>
      </c>
      <c r="G47" s="51">
        <f>+IFERROR(F47/Summary!F$19,"")</f>
        <v>1.7548651115317938E-3</v>
      </c>
      <c r="H47" s="137">
        <f t="shared" si="24"/>
        <v>-497.03</v>
      </c>
      <c r="I47" s="36">
        <v>1191.81</v>
      </c>
      <c r="J47" s="51">
        <f>+IFERROR(I47/Summary!I$19,"")</f>
        <v>1.0231477905266787E-3</v>
      </c>
      <c r="K47" s="137">
        <f t="shared" si="25"/>
        <v>731.16000000000008</v>
      </c>
      <c r="M47" s="36">
        <v>11172.06</v>
      </c>
      <c r="N47" s="51">
        <f>+IFERROR(M47/Summary!M$19,"")</f>
        <v>1.497761369558511E-3</v>
      </c>
      <c r="O47" s="36">
        <v>12750</v>
      </c>
      <c r="P47" s="51">
        <f>+IFERROR(O47/Summary!O$19,"")</f>
        <v>1.5656743952427617E-3</v>
      </c>
      <c r="Q47" s="137">
        <f t="shared" si="26"/>
        <v>-1577.9400000000005</v>
      </c>
      <c r="R47" s="36">
        <v>9726.9</v>
      </c>
      <c r="S47" s="51">
        <f>+IFERROR(R47/Summary!R$19,"")</f>
        <v>1.3837353570429855E-3</v>
      </c>
      <c r="T47" s="137">
        <f t="shared" si="27"/>
        <v>1445.1599999999999</v>
      </c>
    </row>
    <row r="48" spans="2:20" x14ac:dyDescent="0.25">
      <c r="B48" s="14" t="s">
        <v>115</v>
      </c>
      <c r="C48" s="17" t="s">
        <v>515</v>
      </c>
      <c r="D48" s="36">
        <v>2700.26</v>
      </c>
      <c r="E48" s="51">
        <f>+IFERROR(D48/Summary!D$19,"")</f>
        <v>2.3080591485608384E-3</v>
      </c>
      <c r="F48" s="36">
        <v>2675.79</v>
      </c>
      <c r="G48" s="51">
        <f>+IFERROR(F48/Summary!F$19,"")</f>
        <v>1.9403514532172143E-3</v>
      </c>
      <c r="H48" s="137">
        <f t="shared" si="24"/>
        <v>24.470000000000255</v>
      </c>
      <c r="I48" s="36">
        <v>2705.11</v>
      </c>
      <c r="J48" s="51">
        <f>+IFERROR(I48/Summary!I$19,"")</f>
        <v>2.3222890558324098E-3</v>
      </c>
      <c r="K48" s="137">
        <f t="shared" si="25"/>
        <v>-4.8499999999999091</v>
      </c>
      <c r="M48" s="36">
        <v>9996.7199999999993</v>
      </c>
      <c r="N48" s="51">
        <f>+IFERROR(M48/Summary!M$19,"")</f>
        <v>1.3401916064085726E-3</v>
      </c>
      <c r="O48" s="36">
        <v>13219.47</v>
      </c>
      <c r="P48" s="51">
        <f>+IFERROR(O48/Summary!O$19,"")</f>
        <v>1.6233243684454768E-3</v>
      </c>
      <c r="Q48" s="137">
        <f t="shared" si="26"/>
        <v>-3222.75</v>
      </c>
      <c r="R48" s="36">
        <v>15043.12</v>
      </c>
      <c r="S48" s="51">
        <f>+IFERROR(R48/Summary!R$19,"")</f>
        <v>2.1400134702978832E-3</v>
      </c>
      <c r="T48" s="137">
        <f t="shared" si="27"/>
        <v>-5046.4000000000015</v>
      </c>
    </row>
    <row r="49" spans="2:20" x14ac:dyDescent="0.25">
      <c r="B49" s="14" t="s">
        <v>93</v>
      </c>
      <c r="C49" s="17" t="s">
        <v>488</v>
      </c>
      <c r="D49" s="36">
        <v>0</v>
      </c>
      <c r="E49" s="51">
        <f>+IFERROR(D49/Summary!D$19,"")</f>
        <v>0</v>
      </c>
      <c r="F49" s="36">
        <v>0</v>
      </c>
      <c r="G49" s="51">
        <f>+IFERROR(F49/Summary!F$19,"")</f>
        <v>0</v>
      </c>
      <c r="H49" s="137">
        <f t="shared" si="24"/>
        <v>0</v>
      </c>
      <c r="I49" s="36">
        <v>0</v>
      </c>
      <c r="J49" s="51">
        <f>+IFERROR(I49/Summary!I$19,"")</f>
        <v>0</v>
      </c>
      <c r="K49" s="137">
        <f t="shared" si="25"/>
        <v>0</v>
      </c>
      <c r="M49" s="36">
        <v>0</v>
      </c>
      <c r="N49" s="51">
        <f>+IFERROR(M49/Summary!M$19,"")</f>
        <v>0</v>
      </c>
      <c r="O49" s="36">
        <v>0</v>
      </c>
      <c r="P49" s="51">
        <f>+IFERROR(O49/Summary!O$19,"")</f>
        <v>0</v>
      </c>
      <c r="Q49" s="137">
        <f t="shared" si="26"/>
        <v>0</v>
      </c>
      <c r="R49" s="36">
        <v>0</v>
      </c>
      <c r="S49" s="51">
        <f>+IFERROR(R49/Summary!R$19,"")</f>
        <v>0</v>
      </c>
      <c r="T49" s="137">
        <f t="shared" si="27"/>
        <v>0</v>
      </c>
    </row>
    <row r="50" spans="2:20" x14ac:dyDescent="0.25">
      <c r="B50" s="14" t="s">
        <v>138</v>
      </c>
      <c r="C50" s="17" t="s">
        <v>516</v>
      </c>
      <c r="D50" s="36">
        <v>2500</v>
      </c>
      <c r="E50" s="51">
        <f>+IFERROR(D50/Summary!D$19,"")</f>
        <v>2.1368860300127008E-3</v>
      </c>
      <c r="F50" s="36">
        <v>2791.5</v>
      </c>
      <c r="G50" s="51">
        <f>+IFERROR(F50/Summary!F$19,"")</f>
        <v>2.0242586606781E-3</v>
      </c>
      <c r="H50" s="137">
        <f t="shared" si="24"/>
        <v>-291.5</v>
      </c>
      <c r="I50" s="36">
        <v>2500</v>
      </c>
      <c r="J50" s="51">
        <f>+IFERROR(I50/Summary!I$19,"")</f>
        <v>2.1462057511824006E-3</v>
      </c>
      <c r="K50" s="137">
        <f t="shared" si="25"/>
        <v>0</v>
      </c>
      <c r="M50" s="36">
        <v>12700</v>
      </c>
      <c r="N50" s="51">
        <f>+IFERROR(M50/Summary!M$19,"")</f>
        <v>1.7026017935271641E-3</v>
      </c>
      <c r="O50" s="36">
        <v>13957.5</v>
      </c>
      <c r="P50" s="51">
        <f>+IFERROR(O50/Summary!O$19,"")</f>
        <v>1.713952970321635E-3</v>
      </c>
      <c r="Q50" s="137">
        <f t="shared" si="26"/>
        <v>-1257.5</v>
      </c>
      <c r="R50" s="36">
        <v>14147.99</v>
      </c>
      <c r="S50" s="51">
        <f>+IFERROR(R50/Summary!R$19,"")</f>
        <v>2.0126735130504671E-3</v>
      </c>
      <c r="T50" s="137">
        <f t="shared" si="27"/>
        <v>-1447.9899999999998</v>
      </c>
    </row>
    <row r="51" spans="2:20" x14ac:dyDescent="0.25">
      <c r="B51" s="14" t="s">
        <v>166</v>
      </c>
      <c r="C51" s="17" t="s">
        <v>517</v>
      </c>
      <c r="D51" s="36">
        <v>103.81</v>
      </c>
      <c r="E51" s="51">
        <f>+IFERROR(D51/Summary!D$19,"")</f>
        <v>8.873205551024739E-5</v>
      </c>
      <c r="F51" s="36">
        <v>200</v>
      </c>
      <c r="G51" s="51">
        <f>+IFERROR(F51/Summary!F$19,"")</f>
        <v>1.4503017450675983E-4</v>
      </c>
      <c r="H51" s="137">
        <f t="shared" si="24"/>
        <v>-96.19</v>
      </c>
      <c r="I51" s="36">
        <v>0</v>
      </c>
      <c r="J51" s="51">
        <f>+IFERROR(I51/Summary!I$19,"")</f>
        <v>0</v>
      </c>
      <c r="K51" s="137">
        <f t="shared" si="25"/>
        <v>103.81</v>
      </c>
      <c r="M51" s="36">
        <v>872.01</v>
      </c>
      <c r="N51" s="51">
        <f>+IFERROR(M51/Summary!M$19,"")</f>
        <v>1.1690439291130885E-4</v>
      </c>
      <c r="O51" s="36">
        <v>1150</v>
      </c>
      <c r="P51" s="51">
        <f>+IFERROR(O51/Summary!O$19,"")</f>
        <v>1.4121769055130791E-4</v>
      </c>
      <c r="Q51" s="137">
        <f t="shared" si="26"/>
        <v>-277.99</v>
      </c>
      <c r="R51" s="36">
        <v>660.08</v>
      </c>
      <c r="S51" s="51">
        <f>+IFERROR(R51/Summary!R$19,"")</f>
        <v>9.390206895073806E-5</v>
      </c>
      <c r="T51" s="137">
        <f t="shared" si="27"/>
        <v>211.92999999999995</v>
      </c>
    </row>
    <row r="52" spans="2:20" x14ac:dyDescent="0.25">
      <c r="B52" s="14" t="s">
        <v>178</v>
      </c>
      <c r="C52" s="17" t="s">
        <v>359</v>
      </c>
      <c r="D52" s="36">
        <v>1883.39</v>
      </c>
      <c r="E52" s="51">
        <f>+IFERROR(D52/Summary!D$19,"")</f>
        <v>1.6098359120262484E-3</v>
      </c>
      <c r="F52" s="36">
        <v>9924.2000000000007</v>
      </c>
      <c r="G52" s="51">
        <f>+IFERROR(F52/Summary!F$19,"")</f>
        <v>7.1965422891999298E-3</v>
      </c>
      <c r="H52" s="137">
        <f t="shared" si="24"/>
        <v>-8040.81</v>
      </c>
      <c r="I52" s="36">
        <v>3649.88</v>
      </c>
      <c r="J52" s="51">
        <f>+IFERROR(I52/Summary!I$19,"")</f>
        <v>3.1333573788502483E-3</v>
      </c>
      <c r="K52" s="137">
        <f t="shared" si="25"/>
        <v>-1766.49</v>
      </c>
      <c r="M52" s="36">
        <v>4913.66</v>
      </c>
      <c r="N52" s="51">
        <f>+IFERROR(M52/Summary!M$19,"")</f>
        <v>6.5874065580966026E-4</v>
      </c>
      <c r="O52" s="36">
        <v>48809.2</v>
      </c>
      <c r="P52" s="51">
        <f>+IFERROR(O52/Summary!O$19,"")</f>
        <v>5.9936717405712154E-3</v>
      </c>
      <c r="Q52" s="137">
        <f t="shared" si="26"/>
        <v>-43895.539999999994</v>
      </c>
      <c r="R52" s="36">
        <v>10133.41</v>
      </c>
      <c r="S52" s="51">
        <f>+IFERROR(R52/Summary!R$19,"")</f>
        <v>1.4415649080809878E-3</v>
      </c>
      <c r="T52" s="137">
        <f t="shared" si="27"/>
        <v>-5219.75</v>
      </c>
    </row>
    <row r="53" spans="2:20" s="11" customFormat="1" x14ac:dyDescent="0.25">
      <c r="B53" s="14" t="s">
        <v>117</v>
      </c>
      <c r="C53" s="17" t="s">
        <v>518</v>
      </c>
      <c r="D53" s="36">
        <v>362.91</v>
      </c>
      <c r="E53" s="51">
        <f>+IFERROR(D53/Summary!D$19,"")</f>
        <v>3.1019892366076373E-4</v>
      </c>
      <c r="F53" s="36">
        <v>383.79</v>
      </c>
      <c r="G53" s="51">
        <f>+IFERROR(F53/Summary!F$19,"")</f>
        <v>2.7830565336974677E-4</v>
      </c>
      <c r="H53" s="137">
        <f t="shared" si="24"/>
        <v>-20.879999999999995</v>
      </c>
      <c r="I53" s="36">
        <v>257.08999999999997</v>
      </c>
      <c r="J53" s="51">
        <f>+IFERROR(I53/Summary!I$19,"")</f>
        <v>2.2070721462859335E-4</v>
      </c>
      <c r="K53" s="137">
        <f t="shared" si="25"/>
        <v>105.82000000000005</v>
      </c>
      <c r="M53" s="36">
        <v>1160.58</v>
      </c>
      <c r="N53" s="51">
        <f>+IFERROR(M53/Summary!M$19,"")</f>
        <v>1.5559099130171307E-4</v>
      </c>
      <c r="O53" s="36">
        <v>1985.72</v>
      </c>
      <c r="P53" s="51">
        <f>+IFERROR(O53/Summary!O$19,"")</f>
        <v>2.4384242824482014E-4</v>
      </c>
      <c r="Q53" s="137">
        <f t="shared" si="26"/>
        <v>-825.1400000000001</v>
      </c>
      <c r="R53" s="36">
        <v>1678.09</v>
      </c>
      <c r="S53" s="51">
        <f>+IFERROR(R53/Summary!R$19,"")</f>
        <v>2.3872276524897589E-4</v>
      </c>
      <c r="T53" s="137">
        <f t="shared" si="27"/>
        <v>-517.51</v>
      </c>
    </row>
    <row r="54" spans="2:20" s="11" customFormat="1" x14ac:dyDescent="0.25">
      <c r="B54" s="14" t="s">
        <v>343</v>
      </c>
      <c r="C54" s="17" t="s">
        <v>520</v>
      </c>
      <c r="D54" s="36">
        <v>0</v>
      </c>
      <c r="E54" s="51">
        <f>+IFERROR(D54/Summary!D$19,"")</f>
        <v>0</v>
      </c>
      <c r="F54" s="36">
        <v>0</v>
      </c>
      <c r="G54" s="51">
        <f>+IFERROR(F54/Summary!F$19,"")</f>
        <v>0</v>
      </c>
      <c r="H54" s="137">
        <f t="shared" si="24"/>
        <v>0</v>
      </c>
      <c r="I54" s="36">
        <v>0</v>
      </c>
      <c r="J54" s="51">
        <f>+IFERROR(I54/Summary!I$19,"")</f>
        <v>0</v>
      </c>
      <c r="K54" s="137">
        <f t="shared" si="25"/>
        <v>0</v>
      </c>
      <c r="M54" s="36">
        <v>0</v>
      </c>
      <c r="N54" s="51">
        <f>+IFERROR(M54/Summary!M$19,"")</f>
        <v>0</v>
      </c>
      <c r="O54" s="36">
        <v>0</v>
      </c>
      <c r="P54" s="51">
        <f>+IFERROR(O54/Summary!O$19,"")</f>
        <v>0</v>
      </c>
      <c r="Q54" s="137">
        <f t="shared" si="26"/>
        <v>0</v>
      </c>
      <c r="R54" s="36">
        <v>0</v>
      </c>
      <c r="S54" s="51">
        <f>+IFERROR(R54/Summary!R$19,"")</f>
        <v>0</v>
      </c>
      <c r="T54" s="137">
        <f t="shared" si="27"/>
        <v>0</v>
      </c>
    </row>
    <row r="55" spans="2:20" x14ac:dyDescent="0.25">
      <c r="B55" s="14" t="s">
        <v>348</v>
      </c>
      <c r="C55" s="17" t="s">
        <v>519</v>
      </c>
      <c r="D55" s="90">
        <v>4290.6000000000004</v>
      </c>
      <c r="E55" s="82">
        <f>+IFERROR(D55/Summary!D$19,"")</f>
        <v>3.6674092801489977E-3</v>
      </c>
      <c r="F55" s="90">
        <v>3560</v>
      </c>
      <c r="G55" s="82">
        <f>+IFERROR(F55/Summary!F$19,"")</f>
        <v>2.5815371062203247E-3</v>
      </c>
      <c r="H55" s="226">
        <f t="shared" si="24"/>
        <v>730.60000000000036</v>
      </c>
      <c r="I55" s="36">
        <v>3722.54</v>
      </c>
      <c r="J55" s="82">
        <f>+IFERROR(I55/Summary!I$19,"")</f>
        <v>3.1957347028026134E-3</v>
      </c>
      <c r="K55" s="226">
        <f t="shared" si="25"/>
        <v>568.0600000000004</v>
      </c>
      <c r="M55" s="90">
        <v>24664.84</v>
      </c>
      <c r="N55" s="82">
        <f>+IFERROR(M55/Summary!M$19,"")</f>
        <v>3.306645733941775E-3</v>
      </c>
      <c r="O55" s="90">
        <v>17800</v>
      </c>
      <c r="P55" s="82">
        <f>+IFERROR(O55/Summary!O$19,"")</f>
        <v>2.1858042537506793E-3</v>
      </c>
      <c r="Q55" s="226">
        <f t="shared" si="26"/>
        <v>6864.84</v>
      </c>
      <c r="R55" s="36">
        <v>18257.43</v>
      </c>
      <c r="S55" s="82">
        <f>+IFERROR(R55/Summary!R$19,"")</f>
        <v>2.5972767705782231E-3</v>
      </c>
      <c r="T55" s="226">
        <f t="shared" si="27"/>
        <v>6407.41</v>
      </c>
    </row>
    <row r="56" spans="2:20" x14ac:dyDescent="0.25">
      <c r="B56" s="14" t="s">
        <v>669</v>
      </c>
      <c r="C56" s="18" t="s">
        <v>425</v>
      </c>
      <c r="D56" s="91">
        <f t="shared" ref="D56" si="28">SUM(D26:D55)</f>
        <v>23731.940000000002</v>
      </c>
      <c r="E56" s="83">
        <f>+IFERROR(D56/Summary!D$19,"")</f>
        <v>2.0284980420439847E-2</v>
      </c>
      <c r="F56" s="91">
        <f t="shared" ref="F56" si="29">SUM(F26:F55)</f>
        <v>33875.390208124998</v>
      </c>
      <c r="G56" s="83">
        <f>+IFERROR(F56/Summary!F$19,"")</f>
        <v>2.4564768766844759E-2</v>
      </c>
      <c r="H56" s="192">
        <f t="shared" si="24"/>
        <v>-10143.450208124996</v>
      </c>
      <c r="I56" s="91">
        <f t="shared" ref="I56" si="30">SUM(I26:I55)</f>
        <v>26610.530000000002</v>
      </c>
      <c r="J56" s="83">
        <f>+IFERROR(I56/Summary!I$19,"")</f>
        <v>2.2844669011204726E-2</v>
      </c>
      <c r="K56" s="192">
        <f t="shared" si="25"/>
        <v>-2878.59</v>
      </c>
      <c r="M56" s="91">
        <f t="shared" ref="M56" si="31">SUM(M26:M55)</f>
        <v>118008.94999999998</v>
      </c>
      <c r="N56" s="83">
        <f>+IFERROR(M56/Summary!M$19,"")</f>
        <v>1.582064960017775E-2</v>
      </c>
      <c r="O56" s="91">
        <f t="shared" ref="O56" si="32">SUM(O26:O55)</f>
        <v>164483.67415594301</v>
      </c>
      <c r="P56" s="83">
        <f>+IFERROR(O56/Summary!O$19,"")</f>
        <v>2.0198264867561846E-2</v>
      </c>
      <c r="Q56" s="192">
        <f t="shared" si="26"/>
        <v>-46474.724155943026</v>
      </c>
      <c r="R56" s="91">
        <f t="shared" ref="R56" si="33">SUM(R26:R55)</f>
        <v>110373.24000000002</v>
      </c>
      <c r="S56" s="83">
        <f>+IFERROR(R56/Summary!R$19,"")</f>
        <v>1.5701544650339901E-2</v>
      </c>
      <c r="T56" s="192">
        <f t="shared" si="27"/>
        <v>7635.7099999999627</v>
      </c>
    </row>
    <row r="57" spans="2:20" x14ac:dyDescent="0.25">
      <c r="B57" s="14"/>
      <c r="C57" s="16"/>
      <c r="D57" s="48"/>
      <c r="E57" s="32"/>
      <c r="F57" s="48"/>
      <c r="G57" s="32"/>
      <c r="H57" s="16"/>
      <c r="I57" s="48"/>
      <c r="J57" s="32"/>
      <c r="K57" s="79"/>
      <c r="M57" s="48"/>
      <c r="N57" s="32"/>
      <c r="O57" s="48"/>
      <c r="P57" s="32"/>
      <c r="Q57" s="16"/>
      <c r="R57" s="48"/>
      <c r="S57" s="32"/>
      <c r="T57" s="79"/>
    </row>
    <row r="58" spans="2:20" x14ac:dyDescent="0.25">
      <c r="B58" s="14" t="s">
        <v>28</v>
      </c>
      <c r="C58" s="18" t="s">
        <v>426</v>
      </c>
      <c r="D58" s="142">
        <f t="shared" ref="D58" si="34">D23+D56</f>
        <v>58731.400000000009</v>
      </c>
      <c r="E58" s="135">
        <f>+IFERROR(D58/Summary!D$19,"")</f>
        <v>5.0200923273235179E-2</v>
      </c>
      <c r="F58" s="142">
        <f t="shared" ref="F58" si="35">F23+F56</f>
        <v>69431.660208125002</v>
      </c>
      <c r="G58" s="135">
        <f>+IFERROR(F58/Summary!F$19,"")</f>
        <v>5.0348428981392107E-2</v>
      </c>
      <c r="H58" s="27">
        <f>+D58-F58</f>
        <v>-10700.260208124993</v>
      </c>
      <c r="I58" s="142">
        <f t="shared" ref="I58" si="36">I23+I56</f>
        <v>57379.060000000005</v>
      </c>
      <c r="J58" s="135">
        <f>+IFERROR(I58/Summary!I$19,"")</f>
        <v>4.9258907427776021E-2</v>
      </c>
      <c r="K58" s="218">
        <f>+D58-I58</f>
        <v>1352.3400000000038</v>
      </c>
      <c r="M58" s="142">
        <f t="shared" ref="M58" si="37">M23+M56</f>
        <v>282556.45999999996</v>
      </c>
      <c r="N58" s="135">
        <f>+IFERROR(M58/Summary!M$19,"")</f>
        <v>3.7880404375487113E-2</v>
      </c>
      <c r="O58" s="142">
        <f t="shared" ref="O58" si="38">O23+O56</f>
        <v>336790.60415594303</v>
      </c>
      <c r="P58" s="135">
        <f>+IFERROR(O58/Summary!O$19,"")</f>
        <v>4.1357209841984349E-2</v>
      </c>
      <c r="Q58" s="27">
        <f>+M58-O58</f>
        <v>-54234.144155943068</v>
      </c>
      <c r="R58" s="142">
        <f t="shared" ref="R58" si="39">R23+R56</f>
        <v>289332.86</v>
      </c>
      <c r="S58" s="135">
        <f>+IFERROR(R58/Summary!R$19,"")</f>
        <v>4.116009297272185E-2</v>
      </c>
      <c r="T58" s="218">
        <f>+M58-R58</f>
        <v>-6776.4000000000233</v>
      </c>
    </row>
    <row r="59" spans="2:20" ht="15.75" thickBot="1" x14ac:dyDescent="0.3">
      <c r="B59" s="14"/>
      <c r="C59" s="18" t="s">
        <v>427</v>
      </c>
      <c r="D59" s="143">
        <f t="shared" ref="D59" si="40">0-D58</f>
        <v>-58731.400000000009</v>
      </c>
      <c r="E59" s="213">
        <f>+IFERROR(D59/Summary!D$19,"")</f>
        <v>-5.0200923273235179E-2</v>
      </c>
      <c r="F59" s="143">
        <f t="shared" ref="F59" si="41">0-F58</f>
        <v>-69431.660208125002</v>
      </c>
      <c r="G59" s="213">
        <f>+IFERROR(F59/Summary!F$19,"")</f>
        <v>-5.0348428981392107E-2</v>
      </c>
      <c r="H59" s="21">
        <f>+D59-F59</f>
        <v>10700.260208124993</v>
      </c>
      <c r="I59" s="143">
        <f t="shared" ref="I59" si="42">0-I58</f>
        <v>-57379.060000000005</v>
      </c>
      <c r="J59" s="213">
        <f>+IFERROR(I59/Summary!I$19,"")</f>
        <v>-4.9258907427776021E-2</v>
      </c>
      <c r="K59" s="219">
        <f>+D59-I59</f>
        <v>-1352.3400000000038</v>
      </c>
      <c r="M59" s="143">
        <f t="shared" ref="M59" si="43">0-M58</f>
        <v>-282556.45999999996</v>
      </c>
      <c r="N59" s="213">
        <f>+IFERROR(M59/Summary!M$19,"")</f>
        <v>-3.7880404375487113E-2</v>
      </c>
      <c r="O59" s="143">
        <f t="shared" ref="O59" si="44">0-O58</f>
        <v>-336790.60415594303</v>
      </c>
      <c r="P59" s="213">
        <f>+IFERROR(O59/Summary!O$19,"")</f>
        <v>-4.1357209841984349E-2</v>
      </c>
      <c r="Q59" s="21">
        <f>+M59-O59</f>
        <v>54234.144155943068</v>
      </c>
      <c r="R59" s="143">
        <f t="shared" ref="R59" si="45">0-R58</f>
        <v>-289332.86</v>
      </c>
      <c r="S59" s="213">
        <f>+IFERROR(R59/Summary!R$19,"")</f>
        <v>-4.116009297272185E-2</v>
      </c>
      <c r="T59" s="219">
        <f>+M59-R59</f>
        <v>6776.4000000000233</v>
      </c>
    </row>
    <row r="60" spans="2:20" ht="15.75" thickTop="1" x14ac:dyDescent="0.25"/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FEAC-35E6-4683-9D01-267A6F2AB687}">
  <dimension ref="B1:V17"/>
  <sheetViews>
    <sheetView showGridLines="0" zoomScale="80" zoomScaleNormal="80" workbookViewId="0">
      <pane xSplit="3" ySplit="8" topLeftCell="D9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7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40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68</v>
      </c>
      <c r="D9" s="16"/>
      <c r="E9" s="49"/>
      <c r="F9" s="48"/>
      <c r="G9" s="16"/>
      <c r="H9" s="79"/>
      <c r="I9" s="16"/>
      <c r="J9" s="16"/>
      <c r="K9" s="49"/>
      <c r="M9" s="48"/>
      <c r="N9" s="49"/>
      <c r="O9" s="48"/>
      <c r="P9" s="16"/>
      <c r="Q9" s="79"/>
      <c r="R9" s="16"/>
      <c r="S9" s="16"/>
      <c r="T9" s="49"/>
    </row>
    <row r="10" spans="2:22" x14ac:dyDescent="0.25">
      <c r="B10" s="14" t="s">
        <v>114</v>
      </c>
      <c r="C10" s="17" t="s">
        <v>525</v>
      </c>
      <c r="D10" s="36">
        <v>22465.26</v>
      </c>
      <c r="E10" s="51">
        <f>+IFERROR(D10/Summary!D$19,"")</f>
        <v>1.9202280101841249E-2</v>
      </c>
      <c r="F10" s="36">
        <v>18769.060000000001</v>
      </c>
      <c r="G10" s="51">
        <f>+IFERROR(F10/Summary!F$19,"")</f>
        <v>1.3610400235639229E-2</v>
      </c>
      <c r="H10" s="137">
        <f t="shared" ref="H10:H17" si="0">+D10-F10</f>
        <v>3696.1999999999971</v>
      </c>
      <c r="I10" s="36">
        <v>18359.93</v>
      </c>
      <c r="J10" s="51">
        <f>+IFERROR(I10/Summary!I$19,"")</f>
        <v>1.5761674942922518E-2</v>
      </c>
      <c r="K10" s="137">
        <f t="shared" ref="K10:K17" si="1">+D10-I10</f>
        <v>4105.3299999999981</v>
      </c>
      <c r="M10" s="36">
        <v>96239.82</v>
      </c>
      <c r="N10" s="51">
        <f>+IFERROR(M10/Summary!M$19,"")</f>
        <v>1.2902211822104839E-2</v>
      </c>
      <c r="O10" s="36">
        <v>91173.8</v>
      </c>
      <c r="P10" s="51">
        <f>+IFERROR(O10/Summary!O$19,"")</f>
        <v>1.1195959543292902E-2</v>
      </c>
      <c r="Q10" s="137">
        <f t="shared" ref="Q10:Q17" si="2">+M10-O10</f>
        <v>5066.0200000000041</v>
      </c>
      <c r="R10" s="36">
        <v>88534.2</v>
      </c>
      <c r="S10" s="51">
        <f>+IFERROR(R10/Summary!R$19,"")</f>
        <v>1.2594752988877762E-2</v>
      </c>
      <c r="T10" s="137">
        <f t="shared" ref="T10:T17" si="3">+M10-R10</f>
        <v>7705.6200000000099</v>
      </c>
    </row>
    <row r="11" spans="2:22" x14ac:dyDescent="0.25">
      <c r="B11" s="14" t="s">
        <v>135</v>
      </c>
      <c r="C11" s="17" t="s">
        <v>136</v>
      </c>
      <c r="D11" s="36">
        <v>578.47</v>
      </c>
      <c r="E11" s="51">
        <f>+IFERROR(D11/Summary!D$19,"")</f>
        <v>4.9444978471257877E-4</v>
      </c>
      <c r="F11" s="36">
        <v>2373.66</v>
      </c>
      <c r="G11" s="51">
        <f>+IFERROR(F11/Summary!F$19,"")</f>
        <v>1.7212616200985775E-3</v>
      </c>
      <c r="H11" s="137">
        <f t="shared" si="0"/>
        <v>-1795.1899999999998</v>
      </c>
      <c r="I11" s="36">
        <v>2304.52</v>
      </c>
      <c r="J11" s="51">
        <f>+IFERROR(I11/Summary!I$19,"")</f>
        <v>1.9783896310859466E-3</v>
      </c>
      <c r="K11" s="137">
        <f t="shared" si="1"/>
        <v>-1726.05</v>
      </c>
      <c r="M11" s="36">
        <v>11521.81</v>
      </c>
      <c r="N11" s="51">
        <f>+IFERROR(M11/Summary!M$19,"")</f>
        <v>1.5446499504471823E-3</v>
      </c>
      <c r="O11" s="36">
        <v>13636.58</v>
      </c>
      <c r="P11" s="51">
        <f>+IFERROR(O11/Summary!O$19,"")</f>
        <v>1.6745446387983953E-3</v>
      </c>
      <c r="Q11" s="137">
        <f t="shared" si="2"/>
        <v>-2114.7700000000004</v>
      </c>
      <c r="R11" s="36">
        <v>12498.71</v>
      </c>
      <c r="S11" s="51">
        <f>+IFERROR(R11/Summary!R$19,"")</f>
        <v>1.7780492186027135E-3</v>
      </c>
      <c r="T11" s="137">
        <f t="shared" si="3"/>
        <v>-976.89999999999964</v>
      </c>
    </row>
    <row r="12" spans="2:22" x14ac:dyDescent="0.25">
      <c r="B12" s="14" t="s">
        <v>349</v>
      </c>
      <c r="C12" s="17" t="s">
        <v>526</v>
      </c>
      <c r="D12" s="36">
        <v>8595.3700000000008</v>
      </c>
      <c r="E12" s="51">
        <f>+IFERROR(D12/Summary!D$19,"")</f>
        <v>7.346930430316108E-3</v>
      </c>
      <c r="F12" s="36">
        <v>6471.73</v>
      </c>
      <c r="G12" s="51">
        <f>+IFERROR(F12/Summary!F$19,"")</f>
        <v>4.6929806563031631E-3</v>
      </c>
      <c r="H12" s="137">
        <f t="shared" si="0"/>
        <v>2123.6400000000012</v>
      </c>
      <c r="I12" s="36">
        <v>6283.23</v>
      </c>
      <c r="J12" s="51">
        <f>+IFERROR(I12/Summary!I$19,"")</f>
        <v>5.3940417448007181E-3</v>
      </c>
      <c r="K12" s="137">
        <f t="shared" si="1"/>
        <v>2312.1400000000012</v>
      </c>
      <c r="M12" s="36">
        <v>34292.57</v>
      </c>
      <c r="N12" s="51">
        <f>+IFERROR(M12/Summary!M$19,"")</f>
        <v>4.5973693847760492E-3</v>
      </c>
      <c r="O12" s="36">
        <v>33021.11</v>
      </c>
      <c r="P12" s="51">
        <f>+IFERROR(O12/Summary!O$19,"")</f>
        <v>4.0549259944701738E-3</v>
      </c>
      <c r="Q12" s="137">
        <f t="shared" si="2"/>
        <v>1271.4599999999991</v>
      </c>
      <c r="R12" s="36">
        <v>31400.76</v>
      </c>
      <c r="S12" s="51">
        <f>+IFERROR(R12/Summary!R$19,"")</f>
        <v>4.4670287398884644E-3</v>
      </c>
      <c r="T12" s="137">
        <f t="shared" si="3"/>
        <v>2891.8100000000013</v>
      </c>
    </row>
    <row r="13" spans="2:22" x14ac:dyDescent="0.25">
      <c r="B13" s="14" t="s">
        <v>629</v>
      </c>
      <c r="C13" s="289" t="s">
        <v>712</v>
      </c>
      <c r="D13" s="36">
        <v>0</v>
      </c>
      <c r="E13" s="51">
        <f>+IFERROR(D13/Summary!D$19,"")</f>
        <v>0</v>
      </c>
      <c r="F13" s="36">
        <v>0</v>
      </c>
      <c r="G13" s="51">
        <f>+IFERROR(F13/Summary!F$19,"")</f>
        <v>0</v>
      </c>
      <c r="H13" s="137">
        <f t="shared" si="0"/>
        <v>0</v>
      </c>
      <c r="I13" s="36">
        <v>0</v>
      </c>
      <c r="J13" s="51">
        <f>+IFERROR(I13/Summary!I$19,"")</f>
        <v>0</v>
      </c>
      <c r="K13" s="137">
        <f t="shared" si="1"/>
        <v>0</v>
      </c>
      <c r="M13" s="36">
        <v>0</v>
      </c>
      <c r="N13" s="51">
        <f>+IFERROR(M13/Summary!M$19,"")</f>
        <v>0</v>
      </c>
      <c r="O13" s="36">
        <v>0</v>
      </c>
      <c r="P13" s="51">
        <f>+IFERROR(O13/Summary!O$19,"")</f>
        <v>0</v>
      </c>
      <c r="Q13" s="137">
        <f t="shared" si="2"/>
        <v>0</v>
      </c>
      <c r="R13" s="36">
        <v>0</v>
      </c>
      <c r="S13" s="51">
        <f>+IFERROR(R13/Summary!R$19,"")</f>
        <v>0</v>
      </c>
      <c r="T13" s="137">
        <f t="shared" si="3"/>
        <v>0</v>
      </c>
    </row>
    <row r="14" spans="2:22" x14ac:dyDescent="0.25">
      <c r="B14" s="14" t="s">
        <v>231</v>
      </c>
      <c r="C14" s="17" t="s">
        <v>527</v>
      </c>
      <c r="D14" s="36">
        <v>0</v>
      </c>
      <c r="E14" s="51">
        <f>+IFERROR(D14/Summary!D$19,"")</f>
        <v>0</v>
      </c>
      <c r="F14" s="36">
        <v>0</v>
      </c>
      <c r="G14" s="51">
        <f>+IFERROR(F14/Summary!F$19,"")</f>
        <v>0</v>
      </c>
      <c r="H14" s="137">
        <f t="shared" si="0"/>
        <v>0</v>
      </c>
      <c r="I14" s="36">
        <v>0</v>
      </c>
      <c r="J14" s="51">
        <f>+IFERROR(I14/Summary!I$19,"")</f>
        <v>0</v>
      </c>
      <c r="K14" s="137">
        <f t="shared" si="1"/>
        <v>0</v>
      </c>
      <c r="M14" s="36">
        <v>0</v>
      </c>
      <c r="N14" s="51">
        <f>+IFERROR(M14/Summary!M$19,"")</f>
        <v>0</v>
      </c>
      <c r="O14" s="36">
        <v>0</v>
      </c>
      <c r="P14" s="51">
        <f>+IFERROR(O14/Summary!O$19,"")</f>
        <v>0</v>
      </c>
      <c r="Q14" s="137">
        <f t="shared" si="2"/>
        <v>0</v>
      </c>
      <c r="R14" s="36">
        <v>0</v>
      </c>
      <c r="S14" s="51">
        <f>+IFERROR(R14/Summary!R$19,"")</f>
        <v>0</v>
      </c>
      <c r="T14" s="137">
        <f t="shared" si="3"/>
        <v>0</v>
      </c>
    </row>
    <row r="15" spans="2:22" x14ac:dyDescent="0.25">
      <c r="B15" s="14" t="s">
        <v>203</v>
      </c>
      <c r="C15" s="17" t="s">
        <v>528</v>
      </c>
      <c r="D15" s="36">
        <v>-5000</v>
      </c>
      <c r="E15" s="51">
        <f>+IFERROR(D15/Summary!D$19,"")</f>
        <v>-4.2737720600254017E-3</v>
      </c>
      <c r="F15" s="36">
        <v>-5000</v>
      </c>
      <c r="G15" s="51">
        <f>+IFERROR(F15/Summary!F$19,"")</f>
        <v>-3.6257543626689957E-3</v>
      </c>
      <c r="H15" s="137">
        <f t="shared" si="0"/>
        <v>0</v>
      </c>
      <c r="I15" s="36">
        <v>-4166.67</v>
      </c>
      <c r="J15" s="51">
        <f>+IFERROR(I15/Summary!I$19,"")</f>
        <v>-3.5770124469116696E-3</v>
      </c>
      <c r="K15" s="137">
        <f t="shared" si="1"/>
        <v>-833.32999999999993</v>
      </c>
      <c r="M15" s="36">
        <v>-25000</v>
      </c>
      <c r="N15" s="51">
        <f>+IFERROR(M15/Summary!M$19,"")</f>
        <v>-3.3515783337148899E-3</v>
      </c>
      <c r="O15" s="36">
        <v>-25000</v>
      </c>
      <c r="P15" s="51">
        <f>+IFERROR(O15/Summary!O$19,"")</f>
        <v>-3.0699497945936502E-3</v>
      </c>
      <c r="Q15" s="137">
        <f t="shared" si="2"/>
        <v>0</v>
      </c>
      <c r="R15" s="36">
        <v>-20161.580000000002</v>
      </c>
      <c r="S15" s="51">
        <f>+IFERROR(R15/Summary!R$19,"")</f>
        <v>-2.8681585191428637E-3</v>
      </c>
      <c r="T15" s="137">
        <f t="shared" si="3"/>
        <v>-4838.4199999999983</v>
      </c>
    </row>
    <row r="16" spans="2:22" x14ac:dyDescent="0.25">
      <c r="B16" s="14" t="s">
        <v>88</v>
      </c>
      <c r="C16" s="17" t="s">
        <v>365</v>
      </c>
      <c r="D16" s="173">
        <v>0</v>
      </c>
      <c r="E16" s="215">
        <f>+IFERROR(D16/Summary!D$19,"")</f>
        <v>0</v>
      </c>
      <c r="F16" s="90">
        <v>0</v>
      </c>
      <c r="G16" s="215">
        <f>+IFERROR(F16/Summary!F$19,"")</f>
        <v>0</v>
      </c>
      <c r="H16" s="139">
        <f t="shared" si="0"/>
        <v>0</v>
      </c>
      <c r="I16" s="36">
        <v>0</v>
      </c>
      <c r="J16" s="215">
        <f>+IFERROR(I16/Summary!I$19,"")</f>
        <v>0</v>
      </c>
      <c r="K16" s="141">
        <f t="shared" si="1"/>
        <v>0</v>
      </c>
      <c r="M16" s="209">
        <v>0</v>
      </c>
      <c r="N16" s="215">
        <f>+IFERROR(M16/Summary!M$19,"")</f>
        <v>0</v>
      </c>
      <c r="O16" s="90">
        <v>0</v>
      </c>
      <c r="P16" s="215">
        <f>+IFERROR(O16/Summary!O$19,"")</f>
        <v>0</v>
      </c>
      <c r="Q16" s="139">
        <f t="shared" si="2"/>
        <v>0</v>
      </c>
      <c r="R16" s="36">
        <v>0</v>
      </c>
      <c r="S16" s="215">
        <f>+IFERROR(R16/Summary!R$19,"")</f>
        <v>0</v>
      </c>
      <c r="T16" s="141">
        <f t="shared" si="3"/>
        <v>0</v>
      </c>
    </row>
    <row r="17" spans="2:20" x14ac:dyDescent="0.25">
      <c r="B17" s="14" t="s">
        <v>29</v>
      </c>
      <c r="C17" s="18" t="s">
        <v>425</v>
      </c>
      <c r="D17" s="86">
        <f t="shared" ref="D17" si="4">SUM(D10:D16)</f>
        <v>26639.1</v>
      </c>
      <c r="E17" s="83">
        <f>+IFERROR(D17/Summary!D$19,"")</f>
        <v>2.2769888256844534E-2</v>
      </c>
      <c r="F17" s="91">
        <f t="shared" ref="F17" si="5">SUM(F10:F16)</f>
        <v>22614.45</v>
      </c>
      <c r="G17" s="83">
        <f>+IFERROR(F17/Summary!F$19,"")</f>
        <v>1.6398888149371973E-2</v>
      </c>
      <c r="H17" s="140">
        <f t="shared" si="0"/>
        <v>4024.6499999999978</v>
      </c>
      <c r="I17" s="86">
        <f t="shared" ref="I17" si="6">SUM(I10:I16)</f>
        <v>22781.010000000002</v>
      </c>
      <c r="J17" s="83">
        <f>+IFERROR(I17/Summary!I$19,"")</f>
        <v>1.9557093871897514E-2</v>
      </c>
      <c r="K17" s="140">
        <f t="shared" si="1"/>
        <v>3858.0899999999965</v>
      </c>
      <c r="M17" s="91">
        <f t="shared" ref="M17" si="7">SUM(M10:M16)</f>
        <v>117054.20000000001</v>
      </c>
      <c r="N17" s="83">
        <f>+IFERROR(M17/Summary!M$19,"")</f>
        <v>1.5692652823613183E-2</v>
      </c>
      <c r="O17" s="91">
        <f t="shared" ref="O17" si="8">SUM(O10:O16)</f>
        <v>112831.48999999999</v>
      </c>
      <c r="P17" s="83">
        <f>+IFERROR(O17/Summary!O$19,"")</f>
        <v>1.385548038196782E-2</v>
      </c>
      <c r="Q17" s="140">
        <f t="shared" si="2"/>
        <v>4222.710000000021</v>
      </c>
      <c r="R17" s="86">
        <f t="shared" ref="R17" si="9">SUM(R10:R16)</f>
        <v>112272.09000000001</v>
      </c>
      <c r="S17" s="83">
        <f>+IFERROR(R17/Summary!R$19,"")</f>
        <v>1.5971672428226079E-2</v>
      </c>
      <c r="T17" s="140">
        <f t="shared" si="3"/>
        <v>4782.1100000000006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B433-B631-47DF-84F8-0265AC73912D}">
  <dimension ref="B1:V13"/>
  <sheetViews>
    <sheetView showGridLines="0" zoomScale="80" zoomScaleNormal="80" workbookViewId="0">
      <pane xSplit="3" ySplit="8" topLeftCell="D12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49</v>
      </c>
      <c r="D9" s="48"/>
      <c r="E9" s="49"/>
      <c r="F9" s="48"/>
      <c r="G9" s="16"/>
      <c r="H9" s="79"/>
      <c r="I9" s="16"/>
      <c r="J9" s="16"/>
      <c r="K9" s="49"/>
      <c r="M9" s="48"/>
      <c r="N9" s="49"/>
      <c r="O9" s="48"/>
      <c r="P9" s="16"/>
      <c r="Q9" s="79"/>
      <c r="R9" s="16"/>
      <c r="S9" s="16"/>
      <c r="T9" s="49"/>
    </row>
    <row r="10" spans="2:22" x14ac:dyDescent="0.25">
      <c r="B10" s="14" t="s">
        <v>32</v>
      </c>
      <c r="C10" s="17" t="s">
        <v>529</v>
      </c>
      <c r="D10" s="36">
        <v>49227.57</v>
      </c>
      <c r="E10" s="51">
        <f>+IFERROR(D10/Summary!D$19,"")</f>
        <v>4.207748264978893E-2</v>
      </c>
      <c r="F10" s="36">
        <v>60406.96</v>
      </c>
      <c r="G10" s="51">
        <f>+IFERROR(F10/Summary!F$19,"")</f>
        <v>4.3804159751114298E-2</v>
      </c>
      <c r="H10" s="137">
        <f>+D10-F10</f>
        <v>-11179.39</v>
      </c>
      <c r="I10" s="36">
        <v>49488.59</v>
      </c>
      <c r="J10" s="51">
        <f>+IFERROR(I10/Summary!I$19,"")</f>
        <v>4.2485078590363136E-2</v>
      </c>
      <c r="K10" s="137">
        <f>+D10-I10</f>
        <v>-261.0199999999968</v>
      </c>
      <c r="M10" s="36">
        <v>297157.15000000002</v>
      </c>
      <c r="N10" s="51">
        <f>+IFERROR(M10/Summary!M$19,"")</f>
        <v>3.9837818625938631E-2</v>
      </c>
      <c r="O10" s="36">
        <v>341330.42</v>
      </c>
      <c r="P10" s="51">
        <f>+IFERROR(O10/Summary!O$19,"")</f>
        <v>4.1914690110702577E-2</v>
      </c>
      <c r="Q10" s="137">
        <f>+M10-O10</f>
        <v>-44173.26999999996</v>
      </c>
      <c r="R10" s="36">
        <v>267524.57</v>
      </c>
      <c r="S10" s="51">
        <f>+IFERROR(R10/Summary!R$19,"")</f>
        <v>3.8057675763780982E-2</v>
      </c>
      <c r="T10" s="137">
        <f>+M10-R10</f>
        <v>29632.580000000016</v>
      </c>
    </row>
    <row r="11" spans="2:22" x14ac:dyDescent="0.25">
      <c r="B11" s="14" t="s">
        <v>34</v>
      </c>
      <c r="C11" s="17" t="s">
        <v>530</v>
      </c>
      <c r="D11" s="36">
        <v>0</v>
      </c>
      <c r="E11" s="51">
        <f>+IFERROR(D11/Summary!D$19,"")</f>
        <v>0</v>
      </c>
      <c r="F11" s="36">
        <v>0</v>
      </c>
      <c r="G11" s="51">
        <f>+IFERROR(F11/Summary!F$19,"")</f>
        <v>0</v>
      </c>
      <c r="H11" s="137">
        <f>+D11-F11</f>
        <v>0</v>
      </c>
      <c r="I11" s="36">
        <v>0</v>
      </c>
      <c r="J11" s="51">
        <f>+IFERROR(I11/Summary!I$19,"")</f>
        <v>0</v>
      </c>
      <c r="K11" s="137">
        <f>+D11-I11</f>
        <v>0</v>
      </c>
      <c r="M11" s="36">
        <v>0</v>
      </c>
      <c r="N11" s="51">
        <f>+IFERROR(M11/Summary!M$19,"")</f>
        <v>0</v>
      </c>
      <c r="O11" s="36">
        <v>0</v>
      </c>
      <c r="P11" s="51">
        <f>+IFERROR(O11/Summary!O$19,"")</f>
        <v>0</v>
      </c>
      <c r="Q11" s="137">
        <f>+M11-O11</f>
        <v>0</v>
      </c>
      <c r="R11" s="36">
        <v>0</v>
      </c>
      <c r="S11" s="51">
        <f>+IFERROR(R11/Summary!R$19,"")</f>
        <v>0</v>
      </c>
      <c r="T11" s="137">
        <f>+M11-R11</f>
        <v>0</v>
      </c>
    </row>
    <row r="12" spans="2:22" x14ac:dyDescent="0.25">
      <c r="B12" s="14" t="s">
        <v>202</v>
      </c>
      <c r="C12" s="17" t="s">
        <v>531</v>
      </c>
      <c r="D12" s="36">
        <v>6510.67</v>
      </c>
      <c r="E12" s="51">
        <f>+IFERROR(D12/Summary!D$19,"")</f>
        <v>5.565023907609116E-3</v>
      </c>
      <c r="F12" s="36">
        <v>6510.67</v>
      </c>
      <c r="G12" s="51">
        <f>+IFERROR(F12/Summary!F$19,"")</f>
        <v>4.72121803127963E-3</v>
      </c>
      <c r="H12" s="137">
        <f>+D12-F12</f>
        <v>0</v>
      </c>
      <c r="I12" s="36">
        <v>6333.33</v>
      </c>
      <c r="J12" s="51">
        <f>+IFERROR(I12/Summary!I$19,"")</f>
        <v>5.4370517080544137E-3</v>
      </c>
      <c r="K12" s="137">
        <f>+D12-I12</f>
        <v>177.34000000000015</v>
      </c>
      <c r="M12" s="36">
        <v>32553.35</v>
      </c>
      <c r="N12" s="51">
        <f>+IFERROR(M12/Summary!M$19,"")</f>
        <v>4.3642041019935048E-3</v>
      </c>
      <c r="O12" s="36">
        <v>32553.35</v>
      </c>
      <c r="P12" s="51">
        <f>+IFERROR(O12/Summary!O$19,"")</f>
        <v>3.9974860058334082E-3</v>
      </c>
      <c r="Q12" s="137">
        <f>+M12-O12</f>
        <v>0</v>
      </c>
      <c r="R12" s="36">
        <v>31666.65</v>
      </c>
      <c r="S12" s="51">
        <f>+IFERROR(R12/Summary!R$19,"")</f>
        <v>4.5048538839820773E-3</v>
      </c>
      <c r="T12" s="137">
        <f>+M12-R12</f>
        <v>886.69999999999709</v>
      </c>
    </row>
    <row r="13" spans="2:22" x14ac:dyDescent="0.25">
      <c r="B13" s="14" t="s">
        <v>279</v>
      </c>
      <c r="C13" s="18" t="s">
        <v>425</v>
      </c>
      <c r="D13" s="91">
        <f t="shared" ref="D13" si="0">SUM(D10:D12)</f>
        <v>55738.239999999998</v>
      </c>
      <c r="E13" s="83">
        <v>3.284318002319344E-2</v>
      </c>
      <c r="F13" s="84">
        <f>SUM(F10:F12)</f>
        <v>66917.63</v>
      </c>
      <c r="G13" s="171">
        <f>+IFERROR(F13/Summary!F$19,"")</f>
        <v>4.8525377782393936E-2</v>
      </c>
      <c r="H13" s="140">
        <f>+D13-F13</f>
        <v>-11179.390000000007</v>
      </c>
      <c r="I13" s="84">
        <f>SUM(I10:I12)</f>
        <v>55821.919999999998</v>
      </c>
      <c r="J13" s="171">
        <f>+IFERROR(I13/Summary!I$19,"")</f>
        <v>4.7922130298417548E-2</v>
      </c>
      <c r="K13" s="140">
        <f>+D13-I13</f>
        <v>-83.680000000000291</v>
      </c>
      <c r="M13" s="91">
        <f t="shared" ref="M13" si="1">SUM(M10:M12)</f>
        <v>329710.5</v>
      </c>
      <c r="N13" s="83">
        <v>3.284318002319344E-2</v>
      </c>
      <c r="O13" s="84">
        <f>SUM(O10:O12)</f>
        <v>373883.76999999996</v>
      </c>
      <c r="P13" s="171">
        <f>+IFERROR(O13/Summary!O$19,"")</f>
        <v>4.5912176116535981E-2</v>
      </c>
      <c r="Q13" s="140">
        <f>+M13-O13</f>
        <v>-44173.26999999996</v>
      </c>
      <c r="R13" s="84">
        <f>SUM(R10:R12)</f>
        <v>299191.22000000003</v>
      </c>
      <c r="S13" s="171">
        <f>+IFERROR(R13/Summary!R$19,"")</f>
        <v>4.256252964776306E-2</v>
      </c>
      <c r="T13" s="140">
        <f>+M13-R13</f>
        <v>30519.27999999997</v>
      </c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7FFD-740C-4D8B-AD87-D54531A550F8}">
  <dimension ref="B1:V39"/>
  <sheetViews>
    <sheetView showGridLines="0" zoomScale="80" zoomScaleNormal="80" workbookViewId="0">
      <pane xSplit="3" ySplit="8" topLeftCell="D24" activePane="bottomRight" state="frozen"/>
      <selection activeCell="H39" sqref="H39"/>
      <selection pane="topRight" activeCell="H39" sqref="H39"/>
      <selection pane="bottomLeft" activeCell="H39" sqref="H39"/>
      <selection pane="bottomRight" activeCell="H39" sqref="H39"/>
    </sheetView>
  </sheetViews>
  <sheetFormatPr defaultRowHeight="15" outlineLevelCol="1" x14ac:dyDescent="0.25"/>
  <cols>
    <col min="1" max="1" width="3.28515625" customWidth="1"/>
    <col min="2" max="2" width="11.28515625" style="9" hidden="1" customWidth="1" outlineLevel="1"/>
    <col min="3" max="3" width="44.140625" bestFit="1" customWidth="1" collapsed="1"/>
    <col min="4" max="4" width="12.28515625" bestFit="1" customWidth="1"/>
    <col min="5" max="5" width="8.7109375" customWidth="1"/>
    <col min="6" max="6" width="13.5703125" customWidth="1"/>
    <col min="7" max="7" width="8.7109375" customWidth="1"/>
    <col min="8" max="8" width="11.85546875" customWidth="1"/>
    <col min="9" max="9" width="13.5703125" customWidth="1"/>
    <col min="10" max="10" width="8.7109375" customWidth="1"/>
    <col min="11" max="11" width="11.85546875" customWidth="1"/>
    <col min="13" max="13" width="12.28515625" bestFit="1" customWidth="1"/>
    <col min="14" max="14" width="8.7109375" customWidth="1"/>
    <col min="15" max="15" width="13.5703125" customWidth="1"/>
    <col min="16" max="16" width="8.7109375" customWidth="1"/>
    <col min="17" max="17" width="11.85546875" customWidth="1"/>
    <col min="18" max="18" width="13.5703125" customWidth="1"/>
    <col min="19" max="19" width="8.7109375" customWidth="1"/>
    <col min="20" max="20" width="11.85546875" customWidth="1"/>
  </cols>
  <sheetData>
    <row r="1" spans="2:22" x14ac:dyDescent="0.25">
      <c r="V1" t="s">
        <v>717</v>
      </c>
    </row>
    <row r="2" spans="2:22" ht="22.5" x14ac:dyDescent="0.3">
      <c r="B2" s="1"/>
      <c r="C2" s="35" t="str">
        <f>+Summary!$C$2</f>
        <v>Angler's</v>
      </c>
      <c r="I2" s="4"/>
      <c r="R2" s="4"/>
    </row>
    <row r="3" spans="2:22" ht="18" x14ac:dyDescent="0.25">
      <c r="B3" s="5"/>
      <c r="C3" s="5" t="str">
        <f>+Summary!$C$3</f>
        <v>STATEMENT OF INCOME</v>
      </c>
      <c r="I3" s="4"/>
      <c r="R3" s="4"/>
    </row>
    <row r="4" spans="2:22" ht="15.75" x14ac:dyDescent="0.25">
      <c r="B4" s="6"/>
      <c r="C4" s="6" t="str">
        <f>+Summary!$C$4</f>
        <v>FOR THE PERIOD ENDING MAY 2025</v>
      </c>
      <c r="I4" s="4"/>
      <c r="R4" s="4"/>
    </row>
    <row r="5" spans="2:22" x14ac:dyDescent="0.25">
      <c r="B5" s="7"/>
      <c r="C5" s="3"/>
      <c r="I5" s="4"/>
      <c r="R5" s="4"/>
    </row>
    <row r="6" spans="2:22" x14ac:dyDescent="0.25">
      <c r="B6"/>
      <c r="D6" s="293" t="str">
        <f>Year&amp;" "&amp;UPPER(Month)&amp;" - PERIODIC"</f>
        <v>2025 MAY - PERIODIC</v>
      </c>
      <c r="E6" s="294"/>
      <c r="F6" s="291"/>
      <c r="G6" s="291"/>
      <c r="H6" s="291"/>
      <c r="I6" s="291"/>
      <c r="J6" s="291"/>
      <c r="K6" s="292"/>
      <c r="M6" s="293" t="str">
        <f>Year&amp;" "&amp;UPPER(Month)&amp;" - YEAR TO DATE"</f>
        <v>2025 MAY - YEAR TO DATE</v>
      </c>
      <c r="N6" s="294"/>
      <c r="O6" s="291"/>
      <c r="P6" s="291"/>
      <c r="Q6" s="291"/>
      <c r="R6" s="291"/>
      <c r="S6" s="291"/>
      <c r="T6" s="292"/>
    </row>
    <row r="7" spans="2:22" x14ac:dyDescent="0.25">
      <c r="B7"/>
      <c r="D7" s="325" t="s">
        <v>394</v>
      </c>
      <c r="E7" s="326"/>
      <c r="F7" s="327" t="s">
        <v>391</v>
      </c>
      <c r="G7" s="326"/>
      <c r="H7" s="39" t="s">
        <v>390</v>
      </c>
      <c r="I7" s="327" t="s">
        <v>720</v>
      </c>
      <c r="J7" s="326"/>
      <c r="K7" s="73" t="s">
        <v>390</v>
      </c>
      <c r="M7" s="325" t="s">
        <v>394</v>
      </c>
      <c r="N7" s="326"/>
      <c r="O7" s="327" t="s">
        <v>391</v>
      </c>
      <c r="P7" s="326"/>
      <c r="Q7" s="39" t="s">
        <v>390</v>
      </c>
      <c r="R7" s="327" t="s">
        <v>720</v>
      </c>
      <c r="S7" s="326"/>
      <c r="T7" s="73" t="s">
        <v>390</v>
      </c>
    </row>
    <row r="8" spans="2:22" ht="22.5" customHeight="1" collapsed="1" x14ac:dyDescent="0.25">
      <c r="B8"/>
      <c r="D8" s="305" t="s">
        <v>393</v>
      </c>
      <c r="E8" s="40" t="s">
        <v>392</v>
      </c>
      <c r="F8" s="40" t="s">
        <v>393</v>
      </c>
      <c r="G8" s="40" t="s">
        <v>392</v>
      </c>
      <c r="H8" s="75" t="s">
        <v>393</v>
      </c>
      <c r="I8" s="295" t="s">
        <v>394</v>
      </c>
      <c r="J8" s="76" t="s">
        <v>392</v>
      </c>
      <c r="K8" s="75" t="s">
        <v>393</v>
      </c>
      <c r="M8" s="305" t="s">
        <v>393</v>
      </c>
      <c r="N8" s="40" t="s">
        <v>392</v>
      </c>
      <c r="O8" s="40" t="s">
        <v>393</v>
      </c>
      <c r="P8" s="40" t="s">
        <v>392</v>
      </c>
      <c r="Q8" s="75" t="s">
        <v>393</v>
      </c>
      <c r="R8" s="295" t="s">
        <v>394</v>
      </c>
      <c r="S8" s="76" t="s">
        <v>392</v>
      </c>
      <c r="T8" s="75" t="s">
        <v>393</v>
      </c>
    </row>
    <row r="9" spans="2:22" x14ac:dyDescent="0.25">
      <c r="B9" s="14"/>
      <c r="C9" s="15" t="s">
        <v>679</v>
      </c>
      <c r="D9" s="48"/>
      <c r="E9" s="101"/>
      <c r="F9" s="48"/>
      <c r="G9" s="16"/>
      <c r="H9" s="49"/>
      <c r="I9" s="16"/>
      <c r="J9" s="16"/>
      <c r="K9" s="49"/>
      <c r="M9" s="48"/>
      <c r="N9" s="101"/>
      <c r="O9" s="48"/>
      <c r="P9" s="16"/>
      <c r="Q9" s="49"/>
      <c r="R9" s="16"/>
      <c r="S9" s="16"/>
      <c r="T9" s="49"/>
    </row>
    <row r="10" spans="2:22" x14ac:dyDescent="0.25">
      <c r="B10" s="28" t="s">
        <v>36</v>
      </c>
      <c r="C10" s="17" t="s">
        <v>679</v>
      </c>
      <c r="D10" s="209">
        <v>1734.91</v>
      </c>
      <c r="E10" s="279">
        <f>+D10/Summary!D$19</f>
        <v>1.482921976931734E-3</v>
      </c>
      <c r="F10" s="209">
        <v>2031</v>
      </c>
      <c r="G10" s="279">
        <f>+F10/Summary!F$19</f>
        <v>1.4727814221161459E-3</v>
      </c>
      <c r="H10" s="283">
        <f>+D10-F10</f>
        <v>-296.08999999999992</v>
      </c>
      <c r="I10" s="36">
        <v>2116.0700000000002</v>
      </c>
      <c r="J10" s="279">
        <f>+I10/Summary!I$19</f>
        <v>1.8166086415618173E-3</v>
      </c>
      <c r="K10" s="283">
        <f t="shared" ref="K10:K37" si="0">+F10-I10</f>
        <v>-85.070000000000164</v>
      </c>
      <c r="M10" s="209">
        <v>11619.83</v>
      </c>
      <c r="N10" s="279">
        <f>+M10/Summary!M$19</f>
        <v>1.5577908187780116E-3</v>
      </c>
      <c r="O10" s="209">
        <v>10155</v>
      </c>
      <c r="P10" s="279">
        <f>+O10/Summary!O$19</f>
        <v>1.2470136065639407E-3</v>
      </c>
      <c r="Q10" s="283">
        <f>+M10-O10</f>
        <v>1464.83</v>
      </c>
      <c r="R10" s="36">
        <v>9864.32</v>
      </c>
      <c r="S10" s="279">
        <f>+R10/Summary!R$19</f>
        <v>1.4032845364079268E-3</v>
      </c>
      <c r="T10" s="283">
        <f t="shared" ref="T10:T11" si="1">+O10-R10</f>
        <v>290.68000000000029</v>
      </c>
    </row>
    <row r="11" spans="2:22" x14ac:dyDescent="0.25">
      <c r="B11" s="28"/>
      <c r="C11" s="23" t="s">
        <v>680</v>
      </c>
      <c r="D11" s="91">
        <f t="shared" ref="D11" si="2">SUM(D10:D10)</f>
        <v>1734.91</v>
      </c>
      <c r="E11" s="171">
        <f>+D11/Summary!D$19</f>
        <v>1.482921976931734E-3</v>
      </c>
      <c r="F11" s="142">
        <f>SUM(F10:F10)</f>
        <v>2031</v>
      </c>
      <c r="G11" s="212">
        <f>+F11/Summary!F$19</f>
        <v>1.4727814221161459E-3</v>
      </c>
      <c r="H11" s="168">
        <f>+D11-F11</f>
        <v>-296.08999999999992</v>
      </c>
      <c r="I11" s="133">
        <f>SUM(I10:I10)</f>
        <v>2116.0700000000002</v>
      </c>
      <c r="J11" s="212">
        <f>+I11/Summary!I$19</f>
        <v>1.8166086415618173E-3</v>
      </c>
      <c r="K11" s="168">
        <f t="shared" si="0"/>
        <v>-85.070000000000164</v>
      </c>
      <c r="M11" s="91">
        <f t="shared" ref="M11" si="3">SUM(M10:M10)</f>
        <v>11619.83</v>
      </c>
      <c r="N11" s="171">
        <f>+M11/Summary!M$19</f>
        <v>1.5577908187780116E-3</v>
      </c>
      <c r="O11" s="142">
        <f>SUM(O10:O10)</f>
        <v>10155</v>
      </c>
      <c r="P11" s="212">
        <f>+O11/Summary!O$19</f>
        <v>1.2470136065639407E-3</v>
      </c>
      <c r="Q11" s="168">
        <f>+M11-O11</f>
        <v>1464.83</v>
      </c>
      <c r="R11" s="133">
        <f>SUM(R10:R10)</f>
        <v>9864.32</v>
      </c>
      <c r="S11" s="212">
        <f>+R11/Summary!R$19</f>
        <v>1.4032845364079268E-3</v>
      </c>
      <c r="T11" s="168">
        <f t="shared" si="1"/>
        <v>290.68000000000029</v>
      </c>
    </row>
    <row r="12" spans="2:22" x14ac:dyDescent="0.25">
      <c r="B12" s="28"/>
      <c r="C12" s="278" t="s">
        <v>637</v>
      </c>
      <c r="D12" s="241"/>
      <c r="E12" s="101"/>
      <c r="F12" s="281"/>
      <c r="G12" s="280"/>
      <c r="H12" s="89"/>
      <c r="I12" s="282"/>
      <c r="J12" s="280"/>
      <c r="K12" s="89"/>
      <c r="M12" s="241"/>
      <c r="N12" s="101"/>
      <c r="O12" s="281"/>
      <c r="P12" s="280"/>
      <c r="Q12" s="89"/>
      <c r="R12" s="282"/>
      <c r="S12" s="280"/>
      <c r="T12" s="89"/>
    </row>
    <row r="13" spans="2:22" x14ac:dyDescent="0.25">
      <c r="B13" s="28" t="s">
        <v>636</v>
      </c>
      <c r="C13" s="17" t="s">
        <v>681</v>
      </c>
      <c r="D13" s="36">
        <v>0</v>
      </c>
      <c r="E13" s="223">
        <f>+D13/Summary!D$19</f>
        <v>0</v>
      </c>
      <c r="F13" s="36">
        <v>0</v>
      </c>
      <c r="G13" s="223">
        <f>+F13/Summary!F$19</f>
        <v>0</v>
      </c>
      <c r="H13" s="144">
        <f>+D13-F13</f>
        <v>0</v>
      </c>
      <c r="I13" s="36">
        <v>0</v>
      </c>
      <c r="J13" s="223">
        <f>+I13/Summary!I$19</f>
        <v>0</v>
      </c>
      <c r="K13" s="144">
        <f t="shared" si="0"/>
        <v>0</v>
      </c>
      <c r="M13" s="36">
        <v>0</v>
      </c>
      <c r="N13" s="223">
        <f>+M13/Summary!M$19</f>
        <v>0</v>
      </c>
      <c r="O13" s="36">
        <v>0</v>
      </c>
      <c r="P13" s="223">
        <f>+O13/Summary!O$19</f>
        <v>0</v>
      </c>
      <c r="Q13" s="144">
        <f>+M13-O13</f>
        <v>0</v>
      </c>
      <c r="R13" s="36">
        <v>0</v>
      </c>
      <c r="S13" s="223">
        <f>+R13/Summary!R$19</f>
        <v>0</v>
      </c>
      <c r="T13" s="144">
        <f t="shared" ref="T13:T15" si="4">+O13-R13</f>
        <v>0</v>
      </c>
    </row>
    <row r="14" spans="2:22" x14ac:dyDescent="0.25">
      <c r="B14" s="28" t="s">
        <v>645</v>
      </c>
      <c r="C14" s="17" t="s">
        <v>682</v>
      </c>
      <c r="D14" s="106">
        <v>408.01</v>
      </c>
      <c r="E14" s="243">
        <f>+D14/Summary!D$19</f>
        <v>3.4874834764219283E-4</v>
      </c>
      <c r="F14" s="106">
        <v>1100.5</v>
      </c>
      <c r="G14" s="243">
        <f>+F14/Summary!F$19</f>
        <v>7.9802853522344596E-4</v>
      </c>
      <c r="H14" s="153">
        <f>+D14-F14</f>
        <v>-692.49</v>
      </c>
      <c r="I14" s="36">
        <v>1870.24</v>
      </c>
      <c r="J14" s="243">
        <f>+I14/Summary!I$19</f>
        <v>1.6055679376365494E-3</v>
      </c>
      <c r="K14" s="153">
        <f t="shared" si="0"/>
        <v>-769.74</v>
      </c>
      <c r="M14" s="106">
        <v>4339.7299999999996</v>
      </c>
      <c r="N14" s="243">
        <f>+M14/Summary!M$19</f>
        <v>5.8179780168690078E-4</v>
      </c>
      <c r="O14" s="106">
        <v>5715.5</v>
      </c>
      <c r="P14" s="243">
        <f>+O14/Summary!O$19</f>
        <v>7.0185192204000031E-4</v>
      </c>
      <c r="Q14" s="153">
        <f>+M14-O14</f>
        <v>-1375.7700000000004</v>
      </c>
      <c r="R14" s="36">
        <v>6042.36</v>
      </c>
      <c r="S14" s="243">
        <f>+R14/Summary!R$19</f>
        <v>8.5957778654887523E-4</v>
      </c>
      <c r="T14" s="153">
        <f t="shared" si="4"/>
        <v>-326.85999999999967</v>
      </c>
    </row>
    <row r="15" spans="2:22" x14ac:dyDescent="0.25">
      <c r="B15" s="28" t="s">
        <v>38</v>
      </c>
      <c r="C15" s="23" t="s">
        <v>683</v>
      </c>
      <c r="D15" s="91">
        <f>SUM(D13:D14)</f>
        <v>408.01</v>
      </c>
      <c r="E15" s="171">
        <f>+D15/Summary!D$19</f>
        <v>3.4874834764219283E-4</v>
      </c>
      <c r="F15" s="142">
        <f>SUM(F13:F14)</f>
        <v>1100.5</v>
      </c>
      <c r="G15" s="212">
        <f>+F15/Summary!F$19</f>
        <v>7.9802853522344596E-4</v>
      </c>
      <c r="H15" s="168">
        <f>+D15-F15</f>
        <v>-692.49</v>
      </c>
      <c r="I15" s="133">
        <f>SUM(I13:I14)</f>
        <v>1870.24</v>
      </c>
      <c r="J15" s="212">
        <f>+I15/Summary!I$19</f>
        <v>1.6055679376365494E-3</v>
      </c>
      <c r="K15" s="168">
        <f t="shared" si="0"/>
        <v>-769.74</v>
      </c>
      <c r="M15" s="91">
        <f>SUM(M13:M14)</f>
        <v>4339.7299999999996</v>
      </c>
      <c r="N15" s="171">
        <f>+M15/Summary!M$19</f>
        <v>5.8179780168690078E-4</v>
      </c>
      <c r="O15" s="142">
        <f>SUM(O13:O14)</f>
        <v>5715.5</v>
      </c>
      <c r="P15" s="212">
        <f>+O15/Summary!O$19</f>
        <v>7.0185192204000031E-4</v>
      </c>
      <c r="Q15" s="168">
        <f>+M15-O15</f>
        <v>-1375.7700000000004</v>
      </c>
      <c r="R15" s="133">
        <f>SUM(R13:R14)</f>
        <v>6042.36</v>
      </c>
      <c r="S15" s="212">
        <f>+R15/Summary!R$19</f>
        <v>8.5957778654887523E-4</v>
      </c>
      <c r="T15" s="168">
        <f t="shared" si="4"/>
        <v>-326.85999999999967</v>
      </c>
    </row>
    <row r="16" spans="2:22" x14ac:dyDescent="0.25">
      <c r="B16" s="28"/>
      <c r="C16" s="278" t="s">
        <v>684</v>
      </c>
      <c r="D16" s="48"/>
      <c r="E16" s="101"/>
      <c r="F16" s="281"/>
      <c r="G16" s="280"/>
      <c r="H16" s="89"/>
      <c r="I16" s="282"/>
      <c r="J16" s="280"/>
      <c r="K16" s="89"/>
      <c r="M16" s="48"/>
      <c r="N16" s="101"/>
      <c r="O16" s="281"/>
      <c r="P16" s="280"/>
      <c r="Q16" s="89"/>
      <c r="R16" s="282"/>
      <c r="S16" s="280"/>
      <c r="T16" s="89"/>
    </row>
    <row r="17" spans="2:20" x14ac:dyDescent="0.25">
      <c r="B17" s="28" t="s">
        <v>651</v>
      </c>
      <c r="C17" s="17" t="s">
        <v>685</v>
      </c>
      <c r="D17" s="36">
        <v>40005</v>
      </c>
      <c r="E17" s="223">
        <f>+D17/Summary!D$19</f>
        <v>3.4194450252263239E-2</v>
      </c>
      <c r="F17" s="36">
        <v>40005</v>
      </c>
      <c r="G17" s="223">
        <f>+F17/Summary!F$19</f>
        <v>2.9009660655714635E-2</v>
      </c>
      <c r="H17" s="144">
        <f>+D17-F17</f>
        <v>0</v>
      </c>
      <c r="I17" s="36">
        <v>37098</v>
      </c>
      <c r="J17" s="223">
        <f>+I17/Summary!I$19</f>
        <v>3.1847976382945883E-2</v>
      </c>
      <c r="K17" s="144">
        <f t="shared" si="0"/>
        <v>2907</v>
      </c>
      <c r="M17" s="36">
        <v>168744.92</v>
      </c>
      <c r="N17" s="223">
        <f>+M17/Summary!M$19</f>
        <v>2.2622472711858098E-2</v>
      </c>
      <c r="O17" s="36">
        <v>200025</v>
      </c>
      <c r="P17" s="223">
        <f>+O17/Summary!O$19</f>
        <v>2.4562668306543797E-2</v>
      </c>
      <c r="Q17" s="144">
        <f>+M17-O17</f>
        <v>-31280.079999999987</v>
      </c>
      <c r="R17" s="36">
        <v>188956</v>
      </c>
      <c r="S17" s="223">
        <f>+R17/Summary!R$19</f>
        <v>2.6880619531959245E-2</v>
      </c>
      <c r="T17" s="144">
        <f t="shared" ref="T17:T21" si="5">+O17-R17</f>
        <v>11069</v>
      </c>
    </row>
    <row r="18" spans="2:20" x14ac:dyDescent="0.25">
      <c r="B18" s="28" t="s">
        <v>649</v>
      </c>
      <c r="C18" s="17" t="s">
        <v>686</v>
      </c>
      <c r="D18" s="36">
        <v>8363</v>
      </c>
      <c r="E18" s="223">
        <f>+D18/Summary!D$19</f>
        <v>7.1483111475984865E-3</v>
      </c>
      <c r="F18" s="36">
        <v>8363</v>
      </c>
      <c r="G18" s="223">
        <f>+F18/Summary!F$19</f>
        <v>6.0644367470001617E-3</v>
      </c>
      <c r="H18" s="144">
        <f>+D18-F18</f>
        <v>0</v>
      </c>
      <c r="I18" s="36">
        <v>8363</v>
      </c>
      <c r="J18" s="223">
        <f>+I18/Summary!I$19</f>
        <v>7.1794874788553668E-3</v>
      </c>
      <c r="K18" s="144">
        <f t="shared" si="0"/>
        <v>0</v>
      </c>
      <c r="M18" s="36">
        <v>41815</v>
      </c>
      <c r="N18" s="223">
        <f>+M18/Summary!M$19</f>
        <v>5.6058499209715252E-3</v>
      </c>
      <c r="O18" s="36">
        <v>41815</v>
      </c>
      <c r="P18" s="223">
        <f>+O18/Summary!O$19</f>
        <v>5.1347980264373396E-3</v>
      </c>
      <c r="Q18" s="144">
        <f>+M18-O18</f>
        <v>0</v>
      </c>
      <c r="R18" s="36">
        <v>41815.199999999997</v>
      </c>
      <c r="S18" s="223">
        <f>+R18/Summary!R$19</f>
        <v>5.9485725875483295E-3</v>
      </c>
      <c r="T18" s="144">
        <f t="shared" si="5"/>
        <v>-0.19999999999708962</v>
      </c>
    </row>
    <row r="19" spans="2:20" x14ac:dyDescent="0.25">
      <c r="B19" s="28" t="s">
        <v>626</v>
      </c>
      <c r="C19" s="17" t="s">
        <v>687</v>
      </c>
      <c r="D19" s="36">
        <v>0</v>
      </c>
      <c r="E19" s="223">
        <f>+D19/Summary!D$19</f>
        <v>0</v>
      </c>
      <c r="F19" s="36">
        <v>0</v>
      </c>
      <c r="G19" s="223">
        <f>+F19/Summary!F$19</f>
        <v>0</v>
      </c>
      <c r="H19" s="144">
        <f>+D19-F19</f>
        <v>0</v>
      </c>
      <c r="I19" s="36">
        <v>0</v>
      </c>
      <c r="J19" s="223">
        <f>+I19/Summary!I$19</f>
        <v>0</v>
      </c>
      <c r="K19" s="144">
        <f t="shared" si="0"/>
        <v>0</v>
      </c>
      <c r="M19" s="36">
        <v>600</v>
      </c>
      <c r="N19" s="223">
        <f>+M19/Summary!M$19</f>
        <v>8.0437880009157358E-5</v>
      </c>
      <c r="O19" s="36">
        <v>300</v>
      </c>
      <c r="P19" s="223">
        <f>+O19/Summary!O$19</f>
        <v>3.6839397535123802E-5</v>
      </c>
      <c r="Q19" s="144">
        <f>+M19-O19</f>
        <v>300</v>
      </c>
      <c r="R19" s="36">
        <v>600</v>
      </c>
      <c r="S19" s="223">
        <f>+R19/Summary!R$19</f>
        <v>8.5355171146592583E-5</v>
      </c>
      <c r="T19" s="144">
        <f t="shared" si="5"/>
        <v>-300</v>
      </c>
    </row>
    <row r="20" spans="2:20" x14ac:dyDescent="0.25">
      <c r="B20" s="28" t="s">
        <v>646</v>
      </c>
      <c r="C20" s="17" t="s">
        <v>688</v>
      </c>
      <c r="D20" s="36">
        <v>0</v>
      </c>
      <c r="E20" s="223">
        <f>+D20/Summary!D$19</f>
        <v>0</v>
      </c>
      <c r="F20" s="36">
        <v>0</v>
      </c>
      <c r="G20" s="223">
        <f>+F20/Summary!F$19</f>
        <v>0</v>
      </c>
      <c r="H20" s="144">
        <f>+D20-F20</f>
        <v>0</v>
      </c>
      <c r="I20" s="36">
        <v>0</v>
      </c>
      <c r="J20" s="223">
        <f>+I20/Summary!I$19</f>
        <v>0</v>
      </c>
      <c r="K20" s="144">
        <f t="shared" si="0"/>
        <v>0</v>
      </c>
      <c r="M20" s="36">
        <v>16589.2</v>
      </c>
      <c r="N20" s="223">
        <f>+M20/Summary!M$19</f>
        <v>2.2240001317465224E-3</v>
      </c>
      <c r="O20" s="36">
        <v>16589</v>
      </c>
      <c r="P20" s="223">
        <f>+O20/Summary!O$19</f>
        <v>2.0370958857005629E-3</v>
      </c>
      <c r="Q20" s="144">
        <f>+M20-O20</f>
        <v>0.2000000000007276</v>
      </c>
      <c r="R20" s="36">
        <v>16589</v>
      </c>
      <c r="S20" s="223">
        <f>+R20/Summary!R$19</f>
        <v>2.3599282235847075E-3</v>
      </c>
      <c r="T20" s="144">
        <f t="shared" si="5"/>
        <v>0</v>
      </c>
    </row>
    <row r="21" spans="2:20" x14ac:dyDescent="0.25">
      <c r="B21" s="28" t="s">
        <v>40</v>
      </c>
      <c r="C21" s="23" t="s">
        <v>689</v>
      </c>
      <c r="D21" s="91">
        <f t="shared" ref="D21" si="6">SUM(D17:D20)</f>
        <v>48368</v>
      </c>
      <c r="E21" s="171">
        <f>+D21/Summary!D$19</f>
        <v>4.1342761399861726E-2</v>
      </c>
      <c r="F21" s="142">
        <f>SUM(F17:F20)</f>
        <v>48368</v>
      </c>
      <c r="G21" s="212">
        <f>+F21/Summary!F$19</f>
        <v>3.5074097402714798E-2</v>
      </c>
      <c r="H21" s="168">
        <f>+D21-F21</f>
        <v>0</v>
      </c>
      <c r="I21" s="133">
        <f>SUM(I17:I20)</f>
        <v>45461</v>
      </c>
      <c r="J21" s="212">
        <f>+I21/Summary!I$19</f>
        <v>3.9027463861801247E-2</v>
      </c>
      <c r="K21" s="168">
        <f t="shared" si="0"/>
        <v>2907</v>
      </c>
      <c r="M21" s="91">
        <f t="shared" ref="M21" si="7">SUM(M17:M20)</f>
        <v>227749.12000000002</v>
      </c>
      <c r="N21" s="171">
        <f>+M21/Summary!M$19</f>
        <v>3.0532760644585304E-2</v>
      </c>
      <c r="O21" s="142">
        <f>SUM(O17:O20)</f>
        <v>258729</v>
      </c>
      <c r="P21" s="212">
        <f>+O21/Summary!O$19</f>
        <v>3.1771401616216825E-2</v>
      </c>
      <c r="Q21" s="168">
        <f>+M21-O21</f>
        <v>-30979.879999999976</v>
      </c>
      <c r="R21" s="133">
        <f>SUM(R17:R20)</f>
        <v>247960.2</v>
      </c>
      <c r="S21" s="212">
        <f>+R21/Summary!R$19</f>
        <v>3.527447551423888E-2</v>
      </c>
      <c r="T21" s="168">
        <f t="shared" si="5"/>
        <v>10768.799999999988</v>
      </c>
    </row>
    <row r="22" spans="2:20" x14ac:dyDescent="0.25">
      <c r="B22" s="28"/>
      <c r="C22" s="278" t="s">
        <v>624</v>
      </c>
      <c r="D22" s="48"/>
      <c r="E22" s="101"/>
      <c r="F22" s="281"/>
      <c r="G22" s="280"/>
      <c r="H22" s="89"/>
      <c r="I22" s="282"/>
      <c r="J22" s="280"/>
      <c r="K22" s="89"/>
      <c r="M22" s="48"/>
      <c r="N22" s="101"/>
      <c r="O22" s="281"/>
      <c r="P22" s="280"/>
      <c r="Q22" s="89"/>
      <c r="R22" s="282"/>
      <c r="S22" s="280"/>
      <c r="T22" s="89"/>
    </row>
    <row r="23" spans="2:20" x14ac:dyDescent="0.25">
      <c r="B23" s="28" t="s">
        <v>625</v>
      </c>
      <c r="C23" s="17" t="s">
        <v>690</v>
      </c>
      <c r="D23" s="36">
        <v>87880.34</v>
      </c>
      <c r="E23" s="223">
        <f>+D23/Summary!D$19</f>
        <v>7.511610834350653E-2</v>
      </c>
      <c r="F23" s="36">
        <v>112259</v>
      </c>
      <c r="G23" s="223">
        <f>+F23/Summary!F$19</f>
        <v>8.1404711799771753E-2</v>
      </c>
      <c r="H23" s="144">
        <f>+D23-F23</f>
        <v>-24378.660000000003</v>
      </c>
      <c r="I23" s="36">
        <v>106553.73</v>
      </c>
      <c r="J23" s="223">
        <f>+I23/Summary!I$19</f>
        <v>9.1474491254374679E-2</v>
      </c>
      <c r="K23" s="144">
        <f t="shared" si="0"/>
        <v>5705.2700000000041</v>
      </c>
      <c r="M23" s="36">
        <v>516133.69</v>
      </c>
      <c r="N23" s="223">
        <f>+M23/Summary!M$19</f>
        <v>6.9194499708172708E-2</v>
      </c>
      <c r="O23" s="36">
        <v>540519</v>
      </c>
      <c r="P23" s="223">
        <f>+O23/Summary!O$19</f>
        <v>6.6374647720958607E-2</v>
      </c>
      <c r="Q23" s="144">
        <f>+M23-O23</f>
        <v>-24385.309999999998</v>
      </c>
      <c r="R23" s="36">
        <v>587084.93999999994</v>
      </c>
      <c r="S23" s="223">
        <f>+R23/Summary!R$19</f>
        <v>8.3517892552145062E-2</v>
      </c>
      <c r="T23" s="144">
        <f t="shared" ref="T23:T27" si="8">+O23-R23</f>
        <v>-46565.939999999944</v>
      </c>
    </row>
    <row r="24" spans="2:20" x14ac:dyDescent="0.25">
      <c r="B24" s="28" t="s">
        <v>639</v>
      </c>
      <c r="C24" s="17" t="s">
        <v>691</v>
      </c>
      <c r="D24" s="36">
        <v>7704.69</v>
      </c>
      <c r="E24" s="223">
        <f>+D24/Summary!D$19</f>
        <v>6.5856177706314217E-3</v>
      </c>
      <c r="F24" s="36">
        <v>10545.32</v>
      </c>
      <c r="G24" s="223">
        <f>+F24/Summary!F$19</f>
        <v>7.6469479991481222E-3</v>
      </c>
      <c r="H24" s="144">
        <f>+D24-F24</f>
        <v>-2840.63</v>
      </c>
      <c r="I24" s="36">
        <v>10303.48</v>
      </c>
      <c r="J24" s="223">
        <f>+I24/Summary!I$19</f>
        <v>8.8453552132771365E-3</v>
      </c>
      <c r="K24" s="144">
        <f t="shared" si="0"/>
        <v>241.84000000000015</v>
      </c>
      <c r="M24" s="36">
        <v>38818.980000000003</v>
      </c>
      <c r="N24" s="223">
        <f>+M24/Summary!M$19</f>
        <v>5.2041940921964663E-3</v>
      </c>
      <c r="O24" s="36">
        <v>52726.6</v>
      </c>
      <c r="P24" s="223">
        <f>+O24/Summary!O$19</f>
        <v>6.4747205935848625E-3</v>
      </c>
      <c r="Q24" s="144">
        <f>+M24-O24</f>
        <v>-13907.619999999995</v>
      </c>
      <c r="R24" s="36">
        <v>50243.32</v>
      </c>
      <c r="S24" s="223">
        <f>+R24/Summary!R$19</f>
        <v>7.1475452959550304E-3</v>
      </c>
      <c r="T24" s="144">
        <f t="shared" si="8"/>
        <v>2483.2799999999988</v>
      </c>
    </row>
    <row r="25" spans="2:20" x14ac:dyDescent="0.25">
      <c r="B25" s="28" t="s">
        <v>630</v>
      </c>
      <c r="C25" s="17" t="s">
        <v>697</v>
      </c>
      <c r="D25" s="36">
        <v>0</v>
      </c>
      <c r="E25" s="223">
        <f>+D25/Summary!D$19</f>
        <v>0</v>
      </c>
      <c r="F25" s="36">
        <v>0</v>
      </c>
      <c r="G25" s="223">
        <f>+F25/Summary!F$19</f>
        <v>0</v>
      </c>
      <c r="H25" s="144">
        <f>+D25-F25</f>
        <v>0</v>
      </c>
      <c r="I25" s="36">
        <v>0</v>
      </c>
      <c r="J25" s="223">
        <f>+I25/Summary!I$19</f>
        <v>0</v>
      </c>
      <c r="K25" s="144">
        <f t="shared" si="0"/>
        <v>0</v>
      </c>
      <c r="M25" s="36">
        <v>0</v>
      </c>
      <c r="N25" s="223">
        <f>+M25/Summary!M$19</f>
        <v>0</v>
      </c>
      <c r="O25" s="36">
        <v>0</v>
      </c>
      <c r="P25" s="223">
        <f>+O25/Summary!O$19</f>
        <v>0</v>
      </c>
      <c r="Q25" s="144">
        <f>+M25-O25</f>
        <v>0</v>
      </c>
      <c r="R25" s="36">
        <v>0</v>
      </c>
      <c r="S25" s="223">
        <f>+R25/Summary!R$19</f>
        <v>0</v>
      </c>
      <c r="T25" s="144">
        <f t="shared" si="8"/>
        <v>0</v>
      </c>
    </row>
    <row r="26" spans="2:20" x14ac:dyDescent="0.25">
      <c r="B26" s="28" t="s">
        <v>643</v>
      </c>
      <c r="C26" s="17" t="s">
        <v>692</v>
      </c>
      <c r="D26" s="106">
        <v>439.84</v>
      </c>
      <c r="E26" s="243">
        <f>+D26/Summary!D$19</f>
        <v>3.7595518057631451E-4</v>
      </c>
      <c r="F26" s="106">
        <v>873</v>
      </c>
      <c r="G26" s="243">
        <f>+F26/Summary!F$19</f>
        <v>6.3305671172200664E-4</v>
      </c>
      <c r="H26" s="153">
        <f>+D26-F26</f>
        <v>-433.16</v>
      </c>
      <c r="I26" s="36">
        <v>350.51</v>
      </c>
      <c r="J26" s="243">
        <f>+I26/Summary!I$19</f>
        <v>3.0090663113877729E-4</v>
      </c>
      <c r="K26" s="153">
        <f t="shared" si="0"/>
        <v>522.49</v>
      </c>
      <c r="M26" s="106">
        <v>2288.5300000000002</v>
      </c>
      <c r="N26" s="243">
        <f>+M26/Summary!M$19</f>
        <v>3.0680750256226153E-4</v>
      </c>
      <c r="O26" s="106">
        <v>4365</v>
      </c>
      <c r="P26" s="243">
        <f>+O26/Summary!O$19</f>
        <v>5.3601323413605137E-4</v>
      </c>
      <c r="Q26" s="153">
        <f>+M26-O26</f>
        <v>-2076.4699999999998</v>
      </c>
      <c r="R26" s="36">
        <v>1759.01</v>
      </c>
      <c r="S26" s="243">
        <f>+R26/Summary!R$19</f>
        <v>2.502343326642797E-4</v>
      </c>
      <c r="T26" s="153">
        <f t="shared" si="8"/>
        <v>2605.9899999999998</v>
      </c>
    </row>
    <row r="27" spans="2:20" x14ac:dyDescent="0.25">
      <c r="B27" s="28" t="s">
        <v>42</v>
      </c>
      <c r="C27" s="23" t="s">
        <v>693</v>
      </c>
      <c r="D27" s="91">
        <f t="shared" ref="D27" si="9">SUM(D23:D26)</f>
        <v>96024.87</v>
      </c>
      <c r="E27" s="171">
        <f>+D27/Summary!D$19</f>
        <v>8.2077681294714266E-2</v>
      </c>
      <c r="F27" s="142">
        <f>SUM(F23:F26)</f>
        <v>123677.32</v>
      </c>
      <c r="G27" s="212">
        <f>+F27/Summary!F$19</f>
        <v>8.9684716510641888E-2</v>
      </c>
      <c r="H27" s="168">
        <f>+D27-F27</f>
        <v>-27652.450000000012</v>
      </c>
      <c r="I27" s="133">
        <f>SUM(I23:I26)</f>
        <v>117207.71999999999</v>
      </c>
      <c r="J27" s="212">
        <f>+I27/Summary!I$19</f>
        <v>0.10062075309879059</v>
      </c>
      <c r="K27" s="168">
        <f t="shared" si="0"/>
        <v>6469.6000000000204</v>
      </c>
      <c r="M27" s="91">
        <f t="shared" ref="M27" si="10">SUM(M23:M26)</f>
        <v>557241.20000000007</v>
      </c>
      <c r="N27" s="171">
        <f>+M27/Summary!M$19</f>
        <v>7.4705501302931437E-2</v>
      </c>
      <c r="O27" s="142">
        <f>SUM(O23:O26)</f>
        <v>597610.6</v>
      </c>
      <c r="P27" s="212">
        <f>+O27/Summary!O$19</f>
        <v>7.3385381548679518E-2</v>
      </c>
      <c r="Q27" s="168">
        <f>+M27-O27</f>
        <v>-40369.399999999907</v>
      </c>
      <c r="R27" s="133">
        <f>SUM(R23:R26)</f>
        <v>639087.2699999999</v>
      </c>
      <c r="S27" s="212">
        <f>+R27/Summary!R$19</f>
        <v>9.0915672180764365E-2</v>
      </c>
      <c r="T27" s="168">
        <f t="shared" si="8"/>
        <v>-41476.669999999925</v>
      </c>
    </row>
    <row r="28" spans="2:20" x14ac:dyDescent="0.25">
      <c r="B28" s="28"/>
      <c r="C28" s="278" t="s">
        <v>447</v>
      </c>
      <c r="D28" s="48"/>
      <c r="E28" s="101"/>
      <c r="F28" s="281"/>
      <c r="G28" s="280"/>
      <c r="H28" s="89"/>
      <c r="I28" s="282"/>
      <c r="J28" s="280"/>
      <c r="K28" s="89"/>
      <c r="M28" s="48"/>
      <c r="N28" s="101"/>
      <c r="O28" s="281"/>
      <c r="P28" s="280"/>
      <c r="Q28" s="89"/>
      <c r="R28" s="282"/>
      <c r="S28" s="280"/>
      <c r="T28" s="89"/>
    </row>
    <row r="29" spans="2:20" x14ac:dyDescent="0.25">
      <c r="B29" s="28" t="s">
        <v>623</v>
      </c>
      <c r="C29" s="17" t="s">
        <v>698</v>
      </c>
      <c r="D29" s="36">
        <v>0</v>
      </c>
      <c r="E29" s="223">
        <f>+D29/Summary!D$19</f>
        <v>0</v>
      </c>
      <c r="F29" s="36">
        <v>0</v>
      </c>
      <c r="G29" s="223">
        <f>+F29/Summary!F$19</f>
        <v>0</v>
      </c>
      <c r="H29" s="144">
        <f t="shared" ref="H29:H35" si="11">+D29-F29</f>
        <v>0</v>
      </c>
      <c r="I29" s="36">
        <v>0</v>
      </c>
      <c r="J29" s="223">
        <f>+I29/Summary!I$19</f>
        <v>0</v>
      </c>
      <c r="K29" s="144">
        <f t="shared" si="0"/>
        <v>0</v>
      </c>
      <c r="M29" s="36">
        <v>0</v>
      </c>
      <c r="N29" s="223">
        <f>+M29/Summary!M$19</f>
        <v>0</v>
      </c>
      <c r="O29" s="36">
        <v>0</v>
      </c>
      <c r="P29" s="223">
        <f>+O29/Summary!O$19</f>
        <v>0</v>
      </c>
      <c r="Q29" s="144">
        <f t="shared" ref="Q29:Q35" si="12">+M29-O29</f>
        <v>0</v>
      </c>
      <c r="R29" s="36">
        <v>0</v>
      </c>
      <c r="S29" s="223">
        <f>+R29/Summary!R$19</f>
        <v>0</v>
      </c>
      <c r="T29" s="144">
        <f t="shared" ref="T29:T35" si="13">+O29-R29</f>
        <v>0</v>
      </c>
    </row>
    <row r="30" spans="2:20" x14ac:dyDescent="0.25">
      <c r="B30" s="28" t="s">
        <v>633</v>
      </c>
      <c r="C30" s="17" t="s">
        <v>699</v>
      </c>
      <c r="D30" s="36">
        <v>0</v>
      </c>
      <c r="E30" s="223">
        <f>+D30/Summary!D$19</f>
        <v>0</v>
      </c>
      <c r="F30" s="36">
        <v>0</v>
      </c>
      <c r="G30" s="223">
        <f>+F30/Summary!F$19</f>
        <v>0</v>
      </c>
      <c r="H30" s="144">
        <f t="shared" si="11"/>
        <v>0</v>
      </c>
      <c r="I30" s="36">
        <v>0</v>
      </c>
      <c r="J30" s="223">
        <f>+I30/Summary!I$19</f>
        <v>0</v>
      </c>
      <c r="K30" s="144">
        <f t="shared" si="0"/>
        <v>0</v>
      </c>
      <c r="M30" s="36">
        <v>0</v>
      </c>
      <c r="N30" s="223">
        <f>+M30/Summary!M$19</f>
        <v>0</v>
      </c>
      <c r="O30" s="36">
        <v>0</v>
      </c>
      <c r="P30" s="223">
        <f>+O30/Summary!O$19</f>
        <v>0</v>
      </c>
      <c r="Q30" s="144">
        <f t="shared" si="12"/>
        <v>0</v>
      </c>
      <c r="R30" s="36">
        <v>0</v>
      </c>
      <c r="S30" s="223">
        <f>+R30/Summary!R$19</f>
        <v>0</v>
      </c>
      <c r="T30" s="144">
        <f t="shared" si="13"/>
        <v>0</v>
      </c>
    </row>
    <row r="31" spans="2:20" x14ac:dyDescent="0.25">
      <c r="B31" s="28" t="s">
        <v>638</v>
      </c>
      <c r="C31" s="17" t="s">
        <v>700</v>
      </c>
      <c r="D31" s="36">
        <v>0</v>
      </c>
      <c r="E31" s="223">
        <f>+D31/Summary!D$19</f>
        <v>0</v>
      </c>
      <c r="F31" s="36">
        <v>0</v>
      </c>
      <c r="G31" s="223">
        <f>+F31/Summary!F$19</f>
        <v>0</v>
      </c>
      <c r="H31" s="144">
        <f t="shared" si="11"/>
        <v>0</v>
      </c>
      <c r="I31" s="36">
        <v>0</v>
      </c>
      <c r="J31" s="223">
        <f>+I31/Summary!I$19</f>
        <v>0</v>
      </c>
      <c r="K31" s="144">
        <f t="shared" si="0"/>
        <v>0</v>
      </c>
      <c r="M31" s="36">
        <v>0</v>
      </c>
      <c r="N31" s="223">
        <f>+M31/Summary!M$19</f>
        <v>0</v>
      </c>
      <c r="O31" s="36">
        <v>0</v>
      </c>
      <c r="P31" s="223">
        <f>+O31/Summary!O$19</f>
        <v>0</v>
      </c>
      <c r="Q31" s="144">
        <f t="shared" si="12"/>
        <v>0</v>
      </c>
      <c r="R31" s="36">
        <v>0</v>
      </c>
      <c r="S31" s="223">
        <f>+R31/Summary!R$19</f>
        <v>0</v>
      </c>
      <c r="T31" s="144">
        <f t="shared" si="13"/>
        <v>0</v>
      </c>
    </row>
    <row r="32" spans="2:20" x14ac:dyDescent="0.25">
      <c r="B32" s="28" t="s">
        <v>644</v>
      </c>
      <c r="C32" s="17" t="s">
        <v>701</v>
      </c>
      <c r="D32" s="36">
        <v>0</v>
      </c>
      <c r="E32" s="223">
        <f>+D32/Summary!D$19</f>
        <v>0</v>
      </c>
      <c r="F32" s="36">
        <v>0</v>
      </c>
      <c r="G32" s="223">
        <f>+F32/Summary!F$19</f>
        <v>0</v>
      </c>
      <c r="H32" s="144">
        <f t="shared" si="11"/>
        <v>0</v>
      </c>
      <c r="I32" s="36">
        <v>0</v>
      </c>
      <c r="J32" s="223">
        <f>+I32/Summary!I$19</f>
        <v>0</v>
      </c>
      <c r="K32" s="144">
        <f t="shared" si="0"/>
        <v>0</v>
      </c>
      <c r="M32" s="36">
        <v>0</v>
      </c>
      <c r="N32" s="223">
        <f>+M32/Summary!M$19</f>
        <v>0</v>
      </c>
      <c r="O32" s="36">
        <v>0</v>
      </c>
      <c r="P32" s="223">
        <f>+O32/Summary!O$19</f>
        <v>0</v>
      </c>
      <c r="Q32" s="144">
        <f t="shared" si="12"/>
        <v>0</v>
      </c>
      <c r="R32" s="36">
        <v>-448</v>
      </c>
      <c r="S32" s="223">
        <f>+R32/Summary!R$19</f>
        <v>-6.3731861122789127E-5</v>
      </c>
      <c r="T32" s="144">
        <f t="shared" si="13"/>
        <v>448</v>
      </c>
    </row>
    <row r="33" spans="2:20" x14ac:dyDescent="0.25">
      <c r="B33" s="28" t="s">
        <v>648</v>
      </c>
      <c r="C33" s="17" t="s">
        <v>694</v>
      </c>
      <c r="D33" s="36">
        <v>0</v>
      </c>
      <c r="E33" s="223">
        <f>+D33/Summary!D$19</f>
        <v>0</v>
      </c>
      <c r="F33" s="36">
        <v>0</v>
      </c>
      <c r="G33" s="223">
        <f>+F33/Summary!F$19</f>
        <v>0</v>
      </c>
      <c r="H33" s="144">
        <f t="shared" si="11"/>
        <v>0</v>
      </c>
      <c r="I33" s="36">
        <v>0</v>
      </c>
      <c r="J33" s="223">
        <f>+I33/Summary!I$19</f>
        <v>0</v>
      </c>
      <c r="K33" s="144">
        <f t="shared" si="0"/>
        <v>0</v>
      </c>
      <c r="M33" s="36">
        <v>0</v>
      </c>
      <c r="N33" s="223">
        <f>+M33/Summary!M$19</f>
        <v>0</v>
      </c>
      <c r="O33" s="36">
        <v>0</v>
      </c>
      <c r="P33" s="223">
        <f>+O33/Summary!O$19</f>
        <v>0</v>
      </c>
      <c r="Q33" s="144">
        <f t="shared" si="12"/>
        <v>0</v>
      </c>
      <c r="R33" s="36">
        <v>0</v>
      </c>
      <c r="S33" s="223">
        <f>+R33/Summary!R$19</f>
        <v>0</v>
      </c>
      <c r="T33" s="144">
        <f t="shared" si="13"/>
        <v>0</v>
      </c>
    </row>
    <row r="34" spans="2:20" x14ac:dyDescent="0.25">
      <c r="B34" s="28" t="s">
        <v>650</v>
      </c>
      <c r="C34" s="17" t="s">
        <v>702</v>
      </c>
      <c r="D34" s="36">
        <v>0</v>
      </c>
      <c r="E34" s="223">
        <f>+D34/Summary!D$19</f>
        <v>0</v>
      </c>
      <c r="F34" s="36">
        <v>0</v>
      </c>
      <c r="G34" s="223">
        <f>+F34/Summary!F$19</f>
        <v>0</v>
      </c>
      <c r="H34" s="144">
        <f t="shared" si="11"/>
        <v>0</v>
      </c>
      <c r="I34" s="36">
        <v>0</v>
      </c>
      <c r="J34" s="223">
        <f>+I34/Summary!I$19</f>
        <v>0</v>
      </c>
      <c r="K34" s="144">
        <f t="shared" si="0"/>
        <v>0</v>
      </c>
      <c r="M34" s="36">
        <v>0</v>
      </c>
      <c r="N34" s="223">
        <f>+M34/Summary!M$19</f>
        <v>0</v>
      </c>
      <c r="O34" s="36">
        <v>0</v>
      </c>
      <c r="P34" s="223">
        <f>+O34/Summary!O$19</f>
        <v>0</v>
      </c>
      <c r="Q34" s="144">
        <f t="shared" si="12"/>
        <v>0</v>
      </c>
      <c r="R34" s="36">
        <v>0</v>
      </c>
      <c r="S34" s="223">
        <f>+R34/Summary!R$19</f>
        <v>0</v>
      </c>
      <c r="T34" s="144">
        <f t="shared" si="13"/>
        <v>0</v>
      </c>
    </row>
    <row r="35" spans="2:20" x14ac:dyDescent="0.25">
      <c r="B35" s="28" t="s">
        <v>44</v>
      </c>
      <c r="C35" s="23" t="s">
        <v>695</v>
      </c>
      <c r="D35" s="91">
        <f t="shared" ref="D35" si="14">SUM(D29:D34)</f>
        <v>0</v>
      </c>
      <c r="E35" s="171">
        <f>+D35/Summary!D$19</f>
        <v>0</v>
      </c>
      <c r="F35" s="91">
        <f>SUM(F29:F34)</f>
        <v>0</v>
      </c>
      <c r="G35" s="171">
        <f>+F35/Summary!F$19</f>
        <v>0</v>
      </c>
      <c r="H35" s="140">
        <f t="shared" si="11"/>
        <v>0</v>
      </c>
      <c r="I35" s="86">
        <f>SUM(I29:I34)</f>
        <v>0</v>
      </c>
      <c r="J35" s="171">
        <f>+I35/Summary!I$19</f>
        <v>0</v>
      </c>
      <c r="K35" s="140">
        <f t="shared" si="0"/>
        <v>0</v>
      </c>
      <c r="M35" s="91">
        <f t="shared" ref="M35" si="15">SUM(M29:M34)</f>
        <v>0</v>
      </c>
      <c r="N35" s="171">
        <f>+M35/Summary!M$19</f>
        <v>0</v>
      </c>
      <c r="O35" s="91">
        <f>SUM(O29:O34)</f>
        <v>0</v>
      </c>
      <c r="P35" s="171">
        <f>+O35/Summary!O$19</f>
        <v>0</v>
      </c>
      <c r="Q35" s="140">
        <f t="shared" si="12"/>
        <v>0</v>
      </c>
      <c r="R35" s="86">
        <f>SUM(R29:R34)</f>
        <v>-448</v>
      </c>
      <c r="S35" s="171">
        <f>+R35/Summary!R$19</f>
        <v>-6.3731861122789127E-5</v>
      </c>
      <c r="T35" s="140">
        <f t="shared" si="13"/>
        <v>448</v>
      </c>
    </row>
    <row r="36" spans="2:20" x14ac:dyDescent="0.25">
      <c r="B36" s="28"/>
      <c r="C36" s="17"/>
      <c r="D36" s="324"/>
      <c r="E36" s="216"/>
      <c r="F36" s="251"/>
      <c r="G36" s="247"/>
      <c r="H36" s="247"/>
      <c r="I36" s="247"/>
      <c r="J36" s="247"/>
      <c r="K36" s="252"/>
      <c r="M36" s="324"/>
      <c r="N36" s="216"/>
      <c r="O36" s="251"/>
      <c r="P36" s="247"/>
      <c r="Q36" s="247"/>
      <c r="R36" s="247"/>
      <c r="S36" s="247"/>
      <c r="T36" s="252"/>
    </row>
    <row r="37" spans="2:20" x14ac:dyDescent="0.25">
      <c r="B37" s="28" t="s">
        <v>668</v>
      </c>
      <c r="C37" s="18" t="s">
        <v>696</v>
      </c>
      <c r="D37" s="91">
        <f t="shared" ref="D37" si="16">+(-D11)+D15+D21+D27+D35</f>
        <v>143065.97</v>
      </c>
      <c r="E37" s="171">
        <f>+D37/Summary!D$19</f>
        <v>0.12228626906528646</v>
      </c>
      <c r="F37" s="60">
        <f>+-F11+F15+F21+F27+F35</f>
        <v>171114.82</v>
      </c>
      <c r="G37" s="284">
        <f>+F37/Summary!F$19</f>
        <v>0.12408406102646398</v>
      </c>
      <c r="H37" s="285">
        <f>+D37-F37</f>
        <v>-28048.850000000006</v>
      </c>
      <c r="I37" s="286">
        <f>+-I11+I15+I21+I27+I35</f>
        <v>162422.88999999998</v>
      </c>
      <c r="J37" s="284">
        <f>+I37/Summary!I$19</f>
        <v>0.13943717625666657</v>
      </c>
      <c r="K37" s="285">
        <f t="shared" si="0"/>
        <v>8691.9300000000221</v>
      </c>
      <c r="M37" s="91">
        <f t="shared" ref="M37" si="17">+(-M11)+M15+M21+M27+M35</f>
        <v>777710.22000000009</v>
      </c>
      <c r="N37" s="171">
        <f>+M37/Summary!M$19</f>
        <v>0.10426226893042563</v>
      </c>
      <c r="O37" s="60">
        <f>+-O11+O15+O21+O27+O35</f>
        <v>851900.1</v>
      </c>
      <c r="P37" s="284">
        <f>+O37/Summary!O$19</f>
        <v>0.10461162148037241</v>
      </c>
      <c r="Q37" s="285">
        <f>+M37-O37</f>
        <v>-74189.879999999888</v>
      </c>
      <c r="R37" s="286">
        <f>+-R11+R15+R21+R27+R35</f>
        <v>882777.50999999989</v>
      </c>
      <c r="S37" s="284">
        <f>+R37/Summary!R$19</f>
        <v>0.12558270908402139</v>
      </c>
      <c r="T37" s="285">
        <f t="shared" ref="T37" si="18">+O37-R37</f>
        <v>-30877.409999999916</v>
      </c>
    </row>
    <row r="38" spans="2:20" x14ac:dyDescent="0.25">
      <c r="B38" s="28"/>
    </row>
    <row r="39" spans="2:20" x14ac:dyDescent="0.25">
      <c r="B39" s="28"/>
    </row>
  </sheetData>
  <mergeCells count="6">
    <mergeCell ref="R7:S7"/>
    <mergeCell ref="F7:G7"/>
    <mergeCell ref="I7:J7"/>
    <mergeCell ref="D7:E7"/>
    <mergeCell ref="M7:N7"/>
    <mergeCell ref="O7:P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Summary</vt:lpstr>
      <vt:lpstr>Rooms</vt:lpstr>
      <vt:lpstr>F&amp;B_CONS</vt:lpstr>
      <vt:lpstr>OTH_OP</vt:lpstr>
      <vt:lpstr>MISC_INC</vt:lpstr>
      <vt:lpstr>AG</vt:lpstr>
      <vt:lpstr>IT</vt:lpstr>
      <vt:lpstr>SM</vt:lpstr>
      <vt:lpstr>POM</vt:lpstr>
      <vt:lpstr>EC</vt:lpstr>
      <vt:lpstr>Mgt_Fees</vt:lpstr>
      <vt:lpstr>Non_Op</vt:lpstr>
      <vt:lpstr>Month</vt:lpstr>
      <vt:lpstr>Property</vt:lpstr>
      <vt:lpstr>Property_Code</vt:lpstr>
      <vt:lpstr>Year</vt:lpstr>
      <vt:lpstr>YTDMonth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Galiardo</dc:creator>
  <cp:lastModifiedBy>Hyun Lee</cp:lastModifiedBy>
  <dcterms:created xsi:type="dcterms:W3CDTF">2024-11-04T20:15:09Z</dcterms:created>
  <dcterms:modified xsi:type="dcterms:W3CDTF">2025-06-26T22:44:28Z</dcterms:modified>
</cp:coreProperties>
</file>