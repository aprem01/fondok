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hpcp-my.sharepoint.com/personal/hyun_lee_khpcp_com/Documents/Documents/AM/Dispositions/ANG Disposition/"/>
    </mc:Choice>
  </mc:AlternateContent>
  <xr:revisionPtr revIDLastSave="5941" documentId="8_{52F6069C-9063-46F7-A463-D583E9C29199}" xr6:coauthVersionLast="47" xr6:coauthVersionMax="47" xr10:uidLastSave="{68490A05-BDD5-4D86-A472-1937C2036FDD}"/>
  <bookViews>
    <workbookView xWindow="-28920" yWindow="-105" windowWidth="29040" windowHeight="15720" xr2:uid="{04E17F45-2941-4E53-AB6B-FEDC6E14B477}"/>
  </bookViews>
  <sheets>
    <sheet name="Summary" sheetId="2" r:id="rId1"/>
    <sheet name="Rooms" sheetId="20" r:id="rId2"/>
    <sheet name="F&amp;B_CONS" sheetId="21" r:id="rId3"/>
    <sheet name="OTH_OP" sheetId="22" r:id="rId4"/>
    <sheet name="MISC_INC" sheetId="23" r:id="rId5"/>
    <sheet name="AG" sheetId="25" r:id="rId6"/>
    <sheet name="IT" sheetId="26" r:id="rId7"/>
    <sheet name="SM" sheetId="27" r:id="rId8"/>
    <sheet name="POM" sheetId="28" r:id="rId9"/>
    <sheet name="EC" sheetId="29" r:id="rId10"/>
    <sheet name="Mgt_Fees" sheetId="30" r:id="rId11"/>
    <sheet name="Non_Op" sheetId="33" r:id="rId12"/>
  </sheets>
  <definedNames>
    <definedName name="Month">Summary!$V$2</definedName>
    <definedName name="Property">Summary!$V$1</definedName>
    <definedName name="Property_Code">Summary!$V$1</definedName>
    <definedName name="Year">Summary!$V$3</definedName>
    <definedName name="YTDMonth">Summary!$V$4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2" l="1"/>
  <c r="C4" i="2" l="1"/>
  <c r="M6" i="20" l="1"/>
  <c r="M6" i="21"/>
  <c r="M6" i="22"/>
  <c r="M6" i="23"/>
  <c r="M6" i="25"/>
  <c r="M6" i="26"/>
  <c r="M6" i="27"/>
  <c r="M6" i="28"/>
  <c r="M6" i="29"/>
  <c r="M6" i="30"/>
  <c r="M6" i="33"/>
  <c r="M6" i="2"/>
  <c r="D6" i="21"/>
  <c r="D6" i="22"/>
  <c r="D6" i="23"/>
  <c r="D6" i="25"/>
  <c r="D6" i="26"/>
  <c r="D6" i="27"/>
  <c r="D6" i="28"/>
  <c r="D6" i="29"/>
  <c r="D6" i="30"/>
  <c r="D6" i="33"/>
  <c r="D6" i="20"/>
  <c r="D6" i="2"/>
  <c r="R11" i="33" l="1"/>
  <c r="F14" i="26"/>
  <c r="R12" i="2"/>
  <c r="Q34" i="33"/>
  <c r="O13" i="30"/>
  <c r="Q33" i="33"/>
  <c r="Q31" i="27"/>
  <c r="Q31" i="28"/>
  <c r="Q18" i="33"/>
  <c r="T34" i="33"/>
  <c r="T10" i="2"/>
  <c r="S33" i="22"/>
  <c r="I21" i="26"/>
  <c r="Q76" i="20"/>
  <c r="S30" i="22"/>
  <c r="T49" i="27"/>
  <c r="T90" i="21"/>
  <c r="Q16" i="22"/>
  <c r="N26" i="22"/>
  <c r="T40" i="25"/>
  <c r="T65" i="26"/>
  <c r="Q33" i="28"/>
  <c r="Q78" i="20"/>
  <c r="T72" i="21"/>
  <c r="T28" i="27"/>
  <c r="Q13" i="29"/>
  <c r="Q11" i="30"/>
  <c r="T45" i="20"/>
  <c r="T33" i="26"/>
  <c r="T51" i="28"/>
  <c r="T33" i="33"/>
  <c r="Q46" i="2"/>
  <c r="Q67" i="20"/>
  <c r="Q12" i="29"/>
  <c r="T31" i="25"/>
  <c r="M11" i="33"/>
  <c r="T48" i="27"/>
  <c r="Q15" i="27"/>
  <c r="Q82" i="21"/>
  <c r="Q17" i="25"/>
  <c r="T20" i="27"/>
  <c r="T97" i="21"/>
  <c r="T16" i="20"/>
  <c r="T14" i="25"/>
  <c r="Q57" i="20"/>
  <c r="Q15" i="23"/>
  <c r="T14" i="29"/>
  <c r="S22" i="2"/>
  <c r="R41" i="21"/>
  <c r="R44" i="21" s="1"/>
  <c r="F49" i="26"/>
  <c r="F30" i="26"/>
  <c r="F67" i="26"/>
  <c r="F21" i="26"/>
  <c r="K66" i="20"/>
  <c r="H66" i="20"/>
  <c r="I30" i="26"/>
  <c r="I14" i="26"/>
  <c r="I17" i="26" s="1"/>
  <c r="I49" i="26"/>
  <c r="I67" i="26"/>
  <c r="I48" i="2"/>
  <c r="I19" i="2"/>
  <c r="I11" i="2"/>
  <c r="I12" i="2"/>
  <c r="I35" i="2"/>
  <c r="I25" i="2"/>
  <c r="Q19" i="28" l="1"/>
  <c r="T39" i="25"/>
  <c r="T10" i="33"/>
  <c r="P24" i="2"/>
  <c r="T68" i="20"/>
  <c r="T56" i="26"/>
  <c r="Q34" i="27"/>
  <c r="Q34" i="22"/>
  <c r="Q33" i="27"/>
  <c r="O17" i="29"/>
  <c r="T43" i="27"/>
  <c r="Q37" i="25"/>
  <c r="O15" i="33"/>
  <c r="T20" i="26"/>
  <c r="N35" i="22"/>
  <c r="T53" i="28"/>
  <c r="Q18" i="2"/>
  <c r="S23" i="2"/>
  <c r="T44" i="27"/>
  <c r="R21" i="26"/>
  <c r="T49" i="20"/>
  <c r="T55" i="25"/>
  <c r="Q35" i="22"/>
  <c r="Q35" i="25"/>
  <c r="Q13" i="23"/>
  <c r="Q91" i="21"/>
  <c r="T35" i="25"/>
  <c r="Q43" i="20"/>
  <c r="S31" i="22"/>
  <c r="Q20" i="25"/>
  <c r="Q13" i="27"/>
  <c r="Q80" i="20"/>
  <c r="Q39" i="21"/>
  <c r="T31" i="33"/>
  <c r="T74" i="20"/>
  <c r="Q77" i="20"/>
  <c r="T45" i="25"/>
  <c r="Q40" i="21"/>
  <c r="T46" i="28"/>
  <c r="T94" i="21"/>
  <c r="Q29" i="20"/>
  <c r="N30" i="22"/>
  <c r="T37" i="27"/>
  <c r="Q58" i="25"/>
  <c r="T13" i="25"/>
  <c r="N25" i="22"/>
  <c r="T50" i="20"/>
  <c r="T10" i="22"/>
  <c r="Q30" i="25"/>
  <c r="Q39" i="26"/>
  <c r="T81" i="21"/>
  <c r="T69" i="20"/>
  <c r="Q46" i="27"/>
  <c r="T72" i="20"/>
  <c r="Q30" i="2"/>
  <c r="T30" i="2"/>
  <c r="Q33" i="2"/>
  <c r="T84" i="21"/>
  <c r="T34" i="22"/>
  <c r="Q31" i="2"/>
  <c r="T31" i="2"/>
  <c r="T33" i="2"/>
  <c r="T23" i="20"/>
  <c r="P32" i="22"/>
  <c r="T29" i="20"/>
  <c r="Q14" i="28"/>
  <c r="Q40" i="26"/>
  <c r="T32" i="2"/>
  <c r="T17" i="25"/>
  <c r="T56" i="27"/>
  <c r="Q46" i="28"/>
  <c r="Q93" i="21"/>
  <c r="Q54" i="27"/>
  <c r="T43" i="26"/>
  <c r="Q49" i="20"/>
  <c r="T29" i="27"/>
  <c r="Q47" i="28"/>
  <c r="T91" i="21"/>
  <c r="O22" i="28"/>
  <c r="Q69" i="20"/>
  <c r="Q79" i="21"/>
  <c r="O14" i="26"/>
  <c r="O17" i="26" s="1"/>
  <c r="I22" i="26"/>
  <c r="Q15" i="29"/>
  <c r="Q15" i="22"/>
  <c r="T38" i="28"/>
  <c r="R14" i="26"/>
  <c r="R17" i="26" s="1"/>
  <c r="Q75" i="20"/>
  <c r="T58" i="25"/>
  <c r="R62" i="21"/>
  <c r="Q55" i="25"/>
  <c r="Q60" i="25"/>
  <c r="T93" i="21"/>
  <c r="S34" i="22"/>
  <c r="Q29" i="27"/>
  <c r="Q21" i="27"/>
  <c r="T11" i="20"/>
  <c r="T77" i="20"/>
  <c r="Q54" i="25"/>
  <c r="Q57" i="21"/>
  <c r="T47" i="26"/>
  <c r="T95" i="21"/>
  <c r="Q38" i="28"/>
  <c r="Q67" i="21"/>
  <c r="T51" i="27"/>
  <c r="Q34" i="25"/>
  <c r="Q71" i="20"/>
  <c r="T54" i="28"/>
  <c r="T38" i="25"/>
  <c r="Q21" i="23"/>
  <c r="T48" i="28"/>
  <c r="T54" i="27"/>
  <c r="T26" i="27"/>
  <c r="T30" i="28"/>
  <c r="T31" i="21"/>
  <c r="Q29" i="28"/>
  <c r="T18" i="25"/>
  <c r="T47" i="28"/>
  <c r="T43" i="2"/>
  <c r="T26" i="26"/>
  <c r="T10" i="30"/>
  <c r="Q50" i="20"/>
  <c r="T16" i="29"/>
  <c r="Q54" i="26"/>
  <c r="T70" i="20"/>
  <c r="T100" i="21"/>
  <c r="T50" i="28"/>
  <c r="T88" i="21"/>
  <c r="S24" i="22"/>
  <c r="Q46" i="20"/>
  <c r="T16" i="28"/>
  <c r="T47" i="20"/>
  <c r="T37" i="26"/>
  <c r="Q53" i="25"/>
  <c r="R25" i="21"/>
  <c r="S40" i="21" s="1"/>
  <c r="Q41" i="20"/>
  <c r="T75" i="20"/>
  <c r="T62" i="26"/>
  <c r="Q43" i="26"/>
  <c r="T27" i="27"/>
  <c r="Q81" i="21"/>
  <c r="R19" i="2"/>
  <c r="S40" i="25" s="1"/>
  <c r="T61" i="20"/>
  <c r="T14" i="28"/>
  <c r="Q55" i="21"/>
  <c r="T25" i="25"/>
  <c r="T31" i="27"/>
  <c r="Q26" i="26"/>
  <c r="Q40" i="28"/>
  <c r="Q32" i="2"/>
  <c r="T30" i="21"/>
  <c r="S24" i="2"/>
  <c r="T63" i="25"/>
  <c r="T21" i="21"/>
  <c r="Q63" i="20"/>
  <c r="T47" i="2"/>
  <c r="Q37" i="27"/>
  <c r="T16" i="26"/>
  <c r="T26" i="20"/>
  <c r="Q58" i="20"/>
  <c r="O26" i="25"/>
  <c r="T50" i="21"/>
  <c r="T56" i="21"/>
  <c r="Q22" i="2"/>
  <c r="O11" i="33"/>
  <c r="Q74" i="20"/>
  <c r="T52" i="21"/>
  <c r="Q42" i="28"/>
  <c r="Q52" i="21"/>
  <c r="M25" i="2"/>
  <c r="M54" i="21"/>
  <c r="M58" i="21" s="1"/>
  <c r="Q94" i="21"/>
  <c r="T46" i="2"/>
  <c r="T28" i="28"/>
  <c r="T40" i="26"/>
  <c r="T11" i="28"/>
  <c r="Q57" i="25"/>
  <c r="R11" i="2"/>
  <c r="R13" i="2" s="1"/>
  <c r="T58" i="26"/>
  <c r="T60" i="20"/>
  <c r="T27" i="28"/>
  <c r="Q70" i="21"/>
  <c r="Q43" i="25"/>
  <c r="P36" i="22"/>
  <c r="R17" i="21"/>
  <c r="S39" i="21" s="1"/>
  <c r="Q14" i="33"/>
  <c r="T12" i="23"/>
  <c r="Q23" i="21"/>
  <c r="T32" i="21"/>
  <c r="T57" i="25"/>
  <c r="Q10" i="30"/>
  <c r="Q18" i="26"/>
  <c r="P21" i="22"/>
  <c r="Q63" i="26"/>
  <c r="Q52" i="28"/>
  <c r="T77" i="21"/>
  <c r="Q76" i="21"/>
  <c r="O30" i="26"/>
  <c r="Q11" i="22"/>
  <c r="Q36" i="25"/>
  <c r="Q20" i="33"/>
  <c r="T16" i="23"/>
  <c r="Q72" i="20"/>
  <c r="T11" i="29"/>
  <c r="T32" i="25"/>
  <c r="R17" i="20"/>
  <c r="Q50" i="27"/>
  <c r="Q31" i="33"/>
  <c r="T32" i="22"/>
  <c r="T15" i="20"/>
  <c r="R54" i="21"/>
  <c r="Q86" i="21"/>
  <c r="T87" i="21"/>
  <c r="S35" i="22"/>
  <c r="T26" i="33"/>
  <c r="T39" i="27"/>
  <c r="Q56" i="27"/>
  <c r="Q47" i="25"/>
  <c r="S21" i="22"/>
  <c r="Q26" i="21"/>
  <c r="T10" i="23"/>
  <c r="T83" i="20"/>
  <c r="Q74" i="21"/>
  <c r="Q45" i="2"/>
  <c r="T18" i="2"/>
  <c r="Q40" i="27"/>
  <c r="Q56" i="21"/>
  <c r="T15" i="27"/>
  <c r="T30" i="33"/>
  <c r="T24" i="2"/>
  <c r="Q98" i="21"/>
  <c r="P31" i="22"/>
  <c r="Q23" i="33"/>
  <c r="T48" i="25"/>
  <c r="S23" i="22"/>
  <c r="Q65" i="26"/>
  <c r="Q26" i="20"/>
  <c r="Q10" i="2"/>
  <c r="T20" i="25"/>
  <c r="T42" i="26"/>
  <c r="Q58" i="26"/>
  <c r="T15" i="22"/>
  <c r="T44" i="2"/>
  <c r="Q37" i="28"/>
  <c r="T20" i="28"/>
  <c r="Q84" i="21"/>
  <c r="T49" i="25"/>
  <c r="Q51" i="25"/>
  <c r="S25" i="22"/>
  <c r="Q24" i="25"/>
  <c r="Q59" i="20"/>
  <c r="Q73" i="21"/>
  <c r="Q89" i="21"/>
  <c r="T38" i="27"/>
  <c r="Q62" i="20"/>
  <c r="O35" i="2"/>
  <c r="T11" i="25"/>
  <c r="Q59" i="25"/>
  <c r="Q35" i="28"/>
  <c r="Q16" i="2"/>
  <c r="T24" i="21"/>
  <c r="S17" i="27"/>
  <c r="Q39" i="27"/>
  <c r="T78" i="21"/>
  <c r="T18" i="33"/>
  <c r="Q59" i="26"/>
  <c r="P23" i="2"/>
  <c r="T28" i="26"/>
  <c r="T63" i="26"/>
  <c r="T22" i="20"/>
  <c r="Q14" i="29"/>
  <c r="Q40" i="25"/>
  <c r="Q10" i="22"/>
  <c r="Q47" i="26"/>
  <c r="O62" i="21"/>
  <c r="Q60" i="20"/>
  <c r="O14" i="27"/>
  <c r="O18" i="27" s="1"/>
  <c r="Q45" i="28"/>
  <c r="Q60" i="26"/>
  <c r="Q56" i="25"/>
  <c r="T56" i="25"/>
  <c r="T55" i="27"/>
  <c r="Q27" i="28"/>
  <c r="T39" i="21"/>
  <c r="Q26" i="27"/>
  <c r="T29" i="28"/>
  <c r="Q30" i="28"/>
  <c r="T57" i="20"/>
  <c r="T31" i="28"/>
  <c r="T46" i="27"/>
  <c r="Q73" i="20"/>
  <c r="Q100" i="21"/>
  <c r="Q30" i="27"/>
  <c r="Q46" i="25"/>
  <c r="M44" i="20"/>
  <c r="T14" i="33"/>
  <c r="O22" i="27"/>
  <c r="T41" i="26"/>
  <c r="Q37" i="26"/>
  <c r="M52" i="20"/>
  <c r="Q20" i="28"/>
  <c r="Q48" i="28"/>
  <c r="Q28" i="27"/>
  <c r="R48" i="2"/>
  <c r="T81" i="20"/>
  <c r="O12" i="2"/>
  <c r="Q12" i="23"/>
  <c r="O44" i="20"/>
  <c r="O48" i="20" s="1"/>
  <c r="Q47" i="27"/>
  <c r="T48" i="26"/>
  <c r="Q19" i="23"/>
  <c r="Q92" i="21"/>
  <c r="T46" i="20"/>
  <c r="T53" i="25"/>
  <c r="T35" i="20"/>
  <c r="O17" i="22"/>
  <c r="P17" i="22" s="1"/>
  <c r="T60" i="26"/>
  <c r="Q35" i="20"/>
  <c r="T70" i="21"/>
  <c r="Q18" i="25"/>
  <c r="T76" i="20"/>
  <c r="O19" i="2"/>
  <c r="P10" i="33" s="1"/>
  <c r="Q43" i="27"/>
  <c r="T23" i="21"/>
  <c r="Q48" i="26"/>
  <c r="Q56" i="26"/>
  <c r="T92" i="21"/>
  <c r="Q10" i="33"/>
  <c r="Q21" i="21"/>
  <c r="T58" i="20"/>
  <c r="T39" i="26"/>
  <c r="Q70" i="20"/>
  <c r="P24" i="22"/>
  <c r="T82" i="20"/>
  <c r="Q31" i="21"/>
  <c r="Q32" i="21"/>
  <c r="Q61" i="26"/>
  <c r="T73" i="20"/>
  <c r="T34" i="27"/>
  <c r="Q55" i="27"/>
  <c r="T41" i="20"/>
  <c r="Q51" i="28"/>
  <c r="Q25" i="25"/>
  <c r="T45" i="28"/>
  <c r="Q43" i="21"/>
  <c r="T43" i="21"/>
  <c r="T34" i="2"/>
  <c r="M35" i="2"/>
  <c r="R35" i="33"/>
  <c r="T64" i="25"/>
  <c r="Q64" i="25"/>
  <c r="Q38" i="27"/>
  <c r="Q59" i="21"/>
  <c r="M62" i="21"/>
  <c r="T62" i="21" s="1"/>
  <c r="O49" i="26"/>
  <c r="T33" i="25"/>
  <c r="Q33" i="25"/>
  <c r="Q32" i="33"/>
  <c r="T19" i="23"/>
  <c r="T12" i="20"/>
  <c r="Q38" i="26"/>
  <c r="Q38" i="25"/>
  <c r="M17" i="22"/>
  <c r="Q13" i="21"/>
  <c r="T13" i="21"/>
  <c r="Q14" i="21"/>
  <c r="M12" i="2"/>
  <c r="N22" i="2"/>
  <c r="Q29" i="21"/>
  <c r="T29" i="21"/>
  <c r="Q21" i="22"/>
  <c r="T21" i="22"/>
  <c r="Q11" i="20"/>
  <c r="Q34" i="26"/>
  <c r="Q51" i="20"/>
  <c r="T51" i="20"/>
  <c r="T29" i="33"/>
  <c r="N24" i="2"/>
  <c r="T17" i="2"/>
  <c r="O17" i="21"/>
  <c r="Q11" i="26"/>
  <c r="M14" i="26"/>
  <c r="Q62" i="25"/>
  <c r="T62" i="25"/>
  <c r="O67" i="26"/>
  <c r="T52" i="28"/>
  <c r="T9" i="2"/>
  <c r="M11" i="2"/>
  <c r="T15" i="21"/>
  <c r="Q75" i="21"/>
  <c r="R27" i="20"/>
  <c r="O17" i="20"/>
  <c r="Q45" i="26"/>
  <c r="T45" i="26"/>
  <c r="Q17" i="33"/>
  <c r="T33" i="22"/>
  <c r="R22" i="23"/>
  <c r="S17" i="23" s="1"/>
  <c r="Q19" i="33"/>
  <c r="Q19" i="26"/>
  <c r="Q11" i="27"/>
  <c r="T11" i="27"/>
  <c r="O104" i="21"/>
  <c r="T85" i="21"/>
  <c r="R22" i="27"/>
  <c r="Q85" i="21"/>
  <c r="T40" i="28"/>
  <c r="S13" i="29"/>
  <c r="Q57" i="26"/>
  <c r="Q12" i="30"/>
  <c r="M13" i="30"/>
  <c r="Q53" i="27"/>
  <c r="Q78" i="21"/>
  <c r="Q66" i="21"/>
  <c r="O48" i="2"/>
  <c r="T34" i="26"/>
  <c r="Q16" i="29"/>
  <c r="R30" i="26"/>
  <c r="T29" i="26"/>
  <c r="T64" i="20"/>
  <c r="T53" i="26"/>
  <c r="Q41" i="25"/>
  <c r="T45" i="2"/>
  <c r="T23" i="2"/>
  <c r="T47" i="27"/>
  <c r="Q47" i="2"/>
  <c r="Q44" i="26"/>
  <c r="T44" i="28"/>
  <c r="T66" i="26"/>
  <c r="Q23" i="2"/>
  <c r="Q14" i="25"/>
  <c r="Q72" i="21"/>
  <c r="N20" i="22"/>
  <c r="Q39" i="2"/>
  <c r="T16" i="25"/>
  <c r="M35" i="33"/>
  <c r="T16" i="21"/>
  <c r="T38" i="26"/>
  <c r="Q29" i="26"/>
  <c r="T19" i="27"/>
  <c r="Q45" i="25"/>
  <c r="T23" i="33"/>
  <c r="Q50" i="28"/>
  <c r="R22" i="28"/>
  <c r="R35" i="2"/>
  <c r="Q16" i="26"/>
  <c r="P25" i="22"/>
  <c r="N23" i="2"/>
  <c r="T89" i="21"/>
  <c r="T42" i="28"/>
  <c r="Q47" i="20"/>
  <c r="T53" i="27"/>
  <c r="Q66" i="26"/>
  <c r="Q16" i="28"/>
  <c r="T82" i="21"/>
  <c r="O41" i="21"/>
  <c r="O44" i="21" s="1"/>
  <c r="T12" i="22"/>
  <c r="R44" i="20"/>
  <c r="R48" i="20" s="1"/>
  <c r="T14" i="23"/>
  <c r="Q45" i="27"/>
  <c r="Q56" i="20"/>
  <c r="T79" i="21"/>
  <c r="T13" i="20"/>
  <c r="T37" i="20"/>
  <c r="Q16" i="27"/>
  <c r="T14" i="20"/>
  <c r="Q82" i="20"/>
  <c r="R33" i="21"/>
  <c r="S43" i="21" s="1"/>
  <c r="Q60" i="21"/>
  <c r="T73" i="21"/>
  <c r="Q26" i="28"/>
  <c r="Q37" i="20"/>
  <c r="Q30" i="22"/>
  <c r="Q32" i="22"/>
  <c r="T86" i="21"/>
  <c r="Q15" i="21"/>
  <c r="T60" i="21"/>
  <c r="T21" i="27"/>
  <c r="Q52" i="26"/>
  <c r="Q32" i="25"/>
  <c r="T75" i="21"/>
  <c r="Q13" i="28"/>
  <c r="T44" i="26"/>
  <c r="T20" i="22"/>
  <c r="T45" i="27"/>
  <c r="T55" i="21"/>
  <c r="Q48" i="27"/>
  <c r="T26" i="21"/>
  <c r="Q33" i="22"/>
  <c r="T12" i="29"/>
  <c r="O19" i="25"/>
  <c r="O22" i="25" s="1"/>
  <c r="O27" i="25" s="1"/>
  <c r="Q30" i="21"/>
  <c r="T63" i="20"/>
  <c r="T57" i="21"/>
  <c r="Q13" i="20"/>
  <c r="Q95" i="21"/>
  <c r="Q54" i="28"/>
  <c r="Q36" i="26"/>
  <c r="T50" i="27"/>
  <c r="Q11" i="25"/>
  <c r="Q87" i="21"/>
  <c r="Q10" i="29"/>
  <c r="T37" i="25"/>
  <c r="O21" i="26"/>
  <c r="T59" i="21"/>
  <c r="Q77" i="21"/>
  <c r="Q20" i="21"/>
  <c r="T19" i="26"/>
  <c r="T32" i="33"/>
  <c r="Q97" i="21"/>
  <c r="Q42" i="25"/>
  <c r="Q48" i="25"/>
  <c r="P39" i="21"/>
  <c r="T54" i="25"/>
  <c r="O22" i="23"/>
  <c r="P19" i="23" s="1"/>
  <c r="T30" i="25"/>
  <c r="Q68" i="20"/>
  <c r="T26" i="28"/>
  <c r="Q11" i="29"/>
  <c r="T16" i="27"/>
  <c r="Q12" i="20"/>
  <c r="T15" i="23"/>
  <c r="Q28" i="28"/>
  <c r="R57" i="27"/>
  <c r="T30" i="27"/>
  <c r="T61" i="26"/>
  <c r="S61" i="26"/>
  <c r="T11" i="23"/>
  <c r="Q11" i="23"/>
  <c r="T23" i="25"/>
  <c r="Q23" i="25"/>
  <c r="R17" i="22"/>
  <c r="S16" i="22" s="1"/>
  <c r="T35" i="22"/>
  <c r="R56" i="28"/>
  <c r="Q33" i="26"/>
  <c r="T19" i="33"/>
  <c r="O21" i="33"/>
  <c r="O27" i="22"/>
  <c r="Q20" i="22"/>
  <c r="S36" i="22"/>
  <c r="T44" i="25"/>
  <c r="Q44" i="25"/>
  <c r="R65" i="25"/>
  <c r="R17" i="29"/>
  <c r="T36" i="26"/>
  <c r="R49" i="26"/>
  <c r="Q18" i="23"/>
  <c r="T18" i="23"/>
  <c r="Q25" i="33"/>
  <c r="T13" i="26"/>
  <c r="Q13" i="26"/>
  <c r="Q52" i="25"/>
  <c r="T52" i="25"/>
  <c r="T21" i="23"/>
  <c r="M84" i="20"/>
  <c r="T56" i="20"/>
  <c r="T13" i="22"/>
  <c r="N33" i="22"/>
  <c r="Q36" i="27"/>
  <c r="T36" i="27"/>
  <c r="Q21" i="25"/>
  <c r="T21" i="25"/>
  <c r="R21" i="33"/>
  <c r="T17" i="33"/>
  <c r="Q29" i="33"/>
  <c r="P33" i="22"/>
  <c r="O15" i="28"/>
  <c r="O18" i="28" s="1"/>
  <c r="T55" i="26"/>
  <c r="Q55" i="26"/>
  <c r="M26" i="25"/>
  <c r="Q26" i="25" s="1"/>
  <c r="Q30" i="20"/>
  <c r="T30" i="20"/>
  <c r="Q41" i="26"/>
  <c r="T60" i="25"/>
  <c r="O65" i="25"/>
  <c r="Q83" i="21"/>
  <c r="S26" i="22"/>
  <c r="T16" i="22"/>
  <c r="Q20" i="26"/>
  <c r="T36" i="25"/>
  <c r="Q13" i="22"/>
  <c r="M67" i="26"/>
  <c r="Q53" i="26"/>
  <c r="Q61" i="21"/>
  <c r="T61" i="21"/>
  <c r="T83" i="21"/>
  <c r="R27" i="22"/>
  <c r="Q46" i="26"/>
  <c r="T46" i="26"/>
  <c r="O54" i="21"/>
  <c r="O58" i="21" s="1"/>
  <c r="Q50" i="21"/>
  <c r="Q99" i="21"/>
  <c r="T99" i="21"/>
  <c r="Q36" i="28"/>
  <c r="Q35" i="26"/>
  <c r="T35" i="26"/>
  <c r="N21" i="22"/>
  <c r="O11" i="2"/>
  <c r="Q9" i="2"/>
  <c r="M21" i="33"/>
  <c r="O25" i="21"/>
  <c r="P40" i="21" s="1"/>
  <c r="T51" i="25"/>
  <c r="Q103" i="21"/>
  <c r="T24" i="33"/>
  <c r="O27" i="33"/>
  <c r="Q39" i="28"/>
  <c r="T39" i="28"/>
  <c r="M57" i="27"/>
  <c r="P26" i="22"/>
  <c r="R15" i="28"/>
  <c r="R18" i="28" s="1"/>
  <c r="T49" i="28"/>
  <c r="Q49" i="28"/>
  <c r="T23" i="22"/>
  <c r="R67" i="26"/>
  <c r="T52" i="26"/>
  <c r="T101" i="21"/>
  <c r="Q101" i="21"/>
  <c r="Q36" i="22"/>
  <c r="T36" i="22"/>
  <c r="N36" i="22"/>
  <c r="T32" i="28"/>
  <c r="Q32" i="28"/>
  <c r="M56" i="28"/>
  <c r="O84" i="20"/>
  <c r="Q71" i="21"/>
  <c r="T71" i="21"/>
  <c r="Q17" i="23"/>
  <c r="T17" i="23"/>
  <c r="T25" i="33"/>
  <c r="T43" i="28"/>
  <c r="Q43" i="28"/>
  <c r="N34" i="22"/>
  <c r="Q14" i="22"/>
  <c r="T14" i="22"/>
  <c r="Q51" i="27"/>
  <c r="N24" i="22"/>
  <c r="Q24" i="22"/>
  <c r="T24" i="22"/>
  <c r="Q69" i="21"/>
  <c r="O27" i="20"/>
  <c r="T13" i="27"/>
  <c r="R14" i="27"/>
  <c r="Q68" i="21"/>
  <c r="Q21" i="28"/>
  <c r="M22" i="28"/>
  <c r="Q53" i="28"/>
  <c r="Q26" i="22"/>
  <c r="T26" i="22"/>
  <c r="Q24" i="20"/>
  <c r="T24" i="20"/>
  <c r="Q61" i="20"/>
  <c r="S20" i="22"/>
  <c r="T31" i="22"/>
  <c r="N31" i="22"/>
  <c r="T20" i="23"/>
  <c r="M30" i="26"/>
  <c r="T13" i="23"/>
  <c r="M27" i="22"/>
  <c r="T103" i="21"/>
  <c r="Q24" i="33"/>
  <c r="T54" i="26"/>
  <c r="T80" i="21"/>
  <c r="Q80" i="21"/>
  <c r="N32" i="22"/>
  <c r="Q14" i="20"/>
  <c r="T52" i="2"/>
  <c r="T13" i="28"/>
  <c r="T46" i="25"/>
  <c r="Q13" i="33"/>
  <c r="M15" i="33"/>
  <c r="Q20" i="23"/>
  <c r="O33" i="21"/>
  <c r="P43" i="21" s="1"/>
  <c r="T80" i="20"/>
  <c r="T96" i="21"/>
  <c r="Q96" i="21"/>
  <c r="M17" i="20"/>
  <c r="R52" i="20"/>
  <c r="Q21" i="20"/>
  <c r="Q22" i="20"/>
  <c r="S22" i="22"/>
  <c r="T57" i="26"/>
  <c r="M65" i="25"/>
  <c r="M49" i="26"/>
  <c r="T40" i="21"/>
  <c r="Q61" i="25"/>
  <c r="Q63" i="25"/>
  <c r="O57" i="27"/>
  <c r="Q41" i="27"/>
  <c r="Q22" i="21"/>
  <c r="Q23" i="20"/>
  <c r="T32" i="27"/>
  <c r="Q11" i="28"/>
  <c r="T65" i="20"/>
  <c r="T67" i="20"/>
  <c r="T33" i="27"/>
  <c r="Q49" i="27"/>
  <c r="O56" i="28"/>
  <c r="P23" i="22"/>
  <c r="Q66" i="20"/>
  <c r="T67" i="21"/>
  <c r="T74" i="21"/>
  <c r="T15" i="29"/>
  <c r="Q35" i="27"/>
  <c r="T40" i="20"/>
  <c r="T21" i="20"/>
  <c r="Q16" i="21"/>
  <c r="T41" i="25"/>
  <c r="T11" i="26"/>
  <c r="M27" i="33"/>
  <c r="T33" i="28"/>
  <c r="Q15" i="25"/>
  <c r="T25" i="26"/>
  <c r="R84" i="20"/>
  <c r="T22" i="22"/>
  <c r="T20" i="33"/>
  <c r="Q64" i="20"/>
  <c r="O52" i="20"/>
  <c r="P34" i="22"/>
  <c r="T43" i="20"/>
  <c r="M17" i="29"/>
  <c r="M15" i="28"/>
  <c r="M18" i="28" s="1"/>
  <c r="T43" i="25"/>
  <c r="T79" i="20"/>
  <c r="Q27" i="27"/>
  <c r="T12" i="21"/>
  <c r="M27" i="20"/>
  <c r="T34" i="28"/>
  <c r="Q24" i="21"/>
  <c r="T36" i="20"/>
  <c r="P22" i="22"/>
  <c r="Q30" i="33"/>
  <c r="Q49" i="25"/>
  <c r="M33" i="21"/>
  <c r="Q33" i="21" s="1"/>
  <c r="Q52" i="27"/>
  <c r="T53" i="21"/>
  <c r="M22" i="23"/>
  <c r="N17" i="23" s="1"/>
  <c r="T102" i="21"/>
  <c r="Q62" i="26"/>
  <c r="Q81" i="20"/>
  <c r="T14" i="21"/>
  <c r="T20" i="21"/>
  <c r="R104" i="21"/>
  <c r="S32" i="22"/>
  <c r="R15" i="33"/>
  <c r="T10" i="29"/>
  <c r="Q25" i="20"/>
  <c r="T13" i="33"/>
  <c r="T42" i="25"/>
  <c r="Q41" i="28"/>
  <c r="T30" i="22"/>
  <c r="T39" i="20"/>
  <c r="Q17" i="28"/>
  <c r="Q27" i="26"/>
  <c r="T61" i="25"/>
  <c r="Q17" i="27"/>
  <c r="Q15" i="20"/>
  <c r="Q64" i="26"/>
  <c r="T78" i="20"/>
  <c r="R27" i="33"/>
  <c r="P35" i="22"/>
  <c r="Q42" i="27"/>
  <c r="Q28" i="20"/>
  <c r="Q15" i="26"/>
  <c r="Q42" i="20"/>
  <c r="M41" i="21"/>
  <c r="R13" i="30"/>
  <c r="Q24" i="2"/>
  <c r="Q17" i="2"/>
  <c r="T39" i="2"/>
  <c r="T22" i="2"/>
  <c r="P22" i="2"/>
  <c r="M48" i="2"/>
  <c r="Q34" i="2"/>
  <c r="M19" i="2"/>
  <c r="N12" i="27" s="1"/>
  <c r="Q15" i="2"/>
  <c r="T15" i="2"/>
  <c r="O25" i="2"/>
  <c r="T16" i="2"/>
  <c r="Q52" i="2"/>
  <c r="T11" i="30"/>
  <c r="T59" i="25"/>
  <c r="T40" i="27"/>
  <c r="Q65" i="20"/>
  <c r="T22" i="21"/>
  <c r="Q16" i="20"/>
  <c r="T50" i="25"/>
  <c r="Q50" i="25"/>
  <c r="Q90" i="21"/>
  <c r="P20" i="22"/>
  <c r="Q12" i="22"/>
  <c r="T15" i="25"/>
  <c r="R25" i="2"/>
  <c r="Q39" i="25"/>
  <c r="Q14" i="23"/>
  <c r="T17" i="27"/>
  <c r="T19" i="28"/>
  <c r="R19" i="25"/>
  <c r="R22" i="25" s="1"/>
  <c r="N23" i="22"/>
  <c r="T42" i="20"/>
  <c r="Q42" i="26"/>
  <c r="T24" i="25"/>
  <c r="Q25" i="26"/>
  <c r="Q10" i="23"/>
  <c r="Q36" i="20"/>
  <c r="Q39" i="20"/>
  <c r="T34" i="25"/>
  <c r="O35" i="33"/>
  <c r="Q44" i="28"/>
  <c r="Q26" i="33"/>
  <c r="T55" i="28"/>
  <c r="Q55" i="28"/>
  <c r="T35" i="27"/>
  <c r="T76" i="21"/>
  <c r="T42" i="27"/>
  <c r="T18" i="26"/>
  <c r="Q31" i="22"/>
  <c r="T47" i="25"/>
  <c r="T12" i="30"/>
  <c r="Q28" i="26"/>
  <c r="N22" i="22"/>
  <c r="Q12" i="21"/>
  <c r="Q79" i="20"/>
  <c r="T20" i="20"/>
  <c r="Q83" i="20"/>
  <c r="Q20" i="20"/>
  <c r="T59" i="20"/>
  <c r="T68" i="21"/>
  <c r="T27" i="26"/>
  <c r="T36" i="28"/>
  <c r="T69" i="21"/>
  <c r="T11" i="22"/>
  <c r="M21" i="26"/>
  <c r="Q22" i="22"/>
  <c r="Q23" i="22"/>
  <c r="T28" i="20"/>
  <c r="M14" i="27"/>
  <c r="Q44" i="27"/>
  <c r="T59" i="26"/>
  <c r="Q16" i="25"/>
  <c r="M22" i="27"/>
  <c r="Q44" i="2"/>
  <c r="T25" i="20"/>
  <c r="T17" i="28"/>
  <c r="Q45" i="20"/>
  <c r="M19" i="25"/>
  <c r="M22" i="25" s="1"/>
  <c r="Q88" i="21"/>
  <c r="T15" i="26"/>
  <c r="Q16" i="23"/>
  <c r="T41" i="27"/>
  <c r="Q31" i="25"/>
  <c r="T64" i="26"/>
  <c r="T66" i="20"/>
  <c r="R26" i="25"/>
  <c r="T41" i="28"/>
  <c r="Q19" i="27"/>
  <c r="Q43" i="2"/>
  <c r="T62" i="20"/>
  <c r="Q34" i="28"/>
  <c r="Q13" i="25"/>
  <c r="Q32" i="27"/>
  <c r="T98" i="21"/>
  <c r="T25" i="22"/>
  <c r="Q25" i="22"/>
  <c r="Q53" i="21"/>
  <c r="T71" i="20"/>
  <c r="T35" i="28"/>
  <c r="Q102" i="21"/>
  <c r="Q40" i="20"/>
  <c r="M104" i="21"/>
  <c r="T21" i="28"/>
  <c r="T52" i="27"/>
  <c r="T66" i="21"/>
  <c r="Q20" i="27"/>
  <c r="T13" i="29"/>
  <c r="T37" i="28"/>
  <c r="P30" i="22"/>
  <c r="F69" i="26"/>
  <c r="I27" i="2"/>
  <c r="I37" i="2" s="1"/>
  <c r="I69" i="26"/>
  <c r="I13" i="2"/>
  <c r="P11" i="22" l="1"/>
  <c r="S29" i="28"/>
  <c r="S61" i="25"/>
  <c r="S47" i="2"/>
  <c r="N42" i="27"/>
  <c r="N38" i="26"/>
  <c r="N21" i="26"/>
  <c r="N59" i="26"/>
  <c r="S64" i="25"/>
  <c r="R22" i="26"/>
  <c r="S18" i="25"/>
  <c r="P14" i="22"/>
  <c r="S31" i="27"/>
  <c r="S26" i="26"/>
  <c r="P16" i="22"/>
  <c r="S60" i="25"/>
  <c r="S19" i="33"/>
  <c r="N39" i="27"/>
  <c r="T14" i="26"/>
  <c r="S34" i="26"/>
  <c r="N37" i="27"/>
  <c r="N34" i="33"/>
  <c r="S35" i="27"/>
  <c r="N44" i="2"/>
  <c r="N29" i="33"/>
  <c r="N67" i="26"/>
  <c r="S20" i="26"/>
  <c r="S34" i="27"/>
  <c r="P19" i="33"/>
  <c r="N26" i="26"/>
  <c r="Q11" i="33"/>
  <c r="S39" i="28"/>
  <c r="N43" i="26"/>
  <c r="N55" i="26"/>
  <c r="N45" i="26"/>
  <c r="S63" i="26"/>
  <c r="N51" i="27"/>
  <c r="T11" i="33"/>
  <c r="S54" i="28"/>
  <c r="N46" i="27"/>
  <c r="S30" i="2"/>
  <c r="S17" i="28"/>
  <c r="S13" i="28"/>
  <c r="N55" i="27"/>
  <c r="S15" i="29"/>
  <c r="N38" i="27"/>
  <c r="S21" i="25"/>
  <c r="P11" i="33"/>
  <c r="S46" i="2"/>
  <c r="S11" i="27"/>
  <c r="S11" i="29"/>
  <c r="P58" i="25"/>
  <c r="S14" i="28"/>
  <c r="S31" i="2"/>
  <c r="S43" i="2"/>
  <c r="S44" i="28"/>
  <c r="S43" i="26"/>
  <c r="O31" i="20"/>
  <c r="P79" i="20" s="1"/>
  <c r="P25" i="33"/>
  <c r="S16" i="29"/>
  <c r="S37" i="27"/>
  <c r="S45" i="26"/>
  <c r="P53" i="25"/>
  <c r="S55" i="26"/>
  <c r="S41" i="28"/>
  <c r="S50" i="25"/>
  <c r="S19" i="2"/>
  <c r="S55" i="28"/>
  <c r="S41" i="26"/>
  <c r="N24" i="33"/>
  <c r="S33" i="33"/>
  <c r="N10" i="30"/>
  <c r="S40" i="28"/>
  <c r="S54" i="26"/>
  <c r="S34" i="2"/>
  <c r="S45" i="25"/>
  <c r="T48" i="2"/>
  <c r="S10" i="30"/>
  <c r="S18" i="33"/>
  <c r="S39" i="27"/>
  <c r="S11" i="26"/>
  <c r="P41" i="26"/>
  <c r="S50" i="28"/>
  <c r="S24" i="25"/>
  <c r="N20" i="23"/>
  <c r="S11" i="28"/>
  <c r="P24" i="33"/>
  <c r="S27" i="26"/>
  <c r="N15" i="23"/>
  <c r="S65" i="26"/>
  <c r="S20" i="33"/>
  <c r="S62" i="25"/>
  <c r="S45" i="27"/>
  <c r="S66" i="26"/>
  <c r="S30" i="26"/>
  <c r="S46" i="25"/>
  <c r="S26" i="33"/>
  <c r="S32" i="27"/>
  <c r="S45" i="28"/>
  <c r="N32" i="27"/>
  <c r="S26" i="25"/>
  <c r="S64" i="26"/>
  <c r="S51" i="28"/>
  <c r="S32" i="2"/>
  <c r="S55" i="27"/>
  <c r="S57" i="25"/>
  <c r="N36" i="26"/>
  <c r="S29" i="26"/>
  <c r="S37" i="28"/>
  <c r="P10" i="22"/>
  <c r="S32" i="33"/>
  <c r="P13" i="22"/>
  <c r="N34" i="2"/>
  <c r="N32" i="2"/>
  <c r="S11" i="22"/>
  <c r="S25" i="2"/>
  <c r="S30" i="33"/>
  <c r="S23" i="25"/>
  <c r="S63" i="25"/>
  <c r="S56" i="26"/>
  <c r="S38" i="28"/>
  <c r="S38" i="26"/>
  <c r="S52" i="2"/>
  <c r="S17" i="2"/>
  <c r="Q11" i="21"/>
  <c r="S49" i="25"/>
  <c r="S18" i="26"/>
  <c r="S21" i="27"/>
  <c r="P16" i="28"/>
  <c r="S34" i="25"/>
  <c r="S34" i="33"/>
  <c r="S15" i="25"/>
  <c r="S20" i="25"/>
  <c r="P36" i="27"/>
  <c r="S36" i="27"/>
  <c r="S37" i="26"/>
  <c r="S33" i="25"/>
  <c r="N39" i="2"/>
  <c r="S21" i="26"/>
  <c r="S41" i="27"/>
  <c r="N41" i="28"/>
  <c r="S56" i="25"/>
  <c r="S52" i="26"/>
  <c r="S10" i="33"/>
  <c r="S57" i="26"/>
  <c r="S15" i="2"/>
  <c r="S33" i="27"/>
  <c r="S31" i="28"/>
  <c r="S26" i="27"/>
  <c r="S47" i="25"/>
  <c r="S19" i="27"/>
  <c r="S37" i="25"/>
  <c r="P60" i="26"/>
  <c r="N16" i="28"/>
  <c r="N29" i="28"/>
  <c r="S53" i="27"/>
  <c r="O53" i="20"/>
  <c r="T22" i="28"/>
  <c r="S16" i="2"/>
  <c r="T35" i="2"/>
  <c r="S15" i="27"/>
  <c r="S26" i="28"/>
  <c r="S23" i="33"/>
  <c r="S11" i="33"/>
  <c r="S55" i="25"/>
  <c r="S39" i="26"/>
  <c r="S22" i="27"/>
  <c r="S12" i="30"/>
  <c r="S59" i="25"/>
  <c r="S44" i="2"/>
  <c r="S48" i="27"/>
  <c r="S53" i="28"/>
  <c r="S20" i="27"/>
  <c r="S60" i="26"/>
  <c r="S25" i="26"/>
  <c r="R27" i="25"/>
  <c r="T27" i="20"/>
  <c r="S14" i="27"/>
  <c r="S15" i="28"/>
  <c r="S35" i="2"/>
  <c r="S18" i="2"/>
  <c r="S59" i="26"/>
  <c r="S13" i="23"/>
  <c r="S13" i="26"/>
  <c r="S24" i="33"/>
  <c r="S20" i="28"/>
  <c r="S49" i="27"/>
  <c r="P21" i="27"/>
  <c r="S13" i="33"/>
  <c r="S14" i="25"/>
  <c r="S31" i="25"/>
  <c r="S48" i="26"/>
  <c r="S52" i="28"/>
  <c r="S35" i="28"/>
  <c r="S22" i="28"/>
  <c r="S16" i="26"/>
  <c r="S35" i="25"/>
  <c r="S17" i="25"/>
  <c r="S16" i="27"/>
  <c r="S13" i="25"/>
  <c r="S39" i="25"/>
  <c r="S46" i="27"/>
  <c r="S29" i="27"/>
  <c r="S47" i="26"/>
  <c r="S16" i="28"/>
  <c r="S12" i="29"/>
  <c r="S16" i="25"/>
  <c r="P28" i="27"/>
  <c r="S40" i="26"/>
  <c r="S17" i="26"/>
  <c r="S31" i="33"/>
  <c r="S38" i="25"/>
  <c r="S17" i="33"/>
  <c r="S21" i="28"/>
  <c r="S53" i="25"/>
  <c r="P56" i="27"/>
  <c r="M17" i="21"/>
  <c r="N39" i="21" s="1"/>
  <c r="S56" i="27"/>
  <c r="S33" i="28"/>
  <c r="S49" i="28"/>
  <c r="S48" i="2"/>
  <c r="S11" i="25"/>
  <c r="S36" i="25"/>
  <c r="S43" i="27"/>
  <c r="Q35" i="2"/>
  <c r="R27" i="21"/>
  <c r="S41" i="21" s="1"/>
  <c r="P22" i="23"/>
  <c r="P33" i="33"/>
  <c r="T11" i="21"/>
  <c r="S51" i="25"/>
  <c r="S54" i="27"/>
  <c r="S43" i="25"/>
  <c r="S62" i="26"/>
  <c r="S36" i="28"/>
  <c r="S47" i="27"/>
  <c r="S42" i="26"/>
  <c r="S32" i="28"/>
  <c r="S44" i="27"/>
  <c r="N14" i="26"/>
  <c r="S46" i="28"/>
  <c r="S25" i="33"/>
  <c r="S19" i="26"/>
  <c r="S14" i="29"/>
  <c r="S40" i="27"/>
  <c r="S29" i="33"/>
  <c r="S51" i="27"/>
  <c r="P15" i="25"/>
  <c r="P13" i="27"/>
  <c r="S52" i="27"/>
  <c r="S36" i="26"/>
  <c r="S27" i="28"/>
  <c r="S42" i="28"/>
  <c r="S28" i="27"/>
  <c r="S30" i="25"/>
  <c r="S45" i="2"/>
  <c r="S44" i="26"/>
  <c r="S25" i="25"/>
  <c r="S58" i="26"/>
  <c r="S50" i="27"/>
  <c r="S28" i="28"/>
  <c r="P10" i="30"/>
  <c r="P20" i="26"/>
  <c r="S14" i="26"/>
  <c r="S41" i="25"/>
  <c r="S39" i="2"/>
  <c r="S18" i="28"/>
  <c r="S48" i="28"/>
  <c r="S44" i="25"/>
  <c r="S33" i="26"/>
  <c r="S52" i="25"/>
  <c r="S11" i="30"/>
  <c r="S48" i="25"/>
  <c r="R27" i="2"/>
  <c r="R37" i="2" s="1"/>
  <c r="S30" i="27"/>
  <c r="S28" i="26"/>
  <c r="S58" i="25"/>
  <c r="S35" i="26"/>
  <c r="P54" i="27"/>
  <c r="S32" i="25"/>
  <c r="S53" i="26"/>
  <c r="S54" i="25"/>
  <c r="S33" i="2"/>
  <c r="S27" i="27"/>
  <c r="S38" i="27"/>
  <c r="S47" i="28"/>
  <c r="S14" i="33"/>
  <c r="S42" i="27"/>
  <c r="S42" i="25"/>
  <c r="S34" i="28"/>
  <c r="S10" i="29"/>
  <c r="S30" i="28"/>
  <c r="N31" i="33"/>
  <c r="P39" i="2"/>
  <c r="P41" i="28"/>
  <c r="N53" i="28"/>
  <c r="S19" i="28"/>
  <c r="N33" i="27"/>
  <c r="N32" i="28"/>
  <c r="S13" i="27"/>
  <c r="S43" i="28"/>
  <c r="S46" i="26"/>
  <c r="R31" i="20"/>
  <c r="S39" i="20" s="1"/>
  <c r="S15" i="26"/>
  <c r="S56" i="28"/>
  <c r="S15" i="33"/>
  <c r="Q21" i="26"/>
  <c r="P41" i="27"/>
  <c r="P63" i="26"/>
  <c r="P36" i="26"/>
  <c r="P36" i="28"/>
  <c r="P61" i="25"/>
  <c r="P55" i="25"/>
  <c r="P50" i="28"/>
  <c r="P22" i="27"/>
  <c r="P25" i="26"/>
  <c r="P42" i="27"/>
  <c r="P53" i="28"/>
  <c r="P27" i="27"/>
  <c r="P13" i="30"/>
  <c r="P47" i="2"/>
  <c r="P30" i="2"/>
  <c r="P18" i="26"/>
  <c r="P45" i="25"/>
  <c r="Q44" i="20"/>
  <c r="T54" i="21"/>
  <c r="R58" i="21"/>
  <c r="R63" i="21" s="1"/>
  <c r="R106" i="21" s="1"/>
  <c r="M48" i="20"/>
  <c r="Q48" i="20" s="1"/>
  <c r="P17" i="2"/>
  <c r="P11" i="30"/>
  <c r="P18" i="2"/>
  <c r="P41" i="25"/>
  <c r="P31" i="2"/>
  <c r="P21" i="26"/>
  <c r="Q11" i="2"/>
  <c r="M13" i="2"/>
  <c r="T13" i="2" s="1"/>
  <c r="T11" i="2"/>
  <c r="T21" i="26"/>
  <c r="P17" i="29"/>
  <c r="P46" i="28"/>
  <c r="P14" i="29"/>
  <c r="P15" i="29"/>
  <c r="N19" i="2"/>
  <c r="N18" i="26"/>
  <c r="N34" i="28"/>
  <c r="N25" i="33"/>
  <c r="N47" i="28"/>
  <c r="N50" i="28"/>
  <c r="N48" i="27"/>
  <c r="N62" i="26"/>
  <c r="N29" i="27"/>
  <c r="N34" i="26"/>
  <c r="N36" i="27"/>
  <c r="N25" i="2"/>
  <c r="N43" i="27"/>
  <c r="N19" i="33"/>
  <c r="N12" i="29"/>
  <c r="N15" i="27"/>
  <c r="N16" i="26"/>
  <c r="N20" i="26"/>
  <c r="N63" i="26"/>
  <c r="N56" i="27"/>
  <c r="N46" i="26"/>
  <c r="N11" i="29"/>
  <c r="N23" i="33"/>
  <c r="N19" i="28"/>
  <c r="N52" i="2"/>
  <c r="N21" i="27"/>
  <c r="N13" i="27"/>
  <c r="N35" i="26"/>
  <c r="N34" i="27"/>
  <c r="N33" i="33"/>
  <c r="N47" i="2"/>
  <c r="N28" i="26"/>
  <c r="N14" i="28"/>
  <c r="N13" i="29"/>
  <c r="N26" i="27"/>
  <c r="N33" i="28"/>
  <c r="N35" i="2"/>
  <c r="N39" i="26"/>
  <c r="N11" i="26"/>
  <c r="N30" i="27"/>
  <c r="N20" i="33"/>
  <c r="N44" i="28"/>
  <c r="N37" i="28"/>
  <c r="N15" i="2"/>
  <c r="N47" i="26"/>
  <c r="N14" i="29"/>
  <c r="N66" i="26"/>
  <c r="N30" i="33"/>
  <c r="N41" i="26"/>
  <c r="O24" i="23"/>
  <c r="P13" i="23"/>
  <c r="P17" i="23"/>
  <c r="P18" i="23"/>
  <c r="P20" i="23"/>
  <c r="P14" i="23"/>
  <c r="P15" i="23"/>
  <c r="P21" i="23"/>
  <c r="O67" i="25"/>
  <c r="P27" i="25"/>
  <c r="S14" i="23"/>
  <c r="S11" i="23"/>
  <c r="S12" i="23"/>
  <c r="S20" i="23"/>
  <c r="S16" i="23"/>
  <c r="S15" i="23"/>
  <c r="S19" i="23"/>
  <c r="S10" i="23"/>
  <c r="P44" i="26"/>
  <c r="P11" i="23"/>
  <c r="P37" i="28"/>
  <c r="P14" i="28"/>
  <c r="P13" i="26"/>
  <c r="P18" i="25"/>
  <c r="P35" i="26"/>
  <c r="P35" i="27"/>
  <c r="P42" i="26"/>
  <c r="N50" i="27"/>
  <c r="N11" i="27"/>
  <c r="N58" i="26"/>
  <c r="P55" i="28"/>
  <c r="N51" i="28"/>
  <c r="P10" i="23"/>
  <c r="S18" i="23"/>
  <c r="P45" i="26"/>
  <c r="P34" i="26"/>
  <c r="R24" i="23"/>
  <c r="P50" i="25"/>
  <c r="P12" i="23"/>
  <c r="P52" i="26"/>
  <c r="P45" i="2"/>
  <c r="P46" i="27"/>
  <c r="P19" i="2"/>
  <c r="P44" i="28"/>
  <c r="P49" i="27"/>
  <c r="P33" i="25"/>
  <c r="N33" i="26"/>
  <c r="N27" i="27"/>
  <c r="N61" i="26"/>
  <c r="P34" i="28"/>
  <c r="P37" i="26"/>
  <c r="P43" i="28"/>
  <c r="P48" i="25"/>
  <c r="P55" i="27"/>
  <c r="P14" i="25"/>
  <c r="P21" i="28"/>
  <c r="P40" i="27"/>
  <c r="P15" i="26"/>
  <c r="P19" i="27"/>
  <c r="P52" i="27"/>
  <c r="P29" i="33"/>
  <c r="P13" i="25"/>
  <c r="P38" i="26"/>
  <c r="P53" i="26"/>
  <c r="P26" i="28"/>
  <c r="P44" i="27"/>
  <c r="P52" i="25"/>
  <c r="P65" i="26"/>
  <c r="P46" i="2"/>
  <c r="P37" i="27"/>
  <c r="P11" i="26"/>
  <c r="P51" i="28"/>
  <c r="P30" i="28"/>
  <c r="P66" i="26"/>
  <c r="P48" i="28"/>
  <c r="P46" i="25"/>
  <c r="P15" i="2"/>
  <c r="P32" i="28"/>
  <c r="P33" i="2"/>
  <c r="P32" i="27"/>
  <c r="P10" i="29"/>
  <c r="P29" i="28"/>
  <c r="P30" i="33"/>
  <c r="P59" i="26"/>
  <c r="P47" i="28"/>
  <c r="P60" i="25"/>
  <c r="P63" i="25"/>
  <c r="P38" i="27"/>
  <c r="P46" i="26"/>
  <c r="P33" i="26"/>
  <c r="P11" i="29"/>
  <c r="P51" i="25"/>
  <c r="P58" i="26"/>
  <c r="P26" i="33"/>
  <c r="P27" i="28"/>
  <c r="P38" i="28"/>
  <c r="P22" i="28"/>
  <c r="P28" i="26"/>
  <c r="P17" i="28"/>
  <c r="P16" i="25"/>
  <c r="P64" i="25"/>
  <c r="P19" i="26"/>
  <c r="P36" i="25"/>
  <c r="P12" i="30"/>
  <c r="P57" i="25"/>
  <c r="P33" i="27"/>
  <c r="P53" i="27"/>
  <c r="P20" i="28"/>
  <c r="P38" i="25"/>
  <c r="P35" i="25"/>
  <c r="P15" i="33"/>
  <c r="P44" i="2"/>
  <c r="P11" i="28"/>
  <c r="P47" i="27"/>
  <c r="P43" i="25"/>
  <c r="P61" i="26"/>
  <c r="P59" i="25"/>
  <c r="P39" i="27"/>
  <c r="P34" i="33"/>
  <c r="P54" i="25"/>
  <c r="P35" i="28"/>
  <c r="P48" i="27"/>
  <c r="P19" i="28"/>
  <c r="P14" i="27"/>
  <c r="P12" i="29"/>
  <c r="P34" i="25"/>
  <c r="P43" i="2"/>
  <c r="P26" i="25"/>
  <c r="P17" i="33"/>
  <c r="P32" i="33"/>
  <c r="P45" i="28"/>
  <c r="P31" i="25"/>
  <c r="P23" i="25"/>
  <c r="P13" i="29"/>
  <c r="P18" i="33"/>
  <c r="P32" i="2"/>
  <c r="P16" i="29"/>
  <c r="P17" i="25"/>
  <c r="P50" i="27"/>
  <c r="P20" i="27"/>
  <c r="P32" i="25"/>
  <c r="P49" i="28"/>
  <c r="P47" i="25"/>
  <c r="P25" i="25"/>
  <c r="P52" i="2"/>
  <c r="P39" i="26"/>
  <c r="P14" i="26"/>
  <c r="P37" i="25"/>
  <c r="P11" i="25"/>
  <c r="P54" i="26"/>
  <c r="P49" i="25"/>
  <c r="P39" i="28"/>
  <c r="P26" i="26"/>
  <c r="P15" i="27"/>
  <c r="P62" i="25"/>
  <c r="Q19" i="2"/>
  <c r="P31" i="28"/>
  <c r="P30" i="26"/>
  <c r="P44" i="25"/>
  <c r="P57" i="26"/>
  <c r="P43" i="27"/>
  <c r="P55" i="26"/>
  <c r="P13" i="28"/>
  <c r="P34" i="2"/>
  <c r="P26" i="27"/>
  <c r="P39" i="25"/>
  <c r="P27" i="26"/>
  <c r="P16" i="2"/>
  <c r="P43" i="26"/>
  <c r="T44" i="20"/>
  <c r="P33" i="28"/>
  <c r="P54" i="28"/>
  <c r="P56" i="26"/>
  <c r="P40" i="28"/>
  <c r="N21" i="28"/>
  <c r="N16" i="2"/>
  <c r="P62" i="26"/>
  <c r="S22" i="23"/>
  <c r="T13" i="30"/>
  <c r="N13" i="28"/>
  <c r="P24" i="25"/>
  <c r="P40" i="25"/>
  <c r="P45" i="27"/>
  <c r="N57" i="26"/>
  <c r="N28" i="28"/>
  <c r="P17" i="27"/>
  <c r="S21" i="23"/>
  <c r="P47" i="26"/>
  <c r="P29" i="26"/>
  <c r="P31" i="33"/>
  <c r="P52" i="28"/>
  <c r="P29" i="27"/>
  <c r="T12" i="2"/>
  <c r="Q12" i="2"/>
  <c r="P28" i="28"/>
  <c r="P11" i="27"/>
  <c r="P40" i="26"/>
  <c r="P51" i="27"/>
  <c r="P20" i="33"/>
  <c r="M24" i="23"/>
  <c r="N11" i="23"/>
  <c r="N10" i="23"/>
  <c r="N16" i="23"/>
  <c r="N12" i="23"/>
  <c r="N21" i="23"/>
  <c r="N13" i="23"/>
  <c r="P16" i="23"/>
  <c r="P21" i="25"/>
  <c r="P16" i="26"/>
  <c r="P42" i="25"/>
  <c r="N55" i="28"/>
  <c r="P16" i="27"/>
  <c r="Q52" i="20"/>
  <c r="P30" i="27"/>
  <c r="P23" i="33"/>
  <c r="P20" i="25"/>
  <c r="P34" i="27"/>
  <c r="N64" i="26"/>
  <c r="Q13" i="30"/>
  <c r="P13" i="33"/>
  <c r="P35" i="2"/>
  <c r="P64" i="26"/>
  <c r="P56" i="25"/>
  <c r="P30" i="25"/>
  <c r="O27" i="2"/>
  <c r="O37" i="2" s="1"/>
  <c r="P12" i="27"/>
  <c r="P48" i="26"/>
  <c r="P31" i="27"/>
  <c r="N32" i="33"/>
  <c r="N48" i="28"/>
  <c r="N15" i="26"/>
  <c r="P14" i="33"/>
  <c r="P42" i="28"/>
  <c r="T17" i="20"/>
  <c r="O63" i="21"/>
  <c r="N16" i="22"/>
  <c r="T14" i="27"/>
  <c r="P48" i="2"/>
  <c r="R53" i="20"/>
  <c r="R86" i="20" s="1"/>
  <c r="N15" i="22"/>
  <c r="N14" i="22"/>
  <c r="S49" i="26"/>
  <c r="P25" i="2"/>
  <c r="Q41" i="21"/>
  <c r="N10" i="22"/>
  <c r="P12" i="22"/>
  <c r="P15" i="22"/>
  <c r="O13" i="2"/>
  <c r="P18" i="28"/>
  <c r="O27" i="21"/>
  <c r="P41" i="21" s="1"/>
  <c r="Q14" i="26"/>
  <c r="M17" i="26"/>
  <c r="M22" i="26" s="1"/>
  <c r="N14" i="27"/>
  <c r="N17" i="29"/>
  <c r="S57" i="27"/>
  <c r="S35" i="33"/>
  <c r="T33" i="21"/>
  <c r="T27" i="33"/>
  <c r="T30" i="26"/>
  <c r="T104" i="21"/>
  <c r="N12" i="22"/>
  <c r="N43" i="21"/>
  <c r="N30" i="26"/>
  <c r="Q14" i="27"/>
  <c r="N21" i="33"/>
  <c r="Q17" i="22"/>
  <c r="N31" i="28"/>
  <c r="O69" i="26"/>
  <c r="N44" i="27"/>
  <c r="N28" i="27"/>
  <c r="N17" i="28"/>
  <c r="N17" i="22"/>
  <c r="T52" i="20"/>
  <c r="N13" i="33"/>
  <c r="N19" i="27"/>
  <c r="N53" i="26"/>
  <c r="N52" i="27"/>
  <c r="N17" i="2"/>
  <c r="N53" i="27"/>
  <c r="N35" i="33"/>
  <c r="N42" i="26"/>
  <c r="N36" i="28"/>
  <c r="N65" i="26"/>
  <c r="N22" i="28"/>
  <c r="N38" i="28"/>
  <c r="N27" i="26"/>
  <c r="N43" i="28"/>
  <c r="N26" i="33"/>
  <c r="N45" i="27"/>
  <c r="N16" i="27"/>
  <c r="N29" i="26"/>
  <c r="N11" i="22"/>
  <c r="Q22" i="28"/>
  <c r="Q17" i="20"/>
  <c r="Q62" i="21"/>
  <c r="R18" i="27"/>
  <c r="S18" i="27" s="1"/>
  <c r="N35" i="28"/>
  <c r="N13" i="26"/>
  <c r="N30" i="28"/>
  <c r="N40" i="27"/>
  <c r="N20" i="28"/>
  <c r="N19" i="26"/>
  <c r="N40" i="26"/>
  <c r="N20" i="27"/>
  <c r="N33" i="2"/>
  <c r="N35" i="27"/>
  <c r="Q30" i="26"/>
  <c r="Q104" i="21"/>
  <c r="S21" i="33"/>
  <c r="P27" i="33"/>
  <c r="M18" i="27"/>
  <c r="M69" i="26"/>
  <c r="S13" i="30"/>
  <c r="O37" i="22"/>
  <c r="O39" i="22" s="1"/>
  <c r="P39" i="22" s="1"/>
  <c r="P67" i="26"/>
  <c r="N11" i="30"/>
  <c r="N27" i="28"/>
  <c r="N54" i="28"/>
  <c r="N43" i="2"/>
  <c r="N18" i="33"/>
  <c r="N10" i="29"/>
  <c r="N44" i="26"/>
  <c r="N56" i="26"/>
  <c r="M37" i="33"/>
  <c r="N45" i="2"/>
  <c r="N13" i="22"/>
  <c r="T41" i="21"/>
  <c r="P49" i="26"/>
  <c r="N45" i="28"/>
  <c r="N26" i="28"/>
  <c r="N54" i="27"/>
  <c r="N11" i="28"/>
  <c r="N40" i="28"/>
  <c r="N54" i="26"/>
  <c r="N49" i="28"/>
  <c r="N52" i="26"/>
  <c r="N27" i="33"/>
  <c r="M31" i="20"/>
  <c r="N84" i="20" s="1"/>
  <c r="N19" i="23"/>
  <c r="S73" i="20"/>
  <c r="M44" i="21"/>
  <c r="N11" i="33"/>
  <c r="N14" i="33"/>
  <c r="N16" i="29"/>
  <c r="N37" i="26"/>
  <c r="N22" i="27"/>
  <c r="R37" i="33"/>
  <c r="N42" i="28"/>
  <c r="N31" i="27"/>
  <c r="N48" i="26"/>
  <c r="Q25" i="2"/>
  <c r="S48" i="20"/>
  <c r="N49" i="27"/>
  <c r="N46" i="28"/>
  <c r="N31" i="2"/>
  <c r="N60" i="26"/>
  <c r="N17" i="33"/>
  <c r="N17" i="27"/>
  <c r="N39" i="28"/>
  <c r="N15" i="29"/>
  <c r="N41" i="27"/>
  <c r="N52" i="28"/>
  <c r="N12" i="30"/>
  <c r="N47" i="27"/>
  <c r="N25" i="26"/>
  <c r="S65" i="25"/>
  <c r="N49" i="26"/>
  <c r="Q65" i="25"/>
  <c r="P65" i="25"/>
  <c r="T22" i="27"/>
  <c r="T22" i="23"/>
  <c r="S27" i="33"/>
  <c r="P15" i="28"/>
  <c r="Q22" i="23"/>
  <c r="P19" i="25"/>
  <c r="Q15" i="33"/>
  <c r="N15" i="33"/>
  <c r="N22" i="23"/>
  <c r="S17" i="29"/>
  <c r="Q84" i="20"/>
  <c r="Q49" i="26"/>
  <c r="T84" i="20"/>
  <c r="N15" i="28"/>
  <c r="S15" i="22"/>
  <c r="S13" i="22"/>
  <c r="T57" i="27"/>
  <c r="Q22" i="27"/>
  <c r="O37" i="33"/>
  <c r="S17" i="22"/>
  <c r="P27" i="22"/>
  <c r="T19" i="25"/>
  <c r="Q27" i="33"/>
  <c r="Q15" i="28"/>
  <c r="P57" i="27"/>
  <c r="T26" i="25"/>
  <c r="P21" i="33"/>
  <c r="T17" i="29"/>
  <c r="T21" i="33"/>
  <c r="Q54" i="21"/>
  <c r="S10" i="22"/>
  <c r="P56" i="28"/>
  <c r="S27" i="22"/>
  <c r="N14" i="23"/>
  <c r="Q27" i="20"/>
  <c r="Q21" i="33"/>
  <c r="Q17" i="29"/>
  <c r="Q35" i="33"/>
  <c r="T15" i="28"/>
  <c r="T49" i="26"/>
  <c r="N56" i="28"/>
  <c r="P35" i="33"/>
  <c r="R69" i="26"/>
  <c r="S19" i="25"/>
  <c r="S14" i="22"/>
  <c r="S12" i="22"/>
  <c r="Q57" i="27"/>
  <c r="T35" i="33"/>
  <c r="T56" i="28"/>
  <c r="T17" i="22"/>
  <c r="N27" i="22"/>
  <c r="N57" i="27"/>
  <c r="M37" i="22"/>
  <c r="S67" i="26"/>
  <c r="T67" i="26"/>
  <c r="Q27" i="22"/>
  <c r="T15" i="33"/>
  <c r="N18" i="23"/>
  <c r="R37" i="22"/>
  <c r="S37" i="22" s="1"/>
  <c r="Q56" i="28"/>
  <c r="Q19" i="21"/>
  <c r="T19" i="21"/>
  <c r="M25" i="21"/>
  <c r="T27" i="22"/>
  <c r="T65" i="25"/>
  <c r="Q67" i="26"/>
  <c r="N46" i="2"/>
  <c r="T25" i="2"/>
  <c r="Q48" i="2"/>
  <c r="M27" i="2"/>
  <c r="Q27" i="2" s="1"/>
  <c r="N30" i="2"/>
  <c r="N48" i="2"/>
  <c r="T19" i="2"/>
  <c r="N18" i="2"/>
  <c r="N10" i="33"/>
  <c r="Q19" i="25"/>
  <c r="R23" i="28"/>
  <c r="M23" i="28"/>
  <c r="Q18" i="28"/>
  <c r="T18" i="28"/>
  <c r="N18" i="28"/>
  <c r="O23" i="28"/>
  <c r="O23" i="27"/>
  <c r="P18" i="27"/>
  <c r="O22" i="26"/>
  <c r="P17" i="26"/>
  <c r="Q22" i="25"/>
  <c r="T22" i="25"/>
  <c r="M27" i="25"/>
  <c r="M63" i="21"/>
  <c r="Q58" i="21"/>
  <c r="I40" i="2"/>
  <c r="I50" i="2" s="1"/>
  <c r="T18" i="27" l="1"/>
  <c r="P61" i="20"/>
  <c r="P26" i="20"/>
  <c r="P41" i="20"/>
  <c r="S12" i="20"/>
  <c r="S30" i="20"/>
  <c r="S13" i="20"/>
  <c r="S17" i="20"/>
  <c r="S29" i="20"/>
  <c r="S79" i="20"/>
  <c r="S68" i="20"/>
  <c r="S22" i="26"/>
  <c r="S60" i="20"/>
  <c r="O86" i="20"/>
  <c r="P16" i="20"/>
  <c r="P83" i="20"/>
  <c r="P46" i="20"/>
  <c r="N27" i="20"/>
  <c r="S25" i="20"/>
  <c r="S64" i="20"/>
  <c r="S57" i="20"/>
  <c r="S24" i="20"/>
  <c r="S83" i="20"/>
  <c r="S15" i="20"/>
  <c r="S84" i="20"/>
  <c r="P69" i="26"/>
  <c r="S81" i="20"/>
  <c r="P11" i="20"/>
  <c r="S61" i="20"/>
  <c r="S51" i="20"/>
  <c r="S44" i="20"/>
  <c r="P24" i="20"/>
  <c r="S37" i="20"/>
  <c r="S41" i="20"/>
  <c r="P49" i="20"/>
  <c r="S36" i="20"/>
  <c r="S65" i="20"/>
  <c r="S31" i="20"/>
  <c r="O106" i="21"/>
  <c r="S28" i="20"/>
  <c r="T17" i="21"/>
  <c r="P82" i="20"/>
  <c r="S42" i="20"/>
  <c r="S11" i="20"/>
  <c r="S27" i="25"/>
  <c r="S27" i="2"/>
  <c r="P14" i="20"/>
  <c r="S24" i="23"/>
  <c r="P78" i="20"/>
  <c r="P74" i="20"/>
  <c r="P63" i="20"/>
  <c r="P76" i="20"/>
  <c r="P50" i="20"/>
  <c r="P29" i="20"/>
  <c r="P67" i="20"/>
  <c r="P59" i="20"/>
  <c r="P36" i="20"/>
  <c r="P48" i="20"/>
  <c r="P22" i="20"/>
  <c r="P39" i="20"/>
  <c r="P13" i="20"/>
  <c r="P57" i="20"/>
  <c r="R35" i="21"/>
  <c r="S56" i="21" s="1"/>
  <c r="P44" i="20"/>
  <c r="P45" i="20"/>
  <c r="P27" i="20"/>
  <c r="P51" i="20"/>
  <c r="P66" i="20"/>
  <c r="P37" i="20"/>
  <c r="P71" i="20"/>
  <c r="P25" i="20"/>
  <c r="P68" i="20"/>
  <c r="P20" i="20"/>
  <c r="P58" i="20"/>
  <c r="P77" i="20"/>
  <c r="P80" i="20"/>
  <c r="P21" i="20"/>
  <c r="P35" i="20"/>
  <c r="P40" i="20"/>
  <c r="P53" i="20"/>
  <c r="P47" i="20"/>
  <c r="P28" i="20"/>
  <c r="P64" i="20"/>
  <c r="P17" i="20"/>
  <c r="P75" i="20"/>
  <c r="P69" i="20"/>
  <c r="P73" i="20"/>
  <c r="P42" i="20"/>
  <c r="P30" i="20"/>
  <c r="R67" i="25"/>
  <c r="P52" i="20"/>
  <c r="P62" i="20"/>
  <c r="P43" i="20"/>
  <c r="P56" i="20"/>
  <c r="P70" i="20"/>
  <c r="P60" i="20"/>
  <c r="P27" i="2"/>
  <c r="P23" i="20"/>
  <c r="P65" i="20"/>
  <c r="P15" i="20"/>
  <c r="P81" i="20"/>
  <c r="O40" i="2"/>
  <c r="P40" i="2" s="1"/>
  <c r="P84" i="20"/>
  <c r="P72" i="20"/>
  <c r="P31" i="20"/>
  <c r="P12" i="20"/>
  <c r="N24" i="23"/>
  <c r="T24" i="23"/>
  <c r="P37" i="22"/>
  <c r="S72" i="20"/>
  <c r="S53" i="20"/>
  <c r="S50" i="20"/>
  <c r="Q13" i="2"/>
  <c r="P37" i="2"/>
  <c r="S82" i="20"/>
  <c r="S78" i="20"/>
  <c r="S45" i="20"/>
  <c r="S62" i="20"/>
  <c r="S59" i="20"/>
  <c r="S35" i="20"/>
  <c r="S47" i="20"/>
  <c r="S43" i="20"/>
  <c r="S14" i="20"/>
  <c r="S26" i="20"/>
  <c r="S27" i="20"/>
  <c r="Q17" i="21"/>
  <c r="S77" i="20"/>
  <c r="N39" i="20"/>
  <c r="S70" i="20"/>
  <c r="S16" i="20"/>
  <c r="S22" i="20"/>
  <c r="S21" i="20"/>
  <c r="S52" i="20"/>
  <c r="O35" i="21"/>
  <c r="P24" i="23"/>
  <c r="N61" i="20"/>
  <c r="S67" i="20"/>
  <c r="S71" i="20"/>
  <c r="S74" i="20"/>
  <c r="S69" i="20"/>
  <c r="S23" i="20"/>
  <c r="S63" i="20"/>
  <c r="S46" i="20"/>
  <c r="S58" i="20"/>
  <c r="S20" i="20"/>
  <c r="S49" i="20"/>
  <c r="S75" i="20"/>
  <c r="Q24" i="23"/>
  <c r="S76" i="20"/>
  <c r="S40" i="20"/>
  <c r="S66" i="20"/>
  <c r="S80" i="20"/>
  <c r="S56" i="20"/>
  <c r="N69" i="26"/>
  <c r="M70" i="26"/>
  <c r="O70" i="26"/>
  <c r="P70" i="26" s="1"/>
  <c r="N45" i="20"/>
  <c r="N23" i="20"/>
  <c r="N82" i="20"/>
  <c r="N71" i="20"/>
  <c r="T58" i="21"/>
  <c r="Q17" i="26"/>
  <c r="M37" i="2"/>
  <c r="T48" i="20"/>
  <c r="N80" i="20"/>
  <c r="N69" i="20"/>
  <c r="M53" i="20"/>
  <c r="Q53" i="20" s="1"/>
  <c r="T17" i="26"/>
  <c r="N43" i="20"/>
  <c r="N78" i="20"/>
  <c r="N17" i="26"/>
  <c r="N46" i="20"/>
  <c r="O68" i="25"/>
  <c r="P68" i="25" s="1"/>
  <c r="N12" i="20"/>
  <c r="N26" i="20"/>
  <c r="N68" i="20"/>
  <c r="N21" i="20"/>
  <c r="N77" i="20"/>
  <c r="N24" i="20"/>
  <c r="N11" i="20"/>
  <c r="P67" i="25"/>
  <c r="Q18" i="27"/>
  <c r="N25" i="20"/>
  <c r="N72" i="20"/>
  <c r="N37" i="33"/>
  <c r="N27" i="2"/>
  <c r="R23" i="27"/>
  <c r="R59" i="27" s="1"/>
  <c r="T27" i="2"/>
  <c r="N40" i="20"/>
  <c r="N51" i="20"/>
  <c r="N64" i="20"/>
  <c r="N81" i="20"/>
  <c r="N83" i="20"/>
  <c r="N47" i="20"/>
  <c r="N44" i="20"/>
  <c r="N31" i="20"/>
  <c r="N66" i="20"/>
  <c r="N30" i="20"/>
  <c r="N65" i="20"/>
  <c r="N60" i="20"/>
  <c r="N36" i="20"/>
  <c r="Q37" i="33"/>
  <c r="T31" i="20"/>
  <c r="N58" i="20"/>
  <c r="N22" i="20"/>
  <c r="N67" i="20"/>
  <c r="N48" i="20"/>
  <c r="M23" i="27"/>
  <c r="N63" i="20"/>
  <c r="N28" i="20"/>
  <c r="Q44" i="21"/>
  <c r="N17" i="20"/>
  <c r="N73" i="20"/>
  <c r="N15" i="20"/>
  <c r="N42" i="20"/>
  <c r="N74" i="20"/>
  <c r="Q69" i="26"/>
  <c r="N75" i="20"/>
  <c r="N59" i="20"/>
  <c r="N16" i="20"/>
  <c r="N52" i="20"/>
  <c r="N56" i="20"/>
  <c r="N62" i="20"/>
  <c r="N13" i="20"/>
  <c r="N41" i="20"/>
  <c r="N70" i="20"/>
  <c r="N18" i="27"/>
  <c r="N14" i="20"/>
  <c r="N57" i="20"/>
  <c r="S37" i="33"/>
  <c r="T37" i="22"/>
  <c r="Q31" i="20"/>
  <c r="N20" i="20"/>
  <c r="N37" i="20"/>
  <c r="N49" i="20"/>
  <c r="N79" i="20"/>
  <c r="N35" i="20"/>
  <c r="N29" i="20"/>
  <c r="N76" i="20"/>
  <c r="N50" i="20"/>
  <c r="T44" i="21"/>
  <c r="R39" i="22"/>
  <c r="S39" i="22" s="1"/>
  <c r="T37" i="33"/>
  <c r="P37" i="33"/>
  <c r="N37" i="22"/>
  <c r="T25" i="21"/>
  <c r="Q25" i="21"/>
  <c r="N40" i="21"/>
  <c r="M27" i="21"/>
  <c r="Q37" i="22"/>
  <c r="S69" i="26"/>
  <c r="R70" i="26"/>
  <c r="S70" i="26" s="1"/>
  <c r="O58" i="28"/>
  <c r="M39" i="22"/>
  <c r="T69" i="26"/>
  <c r="R87" i="20"/>
  <c r="S87" i="20" s="1"/>
  <c r="S63" i="21"/>
  <c r="R58" i="28"/>
  <c r="P23" i="28"/>
  <c r="S86" i="20"/>
  <c r="O59" i="27"/>
  <c r="P23" i="27"/>
  <c r="N23" i="28"/>
  <c r="T23" i="28"/>
  <c r="Q23" i="28"/>
  <c r="M58" i="28"/>
  <c r="S23" i="28"/>
  <c r="R40" i="2"/>
  <c r="S37" i="2"/>
  <c r="T27" i="25"/>
  <c r="Q27" i="25"/>
  <c r="M67" i="25"/>
  <c r="T63" i="21"/>
  <c r="Q63" i="21"/>
  <c r="M106" i="21"/>
  <c r="N22" i="26"/>
  <c r="Q22" i="26"/>
  <c r="T22" i="26"/>
  <c r="P22" i="26"/>
  <c r="I53" i="2"/>
  <c r="S90" i="21" l="1"/>
  <c r="S44" i="21"/>
  <c r="P97" i="21"/>
  <c r="S31" i="21"/>
  <c r="P72" i="21"/>
  <c r="S89" i="21"/>
  <c r="S96" i="21"/>
  <c r="S101" i="21"/>
  <c r="S21" i="21"/>
  <c r="S74" i="21"/>
  <c r="S24" i="21"/>
  <c r="S61" i="21"/>
  <c r="S82" i="21"/>
  <c r="O87" i="20"/>
  <c r="P87" i="20" s="1"/>
  <c r="S106" i="21"/>
  <c r="P86" i="20"/>
  <c r="S100" i="21"/>
  <c r="O50" i="2"/>
  <c r="P25" i="21"/>
  <c r="P71" i="21"/>
  <c r="P23" i="21"/>
  <c r="P17" i="21"/>
  <c r="P79" i="21"/>
  <c r="P94" i="21"/>
  <c r="Q70" i="26"/>
  <c r="P62" i="21"/>
  <c r="P90" i="21"/>
  <c r="P100" i="21"/>
  <c r="S67" i="21"/>
  <c r="S25" i="21"/>
  <c r="S11" i="21"/>
  <c r="P87" i="21"/>
  <c r="P14" i="21"/>
  <c r="S88" i="21"/>
  <c r="S78" i="21"/>
  <c r="S15" i="21"/>
  <c r="P83" i="21"/>
  <c r="P26" i="21"/>
  <c r="S58" i="21"/>
  <c r="S93" i="21"/>
  <c r="S52" i="21"/>
  <c r="P22" i="21"/>
  <c r="P93" i="21"/>
  <c r="S62" i="21"/>
  <c r="S68" i="21"/>
  <c r="S59" i="21"/>
  <c r="S103" i="21"/>
  <c r="S85" i="21"/>
  <c r="P30" i="21"/>
  <c r="S76" i="21"/>
  <c r="S97" i="21"/>
  <c r="S50" i="21"/>
  <c r="S81" i="21"/>
  <c r="S70" i="21"/>
  <c r="S14" i="21"/>
  <c r="S30" i="21"/>
  <c r="S55" i="21"/>
  <c r="S32" i="21"/>
  <c r="S92" i="21"/>
  <c r="P76" i="21"/>
  <c r="P13" i="21"/>
  <c r="S95" i="21"/>
  <c r="S87" i="21"/>
  <c r="S16" i="21"/>
  <c r="S99" i="21"/>
  <c r="S22" i="21"/>
  <c r="S77" i="21"/>
  <c r="S86" i="21"/>
  <c r="P80" i="21"/>
  <c r="P16" i="21"/>
  <c r="P89" i="21"/>
  <c r="S19" i="21"/>
  <c r="S29" i="21"/>
  <c r="S57" i="21"/>
  <c r="P99" i="21"/>
  <c r="P59" i="21"/>
  <c r="P15" i="21"/>
  <c r="P74" i="21"/>
  <c r="S94" i="21"/>
  <c r="S98" i="21"/>
  <c r="S17" i="21"/>
  <c r="S20" i="21"/>
  <c r="O46" i="21"/>
  <c r="O107" i="21" s="1"/>
  <c r="P107" i="21" s="1"/>
  <c r="N70" i="26"/>
  <c r="P35" i="21"/>
  <c r="T39" i="22"/>
  <c r="P67" i="21"/>
  <c r="P31" i="21"/>
  <c r="P53" i="21"/>
  <c r="P86" i="21"/>
  <c r="P24" i="21"/>
  <c r="S91" i="21"/>
  <c r="S13" i="21"/>
  <c r="S79" i="21"/>
  <c r="S60" i="21"/>
  <c r="S73" i="21"/>
  <c r="S67" i="25"/>
  <c r="S53" i="21"/>
  <c r="P88" i="21"/>
  <c r="P106" i="21"/>
  <c r="P56" i="21"/>
  <c r="P75" i="21"/>
  <c r="S33" i="21"/>
  <c r="S71" i="21"/>
  <c r="S35" i="21"/>
  <c r="P91" i="21"/>
  <c r="P58" i="21"/>
  <c r="P95" i="21"/>
  <c r="P32" i="21"/>
  <c r="P77" i="21"/>
  <c r="P20" i="21"/>
  <c r="P44" i="21"/>
  <c r="S12" i="21"/>
  <c r="S72" i="21"/>
  <c r="S66" i="21"/>
  <c r="S26" i="21"/>
  <c r="N53" i="20"/>
  <c r="R68" i="25"/>
  <c r="S68" i="25" s="1"/>
  <c r="R46" i="21"/>
  <c r="S46" i="21" s="1"/>
  <c r="P55" i="21"/>
  <c r="P70" i="21"/>
  <c r="P12" i="21"/>
  <c r="P96" i="21"/>
  <c r="P104" i="21"/>
  <c r="P63" i="21"/>
  <c r="P81" i="21"/>
  <c r="P98" i="21"/>
  <c r="S102" i="21"/>
  <c r="S80" i="21"/>
  <c r="S69" i="21"/>
  <c r="P33" i="21"/>
  <c r="P101" i="21"/>
  <c r="P57" i="21"/>
  <c r="P85" i="21"/>
  <c r="P82" i="21"/>
  <c r="S104" i="21"/>
  <c r="S83" i="21"/>
  <c r="S75" i="21"/>
  <c r="S84" i="21"/>
  <c r="S54" i="21"/>
  <c r="S23" i="21"/>
  <c r="S27" i="21"/>
  <c r="T37" i="2"/>
  <c r="P27" i="21"/>
  <c r="P19" i="21"/>
  <c r="P61" i="21"/>
  <c r="P103" i="21"/>
  <c r="P52" i="21"/>
  <c r="P69" i="21"/>
  <c r="P78" i="21"/>
  <c r="P66" i="21"/>
  <c r="P60" i="21"/>
  <c r="P29" i="21"/>
  <c r="P54" i="21"/>
  <c r="P102" i="21"/>
  <c r="P50" i="21"/>
  <c r="N23" i="27"/>
  <c r="P84" i="21"/>
  <c r="P92" i="21"/>
  <c r="P21" i="21"/>
  <c r="P11" i="21"/>
  <c r="P73" i="21"/>
  <c r="P68" i="21"/>
  <c r="S23" i="27"/>
  <c r="M59" i="27"/>
  <c r="M86" i="20"/>
  <c r="N86" i="20" s="1"/>
  <c r="T53" i="20"/>
  <c r="N37" i="2"/>
  <c r="Q37" i="2"/>
  <c r="M40" i="2"/>
  <c r="T40" i="2" s="1"/>
  <c r="Q23" i="27"/>
  <c r="T23" i="27"/>
  <c r="R60" i="27"/>
  <c r="S60" i="27" s="1"/>
  <c r="M35" i="21"/>
  <c r="N27" i="21" s="1"/>
  <c r="N41" i="21"/>
  <c r="Q27" i="21"/>
  <c r="T27" i="21"/>
  <c r="Q39" i="22"/>
  <c r="N39" i="22"/>
  <c r="P58" i="28"/>
  <c r="O59" i="28"/>
  <c r="P59" i="28" s="1"/>
  <c r="T70" i="26"/>
  <c r="S59" i="27"/>
  <c r="R59" i="28"/>
  <c r="S59" i="28" s="1"/>
  <c r="S58" i="28"/>
  <c r="P59" i="27"/>
  <c r="O60" i="27"/>
  <c r="P60" i="27" s="1"/>
  <c r="R50" i="2"/>
  <c r="S40" i="2"/>
  <c r="Q58" i="28"/>
  <c r="T58" i="28"/>
  <c r="M59" i="28"/>
  <c r="N58" i="28"/>
  <c r="Q67" i="25"/>
  <c r="T67" i="25"/>
  <c r="M68" i="25"/>
  <c r="O53" i="2"/>
  <c r="P50" i="2"/>
  <c r="T106" i="21"/>
  <c r="Q106" i="21"/>
  <c r="P46" i="21" l="1"/>
  <c r="N40" i="2"/>
  <c r="R107" i="21"/>
  <c r="S107" i="21" s="1"/>
  <c r="Q86" i="20"/>
  <c r="M50" i="2"/>
  <c r="Q59" i="27"/>
  <c r="M60" i="27"/>
  <c r="Q60" i="27" s="1"/>
  <c r="Q40" i="2"/>
  <c r="N59" i="27"/>
  <c r="T59" i="27"/>
  <c r="M87" i="20"/>
  <c r="Q87" i="20" s="1"/>
  <c r="T86" i="20"/>
  <c r="N44" i="21"/>
  <c r="N73" i="21"/>
  <c r="N85" i="21"/>
  <c r="N32" i="21"/>
  <c r="N91" i="21"/>
  <c r="N33" i="21"/>
  <c r="N35" i="21"/>
  <c r="N94" i="21"/>
  <c r="N80" i="21"/>
  <c r="N56" i="21"/>
  <c r="N30" i="21"/>
  <c r="N61" i="21"/>
  <c r="N29" i="21"/>
  <c r="N19" i="21"/>
  <c r="N52" i="21"/>
  <c r="N68" i="21"/>
  <c r="N60" i="21"/>
  <c r="N101" i="21"/>
  <c r="N97" i="21"/>
  <c r="N100" i="21"/>
  <c r="N78" i="21"/>
  <c r="N67" i="21"/>
  <c r="N15" i="21"/>
  <c r="N90" i="21"/>
  <c r="N79" i="21"/>
  <c r="N104" i="21"/>
  <c r="N71" i="21"/>
  <c r="N75" i="21"/>
  <c r="N16" i="21"/>
  <c r="N89" i="21"/>
  <c r="N59" i="21"/>
  <c r="N81" i="21"/>
  <c r="N62" i="21"/>
  <c r="N50" i="21"/>
  <c r="N99" i="21"/>
  <c r="N74" i="21"/>
  <c r="N102" i="21"/>
  <c r="N53" i="21"/>
  <c r="N58" i="21"/>
  <c r="N20" i="21"/>
  <c r="N12" i="21"/>
  <c r="N22" i="21"/>
  <c r="N86" i="21"/>
  <c r="N77" i="21"/>
  <c r="N83" i="21"/>
  <c r="N23" i="21"/>
  <c r="N11" i="21"/>
  <c r="N21" i="21"/>
  <c r="N25" i="21"/>
  <c r="N72" i="21"/>
  <c r="N55" i="21"/>
  <c r="N14" i="21"/>
  <c r="N88" i="21"/>
  <c r="N31" i="21"/>
  <c r="N98" i="21"/>
  <c r="N57" i="21"/>
  <c r="N54" i="21"/>
  <c r="N26" i="21"/>
  <c r="N96" i="21"/>
  <c r="N13" i="21"/>
  <c r="N87" i="21"/>
  <c r="N66" i="21"/>
  <c r="N92" i="21"/>
  <c r="N24" i="21"/>
  <c r="N95" i="21"/>
  <c r="N103" i="21"/>
  <c r="N70" i="21"/>
  <c r="N17" i="21"/>
  <c r="N93" i="21"/>
  <c r="N69" i="21"/>
  <c r="N84" i="21"/>
  <c r="N82" i="21"/>
  <c r="N76" i="21"/>
  <c r="M46" i="21"/>
  <c r="N63" i="21"/>
  <c r="T35" i="21"/>
  <c r="Q35" i="21"/>
  <c r="N106" i="21"/>
  <c r="R53" i="2"/>
  <c r="S50" i="2"/>
  <c r="N59" i="28"/>
  <c r="T59" i="28"/>
  <c r="Q59" i="28"/>
  <c r="P53" i="2"/>
  <c r="T68" i="25"/>
  <c r="Q68" i="25"/>
  <c r="M53" i="2" l="1"/>
  <c r="T50" i="2"/>
  <c r="T60" i="27"/>
  <c r="Q50" i="2"/>
  <c r="N50" i="2"/>
  <c r="T87" i="20"/>
  <c r="N87" i="20"/>
  <c r="N60" i="27"/>
  <c r="N46" i="21"/>
  <c r="T46" i="21"/>
  <c r="Q46" i="21"/>
  <c r="M107" i="21"/>
  <c r="S53" i="2"/>
  <c r="N53" i="2" l="1"/>
  <c r="T53" i="2"/>
  <c r="Q53" i="2"/>
  <c r="T107" i="21"/>
  <c r="N107" i="21"/>
  <c r="Q107" i="21"/>
  <c r="F19" i="2"/>
  <c r="F35" i="2" l="1"/>
  <c r="F25" i="2"/>
  <c r="F27" i="2" s="1"/>
  <c r="F11" i="2"/>
  <c r="F12" i="2"/>
  <c r="F48" i="2"/>
  <c r="F37" i="2" l="1"/>
  <c r="F13" i="2"/>
  <c r="F40" i="2" l="1"/>
  <c r="F50" i="2" s="1"/>
  <c r="F53" i="2" l="1"/>
  <c r="H18" i="2" l="1"/>
  <c r="K17" i="2"/>
  <c r="D25" i="2" l="1"/>
  <c r="D11" i="2"/>
  <c r="E24" i="2"/>
  <c r="D12" i="2"/>
  <c r="D35" i="2"/>
  <c r="D19" i="2"/>
  <c r="D48" i="2"/>
  <c r="C3" i="33"/>
  <c r="C2" i="33"/>
  <c r="D27" i="2" l="1"/>
  <c r="D37" i="2" s="1"/>
  <c r="N15" i="25"/>
  <c r="N54" i="25"/>
  <c r="N23" i="25"/>
  <c r="N59" i="25"/>
  <c r="N38" i="25"/>
  <c r="N44" i="25"/>
  <c r="N14" i="25"/>
  <c r="N16" i="25"/>
  <c r="N30" i="25"/>
  <c r="N56" i="25"/>
  <c r="N49" i="25"/>
  <c r="N37" i="25"/>
  <c r="N46" i="25"/>
  <c r="N17" i="25"/>
  <c r="N32" i="25"/>
  <c r="N63" i="25"/>
  <c r="N25" i="25"/>
  <c r="N62" i="25"/>
  <c r="N61" i="25"/>
  <c r="N53" i="25"/>
  <c r="N58" i="25"/>
  <c r="N48" i="25"/>
  <c r="E25" i="26"/>
  <c r="N41" i="25"/>
  <c r="N13" i="25"/>
  <c r="N20" i="25"/>
  <c r="N51" i="25"/>
  <c r="N40" i="25"/>
  <c r="N34" i="25"/>
  <c r="N36" i="25"/>
  <c r="N35" i="25"/>
  <c r="N26" i="25"/>
  <c r="N39" i="25"/>
  <c r="N64" i="25"/>
  <c r="N50" i="25"/>
  <c r="N11" i="25"/>
  <c r="N43" i="25"/>
  <c r="N18" i="25"/>
  <c r="N21" i="25"/>
  <c r="N47" i="25"/>
  <c r="N55" i="25"/>
  <c r="N52" i="25"/>
  <c r="N57" i="25"/>
  <c r="N45" i="25"/>
  <c r="N60" i="25"/>
  <c r="N31" i="25"/>
  <c r="N24" i="25"/>
  <c r="N42" i="25"/>
  <c r="N33" i="25"/>
  <c r="N19" i="25"/>
  <c r="N65" i="25"/>
  <c r="N22" i="25"/>
  <c r="N27" i="25"/>
  <c r="N67" i="25"/>
  <c r="N68" i="25"/>
  <c r="D13" i="2"/>
  <c r="C3" i="30"/>
  <c r="C2" i="30"/>
  <c r="C3" i="29"/>
  <c r="C2" i="29"/>
  <c r="C3" i="28"/>
  <c r="C2" i="28"/>
  <c r="D40" i="2" l="1"/>
  <c r="D50" i="2" s="1"/>
  <c r="C3" i="27"/>
  <c r="C2" i="27"/>
  <c r="D53" i="2" l="1"/>
  <c r="C3" i="26"/>
  <c r="C2" i="26"/>
  <c r="C3" i="25" l="1"/>
  <c r="C2" i="25"/>
  <c r="I19" i="25" l="1"/>
  <c r="I22" i="25" s="1"/>
  <c r="F17" i="26"/>
  <c r="F22" i="26" s="1"/>
  <c r="I17" i="21"/>
  <c r="J39" i="21" s="1"/>
  <c r="F17" i="21"/>
  <c r="G39" i="21" s="1"/>
  <c r="F25" i="21"/>
  <c r="I25" i="21"/>
  <c r="I15" i="28"/>
  <c r="F15" i="28"/>
  <c r="F54" i="21"/>
  <c r="I54" i="21"/>
  <c r="I11" i="33"/>
  <c r="I15" i="33"/>
  <c r="F15" i="33"/>
  <c r="I70" i="26"/>
  <c r="F70" i="26"/>
  <c r="K14" i="33"/>
  <c r="K32" i="33"/>
  <c r="K19" i="33"/>
  <c r="K26" i="33"/>
  <c r="I27" i="33"/>
  <c r="K25" i="33"/>
  <c r="K30" i="33"/>
  <c r="K33" i="33"/>
  <c r="K31" i="33"/>
  <c r="I21" i="33"/>
  <c r="K18" i="33"/>
  <c r="K20" i="33"/>
  <c r="K34" i="33"/>
  <c r="K24" i="33"/>
  <c r="I35" i="33"/>
  <c r="K10" i="33"/>
  <c r="F11" i="33"/>
  <c r="K23" i="33"/>
  <c r="F27" i="33"/>
  <c r="F21" i="33"/>
  <c r="K17" i="33"/>
  <c r="K13" i="33"/>
  <c r="F35" i="33"/>
  <c r="K29" i="33"/>
  <c r="F62" i="21"/>
  <c r="I41" i="21"/>
  <c r="I33" i="21"/>
  <c r="J43" i="21" s="1"/>
  <c r="F33" i="21"/>
  <c r="F104" i="21"/>
  <c r="F41" i="21"/>
  <c r="I62" i="21"/>
  <c r="I104" i="21"/>
  <c r="I22" i="28"/>
  <c r="F56" i="28"/>
  <c r="F13" i="30"/>
  <c r="I56" i="28"/>
  <c r="F22" i="27"/>
  <c r="I17" i="29"/>
  <c r="F14" i="27"/>
  <c r="I57" i="27"/>
  <c r="F22" i="28"/>
  <c r="I14" i="27"/>
  <c r="F57" i="27"/>
  <c r="I22" i="27"/>
  <c r="F17" i="29"/>
  <c r="I13" i="30"/>
  <c r="I65" i="25"/>
  <c r="I26" i="25"/>
  <c r="F19" i="25"/>
  <c r="F22" i="25" s="1"/>
  <c r="F26" i="25"/>
  <c r="F65" i="25"/>
  <c r="I22" i="23"/>
  <c r="F22" i="23"/>
  <c r="F24" i="23" l="1"/>
  <c r="I24" i="23"/>
  <c r="J15" i="23"/>
  <c r="J20" i="23"/>
  <c r="G10" i="23"/>
  <c r="G20" i="23"/>
  <c r="K35" i="33"/>
  <c r="K15" i="33"/>
  <c r="K27" i="33"/>
  <c r="I37" i="33"/>
  <c r="K21" i="33"/>
  <c r="K11" i="33"/>
  <c r="F37" i="33"/>
  <c r="G40" i="21"/>
  <c r="J40" i="21"/>
  <c r="G43" i="21"/>
  <c r="F44" i="21"/>
  <c r="I58" i="21"/>
  <c r="I63" i="21" s="1"/>
  <c r="F58" i="21"/>
  <c r="I44" i="21"/>
  <c r="I27" i="21"/>
  <c r="J41" i="21" s="1"/>
  <c r="F27" i="21"/>
  <c r="F35" i="21" s="1"/>
  <c r="F18" i="27"/>
  <c r="I18" i="28"/>
  <c r="I23" i="28" s="1"/>
  <c r="I18" i="27"/>
  <c r="F27" i="25"/>
  <c r="I27" i="25"/>
  <c r="J21" i="23"/>
  <c r="J22" i="23"/>
  <c r="J12" i="23"/>
  <c r="J14" i="23"/>
  <c r="J18" i="23"/>
  <c r="J11" i="23"/>
  <c r="J10" i="23"/>
  <c r="J16" i="23"/>
  <c r="J19" i="23"/>
  <c r="J17" i="23"/>
  <c r="J13" i="23"/>
  <c r="G14" i="23"/>
  <c r="G16" i="23"/>
  <c r="G15" i="23"/>
  <c r="G22" i="23"/>
  <c r="G18" i="23"/>
  <c r="G13" i="23"/>
  <c r="G21" i="23"/>
  <c r="G19" i="23"/>
  <c r="G11" i="23"/>
  <c r="G12" i="23"/>
  <c r="G17" i="23"/>
  <c r="C3" i="23"/>
  <c r="C2" i="23"/>
  <c r="C3" i="22"/>
  <c r="C2" i="22"/>
  <c r="C3" i="21"/>
  <c r="C2" i="21"/>
  <c r="G24" i="23" l="1"/>
  <c r="J24" i="23"/>
  <c r="G52" i="21"/>
  <c r="I106" i="21"/>
  <c r="I67" i="25"/>
  <c r="F67" i="25"/>
  <c r="K37" i="33"/>
  <c r="G104" i="21"/>
  <c r="G54" i="21"/>
  <c r="G33" i="21"/>
  <c r="G26" i="21"/>
  <c r="G62" i="21"/>
  <c r="G41" i="21"/>
  <c r="G44" i="21"/>
  <c r="G25" i="21"/>
  <c r="G17" i="21"/>
  <c r="G100" i="21"/>
  <c r="G93" i="21"/>
  <c r="G72" i="21"/>
  <c r="G32" i="21"/>
  <c r="G90" i="21"/>
  <c r="G60" i="21"/>
  <c r="G50" i="21"/>
  <c r="G81" i="21"/>
  <c r="G23" i="21"/>
  <c r="G94" i="21"/>
  <c r="G68" i="21"/>
  <c r="G15" i="21"/>
  <c r="G69" i="21"/>
  <c r="G31" i="21"/>
  <c r="G89" i="21"/>
  <c r="G12" i="21"/>
  <c r="G85" i="21"/>
  <c r="G96" i="21"/>
  <c r="G97" i="21"/>
  <c r="G55" i="21"/>
  <c r="G77" i="21"/>
  <c r="G13" i="21"/>
  <c r="G98" i="21"/>
  <c r="G95" i="21"/>
  <c r="G78" i="21"/>
  <c r="G67" i="21"/>
  <c r="G76" i="21"/>
  <c r="G99" i="21"/>
  <c r="G87" i="21"/>
  <c r="G88" i="21"/>
  <c r="G103" i="21"/>
  <c r="G80" i="21"/>
  <c r="G83" i="21"/>
  <c r="G53" i="21"/>
  <c r="G22" i="21"/>
  <c r="G61" i="21"/>
  <c r="G92" i="21"/>
  <c r="G20" i="21"/>
  <c r="G56" i="21"/>
  <c r="G91" i="21"/>
  <c r="G16" i="21"/>
  <c r="G71" i="21"/>
  <c r="G30" i="21"/>
  <c r="G79" i="21"/>
  <c r="G29" i="21"/>
  <c r="G19" i="21"/>
  <c r="G57" i="21"/>
  <c r="G70" i="21"/>
  <c r="G74" i="21"/>
  <c r="G11" i="21"/>
  <c r="G84" i="21"/>
  <c r="G14" i="21"/>
  <c r="G73" i="21"/>
  <c r="G102" i="21"/>
  <c r="G59" i="21"/>
  <c r="G66" i="21"/>
  <c r="G21" i="21"/>
  <c r="G75" i="21"/>
  <c r="G101" i="21"/>
  <c r="G24" i="21"/>
  <c r="G86" i="21"/>
  <c r="G82" i="21"/>
  <c r="I35" i="21"/>
  <c r="F63" i="21"/>
  <c r="G58" i="21"/>
  <c r="G27" i="21"/>
  <c r="F46" i="21"/>
  <c r="G35" i="21"/>
  <c r="I58" i="28"/>
  <c r="I23" i="27"/>
  <c r="F23" i="27"/>
  <c r="C3" i="20"/>
  <c r="C2" i="20"/>
  <c r="J52" i="21" l="1"/>
  <c r="I68" i="25"/>
  <c r="F106" i="21"/>
  <c r="F68" i="25"/>
  <c r="J26" i="21"/>
  <c r="J27" i="21"/>
  <c r="J84" i="21"/>
  <c r="J67" i="21"/>
  <c r="J102" i="21"/>
  <c r="J86" i="21"/>
  <c r="J97" i="21"/>
  <c r="J76" i="21"/>
  <c r="J82" i="21"/>
  <c r="J103" i="21"/>
  <c r="J77" i="21"/>
  <c r="J100" i="21"/>
  <c r="J98" i="21"/>
  <c r="J87" i="21"/>
  <c r="J16" i="21"/>
  <c r="J73" i="21"/>
  <c r="J92" i="21"/>
  <c r="J50" i="21"/>
  <c r="J94" i="21"/>
  <c r="J80" i="21"/>
  <c r="J15" i="21"/>
  <c r="J74" i="21"/>
  <c r="J13" i="21"/>
  <c r="J81" i="21"/>
  <c r="J60" i="21"/>
  <c r="J90" i="21"/>
  <c r="J56" i="21"/>
  <c r="J21" i="21"/>
  <c r="J71" i="21"/>
  <c r="J96" i="21"/>
  <c r="J75" i="21"/>
  <c r="J12" i="21"/>
  <c r="J70" i="21"/>
  <c r="J32" i="21"/>
  <c r="J83" i="21"/>
  <c r="J89" i="21"/>
  <c r="J78" i="21"/>
  <c r="J29" i="21"/>
  <c r="J59" i="21"/>
  <c r="J55" i="21"/>
  <c r="J85" i="21"/>
  <c r="J72" i="21"/>
  <c r="J91" i="21"/>
  <c r="J95" i="21"/>
  <c r="J61" i="21"/>
  <c r="J14" i="21"/>
  <c r="J53" i="21"/>
  <c r="J24" i="21"/>
  <c r="J31" i="21"/>
  <c r="J93" i="21"/>
  <c r="J57" i="21"/>
  <c r="J20" i="21"/>
  <c r="J11" i="21"/>
  <c r="J19" i="21"/>
  <c r="J30" i="21"/>
  <c r="J22" i="21"/>
  <c r="J88" i="21"/>
  <c r="J79" i="21"/>
  <c r="J99" i="21"/>
  <c r="J23" i="21"/>
  <c r="J66" i="21"/>
  <c r="J101" i="21"/>
  <c r="J69" i="21"/>
  <c r="J68" i="21"/>
  <c r="J104" i="21"/>
  <c r="J17" i="21"/>
  <c r="J33" i="21"/>
  <c r="J25" i="21"/>
  <c r="J62" i="21"/>
  <c r="J54" i="21"/>
  <c r="J106" i="21"/>
  <c r="J63" i="21"/>
  <c r="J44" i="21"/>
  <c r="G46" i="21"/>
  <c r="G63" i="21"/>
  <c r="J58" i="21"/>
  <c r="I46" i="21"/>
  <c r="J35" i="21"/>
  <c r="I59" i="27"/>
  <c r="F59" i="27"/>
  <c r="I59" i="28"/>
  <c r="F27" i="20" l="1"/>
  <c r="I27" i="20"/>
  <c r="F44" i="20"/>
  <c r="I44" i="20"/>
  <c r="F107" i="21"/>
  <c r="G107" i="21" s="1"/>
  <c r="I84" i="20"/>
  <c r="F84" i="20"/>
  <c r="G106" i="21"/>
  <c r="J46" i="21"/>
  <c r="I107" i="21"/>
  <c r="J107" i="21" s="1"/>
  <c r="I60" i="27"/>
  <c r="F60" i="27"/>
  <c r="J26" i="22"/>
  <c r="G23" i="2"/>
  <c r="G36" i="22"/>
  <c r="G21" i="22"/>
  <c r="G32" i="22"/>
  <c r="J22" i="22"/>
  <c r="G25" i="22"/>
  <c r="J24" i="22"/>
  <c r="G23" i="22"/>
  <c r="G24" i="22"/>
  <c r="G22" i="22"/>
  <c r="J25" i="22"/>
  <c r="J24" i="2"/>
  <c r="J23" i="2"/>
  <c r="J21" i="22"/>
  <c r="G26" i="22"/>
  <c r="J36" i="22"/>
  <c r="G24" i="2"/>
  <c r="G35" i="22"/>
  <c r="J23" i="22"/>
  <c r="G22" i="2"/>
  <c r="G20" i="22"/>
  <c r="F27" i="22"/>
  <c r="G34" i="22"/>
  <c r="F17" i="22"/>
  <c r="G30" i="22"/>
  <c r="I17" i="22"/>
  <c r="J30" i="22"/>
  <c r="J31" i="22"/>
  <c r="G33" i="22"/>
  <c r="I27" i="22"/>
  <c r="J20" i="22"/>
  <c r="G31" i="22"/>
  <c r="J22" i="2"/>
  <c r="J32" i="22"/>
  <c r="J33" i="22"/>
  <c r="I17" i="20"/>
  <c r="I52" i="20"/>
  <c r="F52" i="20"/>
  <c r="F17" i="20"/>
  <c r="I31" i="20" l="1"/>
  <c r="H32" i="25"/>
  <c r="K34" i="25"/>
  <c r="H15" i="20"/>
  <c r="K25" i="20"/>
  <c r="H13" i="20"/>
  <c r="K20" i="21"/>
  <c r="K26" i="21"/>
  <c r="H77" i="20"/>
  <c r="H45" i="20"/>
  <c r="K23" i="22"/>
  <c r="K11" i="25"/>
  <c r="K15" i="21"/>
  <c r="K23" i="21"/>
  <c r="H71" i="20"/>
  <c r="H31" i="21"/>
  <c r="H47" i="20"/>
  <c r="H78" i="20"/>
  <c r="H20" i="20"/>
  <c r="K28" i="20"/>
  <c r="K29" i="20"/>
  <c r="H11" i="20"/>
  <c r="K12" i="20"/>
  <c r="H62" i="20"/>
  <c r="K24" i="20"/>
  <c r="H86" i="21"/>
  <c r="H14" i="23"/>
  <c r="K79" i="20"/>
  <c r="K68" i="20"/>
  <c r="K51" i="20"/>
  <c r="K13" i="25"/>
  <c r="K43" i="20"/>
  <c r="K35" i="20"/>
  <c r="K39" i="20"/>
  <c r="K36" i="20"/>
  <c r="H50" i="20"/>
  <c r="K55" i="21"/>
  <c r="K66" i="26"/>
  <c r="H53" i="21"/>
  <c r="H55" i="27"/>
  <c r="H40" i="21"/>
  <c r="K30" i="20"/>
  <c r="H22" i="22"/>
  <c r="H80" i="20"/>
  <c r="K20" i="22"/>
  <c r="H59" i="20"/>
  <c r="H82" i="20"/>
  <c r="H57" i="20"/>
  <c r="K16" i="23"/>
  <c r="K81" i="20"/>
  <c r="K40" i="20"/>
  <c r="H14" i="25"/>
  <c r="H37" i="20"/>
  <c r="H69" i="20"/>
  <c r="K16" i="22"/>
  <c r="K12" i="21"/>
  <c r="K69" i="21"/>
  <c r="H100" i="21"/>
  <c r="H65" i="20"/>
  <c r="H26" i="22"/>
  <c r="K70" i="20"/>
  <c r="K33" i="28"/>
  <c r="K21" i="20"/>
  <c r="H13" i="23"/>
  <c r="K19" i="26"/>
  <c r="K102" i="21"/>
  <c r="H76" i="20"/>
  <c r="H32" i="21"/>
  <c r="K83" i="21"/>
  <c r="H63" i="20"/>
  <c r="K87" i="21"/>
  <c r="K10" i="23"/>
  <c r="K73" i="20"/>
  <c r="K60" i="20"/>
  <c r="K68" i="21"/>
  <c r="H10" i="22"/>
  <c r="K41" i="28"/>
  <c r="H24" i="22"/>
  <c r="K75" i="20"/>
  <c r="K74" i="20"/>
  <c r="H15" i="22"/>
  <c r="K64" i="26"/>
  <c r="H64" i="20"/>
  <c r="K16" i="25"/>
  <c r="H42" i="20"/>
  <c r="H34" i="27"/>
  <c r="K41" i="27"/>
  <c r="K11" i="29"/>
  <c r="K21" i="27"/>
  <c r="H81" i="21"/>
  <c r="H11" i="22"/>
  <c r="H67" i="20"/>
  <c r="H18" i="23"/>
  <c r="H83" i="20"/>
  <c r="K23" i="20"/>
  <c r="H50" i="28"/>
  <c r="H98" i="21"/>
  <c r="K57" i="21"/>
  <c r="H11" i="30"/>
  <c r="K13" i="22"/>
  <c r="H17" i="23"/>
  <c r="K72" i="20"/>
  <c r="H56" i="20"/>
  <c r="H21" i="22"/>
  <c r="K61" i="20"/>
  <c r="H19" i="27"/>
  <c r="H11" i="23"/>
  <c r="K33" i="27"/>
  <c r="K37" i="26"/>
  <c r="K51" i="28"/>
  <c r="H12" i="22"/>
  <c r="K36" i="26"/>
  <c r="H15" i="27"/>
  <c r="H16" i="21"/>
  <c r="K76" i="21"/>
  <c r="K26" i="27"/>
  <c r="H15" i="25"/>
  <c r="K18" i="25"/>
  <c r="K47" i="27"/>
  <c r="K12" i="23"/>
  <c r="K25" i="22"/>
  <c r="K11" i="26"/>
  <c r="K48" i="28"/>
  <c r="K58" i="26"/>
  <c r="H80" i="21"/>
  <c r="K13" i="26"/>
  <c r="K27" i="26"/>
  <c r="K21" i="23"/>
  <c r="K74" i="21"/>
  <c r="H84" i="21"/>
  <c r="K96" i="21"/>
  <c r="K82" i="21"/>
  <c r="K16" i="26"/>
  <c r="K24" i="21"/>
  <c r="H58" i="20"/>
  <c r="H103" i="21"/>
  <c r="K53" i="28"/>
  <c r="H15" i="23"/>
  <c r="K36" i="27"/>
  <c r="H66" i="21"/>
  <c r="K51" i="27"/>
  <c r="H92" i="21"/>
  <c r="H99" i="21"/>
  <c r="H16" i="20"/>
  <c r="K35" i="26"/>
  <c r="H26" i="20"/>
  <c r="K65" i="26"/>
  <c r="K54" i="26"/>
  <c r="K56" i="21"/>
  <c r="K40" i="28"/>
  <c r="H29" i="21"/>
  <c r="H10" i="30"/>
  <c r="H37" i="28"/>
  <c r="H39" i="27"/>
  <c r="K90" i="21"/>
  <c r="K53" i="25"/>
  <c r="K22" i="21"/>
  <c r="H14" i="22"/>
  <c r="H91" i="21"/>
  <c r="K26" i="28"/>
  <c r="K40" i="27"/>
  <c r="K52" i="27"/>
  <c r="H22" i="20"/>
  <c r="K16" i="29"/>
  <c r="K54" i="27"/>
  <c r="K29" i="27"/>
  <c r="H89" i="21"/>
  <c r="K52" i="28"/>
  <c r="K60" i="21"/>
  <c r="K101" i="21"/>
  <c r="H43" i="21"/>
  <c r="K32" i="28"/>
  <c r="H45" i="27"/>
  <c r="K31" i="27"/>
  <c r="H21" i="21"/>
  <c r="K59" i="26"/>
  <c r="K53" i="27"/>
  <c r="K60" i="26"/>
  <c r="K44" i="27"/>
  <c r="H78" i="21"/>
  <c r="H14" i="21"/>
  <c r="H32" i="27"/>
  <c r="K20" i="26"/>
  <c r="H56" i="27"/>
  <c r="H50" i="21"/>
  <c r="H15" i="29"/>
  <c r="H19" i="23"/>
  <c r="K33" i="26"/>
  <c r="H20" i="23"/>
  <c r="K26" i="26"/>
  <c r="K95" i="21"/>
  <c r="K30" i="27"/>
  <c r="K45" i="25"/>
  <c r="H85" i="21"/>
  <c r="H25" i="25"/>
  <c r="K13" i="27"/>
  <c r="K16" i="27"/>
  <c r="K41" i="26"/>
  <c r="K44" i="28"/>
  <c r="H48" i="25"/>
  <c r="H48" i="27"/>
  <c r="H28" i="27"/>
  <c r="K46" i="26"/>
  <c r="K48" i="26"/>
  <c r="H20" i="27"/>
  <c r="K18" i="26"/>
  <c r="K54" i="28"/>
  <c r="H72" i="21"/>
  <c r="K39" i="25"/>
  <c r="K59" i="21"/>
  <c r="K70" i="21"/>
  <c r="H71" i="21"/>
  <c r="H12" i="29"/>
  <c r="H32" i="33"/>
  <c r="K47" i="28"/>
  <c r="K55" i="28"/>
  <c r="H14" i="28"/>
  <c r="H93" i="21"/>
  <c r="K88" i="21"/>
  <c r="H50" i="27"/>
  <c r="H13" i="21"/>
  <c r="H75" i="21"/>
  <c r="H79" i="21"/>
  <c r="H97" i="21"/>
  <c r="H77" i="21"/>
  <c r="H17" i="33"/>
  <c r="H27" i="28"/>
  <c r="H41" i="25"/>
  <c r="K60" i="25"/>
  <c r="K39" i="26"/>
  <c r="K17" i="28"/>
  <c r="K34" i="26"/>
  <c r="H67" i="21"/>
  <c r="H47" i="25"/>
  <c r="H38" i="28"/>
  <c r="K45" i="28"/>
  <c r="H33" i="33"/>
  <c r="K59" i="25"/>
  <c r="H20" i="33"/>
  <c r="K35" i="28"/>
  <c r="H30" i="21"/>
  <c r="K58" i="25"/>
  <c r="H55" i="25"/>
  <c r="K47" i="26"/>
  <c r="K43" i="26"/>
  <c r="H34" i="33"/>
  <c r="K61" i="26"/>
  <c r="H64" i="25"/>
  <c r="K13" i="28"/>
  <c r="K21" i="28"/>
  <c r="K61" i="25"/>
  <c r="K40" i="25"/>
  <c r="K42" i="28"/>
  <c r="K30" i="25"/>
  <c r="K30" i="28"/>
  <c r="K53" i="26"/>
  <c r="K46" i="20"/>
  <c r="K94" i="21"/>
  <c r="K43" i="28"/>
  <c r="H49" i="27"/>
  <c r="K24" i="25"/>
  <c r="K56" i="25"/>
  <c r="K14" i="29"/>
  <c r="K52" i="26"/>
  <c r="K37" i="27"/>
  <c r="H63" i="25"/>
  <c r="K44" i="26"/>
  <c r="K54" i="25"/>
  <c r="K57" i="25"/>
  <c r="H19" i="33"/>
  <c r="K39" i="28"/>
  <c r="H31" i="33"/>
  <c r="K37" i="25"/>
  <c r="K17" i="25"/>
  <c r="K55" i="26"/>
  <c r="H46" i="27"/>
  <c r="K43" i="25"/>
  <c r="K29" i="26"/>
  <c r="H31" i="25"/>
  <c r="H23" i="33"/>
  <c r="K23" i="25"/>
  <c r="H42" i="25"/>
  <c r="K62" i="26"/>
  <c r="K50" i="25"/>
  <c r="K42" i="26"/>
  <c r="H29" i="33"/>
  <c r="K28" i="26"/>
  <c r="H46" i="25"/>
  <c r="K29" i="28"/>
  <c r="K16" i="28"/>
  <c r="K42" i="27"/>
  <c r="H24" i="33"/>
  <c r="H43" i="27"/>
  <c r="H49" i="25"/>
  <c r="H49" i="28"/>
  <c r="H44" i="25"/>
  <c r="H18" i="33"/>
  <c r="K15" i="26"/>
  <c r="K61" i="21"/>
  <c r="H20" i="25"/>
  <c r="K40" i="26"/>
  <c r="H31" i="28"/>
  <c r="K21" i="25"/>
  <c r="K10" i="29"/>
  <c r="H25" i="33"/>
  <c r="H52" i="25"/>
  <c r="H62" i="25"/>
  <c r="K38" i="27"/>
  <c r="H34" i="28"/>
  <c r="K38" i="25"/>
  <c r="K73" i="21"/>
  <c r="K27" i="27"/>
  <c r="H36" i="28"/>
  <c r="K36" i="25"/>
  <c r="H52" i="21"/>
  <c r="H14" i="33"/>
  <c r="K46" i="28"/>
  <c r="K56" i="26"/>
  <c r="K51" i="25"/>
  <c r="K63" i="26"/>
  <c r="K38" i="26"/>
  <c r="H35" i="25"/>
  <c r="K45" i="26"/>
  <c r="H33" i="25"/>
  <c r="H11" i="28"/>
  <c r="H20" i="28"/>
  <c r="K28" i="28"/>
  <c r="H13" i="29"/>
  <c r="H26" i="33"/>
  <c r="K17" i="27"/>
  <c r="K25" i="26"/>
  <c r="K35" i="27"/>
  <c r="H10" i="33"/>
  <c r="H12" i="30"/>
  <c r="H13" i="33"/>
  <c r="K57" i="26"/>
  <c r="H30" i="33"/>
  <c r="G32" i="25"/>
  <c r="G28" i="28"/>
  <c r="J32" i="25"/>
  <c r="J28" i="28"/>
  <c r="G17" i="25"/>
  <c r="G13" i="29"/>
  <c r="J17" i="25"/>
  <c r="J13" i="29"/>
  <c r="G49" i="27"/>
  <c r="G42" i="25"/>
  <c r="G60" i="25"/>
  <c r="G50" i="25"/>
  <c r="J49" i="27"/>
  <c r="J60" i="25"/>
  <c r="J42" i="25"/>
  <c r="J50" i="25"/>
  <c r="G61" i="25"/>
  <c r="G13" i="28"/>
  <c r="G16" i="27"/>
  <c r="J61" i="25"/>
  <c r="J13" i="28"/>
  <c r="J16" i="27"/>
  <c r="G10" i="33"/>
  <c r="G26" i="33"/>
  <c r="G14" i="33"/>
  <c r="G32" i="33"/>
  <c r="G23" i="33"/>
  <c r="G17" i="33"/>
  <c r="G33" i="33"/>
  <c r="G31" i="33"/>
  <c r="G30" i="33"/>
  <c r="G25" i="33"/>
  <c r="G18" i="33"/>
  <c r="G34" i="33"/>
  <c r="G19" i="33"/>
  <c r="G29" i="33"/>
  <c r="G20" i="33"/>
  <c r="G24" i="33"/>
  <c r="G13" i="33"/>
  <c r="G21" i="33"/>
  <c r="G15" i="33"/>
  <c r="G35" i="33"/>
  <c r="G11" i="33"/>
  <c r="G27" i="33"/>
  <c r="G37" i="33"/>
  <c r="J19" i="33"/>
  <c r="J30" i="33"/>
  <c r="J20" i="33"/>
  <c r="J10" i="33"/>
  <c r="J14" i="33"/>
  <c r="J29" i="33"/>
  <c r="J33" i="33"/>
  <c r="J24" i="33"/>
  <c r="J23" i="33"/>
  <c r="J34" i="33"/>
  <c r="J25" i="33"/>
  <c r="J18" i="33"/>
  <c r="J17" i="33"/>
  <c r="J32" i="33"/>
  <c r="J31" i="33"/>
  <c r="J13" i="33"/>
  <c r="J26" i="33"/>
  <c r="J15" i="33"/>
  <c r="J21" i="33"/>
  <c r="J27" i="33"/>
  <c r="J35" i="33"/>
  <c r="J11" i="33"/>
  <c r="J37" i="33"/>
  <c r="G10" i="22"/>
  <c r="J14" i="22"/>
  <c r="J35" i="22"/>
  <c r="J34" i="22"/>
  <c r="G43" i="27"/>
  <c r="G29" i="28"/>
  <c r="G42" i="27"/>
  <c r="G46" i="27"/>
  <c r="J59" i="28"/>
  <c r="J46" i="27"/>
  <c r="J43" i="27"/>
  <c r="J29" i="28"/>
  <c r="J42" i="27"/>
  <c r="J59" i="27"/>
  <c r="J60" i="27"/>
  <c r="J47" i="27"/>
  <c r="J45" i="27"/>
  <c r="J14" i="29"/>
  <c r="J31" i="28"/>
  <c r="J15" i="27"/>
  <c r="J49" i="28"/>
  <c r="J11" i="27"/>
  <c r="J50" i="27"/>
  <c r="J42" i="28"/>
  <c r="J48" i="27"/>
  <c r="J55" i="28"/>
  <c r="J45" i="28"/>
  <c r="J54" i="28"/>
  <c r="J29" i="27"/>
  <c r="J20" i="27"/>
  <c r="J26" i="28"/>
  <c r="J10" i="29"/>
  <c r="J19" i="27"/>
  <c r="J44" i="28"/>
  <c r="J16" i="28"/>
  <c r="J27" i="27"/>
  <c r="J55" i="27"/>
  <c r="J34" i="28"/>
  <c r="J52" i="28"/>
  <c r="J13" i="27"/>
  <c r="J31" i="27"/>
  <c r="J40" i="27"/>
  <c r="J32" i="27"/>
  <c r="J27" i="28"/>
  <c r="J21" i="27"/>
  <c r="J35" i="27"/>
  <c r="J36" i="28"/>
  <c r="J16" i="29"/>
  <c r="J36" i="27"/>
  <c r="J30" i="27"/>
  <c r="J11" i="28"/>
  <c r="J30" i="28"/>
  <c r="J50" i="28"/>
  <c r="J47" i="28"/>
  <c r="J52" i="27"/>
  <c r="J20" i="28"/>
  <c r="J46" i="28"/>
  <c r="J44" i="27"/>
  <c r="J41" i="28"/>
  <c r="J28" i="27"/>
  <c r="J19" i="28"/>
  <c r="J53" i="27"/>
  <c r="J21" i="28"/>
  <c r="J38" i="28"/>
  <c r="J56" i="27"/>
  <c r="J48" i="28"/>
  <c r="J37" i="27"/>
  <c r="J43" i="28"/>
  <c r="J53" i="28"/>
  <c r="J11" i="29"/>
  <c r="J39" i="28"/>
  <c r="J33" i="27"/>
  <c r="J17" i="27"/>
  <c r="J38" i="27"/>
  <c r="J12" i="30"/>
  <c r="J39" i="27"/>
  <c r="J14" i="28"/>
  <c r="J51" i="27"/>
  <c r="J32" i="28"/>
  <c r="J41" i="27"/>
  <c r="J37" i="28"/>
  <c r="J33" i="28"/>
  <c r="J35" i="28"/>
  <c r="J40" i="28"/>
  <c r="J51" i="28"/>
  <c r="J26" i="27"/>
  <c r="J10" i="30"/>
  <c r="J12" i="29"/>
  <c r="J17" i="28"/>
  <c r="J54" i="27"/>
  <c r="J11" i="30"/>
  <c r="J15" i="29"/>
  <c r="J34" i="27"/>
  <c r="J14" i="27"/>
  <c r="J15" i="28"/>
  <c r="J56" i="28"/>
  <c r="J13" i="30"/>
  <c r="J22" i="27"/>
  <c r="J57" i="27"/>
  <c r="J17" i="29"/>
  <c r="J22" i="28"/>
  <c r="J18" i="28"/>
  <c r="J18" i="27"/>
  <c r="J23" i="28"/>
  <c r="J23" i="27"/>
  <c r="J58" i="28"/>
  <c r="G12" i="27"/>
  <c r="G35" i="28"/>
  <c r="G27" i="27"/>
  <c r="G48" i="27"/>
  <c r="G11" i="29"/>
  <c r="G36" i="27"/>
  <c r="G48" i="28"/>
  <c r="G13" i="27"/>
  <c r="G28" i="27"/>
  <c r="G37" i="27"/>
  <c r="G55" i="27"/>
  <c r="G31" i="27"/>
  <c r="G44" i="27"/>
  <c r="G54" i="27"/>
  <c r="G11" i="30"/>
  <c r="G38" i="27"/>
  <c r="G41" i="28"/>
  <c r="G37" i="28"/>
  <c r="G52" i="28"/>
  <c r="G53" i="27"/>
  <c r="G49" i="28"/>
  <c r="G46" i="28"/>
  <c r="G11" i="28"/>
  <c r="G17" i="28"/>
  <c r="G39" i="27"/>
  <c r="G12" i="29"/>
  <c r="G19" i="27"/>
  <c r="G43" i="28"/>
  <c r="G38" i="28"/>
  <c r="G17" i="27"/>
  <c r="G14" i="29"/>
  <c r="G34" i="28"/>
  <c r="G10" i="30"/>
  <c r="G34" i="27"/>
  <c r="G15" i="29"/>
  <c r="G44" i="28"/>
  <c r="G32" i="27"/>
  <c r="G16" i="28"/>
  <c r="G26" i="27"/>
  <c r="G47" i="27"/>
  <c r="G35" i="27"/>
  <c r="G21" i="27"/>
  <c r="G10" i="29"/>
  <c r="G16" i="29"/>
  <c r="G51" i="27"/>
  <c r="G41" i="27"/>
  <c r="G11" i="27"/>
  <c r="G45" i="28"/>
  <c r="G51" i="28"/>
  <c r="G29" i="27"/>
  <c r="G21" i="28"/>
  <c r="G33" i="27"/>
  <c r="G52" i="27"/>
  <c r="G56" i="27"/>
  <c r="G53" i="28"/>
  <c r="G26" i="28"/>
  <c r="G19" i="28"/>
  <c r="G30" i="27"/>
  <c r="G20" i="27"/>
  <c r="G45" i="27"/>
  <c r="G12" i="30"/>
  <c r="G33" i="28"/>
  <c r="G40" i="27"/>
  <c r="G15" i="27"/>
  <c r="G50" i="27"/>
  <c r="G31" i="28"/>
  <c r="G13" i="30"/>
  <c r="G17" i="29"/>
  <c r="G22" i="27"/>
  <c r="G57" i="27"/>
  <c r="G22" i="28"/>
  <c r="G14" i="27"/>
  <c r="G56" i="28"/>
  <c r="G18" i="27"/>
  <c r="G23" i="27"/>
  <c r="G60" i="27"/>
  <c r="J43" i="2"/>
  <c r="G59" i="27"/>
  <c r="G70" i="26"/>
  <c r="G41" i="26"/>
  <c r="G25" i="26"/>
  <c r="G64" i="26"/>
  <c r="G42" i="26"/>
  <c r="G22" i="26"/>
  <c r="G47" i="26"/>
  <c r="G29" i="26"/>
  <c r="G65" i="26"/>
  <c r="G16" i="26"/>
  <c r="G20" i="26"/>
  <c r="G27" i="26"/>
  <c r="G61" i="26"/>
  <c r="G52" i="26"/>
  <c r="G37" i="26"/>
  <c r="G69" i="26"/>
  <c r="G28" i="26"/>
  <c r="G58" i="26"/>
  <c r="G66" i="26"/>
  <c r="G11" i="26"/>
  <c r="G62" i="26"/>
  <c r="G30" i="26"/>
  <c r="G67" i="26"/>
  <c r="G39" i="26"/>
  <c r="G46" i="26"/>
  <c r="G36" i="26"/>
  <c r="G19" i="26"/>
  <c r="G21" i="26"/>
  <c r="G13" i="26"/>
  <c r="G40" i="26"/>
  <c r="G48" i="26"/>
  <c r="G59" i="26"/>
  <c r="G33" i="26"/>
  <c r="G15" i="26"/>
  <c r="G53" i="26"/>
  <c r="G45" i="26"/>
  <c r="G49" i="26"/>
  <c r="G57" i="26"/>
  <c r="G60" i="26"/>
  <c r="G54" i="26"/>
  <c r="G17" i="26"/>
  <c r="G18" i="26"/>
  <c r="G43" i="26"/>
  <c r="G56" i="26"/>
  <c r="G34" i="26"/>
  <c r="G44" i="26"/>
  <c r="G55" i="26"/>
  <c r="G63" i="26"/>
  <c r="G14" i="26"/>
  <c r="G26" i="26"/>
  <c r="G38" i="26"/>
  <c r="G35" i="26"/>
  <c r="J22" i="26"/>
  <c r="J41" i="26"/>
  <c r="J61" i="26"/>
  <c r="J30" i="26"/>
  <c r="J66" i="26"/>
  <c r="J28" i="26"/>
  <c r="J11" i="26"/>
  <c r="J33" i="26"/>
  <c r="J54" i="26"/>
  <c r="J17" i="26"/>
  <c r="J29" i="26"/>
  <c r="J38" i="26"/>
  <c r="J14" i="26"/>
  <c r="J42" i="26"/>
  <c r="J60" i="26"/>
  <c r="J39" i="26"/>
  <c r="J70" i="26"/>
  <c r="J15" i="26"/>
  <c r="J19" i="26"/>
  <c r="J65" i="26"/>
  <c r="J45" i="26"/>
  <c r="J69" i="26"/>
  <c r="J64" i="26"/>
  <c r="J37" i="26"/>
  <c r="J27" i="26"/>
  <c r="J25" i="26"/>
  <c r="J26" i="26"/>
  <c r="J13" i="26"/>
  <c r="J57" i="26"/>
  <c r="J34" i="26"/>
  <c r="J48" i="26"/>
  <c r="J56" i="26"/>
  <c r="J63" i="26"/>
  <c r="J58" i="26"/>
  <c r="J43" i="26"/>
  <c r="J62" i="26"/>
  <c r="J18" i="26"/>
  <c r="J46" i="26"/>
  <c r="J59" i="26"/>
  <c r="J55" i="26"/>
  <c r="J52" i="26"/>
  <c r="J44" i="26"/>
  <c r="J49" i="26"/>
  <c r="J36" i="26"/>
  <c r="J53" i="26"/>
  <c r="J35" i="26"/>
  <c r="J20" i="26"/>
  <c r="J47" i="26"/>
  <c r="J21" i="26"/>
  <c r="J67" i="26"/>
  <c r="J40" i="26"/>
  <c r="J16" i="26"/>
  <c r="J34" i="2"/>
  <c r="J56" i="25"/>
  <c r="J57" i="25"/>
  <c r="J48" i="25"/>
  <c r="J20" i="25"/>
  <c r="J53" i="25"/>
  <c r="J47" i="25"/>
  <c r="J52" i="25"/>
  <c r="J25" i="25"/>
  <c r="J16" i="25"/>
  <c r="J24" i="25"/>
  <c r="J51" i="25"/>
  <c r="J39" i="25"/>
  <c r="J58" i="25"/>
  <c r="J49" i="25"/>
  <c r="J62" i="25"/>
  <c r="J21" i="25"/>
  <c r="J33" i="25"/>
  <c r="J13" i="25"/>
  <c r="J44" i="25"/>
  <c r="J37" i="25"/>
  <c r="J11" i="25"/>
  <c r="J18" i="25"/>
  <c r="J63" i="25"/>
  <c r="J14" i="25"/>
  <c r="J30" i="25"/>
  <c r="J31" i="25"/>
  <c r="J41" i="25"/>
  <c r="J34" i="25"/>
  <c r="J64" i="25"/>
  <c r="J23" i="25"/>
  <c r="J38" i="25"/>
  <c r="J46" i="25"/>
  <c r="J54" i="25"/>
  <c r="J45" i="25"/>
  <c r="J35" i="25"/>
  <c r="J43" i="25"/>
  <c r="J59" i="25"/>
  <c r="J15" i="25"/>
  <c r="J36" i="25"/>
  <c r="J55" i="25"/>
  <c r="J40" i="25"/>
  <c r="J65" i="25"/>
  <c r="J26" i="25"/>
  <c r="J19" i="25"/>
  <c r="J27" i="25"/>
  <c r="J67" i="25"/>
  <c r="J68" i="25"/>
  <c r="G47" i="2"/>
  <c r="G47" i="25"/>
  <c r="G64" i="25"/>
  <c r="G23" i="25"/>
  <c r="G55" i="25"/>
  <c r="G40" i="25"/>
  <c r="G15" i="25"/>
  <c r="G57" i="25"/>
  <c r="G25" i="25"/>
  <c r="G34" i="25"/>
  <c r="G63" i="25"/>
  <c r="G16" i="25"/>
  <c r="G18" i="25"/>
  <c r="G21" i="25"/>
  <c r="G24" i="25"/>
  <c r="G53" i="25"/>
  <c r="G11" i="25"/>
  <c r="G36" i="25"/>
  <c r="G30" i="25"/>
  <c r="G37" i="25"/>
  <c r="G52" i="25"/>
  <c r="G46" i="25"/>
  <c r="G31" i="25"/>
  <c r="G20" i="25"/>
  <c r="G43" i="25"/>
  <c r="G41" i="25"/>
  <c r="G44" i="25"/>
  <c r="G48" i="25"/>
  <c r="G59" i="25"/>
  <c r="G54" i="25"/>
  <c r="G33" i="25"/>
  <c r="G13" i="25"/>
  <c r="G49" i="25"/>
  <c r="G58" i="25"/>
  <c r="G39" i="25"/>
  <c r="G38" i="25"/>
  <c r="G35" i="25"/>
  <c r="G51" i="25"/>
  <c r="G45" i="25"/>
  <c r="G56" i="25"/>
  <c r="G62" i="25"/>
  <c r="G14" i="25"/>
  <c r="G19" i="25"/>
  <c r="G65" i="25"/>
  <c r="G27" i="25"/>
  <c r="G26" i="25"/>
  <c r="G67" i="25"/>
  <c r="G68" i="25"/>
  <c r="J10" i="22"/>
  <c r="J30" i="2"/>
  <c r="J46" i="2"/>
  <c r="J35" i="2"/>
  <c r="J45" i="2"/>
  <c r="J31" i="2"/>
  <c r="J32" i="2"/>
  <c r="G25" i="2"/>
  <c r="G34" i="2"/>
  <c r="J44" i="2"/>
  <c r="J47" i="2"/>
  <c r="J15" i="2"/>
  <c r="J39" i="2"/>
  <c r="J18" i="2"/>
  <c r="G13" i="22"/>
  <c r="G30" i="2"/>
  <c r="G44" i="2"/>
  <c r="G35" i="2"/>
  <c r="J48" i="2"/>
  <c r="G14" i="22"/>
  <c r="J16" i="22"/>
  <c r="G48" i="2"/>
  <c r="J15" i="22"/>
  <c r="G33" i="2"/>
  <c r="J13" i="22"/>
  <c r="J16" i="2"/>
  <c r="J12" i="22"/>
  <c r="J27" i="22"/>
  <c r="G27" i="22"/>
  <c r="G46" i="2"/>
  <c r="J33" i="2"/>
  <c r="G11" i="22"/>
  <c r="J17" i="2"/>
  <c r="J11" i="22"/>
  <c r="G31" i="2"/>
  <c r="G45" i="2"/>
  <c r="G39" i="2"/>
  <c r="G16" i="22"/>
  <c r="G32" i="2"/>
  <c r="G15" i="2"/>
  <c r="G52" i="2"/>
  <c r="G16" i="2"/>
  <c r="G17" i="2"/>
  <c r="G15" i="22"/>
  <c r="G18" i="2"/>
  <c r="I37" i="22"/>
  <c r="I39" i="22" s="1"/>
  <c r="J39" i="22" s="1"/>
  <c r="J17" i="22"/>
  <c r="G43" i="2"/>
  <c r="G19" i="2"/>
  <c r="J25" i="2"/>
  <c r="G12" i="22"/>
  <c r="F37" i="22"/>
  <c r="G17" i="22"/>
  <c r="J52" i="2"/>
  <c r="J19" i="2"/>
  <c r="F48" i="20"/>
  <c r="F31" i="20"/>
  <c r="I48" i="20"/>
  <c r="F39" i="22" l="1"/>
  <c r="G39" i="22" s="1"/>
  <c r="G44" i="20"/>
  <c r="H41" i="27"/>
  <c r="K62" i="20"/>
  <c r="H68" i="20"/>
  <c r="K15" i="20"/>
  <c r="H25" i="20"/>
  <c r="K13" i="23"/>
  <c r="H23" i="22"/>
  <c r="K22" i="22"/>
  <c r="K13" i="20"/>
  <c r="H81" i="20"/>
  <c r="H16" i="23"/>
  <c r="H68" i="21"/>
  <c r="K56" i="20"/>
  <c r="K63" i="20"/>
  <c r="K71" i="20"/>
  <c r="K26" i="22"/>
  <c r="K50" i="20"/>
  <c r="H12" i="21"/>
  <c r="H76" i="21"/>
  <c r="H33" i="27"/>
  <c r="K45" i="20"/>
  <c r="H20" i="21"/>
  <c r="H26" i="21"/>
  <c r="H15" i="21"/>
  <c r="D52" i="20"/>
  <c r="H52" i="20" s="1"/>
  <c r="K80" i="20"/>
  <c r="K53" i="21"/>
  <c r="H29" i="20"/>
  <c r="K10" i="22"/>
  <c r="H23" i="21"/>
  <c r="H51" i="20"/>
  <c r="K31" i="21"/>
  <c r="H55" i="21"/>
  <c r="K21" i="22"/>
  <c r="H11" i="29"/>
  <c r="K16" i="21"/>
  <c r="H13" i="25"/>
  <c r="K47" i="20"/>
  <c r="K14" i="25"/>
  <c r="G48" i="20"/>
  <c r="H40" i="27"/>
  <c r="K16" i="20"/>
  <c r="H75" i="20"/>
  <c r="H16" i="26"/>
  <c r="H74" i="20"/>
  <c r="K77" i="20"/>
  <c r="H72" i="20"/>
  <c r="H12" i="20"/>
  <c r="K86" i="21"/>
  <c r="G26" i="20"/>
  <c r="G41" i="20"/>
  <c r="J26" i="20"/>
  <c r="J41" i="20"/>
  <c r="H20" i="22"/>
  <c r="H41" i="28"/>
  <c r="K11" i="20"/>
  <c r="H28" i="20"/>
  <c r="K50" i="28"/>
  <c r="H24" i="20"/>
  <c r="H87" i="21"/>
  <c r="K20" i="20"/>
  <c r="H19" i="26"/>
  <c r="H11" i="25"/>
  <c r="H65" i="26"/>
  <c r="K78" i="20"/>
  <c r="K92" i="21"/>
  <c r="H69" i="21"/>
  <c r="H102" i="21"/>
  <c r="H40" i="28"/>
  <c r="H35" i="20"/>
  <c r="H39" i="20"/>
  <c r="H40" i="20"/>
  <c r="H43" i="20"/>
  <c r="H46" i="26"/>
  <c r="E24" i="22"/>
  <c r="K89" i="21"/>
  <c r="D17" i="20"/>
  <c r="K17" i="20" s="1"/>
  <c r="E31" i="22"/>
  <c r="H25" i="22"/>
  <c r="H60" i="20"/>
  <c r="K39" i="27"/>
  <c r="H36" i="20"/>
  <c r="H79" i="20"/>
  <c r="K15" i="23"/>
  <c r="H30" i="22"/>
  <c r="H59" i="21"/>
  <c r="H64" i="26"/>
  <c r="K11" i="30"/>
  <c r="K65" i="20"/>
  <c r="K14" i="23"/>
  <c r="K38" i="28"/>
  <c r="K18" i="23"/>
  <c r="E20" i="22"/>
  <c r="H51" i="28"/>
  <c r="K57" i="20"/>
  <c r="K14" i="22"/>
  <c r="K64" i="20"/>
  <c r="K83" i="20"/>
  <c r="H53" i="27"/>
  <c r="H55" i="28"/>
  <c r="H49" i="20"/>
  <c r="K49" i="20"/>
  <c r="H66" i="26"/>
  <c r="H16" i="25"/>
  <c r="H45" i="25"/>
  <c r="K32" i="21"/>
  <c r="E32" i="22"/>
  <c r="K37" i="20"/>
  <c r="H30" i="20"/>
  <c r="K14" i="20"/>
  <c r="K15" i="22"/>
  <c r="E26" i="22"/>
  <c r="H10" i="23"/>
  <c r="K19" i="27"/>
  <c r="K26" i="20"/>
  <c r="K91" i="21"/>
  <c r="K15" i="27"/>
  <c r="H58" i="25"/>
  <c r="H73" i="20"/>
  <c r="H33" i="28"/>
  <c r="K69" i="20"/>
  <c r="K12" i="22"/>
  <c r="E25" i="22"/>
  <c r="H13" i="22"/>
  <c r="H96" i="21"/>
  <c r="K40" i="21"/>
  <c r="K34" i="27"/>
  <c r="E34" i="22"/>
  <c r="E35" i="22"/>
  <c r="K55" i="27"/>
  <c r="H13" i="26"/>
  <c r="D41" i="21"/>
  <c r="H41" i="21" s="1"/>
  <c r="H36" i="27"/>
  <c r="H82" i="21"/>
  <c r="K59" i="20"/>
  <c r="E22" i="22"/>
  <c r="H35" i="26"/>
  <c r="H14" i="20"/>
  <c r="H70" i="20"/>
  <c r="H26" i="28"/>
  <c r="H83" i="21"/>
  <c r="K28" i="27"/>
  <c r="K82" i="20"/>
  <c r="H23" i="20"/>
  <c r="H61" i="20"/>
  <c r="K15" i="29"/>
  <c r="H36" i="26"/>
  <c r="H21" i="20"/>
  <c r="H16" i="22"/>
  <c r="K17" i="23"/>
  <c r="H51" i="27"/>
  <c r="K42" i="20"/>
  <c r="E23" i="22"/>
  <c r="H101" i="21"/>
  <c r="D27" i="22"/>
  <c r="K24" i="22"/>
  <c r="K67" i="20"/>
  <c r="E36" i="22"/>
  <c r="K76" i="20"/>
  <c r="H57" i="21"/>
  <c r="K66" i="21"/>
  <c r="H27" i="26"/>
  <c r="K100" i="21"/>
  <c r="E33" i="22"/>
  <c r="H12" i="23"/>
  <c r="H48" i="28"/>
  <c r="H26" i="27"/>
  <c r="K29" i="21"/>
  <c r="H58" i="26"/>
  <c r="H18" i="25"/>
  <c r="K15" i="25"/>
  <c r="K39" i="21"/>
  <c r="K84" i="21"/>
  <c r="H31" i="27"/>
  <c r="E21" i="22"/>
  <c r="D17" i="22"/>
  <c r="H39" i="21"/>
  <c r="K98" i="21"/>
  <c r="K56" i="27"/>
  <c r="K11" i="23"/>
  <c r="K10" i="30"/>
  <c r="K20" i="23"/>
  <c r="H41" i="26"/>
  <c r="K81" i="21"/>
  <c r="D27" i="20"/>
  <c r="H27" i="20" s="1"/>
  <c r="K99" i="21"/>
  <c r="K11" i="22"/>
  <c r="K32" i="25"/>
  <c r="H37" i="26"/>
  <c r="H26" i="26"/>
  <c r="H33" i="26"/>
  <c r="H21" i="27"/>
  <c r="H30" i="28"/>
  <c r="H59" i="26"/>
  <c r="H47" i="27"/>
  <c r="K37" i="28"/>
  <c r="K80" i="21"/>
  <c r="H74" i="21"/>
  <c r="D84" i="20"/>
  <c r="H44" i="28"/>
  <c r="H43" i="26"/>
  <c r="H53" i="26"/>
  <c r="H47" i="28"/>
  <c r="H54" i="27"/>
  <c r="K58" i="20"/>
  <c r="H56" i="25"/>
  <c r="H11" i="26"/>
  <c r="H53" i="28"/>
  <c r="K85" i="21"/>
  <c r="K32" i="27"/>
  <c r="K21" i="21"/>
  <c r="D22" i="23"/>
  <c r="D14" i="26"/>
  <c r="K14" i="26" s="1"/>
  <c r="H21" i="23"/>
  <c r="H44" i="27"/>
  <c r="K103" i="21"/>
  <c r="H24" i="21"/>
  <c r="K78" i="21"/>
  <c r="H30" i="27"/>
  <c r="H54" i="28"/>
  <c r="H90" i="21"/>
  <c r="K48" i="27"/>
  <c r="H53" i="25"/>
  <c r="H60" i="26"/>
  <c r="H95" i="21"/>
  <c r="H60" i="25"/>
  <c r="K79" i="21"/>
  <c r="H39" i="25"/>
  <c r="K14" i="28"/>
  <c r="H52" i="28"/>
  <c r="K30" i="21"/>
  <c r="H70" i="21"/>
  <c r="H60" i="21"/>
  <c r="K19" i="23"/>
  <c r="D19" i="25"/>
  <c r="D22" i="25" s="1"/>
  <c r="K22" i="20"/>
  <c r="K48" i="25"/>
  <c r="D21" i="26"/>
  <c r="K21" i="26" s="1"/>
  <c r="H22" i="21"/>
  <c r="K14" i="21"/>
  <c r="H32" i="28"/>
  <c r="K45" i="27"/>
  <c r="H56" i="21"/>
  <c r="H18" i="26"/>
  <c r="D25" i="21"/>
  <c r="E40" i="21" s="1"/>
  <c r="H16" i="29"/>
  <c r="K20" i="27"/>
  <c r="K25" i="25"/>
  <c r="H54" i="26"/>
  <c r="H52" i="27"/>
  <c r="D14" i="27"/>
  <c r="D18" i="27" s="1"/>
  <c r="K12" i="29"/>
  <c r="K77" i="21"/>
  <c r="H13" i="27"/>
  <c r="H20" i="26"/>
  <c r="H30" i="25"/>
  <c r="H29" i="27"/>
  <c r="K50" i="27"/>
  <c r="H88" i="21"/>
  <c r="H16" i="27"/>
  <c r="H48" i="26"/>
  <c r="K93" i="21"/>
  <c r="K50" i="21"/>
  <c r="H59" i="25"/>
  <c r="H42" i="28"/>
  <c r="K43" i="21"/>
  <c r="K62" i="25"/>
  <c r="K41" i="20"/>
  <c r="D44" i="20"/>
  <c r="H44" i="20" s="1"/>
  <c r="H41" i="20"/>
  <c r="H21" i="25"/>
  <c r="K11" i="27"/>
  <c r="K47" i="25"/>
  <c r="H13" i="28"/>
  <c r="H57" i="25"/>
  <c r="H35" i="28"/>
  <c r="H37" i="25"/>
  <c r="D22" i="27"/>
  <c r="K22" i="27" s="1"/>
  <c r="D54" i="21"/>
  <c r="D58" i="21" s="1"/>
  <c r="H11" i="27"/>
  <c r="K75" i="21"/>
  <c r="K72" i="21"/>
  <c r="K67" i="21"/>
  <c r="K71" i="21"/>
  <c r="H55" i="26"/>
  <c r="H15" i="26"/>
  <c r="K41" i="25"/>
  <c r="K13" i="21"/>
  <c r="K63" i="25"/>
  <c r="H61" i="26"/>
  <c r="H61" i="21"/>
  <c r="H39" i="28"/>
  <c r="H46" i="20"/>
  <c r="K27" i="28"/>
  <c r="K42" i="25"/>
  <c r="H39" i="26"/>
  <c r="K55" i="25"/>
  <c r="K97" i="21"/>
  <c r="H56" i="26"/>
  <c r="H34" i="26"/>
  <c r="H17" i="28"/>
  <c r="H43" i="28"/>
  <c r="H46" i="28"/>
  <c r="K49" i="27"/>
  <c r="K34" i="28"/>
  <c r="H45" i="28"/>
  <c r="D22" i="28"/>
  <c r="H22" i="28" s="1"/>
  <c r="H62" i="26"/>
  <c r="H16" i="28"/>
  <c r="H47" i="26"/>
  <c r="K20" i="25"/>
  <c r="K64" i="25"/>
  <c r="H27" i="27"/>
  <c r="H61" i="25"/>
  <c r="H94" i="21"/>
  <c r="K35" i="25"/>
  <c r="H57" i="26"/>
  <c r="H24" i="25"/>
  <c r="H37" i="27"/>
  <c r="H52" i="26"/>
  <c r="H40" i="25"/>
  <c r="H36" i="25"/>
  <c r="H42" i="26"/>
  <c r="H14" i="29"/>
  <c r="H44" i="26"/>
  <c r="H51" i="25"/>
  <c r="D62" i="21"/>
  <c r="K62" i="21" s="1"/>
  <c r="H38" i="27"/>
  <c r="H54" i="25"/>
  <c r="H21" i="28"/>
  <c r="D33" i="21"/>
  <c r="E43" i="21" s="1"/>
  <c r="H43" i="25"/>
  <c r="H42" i="27"/>
  <c r="H40" i="26"/>
  <c r="K46" i="27"/>
  <c r="H38" i="26"/>
  <c r="H38" i="25"/>
  <c r="H63" i="26"/>
  <c r="H50" i="25"/>
  <c r="K31" i="28"/>
  <c r="H17" i="25"/>
  <c r="H45" i="26"/>
  <c r="H29" i="26"/>
  <c r="H34" i="25"/>
  <c r="K52" i="25"/>
  <c r="D27" i="33"/>
  <c r="H10" i="29"/>
  <c r="H29" i="28"/>
  <c r="K44" i="25"/>
  <c r="K52" i="21"/>
  <c r="K36" i="28"/>
  <c r="K33" i="25"/>
  <c r="D56" i="28"/>
  <c r="D11" i="33"/>
  <c r="H28" i="26"/>
  <c r="D26" i="25"/>
  <c r="K26" i="25" s="1"/>
  <c r="K49" i="28"/>
  <c r="D15" i="28"/>
  <c r="K15" i="28" s="1"/>
  <c r="K46" i="25"/>
  <c r="H23" i="25"/>
  <c r="D49" i="26"/>
  <c r="K49" i="25"/>
  <c r="D65" i="25"/>
  <c r="K31" i="25"/>
  <c r="D104" i="21"/>
  <c r="H73" i="21"/>
  <c r="D15" i="33"/>
  <c r="D21" i="33"/>
  <c r="H17" i="27"/>
  <c r="K43" i="27"/>
  <c r="K20" i="28"/>
  <c r="K12" i="30"/>
  <c r="K19" i="28"/>
  <c r="H25" i="26"/>
  <c r="D30" i="26"/>
  <c r="D57" i="27"/>
  <c r="H19" i="28"/>
  <c r="D17" i="29"/>
  <c r="D17" i="21"/>
  <c r="H28" i="28"/>
  <c r="K13" i="29"/>
  <c r="D67" i="26"/>
  <c r="K11" i="28"/>
  <c r="D13" i="30"/>
  <c r="D35" i="33"/>
  <c r="H35" i="27"/>
  <c r="J36" i="20"/>
  <c r="J42" i="20"/>
  <c r="J39" i="20"/>
  <c r="J35" i="20"/>
  <c r="J40" i="20"/>
  <c r="J37" i="20"/>
  <c r="J44" i="20"/>
  <c r="J43" i="20"/>
  <c r="J48" i="20"/>
  <c r="G37" i="20"/>
  <c r="G39" i="20"/>
  <c r="G43" i="20"/>
  <c r="G40" i="20"/>
  <c r="G36" i="20"/>
  <c r="G42" i="20"/>
  <c r="G35" i="20"/>
  <c r="G37" i="22"/>
  <c r="J37" i="22"/>
  <c r="G52" i="20"/>
  <c r="G46" i="20"/>
  <c r="J17" i="20"/>
  <c r="J46" i="20"/>
  <c r="G84" i="20"/>
  <c r="J52" i="20"/>
  <c r="G27" i="20"/>
  <c r="J27" i="20"/>
  <c r="G27" i="2"/>
  <c r="J27" i="2"/>
  <c r="G17" i="20"/>
  <c r="F53" i="20"/>
  <c r="G31" i="20"/>
  <c r="G83" i="20"/>
  <c r="G68" i="20"/>
  <c r="G49" i="20"/>
  <c r="G20" i="20"/>
  <c r="G50" i="20"/>
  <c r="G24" i="20"/>
  <c r="G51" i="20"/>
  <c r="G13" i="20"/>
  <c r="G60" i="20"/>
  <c r="G12" i="20"/>
  <c r="G56" i="20"/>
  <c r="G30" i="20"/>
  <c r="G71" i="20"/>
  <c r="G65" i="20"/>
  <c r="G23" i="20"/>
  <c r="G21" i="20"/>
  <c r="G72" i="20"/>
  <c r="G64" i="20"/>
  <c r="G80" i="20"/>
  <c r="G57" i="20"/>
  <c r="G66" i="20"/>
  <c r="G78" i="20"/>
  <c r="G11" i="20"/>
  <c r="G79" i="20"/>
  <c r="G82" i="20"/>
  <c r="G59" i="20"/>
  <c r="G70" i="20"/>
  <c r="G63" i="20"/>
  <c r="G81" i="20"/>
  <c r="G45" i="20"/>
  <c r="G29" i="20"/>
  <c r="G58" i="20"/>
  <c r="G16" i="20"/>
  <c r="G67" i="20"/>
  <c r="G62" i="20"/>
  <c r="G77" i="20"/>
  <c r="G74" i="20"/>
  <c r="G76" i="20"/>
  <c r="G14" i="20"/>
  <c r="G73" i="20"/>
  <c r="G47" i="20"/>
  <c r="G75" i="20"/>
  <c r="G69" i="20"/>
  <c r="G61" i="20"/>
  <c r="G25" i="20"/>
  <c r="G15" i="20"/>
  <c r="G28" i="20"/>
  <c r="G22" i="20"/>
  <c r="J31" i="20"/>
  <c r="J59" i="20"/>
  <c r="J83" i="20"/>
  <c r="J82" i="20"/>
  <c r="J66" i="20"/>
  <c r="J80" i="20"/>
  <c r="J78" i="20"/>
  <c r="J63" i="20"/>
  <c r="J56" i="20"/>
  <c r="J45" i="20"/>
  <c r="J12" i="20"/>
  <c r="J21" i="20"/>
  <c r="J58" i="20"/>
  <c r="J23" i="20"/>
  <c r="J62" i="20"/>
  <c r="J15" i="20"/>
  <c r="J20" i="20"/>
  <c r="J29" i="20"/>
  <c r="J50" i="20"/>
  <c r="J16" i="20"/>
  <c r="J60" i="20"/>
  <c r="J69" i="20"/>
  <c r="J77" i="20"/>
  <c r="J74" i="20"/>
  <c r="J81" i="20"/>
  <c r="J28" i="20"/>
  <c r="J67" i="20"/>
  <c r="J64" i="20"/>
  <c r="J76" i="20"/>
  <c r="J49" i="20"/>
  <c r="J79" i="20"/>
  <c r="J73" i="20"/>
  <c r="J71" i="20"/>
  <c r="J57" i="20"/>
  <c r="J61" i="20"/>
  <c r="J47" i="20"/>
  <c r="J30" i="20"/>
  <c r="J11" i="20"/>
  <c r="J68" i="20"/>
  <c r="J51" i="20"/>
  <c r="J25" i="20"/>
  <c r="J24" i="20"/>
  <c r="J72" i="20"/>
  <c r="J75" i="20"/>
  <c r="J70" i="20"/>
  <c r="J22" i="20"/>
  <c r="J14" i="20"/>
  <c r="J13" i="20"/>
  <c r="J65" i="20"/>
  <c r="J84" i="20"/>
  <c r="I53" i="20"/>
  <c r="H49" i="26" l="1"/>
  <c r="H84" i="20"/>
  <c r="K30" i="26"/>
  <c r="H67" i="26"/>
  <c r="H27" i="33"/>
  <c r="E20" i="23"/>
  <c r="D24" i="23"/>
  <c r="D37" i="22"/>
  <c r="H17" i="20"/>
  <c r="K52" i="20"/>
  <c r="K41" i="21"/>
  <c r="K33" i="22"/>
  <c r="E12" i="22"/>
  <c r="D27" i="25"/>
  <c r="H32" i="22"/>
  <c r="H21" i="26"/>
  <c r="E30" i="22"/>
  <c r="D44" i="21"/>
  <c r="K84" i="20"/>
  <c r="H27" i="22"/>
  <c r="K30" i="22"/>
  <c r="K32" i="22"/>
  <c r="K31" i="22"/>
  <c r="H33" i="22"/>
  <c r="E14" i="22"/>
  <c r="E17" i="22"/>
  <c r="E10" i="22"/>
  <c r="H35" i="22"/>
  <c r="K27" i="22"/>
  <c r="H36" i="22"/>
  <c r="E15" i="22"/>
  <c r="H31" i="22"/>
  <c r="E27" i="22"/>
  <c r="D31" i="20"/>
  <c r="E11" i="22"/>
  <c r="E13" i="22"/>
  <c r="K22" i="23"/>
  <c r="E21" i="23"/>
  <c r="E15" i="23"/>
  <c r="K34" i="22"/>
  <c r="E19" i="23"/>
  <c r="K35" i="22"/>
  <c r="E10" i="23"/>
  <c r="E22" i="23"/>
  <c r="E17" i="23"/>
  <c r="H34" i="22"/>
  <c r="H104" i="21"/>
  <c r="K36" i="22"/>
  <c r="E16" i="23"/>
  <c r="H19" i="25"/>
  <c r="D48" i="20"/>
  <c r="H48" i="20" s="1"/>
  <c r="K44" i="20"/>
  <c r="K27" i="20"/>
  <c r="E16" i="22"/>
  <c r="K17" i="22"/>
  <c r="H17" i="22"/>
  <c r="K19" i="21"/>
  <c r="K33" i="21"/>
  <c r="K19" i="25"/>
  <c r="H22" i="23"/>
  <c r="E12" i="23"/>
  <c r="E14" i="23"/>
  <c r="H14" i="26"/>
  <c r="E13" i="23"/>
  <c r="E11" i="23"/>
  <c r="D17" i="26"/>
  <c r="K17" i="26" s="1"/>
  <c r="E18" i="23"/>
  <c r="H19" i="21"/>
  <c r="H14" i="27"/>
  <c r="K14" i="27"/>
  <c r="K22" i="28"/>
  <c r="H65" i="25"/>
  <c r="H33" i="21"/>
  <c r="H54" i="21"/>
  <c r="H22" i="27"/>
  <c r="K54" i="21"/>
  <c r="D18" i="28"/>
  <c r="D23" i="28" s="1"/>
  <c r="H62" i="21"/>
  <c r="K56" i="28"/>
  <c r="H56" i="28"/>
  <c r="H30" i="26"/>
  <c r="K65" i="25"/>
  <c r="H11" i="33"/>
  <c r="K67" i="26"/>
  <c r="H21" i="33"/>
  <c r="H26" i="25"/>
  <c r="H15" i="33"/>
  <c r="K49" i="26"/>
  <c r="H57" i="27"/>
  <c r="K104" i="21"/>
  <c r="K57" i="27"/>
  <c r="H17" i="29"/>
  <c r="K17" i="29"/>
  <c r="H11" i="21"/>
  <c r="K11" i="21"/>
  <c r="D69" i="26"/>
  <c r="H35" i="33"/>
  <c r="D37" i="33"/>
  <c r="K13" i="30"/>
  <c r="H13" i="30"/>
  <c r="F86" i="20"/>
  <c r="J53" i="20"/>
  <c r="D27" i="21"/>
  <c r="H27" i="21" s="1"/>
  <c r="E39" i="21"/>
  <c r="H58" i="21"/>
  <c r="K58" i="21"/>
  <c r="D63" i="21"/>
  <c r="K25" i="21"/>
  <c r="H25" i="21"/>
  <c r="K17" i="21"/>
  <c r="H17" i="21"/>
  <c r="K18" i="27"/>
  <c r="H18" i="27"/>
  <c r="D23" i="27"/>
  <c r="K22" i="25"/>
  <c r="H22" i="25"/>
  <c r="J37" i="2"/>
  <c r="G53" i="20"/>
  <c r="G37" i="2"/>
  <c r="I86" i="20"/>
  <c r="C4" i="33"/>
  <c r="D70" i="26" l="1"/>
  <c r="K70" i="26" s="1"/>
  <c r="E42" i="20"/>
  <c r="E24" i="23"/>
  <c r="H37" i="33"/>
  <c r="D39" i="22"/>
  <c r="E39" i="22" s="1"/>
  <c r="K24" i="23"/>
  <c r="H24" i="23"/>
  <c r="E35" i="20"/>
  <c r="E36" i="20"/>
  <c r="K27" i="25"/>
  <c r="H27" i="25"/>
  <c r="D67" i="25"/>
  <c r="E31" i="20"/>
  <c r="E41" i="20"/>
  <c r="E37" i="20"/>
  <c r="E44" i="20"/>
  <c r="E24" i="20"/>
  <c r="E39" i="20"/>
  <c r="K44" i="21"/>
  <c r="E40" i="20"/>
  <c r="H44" i="21"/>
  <c r="E43" i="20"/>
  <c r="E48" i="20"/>
  <c r="E11" i="20"/>
  <c r="E28" i="20"/>
  <c r="E81" i="20"/>
  <c r="E61" i="20"/>
  <c r="E57" i="20"/>
  <c r="E65" i="20"/>
  <c r="E50" i="20"/>
  <c r="E26" i="20"/>
  <c r="E64" i="20"/>
  <c r="E68" i="20"/>
  <c r="E51" i="20"/>
  <c r="E14" i="20"/>
  <c r="E74" i="20"/>
  <c r="E21" i="20"/>
  <c r="E25" i="20"/>
  <c r="E60" i="20"/>
  <c r="E82" i="20"/>
  <c r="E49" i="20"/>
  <c r="E75" i="20"/>
  <c r="E56" i="20"/>
  <c r="E29" i="20"/>
  <c r="E72" i="20"/>
  <c r="E13" i="20"/>
  <c r="E15" i="20"/>
  <c r="H31" i="20"/>
  <c r="E30" i="20"/>
  <c r="E78" i="20"/>
  <c r="E62" i="20"/>
  <c r="E63" i="20"/>
  <c r="K31" i="20"/>
  <c r="E80" i="20"/>
  <c r="E16" i="20"/>
  <c r="E83" i="20"/>
  <c r="E76" i="20"/>
  <c r="E45" i="20"/>
  <c r="E69" i="20"/>
  <c r="E59" i="20"/>
  <c r="E66" i="20"/>
  <c r="E67" i="20"/>
  <c r="E84" i="20"/>
  <c r="E46" i="20"/>
  <c r="E47" i="20"/>
  <c r="E20" i="20"/>
  <c r="E52" i="20"/>
  <c r="E77" i="20"/>
  <c r="E71" i="20"/>
  <c r="E79" i="20"/>
  <c r="E58" i="20"/>
  <c r="E27" i="20"/>
  <c r="E73" i="20"/>
  <c r="E70" i="20"/>
  <c r="E17" i="20"/>
  <c r="E22" i="20"/>
  <c r="E12" i="20"/>
  <c r="E23" i="20"/>
  <c r="D53" i="20"/>
  <c r="H17" i="26"/>
  <c r="K48" i="20"/>
  <c r="D22" i="26"/>
  <c r="K23" i="28"/>
  <c r="K18" i="28"/>
  <c r="D58" i="28"/>
  <c r="K69" i="26"/>
  <c r="H69" i="26"/>
  <c r="F87" i="20"/>
  <c r="G87" i="20" s="1"/>
  <c r="G86" i="20"/>
  <c r="J86" i="20"/>
  <c r="D106" i="21"/>
  <c r="H63" i="21"/>
  <c r="K63" i="21"/>
  <c r="E41" i="21"/>
  <c r="K27" i="21"/>
  <c r="D35" i="21"/>
  <c r="C4" i="30"/>
  <c r="C4" i="29"/>
  <c r="C4" i="28"/>
  <c r="C4" i="27"/>
  <c r="C4" i="26"/>
  <c r="C4" i="25"/>
  <c r="K23" i="27"/>
  <c r="H23" i="27"/>
  <c r="D59" i="27"/>
  <c r="C4" i="23"/>
  <c r="C4" i="22"/>
  <c r="C4" i="21"/>
  <c r="C4" i="20"/>
  <c r="G40" i="2"/>
  <c r="J40" i="2"/>
  <c r="I87" i="20"/>
  <c r="J87" i="20" s="1"/>
  <c r="H39" i="22" l="1"/>
  <c r="K39" i="22"/>
  <c r="H22" i="26"/>
  <c r="H70" i="26"/>
  <c r="H53" i="20"/>
  <c r="E52" i="21"/>
  <c r="D68" i="25"/>
  <c r="K68" i="25" s="1"/>
  <c r="H67" i="25"/>
  <c r="K67" i="25"/>
  <c r="K22" i="26"/>
  <c r="E53" i="20"/>
  <c r="D86" i="20"/>
  <c r="K53" i="20"/>
  <c r="K58" i="28"/>
  <c r="D59" i="28"/>
  <c r="K59" i="28" s="1"/>
  <c r="E26" i="21"/>
  <c r="H106" i="21"/>
  <c r="K106" i="21"/>
  <c r="E27" i="21"/>
  <c r="E95" i="21"/>
  <c r="E94" i="21"/>
  <c r="E82" i="21"/>
  <c r="E70" i="21"/>
  <c r="E56" i="21"/>
  <c r="E33" i="21"/>
  <c r="E23" i="21"/>
  <c r="E102" i="21"/>
  <c r="E50" i="21"/>
  <c r="E101" i="21"/>
  <c r="E63" i="21"/>
  <c r="E14" i="21"/>
  <c r="E106" i="21"/>
  <c r="E93" i="21"/>
  <c r="E81" i="21"/>
  <c r="E69" i="21"/>
  <c r="E55" i="21"/>
  <c r="E32" i="21"/>
  <c r="E24" i="21"/>
  <c r="E100" i="21"/>
  <c r="E88" i="21"/>
  <c r="E76" i="21"/>
  <c r="E62" i="21"/>
  <c r="E44" i="21"/>
  <c r="E15" i="21"/>
  <c r="E99" i="21"/>
  <c r="E87" i="21"/>
  <c r="E75" i="21"/>
  <c r="E61" i="21"/>
  <c r="E16" i="21"/>
  <c r="E98" i="21"/>
  <c r="E86" i="21"/>
  <c r="E74" i="21"/>
  <c r="E60" i="21"/>
  <c r="E19" i="21"/>
  <c r="E17" i="21"/>
  <c r="E104" i="21"/>
  <c r="E92" i="21"/>
  <c r="E80" i="21"/>
  <c r="E68" i="21"/>
  <c r="E54" i="21"/>
  <c r="E31" i="21"/>
  <c r="E11" i="21"/>
  <c r="E78" i="21"/>
  <c r="E66" i="21"/>
  <c r="E13" i="21"/>
  <c r="E89" i="21"/>
  <c r="E77" i="21"/>
  <c r="E25" i="21"/>
  <c r="E103" i="21"/>
  <c r="E91" i="21"/>
  <c r="E79" i="21"/>
  <c r="E67" i="21"/>
  <c r="E53" i="21"/>
  <c r="E30" i="21"/>
  <c r="E12" i="21"/>
  <c r="E90" i="21"/>
  <c r="E29" i="21"/>
  <c r="E97" i="21"/>
  <c r="E85" i="21"/>
  <c r="E73" i="21"/>
  <c r="E59" i="21"/>
  <c r="E20" i="21"/>
  <c r="E96" i="21"/>
  <c r="E84" i="21"/>
  <c r="E72" i="21"/>
  <c r="E58" i="21"/>
  <c r="E21" i="21"/>
  <c r="D46" i="21"/>
  <c r="E83" i="21"/>
  <c r="E71" i="21"/>
  <c r="E57" i="21"/>
  <c r="E35" i="21"/>
  <c r="E22" i="21"/>
  <c r="K35" i="21"/>
  <c r="H35" i="21"/>
  <c r="K59" i="27"/>
  <c r="H59" i="27"/>
  <c r="D60" i="27"/>
  <c r="J50" i="2"/>
  <c r="G50" i="2"/>
  <c r="H86" i="20" l="1"/>
  <c r="H68" i="25"/>
  <c r="E86" i="20"/>
  <c r="D87" i="20"/>
  <c r="E87" i="20" s="1"/>
  <c r="K86" i="20"/>
  <c r="G53" i="2"/>
  <c r="J53" i="2"/>
  <c r="E46" i="21"/>
  <c r="D107" i="21"/>
  <c r="K46" i="21"/>
  <c r="H46" i="21"/>
  <c r="K60" i="27"/>
  <c r="H60" i="27"/>
  <c r="H9" i="2"/>
  <c r="H87" i="20" l="1"/>
  <c r="K87" i="20"/>
  <c r="E107" i="21"/>
  <c r="K107" i="21"/>
  <c r="H107" i="21"/>
  <c r="H24" i="2"/>
  <c r="K24" i="2"/>
  <c r="K31" i="2"/>
  <c r="H31" i="2"/>
  <c r="K34" i="2"/>
  <c r="H34" i="2"/>
  <c r="H30" i="2"/>
  <c r="K30" i="2"/>
  <c r="K33" i="2"/>
  <c r="H33" i="2"/>
  <c r="K22" i="2"/>
  <c r="H22" i="2"/>
  <c r="E22" i="2"/>
  <c r="H46" i="2"/>
  <c r="K46" i="2"/>
  <c r="K9" i="2"/>
  <c r="K10" i="2"/>
  <c r="H10" i="2"/>
  <c r="K32" i="2"/>
  <c r="H32" i="2"/>
  <c r="K23" i="2"/>
  <c r="E23" i="2"/>
  <c r="H23" i="2"/>
  <c r="H44" i="2"/>
  <c r="K44" i="2"/>
  <c r="K16" i="2"/>
  <c r="H16" i="2"/>
  <c r="K18" i="2"/>
  <c r="K15" i="2"/>
  <c r="H15" i="2"/>
  <c r="H17" i="2"/>
  <c r="E32" i="25" l="1"/>
  <c r="E28" i="28"/>
  <c r="E17" i="25"/>
  <c r="E13" i="29"/>
  <c r="E49" i="27"/>
  <c r="E42" i="25"/>
  <c r="E50" i="25"/>
  <c r="E60" i="25"/>
  <c r="E61" i="25"/>
  <c r="E16" i="27"/>
  <c r="E13" i="28"/>
  <c r="E18" i="33"/>
  <c r="E14" i="33"/>
  <c r="E20" i="33"/>
  <c r="E26" i="33"/>
  <c r="E19" i="33"/>
  <c r="E30" i="33"/>
  <c r="E32" i="33"/>
  <c r="E24" i="33"/>
  <c r="E25" i="33"/>
  <c r="E31" i="33"/>
  <c r="E33" i="33"/>
  <c r="E34" i="33"/>
  <c r="E23" i="33"/>
  <c r="E10" i="33"/>
  <c r="E29" i="33"/>
  <c r="E17" i="33"/>
  <c r="E13" i="33"/>
  <c r="E15" i="33"/>
  <c r="E35" i="33"/>
  <c r="E21" i="33"/>
  <c r="E27" i="33"/>
  <c r="E11" i="33"/>
  <c r="E37" i="33"/>
  <c r="E29" i="28"/>
  <c r="E43" i="27"/>
  <c r="E42" i="27"/>
  <c r="E46" i="27"/>
  <c r="E16" i="25"/>
  <c r="E14" i="25"/>
  <c r="E15" i="25"/>
  <c r="E13" i="25"/>
  <c r="E18" i="25"/>
  <c r="E19" i="25"/>
  <c r="E22" i="25"/>
  <c r="E27" i="25"/>
  <c r="E67" i="25"/>
  <c r="E68" i="25"/>
  <c r="E46" i="25"/>
  <c r="E25" i="25"/>
  <c r="E40" i="25"/>
  <c r="E35" i="25"/>
  <c r="E48" i="25"/>
  <c r="E31" i="25"/>
  <c r="E38" i="25"/>
  <c r="E20" i="25"/>
  <c r="E41" i="25"/>
  <c r="E47" i="25"/>
  <c r="E37" i="25"/>
  <c r="E21" i="25"/>
  <c r="E30" i="25"/>
  <c r="E52" i="25"/>
  <c r="E24" i="25"/>
  <c r="E44" i="25"/>
  <c r="E64" i="25"/>
  <c r="E43" i="25"/>
  <c r="E53" i="25"/>
  <c r="E36" i="25"/>
  <c r="E59" i="25"/>
  <c r="E62" i="25"/>
  <c r="E54" i="25"/>
  <c r="E51" i="25"/>
  <c r="E57" i="25"/>
  <c r="E56" i="25"/>
  <c r="E55" i="25"/>
  <c r="E34" i="25"/>
  <c r="E58" i="25"/>
  <c r="E63" i="25"/>
  <c r="E39" i="25"/>
  <c r="E33" i="25"/>
  <c r="E49" i="25"/>
  <c r="E45" i="25"/>
  <c r="E23" i="25"/>
  <c r="E26" i="25"/>
  <c r="E65" i="25"/>
  <c r="E11" i="30"/>
  <c r="E50" i="28"/>
  <c r="G50" i="28" s="1"/>
  <c r="E11" i="29"/>
  <c r="E36" i="28"/>
  <c r="G36" i="28" s="1"/>
  <c r="E34" i="28"/>
  <c r="E17" i="27"/>
  <c r="E26" i="27"/>
  <c r="E55" i="27"/>
  <c r="E21" i="28"/>
  <c r="E44" i="28"/>
  <c r="E46" i="28"/>
  <c r="E10" i="29"/>
  <c r="E44" i="27"/>
  <c r="E36" i="27"/>
  <c r="E13" i="27"/>
  <c r="E20" i="28"/>
  <c r="G20" i="28" s="1"/>
  <c r="E52" i="28"/>
  <c r="E52" i="27"/>
  <c r="E50" i="27"/>
  <c r="E40" i="27"/>
  <c r="E48" i="27"/>
  <c r="E51" i="28"/>
  <c r="E41" i="28"/>
  <c r="E14" i="29"/>
  <c r="E48" i="28"/>
  <c r="E32" i="27"/>
  <c r="E53" i="27"/>
  <c r="E14" i="28"/>
  <c r="G14" i="28" s="1"/>
  <c r="E49" i="28"/>
  <c r="E54" i="28"/>
  <c r="G54" i="28" s="1"/>
  <c r="E15" i="29"/>
  <c r="E42" i="28"/>
  <c r="G42" i="28" s="1"/>
  <c r="E17" i="28"/>
  <c r="E35" i="28"/>
  <c r="E20" i="27"/>
  <c r="E47" i="27"/>
  <c r="E40" i="28"/>
  <c r="G40" i="28" s="1"/>
  <c r="E31" i="27"/>
  <c r="E15" i="27"/>
  <c r="E37" i="28"/>
  <c r="E12" i="29"/>
  <c r="E38" i="27"/>
  <c r="E54" i="27"/>
  <c r="E39" i="27"/>
  <c r="E33" i="28"/>
  <c r="E16" i="28"/>
  <c r="E33" i="27"/>
  <c r="E41" i="27"/>
  <c r="E16" i="29"/>
  <c r="E12" i="30"/>
  <c r="E55" i="28"/>
  <c r="G55" i="28" s="1"/>
  <c r="E30" i="28"/>
  <c r="G30" i="28" s="1"/>
  <c r="E56" i="27"/>
  <c r="E34" i="27"/>
  <c r="E37" i="27"/>
  <c r="E21" i="27"/>
  <c r="E45" i="27"/>
  <c r="E30" i="27"/>
  <c r="E35" i="27"/>
  <c r="E38" i="28"/>
  <c r="E39" i="28"/>
  <c r="G39" i="28" s="1"/>
  <c r="E45" i="28"/>
  <c r="E53" i="28"/>
  <c r="E51" i="27"/>
  <c r="E32" i="28"/>
  <c r="G32" i="28" s="1"/>
  <c r="E27" i="28"/>
  <c r="G27" i="28" s="1"/>
  <c r="E43" i="28"/>
  <c r="E27" i="27"/>
  <c r="E28" i="27"/>
  <c r="E31" i="28"/>
  <c r="E47" i="28"/>
  <c r="G47" i="28" s="1"/>
  <c r="E29" i="27"/>
  <c r="E19" i="28"/>
  <c r="E11" i="27"/>
  <c r="E19" i="27"/>
  <c r="E26" i="28"/>
  <c r="E17" i="29"/>
  <c r="E10" i="30"/>
  <c r="E11" i="28"/>
  <c r="E56" i="28"/>
  <c r="E15" i="28"/>
  <c r="E22" i="27"/>
  <c r="E57" i="27"/>
  <c r="E14" i="27"/>
  <c r="E22" i="28"/>
  <c r="E23" i="28"/>
  <c r="E18" i="28"/>
  <c r="E18" i="27"/>
  <c r="E58" i="28"/>
  <c r="E23" i="27"/>
  <c r="E59" i="28"/>
  <c r="E59" i="27"/>
  <c r="E60" i="27"/>
  <c r="E12" i="27"/>
  <c r="E65" i="26"/>
  <c r="E40" i="26"/>
  <c r="E44" i="26"/>
  <c r="E43" i="26"/>
  <c r="E58" i="26"/>
  <c r="E53" i="26"/>
  <c r="E64" i="26"/>
  <c r="E55" i="26"/>
  <c r="E54" i="26"/>
  <c r="E15" i="26"/>
  <c r="E19" i="26"/>
  <c r="E41" i="26"/>
  <c r="E28" i="26"/>
  <c r="E13" i="26"/>
  <c r="E66" i="26"/>
  <c r="E45" i="26"/>
  <c r="E61" i="26"/>
  <c r="E39" i="26"/>
  <c r="E48" i="26"/>
  <c r="E36" i="26"/>
  <c r="E42" i="26"/>
  <c r="E34" i="26"/>
  <c r="E38" i="26"/>
  <c r="E59" i="26"/>
  <c r="E16" i="26"/>
  <c r="E46" i="26"/>
  <c r="E37" i="26"/>
  <c r="E20" i="26"/>
  <c r="E63" i="26"/>
  <c r="E27" i="26"/>
  <c r="E60" i="26"/>
  <c r="E57" i="26"/>
  <c r="E56" i="26"/>
  <c r="E35" i="26"/>
  <c r="E47" i="26"/>
  <c r="E62" i="26"/>
  <c r="E29" i="26"/>
  <c r="E26" i="26"/>
  <c r="E11" i="26"/>
  <c r="E33" i="26"/>
  <c r="E52" i="26"/>
  <c r="E18" i="26"/>
  <c r="E17" i="26"/>
  <c r="E49" i="26"/>
  <c r="E21" i="26"/>
  <c r="E67" i="26"/>
  <c r="E30" i="26"/>
  <c r="E14" i="26"/>
  <c r="E69" i="26"/>
  <c r="E22" i="26"/>
  <c r="E70" i="26"/>
  <c r="E32" i="2"/>
  <c r="E11" i="25"/>
  <c r="E16" i="2"/>
  <c r="E18" i="2"/>
  <c r="E17" i="2"/>
  <c r="E44" i="2"/>
  <c r="E34" i="2"/>
  <c r="E15" i="2"/>
  <c r="E30" i="2"/>
  <c r="E46" i="2"/>
  <c r="E33" i="2"/>
  <c r="E31" i="2"/>
  <c r="K11" i="2"/>
  <c r="H11" i="2"/>
  <c r="K19" i="2"/>
  <c r="H19" i="2"/>
  <c r="E19" i="2"/>
  <c r="K12" i="2"/>
  <c r="H12" i="2"/>
  <c r="K35" i="2"/>
  <c r="H35" i="2"/>
  <c r="E35" i="2"/>
  <c r="H25" i="2"/>
  <c r="E25" i="2"/>
  <c r="K25" i="2"/>
  <c r="H13" i="2"/>
  <c r="K13" i="2"/>
  <c r="F18" i="28" l="1"/>
  <c r="G15" i="28"/>
  <c r="H15" i="28"/>
  <c r="K39" i="2"/>
  <c r="H39" i="2"/>
  <c r="E39" i="2"/>
  <c r="H27" i="2"/>
  <c r="E27" i="2"/>
  <c r="K27" i="2"/>
  <c r="H40" i="2" l="1"/>
  <c r="G18" i="28"/>
  <c r="F23" i="28"/>
  <c r="H18" i="28"/>
  <c r="H43" i="2"/>
  <c r="E43" i="2"/>
  <c r="K43" i="2"/>
  <c r="K37" i="2"/>
  <c r="H37" i="2"/>
  <c r="E37" i="2"/>
  <c r="K40" i="2" l="1"/>
  <c r="E40" i="2"/>
  <c r="G23" i="28"/>
  <c r="F58" i="28"/>
  <c r="H23" i="28"/>
  <c r="K47" i="2"/>
  <c r="H47" i="2"/>
  <c r="E47" i="2"/>
  <c r="H45" i="2"/>
  <c r="E45" i="2"/>
  <c r="K45" i="2"/>
  <c r="F59" i="28" l="1"/>
  <c r="G58" i="28"/>
  <c r="H58" i="28"/>
  <c r="K48" i="2"/>
  <c r="E48" i="2"/>
  <c r="H48" i="2"/>
  <c r="G59" i="28" l="1"/>
  <c r="H59" i="28"/>
  <c r="K50" i="2"/>
  <c r="H50" i="2"/>
  <c r="E50" i="2"/>
  <c r="K52" i="2" l="1"/>
  <c r="H52" i="2"/>
  <c r="E52" i="2"/>
  <c r="K53" i="2" l="1"/>
  <c r="H53" i="2"/>
  <c r="E53" i="2"/>
  <c r="E37" i="22" l="1"/>
  <c r="H37" i="22"/>
  <c r="K3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Ellie Galiardo</author>
  </authors>
  <commentList>
    <comment ref="C53" authorId="0" shapeId="0" xr:uid="{6502FAB6-068D-4A01-9917-20A0228E9B90}">
      <text>
        <r>
          <rPr>
            <b/>
            <sz val="9"/>
            <color indexed="81"/>
            <rFont val="Tahoma"/>
            <family val="2"/>
          </rPr>
          <t>Ellie Galiardo:</t>
        </r>
        <r>
          <rPr>
            <sz val="9"/>
            <color indexed="81"/>
            <rFont val="Tahoma"/>
            <family val="2"/>
          </rPr>
          <t xml:space="preserve">
"Shared Payroll"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Ellie Galiardo</author>
  </authors>
  <commentList>
    <comment ref="C14" authorId="0" shapeId="0" xr:uid="{F9D20AAE-9F92-49B9-869A-9AD294EB3F25}">
      <text>
        <r>
          <rPr>
            <b/>
            <sz val="9"/>
            <color indexed="81"/>
            <rFont val="Tahoma"/>
            <family val="2"/>
          </rPr>
          <t>Ellie Galiardo:</t>
        </r>
        <r>
          <rPr>
            <sz val="9"/>
            <color indexed="81"/>
            <rFont val="Tahoma"/>
            <family val="2"/>
          </rPr>
          <t xml:space="preserve">
"Shared Payroll"
</t>
        </r>
      </text>
    </comment>
  </commentList>
</comments>
</file>

<file path=xl/sharedStrings.xml><?xml version="1.0" encoding="utf-8"?>
<sst xmlns="http://schemas.openxmlformats.org/spreadsheetml/2006/main" count="1301" uniqueCount="723">
  <si>
    <t>Apr</t>
  </si>
  <si>
    <t>Total Rooms Available - 100</t>
  </si>
  <si>
    <t>Available Rooms</t>
  </si>
  <si>
    <t>Total Rooms Sold - 100</t>
  </si>
  <si>
    <t>Total Rooms Sold</t>
  </si>
  <si>
    <t>Occupancy</t>
  </si>
  <si>
    <t>Average Daily Rate</t>
  </si>
  <si>
    <t>Revenue per Available Room</t>
  </si>
  <si>
    <t/>
  </si>
  <si>
    <t>Revenues</t>
  </si>
  <si>
    <t>Total Revenue - 100</t>
  </si>
  <si>
    <t xml:space="preserve">    Rooms</t>
  </si>
  <si>
    <t>Total Revenue - 200</t>
  </si>
  <si>
    <t xml:space="preserve">    Food &amp; Beverage</t>
  </si>
  <si>
    <t>Total Revenue - 300</t>
  </si>
  <si>
    <t xml:space="preserve">    Other Operated Departments</t>
  </si>
  <si>
    <t>Total Revenue - 400</t>
  </si>
  <si>
    <t xml:space="preserve">    Miscellaneous Income</t>
  </si>
  <si>
    <t>Total Revenues</t>
  </si>
  <si>
    <t>Departmental Expense</t>
  </si>
  <si>
    <t>Total Departmental Expenses - 100</t>
  </si>
  <si>
    <t>Total Departmental Expenses - 200</t>
  </si>
  <si>
    <t>Total Departmental Expenses - 300</t>
  </si>
  <si>
    <t>Total Departmental Expense</t>
  </si>
  <si>
    <t>Total Departmental Profit</t>
  </si>
  <si>
    <t>Undistributed Expenses</t>
  </si>
  <si>
    <t>Total Departmental Expenses - 500</t>
  </si>
  <si>
    <t>Total Departmental Expenses - 600</t>
  </si>
  <si>
    <t>Total Departmental Expenses - 800</t>
  </si>
  <si>
    <t>Total Utilities Expense - 810</t>
  </si>
  <si>
    <t>Total Undistributed Expenses</t>
  </si>
  <si>
    <t>Gross Operating Profit</t>
  </si>
  <si>
    <t>Base Fee - 920</t>
  </si>
  <si>
    <t xml:space="preserve">    Management Fees</t>
  </si>
  <si>
    <t>Incentive Fee - 920</t>
  </si>
  <si>
    <t>Income before non-operating inc &amp; expense</t>
  </si>
  <si>
    <t>Total Non-Operating Income - 900</t>
  </si>
  <si>
    <t xml:space="preserve">    Income</t>
  </si>
  <si>
    <t>Total Rent - 900</t>
  </si>
  <si>
    <t xml:space="preserve">    Rent</t>
  </si>
  <si>
    <t>Total Taxes - 900</t>
  </si>
  <si>
    <t>Total Insurance - 900</t>
  </si>
  <si>
    <t xml:space="preserve">    Insurance</t>
  </si>
  <si>
    <t>Total Other Expenses - 900</t>
  </si>
  <si>
    <t xml:space="preserve">    Other</t>
  </si>
  <si>
    <t>Total non-operating income &amp; expenses</t>
  </si>
  <si>
    <t>EBITDA</t>
  </si>
  <si>
    <t>FF&amp;E - 930</t>
  </si>
  <si>
    <t>Management Fees</t>
  </si>
  <si>
    <t>Administrative &amp; General - 600</t>
  </si>
  <si>
    <t>Other Expenses</t>
  </si>
  <si>
    <t>Agency Fees - 700</t>
  </si>
  <si>
    <t>Rooms</t>
  </si>
  <si>
    <t>Allowances - 100</t>
  </si>
  <si>
    <t>Other Revenue</t>
  </si>
  <si>
    <t>Health Club/Spa</t>
  </si>
  <si>
    <t>Audit Charges - 500</t>
  </si>
  <si>
    <t>Parking</t>
  </si>
  <si>
    <t>Retail</t>
  </si>
  <si>
    <t>Guest Communications</t>
  </si>
  <si>
    <t>Laundry &amp; Dry Cleaning</t>
  </si>
  <si>
    <t>Bank Charges - 500</t>
  </si>
  <si>
    <t>Beverage Revenue</t>
  </si>
  <si>
    <t>Building Expense - 800</t>
  </si>
  <si>
    <t>Cash Overages &amp; Shortages - 500</t>
  </si>
  <si>
    <t>Centralized Accounting Charges - 500</t>
  </si>
  <si>
    <t>Centralized Information System Charges - 600</t>
  </si>
  <si>
    <t>Utilities</t>
  </si>
  <si>
    <t>Cleaning Supplies - 100</t>
  </si>
  <si>
    <t>Cluster Services - 600</t>
  </si>
  <si>
    <t>Cluster Services - 700</t>
  </si>
  <si>
    <t>Collateral Material - 700</t>
  </si>
  <si>
    <t>Commissions - 100</t>
  </si>
  <si>
    <t>Commissions &amp; Fees - Group - 100</t>
  </si>
  <si>
    <t>Comp F&amp;B Reg S&amp;W - 100</t>
  </si>
  <si>
    <t>Complimentary Food &amp; Beverage - 100</t>
  </si>
  <si>
    <t>Complimentary In-Room/Media Entertainment - 100</t>
  </si>
  <si>
    <t>Complimentary Services &amp; Gifts - 100</t>
  </si>
  <si>
    <t>Complimentary Services &amp; Gifts - 500</t>
  </si>
  <si>
    <t>Complimentary Services &amp; Gifts - 700</t>
  </si>
  <si>
    <t>Food Revenue</t>
  </si>
  <si>
    <t>Contract Rooms Revenue - 100</t>
  </si>
  <si>
    <t>Contract Services - 100</t>
  </si>
  <si>
    <t>Contract Services - 500</t>
  </si>
  <si>
    <t>Contract Services - 600</t>
  </si>
  <si>
    <t>Contract Services - 700</t>
  </si>
  <si>
    <t>Contract Services - 800</t>
  </si>
  <si>
    <t>Contract Services - 810</t>
  </si>
  <si>
    <t>Corporate Office Reimbursables - 100</t>
  </si>
  <si>
    <t>Corporate Office Reimbursables - 500</t>
  </si>
  <si>
    <t>Corporate Office Reimbursables - 600</t>
  </si>
  <si>
    <t>Corporate Office Reimbursables - 700</t>
  </si>
  <si>
    <t>Corporate Office Reimbursables - 800</t>
  </si>
  <si>
    <t>Cost of Cell Phones - 600</t>
  </si>
  <si>
    <t>Cost of Food &amp; Beverage Sales - 200</t>
  </si>
  <si>
    <t>Cost of Internet Services - 600</t>
  </si>
  <si>
    <t>Cost of Local Calls - 600</t>
  </si>
  <si>
    <t>Cost of Long Distance Calls - 600</t>
  </si>
  <si>
    <t>Cost of Other Sales - 200</t>
  </si>
  <si>
    <t>Cost of Services - 600</t>
  </si>
  <si>
    <t>Credit Card Commissions - 500</t>
  </si>
  <si>
    <t>Credit &amp; Collection - 500</t>
  </si>
  <si>
    <t>Decorations - 100</t>
  </si>
  <si>
    <t>Decorations - 500</t>
  </si>
  <si>
    <t>Decorations - 700</t>
  </si>
  <si>
    <t>Dept Profit - 100</t>
  </si>
  <si>
    <t>Dept Profit - 300</t>
  </si>
  <si>
    <t>Donations - 500</t>
  </si>
  <si>
    <t>Dues &amp; Subscriptions - 100</t>
  </si>
  <si>
    <t>Dues &amp; Subscriptions - 500</t>
  </si>
  <si>
    <t>Dues &amp; Subscriptions - 600</t>
  </si>
  <si>
    <t>Dues &amp; Subscriptions - 700</t>
  </si>
  <si>
    <t>Electrical &amp; Mechanical Equipment - 800</t>
  </si>
  <si>
    <t>Electricity - 810</t>
  </si>
  <si>
    <t>Elevators &amp; Escalators - 800</t>
  </si>
  <si>
    <t>Energy Management - 600</t>
  </si>
  <si>
    <t>Engineering Supplies - 800</t>
  </si>
  <si>
    <t>Entertainment- In-House - 100</t>
  </si>
  <si>
    <t>Entertainment - In-House - 500</t>
  </si>
  <si>
    <t>Entertainment- In-House - 600</t>
  </si>
  <si>
    <t>Entertainment - In-House - 700</t>
  </si>
  <si>
    <t>Equipment Rental - 100</t>
  </si>
  <si>
    <t>Equipment Rental - 500</t>
  </si>
  <si>
    <t>Equipment Rental - 600</t>
  </si>
  <si>
    <t>Equipment Rental - 700</t>
  </si>
  <si>
    <t>Equipment Rental - 800</t>
  </si>
  <si>
    <t>Familiarization Trips - 700</t>
  </si>
  <si>
    <t>Floor Covering - 800</t>
  </si>
  <si>
    <t>Food &amp; Beverage - 600</t>
  </si>
  <si>
    <t>Franchise And Affiliation Fees - Royalties - 700</t>
  </si>
  <si>
    <t>Franchise And Affiliation Marketing - 700</t>
  </si>
  <si>
    <t>Front Desk Management Reg S&amp;W - 100</t>
  </si>
  <si>
    <t>Front Desk Reg S&amp;W - 100</t>
  </si>
  <si>
    <t>Furniture &amp; Equipment - 800</t>
  </si>
  <si>
    <t>Gas - 810</t>
  </si>
  <si>
    <t>Gas</t>
  </si>
  <si>
    <t>Golf - 600</t>
  </si>
  <si>
    <t>Grounds Maintenance &amp; Landscaping - 800</t>
  </si>
  <si>
    <t>Group Association/Convention - 100</t>
  </si>
  <si>
    <t>Group Corporate - 100</t>
  </si>
  <si>
    <t>Group Government - 100</t>
  </si>
  <si>
    <t>Group Other - 100</t>
  </si>
  <si>
    <t>Group Rooms Revenue - 100</t>
  </si>
  <si>
    <t>Group SMERF - 100</t>
  </si>
  <si>
    <t>Group Tour/Wholesalers - 100</t>
  </si>
  <si>
    <t>Guest Relocation - 100</t>
  </si>
  <si>
    <t>Guest Supplies - 100</t>
  </si>
  <si>
    <t>Guest Transportation - 100</t>
  </si>
  <si>
    <t>Hardware - 600</t>
  </si>
  <si>
    <t>Health Club/Spa - 600</t>
  </si>
  <si>
    <t>Housekeeping Management Reg S&amp;W - 100</t>
  </si>
  <si>
    <t>Housekeeping Reg S&amp;W - 100</t>
  </si>
  <si>
    <t>Human Resources - 500</t>
  </si>
  <si>
    <t>Human Resources - 600</t>
  </si>
  <si>
    <t>HVAC Equipment - 800</t>
  </si>
  <si>
    <t>Information Security - 600</t>
  </si>
  <si>
    <t>Information Systems - 600</t>
  </si>
  <si>
    <t>Kitchen Equipment - 800</t>
  </si>
  <si>
    <t>Laundry &amp; Dry Cleaning - 100</t>
  </si>
  <si>
    <t>Laundry Equipment - 800</t>
  </si>
  <si>
    <t>Legal Services - 500</t>
  </si>
  <si>
    <t>Licenses &amp; Permits - 100</t>
  </si>
  <si>
    <t>Licenses &amp; Permits - 500</t>
  </si>
  <si>
    <t>Licenses &amp; Permits - 800</t>
  </si>
  <si>
    <t>Life/Safety - 800</t>
  </si>
  <si>
    <t>Light Bulbs - 800</t>
  </si>
  <si>
    <t>Linen - 100</t>
  </si>
  <si>
    <t>Loyalty Programs - 700</t>
  </si>
  <si>
    <t>Media - 700</t>
  </si>
  <si>
    <t>Misc. Attrition Fees - 400</t>
  </si>
  <si>
    <t>Misc. Cancellation Fees - 400</t>
  </si>
  <si>
    <t>Misc. Cash Discounts Earned - 400</t>
  </si>
  <si>
    <t>Misc. Commissions - 400</t>
  </si>
  <si>
    <t>Miscellaneous - 100</t>
  </si>
  <si>
    <t>Miscellaneous - 500</t>
  </si>
  <si>
    <t>Miscellaneous - 600</t>
  </si>
  <si>
    <t>Miscellaneous - 700</t>
  </si>
  <si>
    <t>Miscellaneous - 800</t>
  </si>
  <si>
    <t>Misc. Guest Laundry &amp; Dry Cleaning - 400</t>
  </si>
  <si>
    <t>Misc. Interest Income - 400</t>
  </si>
  <si>
    <t>Misc. Other Breakage - 400</t>
  </si>
  <si>
    <t>Misc. Other Income - 400</t>
  </si>
  <si>
    <t>Misc. Package Breakage - 400</t>
  </si>
  <si>
    <t>Misc. Resort Fees - 400</t>
  </si>
  <si>
    <t>Misc. Space Rental &amp; Concessions - 400</t>
  </si>
  <si>
    <t>Non-Mgmt Accounting Regular S&amp;W - 500</t>
  </si>
  <si>
    <t>Non-Mgmt Executive Regular S&amp;W - 500</t>
  </si>
  <si>
    <t>Non-Mgmt HR Regular S&amp;W - 500</t>
  </si>
  <si>
    <t>Non-Mgmt Security Regular S&amp;W - 500</t>
  </si>
  <si>
    <t>Non-Mgmt Unassigned Regular S&amp;W - 500</t>
  </si>
  <si>
    <t>Operating Supplies - 100</t>
  </si>
  <si>
    <t>Operating Supplies - 500</t>
  </si>
  <si>
    <t>Operating Supplies - 600</t>
  </si>
  <si>
    <t>Operating Supplies - 700</t>
  </si>
  <si>
    <t>Operating Supplies - 800</t>
  </si>
  <si>
    <t>Other - 600</t>
  </si>
  <si>
    <t>Other - Allowances - 200</t>
  </si>
  <si>
    <t>Other - Audiovisual Revenue - 200</t>
  </si>
  <si>
    <t>Other Cost of Services - 600</t>
  </si>
  <si>
    <t>Other Equipment - 600</t>
  </si>
  <si>
    <t>Other Expenses - 600</t>
  </si>
  <si>
    <t>Other Fee - 920</t>
  </si>
  <si>
    <t>Other Fuels - 810</t>
  </si>
  <si>
    <t>Other - Function Room Rental &amp; Setup Charges - 200</t>
  </si>
  <si>
    <t>Other - Other Revenue - 200</t>
  </si>
  <si>
    <t>Other Rooms Revenue - 100</t>
  </si>
  <si>
    <t>Other - Surcharges &amp; Service Charges - 200</t>
  </si>
  <si>
    <t>Outside Services Market Research - 700</t>
  </si>
  <si>
    <t>Painting and Wallcovering - 800</t>
  </si>
  <si>
    <t>Parking - 600</t>
  </si>
  <si>
    <t>Payroll Processing - 500</t>
  </si>
  <si>
    <t>Photography - 700</t>
  </si>
  <si>
    <t>Plumbing - 800</t>
  </si>
  <si>
    <t>Postage &amp; Overnight Delivery - 500</t>
  </si>
  <si>
    <t>Postage &amp; Overnight Delivery - 700</t>
  </si>
  <si>
    <t>Postage &amp; Overnight Delivery Charges - 100</t>
  </si>
  <si>
    <t>Printing &amp; Stationary - 100</t>
  </si>
  <si>
    <t>Printing &amp; Stationary - 700</t>
  </si>
  <si>
    <t>Professional Fees - 500</t>
  </si>
  <si>
    <t>Promotion - 700</t>
  </si>
  <si>
    <t>Property Operations &amp; Maintenance - 600</t>
  </si>
  <si>
    <t>Provision for Doubtful Accounts - 500</t>
  </si>
  <si>
    <t>Reservations - 100</t>
  </si>
  <si>
    <t>Reservations Reg S&amp;W - 100</t>
  </si>
  <si>
    <t>Rooms - 600</t>
  </si>
  <si>
    <t>Room Service Beverage - 200</t>
  </si>
  <si>
    <t>Room Service Food - 200</t>
  </si>
  <si>
    <t>Sales &amp; Marketing - 600</t>
  </si>
  <si>
    <t>Security - 500</t>
  </si>
  <si>
    <t>Settlement Costs - 500</t>
  </si>
  <si>
    <t>Steam - 810</t>
  </si>
  <si>
    <t>Supplemental Pay - 800</t>
  </si>
  <si>
    <t>Swimming Pool - 800</t>
  </si>
  <si>
    <t>S&amp;W Management - 100</t>
  </si>
  <si>
    <t>S&amp;W Management - 700</t>
  </si>
  <si>
    <t>S&amp;W Management Reg - 600</t>
  </si>
  <si>
    <t>S&amp;W Management Reg - 800</t>
  </si>
  <si>
    <t>S&amp;W Non-Management - 100</t>
  </si>
  <si>
    <t>S&amp;W Non-Management - 600</t>
  </si>
  <si>
    <t>S&amp;W Non-Management - 700</t>
  </si>
  <si>
    <t>S&amp;W Non-Management - 800</t>
  </si>
  <si>
    <t>Systems Expenses - 600</t>
  </si>
  <si>
    <t>System Storage &amp; Optimization - 600</t>
  </si>
  <si>
    <t>Telecommunications - 600</t>
  </si>
  <si>
    <t>Total Banquets Beverage- 200</t>
  </si>
  <si>
    <t>Total Banquets Food - 200</t>
  </si>
  <si>
    <t>Total Bonuses &amp; Incentives - 100</t>
  </si>
  <si>
    <t>Total Bonuses &amp; Incentives - 200</t>
  </si>
  <si>
    <t>Total Bonuses &amp; Incentives - 500</t>
  </si>
  <si>
    <t>Total Bonuses &amp; Incentives - 600</t>
  </si>
  <si>
    <t>Total Bonuses &amp; Incentives - 700</t>
  </si>
  <si>
    <t>Total Bonuses &amp; Incentives - 800</t>
  </si>
  <si>
    <t>Total Contracted Leased &amp; Outsourced Labor - 100</t>
  </si>
  <si>
    <t>Total Contracted Leased &amp; Outsourced Labor - 200</t>
  </si>
  <si>
    <t>Total Contracted Leased &amp; Outsourced Labor - 600</t>
  </si>
  <si>
    <t>Total Cost of F&amp;B Division Sales - 200</t>
  </si>
  <si>
    <t>Total Departmental Expenses - 310</t>
  </si>
  <si>
    <t>Total Departmental Expenses - 320</t>
  </si>
  <si>
    <t>Total Departmental Expenses - 340</t>
  </si>
  <si>
    <t>Total Departmental Expenses - 350</t>
  </si>
  <si>
    <t>Total Departmental Expenses - 360</t>
  </si>
  <si>
    <t>Total Departmental Expenses - 370</t>
  </si>
  <si>
    <t>Total Departmental Expenses - 380</t>
  </si>
  <si>
    <t>Total Departmental Expenses - 700</t>
  </si>
  <si>
    <t>Total Employee Benefits - 100</t>
  </si>
  <si>
    <t>Total Employee Benefits - 200</t>
  </si>
  <si>
    <t>Total Employee Benefits - 500</t>
  </si>
  <si>
    <t>Total Employee Benefits - 600</t>
  </si>
  <si>
    <t>Total Employee Benefits - 700</t>
  </si>
  <si>
    <t>Total Employee Benefits - 800</t>
  </si>
  <si>
    <t>Total Guest Communications Revenue - 350</t>
  </si>
  <si>
    <t>Total Health Club/Spa Revenue - 310</t>
  </si>
  <si>
    <t>Total Labor Costs &amp; Related Expenses - 200</t>
  </si>
  <si>
    <t>Total Labor Costs &amp; Related Expenses - 500</t>
  </si>
  <si>
    <t>Total Labor Costs &amp; Related Expenses - 600</t>
  </si>
  <si>
    <t>Total Labor Costs &amp; Related Expenses - 700</t>
  </si>
  <si>
    <t>Total Labor Costs &amp; Related Expenses - 800</t>
  </si>
  <si>
    <t>Total Laundry &amp; Dry Cleaning Revenue - 360</t>
  </si>
  <si>
    <t>Total Management Fees - 920</t>
  </si>
  <si>
    <t>Total Minor Operated Department-3 Revenue - 370</t>
  </si>
  <si>
    <t>Total Minor Operated Department-4 Revenue - 380</t>
  </si>
  <si>
    <t>Total Other Expenses - 100</t>
  </si>
  <si>
    <t>Total Other Expenses - 500</t>
  </si>
  <si>
    <t>Total Other Expenses - 600</t>
  </si>
  <si>
    <t>Total Other Expenses - 700</t>
  </si>
  <si>
    <t>Total Parking Revenue - 320</t>
  </si>
  <si>
    <t>Total Payroll-Related Expenses - 100</t>
  </si>
  <si>
    <t>Total Payroll-Related Expenses - 200</t>
  </si>
  <si>
    <t>Total Payroll-Related Expenses - 500</t>
  </si>
  <si>
    <t>Total Payroll-Related Expenses - 600</t>
  </si>
  <si>
    <t>Total Payroll-Related Expenses - 700</t>
  </si>
  <si>
    <t>Total Payroll-Related Expenses - 800</t>
  </si>
  <si>
    <t>Total Payroll Taxes - 100</t>
  </si>
  <si>
    <t>Total Payroll Taxes - 200</t>
  </si>
  <si>
    <t>Total Payroll Taxes - 500</t>
  </si>
  <si>
    <t>Total Payroll Taxes - 600</t>
  </si>
  <si>
    <t>Total Payroll Taxes - 700</t>
  </si>
  <si>
    <t>Total Payroll Taxes - 800</t>
  </si>
  <si>
    <t>Total Retail Revenue - 340</t>
  </si>
  <si>
    <t>Total Salaries &amp; Wages - 500</t>
  </si>
  <si>
    <t>Total Salaries &amp; Wages - 600</t>
  </si>
  <si>
    <t>Total Salaries &amp; Wages - 700</t>
  </si>
  <si>
    <t>Total Salaries &amp; Wages - 800</t>
  </si>
  <si>
    <t>Total Service Charge Distribution - 200</t>
  </si>
  <si>
    <t>Total Supplemental Pay - 100</t>
  </si>
  <si>
    <t>Total Supplemental Pay - 200</t>
  </si>
  <si>
    <t>Total Supplemental Pay - 500</t>
  </si>
  <si>
    <t>Total Supplemental Pay - 600</t>
  </si>
  <si>
    <t>Total Supplemental Pay - 700</t>
  </si>
  <si>
    <t>Trade Shows - 700</t>
  </si>
  <si>
    <t>Training - 100</t>
  </si>
  <si>
    <t>Training - 500</t>
  </si>
  <si>
    <t>Training - 600</t>
  </si>
  <si>
    <t>Training - 700</t>
  </si>
  <si>
    <t>Training - 800</t>
  </si>
  <si>
    <t>Transient Discount - 100</t>
  </si>
  <si>
    <t>Transient Negotiated - 100</t>
  </si>
  <si>
    <t>Transient Qualified - 100</t>
  </si>
  <si>
    <t>Transient Rebates and Subsidies - 100</t>
  </si>
  <si>
    <t>Transient Retail - 100</t>
  </si>
  <si>
    <t>Transient Rooms Revenue - 100</t>
  </si>
  <si>
    <t>Transient Wholesale - 100</t>
  </si>
  <si>
    <t>Travel - Meals &amp; Entertainment - 100</t>
  </si>
  <si>
    <t>Travel - Meals &amp; Entertainment - 500</t>
  </si>
  <si>
    <t>Travel - Meals &amp; Entertainment - 600</t>
  </si>
  <si>
    <t>Travel - Meals &amp; Entertainment - 700</t>
  </si>
  <si>
    <t>Travel - Meals &amp; Entertainment - 800</t>
  </si>
  <si>
    <t>Travel - Other - 100</t>
  </si>
  <si>
    <t>Travel - Other - 500</t>
  </si>
  <si>
    <t>Travel - Other - 600</t>
  </si>
  <si>
    <t>Travel - Other - 700</t>
  </si>
  <si>
    <t>Travel - Other - 800</t>
  </si>
  <si>
    <t>Unassigned Management Reg S&amp;W - 100</t>
  </si>
  <si>
    <t>Uniform Costs - 100</t>
  </si>
  <si>
    <t>Uniform Costs - 500</t>
  </si>
  <si>
    <t>Uniform Costs - 600</t>
  </si>
  <si>
    <t>Uniform Costs - 800</t>
  </si>
  <si>
    <t>Uniform Laundry - 100</t>
  </si>
  <si>
    <t>Uniform Laundry - 500</t>
  </si>
  <si>
    <t>Uniform Laundry - 600</t>
  </si>
  <si>
    <t>Uniform Laundry - 700</t>
  </si>
  <si>
    <t>Uniform Laundry - 800</t>
  </si>
  <si>
    <t>Vehicle Repairs and Maintenance - 800</t>
  </si>
  <si>
    <t>Venue Beverage - Minibar Revenue - 200</t>
  </si>
  <si>
    <t>Venue Food - Minibar Revenue - 200</t>
  </si>
  <si>
    <t>Venues Beverage - 200</t>
  </si>
  <si>
    <t>Venues Food - 200</t>
  </si>
  <si>
    <t>Waste Removal - 800</t>
  </si>
  <si>
    <t>Water &amp; Sewer - 810</t>
  </si>
  <si>
    <t>Web-Site - 700</t>
  </si>
  <si>
    <t>Rebates</t>
  </si>
  <si>
    <t>Discount</t>
  </si>
  <si>
    <t>Negotiated</t>
  </si>
  <si>
    <t>Qualified</t>
  </si>
  <si>
    <t>Wholesale</t>
  </si>
  <si>
    <t>Corporate</t>
  </si>
  <si>
    <t>Government</t>
  </si>
  <si>
    <t>SMERF</t>
  </si>
  <si>
    <t>Miscellaneous</t>
  </si>
  <si>
    <t>Supplemental Pay</t>
  </si>
  <si>
    <t>Employee Benefits</t>
  </si>
  <si>
    <t>Cleaning Supplies</t>
  </si>
  <si>
    <t>Commissions &amp; Fees - Group</t>
  </si>
  <si>
    <t>Complimentary Services &amp; Gifts</t>
  </si>
  <si>
    <t>Contract Services</t>
  </si>
  <si>
    <t>Decorations</t>
  </si>
  <si>
    <t>Equipment Rental</t>
  </si>
  <si>
    <t>Guest Relocation</t>
  </si>
  <si>
    <t>Guest Supplies</t>
  </si>
  <si>
    <t>Guest Transportation</t>
  </si>
  <si>
    <t>Licenses &amp; Permits</t>
  </si>
  <si>
    <t>Linen</t>
  </si>
  <si>
    <t>Operating Supplies</t>
  </si>
  <si>
    <t>Reservations</t>
  </si>
  <si>
    <t>Training</t>
  </si>
  <si>
    <t>Travel - Meals &amp; Entertainment</t>
  </si>
  <si>
    <t>Travel - Other</t>
  </si>
  <si>
    <t>Uniform Costs</t>
  </si>
  <si>
    <t>Commissions</t>
  </si>
  <si>
    <t>Total Departmental Expenses</t>
  </si>
  <si>
    <t>Food &amp; Beverage</t>
  </si>
  <si>
    <t>Other Operated Departments</t>
  </si>
  <si>
    <t>Administrative &amp; General</t>
  </si>
  <si>
    <t>Information &amp; Telecom Systems</t>
  </si>
  <si>
    <t>Sales &amp; Marketing</t>
  </si>
  <si>
    <t>Non-Operating Income &amp; Expenses</t>
  </si>
  <si>
    <t>FF&amp;E ProForma Calculation</t>
  </si>
  <si>
    <t>EBITDA: Less Replacement Reserve</t>
  </si>
  <si>
    <t>VARIANCE</t>
  </si>
  <si>
    <t>Budget</t>
  </si>
  <si>
    <t>%</t>
  </si>
  <si>
    <t>$</t>
  </si>
  <si>
    <t>Actual</t>
  </si>
  <si>
    <t>Transient Rooms Revenue</t>
  </si>
  <si>
    <t>Total Transient Room Rev</t>
  </si>
  <si>
    <t>Group Rooms Revenue</t>
  </si>
  <si>
    <t>Association/Convention</t>
  </si>
  <si>
    <t>Tour/Wholesalers</t>
  </si>
  <si>
    <t>Total Group Room Rev</t>
  </si>
  <si>
    <t>Contract Rooms Revenue</t>
  </si>
  <si>
    <t>Other Rooms Revenue</t>
  </si>
  <si>
    <t>Rooms: Allowances</t>
  </si>
  <si>
    <t>Total Rooms Revenue</t>
  </si>
  <si>
    <t>Labor &amp; Related Expenses</t>
  </si>
  <si>
    <t>Salaries &amp; Wages</t>
  </si>
  <si>
    <t>Management</t>
  </si>
  <si>
    <t>Non-Management</t>
  </si>
  <si>
    <t>Front Office</t>
  </si>
  <si>
    <t>Housekeeping</t>
  </si>
  <si>
    <t>Total Salaries and Wages</t>
  </si>
  <si>
    <t>Contracted &amp; Leased Labor</t>
  </si>
  <si>
    <t>Bonuses &amp; Incentives</t>
  </si>
  <si>
    <t>Total Labor Expense</t>
  </si>
  <si>
    <t>Payroll Taxes</t>
  </si>
  <si>
    <t>Total Payroll Related</t>
  </si>
  <si>
    <t>Total Labor &amp; Related Exp</t>
  </si>
  <si>
    <t>Postage and Overnight Delivery</t>
  </si>
  <si>
    <t>Printing &amp; Stationery</t>
  </si>
  <si>
    <t>Complimentary Food &amp; Beverage</t>
  </si>
  <si>
    <t>Uniforms Laundry</t>
  </si>
  <si>
    <t>Complimentary In Room Media Ent.</t>
  </si>
  <si>
    <t>Corporate Office Reimbursement</t>
  </si>
  <si>
    <t>Total Reservations Fees &amp; Other Exp</t>
  </si>
  <si>
    <t>Total Operations Expense</t>
  </si>
  <si>
    <t>Total Expenses</t>
  </si>
  <si>
    <t>Department Profit (Loss)</t>
  </si>
  <si>
    <t>Other Group</t>
  </si>
  <si>
    <t>Housekeeping Mgmt</t>
  </si>
  <si>
    <t>Front Desk Mgmt</t>
  </si>
  <si>
    <t>Comp F&amp;B</t>
  </si>
  <si>
    <t>Dues and Subscriptions</t>
  </si>
  <si>
    <t>Entertainment - In-House</t>
  </si>
  <si>
    <t>Retail Shop</t>
  </si>
  <si>
    <t>Total Departmental Revenues</t>
  </si>
  <si>
    <t>Departmental Expenses (Incl COS)</t>
  </si>
  <si>
    <t>Misc. Minor Operated Departments</t>
  </si>
  <si>
    <t>Minor Other Operated Departments</t>
  </si>
  <si>
    <t>Space Rent &amp; Concessions</t>
  </si>
  <si>
    <t>Cash Discounts Earned</t>
  </si>
  <si>
    <t>Attrition Penalties</t>
  </si>
  <si>
    <t>Cancellation Penalties</t>
  </si>
  <si>
    <t>Guest Laundry &amp; Dry Cleaning</t>
  </si>
  <si>
    <t>Other Breakage</t>
  </si>
  <si>
    <t>Package Breakage</t>
  </si>
  <si>
    <t>Resort Fees</t>
  </si>
  <si>
    <t>Other</t>
  </si>
  <si>
    <t>Total Revenue</t>
  </si>
  <si>
    <t>Interest Income</t>
  </si>
  <si>
    <t>Accounting</t>
  </si>
  <si>
    <t>Professional Fees</t>
  </si>
  <si>
    <t>Credit Card Commissions</t>
  </si>
  <si>
    <t>Cash Overages &amp; Shortages</t>
  </si>
  <si>
    <t>Provision for Doubtful Accounts</t>
  </si>
  <si>
    <t>Bank Charges</t>
  </si>
  <si>
    <t>Payroll Processing</t>
  </si>
  <si>
    <t>Legal Services</t>
  </si>
  <si>
    <t>Donations</t>
  </si>
  <si>
    <t>Security</t>
  </si>
  <si>
    <t>Human Resources (Consolidated)</t>
  </si>
  <si>
    <t>Executive</t>
  </si>
  <si>
    <t>HR</t>
  </si>
  <si>
    <t>Unassigned</t>
  </si>
  <si>
    <t>Audit Charges</t>
  </si>
  <si>
    <t>Centralized Accounting Charges</t>
  </si>
  <si>
    <t>Credit &amp; Collection</t>
  </si>
  <si>
    <t>Entertainment In-House</t>
  </si>
  <si>
    <t>Human Resources</t>
  </si>
  <si>
    <t>Settlement Costs</t>
  </si>
  <si>
    <t>Cost of Services</t>
  </si>
  <si>
    <t>Cost of Cell Phones</t>
  </si>
  <si>
    <t>Cost of Internet Services</t>
  </si>
  <si>
    <t>Cost of Local Calls</t>
  </si>
  <si>
    <t>Cost of Long Distance Calls</t>
  </si>
  <si>
    <t>Other Cost of Services</t>
  </si>
  <si>
    <t>Total Cost of Services</t>
  </si>
  <si>
    <t>System Expenses</t>
  </si>
  <si>
    <t>Administrative and General</t>
  </si>
  <si>
    <t>Total System Expenses</t>
  </si>
  <si>
    <t>Energy Management</t>
  </si>
  <si>
    <t>Golf</t>
  </si>
  <si>
    <t>Hardware</t>
  </si>
  <si>
    <t>Information Security</t>
  </si>
  <si>
    <t>Information Systems</t>
  </si>
  <si>
    <t>Property Operations &amp; Maintenance</t>
  </si>
  <si>
    <t>Telecommunications</t>
  </si>
  <si>
    <t>Cluster Services</t>
  </si>
  <si>
    <t>Corporate Office Reimbursables</t>
  </si>
  <si>
    <t>Dues &amp; Subscriptions</t>
  </si>
  <si>
    <t>Entertainment- In-House</t>
  </si>
  <si>
    <t>Other Equipment</t>
  </si>
  <si>
    <t>System Storage &amp; Optimization</t>
  </si>
  <si>
    <t>Uniform Laundry</t>
  </si>
  <si>
    <t>Promotion</t>
  </si>
  <si>
    <t>Trade Shows</t>
  </si>
  <si>
    <t>Collateral Materials</t>
  </si>
  <si>
    <t>Website</t>
  </si>
  <si>
    <t>Media</t>
  </si>
  <si>
    <t>Outside Services Market Research</t>
  </si>
  <si>
    <t>Photography</t>
  </si>
  <si>
    <t>Loyalty Programs</t>
  </si>
  <si>
    <t>Agency Fees</t>
  </si>
  <si>
    <t>Non-Mgmt. (Sales &amp; Marketing)</t>
  </si>
  <si>
    <t>Familiarization Trips</t>
  </si>
  <si>
    <t>Franchise and Affiliation Fees - Royalties</t>
  </si>
  <si>
    <t>Franchise and Affiliation Fees - Marketing</t>
  </si>
  <si>
    <t>Non-Mgmt. (PO &amp; M)</t>
  </si>
  <si>
    <t>Life/Safety</t>
  </si>
  <si>
    <t>Electrical &amp; Mechanical Equipment</t>
  </si>
  <si>
    <t>HVAC Equipment</t>
  </si>
  <si>
    <t>Furniture &amp; Equipment</t>
  </si>
  <si>
    <t>Building</t>
  </si>
  <si>
    <t>Plumbing</t>
  </si>
  <si>
    <t>Painting &amp; Wallcovering</t>
  </si>
  <si>
    <t>Elevators &amp; Escalators</t>
  </si>
  <si>
    <t>Grounds Maint &amp; Landscaping</t>
  </si>
  <si>
    <t>Light Bulbs</t>
  </si>
  <si>
    <t>Engineering Supplies</t>
  </si>
  <si>
    <t>Waste Removal</t>
  </si>
  <si>
    <t>Vehicle Repairs and Maintenance</t>
  </si>
  <si>
    <t>Swimming Pool</t>
  </si>
  <si>
    <t>Kitchen Equipment</t>
  </si>
  <si>
    <t>Laundry Equipment</t>
  </si>
  <si>
    <t>Floor Covering</t>
  </si>
  <si>
    <t>Electricity</t>
  </si>
  <si>
    <t>Water / Sewer</t>
  </si>
  <si>
    <t>Steam</t>
  </si>
  <si>
    <t>Other Fuels</t>
  </si>
  <si>
    <t>Base Management Fees</t>
  </si>
  <si>
    <t>Incentive Management Fee</t>
  </si>
  <si>
    <t>Other Management Fee</t>
  </si>
  <si>
    <t>Venues  Food Rev</t>
  </si>
  <si>
    <t>In Room Dining Food Rev</t>
  </si>
  <si>
    <t>Banquet-Catering &amp; CS Food Rev</t>
  </si>
  <si>
    <t>Mini Bar Food Rev</t>
  </si>
  <si>
    <t>Total Food Revenue</t>
  </si>
  <si>
    <t>Venues  Beverage Rev</t>
  </si>
  <si>
    <t>In Room Dining Beverage Rev</t>
  </si>
  <si>
    <t>Banquet-Catering &amp; CS Beverage Rev</t>
  </si>
  <si>
    <t>Mini Bar Beverage Rev</t>
  </si>
  <si>
    <t>Total Beverage Revenue</t>
  </si>
  <si>
    <t>Food &amp; Beverage: Allowances</t>
  </si>
  <si>
    <t>Total Food &amp; Beverage Revenue</t>
  </si>
  <si>
    <t>Audio/Visual Rentals</t>
  </si>
  <si>
    <t>Public Room Rental</t>
  </si>
  <si>
    <t>Surcharges &amp; Services Charges</t>
  </si>
  <si>
    <t>Miscellaneous Other Revenue</t>
  </si>
  <si>
    <t>Total Other Revenue</t>
  </si>
  <si>
    <t>Cost of Sales</t>
  </si>
  <si>
    <t>Cost of Food &amp; Beverage Sales</t>
  </si>
  <si>
    <t>Cost of Food Sales</t>
  </si>
  <si>
    <t>Cost of Beverage Sales</t>
  </si>
  <si>
    <t>Total Cost of Food &amp; Beverage Sales</t>
  </si>
  <si>
    <t>Cost of Other Revenue</t>
  </si>
  <si>
    <t>Total Cost of Other Revenue</t>
  </si>
  <si>
    <t>Total Cost of Sales</t>
  </si>
  <si>
    <t>Gross Profit</t>
  </si>
  <si>
    <t>Service Charge Distribution</t>
  </si>
  <si>
    <t>Dishwashing Supplies</t>
  </si>
  <si>
    <t>Kitchen Smallwares</t>
  </si>
  <si>
    <t>Banquet Expense</t>
  </si>
  <si>
    <t>Paper and Plastics</t>
  </si>
  <si>
    <t>China</t>
  </si>
  <si>
    <t>Glassware</t>
  </si>
  <si>
    <t>Flatware</t>
  </si>
  <si>
    <t>Ice</t>
  </si>
  <si>
    <t>Utensils</t>
  </si>
  <si>
    <t>Menus and Beverage Lists</t>
  </si>
  <si>
    <t>Music and Entertainment</t>
  </si>
  <si>
    <t>Kitchen Fuel</t>
  </si>
  <si>
    <t>China - 200</t>
  </si>
  <si>
    <t>Cleaning Supplies - 200</t>
  </si>
  <si>
    <t>Complimentary Services &amp; Gifts - 200</t>
  </si>
  <si>
    <t>Contract Services - 200</t>
  </si>
  <si>
    <t>Decorations - 200</t>
  </si>
  <si>
    <t>Dishwashing Supplies - 200</t>
  </si>
  <si>
    <t>Equipment Expense - 200</t>
  </si>
  <si>
    <t>Flatware - 200</t>
  </si>
  <si>
    <t>Glassware - 200</t>
  </si>
  <si>
    <t>Ice - 200</t>
  </si>
  <si>
    <t>Kitchen Smallwares - 200</t>
  </si>
  <si>
    <t>Laundry &amp; Dry Cleaning - 200</t>
  </si>
  <si>
    <t>Licenses &amp; Permits - 200</t>
  </si>
  <si>
    <t>Linen - 200</t>
  </si>
  <si>
    <t>Menus &amp; Beverage Lists - 200</t>
  </si>
  <si>
    <t>Miscellaneous - 200</t>
  </si>
  <si>
    <t>Kitchen Fuel - 200</t>
  </si>
  <si>
    <t>Music &amp; Entertainment - 200</t>
  </si>
  <si>
    <t>Operating Supplies - 200</t>
  </si>
  <si>
    <t>Paper &amp; Plastics - 200</t>
  </si>
  <si>
    <t>Printing &amp; Stationary - 200</t>
  </si>
  <si>
    <t>Reservations - 200</t>
  </si>
  <si>
    <t>Training - 200</t>
  </si>
  <si>
    <t>Travel - Meals &amp; Entertainment - 200</t>
  </si>
  <si>
    <t>Travel - Other - 200</t>
  </si>
  <si>
    <t>Uniform Costs - 200</t>
  </si>
  <si>
    <t>Uniform Laundry - 200</t>
  </si>
  <si>
    <t>Utensils - 200</t>
  </si>
  <si>
    <t>Total Other Expenses - 200</t>
  </si>
  <si>
    <t>Commissions - 200</t>
  </si>
  <si>
    <t>Banquet Expenses - 200</t>
  </si>
  <si>
    <t>Cluster Services - 200</t>
  </si>
  <si>
    <t>Corporate Office Reimbursables - 200</t>
  </si>
  <si>
    <t>Entertainment- In-House - 200</t>
  </si>
  <si>
    <t>Dues &amp; Subscriptions - 200</t>
  </si>
  <si>
    <t>Kitchen Allocation - 200</t>
  </si>
  <si>
    <t>Kitchen Allocation</t>
  </si>
  <si>
    <t>Management Fees - 200</t>
  </si>
  <si>
    <t>Postage &amp; Overnight Delivery - 200</t>
  </si>
  <si>
    <t>Postage &amp; Overnight Delivery</t>
  </si>
  <si>
    <t>Royalty Fees - 200</t>
  </si>
  <si>
    <t>Royalty Fees</t>
  </si>
  <si>
    <t>Food Revenue - 205</t>
  </si>
  <si>
    <t>Pool Bar Food Rev</t>
  </si>
  <si>
    <t>Market Bar Food Rev</t>
  </si>
  <si>
    <t>Pool Bar Beverage Rev</t>
  </si>
  <si>
    <t>Market Bar Beverage Rev</t>
  </si>
  <si>
    <t>Beverage Revenue - 205</t>
  </si>
  <si>
    <t>Beverage Revenue - 204</t>
  </si>
  <si>
    <t>Food Revenue - 204</t>
  </si>
  <si>
    <t>Cost of Beverage Sales - 200</t>
  </si>
  <si>
    <t>S&amp;W Management - 200</t>
  </si>
  <si>
    <t>Asset Management fees - 900</t>
  </si>
  <si>
    <t>Insurance</t>
  </si>
  <si>
    <t>Building &amp; Contents - 900</t>
  </si>
  <si>
    <t>Business &amp; Occupation Taxes - 900</t>
  </si>
  <si>
    <t>Cluster Services - 500</t>
  </si>
  <si>
    <t>Cost of Food Sales - 200</t>
  </si>
  <si>
    <t>Credits - 810</t>
  </si>
  <si>
    <t>Deductible - 900</t>
  </si>
  <si>
    <t>Direct Mail - 700</t>
  </si>
  <si>
    <t>Dues &amp; Subscriptions - 800</t>
  </si>
  <si>
    <t>FX Gain Loss - 900</t>
  </si>
  <si>
    <t>Group Rebates and Subsidies - 100</t>
  </si>
  <si>
    <t>In-House Graphics - 700</t>
  </si>
  <si>
    <t>Land &amp; Buildings - 900</t>
  </si>
  <si>
    <t>Rent</t>
  </si>
  <si>
    <t>Legal fees - 900</t>
  </si>
  <si>
    <t>Liability - 900</t>
  </si>
  <si>
    <t>Loss &amp; Damage - 500</t>
  </si>
  <si>
    <t>Misc. Proceeds from Business Interruption Insurance - 400</t>
  </si>
  <si>
    <t>Non-Guest-Related Foreign Currency Gains (Losses) - 500</t>
  </si>
  <si>
    <t>Other Insurance - 900</t>
  </si>
  <si>
    <t>Other Non-Operating Expenses - 900</t>
  </si>
  <si>
    <t>Other Property &amp; Equipment - 900</t>
  </si>
  <si>
    <t>Other Taxes &amp; Assessments - 900</t>
  </si>
  <si>
    <t>Outside Sales Representation - 700</t>
  </si>
  <si>
    <t>Owner Expenses - 900</t>
  </si>
  <si>
    <t>Personal Property Taxes - 900</t>
  </si>
  <si>
    <t>Pre-Opening Expenses - 900</t>
  </si>
  <si>
    <t>Real Estate Taxes - 900</t>
  </si>
  <si>
    <t>Rooms Unassigned Reg S&amp;W - 100</t>
  </si>
  <si>
    <t>Staff Transportation - 500</t>
  </si>
  <si>
    <t>S&amp;W Management - 500</t>
  </si>
  <si>
    <t>S&amp;W Non-Management - 200</t>
  </si>
  <si>
    <t>S&amp;W Other - 200</t>
  </si>
  <si>
    <t>S&amp;W Other - 500</t>
  </si>
  <si>
    <t>S&amp;W Other - 800</t>
  </si>
  <si>
    <t>Total Beverage Revenue - 200</t>
  </si>
  <si>
    <t>Total Contracted Leased &amp; Outsourced Labor - 500</t>
  </si>
  <si>
    <t>Total Contracted Leased &amp; Outsourced Labor - 700</t>
  </si>
  <si>
    <t>Total Contracted Leased &amp; Outsourced Labor - 800</t>
  </si>
  <si>
    <t>Total Departmental Expenses - 000</t>
  </si>
  <si>
    <t>Total F&amp;B Division Revenue - 200</t>
  </si>
  <si>
    <t>Total Food Revenue - 200</t>
  </si>
  <si>
    <t>Total Hotel GOP - 000</t>
  </si>
  <si>
    <t>Total Labor Costs &amp; Related Expenses - 100</t>
  </si>
  <si>
    <t>Total Non-Op - 000</t>
  </si>
  <si>
    <t>Total Other Expenses - 800</t>
  </si>
  <si>
    <t>Total Other F&amp;B Revenue - 200</t>
  </si>
  <si>
    <t>Total Revenue - 000</t>
  </si>
  <si>
    <t>Total Salaries &amp; Wages - 100</t>
  </si>
  <si>
    <t>Total Salaries &amp; Wages - 200</t>
  </si>
  <si>
    <t>Total Salaries Wages &amp; Bonuses - 100</t>
  </si>
  <si>
    <t>Total Salaries Wages &amp; Bonuses - 200</t>
  </si>
  <si>
    <t>Total Service Charge Distribution - 100</t>
  </si>
  <si>
    <t>Total Service Charge Distribution - 700</t>
  </si>
  <si>
    <t>Total Undistributed Expenses - 000</t>
  </si>
  <si>
    <t>Income</t>
  </si>
  <si>
    <t xml:space="preserve">Total Income </t>
  </si>
  <si>
    <t>Land &amp; Buildings</t>
  </si>
  <si>
    <t>Other Property &amp; Equipment</t>
  </si>
  <si>
    <t>Total Rent</t>
  </si>
  <si>
    <t>Property &amp; Other Taxes</t>
  </si>
  <si>
    <t>Real Estate Taxes</t>
  </si>
  <si>
    <t>Personal Property Taxes</t>
  </si>
  <si>
    <t>Business &amp; Occupation Taxes</t>
  </si>
  <si>
    <t>Other Taxes &amp; Assesments</t>
  </si>
  <si>
    <t>Total Property &amp; Other Taxes</t>
  </si>
  <si>
    <t>Property Insurance</t>
  </si>
  <si>
    <t>Liability Insurance</t>
  </si>
  <si>
    <t>Other Insurance</t>
  </si>
  <si>
    <t>Total Insurance</t>
  </si>
  <si>
    <t>Owner's Expense</t>
  </si>
  <si>
    <t>Total Other</t>
  </si>
  <si>
    <t>Total Non-Operating Income &amp; Expense</t>
  </si>
  <si>
    <t>Deductible</t>
  </si>
  <si>
    <t>Asset Management Fee</t>
  </si>
  <si>
    <t>FX Gain Floss</t>
  </si>
  <si>
    <t>Legal Fees</t>
  </si>
  <si>
    <t>Other Non-Operating Expenses</t>
  </si>
  <si>
    <t>Pre-Opening Expenses</t>
  </si>
  <si>
    <t>Proceeds from BI Insurance</t>
  </si>
  <si>
    <t>Direct Mail</t>
  </si>
  <si>
    <t>Outside Sales Representation</t>
  </si>
  <si>
    <t>Group Rebates</t>
  </si>
  <si>
    <t>Loss &amp; Damage</t>
  </si>
  <si>
    <t>Other S&amp;W</t>
  </si>
  <si>
    <t>In-House Graphics</t>
  </si>
  <si>
    <t>Currency Gains (Losses)</t>
  </si>
  <si>
    <t>Staff Transportation</t>
  </si>
  <si>
    <t>Credits</t>
  </si>
  <si>
    <t>Printing &amp; Stationary</t>
  </si>
  <si>
    <t>Printing &amp; Stationary - 500</t>
  </si>
  <si>
    <t>Cleaning Supplies - 800</t>
  </si>
  <si>
    <t>&lt;- Property Code</t>
  </si>
  <si>
    <t>ANG</t>
  </si>
  <si>
    <t>&lt;- Month</t>
  </si>
  <si>
    <t>&lt;- Year</t>
  </si>
  <si>
    <t>Actual - Last Year</t>
  </si>
  <si>
    <t>STATEMENT OF INCOME</t>
  </si>
  <si>
    <t>Angler's</t>
  </si>
  <si>
    <t>ANGBF Operation &amp; Maintenance</t>
  </si>
  <si>
    <t xml:space="preserve">    ANGBF &amp; Other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</si>
</sst>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0.0%"/>
    <numFmt numFmtId="166" formatCode="0.0\ \p\p\t"/>
    <numFmt numFmtId="167" formatCode="#,##0_);\(#,##0\);;"/>
    <numFmt numFmtId="168" formatCode="0.0%;;"/>
    <numFmt numFmtId="169" formatCode="_([$$-409]* #,##0.00_);_([$$-409]* \(#,##0.00\);_([$$-409]* &quot;-&quot;??_);_(@_)"/>
    <numFmt numFmtId="171" formatCode="_(#,##0_);[Red]_(\(#,##0\);_(\ \-\ _);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00AEC7"/>
      <name val="Verdana"/>
      <family val="2"/>
    </font>
    <font>
      <b/>
      <sz val="11"/>
      <name val="Arial"/>
      <family val="2"/>
    </font>
    <font>
      <b/>
      <sz val="14"/>
      <color rgb="FF6E6259"/>
      <name val="Verdana"/>
      <family val="2"/>
    </font>
    <font>
      <b/>
      <sz val="12"/>
      <color rgb="FF6E6259"/>
      <name val="Verdana"/>
      <family val="2"/>
    </font>
    <font>
      <sz val="10"/>
      <name val="Arial"/>
      <family val="2"/>
    </font>
    <font>
      <b/>
      <sz val="11"/>
      <color rgb="FF5F554D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FF"/>
      <name val="Arial"/>
      <family val="2"/>
    </font>
    <font>
      <sz val="11"/>
      <color rgb="FF0000F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Verdana"/>
      <family val="2"/>
    </font>
    <font>
      <sz val="11"/>
      <color rgb="FFC63527"/>
      <name val="Aptos Narrow"/>
      <family val="2"/>
      <scheme val="minor"/>
    </font>
    <font>
      <b/>
      <sz val="18"/>
      <color rgb="FF39617A"/>
      <name val="Verdana"/>
      <family val="2"/>
    </font>
    <font>
      <b/>
      <sz val="11"/>
      <color rgb="FF00000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Aptos Narrow"/>
      <family val="2"/>
      <scheme val="minor"/>
    </font>
    <font>
      <i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mediumGray">
        <fgColor theme="2" tint="-9.9948118533890809E-2"/>
        <bgColor indexed="65"/>
      </patternFill>
    </fill>
    <fill>
      <patternFill patternType="solid">
        <fgColor rgb="FF39617A"/>
        <bgColor indexed="64"/>
      </patternFill>
    </fill>
    <fill>
      <patternFill patternType="solid">
        <fgColor rgb="FFDFE5E6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n">
        <color theme="4" tint="0.59996337778862885"/>
      </bottom>
      <diagonal/>
    </border>
    <border>
      <left/>
      <right/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indexed="64"/>
      </top>
      <bottom style="double">
        <color indexed="64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rgb="FF000000"/>
      </top>
      <bottom style="thin">
        <color rgb="FF000000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rgb="FFA5AEB6"/>
      </bottom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indexed="64"/>
      </bottom>
      <diagonal/>
    </border>
    <border>
      <left style="thin">
        <color rgb="FFA5AEB6"/>
      </left>
      <right/>
      <top/>
      <bottom style="thin">
        <color rgb="FFA5AEB6"/>
      </bottom>
      <diagonal/>
    </border>
    <border>
      <left/>
      <right style="thin">
        <color rgb="FFA5AEB6"/>
      </right>
      <top style="thin">
        <color indexed="64"/>
      </top>
      <bottom style="double">
        <color indexed="64"/>
      </bottom>
      <diagonal/>
    </border>
    <border>
      <left/>
      <right style="thin">
        <color rgb="FFA5AEB6"/>
      </right>
      <top style="thin">
        <color indexed="64"/>
      </top>
      <bottom/>
      <diagonal/>
    </border>
    <border>
      <left/>
      <right style="thin">
        <color rgb="FFA5AEB6"/>
      </right>
      <top/>
      <bottom/>
      <diagonal/>
    </border>
    <border>
      <left/>
      <right style="thin">
        <color rgb="FFA5AEB6"/>
      </right>
      <top/>
      <bottom style="thin">
        <color indexed="64"/>
      </bottom>
      <diagonal/>
    </border>
    <border>
      <left/>
      <right style="thin">
        <color rgb="FFA5AEB6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rgb="FFA5AEB6"/>
      </right>
      <top style="thin">
        <color indexed="64"/>
      </top>
      <bottom style="double">
        <color indexed="64"/>
      </bottom>
      <diagonal/>
    </border>
    <border>
      <left/>
      <right style="thin">
        <color rgb="FFA5AEB6"/>
      </right>
      <top style="thin">
        <color theme="4" tint="0.59996337778862885"/>
      </top>
      <bottom/>
      <diagonal/>
    </border>
    <border>
      <left style="thin">
        <color rgb="FFA5AEB6"/>
      </left>
      <right style="thin">
        <color rgb="FFA5AEB6"/>
      </right>
      <top style="thin">
        <color indexed="64"/>
      </top>
      <bottom style="double">
        <color indexed="64"/>
      </bottom>
      <diagonal/>
    </border>
    <border>
      <left style="thin">
        <color rgb="FFA5AEB6"/>
      </left>
      <right/>
      <top/>
      <bottom/>
      <diagonal/>
    </border>
    <border>
      <left style="thin">
        <color rgb="FFA5AEB6"/>
      </left>
      <right/>
      <top/>
      <bottom style="thin">
        <color theme="4" tint="0.59996337778862885"/>
      </bottom>
      <diagonal/>
    </border>
    <border>
      <left style="thin">
        <color rgb="FFA5AEB6"/>
      </left>
      <right/>
      <top style="thin">
        <color theme="4" tint="0.59996337778862885"/>
      </top>
      <bottom/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theme="1"/>
      </bottom>
      <diagonal/>
    </border>
    <border>
      <left style="thin">
        <color rgb="FFA5AEB6"/>
      </left>
      <right style="thin">
        <color rgb="FFA5AEB6"/>
      </right>
      <top style="thin">
        <color theme="1"/>
      </top>
      <bottom style="double">
        <color theme="1"/>
      </bottom>
      <diagonal/>
    </border>
    <border>
      <left style="thin">
        <color rgb="FFA5AEB6"/>
      </left>
      <right style="thin">
        <color rgb="FFA5AEB6"/>
      </right>
      <top style="thin">
        <color rgb="FFA5AEB6"/>
      </top>
      <bottom/>
      <diagonal/>
    </border>
    <border>
      <left style="thin">
        <color rgb="FFA5AEB6"/>
      </left>
      <right style="thin">
        <color rgb="FFA5AEB6"/>
      </right>
      <top/>
      <bottom style="thin">
        <color rgb="FFA5AEB6"/>
      </bottom>
      <diagonal/>
    </border>
    <border>
      <left/>
      <right/>
      <top style="thin">
        <color rgb="FFA5AEB6"/>
      </top>
      <bottom style="thin">
        <color rgb="FFA5AEB6"/>
      </bottom>
      <diagonal/>
    </border>
    <border>
      <left style="thin">
        <color rgb="FFA5AEB6"/>
      </left>
      <right style="thin">
        <color rgb="FFA5AEB6"/>
      </right>
      <top/>
      <bottom style="double">
        <color indexed="64"/>
      </bottom>
      <diagonal/>
    </border>
    <border>
      <left/>
      <right style="thin">
        <color rgb="FFA5AEB6"/>
      </right>
      <top style="thin">
        <color rgb="FFA5AEB6"/>
      </top>
      <bottom style="thin">
        <color rgb="FFA5AEB6"/>
      </bottom>
      <diagonal/>
    </border>
    <border>
      <left/>
      <right/>
      <top/>
      <bottom style="double">
        <color indexed="64"/>
      </bottom>
      <diagonal/>
    </border>
    <border>
      <left style="thin">
        <color rgb="FFA5AEB6"/>
      </left>
      <right style="thin">
        <color rgb="FFA5AEB6"/>
      </right>
      <top style="thin">
        <color indexed="64"/>
      </top>
      <bottom style="thin">
        <color indexed="64"/>
      </bottom>
      <diagonal/>
    </border>
    <border>
      <left style="thin">
        <color rgb="FFA5AEB6"/>
      </left>
      <right/>
      <top style="thin">
        <color rgb="FFA5AEB6"/>
      </top>
      <bottom style="thin">
        <color indexed="64"/>
      </bottom>
      <diagonal/>
    </border>
    <border>
      <left/>
      <right/>
      <top style="thin">
        <color rgb="FFA5AEB6"/>
      </top>
      <bottom style="thin">
        <color indexed="64"/>
      </bottom>
      <diagonal/>
    </border>
    <border>
      <left/>
      <right style="thin">
        <color rgb="FFA5AEB6"/>
      </right>
      <top style="thin">
        <color rgb="FFA5AEB6"/>
      </top>
      <bottom style="thin">
        <color indexed="64"/>
      </bottom>
      <diagonal/>
    </border>
    <border>
      <left style="thin">
        <color rgb="FFA5AEB6"/>
      </left>
      <right style="thin">
        <color rgb="FFA5AEB6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rgb="FFA5AEB6"/>
      </bottom>
      <diagonal/>
    </border>
    <border>
      <left style="thin">
        <color rgb="FFA5AEB6"/>
      </left>
      <right/>
      <top style="thin">
        <color rgb="FFA5AEB6"/>
      </top>
      <bottom style="thin">
        <color rgb="FFA5AEB6"/>
      </bottom>
      <diagonal/>
    </border>
    <border>
      <left style="thin">
        <color rgb="FFA5AEB6"/>
      </left>
      <right/>
      <top style="thin">
        <color rgb="FFA5AEB6"/>
      </top>
      <bottom/>
      <diagonal/>
    </border>
    <border>
      <left/>
      <right/>
      <top style="thin">
        <color rgb="FFA5AEB6"/>
      </top>
      <bottom/>
      <diagonal/>
    </border>
    <border>
      <left/>
      <right style="thin">
        <color rgb="FFA5AEB6"/>
      </right>
      <top style="thin">
        <color rgb="FFA5AEB6"/>
      </top>
      <bottom style="thin">
        <color theme="4" tint="0.59996337778862885"/>
      </bottom>
      <diagonal/>
    </border>
    <border>
      <left/>
      <right style="thin">
        <color rgb="FFA5AEB6"/>
      </right>
      <top style="thin">
        <color rgb="FFA5AEB6"/>
      </top>
      <bottom/>
      <diagonal/>
    </border>
    <border>
      <left style="thin">
        <color theme="4" tint="0.59996337778862885"/>
      </left>
      <right style="thin">
        <color rgb="FFA5AEB6"/>
      </right>
      <top style="thin">
        <color rgb="FF000000"/>
      </top>
      <bottom style="thin">
        <color rgb="FFA5AEB6"/>
      </bottom>
      <diagonal/>
    </border>
    <border>
      <left/>
      <right style="thin">
        <color rgb="FFA5AEB6"/>
      </right>
      <top style="thin">
        <color rgb="FF000000"/>
      </top>
      <bottom style="thin">
        <color rgb="FFA5AEB6"/>
      </bottom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theme="4" tint="0.59996337778862885"/>
      </bottom>
      <diagonal/>
    </border>
    <border>
      <left style="thin">
        <color rgb="FFA5AEB6"/>
      </left>
      <right style="thin">
        <color rgb="FFA5AEB6"/>
      </right>
      <top/>
      <bottom style="thin">
        <color theme="4" tint="0.59996337778862885"/>
      </bottom>
      <diagonal/>
    </border>
    <border>
      <left style="thin">
        <color rgb="FFA5AEB6"/>
      </left>
      <right style="thin">
        <color rgb="FFA5AEB6"/>
      </right>
      <top style="thin">
        <color rgb="FF000000"/>
      </top>
      <bottom style="thin">
        <color rgb="FFA5AEB6"/>
      </bottom>
      <diagonal/>
    </border>
    <border>
      <left style="thin">
        <color rgb="FFA5AEB6"/>
      </left>
      <right style="thin">
        <color theme="4" tint="0.59996337778862885"/>
      </right>
      <top style="thin">
        <color rgb="FF000000"/>
      </top>
      <bottom style="thin">
        <color rgb="FFA5AEB6"/>
      </bottom>
      <diagonal/>
    </border>
    <border>
      <left style="thin">
        <color theme="4" tint="0.59996337778862885"/>
      </left>
      <right style="thin">
        <color rgb="FFA5AEB6"/>
      </right>
      <top/>
      <bottom style="thin">
        <color theme="4" tint="0.59996337778862885"/>
      </bottom>
      <diagonal/>
    </border>
    <border>
      <left/>
      <right/>
      <top style="double">
        <color indexed="64"/>
      </top>
      <bottom style="thin">
        <color rgb="FFA5AEB6"/>
      </bottom>
      <diagonal/>
    </border>
    <border>
      <left/>
      <right/>
      <top style="double">
        <color theme="1"/>
      </top>
      <bottom style="thin">
        <color rgb="FFA5AEB6"/>
      </bottom>
      <diagonal/>
    </border>
    <border>
      <left/>
      <right style="thin">
        <color rgb="FFA5AEB6"/>
      </right>
      <top/>
      <bottom style="thin">
        <color rgb="FFA5AEB6"/>
      </bottom>
      <diagonal/>
    </border>
    <border>
      <left/>
      <right style="thin">
        <color rgb="FFA5AEB6"/>
      </right>
      <top style="double">
        <color indexed="64"/>
      </top>
      <bottom style="thin">
        <color rgb="FFA5AEB6"/>
      </bottom>
      <diagonal/>
    </border>
    <border>
      <left style="thin">
        <color theme="4" tint="0.59996337778862885"/>
      </left>
      <right style="thin">
        <color rgb="FFA5AEB6"/>
      </right>
      <top style="thin">
        <color rgb="FF000000"/>
      </top>
      <bottom style="thin">
        <color rgb="FF000000"/>
      </bottom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rgb="FF000000"/>
      </bottom>
      <diagonal/>
    </border>
    <border>
      <left style="thin">
        <color rgb="FFA5AEB6"/>
      </left>
      <right style="thin">
        <color rgb="FFA5AEB6"/>
      </right>
      <top style="thin">
        <color rgb="FF000000"/>
      </top>
      <bottom style="thin">
        <color rgb="FF000000"/>
      </bottom>
      <diagonal/>
    </border>
    <border>
      <left style="thin">
        <color rgb="FFA5AEB6"/>
      </left>
      <right style="thin">
        <color rgb="FFA5AEB6"/>
      </right>
      <top style="thin">
        <color rgb="FFB8CCE4"/>
      </top>
      <bottom/>
      <diagonal/>
    </border>
    <border>
      <left style="thin">
        <color rgb="FFA5AEB6"/>
      </left>
      <right style="thin">
        <color rgb="FFA5AEB6"/>
      </right>
      <top/>
      <bottom style="thin">
        <color rgb="FF000000"/>
      </bottom>
      <diagonal/>
    </border>
    <border>
      <left/>
      <right style="thin">
        <color rgb="FFA5AEB6"/>
      </right>
      <top/>
      <bottom style="thin">
        <color rgb="FF000000"/>
      </bottom>
      <diagonal/>
    </border>
    <border>
      <left style="thin">
        <color rgb="FFA5AEB6"/>
      </left>
      <right style="thin">
        <color rgb="FFA5AEB6"/>
      </right>
      <top/>
      <bottom/>
      <diagonal/>
    </border>
    <border>
      <left style="thin">
        <color theme="4" tint="0.59996337778862885"/>
      </left>
      <right style="thin">
        <color rgb="FFA5AEB6"/>
      </right>
      <top style="thin">
        <color rgb="FF000000"/>
      </top>
      <bottom/>
      <diagonal/>
    </border>
    <border>
      <left/>
      <right style="thin">
        <color rgb="FFA5AEB6"/>
      </right>
      <top style="thin">
        <color rgb="FF000000"/>
      </top>
      <bottom/>
      <diagonal/>
    </border>
    <border>
      <left/>
      <right style="thin">
        <color rgb="FFA5AEB6"/>
      </right>
      <top style="thin">
        <color rgb="FF000000"/>
      </top>
      <bottom style="thin">
        <color rgb="FF000000"/>
      </bottom>
      <diagonal/>
    </border>
    <border>
      <left style="thin">
        <color theme="4" tint="0.59996337778862885"/>
      </left>
      <right style="thin">
        <color rgb="FFA5AEB6"/>
      </right>
      <top/>
      <bottom/>
      <diagonal/>
    </border>
    <border>
      <left style="thin">
        <color rgb="FFA5AEB6"/>
      </left>
      <right style="thin">
        <color rgb="FFA5AEB6"/>
      </right>
      <top style="thin">
        <color rgb="FF000000"/>
      </top>
      <bottom/>
      <diagonal/>
    </border>
    <border>
      <left/>
      <right style="thin">
        <color rgb="FFA5AEB6"/>
      </right>
      <top style="thin">
        <color rgb="FFA5AEB6"/>
      </top>
      <bottom style="thin">
        <color rgb="FF000000"/>
      </bottom>
      <diagonal/>
    </border>
    <border>
      <left/>
      <right/>
      <top style="thin">
        <color rgb="FFA5AEB6"/>
      </top>
      <bottom style="thin">
        <color rgb="FF000000"/>
      </bottom>
      <diagonal/>
    </border>
    <border>
      <left style="thin">
        <color rgb="FFA5AEB6"/>
      </left>
      <right style="thin">
        <color rgb="FFA5AEB6"/>
      </right>
      <top style="thin">
        <color auto="1"/>
      </top>
      <bottom/>
      <diagonal/>
    </border>
    <border>
      <left style="thin">
        <color theme="4" tint="0.59996337778862885"/>
      </left>
      <right style="thin">
        <color rgb="FFA5AEB6"/>
      </right>
      <top style="thin">
        <color auto="1"/>
      </top>
      <bottom/>
      <diagonal/>
    </border>
    <border>
      <left/>
      <right style="thin">
        <color rgb="FFA5AEB6"/>
      </right>
      <top style="thin">
        <color indexed="64"/>
      </top>
      <bottom style="thin">
        <color indexed="64"/>
      </bottom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rgb="FFB8CCE4"/>
      </bottom>
      <diagonal/>
    </border>
    <border>
      <left/>
      <right style="thin">
        <color rgb="FFA5AEB6"/>
      </right>
      <top/>
      <bottom style="thin">
        <color rgb="FFB8CCE4"/>
      </bottom>
      <diagonal/>
    </border>
    <border>
      <left/>
      <right style="thin">
        <color rgb="FFA5AEB6"/>
      </right>
      <top style="thin">
        <color theme="4" tint="0.59996337778862885"/>
      </top>
      <bottom style="thin">
        <color rgb="FFA5AEB6"/>
      </bottom>
      <diagonal/>
    </border>
    <border>
      <left/>
      <right style="thin">
        <color rgb="FFA5AEB6"/>
      </right>
      <top style="thin">
        <color rgb="FFB8CCE4"/>
      </top>
      <bottom/>
      <diagonal/>
    </border>
    <border>
      <left/>
      <right style="thin">
        <color rgb="FFA5AEB6"/>
      </right>
      <top style="thin">
        <color rgb="FFA5AEB6"/>
      </top>
      <bottom style="thin">
        <color rgb="FFB8CCE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A5AEB6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A5AEB6"/>
      </bottom>
      <diagonal/>
    </border>
    <border>
      <left style="thin">
        <color rgb="FFA5AEB6"/>
      </left>
      <right/>
      <top style="thin">
        <color rgb="FF000000"/>
      </top>
      <bottom style="thin">
        <color rgb="FFA5AEB6"/>
      </bottom>
      <diagonal/>
    </border>
    <border>
      <left style="thin">
        <color rgb="FFA5AEB6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A5AEB6"/>
      </left>
      <right style="thin">
        <color rgb="FFA5AEB6"/>
      </right>
      <top/>
      <bottom style="thin">
        <color rgb="FFB8CCE4"/>
      </bottom>
      <diagonal/>
    </border>
    <border>
      <left style="thin">
        <color rgb="FFA5AEB6"/>
      </left>
      <right/>
      <top style="thin">
        <color rgb="FF000000"/>
      </top>
      <bottom style="thin">
        <color rgb="FF000000"/>
      </bottom>
      <diagonal/>
    </border>
    <border>
      <left style="thin">
        <color rgb="FFA5AEB6"/>
      </left>
      <right/>
      <top style="thin">
        <color rgb="FFA5AEB6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42">
    <xf numFmtId="0" fontId="0" fillId="0" borderId="0" xfId="0"/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0" fontId="8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12" fillId="3" borderId="0" xfId="0" applyFont="1" applyFill="1" applyAlignment="1">
      <alignment horizontal="left"/>
    </xf>
    <xf numFmtId="0" fontId="13" fillId="0" borderId="0" xfId="0" applyFont="1"/>
    <xf numFmtId="0" fontId="15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 indent="1"/>
    </xf>
    <xf numFmtId="0" fontId="3" fillId="2" borderId="0" xfId="0" applyFont="1" applyFill="1" applyAlignment="1">
      <alignment horizontal="left"/>
    </xf>
    <xf numFmtId="0" fontId="0" fillId="2" borderId="1" xfId="0" applyFill="1" applyBorder="1"/>
    <xf numFmtId="0" fontId="0" fillId="2" borderId="2" xfId="0" applyFill="1" applyBorder="1"/>
    <xf numFmtId="37" fontId="3" fillId="4" borderId="3" xfId="0" applyNumberFormat="1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left" indent="1"/>
    </xf>
    <xf numFmtId="37" fontId="3" fillId="4" borderId="4" xfId="0" applyNumberFormat="1" applyFont="1" applyFill="1" applyBorder="1"/>
    <xf numFmtId="37" fontId="0" fillId="4" borderId="5" xfId="0" applyNumberFormat="1" applyFill="1" applyBorder="1"/>
    <xf numFmtId="37" fontId="3" fillId="4" borderId="6" xfId="0" applyNumberFormat="1" applyFont="1" applyFill="1" applyBorder="1"/>
    <xf numFmtId="37" fontId="3" fillId="4" borderId="8" xfId="0" applyNumberFormat="1" applyFont="1" applyFill="1" applyBorder="1"/>
    <xf numFmtId="0" fontId="13" fillId="0" borderId="0" xfId="0" applyFont="1" applyAlignment="1">
      <alignment horizontal="left"/>
    </xf>
    <xf numFmtId="37" fontId="3" fillId="0" borderId="0" xfId="0" applyNumberFormat="1" applyFont="1"/>
    <xf numFmtId="0" fontId="0" fillId="0" borderId="2" xfId="0" applyBorder="1"/>
    <xf numFmtId="0" fontId="0" fillId="2" borderId="9" xfId="0" applyFill="1" applyBorder="1"/>
    <xf numFmtId="168" fontId="0" fillId="2" borderId="0" xfId="0" applyNumberFormat="1" applyFill="1"/>
    <xf numFmtId="168" fontId="3" fillId="0" borderId="0" xfId="2" applyNumberFormat="1" applyFont="1" applyFill="1" applyBorder="1"/>
    <xf numFmtId="168" fontId="0" fillId="0" borderId="0" xfId="0" applyNumberFormat="1"/>
    <xf numFmtId="0" fontId="17" fillId="2" borderId="0" xfId="0" applyFont="1" applyFill="1" applyAlignment="1">
      <alignment horizontal="left"/>
    </xf>
    <xf numFmtId="37" fontId="0" fillId="0" borderId="10" xfId="0" applyNumberFormat="1" applyBorder="1"/>
    <xf numFmtId="165" fontId="0" fillId="0" borderId="10" xfId="2" applyNumberFormat="1" applyFont="1" applyFill="1" applyBorder="1"/>
    <xf numFmtId="44" fontId="0" fillId="0" borderId="10" xfId="3" applyFont="1" applyFill="1" applyBorder="1"/>
    <xf numFmtId="0" fontId="9" fillId="6" borderId="10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0" fontId="0" fillId="2" borderId="16" xfId="0" applyFill="1" applyBorder="1"/>
    <xf numFmtId="168" fontId="14" fillId="2" borderId="15" xfId="0" applyNumberFormat="1" applyFont="1" applyFill="1" applyBorder="1"/>
    <xf numFmtId="168" fontId="11" fillId="0" borderId="15" xfId="2" applyNumberFormat="1" applyFont="1" applyBorder="1" applyAlignment="1">
      <alignment horizontal="right"/>
    </xf>
    <xf numFmtId="168" fontId="3" fillId="0" borderId="18" xfId="2" applyNumberFormat="1" applyFont="1" applyFill="1" applyBorder="1"/>
    <xf numFmtId="167" fontId="16" fillId="2" borderId="21" xfId="1" applyNumberFormat="1" applyFont="1" applyFill="1" applyBorder="1"/>
    <xf numFmtId="167" fontId="11" fillId="0" borderId="21" xfId="1" applyNumberFormat="1" applyFont="1" applyBorder="1" applyAlignment="1">
      <alignment horizontal="right"/>
    </xf>
    <xf numFmtId="165" fontId="0" fillId="6" borderId="10" xfId="2" applyNumberFormat="1" applyFont="1" applyFill="1" applyBorder="1"/>
    <xf numFmtId="0" fontId="0" fillId="2" borderId="21" xfId="0" applyFill="1" applyBorder="1"/>
    <xf numFmtId="0" fontId="0" fillId="2" borderId="15" xfId="0" applyFill="1" applyBorder="1"/>
    <xf numFmtId="167" fontId="0" fillId="0" borderId="10" xfId="0" applyNumberFormat="1" applyBorder="1"/>
    <xf numFmtId="168" fontId="0" fillId="0" borderId="10" xfId="2" applyNumberFormat="1" applyFont="1" applyFill="1" applyBorder="1"/>
    <xf numFmtId="167" fontId="0" fillId="2" borderId="21" xfId="0" applyNumberFormat="1" applyFill="1" applyBorder="1"/>
    <xf numFmtId="168" fontId="0" fillId="2" borderId="15" xfId="0" applyNumberFormat="1" applyFill="1" applyBorder="1"/>
    <xf numFmtId="167" fontId="0" fillId="0" borderId="26" xfId="0" applyNumberFormat="1" applyBorder="1"/>
    <xf numFmtId="37" fontId="0" fillId="0" borderId="26" xfId="0" applyNumberFormat="1" applyBorder="1"/>
    <xf numFmtId="168" fontId="0" fillId="0" borderId="26" xfId="2" applyNumberFormat="1" applyFont="1" applyFill="1" applyBorder="1"/>
    <xf numFmtId="167" fontId="3" fillId="0" borderId="25" xfId="0" applyNumberFormat="1" applyFont="1" applyBorder="1"/>
    <xf numFmtId="168" fontId="3" fillId="0" borderId="25" xfId="2" applyNumberFormat="1" applyFont="1" applyFill="1" applyBorder="1"/>
    <xf numFmtId="167" fontId="3" fillId="0" borderId="27" xfId="0" applyNumberFormat="1" applyFont="1" applyBorder="1"/>
    <xf numFmtId="37" fontId="3" fillId="0" borderId="27" xfId="0" applyNumberFormat="1" applyFont="1" applyBorder="1"/>
    <xf numFmtId="168" fontId="3" fillId="0" borderId="27" xfId="2" applyNumberFormat="1" applyFont="1" applyFill="1" applyBorder="1"/>
    <xf numFmtId="167" fontId="0" fillId="0" borderId="24" xfId="0" applyNumberFormat="1" applyBorder="1"/>
    <xf numFmtId="168" fontId="0" fillId="0" borderId="24" xfId="2" applyNumberFormat="1" applyFont="1" applyFill="1" applyBorder="1"/>
    <xf numFmtId="167" fontId="3" fillId="0" borderId="29" xfId="0" applyNumberFormat="1" applyFont="1" applyBorder="1"/>
    <xf numFmtId="168" fontId="3" fillId="0" borderId="31" xfId="2" applyNumberFormat="1" applyFont="1" applyFill="1" applyBorder="1"/>
    <xf numFmtId="167" fontId="3" fillId="0" borderId="32" xfId="0" applyNumberFormat="1" applyFont="1" applyBorder="1"/>
    <xf numFmtId="37" fontId="3" fillId="0" borderId="32" xfId="0" applyNumberFormat="1" applyFont="1" applyBorder="1"/>
    <xf numFmtId="168" fontId="3" fillId="0" borderId="32" xfId="2" applyNumberFormat="1" applyFont="1" applyFill="1" applyBorder="1"/>
    <xf numFmtId="167" fontId="11" fillId="0" borderId="33" xfId="1" applyNumberFormat="1" applyFont="1" applyBorder="1" applyAlignment="1">
      <alignment horizontal="right"/>
    </xf>
    <xf numFmtId="168" fontId="11" fillId="0" borderId="35" xfId="2" applyNumberFormat="1" applyFont="1" applyBorder="1" applyAlignment="1">
      <alignment horizontal="right"/>
    </xf>
    <xf numFmtId="167" fontId="3" fillId="0" borderId="36" xfId="0" applyNumberFormat="1" applyFont="1" applyBorder="1"/>
    <xf numFmtId="168" fontId="3" fillId="0" borderId="36" xfId="2" applyNumberFormat="1" applyFont="1" applyFill="1" applyBorder="1"/>
    <xf numFmtId="0" fontId="9" fillId="6" borderId="30" xfId="0" applyFont="1" applyFill="1" applyBorder="1" applyAlignment="1">
      <alignment horizontal="center"/>
    </xf>
    <xf numFmtId="0" fontId="0" fillId="0" borderId="15" xfId="0" applyBorder="1"/>
    <xf numFmtId="0" fontId="9" fillId="6" borderId="10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Continuous" wrapText="1"/>
    </xf>
    <xf numFmtId="0" fontId="0" fillId="2" borderId="12" xfId="0" applyFill="1" applyBorder="1"/>
    <xf numFmtId="0" fontId="0" fillId="2" borderId="40" xfId="0" applyFill="1" applyBorder="1"/>
    <xf numFmtId="0" fontId="0" fillId="2" borderId="42" xfId="0" applyFill="1" applyBorder="1"/>
    <xf numFmtId="0" fontId="0" fillId="2" borderId="17" xfId="0" applyFill="1" applyBorder="1"/>
    <xf numFmtId="168" fontId="3" fillId="0" borderId="43" xfId="2" applyNumberFormat="1" applyFont="1" applyFill="1" applyBorder="1"/>
    <xf numFmtId="168" fontId="0" fillId="0" borderId="41" xfId="2" applyNumberFormat="1" applyFont="1" applyFill="1" applyBorder="1"/>
    <xf numFmtId="168" fontId="3" fillId="0" borderId="44" xfId="2" applyNumberFormat="1" applyFont="1" applyFill="1" applyBorder="1"/>
    <xf numFmtId="37" fontId="3" fillId="0" borderId="43" xfId="0" applyNumberFormat="1" applyFont="1" applyBorder="1"/>
    <xf numFmtId="37" fontId="0" fillId="0" borderId="41" xfId="0" applyNumberFormat="1" applyBorder="1"/>
    <xf numFmtId="37" fontId="3" fillId="0" borderId="44" xfId="0" applyNumberFormat="1" applyFont="1" applyBorder="1"/>
    <xf numFmtId="168" fontId="14" fillId="2" borderId="40" xfId="0" applyNumberFormat="1" applyFont="1" applyFill="1" applyBorder="1"/>
    <xf numFmtId="168" fontId="3" fillId="0" borderId="20" xfId="2" applyNumberFormat="1" applyFont="1" applyFill="1" applyBorder="1"/>
    <xf numFmtId="37" fontId="0" fillId="0" borderId="30" xfId="0" applyNumberFormat="1" applyBorder="1"/>
    <xf numFmtId="37" fontId="0" fillId="0" borderId="45" xfId="0" applyNumberFormat="1" applyBorder="1"/>
    <xf numFmtId="37" fontId="3" fillId="0" borderId="47" xfId="0" applyNumberFormat="1" applyFont="1" applyBorder="1"/>
    <xf numFmtId="0" fontId="0" fillId="2" borderId="22" xfId="0" applyFill="1" applyBorder="1"/>
    <xf numFmtId="0" fontId="0" fillId="2" borderId="19" xfId="0" applyFill="1" applyBorder="1"/>
    <xf numFmtId="0" fontId="0" fillId="2" borderId="37" xfId="0" applyFill="1" applyBorder="1"/>
    <xf numFmtId="168" fontId="14" fillId="2" borderId="9" xfId="0" applyNumberFormat="1" applyFont="1" applyFill="1" applyBorder="1"/>
    <xf numFmtId="168" fontId="11" fillId="0" borderId="34" xfId="2" applyNumberFormat="1" applyFont="1" applyBorder="1" applyAlignment="1">
      <alignment horizontal="right"/>
    </xf>
    <xf numFmtId="168" fontId="14" fillId="2" borderId="0" xfId="0" applyNumberFormat="1" applyFont="1" applyFill="1"/>
    <xf numFmtId="168" fontId="14" fillId="2" borderId="50" xfId="0" applyNumberFormat="1" applyFont="1" applyFill="1" applyBorder="1"/>
    <xf numFmtId="168" fontId="0" fillId="2" borderId="37" xfId="0" applyNumberFormat="1" applyFill="1" applyBorder="1"/>
    <xf numFmtId="168" fontId="11" fillId="0" borderId="51" xfId="2" applyNumberFormat="1" applyFont="1" applyBorder="1" applyAlignment="1">
      <alignment horizontal="right"/>
    </xf>
    <xf numFmtId="0" fontId="0" fillId="2" borderId="52" xfId="0" applyFill="1" applyBorder="1"/>
    <xf numFmtId="0" fontId="0" fillId="2" borderId="14" xfId="0" applyFill="1" applyBorder="1"/>
    <xf numFmtId="37" fontId="3" fillId="0" borderId="56" xfId="0" applyNumberFormat="1" applyFont="1" applyBorder="1"/>
    <xf numFmtId="168" fontId="3" fillId="0" borderId="56" xfId="2" applyNumberFormat="1" applyFont="1" applyFill="1" applyBorder="1"/>
    <xf numFmtId="37" fontId="0" fillId="0" borderId="57" xfId="0" applyNumberFormat="1" applyBorder="1"/>
    <xf numFmtId="37" fontId="0" fillId="0" borderId="60" xfId="0" applyNumberFormat="1" applyBorder="1"/>
    <xf numFmtId="168" fontId="0" fillId="0" borderId="60" xfId="2" applyNumberFormat="1" applyFont="1" applyFill="1" applyBorder="1"/>
    <xf numFmtId="168" fontId="0" fillId="0" borderId="30" xfId="2" applyNumberFormat="1" applyFont="1" applyFill="1" applyBorder="1"/>
    <xf numFmtId="167" fontId="0" fillId="0" borderId="62" xfId="0" applyNumberFormat="1" applyBorder="1"/>
    <xf numFmtId="167" fontId="0" fillId="0" borderId="30" xfId="0" applyNumberFormat="1" applyBorder="1"/>
    <xf numFmtId="167" fontId="0" fillId="0" borderId="15" xfId="0" applyNumberFormat="1" applyBorder="1"/>
    <xf numFmtId="167" fontId="3" fillId="0" borderId="63" xfId="0" applyNumberFormat="1" applyFont="1" applyBorder="1"/>
    <xf numFmtId="37" fontId="0" fillId="0" borderId="0" xfId="0" applyNumberFormat="1"/>
    <xf numFmtId="168" fontId="0" fillId="0" borderId="0" xfId="2" applyNumberFormat="1" applyFont="1" applyFill="1" applyBorder="1"/>
    <xf numFmtId="168" fontId="0" fillId="0" borderId="10" xfId="2" applyNumberFormat="1" applyFont="1" applyBorder="1"/>
    <xf numFmtId="167" fontId="0" fillId="0" borderId="42" xfId="0" applyNumberFormat="1" applyBorder="1"/>
    <xf numFmtId="167" fontId="0" fillId="0" borderId="44" xfId="0" applyNumberFormat="1" applyBorder="1"/>
    <xf numFmtId="167" fontId="0" fillId="0" borderId="17" xfId="0" applyNumberFormat="1" applyBorder="1"/>
    <xf numFmtId="167" fontId="3" fillId="0" borderId="62" xfId="0" applyNumberFormat="1" applyFont="1" applyBorder="1"/>
    <xf numFmtId="167" fontId="3" fillId="0" borderId="44" xfId="0" applyNumberFormat="1" applyFont="1" applyBorder="1"/>
    <xf numFmtId="168" fontId="0" fillId="0" borderId="26" xfId="2" applyNumberFormat="1" applyFont="1" applyBorder="1"/>
    <xf numFmtId="168" fontId="0" fillId="0" borderId="47" xfId="2" applyNumberFormat="1" applyFont="1" applyBorder="1"/>
    <xf numFmtId="168" fontId="0" fillId="0" borderId="46" xfId="2" applyNumberFormat="1" applyFont="1" applyBorder="1"/>
    <xf numFmtId="168" fontId="0" fillId="0" borderId="60" xfId="2" applyNumberFormat="1" applyFont="1" applyBorder="1"/>
    <xf numFmtId="168" fontId="3" fillId="0" borderId="65" xfId="2" applyNumberFormat="1" applyFont="1" applyFill="1" applyBorder="1"/>
    <xf numFmtId="168" fontId="3" fillId="0" borderId="47" xfId="2" applyNumberFormat="1" applyFont="1" applyFill="1" applyBorder="1"/>
    <xf numFmtId="168" fontId="0" fillId="0" borderId="45" xfId="2" applyNumberFormat="1" applyFont="1" applyFill="1" applyBorder="1"/>
    <xf numFmtId="167" fontId="0" fillId="2" borderId="67" xfId="0" applyNumberFormat="1" applyFill="1" applyBorder="1"/>
    <xf numFmtId="168" fontId="0" fillId="2" borderId="67" xfId="0" applyNumberFormat="1" applyFill="1" applyBorder="1"/>
    <xf numFmtId="168" fontId="3" fillId="0" borderId="61" xfId="2" applyNumberFormat="1" applyFont="1" applyFill="1" applyBorder="1"/>
    <xf numFmtId="37" fontId="3" fillId="4" borderId="14" xfId="0" applyNumberFormat="1" applyFont="1" applyFill="1" applyBorder="1"/>
    <xf numFmtId="37" fontId="3" fillId="4" borderId="13" xfId="0" applyNumberFormat="1" applyFont="1" applyFill="1" applyBorder="1"/>
    <xf numFmtId="37" fontId="3" fillId="0" borderId="62" xfId="0" applyNumberFormat="1" applyFont="1" applyBorder="1"/>
    <xf numFmtId="37" fontId="3" fillId="0" borderId="13" xfId="0" applyNumberFormat="1" applyFont="1" applyBorder="1"/>
    <xf numFmtId="168" fontId="3" fillId="0" borderId="62" xfId="2" applyNumberFormat="1" applyFont="1" applyFill="1" applyBorder="1"/>
    <xf numFmtId="168" fontId="3" fillId="0" borderId="13" xfId="2" applyNumberFormat="1" applyFont="1" applyFill="1" applyBorder="1"/>
    <xf numFmtId="37" fontId="0" fillId="4" borderId="10" xfId="0" applyNumberFormat="1" applyFill="1" applyBorder="1"/>
    <xf numFmtId="37" fontId="3" fillId="4" borderId="43" xfId="0" applyNumberFormat="1" applyFont="1" applyFill="1" applyBorder="1"/>
    <xf numFmtId="37" fontId="0" fillId="4" borderId="41" xfId="0" applyNumberFormat="1" applyFill="1" applyBorder="1"/>
    <xf numFmtId="37" fontId="3" fillId="4" borderId="44" xfId="0" applyNumberFormat="1" applyFont="1" applyFill="1" applyBorder="1"/>
    <xf numFmtId="37" fontId="0" fillId="4" borderId="17" xfId="0" applyNumberFormat="1" applyFill="1" applyBorder="1"/>
    <xf numFmtId="37" fontId="3" fillId="0" borderId="65" xfId="0" applyNumberFormat="1" applyFont="1" applyBorder="1"/>
    <xf numFmtId="37" fontId="3" fillId="0" borderId="20" xfId="0" applyNumberFormat="1" applyFont="1" applyBorder="1"/>
    <xf numFmtId="37" fontId="0" fillId="4" borderId="30" xfId="0" applyNumberFormat="1" applyFill="1" applyBorder="1"/>
    <xf numFmtId="168" fontId="0" fillId="0" borderId="64" xfId="2" applyNumberFormat="1" applyFont="1" applyFill="1" applyBorder="1"/>
    <xf numFmtId="168" fontId="3" fillId="0" borderId="54" xfId="2" applyNumberFormat="1" applyFont="1" applyFill="1" applyBorder="1"/>
    <xf numFmtId="168" fontId="0" fillId="0" borderId="15" xfId="2" applyNumberFormat="1" applyFont="1" applyFill="1" applyBorder="1"/>
    <xf numFmtId="168" fontId="3" fillId="0" borderId="63" xfId="2" applyNumberFormat="1" applyFont="1" applyFill="1" applyBorder="1"/>
    <xf numFmtId="37" fontId="0" fillId="4" borderId="26" xfId="0" applyNumberFormat="1" applyFill="1" applyBorder="1"/>
    <xf numFmtId="37" fontId="3" fillId="4" borderId="56" xfId="0" applyNumberFormat="1" applyFont="1" applyFill="1" applyBorder="1"/>
    <xf numFmtId="37" fontId="0" fillId="0" borderId="42" xfId="0" applyNumberFormat="1" applyBorder="1"/>
    <xf numFmtId="37" fontId="3" fillId="0" borderId="63" xfId="0" applyNumberFormat="1" applyFont="1" applyBorder="1"/>
    <xf numFmtId="37" fontId="0" fillId="4" borderId="15" xfId="0" applyNumberFormat="1" applyFill="1" applyBorder="1"/>
    <xf numFmtId="37" fontId="3" fillId="4" borderId="63" xfId="0" applyNumberFormat="1" applyFont="1" applyFill="1" applyBorder="1"/>
    <xf numFmtId="168" fontId="0" fillId="0" borderId="42" xfId="2" applyNumberFormat="1" applyFont="1" applyFill="1" applyBorder="1"/>
    <xf numFmtId="168" fontId="0" fillId="0" borderId="17" xfId="2" applyNumberFormat="1" applyFont="1" applyFill="1" applyBorder="1"/>
    <xf numFmtId="37" fontId="0" fillId="0" borderId="15" xfId="0" applyNumberFormat="1" applyBorder="1"/>
    <xf numFmtId="37" fontId="0" fillId="0" borderId="17" xfId="0" applyNumberFormat="1" applyBorder="1"/>
    <xf numFmtId="37" fontId="0" fillId="0" borderId="46" xfId="0" applyNumberFormat="1" applyBorder="1"/>
    <xf numFmtId="168" fontId="0" fillId="0" borderId="30" xfId="2" applyNumberFormat="1" applyFont="1" applyBorder="1"/>
    <xf numFmtId="37" fontId="0" fillId="0" borderId="47" xfId="0" applyNumberFormat="1" applyBorder="1"/>
    <xf numFmtId="168" fontId="0" fillId="0" borderId="42" xfId="2" applyNumberFormat="1" applyFont="1" applyBorder="1"/>
    <xf numFmtId="168" fontId="0" fillId="0" borderId="44" xfId="2" applyNumberFormat="1" applyFont="1" applyBorder="1"/>
    <xf numFmtId="168" fontId="0" fillId="0" borderId="17" xfId="2" applyNumberFormat="1" applyFont="1" applyBorder="1"/>
    <xf numFmtId="168" fontId="0" fillId="0" borderId="15" xfId="2" applyNumberFormat="1" applyFont="1" applyBorder="1"/>
    <xf numFmtId="37" fontId="0" fillId="4" borderId="42" xfId="0" applyNumberFormat="1" applyFill="1" applyBorder="1"/>
    <xf numFmtId="37" fontId="0" fillId="4" borderId="44" xfId="0" applyNumberFormat="1" applyFill="1" applyBorder="1"/>
    <xf numFmtId="37" fontId="3" fillId="4" borderId="62" xfId="0" applyNumberFormat="1" applyFont="1" applyFill="1" applyBorder="1"/>
    <xf numFmtId="37" fontId="0" fillId="0" borderId="44" xfId="0" applyNumberFormat="1" applyBorder="1"/>
    <xf numFmtId="37" fontId="3" fillId="0" borderId="61" xfId="0" applyNumberFormat="1" applyFont="1" applyBorder="1"/>
    <xf numFmtId="165" fontId="3" fillId="0" borderId="44" xfId="2" applyNumberFormat="1" applyFont="1" applyFill="1" applyBorder="1"/>
    <xf numFmtId="165" fontId="3" fillId="0" borderId="18" xfId="2" applyNumberFormat="1" applyFont="1" applyFill="1" applyBorder="1"/>
    <xf numFmtId="37" fontId="0" fillId="0" borderId="66" xfId="0" applyNumberFormat="1" applyBorder="1"/>
    <xf numFmtId="168" fontId="0" fillId="0" borderId="65" xfId="2" applyNumberFormat="1" applyFont="1" applyFill="1" applyBorder="1"/>
    <xf numFmtId="168" fontId="0" fillId="0" borderId="55" xfId="2" applyNumberFormat="1" applyFont="1" applyFill="1" applyBorder="1"/>
    <xf numFmtId="168" fontId="0" fillId="2" borderId="42" xfId="0" applyNumberFormat="1" applyFill="1" applyBorder="1"/>
    <xf numFmtId="0" fontId="0" fillId="0" borderId="39" xfId="0" applyBorder="1"/>
    <xf numFmtId="0" fontId="0" fillId="0" borderId="12" xfId="0" applyBorder="1"/>
    <xf numFmtId="0" fontId="0" fillId="2" borderId="23" xfId="0" applyFill="1" applyBorder="1"/>
    <xf numFmtId="166" fontId="0" fillId="4" borderId="30" xfId="0" applyNumberFormat="1" applyFill="1" applyBorder="1"/>
    <xf numFmtId="169" fontId="0" fillId="4" borderId="30" xfId="0" applyNumberFormat="1" applyFill="1" applyBorder="1"/>
    <xf numFmtId="37" fontId="0" fillId="4" borderId="27" xfId="0" applyNumberFormat="1" applyFill="1" applyBorder="1"/>
    <xf numFmtId="37" fontId="0" fillId="4" borderId="60" xfId="0" applyNumberFormat="1" applyFill="1" applyBorder="1"/>
    <xf numFmtId="0" fontId="0" fillId="0" borderId="37" xfId="0" applyBorder="1"/>
    <xf numFmtId="37" fontId="11" fillId="0" borderId="0" xfId="1" applyNumberFormat="1" applyFont="1" applyFill="1" applyAlignment="1">
      <alignment horizontal="right"/>
    </xf>
    <xf numFmtId="0" fontId="0" fillId="0" borderId="50" xfId="0" applyBorder="1"/>
    <xf numFmtId="0" fontId="0" fillId="0" borderId="9" xfId="0" applyBorder="1"/>
    <xf numFmtId="0" fontId="0" fillId="0" borderId="34" xfId="0" applyBorder="1"/>
    <xf numFmtId="37" fontId="11" fillId="0" borderId="50" xfId="1" applyNumberFormat="1" applyFont="1" applyFill="1" applyBorder="1" applyAlignment="1">
      <alignment horizontal="right"/>
    </xf>
    <xf numFmtId="37" fontId="3" fillId="4" borderId="32" xfId="0" applyNumberFormat="1" applyFont="1" applyFill="1" applyBorder="1"/>
    <xf numFmtId="37" fontId="0" fillId="4" borderId="46" xfId="0" applyNumberFormat="1" applyFill="1" applyBorder="1"/>
    <xf numFmtId="37" fontId="3" fillId="4" borderId="47" xfId="0" applyNumberFormat="1" applyFont="1" applyFill="1" applyBorder="1"/>
    <xf numFmtId="37" fontId="0" fillId="4" borderId="11" xfId="0" applyNumberFormat="1" applyFill="1" applyBorder="1"/>
    <xf numFmtId="37" fontId="3" fillId="4" borderId="20" xfId="0" applyNumberFormat="1" applyFont="1" applyFill="1" applyBorder="1"/>
    <xf numFmtId="37" fontId="0" fillId="4" borderId="45" xfId="0" applyNumberFormat="1" applyFill="1" applyBorder="1"/>
    <xf numFmtId="0" fontId="0" fillId="0" borderId="52" xfId="0" applyBorder="1"/>
    <xf numFmtId="37" fontId="11" fillId="0" borderId="15" xfId="1" applyNumberFormat="1" applyFont="1" applyFill="1" applyBorder="1" applyAlignment="1">
      <alignment horizontal="right"/>
    </xf>
    <xf numFmtId="0" fontId="0" fillId="0" borderId="53" xfId="0" applyBorder="1"/>
    <xf numFmtId="0" fontId="0" fillId="0" borderId="14" xfId="0" applyBorder="1"/>
    <xf numFmtId="0" fontId="0" fillId="0" borderId="35" xfId="0" applyBorder="1"/>
    <xf numFmtId="37" fontId="11" fillId="0" borderId="53" xfId="1" applyNumberFormat="1" applyFont="1" applyFill="1" applyBorder="1" applyAlignment="1">
      <alignment horizontal="right"/>
    </xf>
    <xf numFmtId="167" fontId="16" fillId="2" borderId="33" xfId="1" applyNumberFormat="1" applyFont="1" applyFill="1" applyBorder="1"/>
    <xf numFmtId="168" fontId="14" fillId="2" borderId="35" xfId="0" applyNumberFormat="1" applyFont="1" applyFill="1" applyBorder="1"/>
    <xf numFmtId="167" fontId="16" fillId="2" borderId="12" xfId="1" applyNumberFormat="1" applyFont="1" applyFill="1" applyBorder="1"/>
    <xf numFmtId="168" fontId="0" fillId="0" borderId="38" xfId="2" applyNumberFormat="1" applyFont="1" applyFill="1" applyBorder="1"/>
    <xf numFmtId="37" fontId="0" fillId="4" borderId="48" xfId="0" applyNumberFormat="1" applyFill="1" applyBorder="1"/>
    <xf numFmtId="37" fontId="3" fillId="4" borderId="68" xfId="0" applyNumberFormat="1" applyFont="1" applyFill="1" applyBorder="1"/>
    <xf numFmtId="37" fontId="0" fillId="0" borderId="65" xfId="0" applyNumberFormat="1" applyBorder="1"/>
    <xf numFmtId="37" fontId="0" fillId="0" borderId="55" xfId="0" applyNumberFormat="1" applyBorder="1"/>
    <xf numFmtId="168" fontId="0" fillId="2" borderId="40" xfId="0" applyNumberFormat="1" applyFill="1" applyBorder="1"/>
    <xf numFmtId="0" fontId="0" fillId="0" borderId="42" xfId="0" applyBorder="1"/>
    <xf numFmtId="165" fontId="3" fillId="0" borderId="62" xfId="2" applyNumberFormat="1" applyFont="1" applyFill="1" applyBorder="1"/>
    <xf numFmtId="165" fontId="3" fillId="0" borderId="13" xfId="2" applyNumberFormat="1" applyFont="1" applyFill="1" applyBorder="1"/>
    <xf numFmtId="168" fontId="0" fillId="2" borderId="52" xfId="0" applyNumberFormat="1" applyFill="1" applyBorder="1"/>
    <xf numFmtId="168" fontId="0" fillId="0" borderId="66" xfId="2" applyNumberFormat="1" applyFont="1" applyFill="1" applyBorder="1"/>
    <xf numFmtId="165" fontId="0" fillId="0" borderId="17" xfId="2" applyNumberFormat="1" applyFont="1" applyFill="1" applyBorder="1"/>
    <xf numFmtId="37" fontId="0" fillId="4" borderId="52" xfId="0" applyNumberFormat="1" applyFill="1" applyBorder="1"/>
    <xf numFmtId="37" fontId="3" fillId="4" borderId="69" xfId="0" applyNumberFormat="1" applyFont="1" applyFill="1" applyBorder="1"/>
    <xf numFmtId="37" fontId="3" fillId="4" borderId="18" xfId="0" applyNumberFormat="1" applyFont="1" applyFill="1" applyBorder="1"/>
    <xf numFmtId="168" fontId="0" fillId="0" borderId="37" xfId="0" applyNumberFormat="1" applyBorder="1"/>
    <xf numFmtId="37" fontId="0" fillId="0" borderId="58" xfId="0" applyNumberFormat="1" applyBorder="1"/>
    <xf numFmtId="168" fontId="0" fillId="0" borderId="47" xfId="2" applyNumberFormat="1" applyFont="1" applyFill="1" applyBorder="1"/>
    <xf numFmtId="165" fontId="0" fillId="0" borderId="30" xfId="2" applyNumberFormat="1" applyFont="1" applyFill="1" applyBorder="1"/>
    <xf numFmtId="168" fontId="0" fillId="0" borderId="59" xfId="2" applyNumberFormat="1" applyFont="1" applyFill="1" applyBorder="1"/>
    <xf numFmtId="168" fontId="1" fillId="0" borderId="43" xfId="2" applyNumberFormat="1" applyFont="1" applyFill="1" applyBorder="1"/>
    <xf numFmtId="37" fontId="0" fillId="4" borderId="58" xfId="0" applyNumberFormat="1" applyFill="1" applyBorder="1"/>
    <xf numFmtId="37" fontId="3" fillId="4" borderId="65" xfId="0" applyNumberFormat="1" applyFont="1" applyFill="1" applyBorder="1"/>
    <xf numFmtId="37" fontId="0" fillId="4" borderId="47" xfId="0" applyNumberFormat="1" applyFill="1" applyBorder="1"/>
    <xf numFmtId="168" fontId="3" fillId="0" borderId="70" xfId="2" applyNumberFormat="1" applyFont="1" applyFill="1" applyBorder="1"/>
    <xf numFmtId="37" fontId="0" fillId="0" borderId="71" xfId="0" applyNumberFormat="1" applyBorder="1"/>
    <xf numFmtId="37" fontId="0" fillId="0" borderId="72" xfId="0" applyNumberFormat="1" applyBorder="1"/>
    <xf numFmtId="37" fontId="3" fillId="0" borderId="70" xfId="0" applyNumberFormat="1" applyFont="1" applyBorder="1"/>
    <xf numFmtId="37" fontId="3" fillId="4" borderId="70" xfId="0" applyNumberFormat="1" applyFont="1" applyFill="1" applyBorder="1"/>
    <xf numFmtId="0" fontId="0" fillId="2" borderId="30" xfId="0" applyFill="1" applyBorder="1"/>
    <xf numFmtId="0" fontId="0" fillId="2" borderId="73" xfId="0" applyFill="1" applyBorder="1"/>
    <xf numFmtId="167" fontId="3" fillId="0" borderId="13" xfId="0" applyNumberFormat="1" applyFont="1" applyBorder="1"/>
    <xf numFmtId="37" fontId="0" fillId="4" borderId="74" xfId="0" applyNumberFormat="1" applyFill="1" applyBorder="1"/>
    <xf numFmtId="168" fontId="0" fillId="0" borderId="74" xfId="2" applyNumberFormat="1" applyFont="1" applyFill="1" applyBorder="1"/>
    <xf numFmtId="0" fontId="0" fillId="2" borderId="75" xfId="0" applyFill="1" applyBorder="1"/>
    <xf numFmtId="37" fontId="0" fillId="2" borderId="0" xfId="0" applyNumberFormat="1" applyFill="1"/>
    <xf numFmtId="37" fontId="0" fillId="2" borderId="21" xfId="0" applyNumberFormat="1" applyFill="1" applyBorder="1"/>
    <xf numFmtId="10" fontId="0" fillId="2" borderId="21" xfId="2" applyNumberFormat="1" applyFont="1" applyFill="1" applyBorder="1"/>
    <xf numFmtId="165" fontId="0" fillId="0" borderId="15" xfId="2" applyNumberFormat="1" applyFont="1" applyFill="1" applyBorder="1"/>
    <xf numFmtId="0" fontId="0" fillId="0" borderId="21" xfId="0" applyBorder="1"/>
    <xf numFmtId="0" fontId="0" fillId="0" borderId="77" xfId="0" applyBorder="1"/>
    <xf numFmtId="0" fontId="0" fillId="0" borderId="78" xfId="0" applyBorder="1"/>
    <xf numFmtId="0" fontId="0" fillId="0" borderId="28" xfId="0" applyBorder="1"/>
    <xf numFmtId="165" fontId="1" fillId="0" borderId="64" xfId="2" applyNumberFormat="1" applyFont="1" applyFill="1" applyBorder="1"/>
    <xf numFmtId="37" fontId="0" fillId="0" borderId="79" xfId="0" applyNumberFormat="1" applyBorder="1"/>
    <xf numFmtId="37" fontId="0" fillId="0" borderId="80" xfId="0" applyNumberFormat="1" applyBorder="1"/>
    <xf numFmtId="0" fontId="0" fillId="0" borderId="38" xfId="0" applyBorder="1"/>
    <xf numFmtId="0" fontId="0" fillId="0" borderId="30" xfId="0" applyBorder="1"/>
    <xf numFmtId="168" fontId="0" fillId="0" borderId="49" xfId="2" applyNumberFormat="1" applyFont="1" applyFill="1" applyBorder="1"/>
    <xf numFmtId="168" fontId="0" fillId="0" borderId="44" xfId="2" applyNumberFormat="1" applyFont="1" applyFill="1" applyBorder="1"/>
    <xf numFmtId="168" fontId="1" fillId="0" borderId="64" xfId="2" applyNumberFormat="1" applyFont="1" applyFill="1" applyBorder="1"/>
    <xf numFmtId="168" fontId="0" fillId="2" borderId="15" xfId="2" applyNumberFormat="1" applyFont="1" applyFill="1" applyBorder="1"/>
    <xf numFmtId="168" fontId="0" fillId="0" borderId="28" xfId="0" applyNumberFormat="1" applyBorder="1"/>
    <xf numFmtId="168" fontId="0" fillId="2" borderId="0" xfId="2" applyNumberFormat="1" applyFont="1" applyFill="1" applyBorder="1"/>
    <xf numFmtId="37" fontId="0" fillId="2" borderId="39" xfId="0" applyNumberFormat="1" applyFill="1" applyBorder="1"/>
    <xf numFmtId="37" fontId="0" fillId="2" borderId="81" xfId="0" applyNumberFormat="1" applyFill="1" applyBorder="1"/>
    <xf numFmtId="168" fontId="0" fillId="2" borderId="7" xfId="0" applyNumberFormat="1" applyFill="1" applyBorder="1"/>
    <xf numFmtId="37" fontId="3" fillId="0" borderId="79" xfId="0" applyNumberFormat="1" applyFont="1" applyBorder="1"/>
    <xf numFmtId="168" fontId="0" fillId="0" borderId="63" xfId="2" applyNumberFormat="1" applyFont="1" applyFill="1" applyBorder="1"/>
    <xf numFmtId="37" fontId="0" fillId="0" borderId="76" xfId="0" applyNumberFormat="1" applyBorder="1"/>
    <xf numFmtId="168" fontId="0" fillId="0" borderId="79" xfId="2" applyNumberFormat="1" applyFont="1" applyFill="1" applyBorder="1"/>
    <xf numFmtId="0" fontId="0" fillId="0" borderId="44" xfId="0" applyBorder="1"/>
    <xf numFmtId="0" fontId="0" fillId="6" borderId="0" xfId="0" applyFill="1"/>
    <xf numFmtId="0" fontId="0" fillId="6" borderId="15" xfId="0" applyFill="1" applyBorder="1"/>
    <xf numFmtId="0" fontId="0" fillId="6" borderId="21" xfId="0" applyFill="1" applyBorder="1"/>
    <xf numFmtId="0" fontId="0" fillId="6" borderId="37" xfId="0" applyFill="1" applyBorder="1"/>
    <xf numFmtId="0" fontId="0" fillId="6" borderId="52" xfId="0" applyFill="1" applyBorder="1"/>
    <xf numFmtId="168" fontId="14" fillId="2" borderId="34" xfId="0" applyNumberFormat="1" applyFont="1" applyFill="1" applyBorder="1"/>
    <xf numFmtId="168" fontId="14" fillId="2" borderId="82" xfId="0" applyNumberFormat="1" applyFont="1" applyFill="1" applyBorder="1"/>
    <xf numFmtId="0" fontId="0" fillId="2" borderId="38" xfId="0" applyFill="1" applyBorder="1"/>
    <xf numFmtId="0" fontId="0" fillId="2" borderId="28" xfId="0" applyFill="1" applyBorder="1"/>
    <xf numFmtId="0" fontId="0" fillId="0" borderId="40" xfId="0" applyBorder="1"/>
    <xf numFmtId="0" fontId="0" fillId="2" borderId="39" xfId="0" applyFill="1" applyBorder="1"/>
    <xf numFmtId="0" fontId="18" fillId="2" borderId="0" xfId="0" applyFont="1" applyFill="1" applyAlignment="1">
      <alignment horizontal="left" indent="1"/>
    </xf>
    <xf numFmtId="165" fontId="0" fillId="0" borderId="66" xfId="2" applyNumberFormat="1" applyFont="1" applyFill="1" applyBorder="1"/>
    <xf numFmtId="165" fontId="0" fillId="0" borderId="28" xfId="2" applyNumberFormat="1" applyFont="1" applyFill="1" applyBorder="1"/>
    <xf numFmtId="37" fontId="0" fillId="0" borderId="38" xfId="0" applyNumberFormat="1" applyBorder="1"/>
    <xf numFmtId="37" fontId="0" fillId="0" borderId="28" xfId="0" applyNumberFormat="1" applyBorder="1"/>
    <xf numFmtId="37" fontId="0" fillId="4" borderId="66" xfId="0" applyNumberFormat="1" applyFill="1" applyBorder="1"/>
    <xf numFmtId="165" fontId="3" fillId="0" borderId="52" xfId="2" applyNumberFormat="1" applyFont="1" applyFill="1" applyBorder="1"/>
    <xf numFmtId="37" fontId="3" fillId="4" borderId="52" xfId="0" applyNumberFormat="1" applyFont="1" applyFill="1" applyBorder="1"/>
    <xf numFmtId="37" fontId="3" fillId="0" borderId="52" xfId="0" applyNumberFormat="1" applyFont="1" applyBorder="1"/>
    <xf numFmtId="0" fontId="0" fillId="0" borderId="0" xfId="0" applyAlignment="1">
      <alignment horizontal="left" indent="1"/>
    </xf>
    <xf numFmtId="0" fontId="9" fillId="6" borderId="30" xfId="0" applyFont="1" applyFill="1" applyBorder="1" applyAlignment="1">
      <alignment horizontal="center"/>
    </xf>
    <xf numFmtId="0" fontId="9" fillId="6" borderId="30" xfId="0" applyFont="1" applyFill="1" applyBorder="1" applyAlignment="1">
      <alignment horizontal="center"/>
    </xf>
    <xf numFmtId="171" fontId="21" fillId="5" borderId="28" xfId="0" applyNumberFormat="1" applyFont="1" applyFill="1" applyBorder="1" applyAlignment="1">
      <alignment horizontal="centerContinuous"/>
    </xf>
    <xf numFmtId="171" fontId="21" fillId="5" borderId="30" xfId="0" applyNumberFormat="1" applyFont="1" applyFill="1" applyBorder="1" applyAlignment="1">
      <alignment horizontal="centerContinuous"/>
    </xf>
    <xf numFmtId="171" fontId="21" fillId="5" borderId="39" xfId="0" applyNumberFormat="1" applyFont="1" applyFill="1" applyBorder="1" applyAlignment="1">
      <alignment horizontal="centerContinuous"/>
    </xf>
    <xf numFmtId="171" fontId="21" fillId="5" borderId="40" xfId="0" applyNumberFormat="1" applyFont="1" applyFill="1" applyBorder="1" applyAlignment="1">
      <alignment horizontal="centerContinuous"/>
    </xf>
    <xf numFmtId="0" fontId="9" fillId="6" borderId="37" xfId="0" quotePrefix="1" applyFont="1" applyFill="1" applyBorder="1" applyAlignment="1">
      <alignment horizontal="center"/>
    </xf>
    <xf numFmtId="171" fontId="0" fillId="0" borderId="10" xfId="0" applyNumberFormat="1" applyBorder="1"/>
    <xf numFmtId="0" fontId="0" fillId="0" borderId="60" xfId="0" applyBorder="1"/>
    <xf numFmtId="167" fontId="0" fillId="0" borderId="41" xfId="0" applyNumberFormat="1" applyBorder="1"/>
    <xf numFmtId="0" fontId="11" fillId="0" borderId="15" xfId="0" applyFont="1" applyBorder="1"/>
    <xf numFmtId="0" fontId="15" fillId="2" borderId="15" xfId="0" applyFont="1" applyFill="1" applyBorder="1" applyAlignment="1">
      <alignment horizontal="left"/>
    </xf>
    <xf numFmtId="0" fontId="0" fillId="2" borderId="15" xfId="0" applyFill="1" applyBorder="1" applyAlignment="1">
      <alignment horizontal="left" indent="1"/>
    </xf>
    <xf numFmtId="0" fontId="3" fillId="2" borderId="15" xfId="0" applyFont="1" applyFill="1" applyBorder="1" applyAlignment="1">
      <alignment horizontal="left"/>
    </xf>
    <xf numFmtId="0" fontId="16" fillId="2" borderId="15" xfId="0" applyFont="1" applyFill="1" applyBorder="1" applyAlignment="1">
      <alignment horizontal="left"/>
    </xf>
    <xf numFmtId="0" fontId="0" fillId="2" borderId="35" xfId="0" applyFill="1" applyBorder="1"/>
    <xf numFmtId="0" fontId="9" fillId="6" borderId="60" xfId="0" applyFont="1" applyFill="1" applyBorder="1" applyAlignment="1">
      <alignment horizontal="center"/>
    </xf>
    <xf numFmtId="0" fontId="0" fillId="2" borderId="0" xfId="0" applyFill="1" applyBorder="1"/>
    <xf numFmtId="167" fontId="0" fillId="0" borderId="45" xfId="0" applyNumberFormat="1" applyBorder="1"/>
    <xf numFmtId="168" fontId="0" fillId="2" borderId="0" xfId="0" applyNumberFormat="1" applyFill="1" applyBorder="1"/>
    <xf numFmtId="37" fontId="0" fillId="0" borderId="83" xfId="0" applyNumberFormat="1" applyBorder="1"/>
    <xf numFmtId="37" fontId="3" fillId="0" borderId="80" xfId="0" applyNumberFormat="1" applyFont="1" applyBorder="1"/>
    <xf numFmtId="37" fontId="0" fillId="0" borderId="84" xfId="0" applyNumberFormat="1" applyBorder="1"/>
    <xf numFmtId="168" fontId="0" fillId="0" borderId="0" xfId="0" applyNumberFormat="1" applyBorder="1"/>
    <xf numFmtId="0" fontId="0" fillId="0" borderId="0" xfId="0" applyBorder="1"/>
    <xf numFmtId="0" fontId="15" fillId="2" borderId="0" xfId="0" applyFont="1" applyFill="1" applyBorder="1" applyAlignment="1">
      <alignment horizontal="left"/>
    </xf>
    <xf numFmtId="0" fontId="3" fillId="2" borderId="0" xfId="0" applyFont="1" applyFill="1" applyBorder="1"/>
    <xf numFmtId="0" fontId="0" fillId="2" borderId="0" xfId="0" applyFill="1" applyBorder="1" applyAlignment="1">
      <alignment horizontal="left" indent="1"/>
    </xf>
    <xf numFmtId="0" fontId="3" fillId="2" borderId="0" xfId="0" applyFont="1" applyFill="1" applyBorder="1" applyAlignment="1">
      <alignment horizontal="left" indent="1"/>
    </xf>
    <xf numFmtId="0" fontId="3" fillId="2" borderId="0" xfId="0" applyFont="1" applyFill="1" applyBorder="1" applyAlignment="1">
      <alignment horizontal="left"/>
    </xf>
    <xf numFmtId="37" fontId="3" fillId="0" borderId="21" xfId="0" applyNumberFormat="1" applyFont="1" applyBorder="1"/>
    <xf numFmtId="167" fontId="0" fillId="0" borderId="65" xfId="0" applyNumberFormat="1" applyBorder="1"/>
    <xf numFmtId="167" fontId="0" fillId="0" borderId="60" xfId="0" applyNumberFormat="1" applyBorder="1"/>
    <xf numFmtId="167" fontId="3" fillId="0" borderId="56" xfId="0" applyNumberFormat="1" applyFont="1" applyBorder="1"/>
    <xf numFmtId="37" fontId="0" fillId="0" borderId="21" xfId="0" applyNumberFormat="1" applyBorder="1"/>
    <xf numFmtId="167" fontId="0" fillId="0" borderId="47" xfId="0" applyNumberFormat="1" applyBorder="1"/>
    <xf numFmtId="167" fontId="0" fillId="0" borderId="46" xfId="0" applyNumberFormat="1" applyBorder="1"/>
    <xf numFmtId="167" fontId="3" fillId="0" borderId="65" xfId="0" applyNumberFormat="1" applyFont="1" applyBorder="1"/>
    <xf numFmtId="167" fontId="3" fillId="0" borderId="47" xfId="0" applyNumberFormat="1" applyFont="1" applyBorder="1"/>
    <xf numFmtId="167" fontId="0" fillId="2" borderId="85" xfId="0" applyNumberFormat="1" applyFill="1" applyBorder="1"/>
    <xf numFmtId="167" fontId="3" fillId="0" borderId="20" xfId="0" applyNumberFormat="1" applyFont="1" applyBorder="1"/>
    <xf numFmtId="37" fontId="0" fillId="4" borderId="64" xfId="0" applyNumberFormat="1" applyFill="1" applyBorder="1"/>
    <xf numFmtId="37" fontId="3" fillId="4" borderId="54" xfId="0" applyNumberFormat="1" applyFont="1" applyFill="1" applyBorder="1"/>
    <xf numFmtId="37" fontId="3" fillId="4" borderId="61" xfId="0" applyNumberFormat="1" applyFont="1" applyFill="1" applyBorder="1"/>
    <xf numFmtId="37" fontId="0" fillId="0" borderId="85" xfId="0" applyNumberFormat="1" applyBorder="1"/>
    <xf numFmtId="0" fontId="9" fillId="6" borderId="38" xfId="0" applyFont="1" applyFill="1" applyBorder="1" applyAlignment="1">
      <alignment horizontal="center"/>
    </xf>
    <xf numFmtId="0" fontId="9" fillId="6" borderId="30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0" fontId="22" fillId="3" borderId="0" xfId="0" applyFont="1" applyFill="1" applyAlignment="1">
      <alignment horizontal="left"/>
    </xf>
    <xf numFmtId="0" fontId="14" fillId="3" borderId="0" xfId="0" applyFont="1" applyFill="1"/>
    <xf numFmtId="14" fontId="2" fillId="3" borderId="0" xfId="0" applyNumberFormat="1" applyFont="1" applyFill="1" applyAlignment="1">
      <alignment horizontal="right"/>
    </xf>
    <xf numFmtId="0" fontId="2" fillId="3" borderId="0" xfId="0" applyNumberFormat="1" applyFont="1" applyFill="1" applyAlignment="1">
      <alignment horizontal="right"/>
    </xf>
    <xf numFmtId="0" fontId="14" fillId="3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A5AEB6"/>
      <color rgb="FFF6FBD5"/>
      <color rgb="FF0000FF"/>
      <color rgb="FFDFE5E6"/>
      <color rgb="FF39617A"/>
      <color rgb="FF828A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D567169-E638-4D93-B353-BFAF164DA472}">
  <we:reference id="wa200006083" version="1.0.0.3" store="en-US" storeType="OMEX"/>
  <we:alternateReferences>
    <we:reference id="WA200006083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_xldudf_SP_GET_VERSION</we:customFunctionIds>
        <we:customFunctionIds>_xldudf_SP_PROPERTY_COUNT</we:customFunctionIds>
        <we:customFunctionIds>_xldudf_SP_GET_STAR_ID</we:customFunctionIds>
        <we:customFunctionIds>_xldudf_SP_FILTER</we:customFunctionIds>
        <we:customFunctionIds>_xldudf_SP_FINANCIALS</we:customFunctionIds>
        <we:customFunctionIds>_xldudf_SP_STR</we:customFunctionIds>
        <we:customFunctionIds>_xldudf_SP_OTB</we:customFunctionIds>
        <we:customFunctionIds>_xldudf_SP_FINANCIALS_AGG</we:customFunctionIds>
        <we:customFunctionIds>_xldudf_SP_REV_GOP_EBITDA</we:customFunctionIds>
        <we:customFunctionIds>_xldudf_SP_ACTUALS_WIN_RATE</we:customFunctionIds>
        <we:customFunctionIds>_xldudf_SP_STR_WIN_RATE</we:customFunctionIds>
        <we:customFunctionIds>_xldudf_SP_GET_USALI_REFERENCE</we:customFunctionIds>
        <we:customFunctionIds>_xldudf_SP_GET_HOTEL_REFERENCE</we:customFunctionIds>
        <we:customFunctionIds>_xldudf_SP_FLOW_THROUGH</we:customFunctionIds>
        <we:customFunctionIds>_xldudf_SP_STR_INDEX</we:customFunctionIds>
        <we:customFunctionIds>_xldudf_SP_GUEST_SATISFACTION</we:customFunctionIds>
        <we:customFunctionIds>_xldudf_SP_SENTIMENT</we:customFunctionIds>
        <we:customFunctionIds>_xldudf_SP_RISK_UPSIDE</we:customFunctionIds>
        <we:customFunctionIds>_xldudf_SP_REFORECAST_CHANGES</we:customFunctionIds>
        <we:customFunctionIds>_xldudf_SP_GET_FUTURE_INSIGHTS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58C8250-44B4-4B96-98F7-908580E17DBB}">
  <we:reference id="wa200005876" version="2.0.91.0" store="en-US" storeType="OMEX"/>
  <we:alternateReferences>
    <we:reference id="wa200005876" version="2.0.9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_xldudf_GS_DATASERIES_TABLE</we:customFunctionIds>
        <we:customFunctionIds>_xldudf_GS_DATASERIES_SPILL</we:customFunctionIds>
        <we:customFunctionIds>_xldudf_GS_RDH</we:customFunctionIds>
        <we:customFunctionIds>_xldudf_GS_RDHQ</we:customFunctionIds>
        <we:customFunctionIds>_xldudf_GS_RDHSAN</we:customFunctionIds>
        <we:customFunctionIds>_xldudf_GS_RDHSA</we:customFunctionIds>
        <we:customFunctionIds>_xldudf_GS_RDHSM</we:customFunctionIds>
        <we:customFunctionIds>_xldudf_GS_RDHSE</we:customFunctionIds>
        <we:customFunctionIds>_xldudf_GS_RDHESA</we:customFunctionIds>
        <we:customFunctionIds>_xldudf_GS_RDHESM</we:customFunctionIds>
        <we:customFunctionIds>_xldudf_GS_RDHESE</we:customFunctionIds>
        <we:customFunctionIds>_xldudf_GS_MDC</we:customFunctionIds>
        <we:customFunctionIds>_xldudf_GS_MF</we:customFunctionIds>
        <we:customFunctionIds>_xldudf_GS_RDC</we:customFunctionIds>
        <we:customFunctionIds>_xldudf_GS_RDCE</we:customFunctionIds>
        <we:customFunctionIds>_xldudf_GS_MDCE</we:customFunctionIds>
        <we:customFunctionIds>_xldudf_GS_RDHE</we:customFunctionIds>
        <we:customFunctionIds>_xldudf_GS_MFE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FC17-673C-4C1B-9C81-EA060A96B243}">
  <dimension ref="B1:X54"/>
  <sheetViews>
    <sheetView showGridLines="0" tabSelected="1" zoomScale="80" zoomScaleNormal="80" workbookViewId="0">
      <pane xSplit="3" ySplit="8" topLeftCell="D9" activePane="bottomRight" state="frozen"/>
      <selection activeCell="O7" sqref="O7:P7"/>
      <selection pane="topRight" activeCell="O7" sqref="O7:P7"/>
      <selection pane="bottomLeft" activeCell="O7" sqref="O7:P7"/>
      <selection pane="bottomRight" activeCell="D24" sqref="D24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4" customWidth="1"/>
    <col min="5" max="5" width="8.7109375" customWidth="1"/>
    <col min="6" max="6" width="11.85546875" customWidth="1"/>
    <col min="7" max="7" width="8.7109375" customWidth="1"/>
    <col min="8" max="9" width="11.85546875" customWidth="1"/>
    <col min="10" max="10" width="8.7109375" customWidth="1"/>
    <col min="11" max="11" width="11.85546875" customWidth="1"/>
    <col min="13" max="13" width="14" customWidth="1"/>
    <col min="14" max="14" width="8.7109375" customWidth="1"/>
    <col min="15" max="15" width="11.85546875" customWidth="1"/>
    <col min="16" max="16" width="8.7109375" customWidth="1"/>
    <col min="17" max="18" width="11.85546875" customWidth="1"/>
    <col min="19" max="19" width="8.7109375" customWidth="1"/>
    <col min="20" max="20" width="11.85546875" customWidth="1"/>
    <col min="22" max="22" width="5.5703125" style="338" bestFit="1" customWidth="1"/>
    <col min="23" max="24" width="9.140625" style="338"/>
  </cols>
  <sheetData>
    <row r="1" spans="2:23" x14ac:dyDescent="0.25">
      <c r="V1" s="336" t="s">
        <v>715</v>
      </c>
      <c r="W1" s="337" t="s">
        <v>714</v>
      </c>
    </row>
    <row r="2" spans="2:23" ht="22.5" x14ac:dyDescent="0.3">
      <c r="B2" s="1"/>
      <c r="C2" s="35" t="s">
        <v>720</v>
      </c>
      <c r="D2" s="2"/>
      <c r="I2" s="4"/>
      <c r="M2" s="2"/>
      <c r="R2" s="4"/>
      <c r="V2" s="339" t="s">
        <v>0</v>
      </c>
      <c r="W2" s="337" t="s">
        <v>716</v>
      </c>
    </row>
    <row r="3" spans="2:23" ht="18" x14ac:dyDescent="0.25">
      <c r="B3" s="5"/>
      <c r="C3" s="5" t="s">
        <v>719</v>
      </c>
      <c r="D3" s="5"/>
      <c r="I3" s="4"/>
      <c r="M3" s="5"/>
      <c r="R3" s="4"/>
      <c r="V3" s="340">
        <v>2025</v>
      </c>
      <c r="W3" s="337" t="s">
        <v>717</v>
      </c>
    </row>
    <row r="4" spans="2:23" ht="15.75" x14ac:dyDescent="0.25">
      <c r="B4" s="6"/>
      <c r="C4" s="6" t="str">
        <f>"FOR THE PERIOD ENDING "&amp;UPPER($V$2)&amp;" "&amp;Year</f>
        <v>FOR THE PERIOD ENDING APR 2025</v>
      </c>
      <c r="D4" s="6"/>
      <c r="I4" s="4"/>
      <c r="M4" s="6"/>
      <c r="R4" s="4"/>
      <c r="V4" s="341" t="str">
        <f>Month&amp;"YTD"</f>
        <v>AprYTD</v>
      </c>
      <c r="W4" s="337"/>
    </row>
    <row r="5" spans="2:23" x14ac:dyDescent="0.25">
      <c r="D5" s="8"/>
      <c r="I5" s="4"/>
      <c r="M5" s="8"/>
      <c r="R5" s="4"/>
    </row>
    <row r="6" spans="2:23" x14ac:dyDescent="0.25">
      <c r="C6" s="74"/>
      <c r="D6" s="292" t="str">
        <f>Year&amp;" "&amp;UPPER(Month)&amp;" - PERIODIC"</f>
        <v>2025 APR - PERIODIC</v>
      </c>
      <c r="E6" s="293"/>
      <c r="F6" s="290"/>
      <c r="G6" s="290"/>
      <c r="H6" s="290"/>
      <c r="I6" s="290"/>
      <c r="J6" s="290"/>
      <c r="K6" s="291"/>
      <c r="L6" s="296"/>
      <c r="M6" s="293" t="str">
        <f>Year&amp;" "&amp;UPPER(Month)&amp;" - YEAR TO DATE"</f>
        <v>2025 APR - YEAR TO DATE</v>
      </c>
      <c r="N6" s="293"/>
      <c r="O6" s="290"/>
      <c r="P6" s="290"/>
      <c r="Q6" s="290"/>
      <c r="R6" s="290"/>
      <c r="S6" s="290"/>
      <c r="T6" s="291"/>
    </row>
    <row r="7" spans="2:23" x14ac:dyDescent="0.25">
      <c r="C7" s="74"/>
      <c r="D7" s="333" t="s">
        <v>392</v>
      </c>
      <c r="E7" s="334"/>
      <c r="F7" s="335" t="s">
        <v>389</v>
      </c>
      <c r="G7" s="334"/>
      <c r="H7" s="39" t="s">
        <v>388</v>
      </c>
      <c r="I7" s="335" t="s">
        <v>718</v>
      </c>
      <c r="J7" s="334"/>
      <c r="K7" s="73" t="s">
        <v>388</v>
      </c>
      <c r="L7" s="296"/>
      <c r="M7" s="335" t="s">
        <v>392</v>
      </c>
      <c r="N7" s="334"/>
      <c r="O7" s="335" t="s">
        <v>389</v>
      </c>
      <c r="P7" s="334"/>
      <c r="Q7" s="39" t="s">
        <v>388</v>
      </c>
      <c r="R7" s="335" t="s">
        <v>718</v>
      </c>
      <c r="S7" s="334"/>
      <c r="T7" s="288" t="s">
        <v>388</v>
      </c>
    </row>
    <row r="8" spans="2:23" ht="22.5" customHeight="1" x14ac:dyDescent="0.25">
      <c r="C8" s="74"/>
      <c r="D8" s="304" t="s">
        <v>391</v>
      </c>
      <c r="E8" s="40" t="s">
        <v>390</v>
      </c>
      <c r="F8" s="40" t="s">
        <v>391</v>
      </c>
      <c r="G8" s="40" t="s">
        <v>390</v>
      </c>
      <c r="H8" s="75" t="s">
        <v>391</v>
      </c>
      <c r="I8" s="294" t="s">
        <v>392</v>
      </c>
      <c r="J8" s="76" t="s">
        <v>390</v>
      </c>
      <c r="K8" s="75" t="s">
        <v>391</v>
      </c>
      <c r="L8" s="296"/>
      <c r="M8" s="40" t="s">
        <v>391</v>
      </c>
      <c r="N8" s="40" t="s">
        <v>390</v>
      </c>
      <c r="O8" s="40" t="s">
        <v>391</v>
      </c>
      <c r="P8" s="40" t="s">
        <v>390</v>
      </c>
      <c r="Q8" s="75" t="s">
        <v>391</v>
      </c>
      <c r="R8" s="294" t="s">
        <v>392</v>
      </c>
      <c r="S8" s="76" t="s">
        <v>390</v>
      </c>
      <c r="T8" s="75" t="s">
        <v>391</v>
      </c>
    </row>
    <row r="9" spans="2:23" x14ac:dyDescent="0.25">
      <c r="B9" s="10" t="s">
        <v>1</v>
      </c>
      <c r="C9" s="298" t="s">
        <v>2</v>
      </c>
      <c r="D9" s="36">
        <v>3960</v>
      </c>
      <c r="E9" s="47"/>
      <c r="F9" s="36">
        <v>3960</v>
      </c>
      <c r="G9" s="47"/>
      <c r="H9" s="144">
        <f>+D9-F9</f>
        <v>0</v>
      </c>
      <c r="I9" s="36">
        <v>3960</v>
      </c>
      <c r="J9" s="47"/>
      <c r="K9" s="144">
        <f>+(D9-I9)</f>
        <v>0</v>
      </c>
      <c r="M9" s="36">
        <v>15840</v>
      </c>
      <c r="N9" s="47"/>
      <c r="O9" s="36">
        <v>15840</v>
      </c>
      <c r="P9" s="47"/>
      <c r="Q9" s="144">
        <f>+M9-O9</f>
        <v>0</v>
      </c>
      <c r="R9" s="36">
        <v>15972</v>
      </c>
      <c r="S9" s="47"/>
      <c r="T9" s="144">
        <f>+(M9-R9)</f>
        <v>-132</v>
      </c>
    </row>
    <row r="10" spans="2:23" x14ac:dyDescent="0.25">
      <c r="B10" s="12" t="s">
        <v>3</v>
      </c>
      <c r="C10" s="298" t="s">
        <v>4</v>
      </c>
      <c r="D10" s="36">
        <v>3684</v>
      </c>
      <c r="E10" s="47"/>
      <c r="F10" s="36">
        <v>3645</v>
      </c>
      <c r="G10" s="47"/>
      <c r="H10" s="144">
        <f>+D10-F10</f>
        <v>39</v>
      </c>
      <c r="I10" s="36">
        <v>3692</v>
      </c>
      <c r="J10" s="47"/>
      <c r="K10" s="144">
        <f>+(D10-I10)</f>
        <v>-8</v>
      </c>
      <c r="M10" s="36">
        <v>14556</v>
      </c>
      <c r="N10" s="47"/>
      <c r="O10" s="36">
        <v>14563</v>
      </c>
      <c r="P10" s="47"/>
      <c r="Q10" s="144">
        <f>+M10-O10</f>
        <v>-7</v>
      </c>
      <c r="R10" s="36">
        <v>14696</v>
      </c>
      <c r="S10" s="47"/>
      <c r="T10" s="144">
        <f>+(M10-R10)</f>
        <v>-140</v>
      </c>
    </row>
    <row r="11" spans="2:23" x14ac:dyDescent="0.25">
      <c r="B11" s="12"/>
      <c r="C11" s="298" t="s">
        <v>5</v>
      </c>
      <c r="D11" s="37">
        <f>D10/D9</f>
        <v>0.9303030303030303</v>
      </c>
      <c r="E11" s="47"/>
      <c r="F11" s="37">
        <f>F10/F9</f>
        <v>0.92045454545454541</v>
      </c>
      <c r="G11" s="47"/>
      <c r="H11" s="180">
        <f>+(D11-F11)*100</f>
        <v>0.98484848484848841</v>
      </c>
      <c r="I11" s="37">
        <f>I10/I9</f>
        <v>0.93232323232323233</v>
      </c>
      <c r="J11" s="47"/>
      <c r="K11" s="180">
        <f>+(D11-I11)*100</f>
        <v>-0.20202020202020332</v>
      </c>
      <c r="M11" s="37">
        <f>M10/M9</f>
        <v>0.91893939393939394</v>
      </c>
      <c r="N11" s="47"/>
      <c r="O11" s="37">
        <f>O10/O9</f>
        <v>0.9193813131313131</v>
      </c>
      <c r="P11" s="47"/>
      <c r="Q11" s="180">
        <f>+(M11-O11)*100</f>
        <v>-4.4191919191916007E-2</v>
      </c>
      <c r="R11" s="37">
        <f>R10/R9</f>
        <v>0.92011019283746553</v>
      </c>
      <c r="S11" s="47"/>
      <c r="T11" s="180">
        <f>+(M11-R11)*100</f>
        <v>-0.117079889807159</v>
      </c>
    </row>
    <row r="12" spans="2:23" x14ac:dyDescent="0.25">
      <c r="B12" s="12"/>
      <c r="C12" s="298" t="s">
        <v>6</v>
      </c>
      <c r="D12" s="38">
        <f>D15/D10</f>
        <v>266.56628393051028</v>
      </c>
      <c r="E12" s="47"/>
      <c r="F12" s="38">
        <f>F15/F10</f>
        <v>263.21160219478742</v>
      </c>
      <c r="G12" s="47"/>
      <c r="H12" s="181">
        <f>+D12-F12</f>
        <v>3.3546817357228633</v>
      </c>
      <c r="I12" s="38">
        <f>I15/I10</f>
        <v>258.44728331527625</v>
      </c>
      <c r="J12" s="47"/>
      <c r="K12" s="181">
        <f>+(D12-I12)</f>
        <v>8.1190006152340288</v>
      </c>
      <c r="M12" s="38">
        <f>M15/M10</f>
        <v>295.51505564715586</v>
      </c>
      <c r="N12" s="47"/>
      <c r="O12" s="38">
        <f>O15/O10</f>
        <v>307.02472498798329</v>
      </c>
      <c r="P12" s="47"/>
      <c r="Q12" s="181">
        <f>+M12-O12</f>
        <v>-11.509669340827429</v>
      </c>
      <c r="R12" s="38">
        <f>R15/R10</f>
        <v>301.98568522046816</v>
      </c>
      <c r="S12" s="47"/>
      <c r="T12" s="181">
        <f>+(M12-R12)</f>
        <v>-6.4706295733122943</v>
      </c>
    </row>
    <row r="13" spans="2:23" x14ac:dyDescent="0.25">
      <c r="B13" s="12"/>
      <c r="C13" s="298" t="s">
        <v>7</v>
      </c>
      <c r="D13" s="38">
        <f>D11*D12</f>
        <v>247.98742171717169</v>
      </c>
      <c r="E13" s="47"/>
      <c r="F13" s="38">
        <f>F11*F12</f>
        <v>242.27431565656568</v>
      </c>
      <c r="G13" s="47"/>
      <c r="H13" s="181">
        <f>+D13-F13</f>
        <v>5.7131060606060089</v>
      </c>
      <c r="I13" s="38">
        <f>I11*I12</f>
        <v>240.95640656565655</v>
      </c>
      <c r="J13" s="47"/>
      <c r="K13" s="181">
        <f>+(D13-I13)</f>
        <v>7.0310151515151347</v>
      </c>
      <c r="M13" s="38">
        <f>M11*M12</f>
        <v>271.56042613636367</v>
      </c>
      <c r="N13" s="47"/>
      <c r="O13" s="38">
        <f>O11*O12</f>
        <v>282.27279482323235</v>
      </c>
      <c r="P13" s="47"/>
      <c r="Q13" s="181">
        <f>+M13-O13</f>
        <v>-10.712368686868672</v>
      </c>
      <c r="R13" s="38">
        <f>R11*R12</f>
        <v>277.86010706235913</v>
      </c>
      <c r="S13" s="47"/>
      <c r="T13" s="181">
        <f>+(M13-R13)</f>
        <v>-6.2996809259954603</v>
      </c>
    </row>
    <row r="14" spans="2:23" x14ac:dyDescent="0.25">
      <c r="B14" s="12"/>
      <c r="C14" s="299" t="s">
        <v>9</v>
      </c>
      <c r="D14" s="269"/>
      <c r="E14" s="268"/>
      <c r="F14" s="269"/>
      <c r="G14" s="267"/>
      <c r="H14" s="270"/>
      <c r="I14" s="269"/>
      <c r="J14" s="267"/>
      <c r="K14" s="271"/>
      <c r="M14" s="269"/>
      <c r="N14" s="268"/>
      <c r="O14" s="269"/>
      <c r="P14" s="267"/>
      <c r="Q14" s="270"/>
      <c r="R14" s="269"/>
      <c r="S14" s="267"/>
      <c r="T14" s="271"/>
    </row>
    <row r="15" spans="2:23" x14ac:dyDescent="0.25">
      <c r="B15" s="12" t="s">
        <v>10</v>
      </c>
      <c r="C15" s="298" t="s">
        <v>11</v>
      </c>
      <c r="D15" s="50">
        <v>982030.19</v>
      </c>
      <c r="E15" s="51">
        <f>+IFERROR(D15/D$19,"")</f>
        <v>0.65086038512915911</v>
      </c>
      <c r="F15" s="50">
        <v>959406.29</v>
      </c>
      <c r="G15" s="51">
        <f t="shared" ref="G15:G19" si="0">+IFERROR(F15/F$19,"")</f>
        <v>0.63166500226378053</v>
      </c>
      <c r="H15" s="144">
        <f>+D15-F15</f>
        <v>22623.899999999907</v>
      </c>
      <c r="I15" s="50">
        <v>954187.37</v>
      </c>
      <c r="J15" s="51">
        <f t="shared" ref="J15:J19" si="1">+IFERROR(I15/I$19,"")</f>
        <v>0.72319515060234352</v>
      </c>
      <c r="K15" s="144">
        <f>+(D15-I15)</f>
        <v>27842.819999999949</v>
      </c>
      <c r="M15" s="50">
        <v>4301517.1500000004</v>
      </c>
      <c r="N15" s="51">
        <f>+IFERROR(M15/M$19,"")</f>
        <v>0.6839480394717552</v>
      </c>
      <c r="O15" s="50">
        <v>4471201.07</v>
      </c>
      <c r="P15" s="51">
        <f t="shared" ref="P15:P19" si="2">+IFERROR(O15/O$19,"")</f>
        <v>0.66098689216236783</v>
      </c>
      <c r="Q15" s="144">
        <f>+M15-O15</f>
        <v>-169683.91999999993</v>
      </c>
      <c r="R15" s="50">
        <v>4437981.63</v>
      </c>
      <c r="S15" s="51">
        <f t="shared" ref="S15:S19" si="3">+IFERROR(R15/R$19,"")</f>
        <v>0.75674011412909037</v>
      </c>
      <c r="T15" s="144">
        <f>+(M15-R15)</f>
        <v>-136464.47999999952</v>
      </c>
    </row>
    <row r="16" spans="2:23" x14ac:dyDescent="0.25">
      <c r="B16" s="12" t="s">
        <v>12</v>
      </c>
      <c r="C16" s="298" t="s">
        <v>13</v>
      </c>
      <c r="D16" s="50">
        <v>379131.93</v>
      </c>
      <c r="E16" s="51">
        <f>+IFERROR(D16/D$19,"")</f>
        <v>0.25127736039821891</v>
      </c>
      <c r="F16" s="50">
        <v>437605.85</v>
      </c>
      <c r="G16" s="51">
        <f t="shared" si="0"/>
        <v>0.28811599747891331</v>
      </c>
      <c r="H16" s="144">
        <f>+D16-F16</f>
        <v>-58473.919999999984</v>
      </c>
      <c r="I16" s="50">
        <v>250971.01</v>
      </c>
      <c r="J16" s="51">
        <f t="shared" si="1"/>
        <v>0.19021527959835841</v>
      </c>
      <c r="K16" s="144">
        <f>+(D16-I16)</f>
        <v>128160.91999999998</v>
      </c>
      <c r="M16" s="50">
        <v>1523965.79</v>
      </c>
      <c r="N16" s="51">
        <f>+IFERROR(M16/M$19,"")</f>
        <v>0.24231297422411174</v>
      </c>
      <c r="O16" s="50">
        <v>1792693.99</v>
      </c>
      <c r="P16" s="51">
        <f t="shared" si="2"/>
        <v>0.26501765644108127</v>
      </c>
      <c r="Q16" s="144">
        <f>+M16-O16</f>
        <v>-268728.19999999995</v>
      </c>
      <c r="R16" s="50">
        <v>916590.74</v>
      </c>
      <c r="S16" s="51">
        <f t="shared" si="3"/>
        <v>0.15629199014896947</v>
      </c>
      <c r="T16" s="144">
        <f>+(M16-R16)</f>
        <v>607375.05000000005</v>
      </c>
    </row>
    <row r="17" spans="2:20" x14ac:dyDescent="0.25">
      <c r="B17" s="12" t="s">
        <v>14</v>
      </c>
      <c r="C17" s="298" t="s">
        <v>15</v>
      </c>
      <c r="D17" s="50">
        <v>2948.44</v>
      </c>
      <c r="E17" s="51">
        <f>+IFERROR(D17/D$19,"")</f>
        <v>1.9541382876734348E-3</v>
      </c>
      <c r="F17" s="50">
        <v>1557.87</v>
      </c>
      <c r="G17" s="51">
        <f t="shared" si="0"/>
        <v>1.0256884568441548E-3</v>
      </c>
      <c r="H17" s="144">
        <f>+D17-F17</f>
        <v>1390.5700000000002</v>
      </c>
      <c r="I17" s="50">
        <v>1461.55</v>
      </c>
      <c r="J17" s="51">
        <f t="shared" si="1"/>
        <v>1.1077340840959309E-3</v>
      </c>
      <c r="K17" s="144">
        <f>+(D17-I17)</f>
        <v>1486.89</v>
      </c>
      <c r="M17" s="50">
        <v>9874.14</v>
      </c>
      <c r="N17" s="51">
        <f>+IFERROR(M17/M$19,"")</f>
        <v>1.5700038983849306E-3</v>
      </c>
      <c r="O17" s="50">
        <v>6224.22</v>
      </c>
      <c r="P17" s="51">
        <f t="shared" si="2"/>
        <v>9.2013930251069048E-4</v>
      </c>
      <c r="Q17" s="144">
        <f>+M17-O17</f>
        <v>3649.9199999999992</v>
      </c>
      <c r="R17" s="50">
        <v>7206.75</v>
      </c>
      <c r="S17" s="51">
        <f t="shared" si="3"/>
        <v>1.2288552031477927E-3</v>
      </c>
      <c r="T17" s="144">
        <f>+(M17-R17)</f>
        <v>2667.3899999999994</v>
      </c>
    </row>
    <row r="18" spans="2:20" x14ac:dyDescent="0.25">
      <c r="B18" s="12" t="s">
        <v>16</v>
      </c>
      <c r="C18" s="298" t="s">
        <v>17</v>
      </c>
      <c r="D18" s="62">
        <v>144707.94</v>
      </c>
      <c r="E18" s="63">
        <f>+IFERROR(D18/D$19,"")</f>
        <v>9.5908116184948697E-2</v>
      </c>
      <c r="F18" s="62">
        <v>120283</v>
      </c>
      <c r="G18" s="63">
        <f t="shared" si="0"/>
        <v>7.9193311800461838E-2</v>
      </c>
      <c r="H18" s="144">
        <f>+D18-F18</f>
        <v>24424.940000000002</v>
      </c>
      <c r="I18" s="62">
        <v>112785.17</v>
      </c>
      <c r="J18" s="63">
        <f t="shared" si="1"/>
        <v>8.5481835715202265E-2</v>
      </c>
      <c r="K18" s="144">
        <f>+(D18-I18)</f>
        <v>31922.770000000004</v>
      </c>
      <c r="M18" s="62">
        <v>453888.45</v>
      </c>
      <c r="N18" s="63">
        <f>+IFERROR(M18/M$19,"")</f>
        <v>7.2168982405748122E-2</v>
      </c>
      <c r="O18" s="62">
        <v>494313</v>
      </c>
      <c r="P18" s="63">
        <f t="shared" si="2"/>
        <v>7.307531209404021E-2</v>
      </c>
      <c r="Q18" s="144">
        <f>+M18-O18</f>
        <v>-40424.549999999988</v>
      </c>
      <c r="R18" s="62">
        <v>502825.58</v>
      </c>
      <c r="S18" s="63">
        <f t="shared" si="3"/>
        <v>8.5739040518792345E-2</v>
      </c>
      <c r="T18" s="144">
        <f>+(M18-R18)</f>
        <v>-48937.130000000005</v>
      </c>
    </row>
    <row r="19" spans="2:20" x14ac:dyDescent="0.25">
      <c r="B19" s="12" t="s">
        <v>669</v>
      </c>
      <c r="C19" s="301" t="s">
        <v>18</v>
      </c>
      <c r="D19" s="59">
        <f t="shared" ref="D19" si="4">+SUM(D15:D18)</f>
        <v>1508818.4999999998</v>
      </c>
      <c r="E19" s="61">
        <f>+IFERROR(D19/D$19,"")</f>
        <v>1</v>
      </c>
      <c r="F19" s="59">
        <f t="shared" ref="F19" si="5">+SUM(F15:F18)</f>
        <v>1518853.0100000002</v>
      </c>
      <c r="G19" s="61">
        <f t="shared" si="0"/>
        <v>1</v>
      </c>
      <c r="H19" s="138">
        <f>+D19-F19</f>
        <v>-10034.510000000475</v>
      </c>
      <c r="I19" s="59">
        <f t="shared" ref="I19" si="6">+SUM(I15:I18)</f>
        <v>1319405.0999999999</v>
      </c>
      <c r="J19" s="61">
        <f t="shared" si="1"/>
        <v>1</v>
      </c>
      <c r="K19" s="138">
        <f>+(D19-I19)</f>
        <v>189413.39999999991</v>
      </c>
      <c r="M19" s="59">
        <f t="shared" ref="M19" si="7">+SUM(M15:M18)</f>
        <v>6289245.5300000003</v>
      </c>
      <c r="N19" s="61">
        <f>+IFERROR(M19/M$19,"")</f>
        <v>1</v>
      </c>
      <c r="O19" s="59">
        <f t="shared" ref="O19" si="8">+SUM(O15:O18)</f>
        <v>6764432.2800000003</v>
      </c>
      <c r="P19" s="61">
        <f t="shared" si="2"/>
        <v>1</v>
      </c>
      <c r="Q19" s="138">
        <f>+M19-O19</f>
        <v>-475186.75</v>
      </c>
      <c r="R19" s="59">
        <f t="shared" ref="R19" si="9">+SUM(R15:R18)</f>
        <v>5864604.7000000002</v>
      </c>
      <c r="S19" s="61">
        <f t="shared" si="3"/>
        <v>1</v>
      </c>
      <c r="T19" s="138">
        <f>+(M19-R19)</f>
        <v>424640.83000000007</v>
      </c>
    </row>
    <row r="20" spans="2:20" x14ac:dyDescent="0.25">
      <c r="B20" s="12"/>
      <c r="C20" s="298" t="s">
        <v>8</v>
      </c>
      <c r="D20" s="45" t="s">
        <v>8</v>
      </c>
      <c r="E20" s="42" t="b">
        <v>1</v>
      </c>
      <c r="F20" s="45" t="s">
        <v>8</v>
      </c>
      <c r="G20" s="87" t="b">
        <v>1</v>
      </c>
      <c r="H20" s="78"/>
      <c r="I20" s="45" t="s">
        <v>8</v>
      </c>
      <c r="J20" s="87" t="b">
        <v>1</v>
      </c>
      <c r="K20" s="79"/>
      <c r="M20" s="45" t="s">
        <v>8</v>
      </c>
      <c r="N20" s="42" t="b">
        <v>1</v>
      </c>
      <c r="O20" s="45" t="s">
        <v>8</v>
      </c>
      <c r="P20" s="87" t="b">
        <v>1</v>
      </c>
      <c r="Q20" s="78"/>
      <c r="R20" s="45" t="s">
        <v>8</v>
      </c>
      <c r="S20" s="87" t="b">
        <v>1</v>
      </c>
      <c r="T20" s="79"/>
    </row>
    <row r="21" spans="2:20" x14ac:dyDescent="0.25">
      <c r="B21" s="12"/>
      <c r="C21" s="299" t="s">
        <v>19</v>
      </c>
      <c r="D21" s="52"/>
      <c r="E21" s="53"/>
      <c r="F21" s="52"/>
      <c r="G21" s="32"/>
      <c r="H21" s="16"/>
      <c r="I21" s="52"/>
      <c r="J21" s="32"/>
      <c r="K21" s="49"/>
      <c r="M21" s="52"/>
      <c r="N21" s="53"/>
      <c r="O21" s="52"/>
      <c r="P21" s="32"/>
      <c r="Q21" s="16"/>
      <c r="R21" s="52"/>
      <c r="S21" s="32"/>
      <c r="T21" s="49"/>
    </row>
    <row r="22" spans="2:20" x14ac:dyDescent="0.25">
      <c r="B22" s="12" t="s">
        <v>20</v>
      </c>
      <c r="C22" s="300" t="s">
        <v>52</v>
      </c>
      <c r="D22" s="50">
        <v>278444.2</v>
      </c>
      <c r="E22" s="51">
        <f t="shared" ref="E22" si="10">+IFERROR(D22/D15,"")</f>
        <v>0.28353934821494647</v>
      </c>
      <c r="F22" s="50">
        <v>245118.34</v>
      </c>
      <c r="G22" s="51">
        <f t="shared" ref="G22:G24" si="11">+IFERROR(F22/F15,"")</f>
        <v>0.25548961118443364</v>
      </c>
      <c r="H22" s="137">
        <f>+D22-F22</f>
        <v>33325.860000000015</v>
      </c>
      <c r="I22" s="50">
        <v>261858.86</v>
      </c>
      <c r="J22" s="51">
        <f t="shared" ref="J22:J24" si="12">+IFERROR(I22/I15,"")</f>
        <v>0.27443127862822159</v>
      </c>
      <c r="K22" s="137">
        <f>+(D22-I22)</f>
        <v>16585.340000000026</v>
      </c>
      <c r="M22" s="50">
        <v>1048369.27</v>
      </c>
      <c r="N22" s="51">
        <f t="shared" ref="N22:N23" si="13">+IFERROR(M22/M15,"")</f>
        <v>0.24372081603812737</v>
      </c>
      <c r="O22" s="50">
        <v>1019678.19</v>
      </c>
      <c r="P22" s="51">
        <f t="shared" ref="P22:P24" si="14">+IFERROR(O22/O15,"")</f>
        <v>0.22805464885970783</v>
      </c>
      <c r="Q22" s="137">
        <f>+M22-O22</f>
        <v>28691.080000000075</v>
      </c>
      <c r="R22" s="50">
        <v>1030793.94</v>
      </c>
      <c r="S22" s="51">
        <f t="shared" ref="S22:S24" si="15">+IFERROR(R22/R15,"")</f>
        <v>0.23226638277004313</v>
      </c>
      <c r="T22" s="137">
        <f>+(M22-R22)</f>
        <v>17575.330000000075</v>
      </c>
    </row>
    <row r="23" spans="2:20" x14ac:dyDescent="0.25">
      <c r="B23" s="12" t="s">
        <v>21</v>
      </c>
      <c r="C23" s="300" t="s">
        <v>380</v>
      </c>
      <c r="D23" s="50">
        <v>291396.90000000002</v>
      </c>
      <c r="E23" s="51">
        <f t="shared" ref="E23" si="16">+IFERROR(D23/D16,"")</f>
        <v>0.76858970965595019</v>
      </c>
      <c r="F23" s="50">
        <v>298555.95395301702</v>
      </c>
      <c r="G23" s="51">
        <f t="shared" si="11"/>
        <v>0.68224854387348122</v>
      </c>
      <c r="H23" s="137">
        <f>+D23-F23</f>
        <v>-7159.0539530169917</v>
      </c>
      <c r="I23" s="50">
        <v>228871.12</v>
      </c>
      <c r="J23" s="51">
        <f t="shared" si="12"/>
        <v>0.91194245901150095</v>
      </c>
      <c r="K23" s="137">
        <f>+(D23-I23)</f>
        <v>62525.780000000028</v>
      </c>
      <c r="M23" s="50">
        <v>1080000.47</v>
      </c>
      <c r="N23" s="51">
        <f t="shared" si="13"/>
        <v>0.70867763376761883</v>
      </c>
      <c r="O23" s="50">
        <v>1223767.94985615</v>
      </c>
      <c r="P23" s="51">
        <f t="shared" si="14"/>
        <v>0.68264185448412751</v>
      </c>
      <c r="Q23" s="137">
        <f>+M23-O23</f>
        <v>-143767.47985614999</v>
      </c>
      <c r="R23" s="50">
        <v>774579.62</v>
      </c>
      <c r="S23" s="51">
        <f t="shared" si="15"/>
        <v>0.84506594513490285</v>
      </c>
      <c r="T23" s="137">
        <f>+(M23-R23)</f>
        <v>305420.84999999998</v>
      </c>
    </row>
    <row r="24" spans="2:20" x14ac:dyDescent="0.25">
      <c r="B24" s="12" t="s">
        <v>22</v>
      </c>
      <c r="C24" s="300" t="s">
        <v>381</v>
      </c>
      <c r="D24" s="62">
        <v>1105.98</v>
      </c>
      <c r="E24" s="63">
        <f>+IFERROR(D24/D17,"")</f>
        <v>0.37510683615742563</v>
      </c>
      <c r="F24" s="62">
        <v>531.38</v>
      </c>
      <c r="G24" s="63">
        <f t="shared" si="11"/>
        <v>0.34109392953198919</v>
      </c>
      <c r="H24" s="191">
        <f>+D24-F24</f>
        <v>574.6</v>
      </c>
      <c r="I24" s="62">
        <v>642.24</v>
      </c>
      <c r="J24" s="63">
        <f t="shared" si="12"/>
        <v>0.43942389928500564</v>
      </c>
      <c r="K24" s="191">
        <f>+(D24-I24)</f>
        <v>463.74</v>
      </c>
      <c r="M24" s="62">
        <v>5073</v>
      </c>
      <c r="N24" s="63">
        <f>+IFERROR(M24/M17,"")</f>
        <v>0.51376626217574395</v>
      </c>
      <c r="O24" s="62">
        <v>2123.0500000000002</v>
      </c>
      <c r="P24" s="63">
        <f t="shared" si="14"/>
        <v>0.3410949484433391</v>
      </c>
      <c r="Q24" s="191">
        <f>+M24-O24</f>
        <v>2949.95</v>
      </c>
      <c r="R24" s="62">
        <v>2321.77</v>
      </c>
      <c r="S24" s="63">
        <f t="shared" si="15"/>
        <v>0.32216602490720503</v>
      </c>
      <c r="T24" s="191">
        <f>+(M24-R24)</f>
        <v>2751.23</v>
      </c>
    </row>
    <row r="25" spans="2:20" x14ac:dyDescent="0.25">
      <c r="B25" s="12" t="s">
        <v>661</v>
      </c>
      <c r="C25" s="301" t="s">
        <v>23</v>
      </c>
      <c r="D25" s="59">
        <f>+SUM(D22:D24)</f>
        <v>570947.08000000007</v>
      </c>
      <c r="E25" s="61">
        <f>+IFERROR(D25/D$19,"")</f>
        <v>0.37840673348053472</v>
      </c>
      <c r="F25" s="59">
        <f>+SUM(F22:F24)</f>
        <v>544205.67395301699</v>
      </c>
      <c r="G25" s="61">
        <f t="shared" ref="G25" si="17">+IFERROR(F25/F$19,"")</f>
        <v>0.35830042168005244</v>
      </c>
      <c r="H25" s="192">
        <f>+D25-F25</f>
        <v>26741.406046983087</v>
      </c>
      <c r="I25" s="59">
        <f>+SUM(I22:I24)</f>
        <v>491372.22</v>
      </c>
      <c r="J25" s="61">
        <f t="shared" ref="J25" si="18">+IFERROR(I25/I$19,"")</f>
        <v>0.37241952452662191</v>
      </c>
      <c r="K25" s="192">
        <f>+(D25-I25)</f>
        <v>79574.860000000102</v>
      </c>
      <c r="M25" s="59">
        <f>+SUM(M22:M24)</f>
        <v>2133442.7400000002</v>
      </c>
      <c r="N25" s="61">
        <f>+IFERROR(M25/M$19,"")</f>
        <v>0.33922077454654564</v>
      </c>
      <c r="O25" s="59">
        <f>+SUM(O22:O24)</f>
        <v>2245569.1898561497</v>
      </c>
      <c r="P25" s="61">
        <f t="shared" ref="P25" si="19">+IFERROR(O25/O$19,"")</f>
        <v>0.331967132924886</v>
      </c>
      <c r="Q25" s="192">
        <f>+M25-O25</f>
        <v>-112126.4498561495</v>
      </c>
      <c r="R25" s="59">
        <f>+SUM(R22:R24)</f>
        <v>1807695.33</v>
      </c>
      <c r="S25" s="61">
        <f t="shared" ref="S25" si="20">+IFERROR(R25/R$19,"")</f>
        <v>0.30823822277399193</v>
      </c>
      <c r="T25" s="192">
        <f>+(M25-R25)</f>
        <v>325747.41000000015</v>
      </c>
    </row>
    <row r="26" spans="2:20" x14ac:dyDescent="0.25">
      <c r="B26" s="12"/>
      <c r="C26" s="302" t="s">
        <v>8</v>
      </c>
      <c r="D26" s="202"/>
      <c r="E26" s="203"/>
      <c r="F26" s="202"/>
      <c r="G26" s="272"/>
      <c r="I26" s="202"/>
      <c r="J26" s="273"/>
      <c r="K26" s="200"/>
      <c r="M26" s="202"/>
      <c r="N26" s="203"/>
      <c r="O26" s="202"/>
      <c r="P26" s="272"/>
      <c r="R26" s="202"/>
      <c r="S26" s="273"/>
      <c r="T26" s="200"/>
    </row>
    <row r="27" spans="2:20" x14ac:dyDescent="0.25">
      <c r="B27" s="12"/>
      <c r="C27" s="301" t="s">
        <v>24</v>
      </c>
      <c r="D27" s="66">
        <f>+D19-D25</f>
        <v>937871.41999999969</v>
      </c>
      <c r="E27" s="68">
        <f>+IFERROR(D27/D$19,"")</f>
        <v>0.62159326651946534</v>
      </c>
      <c r="F27" s="66">
        <f>+F19-F25</f>
        <v>974647.33604698326</v>
      </c>
      <c r="G27" s="68">
        <f t="shared" ref="G27" si="21">+IFERROR(F27/F$19,"")</f>
        <v>0.64169957831994762</v>
      </c>
      <c r="H27" s="190">
        <f>+D27-F27</f>
        <v>-36775.916046983562</v>
      </c>
      <c r="I27" s="66">
        <f>+I19-I25</f>
        <v>828032.87999999989</v>
      </c>
      <c r="J27" s="68">
        <f t="shared" ref="J27" si="22">+IFERROR(I27/I$19,"")</f>
        <v>0.62758047547337814</v>
      </c>
      <c r="K27" s="190">
        <f>+(D27-I27)</f>
        <v>109838.5399999998</v>
      </c>
      <c r="M27" s="66">
        <f>+M19-M25</f>
        <v>4155802.79</v>
      </c>
      <c r="N27" s="68">
        <f>+IFERROR(M27/M$19,"")</f>
        <v>0.66077922545345436</v>
      </c>
      <c r="O27" s="66">
        <f>+O19-O25</f>
        <v>4518863.0901438501</v>
      </c>
      <c r="P27" s="68">
        <f t="shared" ref="P27" si="23">+IFERROR(O27/O$19,"")</f>
        <v>0.66803286707511389</v>
      </c>
      <c r="Q27" s="190">
        <f>+M27-O27</f>
        <v>-363060.30014385004</v>
      </c>
      <c r="R27" s="66">
        <f>+R19-R25</f>
        <v>4056909.37</v>
      </c>
      <c r="S27" s="68">
        <f t="shared" ref="S27" si="24">+IFERROR(R27/R$19,"")</f>
        <v>0.69176177722600807</v>
      </c>
      <c r="T27" s="190">
        <f>+(M27-R27)</f>
        <v>98893.419999999925</v>
      </c>
    </row>
    <row r="28" spans="2:20" x14ac:dyDescent="0.25">
      <c r="B28" s="12"/>
      <c r="C28" s="302" t="s">
        <v>8</v>
      </c>
      <c r="D28" s="45" t="s">
        <v>8</v>
      </c>
      <c r="E28" s="42" t="b">
        <v>1</v>
      </c>
      <c r="F28" s="45" t="s">
        <v>8</v>
      </c>
      <c r="G28" s="95" t="b">
        <v>1</v>
      </c>
      <c r="I28" s="45" t="s">
        <v>8</v>
      </c>
      <c r="J28" s="95" t="b">
        <v>1</v>
      </c>
      <c r="K28" s="74"/>
      <c r="M28" s="45" t="s">
        <v>8</v>
      </c>
      <c r="N28" s="42" t="b">
        <v>1</v>
      </c>
      <c r="O28" s="45" t="s">
        <v>8</v>
      </c>
      <c r="P28" s="95" t="b">
        <v>1</v>
      </c>
      <c r="R28" s="45" t="s">
        <v>8</v>
      </c>
      <c r="S28" s="95" t="b">
        <v>1</v>
      </c>
      <c r="T28" s="74"/>
    </row>
    <row r="29" spans="2:20" x14ac:dyDescent="0.25">
      <c r="B29" s="12"/>
      <c r="C29" s="299" t="s">
        <v>25</v>
      </c>
      <c r="D29" s="52"/>
      <c r="E29" s="53"/>
      <c r="F29" s="52"/>
      <c r="G29" s="32"/>
      <c r="H29" s="184"/>
      <c r="I29" s="52"/>
      <c r="J29" s="32"/>
      <c r="K29" s="196"/>
      <c r="M29" s="52"/>
      <c r="N29" s="53"/>
      <c r="O29" s="52"/>
      <c r="P29" s="32"/>
      <c r="Q29" s="184"/>
      <c r="R29" s="52"/>
      <c r="S29" s="32"/>
      <c r="T29" s="196"/>
    </row>
    <row r="30" spans="2:20" x14ac:dyDescent="0.25">
      <c r="B30" s="12" t="s">
        <v>26</v>
      </c>
      <c r="C30" s="300" t="s">
        <v>382</v>
      </c>
      <c r="D30" s="50">
        <v>133968.94</v>
      </c>
      <c r="E30" s="51">
        <f t="shared" ref="E30:E35" si="25">+IFERROR(D30/D$19,"")</f>
        <v>8.8790626573043763E-2</v>
      </c>
      <c r="F30" s="50">
        <v>138401.35675579301</v>
      </c>
      <c r="G30" s="51">
        <f t="shared" ref="G30:G35" si="26">+IFERROR(F30/F$19,"")</f>
        <v>9.1122284937759049E-2</v>
      </c>
      <c r="H30" s="137">
        <f t="shared" ref="H30:H35" si="27">+D30-F30</f>
        <v>-4432.416755793005</v>
      </c>
      <c r="I30" s="50">
        <v>118161.63</v>
      </c>
      <c r="J30" s="51">
        <f t="shared" ref="J30:J35" si="28">+IFERROR(I30/I$19,"")</f>
        <v>8.9556747961638178E-2</v>
      </c>
      <c r="K30" s="137">
        <f t="shared" ref="K30:K35" si="29">+(D30-I30)</f>
        <v>15807.309999999998</v>
      </c>
      <c r="M30" s="50">
        <v>495671.28</v>
      </c>
      <c r="N30" s="51">
        <f t="shared" ref="N30:N35" si="30">+IFERROR(M30/M$19,"")</f>
        <v>7.8812518550217897E-2</v>
      </c>
      <c r="O30" s="50">
        <v>544392.40094566299</v>
      </c>
      <c r="P30" s="51">
        <f t="shared" ref="P30:P35" si="31">+IFERROR(O30/O$19,"")</f>
        <v>8.0478653405288134E-2</v>
      </c>
      <c r="Q30" s="137">
        <f t="shared" ref="Q30:Q35" si="32">+M30-O30</f>
        <v>-48721.120945662959</v>
      </c>
      <c r="R30" s="50">
        <v>457549.71</v>
      </c>
      <c r="S30" s="51">
        <f t="shared" ref="S30:S35" si="33">+IFERROR(R30/R$19,"")</f>
        <v>7.8018849249975875E-2</v>
      </c>
      <c r="T30" s="137">
        <f t="shared" ref="T30:T35" si="34">+(M30-R30)</f>
        <v>38121.570000000007</v>
      </c>
    </row>
    <row r="31" spans="2:20" x14ac:dyDescent="0.25">
      <c r="B31" s="13" t="s">
        <v>27</v>
      </c>
      <c r="C31" s="300" t="s">
        <v>383</v>
      </c>
      <c r="D31" s="50">
        <v>16160.83</v>
      </c>
      <c r="E31" s="51">
        <f t="shared" si="25"/>
        <v>1.0710917184538765E-2</v>
      </c>
      <c r="F31" s="50">
        <v>15681.7</v>
      </c>
      <c r="G31" s="51">
        <f t="shared" si="26"/>
        <v>1.0324698898940851E-2</v>
      </c>
      <c r="H31" s="137">
        <f t="shared" si="27"/>
        <v>479.1299999999992</v>
      </c>
      <c r="I31" s="50">
        <v>15829.8</v>
      </c>
      <c r="J31" s="51">
        <f t="shared" si="28"/>
        <v>1.199767986344755E-2</v>
      </c>
      <c r="K31" s="137">
        <f t="shared" si="29"/>
        <v>331.03000000000065</v>
      </c>
      <c r="M31" s="50">
        <v>80361.22</v>
      </c>
      <c r="N31" s="51">
        <f t="shared" si="30"/>
        <v>1.2777561253837708E-2</v>
      </c>
      <c r="O31" s="50">
        <v>79636.02</v>
      </c>
      <c r="P31" s="51">
        <f t="shared" si="31"/>
        <v>1.1772757373217431E-2</v>
      </c>
      <c r="Q31" s="137">
        <f t="shared" si="32"/>
        <v>725.19999999999709</v>
      </c>
      <c r="R31" s="50">
        <v>78045.460000000006</v>
      </c>
      <c r="S31" s="51">
        <f t="shared" si="33"/>
        <v>1.330788075111013E-2</v>
      </c>
      <c r="T31" s="137">
        <f t="shared" si="34"/>
        <v>2315.7599999999948</v>
      </c>
    </row>
    <row r="32" spans="2:20" x14ac:dyDescent="0.25">
      <c r="B32" s="12" t="s">
        <v>263</v>
      </c>
      <c r="C32" s="300" t="s">
        <v>384</v>
      </c>
      <c r="D32" s="50">
        <v>88393.96</v>
      </c>
      <c r="E32" s="51">
        <f t="shared" si="25"/>
        <v>5.8584886121160376E-2</v>
      </c>
      <c r="F32" s="50">
        <v>104759.66</v>
      </c>
      <c r="G32" s="51">
        <f t="shared" si="26"/>
        <v>6.8972875788684773E-2</v>
      </c>
      <c r="H32" s="137">
        <f t="shared" si="27"/>
        <v>-16365.699999999997</v>
      </c>
      <c r="I32" s="50">
        <v>115727.72</v>
      </c>
      <c r="J32" s="51">
        <f t="shared" si="28"/>
        <v>8.7712045375601483E-2</v>
      </c>
      <c r="K32" s="137">
        <f t="shared" si="29"/>
        <v>-27333.759999999995</v>
      </c>
      <c r="M32" s="50">
        <v>381980.89</v>
      </c>
      <c r="N32" s="51">
        <f t="shared" si="30"/>
        <v>6.0735566480579109E-2</v>
      </c>
      <c r="O32" s="50">
        <v>470940.58</v>
      </c>
      <c r="P32" s="51">
        <f t="shared" si="31"/>
        <v>6.9620118955496441E-2</v>
      </c>
      <c r="Q32" s="137">
        <f t="shared" si="32"/>
        <v>-88959.69</v>
      </c>
      <c r="R32" s="50">
        <v>417390.76</v>
      </c>
      <c r="S32" s="51">
        <f t="shared" si="33"/>
        <v>7.1171166915990097E-2</v>
      </c>
      <c r="T32" s="137">
        <f t="shared" si="34"/>
        <v>-35409.869999999995</v>
      </c>
    </row>
    <row r="33" spans="2:24" x14ac:dyDescent="0.25">
      <c r="B33" s="12" t="s">
        <v>28</v>
      </c>
      <c r="C33" s="300" t="s">
        <v>721</v>
      </c>
      <c r="D33" s="50">
        <v>57358.85</v>
      </c>
      <c r="E33" s="51">
        <f t="shared" si="25"/>
        <v>3.8015738804899335E-2</v>
      </c>
      <c r="F33" s="50">
        <v>65333.86992854</v>
      </c>
      <c r="G33" s="51">
        <f t="shared" si="26"/>
        <v>4.3015268428470234E-2</v>
      </c>
      <c r="H33" s="137">
        <f t="shared" si="27"/>
        <v>-7975.0199285400013</v>
      </c>
      <c r="I33" s="50">
        <v>37576.639999999999</v>
      </c>
      <c r="J33" s="51">
        <f t="shared" si="28"/>
        <v>2.8479986927441771E-2</v>
      </c>
      <c r="K33" s="137">
        <f t="shared" si="29"/>
        <v>19782.21</v>
      </c>
      <c r="M33" s="50">
        <v>220794.79</v>
      </c>
      <c r="N33" s="51">
        <f t="shared" si="30"/>
        <v>3.5106721298572043E-2</v>
      </c>
      <c r="O33" s="50">
        <v>267358.96394781797</v>
      </c>
      <c r="P33" s="51">
        <f t="shared" si="31"/>
        <v>3.9524228032898269E-2</v>
      </c>
      <c r="Q33" s="137">
        <f t="shared" si="32"/>
        <v>-46564.173947817966</v>
      </c>
      <c r="R33" s="50">
        <v>225470.27</v>
      </c>
      <c r="S33" s="51">
        <f t="shared" si="33"/>
        <v>3.844594504383219E-2</v>
      </c>
      <c r="T33" s="137">
        <f t="shared" si="34"/>
        <v>-4675.4799999999814</v>
      </c>
    </row>
    <row r="34" spans="2:24" x14ac:dyDescent="0.25">
      <c r="B34" s="12" t="s">
        <v>29</v>
      </c>
      <c r="C34" s="300" t="s">
        <v>67</v>
      </c>
      <c r="D34" s="62">
        <v>24121.87</v>
      </c>
      <c r="E34" s="63">
        <f t="shared" si="25"/>
        <v>1.5987257579357626E-2</v>
      </c>
      <c r="F34" s="62">
        <v>23162.39</v>
      </c>
      <c r="G34" s="63">
        <f t="shared" si="26"/>
        <v>1.5249922044793522E-2</v>
      </c>
      <c r="H34" s="191">
        <f t="shared" si="27"/>
        <v>959.47999999999956</v>
      </c>
      <c r="I34" s="62">
        <v>25806.47</v>
      </c>
      <c r="J34" s="63">
        <f t="shared" si="28"/>
        <v>1.9559171023365001E-2</v>
      </c>
      <c r="K34" s="191">
        <f t="shared" si="29"/>
        <v>-1684.6000000000022</v>
      </c>
      <c r="M34" s="62">
        <v>93445.37</v>
      </c>
      <c r="N34" s="63">
        <f t="shared" si="30"/>
        <v>1.4857961826146099E-2</v>
      </c>
      <c r="O34" s="62">
        <v>90217.04</v>
      </c>
      <c r="P34" s="63">
        <f t="shared" si="31"/>
        <v>1.3336971421347424E-2</v>
      </c>
      <c r="Q34" s="191">
        <f t="shared" si="32"/>
        <v>3228.3300000000017</v>
      </c>
      <c r="R34" s="62">
        <v>95974.61</v>
      </c>
      <c r="S34" s="63">
        <f t="shared" si="33"/>
        <v>1.6365060376533135E-2</v>
      </c>
      <c r="T34" s="191">
        <f t="shared" si="34"/>
        <v>-2529.2400000000052</v>
      </c>
    </row>
    <row r="35" spans="2:24" x14ac:dyDescent="0.25">
      <c r="B35" s="12" t="s">
        <v>676</v>
      </c>
      <c r="C35" s="301" t="s">
        <v>30</v>
      </c>
      <c r="D35" s="59">
        <f>+SUM(D30:D34)</f>
        <v>320004.44999999995</v>
      </c>
      <c r="E35" s="61">
        <f t="shared" si="25"/>
        <v>0.21208942626299981</v>
      </c>
      <c r="F35" s="59">
        <f>+SUM(F30:F34)</f>
        <v>347338.97668433306</v>
      </c>
      <c r="G35" s="61">
        <f t="shared" si="26"/>
        <v>0.22868505009864845</v>
      </c>
      <c r="H35" s="192">
        <f t="shared" si="27"/>
        <v>-27334.526684333105</v>
      </c>
      <c r="I35" s="59">
        <f>+SUM(I30:I34)</f>
        <v>313102.26</v>
      </c>
      <c r="J35" s="61">
        <f t="shared" si="28"/>
        <v>0.237305631151494</v>
      </c>
      <c r="K35" s="192">
        <f t="shared" si="29"/>
        <v>6902.1899999999441</v>
      </c>
      <c r="M35" s="59">
        <f>+SUM(M30:M34)</f>
        <v>1272253.5499999998</v>
      </c>
      <c r="N35" s="61">
        <f t="shared" si="30"/>
        <v>0.20229032940935282</v>
      </c>
      <c r="O35" s="59">
        <f>+SUM(O30:O34)</f>
        <v>1452545.004893481</v>
      </c>
      <c r="P35" s="61">
        <f t="shared" si="31"/>
        <v>0.21473272918824771</v>
      </c>
      <c r="Q35" s="192">
        <f t="shared" si="32"/>
        <v>-180291.45489348122</v>
      </c>
      <c r="R35" s="59">
        <f>+SUM(R30:R34)</f>
        <v>1274430.81</v>
      </c>
      <c r="S35" s="61">
        <f t="shared" si="33"/>
        <v>0.21730890233744143</v>
      </c>
      <c r="T35" s="192">
        <f t="shared" si="34"/>
        <v>-2177.2600000002421</v>
      </c>
    </row>
    <row r="36" spans="2:24" x14ac:dyDescent="0.25">
      <c r="B36" s="12"/>
      <c r="C36" s="302" t="s">
        <v>8</v>
      </c>
      <c r="D36" s="69"/>
      <c r="E36" s="70"/>
      <c r="F36" s="69"/>
      <c r="G36" s="96"/>
      <c r="H36" s="185"/>
      <c r="I36" s="69"/>
      <c r="J36" s="96"/>
      <c r="K36" s="197"/>
      <c r="M36" s="69"/>
      <c r="N36" s="70"/>
      <c r="O36" s="69"/>
      <c r="P36" s="96"/>
      <c r="Q36" s="185"/>
      <c r="R36" s="69"/>
      <c r="S36" s="96"/>
      <c r="T36" s="197"/>
    </row>
    <row r="37" spans="2:24" ht="15.75" thickBot="1" x14ac:dyDescent="0.3">
      <c r="B37" s="12" t="s">
        <v>664</v>
      </c>
      <c r="C37" s="301" t="s">
        <v>31</v>
      </c>
      <c r="D37" s="64">
        <f>+D27-D35</f>
        <v>617866.96999999974</v>
      </c>
      <c r="E37" s="65">
        <f>+IFERROR(D37/D$19,"")</f>
        <v>0.40950384025646547</v>
      </c>
      <c r="F37" s="64">
        <f>+F27-F35</f>
        <v>627308.3593626502</v>
      </c>
      <c r="G37" s="88">
        <f t="shared" ref="G37" si="35">+IFERROR(F37/F$19,"")</f>
        <v>0.41301452822129908</v>
      </c>
      <c r="H37" s="132">
        <f>+D37-F37</f>
        <v>-9441.3893626504578</v>
      </c>
      <c r="I37" s="64">
        <f>+I27-I35</f>
        <v>514930.61999999988</v>
      </c>
      <c r="J37" s="88">
        <f t="shared" ref="J37" si="36">+IFERROR(I37/I$19,"")</f>
        <v>0.39027484432188408</v>
      </c>
      <c r="K37" s="132">
        <f>+(D37-I37)</f>
        <v>102936.34999999986</v>
      </c>
      <c r="M37" s="64">
        <f>+M27-M35</f>
        <v>2883549.24</v>
      </c>
      <c r="N37" s="65">
        <f>+IFERROR(M37/M$19,"")</f>
        <v>0.45848889604410153</v>
      </c>
      <c r="O37" s="64">
        <f>+O27-O35</f>
        <v>3066318.0852503693</v>
      </c>
      <c r="P37" s="88">
        <f t="shared" ref="P37" si="37">+IFERROR(O37/O$19,"")</f>
        <v>0.45330013788686624</v>
      </c>
      <c r="Q37" s="132">
        <f>+M37-O37</f>
        <v>-182768.84525036905</v>
      </c>
      <c r="R37" s="64">
        <f>+R27-R35</f>
        <v>2782478.56</v>
      </c>
      <c r="S37" s="88">
        <f t="shared" ref="S37" si="38">+IFERROR(R37/R$19,"")</f>
        <v>0.47445287488856663</v>
      </c>
      <c r="T37" s="132">
        <f>+(M37-R37)</f>
        <v>101070.68000000017</v>
      </c>
    </row>
    <row r="38" spans="2:24" ht="15.75" thickTop="1" x14ac:dyDescent="0.25">
      <c r="B38" s="12"/>
      <c r="C38" s="302" t="s">
        <v>8</v>
      </c>
      <c r="D38" s="204"/>
      <c r="E38" s="42"/>
      <c r="F38" s="204"/>
      <c r="G38" s="98"/>
      <c r="H38" s="186"/>
      <c r="I38" s="204"/>
      <c r="J38" s="97"/>
      <c r="K38" s="198"/>
      <c r="M38" s="204"/>
      <c r="N38" s="42"/>
      <c r="O38" s="204"/>
      <c r="P38" s="98"/>
      <c r="Q38" s="186"/>
      <c r="R38" s="204"/>
      <c r="S38" s="97"/>
      <c r="T38" s="198"/>
    </row>
    <row r="39" spans="2:24" x14ac:dyDescent="0.25">
      <c r="B39" s="12" t="s">
        <v>278</v>
      </c>
      <c r="C39" s="300" t="s">
        <v>33</v>
      </c>
      <c r="D39" s="62">
        <v>68430.22</v>
      </c>
      <c r="E39" s="63">
        <f>+IFERROR(D39/D$19,"")</f>
        <v>4.5353513361613744E-2</v>
      </c>
      <c r="F39" s="62">
        <v>70783.77</v>
      </c>
      <c r="G39" s="63">
        <f t="shared" ref="G39:G40" si="39">+IFERROR(F39/F$19,"")</f>
        <v>4.6603436628801884E-2</v>
      </c>
      <c r="H39" s="193">
        <f>+D39-F39</f>
        <v>-2353.5500000000029</v>
      </c>
      <c r="I39" s="62">
        <v>56917.53</v>
      </c>
      <c r="J39" s="63">
        <f t="shared" ref="J39:J40" si="40">+IFERROR(I39/I$19,"")</f>
        <v>4.3138782774145713E-2</v>
      </c>
      <c r="K39" s="193">
        <f>+(D39-I39)</f>
        <v>11512.690000000002</v>
      </c>
      <c r="M39" s="62">
        <v>273972.26</v>
      </c>
      <c r="N39" s="63">
        <f>+IFERROR(M39/M$19,"")</f>
        <v>4.3562023249551843E-2</v>
      </c>
      <c r="O39" s="62">
        <v>306966.13</v>
      </c>
      <c r="P39" s="63">
        <f t="shared" ref="P39:P40" si="41">+IFERROR(O39/O$19,"")</f>
        <v>4.5379437223074692E-2</v>
      </c>
      <c r="Q39" s="193">
        <f>+M39-O39</f>
        <v>-32993.869999999995</v>
      </c>
      <c r="R39" s="62">
        <v>243369.3</v>
      </c>
      <c r="S39" s="63">
        <f t="shared" ref="S39:S40" si="42">+IFERROR(R39/R$19,"")</f>
        <v>4.149798877322456E-2</v>
      </c>
      <c r="T39" s="193">
        <f>+(M39-R39)</f>
        <v>30602.960000000021</v>
      </c>
    </row>
    <row r="40" spans="2:24" x14ac:dyDescent="0.25">
      <c r="B40" s="12"/>
      <c r="C40" s="301" t="s">
        <v>35</v>
      </c>
      <c r="D40" s="71">
        <f>+D37-D39</f>
        <v>549436.74999999977</v>
      </c>
      <c r="E40" s="72">
        <f>+IFERROR(D40/D$19,"")</f>
        <v>0.36415032689485172</v>
      </c>
      <c r="F40" s="71">
        <f>+F37-F39</f>
        <v>556524.58936265018</v>
      </c>
      <c r="G40" s="72">
        <f t="shared" si="39"/>
        <v>0.36641109159249724</v>
      </c>
      <c r="H40" s="190">
        <f>+D40-F40</f>
        <v>-7087.8393626504112</v>
      </c>
      <c r="I40" s="71">
        <f>+I37-I39</f>
        <v>458013.08999999985</v>
      </c>
      <c r="J40" s="72">
        <f t="shared" si="40"/>
        <v>0.34713606154773835</v>
      </c>
      <c r="K40" s="190">
        <f>+(D40-I40)</f>
        <v>91423.659999999916</v>
      </c>
      <c r="M40" s="71">
        <f>+M37-M39</f>
        <v>2609576.9800000004</v>
      </c>
      <c r="N40" s="72">
        <f>+IFERROR(M40/M$19,"")</f>
        <v>0.41492687279454971</v>
      </c>
      <c r="O40" s="71">
        <f>+O37-O39</f>
        <v>2759351.9552503694</v>
      </c>
      <c r="P40" s="72">
        <f t="shared" si="41"/>
        <v>0.4079207006637916</v>
      </c>
      <c r="Q40" s="190">
        <f>+M40-O40</f>
        <v>-149774.97525036894</v>
      </c>
      <c r="R40" s="71">
        <f>+R37-R39</f>
        <v>2539109.2600000002</v>
      </c>
      <c r="S40" s="72">
        <f t="shared" si="42"/>
        <v>0.43295488611534211</v>
      </c>
      <c r="T40" s="190">
        <f>+(M40-R40)</f>
        <v>70467.720000000205</v>
      </c>
    </row>
    <row r="41" spans="2:24" x14ac:dyDescent="0.25">
      <c r="B41" s="12"/>
      <c r="C41" s="298" t="s">
        <v>8</v>
      </c>
      <c r="D41" s="45" t="s">
        <v>8</v>
      </c>
      <c r="E41" s="42" t="b">
        <v>1</v>
      </c>
      <c r="F41" s="45" t="s">
        <v>8</v>
      </c>
      <c r="G41" s="97" t="b">
        <v>1</v>
      </c>
      <c r="H41" s="187"/>
      <c r="I41" s="45" t="s">
        <v>8</v>
      </c>
      <c r="J41" s="97" t="b">
        <v>1</v>
      </c>
      <c r="K41" s="199"/>
      <c r="M41" s="45" t="s">
        <v>8</v>
      </c>
      <c r="N41" s="42" t="b">
        <v>1</v>
      </c>
      <c r="O41" s="45" t="s">
        <v>8</v>
      </c>
      <c r="P41" s="97" t="b">
        <v>1</v>
      </c>
      <c r="Q41" s="187"/>
      <c r="R41" s="45" t="s">
        <v>8</v>
      </c>
      <c r="S41" s="97" t="b">
        <v>1</v>
      </c>
      <c r="T41" s="199"/>
    </row>
    <row r="42" spans="2:24" x14ac:dyDescent="0.25">
      <c r="B42" s="12"/>
      <c r="C42" s="299" t="s">
        <v>385</v>
      </c>
      <c r="D42" s="52"/>
      <c r="E42" s="53"/>
      <c r="F42" s="52"/>
      <c r="G42" s="32"/>
      <c r="H42" s="184"/>
      <c r="I42" s="52"/>
      <c r="J42" s="99"/>
      <c r="K42" s="196"/>
      <c r="M42" s="52"/>
      <c r="N42" s="53"/>
      <c r="O42" s="52"/>
      <c r="P42" s="32"/>
      <c r="Q42" s="184"/>
      <c r="R42" s="52"/>
      <c r="S42" s="99"/>
      <c r="T42" s="196"/>
    </row>
    <row r="43" spans="2:24" s="11" customFormat="1" x14ac:dyDescent="0.25">
      <c r="B43" s="12" t="s">
        <v>36</v>
      </c>
      <c r="C43" s="300" t="s">
        <v>37</v>
      </c>
      <c r="D43" s="50">
        <v>1631.67</v>
      </c>
      <c r="E43" s="51">
        <f t="shared" ref="E43:E48" si="43">+IFERROR(D43/D$19,"")</f>
        <v>1.0814223181913533E-3</v>
      </c>
      <c r="F43" s="50">
        <v>2031</v>
      </c>
      <c r="G43" s="51">
        <f t="shared" ref="G43:G48" si="44">+IFERROR(F43/F$19,"")</f>
        <v>1.3371932547969205E-3</v>
      </c>
      <c r="H43" s="137">
        <f t="shared" ref="H43:H48" si="45">+D43-F43</f>
        <v>-399.32999999999993</v>
      </c>
      <c r="I43" s="50">
        <v>1967.65</v>
      </c>
      <c r="J43" s="51">
        <f t="shared" ref="J43:J48" si="46">+IFERROR(I43/I$19,"")</f>
        <v>1.4913160484221262E-3</v>
      </c>
      <c r="K43" s="137">
        <f t="shared" ref="K43:K48" si="47">+(D43-I43)</f>
        <v>-335.98</v>
      </c>
      <c r="M43" s="50">
        <v>9884.92</v>
      </c>
      <c r="N43" s="51">
        <f t="shared" ref="N43:N48" si="48">+IFERROR(M43/M$19,"")</f>
        <v>1.5717179354579913E-3</v>
      </c>
      <c r="O43" s="50">
        <v>8124</v>
      </c>
      <c r="P43" s="51">
        <f t="shared" ref="P43:P48" si="49">+IFERROR(O43/O$19,"")</f>
        <v>1.2009877050613328E-3</v>
      </c>
      <c r="Q43" s="137">
        <f t="shared" ref="Q43:Q48" si="50">+M43-O43</f>
        <v>1760.92</v>
      </c>
      <c r="R43" s="50">
        <v>7748.25</v>
      </c>
      <c r="S43" s="51">
        <f t="shared" ref="S43:S48" si="51">+IFERROR(R43/R$19,"")</f>
        <v>1.3211887921448482E-3</v>
      </c>
      <c r="T43" s="137">
        <f t="shared" ref="T43:T48" si="52">+(M43-R43)</f>
        <v>2136.67</v>
      </c>
      <c r="V43" s="338"/>
      <c r="W43" s="338"/>
      <c r="X43" s="338"/>
    </row>
    <row r="44" spans="2:24" x14ac:dyDescent="0.25">
      <c r="B44" s="12" t="s">
        <v>38</v>
      </c>
      <c r="C44" s="17" t="s">
        <v>39</v>
      </c>
      <c r="D44" s="50">
        <v>277.08999999999997</v>
      </c>
      <c r="E44" s="51">
        <f t="shared" si="43"/>
        <v>1.8364700591886964E-4</v>
      </c>
      <c r="F44" s="50">
        <v>1100.5</v>
      </c>
      <c r="G44" s="51">
        <f t="shared" si="44"/>
        <v>7.2455990984934078E-4</v>
      </c>
      <c r="H44" s="137">
        <f t="shared" si="45"/>
        <v>-823.41000000000008</v>
      </c>
      <c r="I44" s="50">
        <v>-196.17</v>
      </c>
      <c r="J44" s="51">
        <f t="shared" si="46"/>
        <v>-1.4868064402661472E-4</v>
      </c>
      <c r="K44" s="137">
        <f t="shared" si="47"/>
        <v>473.26</v>
      </c>
      <c r="M44" s="50">
        <v>3931.72</v>
      </c>
      <c r="N44" s="51">
        <f t="shared" si="48"/>
        <v>6.2514970694744045E-4</v>
      </c>
      <c r="O44" s="50">
        <v>4615</v>
      </c>
      <c r="P44" s="51">
        <f t="shared" si="49"/>
        <v>6.8224498508838644E-4</v>
      </c>
      <c r="Q44" s="137">
        <f t="shared" si="50"/>
        <v>-683.2800000000002</v>
      </c>
      <c r="R44" s="50">
        <v>4172.12</v>
      </c>
      <c r="S44" s="51">
        <f t="shared" si="51"/>
        <v>7.1140685748180088E-4</v>
      </c>
      <c r="T44" s="137">
        <f t="shared" si="52"/>
        <v>-240.40000000000009</v>
      </c>
    </row>
    <row r="45" spans="2:24" x14ac:dyDescent="0.25">
      <c r="B45" s="12" t="s">
        <v>40</v>
      </c>
      <c r="C45" s="17" t="s">
        <v>722</v>
      </c>
      <c r="D45" s="50">
        <v>33677.120000000003</v>
      </c>
      <c r="E45" s="51">
        <f t="shared" si="43"/>
        <v>2.2320192919161586E-2</v>
      </c>
      <c r="F45" s="50">
        <v>64957</v>
      </c>
      <c r="G45" s="51">
        <f t="shared" si="44"/>
        <v>4.2767140448962862E-2</v>
      </c>
      <c r="H45" s="137">
        <f t="shared" si="45"/>
        <v>-31279.879999999997</v>
      </c>
      <c r="I45" s="50">
        <v>62050.2</v>
      </c>
      <c r="J45" s="51">
        <f t="shared" si="46"/>
        <v>4.7028922352960439E-2</v>
      </c>
      <c r="K45" s="137">
        <f t="shared" si="47"/>
        <v>-28373.079999999994</v>
      </c>
      <c r="M45" s="50">
        <v>178781.12</v>
      </c>
      <c r="N45" s="51">
        <f t="shared" si="48"/>
        <v>2.8426481228504365E-2</v>
      </c>
      <c r="O45" s="50">
        <v>210061</v>
      </c>
      <c r="P45" s="51">
        <f t="shared" si="49"/>
        <v>3.1053751638711061E-2</v>
      </c>
      <c r="Q45" s="137">
        <f t="shared" si="50"/>
        <v>-31279.880000000005</v>
      </c>
      <c r="R45" s="50">
        <v>201899.2</v>
      </c>
      <c r="S45" s="51">
        <f t="shared" si="51"/>
        <v>3.442673638344286E-2</v>
      </c>
      <c r="T45" s="137">
        <f t="shared" si="52"/>
        <v>-23118.080000000016</v>
      </c>
    </row>
    <row r="46" spans="2:24" x14ac:dyDescent="0.25">
      <c r="B46" s="12" t="s">
        <v>41</v>
      </c>
      <c r="C46" s="17" t="s">
        <v>42</v>
      </c>
      <c r="D46" s="50">
        <v>115207.8</v>
      </c>
      <c r="E46" s="51">
        <f t="shared" si="43"/>
        <v>7.63563013046301E-2</v>
      </c>
      <c r="F46" s="50">
        <v>120639.82</v>
      </c>
      <c r="G46" s="51">
        <f t="shared" si="44"/>
        <v>7.9428239076275053E-2</v>
      </c>
      <c r="H46" s="137">
        <f t="shared" si="45"/>
        <v>-5432.0200000000041</v>
      </c>
      <c r="I46" s="50">
        <v>130984.32000000001</v>
      </c>
      <c r="J46" s="51">
        <f t="shared" si="46"/>
        <v>9.9275287021400802E-2</v>
      </c>
      <c r="K46" s="137">
        <f t="shared" si="47"/>
        <v>-15776.520000000004</v>
      </c>
      <c r="M46" s="50">
        <v>461216.33</v>
      </c>
      <c r="N46" s="51">
        <f t="shared" si="48"/>
        <v>7.3334126931438148E-2</v>
      </c>
      <c r="O46" s="50">
        <v>482770.78</v>
      </c>
      <c r="P46" s="51">
        <f t="shared" si="49"/>
        <v>7.1369001863967219E-2</v>
      </c>
      <c r="Q46" s="137">
        <f t="shared" si="50"/>
        <v>-21554.450000000012</v>
      </c>
      <c r="R46" s="50">
        <v>521879.55</v>
      </c>
      <c r="S46" s="51">
        <f t="shared" si="51"/>
        <v>8.8988018237614541E-2</v>
      </c>
      <c r="T46" s="137">
        <f t="shared" si="52"/>
        <v>-60663.219999999972</v>
      </c>
    </row>
    <row r="47" spans="2:24" x14ac:dyDescent="0.25">
      <c r="B47" s="12" t="s">
        <v>43</v>
      </c>
      <c r="C47" s="17" t="s">
        <v>44</v>
      </c>
      <c r="D47" s="62">
        <v>0</v>
      </c>
      <c r="E47" s="63">
        <f t="shared" si="43"/>
        <v>0</v>
      </c>
      <c r="F47" s="62">
        <v>0</v>
      </c>
      <c r="G47" s="63">
        <f t="shared" si="44"/>
        <v>0</v>
      </c>
      <c r="H47" s="191">
        <f t="shared" si="45"/>
        <v>0</v>
      </c>
      <c r="I47" s="62">
        <v>0</v>
      </c>
      <c r="J47" s="63">
        <f t="shared" si="46"/>
        <v>0</v>
      </c>
      <c r="K47" s="191">
        <f t="shared" si="47"/>
        <v>0</v>
      </c>
      <c r="M47" s="62">
        <v>0</v>
      </c>
      <c r="N47" s="63">
        <f t="shared" si="48"/>
        <v>0</v>
      </c>
      <c r="O47" s="62">
        <v>0</v>
      </c>
      <c r="P47" s="63">
        <f t="shared" si="49"/>
        <v>0</v>
      </c>
      <c r="Q47" s="191">
        <f t="shared" si="50"/>
        <v>0</v>
      </c>
      <c r="R47" s="62">
        <v>0</v>
      </c>
      <c r="S47" s="63">
        <f t="shared" si="51"/>
        <v>0</v>
      </c>
      <c r="T47" s="191">
        <f t="shared" si="52"/>
        <v>0</v>
      </c>
    </row>
    <row r="48" spans="2:24" x14ac:dyDescent="0.25">
      <c r="B48" s="12"/>
      <c r="C48" s="18" t="s">
        <v>45</v>
      </c>
      <c r="D48" s="59">
        <f t="shared" ref="D48" si="53">+SUM(D44:D47)-D43</f>
        <v>147530.34</v>
      </c>
      <c r="E48" s="61">
        <f t="shared" si="43"/>
        <v>9.7778718911519194E-2</v>
      </c>
      <c r="F48" s="59">
        <f t="shared" ref="F48" si="54">+SUM(F44:F47)-F43</f>
        <v>184666.32</v>
      </c>
      <c r="G48" s="61">
        <f t="shared" si="44"/>
        <v>0.12158274618029033</v>
      </c>
      <c r="H48" s="192">
        <f t="shared" si="45"/>
        <v>-37135.98000000001</v>
      </c>
      <c r="I48" s="59">
        <f t="shared" ref="I48" si="55">+SUM(I44:I47)-I43</f>
        <v>190870.7</v>
      </c>
      <c r="J48" s="61">
        <f t="shared" si="46"/>
        <v>0.14466421268191251</v>
      </c>
      <c r="K48" s="192">
        <f t="shared" si="47"/>
        <v>-43340.360000000015</v>
      </c>
      <c r="M48" s="59">
        <f t="shared" ref="M48" si="56">+SUM(M44:M47)-M43</f>
        <v>634044.25</v>
      </c>
      <c r="N48" s="61">
        <f t="shared" si="48"/>
        <v>0.10081403993143197</v>
      </c>
      <c r="O48" s="59">
        <f t="shared" ref="O48" si="57">+SUM(O44:O47)-O43</f>
        <v>689322.78</v>
      </c>
      <c r="P48" s="61">
        <f t="shared" si="49"/>
        <v>0.10190401078270533</v>
      </c>
      <c r="Q48" s="192">
        <f t="shared" si="50"/>
        <v>-55278.530000000028</v>
      </c>
      <c r="R48" s="59">
        <f t="shared" ref="R48" si="58">+SUM(R44:R47)-R43</f>
        <v>720202.62</v>
      </c>
      <c r="S48" s="61">
        <f t="shared" si="51"/>
        <v>0.12280497268639436</v>
      </c>
      <c r="T48" s="192">
        <f t="shared" si="52"/>
        <v>-86158.37</v>
      </c>
    </row>
    <row r="49" spans="2:20" x14ac:dyDescent="0.25">
      <c r="B49" s="12"/>
      <c r="C49" s="16" t="s">
        <v>8</v>
      </c>
      <c r="D49" s="52"/>
      <c r="E49" s="53"/>
      <c r="F49" s="52"/>
      <c r="G49" s="32"/>
      <c r="H49" s="188"/>
      <c r="I49" s="52"/>
      <c r="J49" s="32"/>
      <c r="K49" s="200"/>
      <c r="M49" s="52"/>
      <c r="N49" s="53"/>
      <c r="O49" s="52"/>
      <c r="P49" s="32"/>
      <c r="Q49" s="188"/>
      <c r="R49" s="52"/>
      <c r="S49" s="32"/>
      <c r="T49" s="200"/>
    </row>
    <row r="50" spans="2:20" ht="15.75" thickBot="1" x14ac:dyDescent="0.3">
      <c r="B50" s="12"/>
      <c r="C50" s="18" t="s">
        <v>46</v>
      </c>
      <c r="D50" s="57">
        <f t="shared" ref="D50" si="59">+D40-D48</f>
        <v>401906.4099999998</v>
      </c>
      <c r="E50" s="58">
        <f>+IFERROR(D50/D$19,"")</f>
        <v>0.26637160798333254</v>
      </c>
      <c r="F50" s="57">
        <f t="shared" ref="F50" si="60">+F40-F48</f>
        <v>371858.26936265017</v>
      </c>
      <c r="G50" s="58">
        <f t="shared" ref="G50" si="61">+IFERROR(F50/F$19,"")</f>
        <v>0.24482834541220688</v>
      </c>
      <c r="H50" s="194">
        <f>+D50-F50</f>
        <v>30048.140637349628</v>
      </c>
      <c r="I50" s="57">
        <f t="shared" ref="I50" si="62">+I40-I48</f>
        <v>267142.38999999984</v>
      </c>
      <c r="J50" s="58">
        <f t="shared" ref="J50" si="63">+IFERROR(I50/I$19,"")</f>
        <v>0.20247184886582587</v>
      </c>
      <c r="K50" s="194">
        <f>+(D50-I50)</f>
        <v>134764.01999999996</v>
      </c>
      <c r="M50" s="57">
        <f t="shared" ref="M50" si="64">+M40-M48</f>
        <v>1975532.7300000004</v>
      </c>
      <c r="N50" s="58">
        <f>+IFERROR(M50/M$19,"")</f>
        <v>0.31411283286311775</v>
      </c>
      <c r="O50" s="57">
        <f t="shared" ref="O50" si="65">+O40-O48</f>
        <v>2070029.1752503694</v>
      </c>
      <c r="P50" s="58">
        <f t="shared" ref="P50" si="66">+IFERROR(O50/O$19,"")</f>
        <v>0.30601668988108627</v>
      </c>
      <c r="Q50" s="194">
        <f>+M50-O50</f>
        <v>-94496.44525036891</v>
      </c>
      <c r="R50" s="57">
        <f t="shared" ref="R50" si="67">+R40-R48</f>
        <v>1818906.6400000001</v>
      </c>
      <c r="S50" s="58">
        <f t="shared" ref="S50" si="68">+IFERROR(R50/R$19,"")</f>
        <v>0.31014991342894777</v>
      </c>
      <c r="T50" s="194">
        <f>+(M50-R50)</f>
        <v>156626.09000000032</v>
      </c>
    </row>
    <row r="51" spans="2:20" ht="15.75" thickTop="1" x14ac:dyDescent="0.25">
      <c r="B51" s="12"/>
      <c r="C51" s="11" t="s">
        <v>8</v>
      </c>
      <c r="D51" s="46"/>
      <c r="E51" s="43"/>
      <c r="F51" s="46"/>
      <c r="G51" s="100"/>
      <c r="H51" s="189"/>
      <c r="I51" s="46"/>
      <c r="J51" s="100"/>
      <c r="K51" s="201"/>
      <c r="M51" s="46"/>
      <c r="N51" s="43"/>
      <c r="O51" s="46"/>
      <c r="P51" s="100"/>
      <c r="Q51" s="189"/>
      <c r="R51" s="46"/>
      <c r="S51" s="100"/>
      <c r="T51" s="201"/>
    </row>
    <row r="52" spans="2:20" x14ac:dyDescent="0.25">
      <c r="B52" s="12" t="s">
        <v>47</v>
      </c>
      <c r="C52" s="17" t="s">
        <v>386</v>
      </c>
      <c r="D52" s="54">
        <v>60772.54</v>
      </c>
      <c r="E52" s="56">
        <f>+IFERROR(D52/D$19,"")</f>
        <v>4.0278230946929672E-2</v>
      </c>
      <c r="F52" s="54">
        <v>60754.120799999997</v>
      </c>
      <c r="G52" s="56">
        <f t="shared" ref="G52:G53" si="69">+IFERROR(F52/F$19,"")</f>
        <v>4.0000000263356615E-2</v>
      </c>
      <c r="H52" s="195">
        <f>+D52-F52</f>
        <v>18.419200000003912</v>
      </c>
      <c r="I52" s="54">
        <v>53126.037199999999</v>
      </c>
      <c r="J52" s="56">
        <f t="shared" ref="J52:J53" si="70">+IFERROR(I52/I$19,"")</f>
        <v>4.0265144647386918E-2</v>
      </c>
      <c r="K52" s="195">
        <f>+(D52-I52)</f>
        <v>7646.502800000002</v>
      </c>
      <c r="M52" s="54">
        <v>253245.64360000001</v>
      </c>
      <c r="N52" s="56">
        <f>+IFERROR(M52/M$19,"")</f>
        <v>4.0266458415720338E-2</v>
      </c>
      <c r="O52" s="54">
        <v>270577.29119999998</v>
      </c>
      <c r="P52" s="56">
        <f t="shared" ref="P52:P53" si="71">+IFERROR(O52/O$19,"")</f>
        <v>3.9999999999999994E-2</v>
      </c>
      <c r="Q52" s="195">
        <f>+M52-O52</f>
        <v>-17331.647599999967</v>
      </c>
      <c r="R52" s="54">
        <v>231966.62599999999</v>
      </c>
      <c r="S52" s="56">
        <f t="shared" ref="S52:S53" si="72">+IFERROR(R52/R$19,"")</f>
        <v>3.9553667785997573E-2</v>
      </c>
      <c r="T52" s="195">
        <f>+(M52-R52)</f>
        <v>21279.017600000021</v>
      </c>
    </row>
    <row r="53" spans="2:20" ht="15.75" thickBot="1" x14ac:dyDescent="0.3">
      <c r="B53" s="12"/>
      <c r="C53" s="18" t="s">
        <v>387</v>
      </c>
      <c r="D53" s="57">
        <f>+D50-D52</f>
        <v>341133.86999999982</v>
      </c>
      <c r="E53" s="58">
        <f>+IFERROR(D53/D$19,"")</f>
        <v>0.22609337703640289</v>
      </c>
      <c r="F53" s="57">
        <f>+F50-F52</f>
        <v>311104.1485626502</v>
      </c>
      <c r="G53" s="58">
        <f t="shared" si="69"/>
        <v>0.20482834514885029</v>
      </c>
      <c r="H53" s="194">
        <f>+D53-F53</f>
        <v>30029.721437349624</v>
      </c>
      <c r="I53" s="57">
        <f>+I50-I52</f>
        <v>214016.35279999985</v>
      </c>
      <c r="J53" s="58">
        <f t="shared" si="70"/>
        <v>0.16220670421843894</v>
      </c>
      <c r="K53" s="194">
        <f>+(D53-I53)</f>
        <v>127117.51719999997</v>
      </c>
      <c r="M53" s="57">
        <f>+M50-M52</f>
        <v>1722287.0864000004</v>
      </c>
      <c r="N53" s="58">
        <f>+IFERROR(M53/M$19,"")</f>
        <v>0.2738463744473974</v>
      </c>
      <c r="O53" s="57">
        <f>+O50-O52</f>
        <v>1799451.8840503693</v>
      </c>
      <c r="P53" s="58">
        <f t="shared" si="71"/>
        <v>0.26601668988108623</v>
      </c>
      <c r="Q53" s="194">
        <f>+M53-O53</f>
        <v>-77164.797650368884</v>
      </c>
      <c r="R53" s="57">
        <f>+R50-R52</f>
        <v>1586940.0140000002</v>
      </c>
      <c r="S53" s="58">
        <f t="shared" si="72"/>
        <v>0.27059624564295021</v>
      </c>
      <c r="T53" s="194">
        <f>+(M53-R53)</f>
        <v>135347.07240000018</v>
      </c>
    </row>
    <row r="54" spans="2:20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CB00-0981-4247-BFAC-2CEF4A848F8A}">
  <dimension ref="B1:X88"/>
  <sheetViews>
    <sheetView showGridLines="0" zoomScale="80" zoomScaleNormal="80" workbookViewId="0">
      <pane xSplit="3" ySplit="8" topLeftCell="D76" activePane="bottomRight" state="frozen"/>
      <selection activeCell="AA33" sqref="AA33"/>
      <selection pane="topRight" activeCell="AA33" sqref="AA33"/>
      <selection pane="bottomLeft" activeCell="AA33" sqref="AA33"/>
      <selection pane="bottomRight" activeCell="AA33" sqref="AA33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3.8554687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3.8554687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  <col min="22" max="24" width="9.140625" style="338"/>
  </cols>
  <sheetData>
    <row r="1" spans="2:22" x14ac:dyDescent="0.25">
      <c r="V1" s="338" t="s">
        <v>715</v>
      </c>
    </row>
    <row r="2" spans="2:22" ht="22.5" x14ac:dyDescent="0.3">
      <c r="B2" s="1"/>
      <c r="C2" s="35" t="str">
        <f>+Summary!$C$2</f>
        <v>Angler's</v>
      </c>
      <c r="I2" s="4"/>
      <c r="R2" s="4"/>
      <c r="V2" s="338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APR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C6" s="312"/>
      <c r="D6" s="292" t="str">
        <f>Year&amp;" "&amp;UPPER(Month)&amp;" - PERIODIC"</f>
        <v>2025 APR - PERIODIC</v>
      </c>
      <c r="E6" s="293"/>
      <c r="F6" s="290"/>
      <c r="G6" s="290"/>
      <c r="H6" s="290"/>
      <c r="I6" s="290"/>
      <c r="J6" s="290"/>
      <c r="K6" s="291"/>
      <c r="L6" s="74"/>
      <c r="M6" s="293" t="str">
        <f>Year&amp;" "&amp;UPPER(Month)&amp;" - YEAR TO DATE"</f>
        <v>2025 APR - YEAR TO DATE</v>
      </c>
      <c r="N6" s="293"/>
      <c r="O6" s="290"/>
      <c r="P6" s="290"/>
      <c r="Q6" s="290"/>
      <c r="R6" s="290"/>
      <c r="S6" s="290"/>
      <c r="T6" s="291"/>
    </row>
    <row r="7" spans="2:22" x14ac:dyDescent="0.25">
      <c r="B7"/>
      <c r="C7" s="312"/>
      <c r="D7" s="333" t="s">
        <v>392</v>
      </c>
      <c r="E7" s="334"/>
      <c r="F7" s="335" t="s">
        <v>389</v>
      </c>
      <c r="G7" s="334"/>
      <c r="H7" s="39" t="s">
        <v>388</v>
      </c>
      <c r="I7" s="335" t="s">
        <v>718</v>
      </c>
      <c r="J7" s="334"/>
      <c r="K7" s="288" t="s">
        <v>388</v>
      </c>
      <c r="L7" s="74"/>
      <c r="M7" s="335" t="s">
        <v>392</v>
      </c>
      <c r="N7" s="334"/>
      <c r="O7" s="335" t="s">
        <v>389</v>
      </c>
      <c r="P7" s="334"/>
      <c r="Q7" s="39" t="s">
        <v>388</v>
      </c>
      <c r="R7" s="335" t="s">
        <v>718</v>
      </c>
      <c r="S7" s="334"/>
      <c r="T7" s="288" t="s">
        <v>388</v>
      </c>
    </row>
    <row r="8" spans="2:22" ht="22.5" customHeight="1" collapsed="1" x14ac:dyDescent="0.25">
      <c r="B8"/>
      <c r="C8" s="312"/>
      <c r="D8" s="304" t="s">
        <v>391</v>
      </c>
      <c r="E8" s="40" t="s">
        <v>390</v>
      </c>
      <c r="F8" s="40" t="s">
        <v>391</v>
      </c>
      <c r="G8" s="40" t="s">
        <v>390</v>
      </c>
      <c r="H8" s="75" t="s">
        <v>391</v>
      </c>
      <c r="I8" s="294" t="s">
        <v>392</v>
      </c>
      <c r="J8" s="76" t="s">
        <v>390</v>
      </c>
      <c r="K8" s="75" t="s">
        <v>391</v>
      </c>
      <c r="L8" s="74"/>
      <c r="M8" s="40" t="s">
        <v>391</v>
      </c>
      <c r="N8" s="40" t="s">
        <v>390</v>
      </c>
      <c r="O8" s="40" t="s">
        <v>391</v>
      </c>
      <c r="P8" s="40" t="s">
        <v>390</v>
      </c>
      <c r="Q8" s="75" t="s">
        <v>391</v>
      </c>
      <c r="R8" s="294" t="s">
        <v>392</v>
      </c>
      <c r="S8" s="76" t="s">
        <v>390</v>
      </c>
      <c r="T8" s="75" t="s">
        <v>391</v>
      </c>
    </row>
    <row r="9" spans="2:22" x14ac:dyDescent="0.25">
      <c r="B9"/>
      <c r="C9" s="313" t="s">
        <v>9</v>
      </c>
      <c r="D9" s="244"/>
      <c r="E9" s="312"/>
      <c r="K9" s="211"/>
      <c r="L9" s="74"/>
      <c r="T9" s="211"/>
    </row>
    <row r="10" spans="2:22" x14ac:dyDescent="0.25">
      <c r="B10" s="14"/>
      <c r="C10" s="314" t="s">
        <v>393</v>
      </c>
      <c r="D10" s="244"/>
      <c r="E10" s="312"/>
      <c r="K10" s="74"/>
      <c r="L10" s="74"/>
      <c r="T10" s="74"/>
    </row>
    <row r="11" spans="2:22" x14ac:dyDescent="0.25">
      <c r="B11" s="14" t="s">
        <v>319</v>
      </c>
      <c r="C11" s="315" t="s">
        <v>58</v>
      </c>
      <c r="D11" s="36">
        <v>403851.73</v>
      </c>
      <c r="E11" s="51">
        <f t="shared" ref="E11:E17" si="0">IFERROR(D11/D$31,"")</f>
        <v>0.41124166457652389</v>
      </c>
      <c r="F11" s="36">
        <v>339220</v>
      </c>
      <c r="G11" s="51">
        <f t="shared" ref="G11:G17" si="1">IFERROR(F11/F$31,"")</f>
        <v>0.3535728330486555</v>
      </c>
      <c r="H11" s="144">
        <f t="shared" ref="H11:H17" si="2">+D11-F11</f>
        <v>64631.729999999981</v>
      </c>
      <c r="I11" s="36">
        <v>337486.78</v>
      </c>
      <c r="J11" s="51">
        <f t="shared" ref="J11:J17" si="3">IFERROR(I11/I$31,"")</f>
        <v>0.35369026106476342</v>
      </c>
      <c r="K11" s="137">
        <f t="shared" ref="K11:K17" si="4">+D11-I11</f>
        <v>66364.949999999953</v>
      </c>
      <c r="L11" s="74"/>
      <c r="M11" s="89">
        <v>1422080.24</v>
      </c>
      <c r="N11" s="51">
        <f t="shared" ref="N11:N17" si="5">IFERROR(M11/M$31,"")</f>
        <v>0.33059969085558566</v>
      </c>
      <c r="O11" s="36">
        <v>1637641.7</v>
      </c>
      <c r="P11" s="51">
        <f t="shared" ref="P11:P17" si="6">IFERROR(O11/O$31,"")</f>
        <v>0.36626438273776851</v>
      </c>
      <c r="Q11" s="144">
        <f t="shared" ref="Q11:Q17" si="7">+M11-O11</f>
        <v>-215561.45999999996</v>
      </c>
      <c r="R11" s="36">
        <v>1558853.66</v>
      </c>
      <c r="S11" s="51">
        <f t="shared" ref="S11:S17" si="8">IFERROR(R11/R$31,"")</f>
        <v>0.35125284193661704</v>
      </c>
      <c r="T11" s="137">
        <f t="shared" ref="T11:T17" si="9">+M11-R11</f>
        <v>-136773.41999999993</v>
      </c>
    </row>
    <row r="12" spans="2:22" x14ac:dyDescent="0.25">
      <c r="B12" s="14" t="s">
        <v>315</v>
      </c>
      <c r="C12" s="315" t="s">
        <v>351</v>
      </c>
      <c r="D12" s="36">
        <v>341627.81</v>
      </c>
      <c r="E12" s="51">
        <f t="shared" si="0"/>
        <v>0.34787913190326664</v>
      </c>
      <c r="F12" s="36">
        <v>433204.3</v>
      </c>
      <c r="G12" s="108">
        <f t="shared" si="1"/>
        <v>0.45153372926083274</v>
      </c>
      <c r="H12" s="144">
        <f t="shared" si="2"/>
        <v>-91576.489999999991</v>
      </c>
      <c r="I12" s="36">
        <v>425759.58</v>
      </c>
      <c r="J12" s="51">
        <f t="shared" si="3"/>
        <v>0.44620123194462319</v>
      </c>
      <c r="K12" s="137">
        <f t="shared" si="4"/>
        <v>-84131.770000000019</v>
      </c>
      <c r="M12" s="36">
        <v>1630075.84</v>
      </c>
      <c r="N12" s="51">
        <f t="shared" si="5"/>
        <v>0.37895370009160606</v>
      </c>
      <c r="O12" s="36">
        <v>1587492.82</v>
      </c>
      <c r="P12" s="108">
        <f t="shared" si="6"/>
        <v>0.35504840760829398</v>
      </c>
      <c r="Q12" s="144">
        <f t="shared" si="7"/>
        <v>42583.020000000019</v>
      </c>
      <c r="R12" s="36">
        <v>1572469.14</v>
      </c>
      <c r="S12" s="51">
        <f t="shared" si="8"/>
        <v>0.35432078613628692</v>
      </c>
      <c r="T12" s="137">
        <f t="shared" si="9"/>
        <v>57606.700000000186</v>
      </c>
    </row>
    <row r="13" spans="2:22" x14ac:dyDescent="0.25">
      <c r="B13" s="14" t="s">
        <v>316</v>
      </c>
      <c r="C13" s="315" t="s">
        <v>352</v>
      </c>
      <c r="D13" s="36">
        <v>38606.910000000003</v>
      </c>
      <c r="E13" s="51">
        <f t="shared" si="0"/>
        <v>3.9313363675713475E-2</v>
      </c>
      <c r="F13" s="36">
        <v>28728.9</v>
      </c>
      <c r="G13" s="108">
        <f t="shared" si="1"/>
        <v>2.9944456586791818E-2</v>
      </c>
      <c r="H13" s="144">
        <f t="shared" si="2"/>
        <v>9878.010000000002</v>
      </c>
      <c r="I13" s="36">
        <v>23549.119999999999</v>
      </c>
      <c r="J13" s="51">
        <f t="shared" si="3"/>
        <v>2.4679764939667979E-2</v>
      </c>
      <c r="K13" s="137">
        <f t="shared" si="4"/>
        <v>15057.790000000005</v>
      </c>
      <c r="M13" s="36">
        <v>171189.25</v>
      </c>
      <c r="N13" s="51">
        <f t="shared" si="5"/>
        <v>3.9797411943365141E-2</v>
      </c>
      <c r="O13" s="36">
        <v>194782.3</v>
      </c>
      <c r="P13" s="108">
        <f t="shared" si="6"/>
        <v>4.3563753217656126E-2</v>
      </c>
      <c r="Q13" s="144">
        <f t="shared" si="7"/>
        <v>-23593.049999999988</v>
      </c>
      <c r="R13" s="36">
        <v>272607.32</v>
      </c>
      <c r="S13" s="51">
        <f t="shared" si="8"/>
        <v>6.142596854327223E-2</v>
      </c>
      <c r="T13" s="137">
        <f t="shared" si="9"/>
        <v>-101418.07</v>
      </c>
    </row>
    <row r="14" spans="2:22" x14ac:dyDescent="0.25">
      <c r="B14" s="14" t="s">
        <v>317</v>
      </c>
      <c r="C14" s="315" t="s">
        <v>353</v>
      </c>
      <c r="D14" s="36">
        <v>24633.45</v>
      </c>
      <c r="E14" s="51">
        <f t="shared" si="0"/>
        <v>2.5084208460027083E-2</v>
      </c>
      <c r="F14" s="36">
        <v>28222.09</v>
      </c>
      <c r="G14" s="108">
        <f t="shared" si="1"/>
        <v>2.9416202806008287E-2</v>
      </c>
      <c r="H14" s="144">
        <f t="shared" si="2"/>
        <v>-3588.6399999999994</v>
      </c>
      <c r="I14" s="36">
        <v>35901.32</v>
      </c>
      <c r="J14" s="51">
        <f t="shared" si="3"/>
        <v>3.7625021173776377E-2</v>
      </c>
      <c r="K14" s="137">
        <f t="shared" si="4"/>
        <v>-11267.869999999999</v>
      </c>
      <c r="M14" s="36">
        <v>95191.05</v>
      </c>
      <c r="N14" s="51">
        <f t="shared" si="5"/>
        <v>2.212964558330309E-2</v>
      </c>
      <c r="O14" s="36">
        <v>104260.69</v>
      </c>
      <c r="P14" s="108">
        <f t="shared" si="6"/>
        <v>2.3318273628879772E-2</v>
      </c>
      <c r="Q14" s="144">
        <f t="shared" si="7"/>
        <v>-9069.64</v>
      </c>
      <c r="R14" s="36">
        <v>129886.92</v>
      </c>
      <c r="S14" s="51">
        <f t="shared" si="8"/>
        <v>2.9267115285468184E-2</v>
      </c>
      <c r="T14" s="137">
        <f t="shared" si="9"/>
        <v>-34695.869999999995</v>
      </c>
    </row>
    <row r="15" spans="2:22" x14ac:dyDescent="0.25">
      <c r="B15" s="14" t="s">
        <v>321</v>
      </c>
      <c r="C15" s="315" t="s">
        <v>354</v>
      </c>
      <c r="D15" s="36">
        <v>53616.2</v>
      </c>
      <c r="E15" s="51">
        <f t="shared" si="0"/>
        <v>5.4597303164376242E-2</v>
      </c>
      <c r="F15" s="36">
        <v>82110</v>
      </c>
      <c r="G15" s="108">
        <f t="shared" si="1"/>
        <v>8.5584179357423226E-2</v>
      </c>
      <c r="H15" s="144">
        <f t="shared" si="2"/>
        <v>-28493.800000000003</v>
      </c>
      <c r="I15" s="36">
        <v>91534.720000000001</v>
      </c>
      <c r="J15" s="51">
        <f t="shared" si="3"/>
        <v>9.5929502818717871E-2</v>
      </c>
      <c r="K15" s="137">
        <f t="shared" si="4"/>
        <v>-37918.520000000004</v>
      </c>
      <c r="M15" s="36">
        <v>217306.6</v>
      </c>
      <c r="N15" s="51">
        <f t="shared" si="5"/>
        <v>5.051859435222756E-2</v>
      </c>
      <c r="O15" s="36">
        <v>304824.8</v>
      </c>
      <c r="P15" s="108">
        <f t="shared" si="6"/>
        <v>6.8175149188716769E-2</v>
      </c>
      <c r="Q15" s="144">
        <f t="shared" si="7"/>
        <v>-87518.199999999983</v>
      </c>
      <c r="R15" s="36">
        <v>302662.40000000002</v>
      </c>
      <c r="S15" s="51">
        <f t="shared" si="8"/>
        <v>6.8198209283709912E-2</v>
      </c>
      <c r="T15" s="137">
        <f t="shared" si="9"/>
        <v>-85355.800000000017</v>
      </c>
    </row>
    <row r="16" spans="2:22" x14ac:dyDescent="0.25">
      <c r="B16" s="14" t="s">
        <v>318</v>
      </c>
      <c r="C16" s="315" t="s">
        <v>350</v>
      </c>
      <c r="D16" s="55">
        <v>0</v>
      </c>
      <c r="E16" s="56">
        <f t="shared" si="0"/>
        <v>0</v>
      </c>
      <c r="F16" s="106">
        <v>0</v>
      </c>
      <c r="G16" s="147">
        <f t="shared" si="1"/>
        <v>0</v>
      </c>
      <c r="H16" s="149">
        <f t="shared" si="2"/>
        <v>0</v>
      </c>
      <c r="I16" s="151">
        <v>0</v>
      </c>
      <c r="J16" s="155">
        <f t="shared" si="3"/>
        <v>0</v>
      </c>
      <c r="K16" s="153">
        <f t="shared" si="4"/>
        <v>0</v>
      </c>
      <c r="M16" s="55">
        <v>0</v>
      </c>
      <c r="N16" s="56">
        <f t="shared" si="5"/>
        <v>0</v>
      </c>
      <c r="O16" s="106">
        <v>0</v>
      </c>
      <c r="P16" s="147">
        <f t="shared" si="6"/>
        <v>0</v>
      </c>
      <c r="Q16" s="149">
        <f t="shared" si="7"/>
        <v>0</v>
      </c>
      <c r="R16" s="151">
        <v>0</v>
      </c>
      <c r="S16" s="155">
        <f t="shared" si="8"/>
        <v>0</v>
      </c>
      <c r="T16" s="153">
        <f t="shared" si="9"/>
        <v>0</v>
      </c>
    </row>
    <row r="17" spans="2:20" x14ac:dyDescent="0.25">
      <c r="B17" s="14" t="s">
        <v>320</v>
      </c>
      <c r="C17" s="316" t="s">
        <v>394</v>
      </c>
      <c r="D17" s="103">
        <f t="shared" ref="D17" si="10">SUM(D11:D16)</f>
        <v>862336.1</v>
      </c>
      <c r="E17" s="104">
        <f t="shared" si="0"/>
        <v>0.87811567177990735</v>
      </c>
      <c r="F17" s="103">
        <f t="shared" ref="F17" si="11">SUM(F11:F16)</f>
        <v>911485.29</v>
      </c>
      <c r="G17" s="148">
        <f t="shared" si="1"/>
        <v>0.95005140105971164</v>
      </c>
      <c r="H17" s="150">
        <f t="shared" si="2"/>
        <v>-49149.190000000061</v>
      </c>
      <c r="I17" s="152">
        <f t="shared" ref="I17" si="12">SUM(I11:I16)</f>
        <v>914231.52</v>
      </c>
      <c r="J17" s="148">
        <f t="shared" si="3"/>
        <v>0.95812578194154874</v>
      </c>
      <c r="K17" s="154">
        <f t="shared" si="4"/>
        <v>-51895.420000000042</v>
      </c>
      <c r="M17" s="103">
        <f t="shared" ref="M17" si="13">SUM(M11:M16)</f>
        <v>3535842.98</v>
      </c>
      <c r="N17" s="104">
        <f t="shared" si="5"/>
        <v>0.82199904282608749</v>
      </c>
      <c r="O17" s="103">
        <f t="shared" ref="O17" si="14">SUM(O11:O16)</f>
        <v>3829002.3099999996</v>
      </c>
      <c r="P17" s="148">
        <f t="shared" si="6"/>
        <v>0.85636996638131513</v>
      </c>
      <c r="Q17" s="150">
        <f t="shared" si="7"/>
        <v>-293159.32999999961</v>
      </c>
      <c r="R17" s="152">
        <f t="shared" ref="R17" si="15">SUM(R11:R16)</f>
        <v>3836479.4399999995</v>
      </c>
      <c r="S17" s="148">
        <f t="shared" si="8"/>
        <v>0.86446492118535412</v>
      </c>
      <c r="T17" s="154">
        <f t="shared" si="9"/>
        <v>-300636.4599999995</v>
      </c>
    </row>
    <row r="18" spans="2:20" x14ac:dyDescent="0.25">
      <c r="B18" s="14"/>
      <c r="C18" s="316"/>
      <c r="D18" s="318"/>
      <c r="E18" s="33"/>
      <c r="F18" s="244"/>
      <c r="G18" s="33"/>
      <c r="J18" s="33"/>
      <c r="K18" s="74"/>
      <c r="L18" s="296"/>
      <c r="M18" s="29"/>
      <c r="N18" s="33"/>
      <c r="O18" s="244"/>
      <c r="P18" s="33"/>
      <c r="S18" s="33"/>
      <c r="T18" s="74"/>
    </row>
    <row r="19" spans="2:20" x14ac:dyDescent="0.25">
      <c r="B19" s="14"/>
      <c r="C19" s="316" t="s">
        <v>395</v>
      </c>
      <c r="D19" s="244"/>
      <c r="E19" s="311"/>
      <c r="F19" s="244"/>
      <c r="G19" s="34"/>
      <c r="J19" s="34"/>
      <c r="K19" s="74"/>
      <c r="L19" s="296"/>
      <c r="N19" s="34"/>
      <c r="O19" s="244"/>
      <c r="P19" s="34"/>
      <c r="S19" s="34"/>
      <c r="T19" s="74"/>
    </row>
    <row r="20" spans="2:20" x14ac:dyDescent="0.25">
      <c r="B20" s="14" t="s">
        <v>139</v>
      </c>
      <c r="C20" s="315" t="s">
        <v>355</v>
      </c>
      <c r="D20" s="36">
        <v>69181.600000000006</v>
      </c>
      <c r="E20" s="51">
        <f t="shared" ref="E20:E31" si="16">IFERROR(D20/D$31,"")</f>
        <v>7.0447528705813015E-2</v>
      </c>
      <c r="F20" s="36">
        <v>38440</v>
      </c>
      <c r="G20" s="108">
        <f t="shared" ref="G20:G31" si="17">IFERROR(F20/F$31,"")</f>
        <v>4.0066445676523552E-2</v>
      </c>
      <c r="H20" s="144">
        <f t="shared" ref="H20:H31" si="18">+D20-F20</f>
        <v>30741.600000000006</v>
      </c>
      <c r="I20" s="89">
        <v>25733</v>
      </c>
      <c r="J20" s="108">
        <f t="shared" ref="J20:J31" si="19">IFERROR(I20/I$31,"")</f>
        <v>2.6968497811912975E-2</v>
      </c>
      <c r="K20" s="144">
        <f t="shared" ref="K20:K31" si="20">+D20-I20</f>
        <v>43448.600000000006</v>
      </c>
      <c r="L20" s="296"/>
      <c r="M20" s="89">
        <v>623870.28</v>
      </c>
      <c r="N20" s="51">
        <f t="shared" ref="N20:N31" si="21">IFERROR(M20/M$31,"")</f>
        <v>0.14503493959102312</v>
      </c>
      <c r="O20" s="36">
        <v>563653.26</v>
      </c>
      <c r="P20" s="108">
        <f t="shared" ref="P20:P31" si="22">IFERROR(O20/O$31,"")</f>
        <v>0.12606305356784148</v>
      </c>
      <c r="Q20" s="144">
        <f t="shared" ref="Q20:Q31" si="23">+M20-O20</f>
        <v>60217.020000000019</v>
      </c>
      <c r="R20" s="89">
        <v>545977</v>
      </c>
      <c r="S20" s="108">
        <f t="shared" ref="S20:S31" si="24">IFERROR(R20/R$31,"")</f>
        <v>0.12302371787870604</v>
      </c>
      <c r="T20" s="144">
        <f t="shared" ref="T20:T31" si="25">+M20-R20</f>
        <v>77893.280000000028</v>
      </c>
    </row>
    <row r="21" spans="2:20" x14ac:dyDescent="0.25">
      <c r="B21" s="14" t="s">
        <v>138</v>
      </c>
      <c r="C21" s="315" t="s">
        <v>396</v>
      </c>
      <c r="D21" s="36">
        <v>50749</v>
      </c>
      <c r="E21" s="51">
        <f t="shared" si="16"/>
        <v>5.1677637323960482E-2</v>
      </c>
      <c r="F21" s="36">
        <v>0</v>
      </c>
      <c r="G21" s="108">
        <f t="shared" si="17"/>
        <v>0</v>
      </c>
      <c r="H21" s="144">
        <f t="shared" si="18"/>
        <v>50749</v>
      </c>
      <c r="I21" s="89">
        <v>0.05</v>
      </c>
      <c r="J21" s="108">
        <f t="shared" si="19"/>
        <v>5.2400609746071151E-8</v>
      </c>
      <c r="K21" s="144">
        <f t="shared" si="20"/>
        <v>50748.95</v>
      </c>
      <c r="L21" s="296"/>
      <c r="M21" s="89">
        <v>101354.42</v>
      </c>
      <c r="N21" s="51">
        <f t="shared" si="21"/>
        <v>2.3562481902460852E-2</v>
      </c>
      <c r="O21" s="36">
        <v>28090.560000000001</v>
      </c>
      <c r="P21" s="108">
        <f t="shared" si="22"/>
        <v>6.2825535153130576E-3</v>
      </c>
      <c r="Q21" s="144">
        <f t="shared" si="23"/>
        <v>73263.86</v>
      </c>
      <c r="R21" s="89">
        <v>8802.7000000000007</v>
      </c>
      <c r="S21" s="108">
        <f t="shared" si="24"/>
        <v>1.9834917613212387E-3</v>
      </c>
      <c r="T21" s="144">
        <f t="shared" si="25"/>
        <v>92551.72</v>
      </c>
    </row>
    <row r="22" spans="2:20" x14ac:dyDescent="0.25">
      <c r="B22" s="14" t="s">
        <v>140</v>
      </c>
      <c r="C22" s="315" t="s">
        <v>356</v>
      </c>
      <c r="D22" s="36">
        <v>0</v>
      </c>
      <c r="E22" s="51">
        <f t="shared" si="16"/>
        <v>0</v>
      </c>
      <c r="F22" s="36">
        <v>0</v>
      </c>
      <c r="G22" s="108">
        <f t="shared" si="17"/>
        <v>0</v>
      </c>
      <c r="H22" s="144">
        <f t="shared" si="18"/>
        <v>0</v>
      </c>
      <c r="I22" s="89">
        <v>0</v>
      </c>
      <c r="J22" s="108">
        <f t="shared" si="19"/>
        <v>0</v>
      </c>
      <c r="K22" s="144">
        <f t="shared" si="20"/>
        <v>0</v>
      </c>
      <c r="L22" s="296"/>
      <c r="M22" s="89">
        <v>0</v>
      </c>
      <c r="N22" s="51">
        <f t="shared" si="21"/>
        <v>0</v>
      </c>
      <c r="O22" s="36">
        <v>0</v>
      </c>
      <c r="P22" s="108">
        <f t="shared" si="22"/>
        <v>0</v>
      </c>
      <c r="Q22" s="144">
        <f t="shared" si="23"/>
        <v>0</v>
      </c>
      <c r="R22" s="89">
        <v>0</v>
      </c>
      <c r="S22" s="108">
        <f t="shared" si="24"/>
        <v>0</v>
      </c>
      <c r="T22" s="144">
        <f t="shared" si="25"/>
        <v>0</v>
      </c>
    </row>
    <row r="23" spans="2:20" x14ac:dyDescent="0.25">
      <c r="B23" s="14" t="s">
        <v>144</v>
      </c>
      <c r="C23" s="315" t="s">
        <v>397</v>
      </c>
      <c r="D23" s="36">
        <v>0</v>
      </c>
      <c r="E23" s="51">
        <f t="shared" si="16"/>
        <v>0</v>
      </c>
      <c r="F23" s="36">
        <v>0</v>
      </c>
      <c r="G23" s="108">
        <f t="shared" si="17"/>
        <v>0</v>
      </c>
      <c r="H23" s="144">
        <f t="shared" si="18"/>
        <v>0</v>
      </c>
      <c r="I23" s="89">
        <v>0</v>
      </c>
      <c r="J23" s="108">
        <f t="shared" si="19"/>
        <v>0</v>
      </c>
      <c r="K23" s="144">
        <f t="shared" si="20"/>
        <v>0</v>
      </c>
      <c r="L23" s="296"/>
      <c r="M23" s="89">
        <v>2640</v>
      </c>
      <c r="N23" s="51">
        <f t="shared" si="21"/>
        <v>6.1373694627719889E-4</v>
      </c>
      <c r="O23" s="36">
        <v>6077.94</v>
      </c>
      <c r="P23" s="108">
        <f t="shared" si="22"/>
        <v>1.3593528684676219E-3</v>
      </c>
      <c r="Q23" s="144">
        <f t="shared" si="23"/>
        <v>-3437.9399999999996</v>
      </c>
      <c r="R23" s="89">
        <v>6229</v>
      </c>
      <c r="S23" s="108">
        <f t="shared" si="24"/>
        <v>1.4035659719483788E-3</v>
      </c>
      <c r="T23" s="144">
        <f t="shared" si="25"/>
        <v>-3589</v>
      </c>
    </row>
    <row r="24" spans="2:20" x14ac:dyDescent="0.25">
      <c r="B24" s="14" t="s">
        <v>143</v>
      </c>
      <c r="C24" s="315" t="s">
        <v>357</v>
      </c>
      <c r="D24" s="36">
        <v>-0.02</v>
      </c>
      <c r="E24" s="51">
        <f t="shared" si="16"/>
        <v>-2.0365972659150124E-8</v>
      </c>
      <c r="F24" s="36">
        <v>5980</v>
      </c>
      <c r="G24" s="108">
        <f t="shared" si="17"/>
        <v>6.2330214658067335E-3</v>
      </c>
      <c r="H24" s="144">
        <f t="shared" si="18"/>
        <v>-5980.02</v>
      </c>
      <c r="I24" s="89">
        <v>10825</v>
      </c>
      <c r="J24" s="108">
        <f t="shared" si="19"/>
        <v>1.1344732010024403E-2</v>
      </c>
      <c r="K24" s="144">
        <f t="shared" si="20"/>
        <v>-10825.02</v>
      </c>
      <c r="L24" s="296"/>
      <c r="M24" s="89">
        <v>19434.98</v>
      </c>
      <c r="N24" s="51">
        <f t="shared" si="21"/>
        <v>4.5181686652115286E-3</v>
      </c>
      <c r="O24" s="36">
        <v>13815</v>
      </c>
      <c r="P24" s="108">
        <f t="shared" si="22"/>
        <v>3.0897738177540742E-3</v>
      </c>
      <c r="Q24" s="144">
        <f t="shared" si="23"/>
        <v>5619.98</v>
      </c>
      <c r="R24" s="89">
        <v>10825</v>
      </c>
      <c r="S24" s="108">
        <f t="shared" si="24"/>
        <v>2.4391718809345319E-3</v>
      </c>
      <c r="T24" s="144">
        <f t="shared" si="25"/>
        <v>8609.98</v>
      </c>
    </row>
    <row r="25" spans="2:20" x14ac:dyDescent="0.25">
      <c r="B25" s="14" t="s">
        <v>141</v>
      </c>
      <c r="C25" s="315" t="s">
        <v>426</v>
      </c>
      <c r="D25" s="36">
        <v>0</v>
      </c>
      <c r="E25" s="51">
        <f t="shared" si="16"/>
        <v>0</v>
      </c>
      <c r="F25" s="36">
        <v>0</v>
      </c>
      <c r="G25" s="108">
        <f t="shared" si="17"/>
        <v>0</v>
      </c>
      <c r="H25" s="144">
        <f t="shared" si="18"/>
        <v>0</v>
      </c>
      <c r="I25" s="89">
        <v>0</v>
      </c>
      <c r="J25" s="108">
        <f t="shared" si="19"/>
        <v>0</v>
      </c>
      <c r="K25" s="144">
        <f t="shared" si="20"/>
        <v>0</v>
      </c>
      <c r="L25" s="296"/>
      <c r="M25" s="89">
        <v>0</v>
      </c>
      <c r="N25" s="51">
        <f t="shared" si="21"/>
        <v>0</v>
      </c>
      <c r="O25" s="36">
        <v>0</v>
      </c>
      <c r="P25" s="108">
        <f t="shared" si="22"/>
        <v>0</v>
      </c>
      <c r="Q25" s="144">
        <f t="shared" si="23"/>
        <v>0</v>
      </c>
      <c r="R25" s="89">
        <v>0</v>
      </c>
      <c r="S25" s="108">
        <f t="shared" si="24"/>
        <v>0</v>
      </c>
      <c r="T25" s="144">
        <f t="shared" si="25"/>
        <v>0</v>
      </c>
    </row>
    <row r="26" spans="2:20" x14ac:dyDescent="0.25">
      <c r="B26" s="14" t="s">
        <v>632</v>
      </c>
      <c r="C26" s="315" t="s">
        <v>704</v>
      </c>
      <c r="D26" s="106">
        <v>0</v>
      </c>
      <c r="E26" s="107">
        <f t="shared" si="16"/>
        <v>0</v>
      </c>
      <c r="F26" s="106">
        <v>0</v>
      </c>
      <c r="G26" s="147">
        <f t="shared" si="17"/>
        <v>0</v>
      </c>
      <c r="H26" s="153">
        <f t="shared" si="18"/>
        <v>0</v>
      </c>
      <c r="I26" s="157">
        <v>0</v>
      </c>
      <c r="J26" s="147">
        <f t="shared" si="19"/>
        <v>0</v>
      </c>
      <c r="K26" s="153">
        <f t="shared" si="20"/>
        <v>0</v>
      </c>
      <c r="L26" s="296"/>
      <c r="M26" s="157">
        <v>0</v>
      </c>
      <c r="N26" s="107">
        <f t="shared" si="21"/>
        <v>0</v>
      </c>
      <c r="O26" s="106">
        <v>0</v>
      </c>
      <c r="P26" s="147">
        <f t="shared" si="22"/>
        <v>0</v>
      </c>
      <c r="Q26" s="153">
        <f t="shared" si="23"/>
        <v>0</v>
      </c>
      <c r="R26" s="157">
        <v>0</v>
      </c>
      <c r="S26" s="147">
        <f t="shared" si="24"/>
        <v>0</v>
      </c>
      <c r="T26" s="153">
        <f t="shared" si="25"/>
        <v>0</v>
      </c>
    </row>
    <row r="27" spans="2:20" x14ac:dyDescent="0.25">
      <c r="B27" s="14" t="s">
        <v>142</v>
      </c>
      <c r="C27" s="316" t="s">
        <v>398</v>
      </c>
      <c r="D27" s="103">
        <f t="shared" ref="D27" si="26">SUM(D20:D26)</f>
        <v>119930.58</v>
      </c>
      <c r="E27" s="104">
        <f t="shared" si="16"/>
        <v>0.12212514566380084</v>
      </c>
      <c r="F27" s="103">
        <f>SUM(F20:F26)</f>
        <v>44420</v>
      </c>
      <c r="G27" s="148">
        <f t="shared" si="17"/>
        <v>4.6299467142330283E-2</v>
      </c>
      <c r="H27" s="154">
        <f t="shared" si="18"/>
        <v>75510.58</v>
      </c>
      <c r="I27" s="152">
        <f>SUM(I20:I26)</f>
        <v>36558.050000000003</v>
      </c>
      <c r="J27" s="148">
        <f t="shared" si="19"/>
        <v>3.8313282222547131E-2</v>
      </c>
      <c r="K27" s="154">
        <f t="shared" si="20"/>
        <v>83372.53</v>
      </c>
      <c r="L27" s="296"/>
      <c r="M27" s="152">
        <f t="shared" ref="M27" si="27">SUM(M20:M26)</f>
        <v>747299.68</v>
      </c>
      <c r="N27" s="104">
        <f t="shared" si="21"/>
        <v>0.17372932710497271</v>
      </c>
      <c r="O27" s="103">
        <f>SUM(O20:O26)</f>
        <v>611636.76</v>
      </c>
      <c r="P27" s="148">
        <f t="shared" si="22"/>
        <v>0.13679473376937623</v>
      </c>
      <c r="Q27" s="154">
        <f t="shared" si="23"/>
        <v>135662.92000000004</v>
      </c>
      <c r="R27" s="152">
        <f>SUM(R20:R26)</f>
        <v>571833.69999999995</v>
      </c>
      <c r="S27" s="148">
        <f t="shared" si="24"/>
        <v>0.12884994749291018</v>
      </c>
      <c r="T27" s="154">
        <f t="shared" si="25"/>
        <v>175465.9800000001</v>
      </c>
    </row>
    <row r="28" spans="2:20" x14ac:dyDescent="0.25">
      <c r="B28" s="14" t="s">
        <v>81</v>
      </c>
      <c r="C28" s="315" t="s">
        <v>399</v>
      </c>
      <c r="D28" s="319">
        <v>0</v>
      </c>
      <c r="E28" s="51">
        <f t="shared" si="16"/>
        <v>0</v>
      </c>
      <c r="F28" s="106">
        <v>0</v>
      </c>
      <c r="G28" s="147">
        <f t="shared" si="17"/>
        <v>0</v>
      </c>
      <c r="H28" s="153">
        <f t="shared" si="18"/>
        <v>0</v>
      </c>
      <c r="I28" s="157">
        <v>0</v>
      </c>
      <c r="J28" s="147">
        <f t="shared" si="19"/>
        <v>0</v>
      </c>
      <c r="K28" s="153">
        <f t="shared" si="20"/>
        <v>0</v>
      </c>
      <c r="L28" s="296"/>
      <c r="M28" s="109">
        <v>0</v>
      </c>
      <c r="N28" s="51">
        <f t="shared" si="21"/>
        <v>0</v>
      </c>
      <c r="O28" s="106">
        <v>0</v>
      </c>
      <c r="P28" s="147">
        <f t="shared" si="22"/>
        <v>0</v>
      </c>
      <c r="Q28" s="153">
        <f t="shared" si="23"/>
        <v>0</v>
      </c>
      <c r="R28" s="157">
        <v>0</v>
      </c>
      <c r="S28" s="147">
        <f t="shared" si="24"/>
        <v>0</v>
      </c>
      <c r="T28" s="153">
        <f t="shared" si="25"/>
        <v>0</v>
      </c>
    </row>
    <row r="29" spans="2:20" x14ac:dyDescent="0.25">
      <c r="B29" s="14" t="s">
        <v>205</v>
      </c>
      <c r="C29" s="315" t="s">
        <v>400</v>
      </c>
      <c r="D29" s="50">
        <v>-236.49</v>
      </c>
      <c r="E29" s="51">
        <f t="shared" si="16"/>
        <v>-2.4081744370812064E-4</v>
      </c>
      <c r="F29" s="36">
        <v>3501</v>
      </c>
      <c r="G29" s="51">
        <f t="shared" si="17"/>
        <v>3.6491317979580893E-3</v>
      </c>
      <c r="H29" s="137">
        <f t="shared" si="18"/>
        <v>-3737.49</v>
      </c>
      <c r="I29" s="36">
        <v>5024.12</v>
      </c>
      <c r="J29" s="51">
        <f t="shared" si="19"/>
        <v>5.2653390287486189E-3</v>
      </c>
      <c r="K29" s="137">
        <f t="shared" si="20"/>
        <v>-5260.61</v>
      </c>
      <c r="L29" s="296"/>
      <c r="M29" s="110">
        <v>18374.490000000002</v>
      </c>
      <c r="N29" s="51">
        <f t="shared" si="21"/>
        <v>4.2716300689397465E-3</v>
      </c>
      <c r="O29" s="36">
        <v>30562</v>
      </c>
      <c r="P29" s="51">
        <f t="shared" si="22"/>
        <v>6.8352998493087236E-3</v>
      </c>
      <c r="Q29" s="137">
        <f t="shared" si="23"/>
        <v>-12187.509999999998</v>
      </c>
      <c r="R29" s="36">
        <v>35119.86</v>
      </c>
      <c r="S29" s="51">
        <f t="shared" si="24"/>
        <v>7.9134757482085382E-3</v>
      </c>
      <c r="T29" s="137">
        <f t="shared" si="25"/>
        <v>-16745.37</v>
      </c>
    </row>
    <row r="30" spans="2:20" x14ac:dyDescent="0.25">
      <c r="B30" s="14" t="s">
        <v>53</v>
      </c>
      <c r="C30" s="315" t="s">
        <v>401</v>
      </c>
      <c r="D30" s="320">
        <v>0</v>
      </c>
      <c r="E30" s="56">
        <f t="shared" si="16"/>
        <v>0</v>
      </c>
      <c r="F30" s="106">
        <v>0</v>
      </c>
      <c r="G30" s="147">
        <f t="shared" si="17"/>
        <v>0</v>
      </c>
      <c r="H30" s="153">
        <f t="shared" si="18"/>
        <v>0</v>
      </c>
      <c r="I30" s="157">
        <v>-1626.32</v>
      </c>
      <c r="J30" s="147">
        <f t="shared" si="19"/>
        <v>-1.7044031928446085E-3</v>
      </c>
      <c r="K30" s="153">
        <f t="shared" si="20"/>
        <v>1626.32</v>
      </c>
      <c r="L30" s="296"/>
      <c r="M30" s="111">
        <v>0</v>
      </c>
      <c r="N30" s="56">
        <f t="shared" si="21"/>
        <v>0</v>
      </c>
      <c r="O30" s="106">
        <v>0</v>
      </c>
      <c r="P30" s="147">
        <f t="shared" si="22"/>
        <v>0</v>
      </c>
      <c r="Q30" s="153">
        <f t="shared" si="23"/>
        <v>0</v>
      </c>
      <c r="R30" s="157">
        <v>-5451.37</v>
      </c>
      <c r="S30" s="147">
        <f t="shared" si="24"/>
        <v>-1.2283444264729866E-3</v>
      </c>
      <c r="T30" s="153">
        <f t="shared" si="25"/>
        <v>5451.37</v>
      </c>
    </row>
    <row r="31" spans="2:20" x14ac:dyDescent="0.25">
      <c r="B31" s="14" t="s">
        <v>10</v>
      </c>
      <c r="C31" s="316" t="s">
        <v>402</v>
      </c>
      <c r="D31" s="321">
        <f t="shared" ref="D31" si="28">+D17+D27+SUM(D28:D30)</f>
        <v>982030.19</v>
      </c>
      <c r="E31" s="104">
        <f t="shared" si="16"/>
        <v>1</v>
      </c>
      <c r="F31" s="103">
        <f t="shared" ref="F31" si="29">+F17+F27+SUM(F28:F30)</f>
        <v>959406.29</v>
      </c>
      <c r="G31" s="148">
        <f t="shared" si="17"/>
        <v>1</v>
      </c>
      <c r="H31" s="154">
        <f t="shared" si="18"/>
        <v>22623.899999999907</v>
      </c>
      <c r="I31" s="152">
        <f>+I17+I27+SUM(I28:I30)</f>
        <v>954187.37000000011</v>
      </c>
      <c r="J31" s="148">
        <f t="shared" si="19"/>
        <v>1</v>
      </c>
      <c r="K31" s="154">
        <f t="shared" si="20"/>
        <v>27842.819999999832</v>
      </c>
      <c r="L31" s="296"/>
      <c r="M31" s="112">
        <f t="shared" ref="M31" si="30">+M17+M27+SUM(M28:M30)</f>
        <v>4301517.1500000004</v>
      </c>
      <c r="N31" s="104">
        <f t="shared" si="21"/>
        <v>1</v>
      </c>
      <c r="O31" s="103">
        <f t="shared" ref="O31" si="31">+O17+O27+SUM(O28:O30)</f>
        <v>4471201.0699999994</v>
      </c>
      <c r="P31" s="148">
        <f t="shared" si="22"/>
        <v>1</v>
      </c>
      <c r="Q31" s="154">
        <f t="shared" si="23"/>
        <v>-169683.91999999899</v>
      </c>
      <c r="R31" s="152">
        <f t="shared" ref="R31" si="32">+R17+R27+SUM(R28:R30)</f>
        <v>4437981.63</v>
      </c>
      <c r="S31" s="148">
        <f t="shared" si="24"/>
        <v>1</v>
      </c>
      <c r="T31" s="154">
        <f t="shared" si="25"/>
        <v>-136464.47999999952</v>
      </c>
    </row>
    <row r="32" spans="2:20" x14ac:dyDescent="0.25">
      <c r="C32" s="312"/>
      <c r="D32" s="244"/>
      <c r="E32" s="312"/>
      <c r="F32" s="244"/>
      <c r="K32" s="74"/>
      <c r="L32" s="296"/>
      <c r="O32" s="244"/>
      <c r="T32" s="74"/>
    </row>
    <row r="33" spans="2:20" x14ac:dyDescent="0.25">
      <c r="B33" s="14"/>
      <c r="C33" s="313" t="s">
        <v>403</v>
      </c>
      <c r="D33" s="48"/>
      <c r="E33" s="307"/>
      <c r="F33" s="48"/>
      <c r="G33" s="32"/>
      <c r="H33" s="16"/>
      <c r="I33" s="16"/>
      <c r="J33" s="32"/>
      <c r="K33" s="49"/>
      <c r="L33" s="296"/>
      <c r="M33" s="16"/>
      <c r="N33" s="32"/>
      <c r="O33" s="48"/>
      <c r="P33" s="32"/>
      <c r="Q33" s="16"/>
      <c r="R33" s="16"/>
      <c r="S33" s="32"/>
      <c r="T33" s="49"/>
    </row>
    <row r="34" spans="2:20" x14ac:dyDescent="0.25">
      <c r="B34" s="14" t="s">
        <v>233</v>
      </c>
      <c r="C34" s="314" t="s">
        <v>404</v>
      </c>
      <c r="D34" s="48"/>
      <c r="E34" s="307"/>
      <c r="F34" s="48"/>
      <c r="G34" s="32"/>
      <c r="H34" s="16"/>
      <c r="I34" s="16"/>
      <c r="J34" s="32"/>
      <c r="K34" s="49"/>
      <c r="L34" s="74"/>
      <c r="M34" s="16"/>
      <c r="N34" s="32"/>
      <c r="O34" s="48"/>
      <c r="P34" s="32"/>
      <c r="Q34" s="16"/>
      <c r="R34" s="16"/>
      <c r="S34" s="32"/>
      <c r="T34" s="49"/>
    </row>
    <row r="35" spans="2:20" x14ac:dyDescent="0.25">
      <c r="B35" s="14" t="s">
        <v>150</v>
      </c>
      <c r="C35" s="315" t="s">
        <v>427</v>
      </c>
      <c r="D35" s="36">
        <v>0</v>
      </c>
      <c r="E35" s="51">
        <f t="shared" ref="E35:E37" si="33">IFERROR(D35/D$31,"")</f>
        <v>0</v>
      </c>
      <c r="F35" s="36">
        <v>0</v>
      </c>
      <c r="G35" s="51">
        <f t="shared" ref="G35:G37" si="34">IFERROR(F35/F$31,"")</f>
        <v>0</v>
      </c>
      <c r="H35" s="137">
        <f>+D35-F35</f>
        <v>0</v>
      </c>
      <c r="I35" s="36">
        <v>0</v>
      </c>
      <c r="J35" s="51">
        <f t="shared" ref="J35:J37" si="35">IFERROR(I35/I$31,"")</f>
        <v>0</v>
      </c>
      <c r="K35" s="137">
        <f>+D35-I35</f>
        <v>0</v>
      </c>
      <c r="L35" s="74"/>
      <c r="M35" s="89">
        <v>0</v>
      </c>
      <c r="N35" s="51">
        <f t="shared" ref="N35:N37" si="36">IFERROR(M35/M$31,"")</f>
        <v>0</v>
      </c>
      <c r="O35" s="36">
        <v>0</v>
      </c>
      <c r="P35" s="51">
        <f t="shared" ref="P35:P37" si="37">IFERROR(O35/O$31,"")</f>
        <v>0</v>
      </c>
      <c r="Q35" s="137">
        <f>+M35-O35</f>
        <v>0</v>
      </c>
      <c r="R35" s="36">
        <v>0</v>
      </c>
      <c r="S35" s="51">
        <f t="shared" ref="S35:S37" si="38">IFERROR(R35/R$31,"")</f>
        <v>0</v>
      </c>
      <c r="T35" s="137">
        <f>+M35-R35</f>
        <v>0</v>
      </c>
    </row>
    <row r="36" spans="2:20" x14ac:dyDescent="0.25">
      <c r="B36" s="14" t="s">
        <v>131</v>
      </c>
      <c r="C36" s="315" t="s">
        <v>428</v>
      </c>
      <c r="D36" s="36">
        <v>0</v>
      </c>
      <c r="E36" s="51">
        <f t="shared" si="33"/>
        <v>0</v>
      </c>
      <c r="F36" s="36">
        <v>0</v>
      </c>
      <c r="G36" s="51">
        <f t="shared" si="34"/>
        <v>0</v>
      </c>
      <c r="H36" s="137">
        <f>+D36-F36</f>
        <v>0</v>
      </c>
      <c r="I36" s="36">
        <v>0</v>
      </c>
      <c r="J36" s="51">
        <f t="shared" si="35"/>
        <v>0</v>
      </c>
      <c r="K36" s="137">
        <f>+D36-I36</f>
        <v>0</v>
      </c>
      <c r="L36" s="74"/>
      <c r="M36" s="89">
        <v>0</v>
      </c>
      <c r="N36" s="51">
        <f t="shared" si="36"/>
        <v>0</v>
      </c>
      <c r="O36" s="36">
        <v>0</v>
      </c>
      <c r="P36" s="51">
        <f t="shared" si="37"/>
        <v>0</v>
      </c>
      <c r="Q36" s="137">
        <f>+M36-O36</f>
        <v>0</v>
      </c>
      <c r="R36" s="36">
        <v>0</v>
      </c>
      <c r="S36" s="51">
        <f t="shared" si="38"/>
        <v>0</v>
      </c>
      <c r="T36" s="137">
        <f>+M36-R36</f>
        <v>0</v>
      </c>
    </row>
    <row r="37" spans="2:20" x14ac:dyDescent="0.25">
      <c r="B37" s="14" t="s">
        <v>332</v>
      </c>
      <c r="C37" s="315" t="s">
        <v>405</v>
      </c>
      <c r="D37" s="36">
        <v>13751.46</v>
      </c>
      <c r="E37" s="51">
        <f t="shared" si="33"/>
        <v>1.4003092919169827E-2</v>
      </c>
      <c r="F37" s="36">
        <v>12527.78</v>
      </c>
      <c r="G37" s="51">
        <f t="shared" si="34"/>
        <v>1.3057846431254896E-2</v>
      </c>
      <c r="H37" s="137">
        <f>+D37-F37</f>
        <v>1223.6799999999985</v>
      </c>
      <c r="I37" s="36">
        <v>12785.27</v>
      </c>
      <c r="J37" s="51">
        <f t="shared" si="35"/>
        <v>1.3399118875363021E-2</v>
      </c>
      <c r="K37" s="137">
        <f>+D37-I37</f>
        <v>966.18999999999869</v>
      </c>
      <c r="L37" s="74"/>
      <c r="M37" s="89">
        <v>48557.38</v>
      </c>
      <c r="N37" s="51">
        <f t="shared" si="36"/>
        <v>1.1288431106220277E-2</v>
      </c>
      <c r="O37" s="36">
        <v>47981.36</v>
      </c>
      <c r="P37" s="51">
        <f t="shared" si="37"/>
        <v>1.0731201582933957E-2</v>
      </c>
      <c r="Q37" s="137">
        <f>+M37-O37</f>
        <v>576.0199999999968</v>
      </c>
      <c r="R37" s="36">
        <v>34728.11</v>
      </c>
      <c r="S37" s="51">
        <f t="shared" si="38"/>
        <v>7.8252036387991986E-3</v>
      </c>
      <c r="T37" s="137">
        <f>+M37-R37</f>
        <v>13829.269999999997</v>
      </c>
    </row>
    <row r="38" spans="2:20" x14ac:dyDescent="0.25">
      <c r="B38" s="14" t="s">
        <v>237</v>
      </c>
      <c r="C38" s="317" t="s">
        <v>406</v>
      </c>
      <c r="D38" s="322"/>
      <c r="E38" s="114"/>
      <c r="F38" s="244"/>
      <c r="G38" s="114"/>
      <c r="J38" s="114"/>
      <c r="K38" s="74"/>
      <c r="L38" s="74"/>
      <c r="M38" s="113"/>
      <c r="N38" s="114"/>
      <c r="O38" s="244"/>
      <c r="P38" s="114"/>
      <c r="S38" s="114"/>
      <c r="T38" s="74"/>
    </row>
    <row r="39" spans="2:20" x14ac:dyDescent="0.25">
      <c r="B39" s="14" t="s">
        <v>132</v>
      </c>
      <c r="C39" s="315" t="s">
        <v>407</v>
      </c>
      <c r="D39" s="36">
        <v>14600.75</v>
      </c>
      <c r="E39" s="115">
        <f t="shared" ref="E39:E53" si="39">IFERROR(D39/D$31,"")</f>
        <v>1.4867923765154308E-2</v>
      </c>
      <c r="F39" s="36">
        <v>17168.310000000001</v>
      </c>
      <c r="G39" s="115">
        <f t="shared" ref="G39:G53" si="40">IFERROR(F39/F$31,"")</f>
        <v>1.7894723204285017E-2</v>
      </c>
      <c r="H39" s="137">
        <f t="shared" ref="H39:H53" si="41">+D39-F39</f>
        <v>-2567.5600000000013</v>
      </c>
      <c r="I39" s="36">
        <v>14397.6</v>
      </c>
      <c r="J39" s="115">
        <f t="shared" ref="J39:J53" si="42">IFERROR(I39/I$31,"")</f>
        <v>1.5088860377600679E-2</v>
      </c>
      <c r="K39" s="137">
        <f t="shared" ref="K39:K53" si="43">+D39-I39</f>
        <v>203.14999999999964</v>
      </c>
      <c r="L39" s="74"/>
      <c r="M39" s="89">
        <v>53276.41</v>
      </c>
      <c r="N39" s="115">
        <f t="shared" ref="N39:N53" si="44">IFERROR(M39/M$31,"")</f>
        <v>1.2385492871974251E-2</v>
      </c>
      <c r="O39" s="36">
        <v>67417.02</v>
      </c>
      <c r="P39" s="115">
        <f t="shared" ref="P39:P45" si="45">IFERROR(O39/O$31,"")</f>
        <v>1.5078055973000564E-2</v>
      </c>
      <c r="Q39" s="137">
        <f t="shared" ref="Q39:Q53" si="46">+M39-O39</f>
        <v>-14140.61</v>
      </c>
      <c r="R39" s="36">
        <v>37882.199999999997</v>
      </c>
      <c r="S39" s="115">
        <f t="shared" ref="S39:S45" si="47">IFERROR(R39/R$31,"")</f>
        <v>8.5359073466917436E-3</v>
      </c>
      <c r="T39" s="137">
        <f t="shared" ref="T39:T53" si="48">+M39-R39</f>
        <v>15394.210000000006</v>
      </c>
    </row>
    <row r="40" spans="2:20" x14ac:dyDescent="0.25">
      <c r="B40" s="14" t="s">
        <v>151</v>
      </c>
      <c r="C40" s="315" t="s">
        <v>408</v>
      </c>
      <c r="D40" s="36">
        <v>43562.57</v>
      </c>
      <c r="E40" s="115">
        <f t="shared" si="39"/>
        <v>4.435970547911567E-2</v>
      </c>
      <c r="F40" s="36">
        <v>46054.89</v>
      </c>
      <c r="G40" s="115">
        <f t="shared" si="40"/>
        <v>4.8003531434008005E-2</v>
      </c>
      <c r="H40" s="137">
        <f t="shared" si="41"/>
        <v>-2492.3199999999997</v>
      </c>
      <c r="I40" s="36">
        <v>44186.67</v>
      </c>
      <c r="J40" s="115">
        <f t="shared" si="42"/>
        <v>4.6308169012968588E-2</v>
      </c>
      <c r="K40" s="137">
        <f t="shared" si="43"/>
        <v>-624.09999999999854</v>
      </c>
      <c r="L40" s="74"/>
      <c r="M40" s="89">
        <v>174126.5</v>
      </c>
      <c r="N40" s="115">
        <f t="shared" si="44"/>
        <v>4.0480252415127531E-2</v>
      </c>
      <c r="O40" s="36">
        <v>180684.69</v>
      </c>
      <c r="P40" s="115">
        <f t="shared" si="45"/>
        <v>4.0410772669635282E-2</v>
      </c>
      <c r="Q40" s="137">
        <f t="shared" si="46"/>
        <v>-6558.1900000000023</v>
      </c>
      <c r="R40" s="36">
        <v>150761.34</v>
      </c>
      <c r="S40" s="115">
        <f t="shared" si="47"/>
        <v>3.397069942355755E-2</v>
      </c>
      <c r="T40" s="137">
        <f t="shared" si="48"/>
        <v>23365.160000000003</v>
      </c>
    </row>
    <row r="41" spans="2:20" x14ac:dyDescent="0.25">
      <c r="B41" s="14" t="s">
        <v>223</v>
      </c>
      <c r="C41" s="315" t="s">
        <v>373</v>
      </c>
      <c r="D41" s="36">
        <v>0</v>
      </c>
      <c r="E41" s="115">
        <f t="shared" ref="E41" si="49">IFERROR(D41/D$31,"")</f>
        <v>0</v>
      </c>
      <c r="F41" s="36">
        <v>0</v>
      </c>
      <c r="G41" s="115">
        <f t="shared" ref="G41" si="50">IFERROR(F41/F$31,"")</f>
        <v>0</v>
      </c>
      <c r="H41" s="137">
        <f t="shared" si="41"/>
        <v>0</v>
      </c>
      <c r="I41" s="36">
        <v>0</v>
      </c>
      <c r="J41" s="115">
        <f t="shared" ref="J41" si="51">IFERROR(I41/I$31,"")</f>
        <v>0</v>
      </c>
      <c r="K41" s="137">
        <f t="shared" si="43"/>
        <v>0</v>
      </c>
      <c r="L41" s="74"/>
      <c r="M41" s="89">
        <v>0</v>
      </c>
      <c r="N41" s="115">
        <f t="shared" si="44"/>
        <v>0</v>
      </c>
      <c r="O41" s="36">
        <v>0</v>
      </c>
      <c r="P41" s="115">
        <f t="shared" si="45"/>
        <v>0</v>
      </c>
      <c r="Q41" s="137">
        <f t="shared" si="46"/>
        <v>0</v>
      </c>
      <c r="R41" s="36">
        <v>0</v>
      </c>
      <c r="S41" s="115">
        <f t="shared" si="47"/>
        <v>0</v>
      </c>
      <c r="T41" s="137">
        <f t="shared" si="48"/>
        <v>0</v>
      </c>
    </row>
    <row r="42" spans="2:20" x14ac:dyDescent="0.25">
      <c r="B42" s="14" t="s">
        <v>74</v>
      </c>
      <c r="C42" s="315" t="s">
        <v>429</v>
      </c>
      <c r="D42" s="36">
        <v>0</v>
      </c>
      <c r="E42" s="115">
        <f t="shared" si="39"/>
        <v>0</v>
      </c>
      <c r="F42" s="36">
        <v>0</v>
      </c>
      <c r="G42" s="115">
        <f t="shared" si="40"/>
        <v>0</v>
      </c>
      <c r="H42" s="137">
        <f t="shared" si="41"/>
        <v>0</v>
      </c>
      <c r="I42" s="36">
        <v>0</v>
      </c>
      <c r="J42" s="115">
        <f t="shared" si="42"/>
        <v>0</v>
      </c>
      <c r="K42" s="137">
        <f t="shared" si="43"/>
        <v>0</v>
      </c>
      <c r="L42" s="74"/>
      <c r="M42" s="89">
        <v>0</v>
      </c>
      <c r="N42" s="115">
        <f t="shared" si="44"/>
        <v>0</v>
      </c>
      <c r="O42" s="36">
        <v>0</v>
      </c>
      <c r="P42" s="115">
        <f t="shared" si="45"/>
        <v>0</v>
      </c>
      <c r="Q42" s="137">
        <f t="shared" si="46"/>
        <v>0</v>
      </c>
      <c r="R42" s="36">
        <v>0</v>
      </c>
      <c r="S42" s="115">
        <f t="shared" si="47"/>
        <v>0</v>
      </c>
      <c r="T42" s="137">
        <f t="shared" si="48"/>
        <v>0</v>
      </c>
    </row>
    <row r="43" spans="2:20" x14ac:dyDescent="0.25">
      <c r="B43" s="14" t="s">
        <v>650</v>
      </c>
      <c r="C43" s="17" t="s">
        <v>461</v>
      </c>
      <c r="D43" s="54">
        <v>0</v>
      </c>
      <c r="E43" s="121">
        <f t="shared" si="39"/>
        <v>0</v>
      </c>
      <c r="F43" s="55">
        <v>0</v>
      </c>
      <c r="G43" s="162">
        <f t="shared" si="40"/>
        <v>0</v>
      </c>
      <c r="H43" s="166">
        <f t="shared" si="41"/>
        <v>0</v>
      </c>
      <c r="I43" s="151">
        <v>0</v>
      </c>
      <c r="J43" s="162">
        <f t="shared" si="42"/>
        <v>0</v>
      </c>
      <c r="K43" s="153">
        <f t="shared" si="43"/>
        <v>0</v>
      </c>
      <c r="L43" s="74"/>
      <c r="M43" s="116">
        <v>0</v>
      </c>
      <c r="N43" s="121">
        <f t="shared" si="44"/>
        <v>0</v>
      </c>
      <c r="O43" s="55">
        <v>0</v>
      </c>
      <c r="P43" s="162">
        <f t="shared" si="45"/>
        <v>0</v>
      </c>
      <c r="Q43" s="166">
        <f t="shared" si="46"/>
        <v>0</v>
      </c>
      <c r="R43" s="151">
        <v>0</v>
      </c>
      <c r="S43" s="162">
        <f t="shared" si="47"/>
        <v>0</v>
      </c>
      <c r="T43" s="153">
        <f t="shared" si="48"/>
        <v>0</v>
      </c>
    </row>
    <row r="44" spans="2:20" x14ac:dyDescent="0.25">
      <c r="B44" s="14" t="s">
        <v>670</v>
      </c>
      <c r="C44" s="23" t="s">
        <v>409</v>
      </c>
      <c r="D44" s="321">
        <f t="shared" ref="D44" si="52">SUM(D35:D43)</f>
        <v>71914.78</v>
      </c>
      <c r="E44" s="104">
        <f t="shared" si="39"/>
        <v>7.3230722163439801E-2</v>
      </c>
      <c r="F44" s="103">
        <f t="shared" ref="F44" si="53">SUM(F35:F43)</f>
        <v>75750.98000000001</v>
      </c>
      <c r="G44" s="148">
        <f t="shared" si="40"/>
        <v>7.8956101069547924E-2</v>
      </c>
      <c r="H44" s="154">
        <f t="shared" si="41"/>
        <v>-3836.2000000000116</v>
      </c>
      <c r="I44" s="152">
        <f>SUM(I35:I43)</f>
        <v>71369.540000000008</v>
      </c>
      <c r="J44" s="148">
        <f t="shared" si="42"/>
        <v>7.4796148265932297E-2</v>
      </c>
      <c r="K44" s="154">
        <f t="shared" si="43"/>
        <v>545.23999999999069</v>
      </c>
      <c r="L44" s="74"/>
      <c r="M44" s="112">
        <f t="shared" ref="M44" si="54">SUM(M35:M43)</f>
        <v>275960.29000000004</v>
      </c>
      <c r="N44" s="104">
        <f t="shared" si="44"/>
        <v>6.4154176393322063E-2</v>
      </c>
      <c r="O44" s="103">
        <f t="shared" ref="O44" si="55">SUM(O35:O43)</f>
        <v>296083.07</v>
      </c>
      <c r="P44" s="148">
        <f t="shared" si="45"/>
        <v>6.6220030225569798E-2</v>
      </c>
      <c r="Q44" s="154">
        <f t="shared" si="46"/>
        <v>-20122.77999999997</v>
      </c>
      <c r="R44" s="152">
        <f>SUM(R35:R43)</f>
        <v>223371.65</v>
      </c>
      <c r="S44" s="148">
        <f t="shared" si="47"/>
        <v>5.0331810409048494E-2</v>
      </c>
      <c r="T44" s="154">
        <f t="shared" si="48"/>
        <v>52588.640000000043</v>
      </c>
    </row>
    <row r="45" spans="2:20" x14ac:dyDescent="0.25">
      <c r="B45" s="14" t="s">
        <v>674</v>
      </c>
      <c r="C45" s="17" t="s">
        <v>556</v>
      </c>
      <c r="D45" s="323">
        <v>0</v>
      </c>
      <c r="E45" s="122">
        <f t="shared" ref="E45:E46" si="56">IFERROR(D45/D$31,"")</f>
        <v>0</v>
      </c>
      <c r="F45" s="161">
        <v>0</v>
      </c>
      <c r="G45" s="163">
        <f t="shared" si="40"/>
        <v>0</v>
      </c>
      <c r="H45" s="167">
        <f t="shared" si="41"/>
        <v>0</v>
      </c>
      <c r="I45" s="169">
        <v>0</v>
      </c>
      <c r="J45" s="163">
        <f t="shared" si="42"/>
        <v>0</v>
      </c>
      <c r="K45" s="167">
        <f t="shared" si="43"/>
        <v>0</v>
      </c>
      <c r="L45" s="74"/>
      <c r="M45" s="117">
        <v>0</v>
      </c>
      <c r="N45" s="122">
        <f t="shared" si="44"/>
        <v>0</v>
      </c>
      <c r="O45" s="161">
        <v>0</v>
      </c>
      <c r="P45" s="163">
        <f t="shared" si="45"/>
        <v>0</v>
      </c>
      <c r="Q45" s="167">
        <f t="shared" si="46"/>
        <v>0</v>
      </c>
      <c r="R45" s="169">
        <v>0</v>
      </c>
      <c r="S45" s="163">
        <f t="shared" si="47"/>
        <v>0</v>
      </c>
      <c r="T45" s="167">
        <f t="shared" si="48"/>
        <v>0</v>
      </c>
    </row>
    <row r="46" spans="2:20" x14ac:dyDescent="0.25">
      <c r="B46" s="14" t="s">
        <v>252</v>
      </c>
      <c r="C46" s="17" t="s">
        <v>410</v>
      </c>
      <c r="D46" s="36">
        <v>47588.82</v>
      </c>
      <c r="E46" s="51">
        <f t="shared" si="56"/>
        <v>4.8459630350060831E-2</v>
      </c>
      <c r="F46" s="36">
        <v>34183.440000000002</v>
      </c>
      <c r="G46" s="115">
        <f>IFERROR(F46/F$31,"")</f>
        <v>3.5629785166407447E-2</v>
      </c>
      <c r="H46" s="137">
        <f t="shared" si="41"/>
        <v>13405.379999999997</v>
      </c>
      <c r="I46" s="36">
        <v>42248.9</v>
      </c>
      <c r="J46" s="115">
        <f>IFERROR(I46/I$31,"")</f>
        <v>4.4277362422015708E-2</v>
      </c>
      <c r="K46" s="137">
        <f t="shared" si="43"/>
        <v>5339.9199999999983</v>
      </c>
      <c r="L46" s="74"/>
      <c r="M46" s="89">
        <v>168635.6</v>
      </c>
      <c r="N46" s="51">
        <f t="shared" si="44"/>
        <v>3.9203749309705764E-2</v>
      </c>
      <c r="O46" s="36">
        <v>136701.76000000001</v>
      </c>
      <c r="P46" s="115">
        <f>IFERROR(O46/O$31,"")</f>
        <v>3.057383415771996E-2</v>
      </c>
      <c r="Q46" s="137">
        <f t="shared" si="46"/>
        <v>31933.839999999997</v>
      </c>
      <c r="R46" s="36">
        <v>247616.46</v>
      </c>
      <c r="S46" s="115">
        <f>IFERROR(R46/R$31,"")</f>
        <v>5.579483662711781E-2</v>
      </c>
      <c r="T46" s="137">
        <f t="shared" si="48"/>
        <v>-78980.859999999986</v>
      </c>
    </row>
    <row r="47" spans="2:20" x14ac:dyDescent="0.25">
      <c r="B47" s="14" t="s">
        <v>246</v>
      </c>
      <c r="C47" s="17" t="s">
        <v>411</v>
      </c>
      <c r="D47" s="324">
        <v>1701.65</v>
      </c>
      <c r="E47" s="123">
        <f t="shared" si="39"/>
        <v>1.7327878687721406E-3</v>
      </c>
      <c r="F47" s="106">
        <v>3247.37</v>
      </c>
      <c r="G47" s="164">
        <f t="shared" si="40"/>
        <v>3.3847703875278948E-3</v>
      </c>
      <c r="H47" s="153">
        <f t="shared" si="41"/>
        <v>-1545.7199999999998</v>
      </c>
      <c r="I47" s="157">
        <v>2262.7800000000002</v>
      </c>
      <c r="J47" s="164">
        <f t="shared" si="42"/>
        <v>2.3714210344242975E-3</v>
      </c>
      <c r="K47" s="153">
        <f t="shared" si="43"/>
        <v>-561.13000000000011</v>
      </c>
      <c r="L47" s="74"/>
      <c r="M47" s="118">
        <v>7337.28</v>
      </c>
      <c r="N47" s="123">
        <f t="shared" si="44"/>
        <v>1.7057423565078659E-3</v>
      </c>
      <c r="O47" s="106">
        <v>12825.05</v>
      </c>
      <c r="P47" s="164">
        <f t="shared" ref="P47:P53" si="57">IFERROR(O47/O$31,"")</f>
        <v>2.8683679841756704E-3</v>
      </c>
      <c r="Q47" s="153">
        <f t="shared" si="46"/>
        <v>-5487.7699999999995</v>
      </c>
      <c r="R47" s="157">
        <v>5933.31</v>
      </c>
      <c r="S47" s="164">
        <f t="shared" ref="S47:S53" si="58">IFERROR(R47/R$31,"")</f>
        <v>1.3369388372164129E-3</v>
      </c>
      <c r="T47" s="153">
        <f t="shared" si="48"/>
        <v>1403.9699999999993</v>
      </c>
    </row>
    <row r="48" spans="2:20" x14ac:dyDescent="0.25">
      <c r="B48" s="14" t="s">
        <v>672</v>
      </c>
      <c r="C48" s="23" t="s">
        <v>412</v>
      </c>
      <c r="D48" s="321">
        <f t="shared" ref="D48" si="59">+SUM(D44:D47)</f>
        <v>121205.25</v>
      </c>
      <c r="E48" s="104">
        <f t="shared" si="39"/>
        <v>0.12342314038227277</v>
      </c>
      <c r="F48" s="103">
        <f>+SUM(F44:F47)</f>
        <v>113181.79000000001</v>
      </c>
      <c r="G48" s="148">
        <f t="shared" si="40"/>
        <v>0.11797065662348326</v>
      </c>
      <c r="H48" s="154">
        <f t="shared" si="41"/>
        <v>8023.4599999999919</v>
      </c>
      <c r="I48" s="152">
        <f>+SUM(I44:I47)</f>
        <v>115881.22</v>
      </c>
      <c r="J48" s="148">
        <f t="shared" si="42"/>
        <v>0.12144493172237229</v>
      </c>
      <c r="K48" s="154">
        <f t="shared" si="43"/>
        <v>5324.0299999999988</v>
      </c>
      <c r="L48" s="74"/>
      <c r="M48" s="112">
        <f t="shared" ref="M48" si="60">+SUM(M44:M47)</f>
        <v>451933.17000000004</v>
      </c>
      <c r="N48" s="104">
        <f t="shared" si="44"/>
        <v>0.10506366805953569</v>
      </c>
      <c r="O48" s="103">
        <f>+SUM(O44:O47)</f>
        <v>445609.88</v>
      </c>
      <c r="P48" s="148">
        <f t="shared" si="57"/>
        <v>9.9662232367465436E-2</v>
      </c>
      <c r="Q48" s="154">
        <f t="shared" si="46"/>
        <v>6323.2900000000373</v>
      </c>
      <c r="R48" s="152">
        <f>+SUM(R44:R47)</f>
        <v>476921.42</v>
      </c>
      <c r="S48" s="148">
        <f t="shared" si="58"/>
        <v>0.10746358587338271</v>
      </c>
      <c r="T48" s="154">
        <f t="shared" si="48"/>
        <v>-24988.249999999942</v>
      </c>
    </row>
    <row r="49" spans="2:24" x14ac:dyDescent="0.25">
      <c r="B49" s="14" t="s">
        <v>292</v>
      </c>
      <c r="C49" s="17" t="s">
        <v>413</v>
      </c>
      <c r="D49" s="320">
        <v>5371.64</v>
      </c>
      <c r="E49" s="124">
        <f t="shared" si="39"/>
        <v>5.4699336687398592E-3</v>
      </c>
      <c r="F49" s="106">
        <v>6890.19</v>
      </c>
      <c r="G49" s="165">
        <f t="shared" si="40"/>
        <v>7.1817227714861022E-3</v>
      </c>
      <c r="H49" s="153">
        <f t="shared" si="41"/>
        <v>-1518.5499999999993</v>
      </c>
      <c r="I49" s="157">
        <v>5896.52</v>
      </c>
      <c r="J49" s="165">
        <f t="shared" si="42"/>
        <v>6.1796248675980688E-3</v>
      </c>
      <c r="K49" s="153">
        <f t="shared" si="43"/>
        <v>-524.88000000000011</v>
      </c>
      <c r="L49" s="74"/>
      <c r="M49" s="111">
        <v>21828.82</v>
      </c>
      <c r="N49" s="124">
        <f t="shared" si="44"/>
        <v>5.0746792907706987E-3</v>
      </c>
      <c r="O49" s="106">
        <v>29012.55</v>
      </c>
      <c r="P49" s="165">
        <f t="shared" si="57"/>
        <v>6.4887598535129185E-3</v>
      </c>
      <c r="Q49" s="153">
        <f t="shared" si="46"/>
        <v>-7183.73</v>
      </c>
      <c r="R49" s="157">
        <v>18732.77</v>
      </c>
      <c r="S49" s="165">
        <f t="shared" si="58"/>
        <v>4.2210111626802748E-3</v>
      </c>
      <c r="T49" s="153">
        <f t="shared" si="48"/>
        <v>3096.0499999999993</v>
      </c>
    </row>
    <row r="50" spans="2:24" x14ac:dyDescent="0.25">
      <c r="B50" s="14" t="s">
        <v>304</v>
      </c>
      <c r="C50" s="17" t="s">
        <v>359</v>
      </c>
      <c r="D50" s="50">
        <v>4408.3100000000004</v>
      </c>
      <c r="E50" s="115">
        <f t="shared" si="39"/>
        <v>4.4889760466529042E-3</v>
      </c>
      <c r="F50" s="36">
        <v>4519.16</v>
      </c>
      <c r="G50" s="160">
        <f t="shared" si="40"/>
        <v>4.7103714527450095E-3</v>
      </c>
      <c r="H50" s="144">
        <f t="shared" si="41"/>
        <v>-110.84999999999945</v>
      </c>
      <c r="I50" s="89">
        <v>3428.29</v>
      </c>
      <c r="J50" s="160">
        <f t="shared" si="42"/>
        <v>3.5928897277271647E-3</v>
      </c>
      <c r="K50" s="144">
        <f t="shared" si="43"/>
        <v>980.02000000000044</v>
      </c>
      <c r="L50" s="74"/>
      <c r="M50" s="110">
        <v>30509.77</v>
      </c>
      <c r="N50" s="115">
        <f t="shared" si="44"/>
        <v>7.092792830083218E-3</v>
      </c>
      <c r="O50" s="36">
        <v>24115.26</v>
      </c>
      <c r="P50" s="160">
        <f t="shared" si="57"/>
        <v>5.3934635509469498E-3</v>
      </c>
      <c r="Q50" s="144">
        <f t="shared" si="46"/>
        <v>6394.510000000002</v>
      </c>
      <c r="R50" s="89">
        <v>16727.75</v>
      </c>
      <c r="S50" s="160">
        <f t="shared" si="58"/>
        <v>3.7692247049702188E-3</v>
      </c>
      <c r="T50" s="144">
        <f t="shared" si="48"/>
        <v>13782.02</v>
      </c>
    </row>
    <row r="51" spans="2:24" x14ac:dyDescent="0.25">
      <c r="B51" s="14" t="s">
        <v>264</v>
      </c>
      <c r="C51" s="17" t="s">
        <v>360</v>
      </c>
      <c r="D51" s="324">
        <v>7939.84</v>
      </c>
      <c r="E51" s="123">
        <f t="shared" si="39"/>
        <v>8.0851282179013259E-3</v>
      </c>
      <c r="F51" s="106">
        <v>10269.42</v>
      </c>
      <c r="G51" s="164">
        <f t="shared" si="40"/>
        <v>1.0703932324646318E-2</v>
      </c>
      <c r="H51" s="153">
        <f t="shared" si="41"/>
        <v>-2329.58</v>
      </c>
      <c r="I51" s="157">
        <v>8947.57</v>
      </c>
      <c r="J51" s="164">
        <f t="shared" si="42"/>
        <v>9.3771624749130755E-3</v>
      </c>
      <c r="K51" s="153">
        <f t="shared" si="43"/>
        <v>-1007.7299999999996</v>
      </c>
      <c r="L51" s="74"/>
      <c r="M51" s="118">
        <v>31621.14</v>
      </c>
      <c r="N51" s="123">
        <f t="shared" si="44"/>
        <v>7.351159811137797E-3</v>
      </c>
      <c r="O51" s="106">
        <v>40660.379999999997</v>
      </c>
      <c r="P51" s="164">
        <f t="shared" si="57"/>
        <v>9.0938384034695181E-3</v>
      </c>
      <c r="Q51" s="153">
        <f t="shared" si="46"/>
        <v>-9039.239999999998</v>
      </c>
      <c r="R51" s="157">
        <v>36313.449999999997</v>
      </c>
      <c r="S51" s="164">
        <f t="shared" si="58"/>
        <v>8.1824245856556184E-3</v>
      </c>
      <c r="T51" s="153">
        <f t="shared" si="48"/>
        <v>-4692.3099999999977</v>
      </c>
    </row>
    <row r="52" spans="2:24" s="11" customFormat="1" x14ac:dyDescent="0.25">
      <c r="B52" s="14" t="s">
        <v>286</v>
      </c>
      <c r="C52" s="23" t="s">
        <v>414</v>
      </c>
      <c r="D52" s="325">
        <f t="shared" ref="D52" si="61">SUM(D49:D51)</f>
        <v>17719.79</v>
      </c>
      <c r="E52" s="125">
        <f t="shared" si="39"/>
        <v>1.804403793329409E-2</v>
      </c>
      <c r="F52" s="142">
        <f t="shared" ref="F52" si="62">SUM(F49:F51)</f>
        <v>21678.769999999997</v>
      </c>
      <c r="G52" s="135">
        <f t="shared" si="40"/>
        <v>2.2596026548877428E-2</v>
      </c>
      <c r="H52" s="168">
        <f t="shared" si="41"/>
        <v>-3958.9799999999959</v>
      </c>
      <c r="I52" s="133">
        <f t="shared" ref="I52" si="63">SUM(I49:I51)</f>
        <v>18272.38</v>
      </c>
      <c r="J52" s="135">
        <f t="shared" si="42"/>
        <v>1.9149677070238312E-2</v>
      </c>
      <c r="K52" s="168">
        <f t="shared" si="43"/>
        <v>-552.59000000000015</v>
      </c>
      <c r="L52" s="298"/>
      <c r="M52" s="119">
        <f t="shared" ref="M52" si="64">SUM(M49:M51)</f>
        <v>83959.73</v>
      </c>
      <c r="N52" s="125">
        <f t="shared" si="44"/>
        <v>1.9518631931991715E-2</v>
      </c>
      <c r="O52" s="142">
        <f t="shared" ref="O52" si="65">SUM(O49:O51)</f>
        <v>93788.19</v>
      </c>
      <c r="P52" s="135">
        <f t="shared" si="57"/>
        <v>2.0976061807929387E-2</v>
      </c>
      <c r="Q52" s="168">
        <f t="shared" si="46"/>
        <v>-9828.4600000000064</v>
      </c>
      <c r="R52" s="133">
        <f t="shared" ref="R52" si="66">SUM(R49:R51)</f>
        <v>71773.97</v>
      </c>
      <c r="S52" s="135">
        <f t="shared" si="58"/>
        <v>1.6172660453306113E-2</v>
      </c>
      <c r="T52" s="168">
        <f t="shared" si="48"/>
        <v>12185.759999999995</v>
      </c>
      <c r="V52" s="338"/>
      <c r="W52" s="338"/>
      <c r="X52" s="338"/>
    </row>
    <row r="53" spans="2:24" x14ac:dyDescent="0.25">
      <c r="B53" s="14" t="s">
        <v>665</v>
      </c>
      <c r="C53" s="23" t="s">
        <v>415</v>
      </c>
      <c r="D53" s="326">
        <f t="shared" ref="D53" si="67">+D52+D48</f>
        <v>138925.04</v>
      </c>
      <c r="E53" s="126">
        <f t="shared" si="39"/>
        <v>0.14146717831556688</v>
      </c>
      <c r="F53" s="91">
        <f t="shared" ref="F53" si="68">+F52+F48</f>
        <v>134860.56</v>
      </c>
      <c r="G53" s="83">
        <f t="shared" si="40"/>
        <v>0.14056668317236068</v>
      </c>
      <c r="H53" s="140">
        <f t="shared" si="41"/>
        <v>4064.4800000000105</v>
      </c>
      <c r="I53" s="86">
        <f t="shared" ref="I53" si="69">+I52+I48</f>
        <v>134153.60000000001</v>
      </c>
      <c r="J53" s="83">
        <f t="shared" si="42"/>
        <v>0.1405946087926106</v>
      </c>
      <c r="K53" s="140">
        <f t="shared" si="43"/>
        <v>4771.4400000000023</v>
      </c>
      <c r="L53" s="74"/>
      <c r="M53" s="120">
        <f t="shared" ref="M53" si="70">+M52+M48</f>
        <v>535892.9</v>
      </c>
      <c r="N53" s="126">
        <f t="shared" si="44"/>
        <v>0.12458229999152741</v>
      </c>
      <c r="O53" s="91">
        <f t="shared" ref="O53" si="71">+O52+O48</f>
        <v>539398.07000000007</v>
      </c>
      <c r="P53" s="83">
        <f t="shared" si="57"/>
        <v>0.12063829417539483</v>
      </c>
      <c r="Q53" s="140">
        <f t="shared" si="46"/>
        <v>-3505.1700000000419</v>
      </c>
      <c r="R53" s="86">
        <f t="shared" ref="R53" si="72">+R52+R48</f>
        <v>548695.39</v>
      </c>
      <c r="S53" s="83">
        <f t="shared" si="58"/>
        <v>0.12363624632668883</v>
      </c>
      <c r="T53" s="140">
        <f t="shared" si="48"/>
        <v>-12802.489999999991</v>
      </c>
    </row>
    <row r="54" spans="2:24" x14ac:dyDescent="0.25">
      <c r="B54" s="14"/>
      <c r="C54" s="16"/>
      <c r="D54" s="48"/>
      <c r="E54" s="307"/>
      <c r="F54" s="48"/>
      <c r="G54" s="32"/>
      <c r="H54" s="16"/>
      <c r="I54" s="16"/>
      <c r="J54" s="32"/>
      <c r="K54" s="49"/>
      <c r="L54" s="74"/>
      <c r="M54" s="16"/>
      <c r="N54" s="32"/>
      <c r="O54" s="48"/>
      <c r="P54" s="32"/>
      <c r="Q54" s="16"/>
      <c r="R54" s="16"/>
      <c r="S54" s="32"/>
      <c r="T54" s="49"/>
    </row>
    <row r="55" spans="2:24" x14ac:dyDescent="0.25">
      <c r="B55" s="14"/>
      <c r="C55" s="15" t="s">
        <v>50</v>
      </c>
      <c r="D55" s="48"/>
      <c r="E55" s="307"/>
      <c r="F55" s="48"/>
      <c r="G55" s="32"/>
      <c r="H55" s="16"/>
      <c r="I55" s="16"/>
      <c r="J55" s="32"/>
      <c r="K55" s="49"/>
      <c r="L55" s="74"/>
      <c r="M55" s="16"/>
      <c r="N55" s="32"/>
      <c r="O55" s="48"/>
      <c r="P55" s="32"/>
      <c r="Q55" s="16"/>
      <c r="R55" s="16"/>
      <c r="S55" s="32"/>
      <c r="T55" s="49"/>
    </row>
    <row r="56" spans="2:24" x14ac:dyDescent="0.25">
      <c r="B56" s="14" t="s">
        <v>108</v>
      </c>
      <c r="C56" s="17" t="s">
        <v>430</v>
      </c>
      <c r="D56" s="36">
        <v>0</v>
      </c>
      <c r="E56" s="51">
        <f t="shared" ref="E56:E84" si="73">IFERROR(D56/D$31,"")</f>
        <v>0</v>
      </c>
      <c r="F56" s="36">
        <v>0</v>
      </c>
      <c r="G56" s="51">
        <f t="shared" ref="G56:G84" si="74">IFERROR(F56/F$31,"")</f>
        <v>0</v>
      </c>
      <c r="H56" s="137">
        <f t="shared" ref="H56:H84" si="75">+D56-F56</f>
        <v>0</v>
      </c>
      <c r="I56" s="36">
        <v>0</v>
      </c>
      <c r="J56" s="51">
        <f t="shared" ref="J56:J84" si="76">IFERROR(I56/I$31,"")</f>
        <v>0</v>
      </c>
      <c r="K56" s="137">
        <f t="shared" ref="K56:K84" si="77">+D56-I56</f>
        <v>0</v>
      </c>
      <c r="L56" s="74"/>
      <c r="M56" s="89">
        <v>0</v>
      </c>
      <c r="N56" s="51">
        <f t="shared" ref="N56:N84" si="78">IFERROR(M56/M$31,"")</f>
        <v>0</v>
      </c>
      <c r="O56" s="36">
        <v>0</v>
      </c>
      <c r="P56" s="51">
        <f t="shared" ref="P56:P84" si="79">IFERROR(O56/O$31,"")</f>
        <v>0</v>
      </c>
      <c r="Q56" s="137">
        <f t="shared" ref="Q56:Q84" si="80">+M56-O56</f>
        <v>0</v>
      </c>
      <c r="R56" s="36">
        <v>0</v>
      </c>
      <c r="S56" s="51">
        <f t="shared" ref="S56:S84" si="81">IFERROR(R56/R$31,"")</f>
        <v>0</v>
      </c>
      <c r="T56" s="137">
        <f t="shared" ref="T56:T84" si="82">+M56-R56</f>
        <v>0</v>
      </c>
    </row>
    <row r="57" spans="2:24" x14ac:dyDescent="0.25">
      <c r="B57" s="14" t="s">
        <v>161</v>
      </c>
      <c r="C57" s="17" t="s">
        <v>370</v>
      </c>
      <c r="D57" s="36">
        <v>0</v>
      </c>
      <c r="E57" s="51">
        <f t="shared" si="73"/>
        <v>0</v>
      </c>
      <c r="F57" s="36">
        <v>0</v>
      </c>
      <c r="G57" s="51">
        <f t="shared" si="74"/>
        <v>0</v>
      </c>
      <c r="H57" s="137">
        <f t="shared" si="75"/>
        <v>0</v>
      </c>
      <c r="I57" s="36">
        <v>0</v>
      </c>
      <c r="J57" s="51">
        <f t="shared" si="76"/>
        <v>0</v>
      </c>
      <c r="K57" s="137">
        <f t="shared" si="77"/>
        <v>0</v>
      </c>
      <c r="L57" s="74"/>
      <c r="M57" s="89">
        <v>0</v>
      </c>
      <c r="N57" s="51">
        <f t="shared" si="78"/>
        <v>0</v>
      </c>
      <c r="O57" s="36">
        <v>0</v>
      </c>
      <c r="P57" s="51">
        <f t="shared" si="79"/>
        <v>0</v>
      </c>
      <c r="Q57" s="137">
        <f t="shared" si="80"/>
        <v>0</v>
      </c>
      <c r="R57" s="36">
        <v>0</v>
      </c>
      <c r="S57" s="51">
        <f t="shared" si="81"/>
        <v>0</v>
      </c>
      <c r="T57" s="137">
        <f t="shared" si="82"/>
        <v>0</v>
      </c>
    </row>
    <row r="58" spans="2:24" x14ac:dyDescent="0.25">
      <c r="B58" s="14" t="s">
        <v>215</v>
      </c>
      <c r="C58" s="17" t="s">
        <v>416</v>
      </c>
      <c r="D58" s="36">
        <v>0</v>
      </c>
      <c r="E58" s="51">
        <f t="shared" si="73"/>
        <v>0</v>
      </c>
      <c r="F58" s="36">
        <v>0</v>
      </c>
      <c r="G58" s="51">
        <f t="shared" si="74"/>
        <v>0</v>
      </c>
      <c r="H58" s="137">
        <f t="shared" si="75"/>
        <v>0</v>
      </c>
      <c r="I58" s="36">
        <v>0</v>
      </c>
      <c r="J58" s="51">
        <f t="shared" si="76"/>
        <v>0</v>
      </c>
      <c r="K58" s="137">
        <f t="shared" si="77"/>
        <v>0</v>
      </c>
      <c r="L58" s="74"/>
      <c r="M58" s="89">
        <v>0</v>
      </c>
      <c r="N58" s="51">
        <f t="shared" si="78"/>
        <v>0</v>
      </c>
      <c r="O58" s="36">
        <v>0</v>
      </c>
      <c r="P58" s="51">
        <f t="shared" si="79"/>
        <v>0</v>
      </c>
      <c r="Q58" s="137">
        <f t="shared" si="80"/>
        <v>0</v>
      </c>
      <c r="R58" s="36">
        <v>0</v>
      </c>
      <c r="S58" s="51">
        <f t="shared" si="81"/>
        <v>0</v>
      </c>
      <c r="T58" s="137">
        <f t="shared" si="82"/>
        <v>0</v>
      </c>
    </row>
    <row r="59" spans="2:24" x14ac:dyDescent="0.25">
      <c r="B59" s="14" t="s">
        <v>216</v>
      </c>
      <c r="C59" s="17" t="s">
        <v>417</v>
      </c>
      <c r="D59" s="36">
        <v>412.75</v>
      </c>
      <c r="E59" s="51">
        <f t="shared" si="73"/>
        <v>4.203027607532107E-4</v>
      </c>
      <c r="F59" s="36">
        <v>583.20000000000005</v>
      </c>
      <c r="G59" s="51">
        <f t="shared" si="74"/>
        <v>6.0787593960844261E-4</v>
      </c>
      <c r="H59" s="137">
        <f t="shared" si="75"/>
        <v>-170.45000000000005</v>
      </c>
      <c r="I59" s="36">
        <v>297.08</v>
      </c>
      <c r="J59" s="51">
        <f t="shared" si="76"/>
        <v>3.113434628672563E-4</v>
      </c>
      <c r="K59" s="137">
        <f t="shared" si="77"/>
        <v>115.67000000000002</v>
      </c>
      <c r="L59" s="74"/>
      <c r="M59" s="89">
        <v>1726.8</v>
      </c>
      <c r="N59" s="51">
        <f t="shared" si="78"/>
        <v>4.0143975713313144E-4</v>
      </c>
      <c r="O59" s="36">
        <v>2330.08</v>
      </c>
      <c r="P59" s="51">
        <f t="shared" si="79"/>
        <v>5.211306679169318E-4</v>
      </c>
      <c r="Q59" s="137">
        <f t="shared" si="80"/>
        <v>-603.28</v>
      </c>
      <c r="R59" s="36">
        <v>1842.08</v>
      </c>
      <c r="S59" s="51">
        <f t="shared" si="81"/>
        <v>4.1507156937015084E-4</v>
      </c>
      <c r="T59" s="137">
        <f t="shared" si="82"/>
        <v>-115.27999999999997</v>
      </c>
    </row>
    <row r="60" spans="2:24" x14ac:dyDescent="0.25">
      <c r="B60" s="14" t="s">
        <v>190</v>
      </c>
      <c r="C60" s="17" t="s">
        <v>372</v>
      </c>
      <c r="D60" s="36">
        <v>4683.4399999999996</v>
      </c>
      <c r="E60" s="51">
        <f t="shared" si="73"/>
        <v>4.7691405495385022E-3</v>
      </c>
      <c r="F60" s="36">
        <v>3936.6</v>
      </c>
      <c r="G60" s="51">
        <f t="shared" si="74"/>
        <v>4.1031625923569877E-3</v>
      </c>
      <c r="H60" s="137">
        <f t="shared" si="75"/>
        <v>746.83999999999969</v>
      </c>
      <c r="I60" s="36">
        <v>5256.29</v>
      </c>
      <c r="J60" s="51">
        <f t="shared" si="76"/>
        <v>5.5086560200435257E-3</v>
      </c>
      <c r="K60" s="137">
        <f t="shared" si="77"/>
        <v>-572.85000000000036</v>
      </c>
      <c r="L60" s="74"/>
      <c r="M60" s="89">
        <v>15231.05</v>
      </c>
      <c r="N60" s="51">
        <f t="shared" si="78"/>
        <v>3.5408553468164127E-3</v>
      </c>
      <c r="O60" s="36">
        <v>15728.04</v>
      </c>
      <c r="P60" s="51">
        <f t="shared" si="79"/>
        <v>3.5176320084392902E-3</v>
      </c>
      <c r="Q60" s="137">
        <f t="shared" si="80"/>
        <v>-496.9900000000016</v>
      </c>
      <c r="R60" s="36">
        <v>16704.27</v>
      </c>
      <c r="S60" s="51">
        <f t="shared" si="81"/>
        <v>3.7639340115970693E-3</v>
      </c>
      <c r="T60" s="137">
        <f t="shared" si="82"/>
        <v>-1473.2200000000012</v>
      </c>
    </row>
    <row r="61" spans="2:24" x14ac:dyDescent="0.25">
      <c r="B61" s="14" t="s">
        <v>68</v>
      </c>
      <c r="C61" s="17" t="s">
        <v>361</v>
      </c>
      <c r="D61" s="36">
        <v>1166.9100000000001</v>
      </c>
      <c r="E61" s="51">
        <f t="shared" si="73"/>
        <v>1.1882628577844436E-3</v>
      </c>
      <c r="F61" s="36">
        <v>1640.25</v>
      </c>
      <c r="G61" s="51">
        <f t="shared" si="74"/>
        <v>1.7096510801487448E-3</v>
      </c>
      <c r="H61" s="137">
        <f t="shared" si="75"/>
        <v>-473.33999999999992</v>
      </c>
      <c r="I61" s="36">
        <v>1881.25</v>
      </c>
      <c r="J61" s="51">
        <f t="shared" si="76"/>
        <v>1.971572941695927E-3</v>
      </c>
      <c r="K61" s="137">
        <f t="shared" si="77"/>
        <v>-714.33999999999992</v>
      </c>
      <c r="L61" s="74"/>
      <c r="M61" s="89">
        <v>5620.51</v>
      </c>
      <c r="N61" s="51">
        <f t="shared" si="78"/>
        <v>1.3066343348183559E-3</v>
      </c>
      <c r="O61" s="36">
        <v>6553.35</v>
      </c>
      <c r="P61" s="51">
        <f t="shared" si="79"/>
        <v>1.4656800035163708E-3</v>
      </c>
      <c r="Q61" s="137">
        <f t="shared" si="80"/>
        <v>-932.84000000000015</v>
      </c>
      <c r="R61" s="36">
        <v>6576.28</v>
      </c>
      <c r="S61" s="51">
        <f t="shared" si="81"/>
        <v>1.4818177604759486E-3</v>
      </c>
      <c r="T61" s="137">
        <f t="shared" si="82"/>
        <v>-955.76999999999953</v>
      </c>
    </row>
    <row r="62" spans="2:24" x14ac:dyDescent="0.25">
      <c r="B62" s="14" t="s">
        <v>146</v>
      </c>
      <c r="C62" s="17" t="s">
        <v>368</v>
      </c>
      <c r="D62" s="36">
        <v>3721.3</v>
      </c>
      <c r="E62" s="51">
        <f t="shared" si="73"/>
        <v>3.7893947028247678E-3</v>
      </c>
      <c r="F62" s="36">
        <v>3499.2</v>
      </c>
      <c r="G62" s="51">
        <f t="shared" si="74"/>
        <v>3.6472556376506557E-3</v>
      </c>
      <c r="H62" s="137">
        <f t="shared" si="75"/>
        <v>222.10000000000036</v>
      </c>
      <c r="I62" s="36">
        <v>4136.93</v>
      </c>
      <c r="J62" s="51">
        <f t="shared" si="76"/>
        <v>4.3355530895362827E-3</v>
      </c>
      <c r="K62" s="137">
        <f t="shared" si="77"/>
        <v>-415.63000000000011</v>
      </c>
      <c r="L62" s="74"/>
      <c r="M62" s="89">
        <v>13428.3</v>
      </c>
      <c r="N62" s="51">
        <f t="shared" si="78"/>
        <v>3.1217590286720114E-3</v>
      </c>
      <c r="O62" s="36">
        <v>13980.48</v>
      </c>
      <c r="P62" s="51">
        <f t="shared" si="79"/>
        <v>3.126784007501591E-3</v>
      </c>
      <c r="Q62" s="137">
        <f t="shared" si="80"/>
        <v>-552.18000000000029</v>
      </c>
      <c r="R62" s="36">
        <v>13503.74</v>
      </c>
      <c r="S62" s="51">
        <f t="shared" si="81"/>
        <v>3.0427660873395728E-3</v>
      </c>
      <c r="T62" s="137">
        <f t="shared" si="82"/>
        <v>-75.440000000000509</v>
      </c>
    </row>
    <row r="63" spans="2:24" x14ac:dyDescent="0.25">
      <c r="B63" s="14" t="s">
        <v>102</v>
      </c>
      <c r="C63" s="17" t="s">
        <v>365</v>
      </c>
      <c r="D63" s="36">
        <v>0</v>
      </c>
      <c r="E63" s="51">
        <f t="shared" si="73"/>
        <v>0</v>
      </c>
      <c r="F63" s="36">
        <v>0</v>
      </c>
      <c r="G63" s="51">
        <f t="shared" si="74"/>
        <v>0</v>
      </c>
      <c r="H63" s="137">
        <f t="shared" si="75"/>
        <v>0</v>
      </c>
      <c r="I63" s="36">
        <v>0</v>
      </c>
      <c r="J63" s="51">
        <f t="shared" si="76"/>
        <v>0</v>
      </c>
      <c r="K63" s="137">
        <f t="shared" si="77"/>
        <v>0</v>
      </c>
      <c r="L63" s="74"/>
      <c r="M63" s="89">
        <v>0</v>
      </c>
      <c r="N63" s="51">
        <f t="shared" si="78"/>
        <v>0</v>
      </c>
      <c r="O63" s="36">
        <v>0</v>
      </c>
      <c r="P63" s="51">
        <f t="shared" si="79"/>
        <v>0</v>
      </c>
      <c r="Q63" s="137">
        <f t="shared" si="80"/>
        <v>0</v>
      </c>
      <c r="R63" s="36">
        <v>-3600</v>
      </c>
      <c r="S63" s="51">
        <f t="shared" si="81"/>
        <v>-8.111795631745326E-4</v>
      </c>
      <c r="T63" s="137">
        <f t="shared" si="82"/>
        <v>3600</v>
      </c>
    </row>
    <row r="64" spans="2:24" x14ac:dyDescent="0.25">
      <c r="B64" s="14" t="s">
        <v>117</v>
      </c>
      <c r="C64" s="17" t="s">
        <v>431</v>
      </c>
      <c r="D64" s="36">
        <v>0</v>
      </c>
      <c r="E64" s="51">
        <f t="shared" si="73"/>
        <v>0</v>
      </c>
      <c r="F64" s="36">
        <v>0</v>
      </c>
      <c r="G64" s="51">
        <f t="shared" si="74"/>
        <v>0</v>
      </c>
      <c r="H64" s="137">
        <f t="shared" si="75"/>
        <v>0</v>
      </c>
      <c r="I64" s="36">
        <v>0</v>
      </c>
      <c r="J64" s="51">
        <f t="shared" si="76"/>
        <v>0</v>
      </c>
      <c r="K64" s="137">
        <f t="shared" si="77"/>
        <v>0</v>
      </c>
      <c r="L64" s="74"/>
      <c r="M64" s="89">
        <v>0</v>
      </c>
      <c r="N64" s="51">
        <f t="shared" si="78"/>
        <v>0</v>
      </c>
      <c r="O64" s="36">
        <v>0</v>
      </c>
      <c r="P64" s="51">
        <f t="shared" si="79"/>
        <v>0</v>
      </c>
      <c r="Q64" s="137">
        <f t="shared" si="80"/>
        <v>0</v>
      </c>
      <c r="R64" s="36">
        <v>0</v>
      </c>
      <c r="S64" s="51">
        <f t="shared" si="81"/>
        <v>0</v>
      </c>
      <c r="T64" s="137">
        <f t="shared" si="82"/>
        <v>0</v>
      </c>
    </row>
    <row r="65" spans="2:20" x14ac:dyDescent="0.25">
      <c r="B65" s="14" t="s">
        <v>121</v>
      </c>
      <c r="C65" s="17" t="s">
        <v>366</v>
      </c>
      <c r="D65" s="36">
        <v>0</v>
      </c>
      <c r="E65" s="51">
        <f t="shared" si="73"/>
        <v>0</v>
      </c>
      <c r="F65" s="36">
        <v>0</v>
      </c>
      <c r="G65" s="51">
        <f t="shared" si="74"/>
        <v>0</v>
      </c>
      <c r="H65" s="137">
        <f t="shared" si="75"/>
        <v>0</v>
      </c>
      <c r="I65" s="36">
        <v>0</v>
      </c>
      <c r="J65" s="51">
        <f t="shared" si="76"/>
        <v>0</v>
      </c>
      <c r="K65" s="137">
        <f t="shared" si="77"/>
        <v>0</v>
      </c>
      <c r="L65" s="74"/>
      <c r="M65" s="89">
        <v>0</v>
      </c>
      <c r="N65" s="51">
        <f t="shared" si="78"/>
        <v>0</v>
      </c>
      <c r="O65" s="36">
        <v>0</v>
      </c>
      <c r="P65" s="51">
        <f t="shared" si="79"/>
        <v>0</v>
      </c>
      <c r="Q65" s="137">
        <f t="shared" si="80"/>
        <v>0</v>
      </c>
      <c r="R65" s="36">
        <v>0</v>
      </c>
      <c r="S65" s="51">
        <f t="shared" si="81"/>
        <v>0</v>
      </c>
      <c r="T65" s="137">
        <f t="shared" si="82"/>
        <v>0</v>
      </c>
    </row>
    <row r="66" spans="2:20" x14ac:dyDescent="0.25">
      <c r="B66" s="14" t="s">
        <v>158</v>
      </c>
      <c r="C66" s="17" t="s">
        <v>60</v>
      </c>
      <c r="D66" s="36">
        <v>23555.599999999999</v>
      </c>
      <c r="E66" s="51">
        <f t="shared" si="73"/>
        <v>2.3986635278493831E-2</v>
      </c>
      <c r="F66" s="36">
        <v>22927.05</v>
      </c>
      <c r="G66" s="51">
        <f t="shared" si="74"/>
        <v>2.3897122875856901E-2</v>
      </c>
      <c r="H66" s="137">
        <f t="shared" si="75"/>
        <v>628.54999999999927</v>
      </c>
      <c r="I66" s="36">
        <v>24484.799999999999</v>
      </c>
      <c r="J66" s="51">
        <f t="shared" si="76"/>
        <v>2.5660368990212054E-2</v>
      </c>
      <c r="K66" s="137">
        <f t="shared" si="77"/>
        <v>-929.20000000000073</v>
      </c>
      <c r="L66" s="74"/>
      <c r="M66" s="89">
        <v>82537.05</v>
      </c>
      <c r="N66" s="51">
        <f t="shared" si="78"/>
        <v>1.9187892811260789E-2</v>
      </c>
      <c r="O66" s="36">
        <v>91601.27</v>
      </c>
      <c r="P66" s="51">
        <f t="shared" si="79"/>
        <v>2.0486949382484385E-2</v>
      </c>
      <c r="Q66" s="137">
        <f t="shared" si="80"/>
        <v>-9064.2200000000012</v>
      </c>
      <c r="R66" s="36">
        <v>92465.62</v>
      </c>
      <c r="S66" s="51">
        <f t="shared" si="81"/>
        <v>2.0835061455628422E-2</v>
      </c>
      <c r="T66" s="137">
        <f t="shared" si="82"/>
        <v>-9928.5699999999924</v>
      </c>
    </row>
    <row r="67" spans="2:20" x14ac:dyDescent="0.25">
      <c r="B67" s="14" t="s">
        <v>82</v>
      </c>
      <c r="C67" s="17" t="s">
        <v>364</v>
      </c>
      <c r="D67" s="36">
        <v>2503</v>
      </c>
      <c r="E67" s="51">
        <f t="shared" si="73"/>
        <v>2.548801478292638E-3</v>
      </c>
      <c r="F67" s="36">
        <v>2388</v>
      </c>
      <c r="G67" s="51">
        <f t="shared" si="74"/>
        <v>2.4890393411950633E-3</v>
      </c>
      <c r="H67" s="137">
        <f t="shared" si="75"/>
        <v>115</v>
      </c>
      <c r="I67" s="36">
        <v>2160</v>
      </c>
      <c r="J67" s="51">
        <f t="shared" si="76"/>
        <v>2.2637063410302733E-3</v>
      </c>
      <c r="K67" s="137">
        <f t="shared" si="77"/>
        <v>343</v>
      </c>
      <c r="L67" s="74"/>
      <c r="M67" s="89">
        <v>13041.25</v>
      </c>
      <c r="N67" s="51">
        <f t="shared" si="78"/>
        <v>3.0317791479687575E-3</v>
      </c>
      <c r="O67" s="36">
        <v>15252</v>
      </c>
      <c r="P67" s="51">
        <f t="shared" si="79"/>
        <v>3.4111639716529235E-3</v>
      </c>
      <c r="Q67" s="137">
        <f t="shared" si="80"/>
        <v>-2210.75</v>
      </c>
      <c r="R67" s="36">
        <v>11005.49</v>
      </c>
      <c r="S67" s="51">
        <f t="shared" si="81"/>
        <v>2.4798412696449127E-3</v>
      </c>
      <c r="T67" s="137">
        <f t="shared" si="82"/>
        <v>2035.7600000000002</v>
      </c>
    </row>
    <row r="68" spans="2:20" x14ac:dyDescent="0.25">
      <c r="B68" s="28" t="s">
        <v>327</v>
      </c>
      <c r="C68" s="17" t="s">
        <v>376</v>
      </c>
      <c r="D68" s="36">
        <v>0</v>
      </c>
      <c r="E68" s="51">
        <f t="shared" si="73"/>
        <v>0</v>
      </c>
      <c r="F68" s="36">
        <v>0</v>
      </c>
      <c r="G68" s="51">
        <f t="shared" si="74"/>
        <v>0</v>
      </c>
      <c r="H68" s="137">
        <f t="shared" si="75"/>
        <v>0</v>
      </c>
      <c r="I68" s="36">
        <v>2105.0300000000002</v>
      </c>
      <c r="J68" s="51">
        <f t="shared" si="76"/>
        <v>2.2060971106754429E-3</v>
      </c>
      <c r="K68" s="137">
        <f t="shared" si="77"/>
        <v>-2105.0300000000002</v>
      </c>
      <c r="L68" s="74"/>
      <c r="M68" s="89">
        <v>0</v>
      </c>
      <c r="N68" s="51">
        <f t="shared" si="78"/>
        <v>0</v>
      </c>
      <c r="O68" s="36">
        <v>0</v>
      </c>
      <c r="P68" s="51">
        <f t="shared" si="79"/>
        <v>0</v>
      </c>
      <c r="Q68" s="137">
        <f t="shared" si="80"/>
        <v>0</v>
      </c>
      <c r="R68" s="36">
        <v>4092.22</v>
      </c>
      <c r="S68" s="51">
        <f t="shared" si="81"/>
        <v>9.2209034222613488E-4</v>
      </c>
      <c r="T68" s="137">
        <f t="shared" si="82"/>
        <v>-4092.22</v>
      </c>
    </row>
    <row r="69" spans="2:20" x14ac:dyDescent="0.25">
      <c r="B69" s="28" t="s">
        <v>322</v>
      </c>
      <c r="C69" s="17" t="s">
        <v>375</v>
      </c>
      <c r="D69" s="36">
        <v>0</v>
      </c>
      <c r="E69" s="51">
        <f t="shared" si="73"/>
        <v>0</v>
      </c>
      <c r="F69" s="36">
        <v>0</v>
      </c>
      <c r="G69" s="51">
        <f t="shared" si="74"/>
        <v>0</v>
      </c>
      <c r="H69" s="137">
        <f t="shared" si="75"/>
        <v>0</v>
      </c>
      <c r="I69" s="36">
        <v>588.1</v>
      </c>
      <c r="J69" s="51">
        <f t="shared" si="76"/>
        <v>6.1633597183328884E-4</v>
      </c>
      <c r="K69" s="137">
        <f t="shared" si="77"/>
        <v>-588.1</v>
      </c>
      <c r="L69" s="74"/>
      <c r="M69" s="89">
        <v>0</v>
      </c>
      <c r="N69" s="51">
        <f t="shared" si="78"/>
        <v>0</v>
      </c>
      <c r="O69" s="36">
        <v>0</v>
      </c>
      <c r="P69" s="51">
        <f t="shared" si="79"/>
        <v>0</v>
      </c>
      <c r="Q69" s="137">
        <f t="shared" si="80"/>
        <v>0</v>
      </c>
      <c r="R69" s="36">
        <v>4651.3900000000003</v>
      </c>
      <c r="S69" s="51">
        <f t="shared" si="81"/>
        <v>1.0480868078762192E-3</v>
      </c>
      <c r="T69" s="137">
        <f t="shared" si="82"/>
        <v>-4651.3900000000003</v>
      </c>
    </row>
    <row r="70" spans="2:20" x14ac:dyDescent="0.25">
      <c r="B70" s="28" t="s">
        <v>75</v>
      </c>
      <c r="C70" s="17" t="s">
        <v>418</v>
      </c>
      <c r="D70" s="36">
        <v>4720.83</v>
      </c>
      <c r="E70" s="51">
        <f t="shared" si="73"/>
        <v>4.8072147354247842E-3</v>
      </c>
      <c r="F70" s="36">
        <v>5030.1000000000004</v>
      </c>
      <c r="G70" s="51">
        <f t="shared" si="74"/>
        <v>5.2429299791228179E-3</v>
      </c>
      <c r="H70" s="137">
        <f t="shared" si="75"/>
        <v>-309.27000000000044</v>
      </c>
      <c r="I70" s="36">
        <v>4649.59</v>
      </c>
      <c r="J70" s="51">
        <f t="shared" si="76"/>
        <v>4.8728270213846993E-3</v>
      </c>
      <c r="K70" s="137">
        <f t="shared" si="77"/>
        <v>71.239999999999782</v>
      </c>
      <c r="L70" s="74"/>
      <c r="M70" s="89">
        <v>15721.66</v>
      </c>
      <c r="N70" s="51">
        <f t="shared" si="78"/>
        <v>3.654910454094086E-3</v>
      </c>
      <c r="O70" s="36">
        <v>20096.939999999999</v>
      </c>
      <c r="P70" s="51">
        <f t="shared" si="79"/>
        <v>4.4947520107835367E-3</v>
      </c>
      <c r="Q70" s="137">
        <f t="shared" si="80"/>
        <v>-4375.2799999999988</v>
      </c>
      <c r="R70" s="36">
        <v>20587.2</v>
      </c>
      <c r="S70" s="51">
        <f t="shared" si="81"/>
        <v>4.6388655286074268E-3</v>
      </c>
      <c r="T70" s="137">
        <f t="shared" si="82"/>
        <v>-4865.5400000000009</v>
      </c>
    </row>
    <row r="71" spans="2:20" x14ac:dyDescent="0.25">
      <c r="B71" s="10" t="s">
        <v>77</v>
      </c>
      <c r="C71" s="17" t="s">
        <v>363</v>
      </c>
      <c r="D71" s="36">
        <v>15347.5</v>
      </c>
      <c r="E71" s="51">
        <f t="shared" si="73"/>
        <v>1.5628338269315326E-2</v>
      </c>
      <c r="F71" s="36">
        <v>5722.65</v>
      </c>
      <c r="G71" s="51">
        <f t="shared" si="74"/>
        <v>5.9647826574078426E-3</v>
      </c>
      <c r="H71" s="137">
        <f t="shared" si="75"/>
        <v>9624.85</v>
      </c>
      <c r="I71" s="36">
        <v>6171.64</v>
      </c>
      <c r="J71" s="51">
        <f t="shared" si="76"/>
        <v>6.4679539826648508E-3</v>
      </c>
      <c r="K71" s="137">
        <f t="shared" si="77"/>
        <v>9175.86</v>
      </c>
      <c r="L71" s="74"/>
      <c r="M71" s="89">
        <v>39787.69</v>
      </c>
      <c r="N71" s="51">
        <f t="shared" si="78"/>
        <v>9.2496876363726693E-3</v>
      </c>
      <c r="O71" s="36">
        <v>22863.91</v>
      </c>
      <c r="P71" s="51">
        <f t="shared" si="79"/>
        <v>5.1135946789348935E-3</v>
      </c>
      <c r="Q71" s="137">
        <f t="shared" si="80"/>
        <v>16923.780000000002</v>
      </c>
      <c r="R71" s="36">
        <v>20626.240000000002</v>
      </c>
      <c r="S71" s="51">
        <f t="shared" si="81"/>
        <v>4.6476623203147421E-3</v>
      </c>
      <c r="T71" s="137">
        <f t="shared" si="82"/>
        <v>19161.45</v>
      </c>
    </row>
    <row r="72" spans="2:20" x14ac:dyDescent="0.25">
      <c r="B72" s="28" t="s">
        <v>310</v>
      </c>
      <c r="C72" s="17" t="s">
        <v>374</v>
      </c>
      <c r="D72" s="36">
        <v>0</v>
      </c>
      <c r="E72" s="51">
        <f t="shared" si="73"/>
        <v>0</v>
      </c>
      <c r="F72" s="36">
        <v>0</v>
      </c>
      <c r="G72" s="51">
        <f t="shared" si="74"/>
        <v>0</v>
      </c>
      <c r="H72" s="137">
        <f t="shared" si="75"/>
        <v>0</v>
      </c>
      <c r="I72" s="36">
        <v>0</v>
      </c>
      <c r="J72" s="51">
        <f t="shared" si="76"/>
        <v>0</v>
      </c>
      <c r="K72" s="137">
        <f t="shared" si="77"/>
        <v>0</v>
      </c>
      <c r="L72" s="74"/>
      <c r="M72" s="89">
        <v>0</v>
      </c>
      <c r="N72" s="51">
        <f t="shared" si="78"/>
        <v>0</v>
      </c>
      <c r="O72" s="36">
        <v>1200</v>
      </c>
      <c r="P72" s="51">
        <f t="shared" si="79"/>
        <v>2.6838426212847548E-4</v>
      </c>
      <c r="Q72" s="137">
        <f t="shared" si="80"/>
        <v>-1200</v>
      </c>
      <c r="R72" s="36">
        <v>0</v>
      </c>
      <c r="S72" s="51">
        <f t="shared" si="81"/>
        <v>0</v>
      </c>
      <c r="T72" s="137">
        <f t="shared" si="82"/>
        <v>0</v>
      </c>
    </row>
    <row r="73" spans="2:20" x14ac:dyDescent="0.25">
      <c r="B73" s="28" t="s">
        <v>333</v>
      </c>
      <c r="C73" s="17" t="s">
        <v>377</v>
      </c>
      <c r="D73" s="36">
        <v>0</v>
      </c>
      <c r="E73" s="51">
        <f t="shared" si="73"/>
        <v>0</v>
      </c>
      <c r="F73" s="36">
        <v>500</v>
      </c>
      <c r="G73" s="51">
        <f t="shared" si="74"/>
        <v>5.211556409537402E-4</v>
      </c>
      <c r="H73" s="137">
        <f t="shared" si="75"/>
        <v>-500</v>
      </c>
      <c r="I73" s="36">
        <v>0</v>
      </c>
      <c r="J73" s="51">
        <f t="shared" si="76"/>
        <v>0</v>
      </c>
      <c r="K73" s="137">
        <f t="shared" si="77"/>
        <v>0</v>
      </c>
      <c r="L73" s="74"/>
      <c r="M73" s="89">
        <v>-1000</v>
      </c>
      <c r="N73" s="51">
        <f t="shared" si="78"/>
        <v>-2.3247611601409049E-4</v>
      </c>
      <c r="O73" s="36">
        <v>1000</v>
      </c>
      <c r="P73" s="51">
        <f t="shared" si="79"/>
        <v>2.2365355177372958E-4</v>
      </c>
      <c r="Q73" s="137">
        <f t="shared" si="80"/>
        <v>-2000</v>
      </c>
      <c r="R73" s="36">
        <v>0</v>
      </c>
      <c r="S73" s="51">
        <f t="shared" si="81"/>
        <v>0</v>
      </c>
      <c r="T73" s="137">
        <f t="shared" si="82"/>
        <v>-1000</v>
      </c>
    </row>
    <row r="74" spans="2:20" x14ac:dyDescent="0.25">
      <c r="B74" s="28" t="s">
        <v>337</v>
      </c>
      <c r="C74" s="17" t="s">
        <v>419</v>
      </c>
      <c r="D74" s="36">
        <v>0</v>
      </c>
      <c r="E74" s="51">
        <f t="shared" si="73"/>
        <v>0</v>
      </c>
      <c r="F74" s="36">
        <v>0</v>
      </c>
      <c r="G74" s="51">
        <f t="shared" si="74"/>
        <v>0</v>
      </c>
      <c r="H74" s="137">
        <f t="shared" si="75"/>
        <v>0</v>
      </c>
      <c r="I74" s="36">
        <v>0</v>
      </c>
      <c r="J74" s="51">
        <f t="shared" si="76"/>
        <v>0</v>
      </c>
      <c r="K74" s="137">
        <f t="shared" si="77"/>
        <v>0</v>
      </c>
      <c r="L74" s="74"/>
      <c r="M74" s="89">
        <v>0</v>
      </c>
      <c r="N74" s="51">
        <f t="shared" si="78"/>
        <v>0</v>
      </c>
      <c r="O74" s="36">
        <v>0</v>
      </c>
      <c r="P74" s="51">
        <f t="shared" si="79"/>
        <v>0</v>
      </c>
      <c r="Q74" s="137">
        <f t="shared" si="80"/>
        <v>0</v>
      </c>
      <c r="R74" s="36">
        <v>0</v>
      </c>
      <c r="S74" s="51">
        <f t="shared" si="81"/>
        <v>0</v>
      </c>
      <c r="T74" s="137">
        <f t="shared" si="82"/>
        <v>0</v>
      </c>
    </row>
    <row r="75" spans="2:20" x14ac:dyDescent="0.25">
      <c r="B75" s="28" t="s">
        <v>166</v>
      </c>
      <c r="C75" s="17" t="s">
        <v>371</v>
      </c>
      <c r="D75" s="36">
        <v>4718.01</v>
      </c>
      <c r="E75" s="51">
        <f t="shared" si="73"/>
        <v>4.8043431332798437E-3</v>
      </c>
      <c r="F75" s="36">
        <v>4508</v>
      </c>
      <c r="G75" s="51">
        <f t="shared" si="74"/>
        <v>4.698739258838922E-3</v>
      </c>
      <c r="H75" s="137">
        <f t="shared" si="75"/>
        <v>210.01000000000022</v>
      </c>
      <c r="I75" s="36">
        <v>5976.55</v>
      </c>
      <c r="J75" s="51">
        <f t="shared" si="76"/>
        <v>6.2634972835576303E-3</v>
      </c>
      <c r="K75" s="137">
        <f t="shared" si="77"/>
        <v>-1258.54</v>
      </c>
      <c r="L75" s="74"/>
      <c r="M75" s="89">
        <v>22829.14</v>
      </c>
      <c r="N75" s="51">
        <f t="shared" si="78"/>
        <v>5.3072297991419142E-3</v>
      </c>
      <c r="O75" s="36">
        <v>23032</v>
      </c>
      <c r="P75" s="51">
        <f t="shared" si="79"/>
        <v>5.1511886044525402E-3</v>
      </c>
      <c r="Q75" s="137">
        <f t="shared" si="80"/>
        <v>-202.86000000000058</v>
      </c>
      <c r="R75" s="36">
        <v>23381.47</v>
      </c>
      <c r="S75" s="51">
        <f t="shared" si="81"/>
        <v>5.2684918391606777E-3</v>
      </c>
      <c r="T75" s="137">
        <f t="shared" si="82"/>
        <v>-552.33000000000175</v>
      </c>
    </row>
    <row r="76" spans="2:20" x14ac:dyDescent="0.25">
      <c r="B76" s="10" t="s">
        <v>76</v>
      </c>
      <c r="C76" s="17" t="s">
        <v>420</v>
      </c>
      <c r="D76" s="36">
        <v>2482.9499999999998</v>
      </c>
      <c r="E76" s="51">
        <f t="shared" si="73"/>
        <v>2.5283845907018397E-3</v>
      </c>
      <c r="F76" s="36">
        <v>2446.67</v>
      </c>
      <c r="G76" s="51">
        <f t="shared" si="74"/>
        <v>2.5501917441045755E-3</v>
      </c>
      <c r="H76" s="137">
        <f t="shared" si="75"/>
        <v>36.279999999999745</v>
      </c>
      <c r="I76" s="36">
        <v>2423.69</v>
      </c>
      <c r="J76" s="51">
        <f t="shared" si="76"/>
        <v>2.5400566767091034E-3</v>
      </c>
      <c r="K76" s="137">
        <f t="shared" si="77"/>
        <v>59.259999999999764</v>
      </c>
      <c r="L76" s="74"/>
      <c r="M76" s="89">
        <v>9931.7999999999993</v>
      </c>
      <c r="N76" s="51">
        <f t="shared" si="78"/>
        <v>2.308906289028744E-3</v>
      </c>
      <c r="O76" s="36">
        <v>9786.68</v>
      </c>
      <c r="P76" s="51">
        <f t="shared" si="79"/>
        <v>2.1888257420729241E-3</v>
      </c>
      <c r="Q76" s="137">
        <f t="shared" si="80"/>
        <v>145.11999999999898</v>
      </c>
      <c r="R76" s="36">
        <v>9694.76</v>
      </c>
      <c r="S76" s="51">
        <f t="shared" si="81"/>
        <v>2.184497550522759E-3</v>
      </c>
      <c r="T76" s="137">
        <f t="shared" si="82"/>
        <v>237.03999999999905</v>
      </c>
    </row>
    <row r="77" spans="2:20" x14ac:dyDescent="0.25">
      <c r="B77" s="28" t="s">
        <v>72</v>
      </c>
      <c r="C77" s="17" t="s">
        <v>378</v>
      </c>
      <c r="D77" s="36">
        <v>56977.55</v>
      </c>
      <c r="E77" s="51">
        <f t="shared" si="73"/>
        <v>5.8020161274267956E-2</v>
      </c>
      <c r="F77" s="36">
        <v>45574.26</v>
      </c>
      <c r="G77" s="51">
        <f t="shared" si="74"/>
        <v>4.7502565362584813E-2</v>
      </c>
      <c r="H77" s="137">
        <f t="shared" si="75"/>
        <v>11403.29</v>
      </c>
      <c r="I77" s="36">
        <v>48857.42</v>
      </c>
      <c r="J77" s="51">
        <f t="shared" si="76"/>
        <v>5.1203171972397828E-2</v>
      </c>
      <c r="K77" s="137">
        <f t="shared" si="77"/>
        <v>8120.1300000000047</v>
      </c>
      <c r="L77" s="74"/>
      <c r="M77" s="89">
        <v>215484.21</v>
      </c>
      <c r="N77" s="51">
        <f t="shared" si="78"/>
        <v>5.009493220316464E-2</v>
      </c>
      <c r="O77" s="36">
        <v>191450.1</v>
      </c>
      <c r="P77" s="51">
        <f t="shared" si="79"/>
        <v>4.2818494852435711E-2</v>
      </c>
      <c r="Q77" s="137">
        <f t="shared" si="80"/>
        <v>24034.109999999986</v>
      </c>
      <c r="R77" s="36">
        <v>177498.07</v>
      </c>
      <c r="S77" s="51">
        <f t="shared" si="81"/>
        <v>3.9995224135256281E-2</v>
      </c>
      <c r="T77" s="137">
        <f t="shared" si="82"/>
        <v>37986.139999999985</v>
      </c>
    </row>
    <row r="78" spans="2:20" x14ac:dyDescent="0.25">
      <c r="B78" s="28" t="s">
        <v>73</v>
      </c>
      <c r="C78" s="17" t="s">
        <v>362</v>
      </c>
      <c r="D78" s="36">
        <v>9191.42</v>
      </c>
      <c r="E78" s="51">
        <f t="shared" si="73"/>
        <v>9.3596104209382816E-3</v>
      </c>
      <c r="F78" s="36">
        <v>1332.6</v>
      </c>
      <c r="G78" s="51">
        <f t="shared" si="74"/>
        <v>1.3889840142699084E-3</v>
      </c>
      <c r="H78" s="137">
        <f t="shared" si="75"/>
        <v>7858.82</v>
      </c>
      <c r="I78" s="36">
        <v>9039.5</v>
      </c>
      <c r="J78" s="51">
        <f t="shared" si="76"/>
        <v>9.4735062359922028E-3</v>
      </c>
      <c r="K78" s="137">
        <f t="shared" si="77"/>
        <v>151.92000000000007</v>
      </c>
      <c r="L78" s="74"/>
      <c r="M78" s="89">
        <v>33441.949999999997</v>
      </c>
      <c r="N78" s="51">
        <f t="shared" si="78"/>
        <v>7.774454647937413E-3</v>
      </c>
      <c r="O78" s="36">
        <v>18349.099999999999</v>
      </c>
      <c r="P78" s="51">
        <f t="shared" si="79"/>
        <v>4.1038413868513413E-3</v>
      </c>
      <c r="Q78" s="137">
        <f t="shared" si="80"/>
        <v>15092.849999999999</v>
      </c>
      <c r="R78" s="36">
        <v>35777.629999999997</v>
      </c>
      <c r="S78" s="51">
        <f t="shared" si="81"/>
        <v>8.0616895207833474E-3</v>
      </c>
      <c r="T78" s="137">
        <f t="shared" si="82"/>
        <v>-2335.6800000000003</v>
      </c>
    </row>
    <row r="79" spans="2:20" x14ac:dyDescent="0.25">
      <c r="B79" s="28" t="s">
        <v>145</v>
      </c>
      <c r="C79" s="17" t="s">
        <v>367</v>
      </c>
      <c r="D79" s="36">
        <v>0</v>
      </c>
      <c r="E79" s="51">
        <f t="shared" si="73"/>
        <v>0</v>
      </c>
      <c r="F79" s="36">
        <v>255.15</v>
      </c>
      <c r="G79" s="51">
        <f t="shared" si="74"/>
        <v>2.6594572357869367E-4</v>
      </c>
      <c r="H79" s="137">
        <f t="shared" si="75"/>
        <v>-255.15</v>
      </c>
      <c r="I79" s="36">
        <v>0</v>
      </c>
      <c r="J79" s="51">
        <f t="shared" si="76"/>
        <v>0</v>
      </c>
      <c r="K79" s="137">
        <f t="shared" si="77"/>
        <v>0</v>
      </c>
      <c r="L79" s="74"/>
      <c r="M79" s="89">
        <v>1558.34</v>
      </c>
      <c r="N79" s="51">
        <f t="shared" si="78"/>
        <v>3.6227683062939775E-4</v>
      </c>
      <c r="O79" s="36">
        <v>1019.41</v>
      </c>
      <c r="P79" s="51">
        <f t="shared" si="79"/>
        <v>2.2799466721365767E-4</v>
      </c>
      <c r="Q79" s="137">
        <f t="shared" si="80"/>
        <v>538.92999999999995</v>
      </c>
      <c r="R79" s="36">
        <v>2041.56</v>
      </c>
      <c r="S79" s="51">
        <f t="shared" si="81"/>
        <v>4.6001993027627744E-4</v>
      </c>
      <c r="T79" s="137">
        <f t="shared" si="82"/>
        <v>-483.22</v>
      </c>
    </row>
    <row r="80" spans="2:20" x14ac:dyDescent="0.25">
      <c r="B80" s="28" t="s">
        <v>147</v>
      </c>
      <c r="C80" s="17" t="s">
        <v>369</v>
      </c>
      <c r="D80" s="36">
        <v>0</v>
      </c>
      <c r="E80" s="51">
        <f t="shared" si="73"/>
        <v>0</v>
      </c>
      <c r="F80" s="36">
        <v>0</v>
      </c>
      <c r="G80" s="51">
        <f t="shared" si="74"/>
        <v>0</v>
      </c>
      <c r="H80" s="137">
        <f t="shared" si="75"/>
        <v>0</v>
      </c>
      <c r="I80" s="36">
        <v>0</v>
      </c>
      <c r="J80" s="51">
        <f t="shared" si="76"/>
        <v>0</v>
      </c>
      <c r="K80" s="137">
        <f t="shared" si="77"/>
        <v>0</v>
      </c>
      <c r="L80" s="74"/>
      <c r="M80" s="89">
        <v>0</v>
      </c>
      <c r="N80" s="51">
        <f t="shared" si="78"/>
        <v>0</v>
      </c>
      <c r="O80" s="36">
        <v>0</v>
      </c>
      <c r="P80" s="51">
        <f t="shared" si="79"/>
        <v>0</v>
      </c>
      <c r="Q80" s="137">
        <f t="shared" si="80"/>
        <v>0</v>
      </c>
      <c r="R80" s="36">
        <v>0</v>
      </c>
      <c r="S80" s="51">
        <f t="shared" si="81"/>
        <v>0</v>
      </c>
      <c r="T80" s="137">
        <f t="shared" si="82"/>
        <v>0</v>
      </c>
    </row>
    <row r="81" spans="2:20" x14ac:dyDescent="0.25">
      <c r="B81" s="28" t="s">
        <v>173</v>
      </c>
      <c r="C81" s="17" t="s">
        <v>358</v>
      </c>
      <c r="D81" s="36">
        <v>0</v>
      </c>
      <c r="E81" s="51">
        <f t="shared" si="73"/>
        <v>0</v>
      </c>
      <c r="F81" s="36">
        <v>0</v>
      </c>
      <c r="G81" s="51">
        <f t="shared" si="74"/>
        <v>0</v>
      </c>
      <c r="H81" s="137">
        <f t="shared" si="75"/>
        <v>0</v>
      </c>
      <c r="I81" s="36">
        <v>0</v>
      </c>
      <c r="J81" s="51">
        <f t="shared" si="76"/>
        <v>0</v>
      </c>
      <c r="K81" s="137">
        <f t="shared" si="77"/>
        <v>0</v>
      </c>
      <c r="L81" s="74"/>
      <c r="M81" s="89">
        <v>0</v>
      </c>
      <c r="N81" s="51">
        <f t="shared" si="78"/>
        <v>0</v>
      </c>
      <c r="O81" s="36">
        <v>0</v>
      </c>
      <c r="P81" s="51">
        <f t="shared" si="79"/>
        <v>0</v>
      </c>
      <c r="Q81" s="137">
        <f t="shared" si="80"/>
        <v>0</v>
      </c>
      <c r="R81" s="36">
        <v>0</v>
      </c>
      <c r="S81" s="51">
        <f t="shared" si="81"/>
        <v>0</v>
      </c>
      <c r="T81" s="137">
        <f t="shared" si="82"/>
        <v>0</v>
      </c>
    </row>
    <row r="82" spans="2:20" x14ac:dyDescent="0.25">
      <c r="B82" s="28" t="s">
        <v>88</v>
      </c>
      <c r="C82" s="17" t="s">
        <v>421</v>
      </c>
      <c r="D82" s="36">
        <v>9820.2999999999993</v>
      </c>
      <c r="E82" s="51">
        <f t="shared" si="73"/>
        <v>9.9999980652325966E-3</v>
      </c>
      <c r="F82" s="36">
        <v>9594.06</v>
      </c>
      <c r="G82" s="51">
        <f t="shared" si="74"/>
        <v>9.9999969772972819E-3</v>
      </c>
      <c r="H82" s="137">
        <f t="shared" si="75"/>
        <v>226.23999999999978</v>
      </c>
      <c r="I82" s="36">
        <v>9158.99</v>
      </c>
      <c r="J82" s="51">
        <f t="shared" si="76"/>
        <v>9.5987332131633636E-3</v>
      </c>
      <c r="K82" s="137">
        <f t="shared" si="77"/>
        <v>661.30999999999949</v>
      </c>
      <c r="L82" s="74"/>
      <c r="M82" s="89">
        <v>41223.019999999997</v>
      </c>
      <c r="N82" s="51">
        <f t="shared" si="78"/>
        <v>9.5833675799711724E-3</v>
      </c>
      <c r="O82" s="36">
        <v>44712</v>
      </c>
      <c r="P82" s="51">
        <f t="shared" si="79"/>
        <v>9.9999976069069969E-3</v>
      </c>
      <c r="Q82" s="137">
        <f t="shared" si="80"/>
        <v>-3488.9800000000032</v>
      </c>
      <c r="R82" s="36">
        <v>43996.93</v>
      </c>
      <c r="S82" s="51">
        <f t="shared" si="81"/>
        <v>9.9137251273390247E-3</v>
      </c>
      <c r="T82" s="137">
        <f t="shared" si="82"/>
        <v>-2773.9100000000035</v>
      </c>
    </row>
    <row r="83" spans="2:20" x14ac:dyDescent="0.25">
      <c r="B83" s="28" t="s">
        <v>222</v>
      </c>
      <c r="C83" s="17" t="s">
        <v>422</v>
      </c>
      <c r="D83" s="306">
        <v>217.6</v>
      </c>
      <c r="E83" s="127">
        <f t="shared" si="73"/>
        <v>2.2158178253155333E-4</v>
      </c>
      <c r="F83" s="90">
        <v>320</v>
      </c>
      <c r="G83" s="127">
        <f t="shared" si="74"/>
        <v>3.3353961021039376E-4</v>
      </c>
      <c r="H83" s="139">
        <f t="shared" si="75"/>
        <v>-102.4</v>
      </c>
      <c r="I83" s="85">
        <v>518.4</v>
      </c>
      <c r="J83" s="82">
        <f t="shared" si="76"/>
        <v>5.4328952184726556E-4</v>
      </c>
      <c r="K83" s="141">
        <f t="shared" si="77"/>
        <v>-300.79999999999995</v>
      </c>
      <c r="L83" s="74"/>
      <c r="M83" s="297">
        <v>1913.6</v>
      </c>
      <c r="N83" s="127">
        <f t="shared" si="78"/>
        <v>4.4486629560456354E-4</v>
      </c>
      <c r="O83" s="90">
        <v>1324.8</v>
      </c>
      <c r="P83" s="127">
        <f t="shared" si="79"/>
        <v>2.9629622538983693E-4</v>
      </c>
      <c r="Q83" s="139">
        <f t="shared" si="80"/>
        <v>588.79999999999995</v>
      </c>
      <c r="R83" s="85">
        <v>1253.5999999999999</v>
      </c>
      <c r="S83" s="82">
        <f t="shared" si="81"/>
        <v>2.8247075010988723E-4</v>
      </c>
      <c r="T83" s="141">
        <f t="shared" si="82"/>
        <v>660</v>
      </c>
    </row>
    <row r="84" spans="2:20" x14ac:dyDescent="0.25">
      <c r="B84" s="14" t="s">
        <v>281</v>
      </c>
      <c r="C84" s="18" t="s">
        <v>423</v>
      </c>
      <c r="D84" s="326">
        <f t="shared" ref="D84" si="83">SUM(D56:D83)</f>
        <v>139519.16</v>
      </c>
      <c r="E84" s="126">
        <f t="shared" si="73"/>
        <v>0.14207216989937957</v>
      </c>
      <c r="F84" s="91">
        <f>SUM(F56:F83)</f>
        <v>110257.79000000001</v>
      </c>
      <c r="G84" s="126">
        <f t="shared" si="74"/>
        <v>0.11492293843518579</v>
      </c>
      <c r="H84" s="140">
        <f t="shared" si="75"/>
        <v>29261.369999999995</v>
      </c>
      <c r="I84" s="86">
        <f>SUM(I56:I83)</f>
        <v>127705.26</v>
      </c>
      <c r="J84" s="83">
        <f t="shared" si="76"/>
        <v>0.13383666983561099</v>
      </c>
      <c r="K84" s="140">
        <f t="shared" si="77"/>
        <v>11813.900000000009</v>
      </c>
      <c r="L84" s="74"/>
      <c r="M84" s="120">
        <f t="shared" ref="M84" si="84">SUM(M56:M83)</f>
        <v>512476.37</v>
      </c>
      <c r="N84" s="126">
        <f t="shared" si="78"/>
        <v>0.11913851604659996</v>
      </c>
      <c r="O84" s="91">
        <f>SUM(O56:O83)</f>
        <v>480280.15999999992</v>
      </c>
      <c r="P84" s="126">
        <f t="shared" si="79"/>
        <v>0.10741636363045512</v>
      </c>
      <c r="Q84" s="140">
        <f t="shared" si="80"/>
        <v>32196.210000000079</v>
      </c>
      <c r="R84" s="86">
        <f>SUM(R56:R83)</f>
        <v>482098.55</v>
      </c>
      <c r="S84" s="83">
        <f t="shared" si="81"/>
        <v>0.10863013644335431</v>
      </c>
      <c r="T84" s="140">
        <f t="shared" si="82"/>
        <v>30377.820000000007</v>
      </c>
    </row>
    <row r="85" spans="2:20" x14ac:dyDescent="0.25">
      <c r="B85" s="28"/>
      <c r="C85" s="16"/>
      <c r="D85" s="327"/>
      <c r="E85" s="129"/>
      <c r="F85" s="16"/>
      <c r="G85" s="32"/>
      <c r="H85" s="16"/>
      <c r="I85" s="16"/>
      <c r="J85" s="32"/>
      <c r="K85" s="79"/>
      <c r="L85" s="74"/>
      <c r="M85" s="128"/>
      <c r="N85" s="129"/>
      <c r="O85" s="16"/>
      <c r="P85" s="32"/>
      <c r="Q85" s="16"/>
      <c r="R85" s="16"/>
      <c r="S85" s="32"/>
      <c r="T85" s="79"/>
    </row>
    <row r="86" spans="2:20" x14ac:dyDescent="0.25">
      <c r="B86" s="14" t="s">
        <v>20</v>
      </c>
      <c r="C86" s="18" t="s">
        <v>424</v>
      </c>
      <c r="D86" s="325">
        <f t="shared" ref="D86" si="85">+D53+D84</f>
        <v>278444.2</v>
      </c>
      <c r="E86" s="125">
        <f t="shared" ref="E86:E87" si="86">IFERROR(D86/D$31,"")</f>
        <v>0.28353934821494647</v>
      </c>
      <c r="F86" s="142">
        <f t="shared" ref="F86" si="87">+F53+F84</f>
        <v>245118.35</v>
      </c>
      <c r="G86" s="135">
        <f t="shared" ref="G86:G87" si="88">IFERROR(F86/F$31,"")</f>
        <v>0.25548962160754646</v>
      </c>
      <c r="H86" s="131">
        <f>+D86-F86</f>
        <v>33325.850000000006</v>
      </c>
      <c r="I86" s="133">
        <f t="shared" ref="I86" si="89">+I53+I84</f>
        <v>261858.86</v>
      </c>
      <c r="J86" s="135">
        <f t="shared" ref="J86:J87" si="90">IFERROR(I86/I$31,"")</f>
        <v>0.27443127862822159</v>
      </c>
      <c r="K86" s="233">
        <f>+D86-I86</f>
        <v>16585.340000000026</v>
      </c>
      <c r="L86" s="74"/>
      <c r="M86" s="119">
        <f t="shared" ref="M86" si="91">+M53+M84</f>
        <v>1048369.27</v>
      </c>
      <c r="N86" s="125">
        <f t="shared" ref="N86:N87" si="92">IFERROR(M86/M$31,"")</f>
        <v>0.24372081603812737</v>
      </c>
      <c r="O86" s="142">
        <f t="shared" ref="O86" si="93">+O53+O84</f>
        <v>1019678.23</v>
      </c>
      <c r="P86" s="135">
        <f t="shared" ref="P86:P87" si="94">IFERROR(O86/O$31,"")</f>
        <v>0.22805465780584994</v>
      </c>
      <c r="Q86" s="131">
        <f>+M86-O86</f>
        <v>28691.040000000037</v>
      </c>
      <c r="R86" s="133">
        <f t="shared" ref="R86" si="95">+R53+R84</f>
        <v>1030793.94</v>
      </c>
      <c r="S86" s="135">
        <f t="shared" ref="S86:S87" si="96">IFERROR(R86/R$31,"")</f>
        <v>0.23226638277004313</v>
      </c>
      <c r="T86" s="233">
        <f>+M86-R86</f>
        <v>17575.330000000075</v>
      </c>
    </row>
    <row r="87" spans="2:20" ht="15.75" thickBot="1" x14ac:dyDescent="0.3">
      <c r="B87" s="14" t="s">
        <v>105</v>
      </c>
      <c r="C87" s="18" t="s">
        <v>425</v>
      </c>
      <c r="D87" s="328">
        <f t="shared" ref="D87" si="97">+D31-D86</f>
        <v>703585.99</v>
      </c>
      <c r="E87" s="88">
        <f t="shared" si="86"/>
        <v>0.71646065178505358</v>
      </c>
      <c r="F87" s="143">
        <f>+F31-F86</f>
        <v>714287.94000000006</v>
      </c>
      <c r="G87" s="136">
        <f t="shared" si="88"/>
        <v>0.7445103783924536</v>
      </c>
      <c r="H87" s="132">
        <f>+D87-F87</f>
        <v>-10701.95000000007</v>
      </c>
      <c r="I87" s="134">
        <f>+I31-I86</f>
        <v>692328.51000000013</v>
      </c>
      <c r="J87" s="136">
        <f t="shared" si="90"/>
        <v>0.72556872137177841</v>
      </c>
      <c r="K87" s="132">
        <f>+D87-I87</f>
        <v>11257.479999999865</v>
      </c>
      <c r="L87" s="296"/>
      <c r="M87" s="236">
        <f t="shared" ref="M87" si="98">+M31-M86</f>
        <v>3253147.8800000004</v>
      </c>
      <c r="N87" s="88">
        <f t="shared" si="92"/>
        <v>0.75627918396187266</v>
      </c>
      <c r="O87" s="143">
        <f>+O31-O86</f>
        <v>3451522.8399999994</v>
      </c>
      <c r="P87" s="136">
        <f t="shared" si="94"/>
        <v>0.77194534219415001</v>
      </c>
      <c r="Q87" s="132">
        <f>+M87-O87</f>
        <v>-198374.95999999903</v>
      </c>
      <c r="R87" s="134">
        <f>+R31-R86</f>
        <v>3407187.69</v>
      </c>
      <c r="S87" s="136">
        <f t="shared" si="96"/>
        <v>0.76773361722995681</v>
      </c>
      <c r="T87" s="132">
        <f>+M87-R87</f>
        <v>-154039.80999999959</v>
      </c>
    </row>
    <row r="88" spans="2:20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130F-2ADD-47E2-981A-EA39968965B8}">
  <dimension ref="B1:X110"/>
  <sheetViews>
    <sheetView showGridLines="0" zoomScale="80" zoomScaleNormal="80" workbookViewId="0">
      <pane xSplit="3" ySplit="8" topLeftCell="D9" activePane="bottomRight" state="frozen"/>
      <selection activeCell="AA33" sqref="AA33"/>
      <selection pane="topRight" activeCell="AA33" sqref="AA33"/>
      <selection pane="bottomLeft" activeCell="AA33" sqref="AA33"/>
      <selection pane="bottomRight" activeCell="AA33" sqref="AA33"/>
    </sheetView>
  </sheetViews>
  <sheetFormatPr defaultRowHeight="15" outlineLevelCol="1" x14ac:dyDescent="0.25"/>
  <cols>
    <col min="1" max="1" width="3.28515625" customWidth="1"/>
    <col min="2" max="2" width="24.140625" style="9" hidden="1" customWidth="1" outlineLevel="1"/>
    <col min="3" max="3" width="44.140625" bestFit="1" customWidth="1" collapsed="1"/>
    <col min="4" max="4" width="12.28515625" bestFit="1" customWidth="1"/>
    <col min="6" max="6" width="13.140625" customWidth="1"/>
    <col min="7" max="7" width="9" customWidth="1"/>
    <col min="8" max="8" width="11.85546875" customWidth="1"/>
    <col min="9" max="9" width="13.140625" customWidth="1"/>
    <col min="10" max="10" width="9" customWidth="1"/>
    <col min="11" max="11" width="11.85546875" customWidth="1"/>
    <col min="13" max="13" width="12.28515625" bestFit="1" customWidth="1"/>
    <col min="15" max="15" width="13.140625" customWidth="1"/>
    <col min="16" max="16" width="9" customWidth="1"/>
    <col min="17" max="17" width="11.85546875" customWidth="1"/>
    <col min="18" max="18" width="13.140625" customWidth="1"/>
    <col min="19" max="19" width="9" customWidth="1"/>
    <col min="20" max="20" width="11.85546875" customWidth="1"/>
    <col min="22" max="24" width="9.140625" style="338"/>
  </cols>
  <sheetData>
    <row r="1" spans="2:22" x14ac:dyDescent="0.25">
      <c r="V1" s="338" t="s">
        <v>715</v>
      </c>
    </row>
    <row r="2" spans="2:22" ht="22.5" x14ac:dyDescent="0.3">
      <c r="B2" s="1"/>
      <c r="C2" s="35" t="str">
        <f>+Summary!$C$2</f>
        <v>Angler's</v>
      </c>
      <c r="I2" s="4"/>
      <c r="R2" s="4"/>
      <c r="V2" s="338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APR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2" t="str">
        <f>Year&amp;" "&amp;UPPER(Month)&amp;" - PERIODIC"</f>
        <v>2025 APR - PERIODIC</v>
      </c>
      <c r="E6" s="293"/>
      <c r="F6" s="290"/>
      <c r="G6" s="290"/>
      <c r="H6" s="290"/>
      <c r="I6" s="290"/>
      <c r="J6" s="290"/>
      <c r="K6" s="291"/>
      <c r="L6" s="296"/>
      <c r="M6" s="293" t="str">
        <f>Year&amp;" "&amp;UPPER(Month)&amp;" - YEAR TO DATE"</f>
        <v>2025 APR - YEAR TO DATE</v>
      </c>
      <c r="N6" s="293"/>
      <c r="O6" s="290"/>
      <c r="P6" s="290"/>
      <c r="Q6" s="290"/>
      <c r="R6" s="290"/>
      <c r="S6" s="290"/>
      <c r="T6" s="291"/>
    </row>
    <row r="7" spans="2:22" x14ac:dyDescent="0.25">
      <c r="B7"/>
      <c r="D7" s="333" t="s">
        <v>392</v>
      </c>
      <c r="E7" s="334"/>
      <c r="F7" s="335" t="s">
        <v>389</v>
      </c>
      <c r="G7" s="334"/>
      <c r="H7" s="39" t="s">
        <v>388</v>
      </c>
      <c r="I7" s="335" t="s">
        <v>718</v>
      </c>
      <c r="J7" s="334"/>
      <c r="K7" s="288" t="s">
        <v>388</v>
      </c>
      <c r="L7" s="296"/>
      <c r="M7" s="335" t="s">
        <v>392</v>
      </c>
      <c r="N7" s="334"/>
      <c r="O7" s="335" t="s">
        <v>389</v>
      </c>
      <c r="P7" s="334"/>
      <c r="Q7" s="39" t="s">
        <v>388</v>
      </c>
      <c r="R7" s="335" t="s">
        <v>718</v>
      </c>
      <c r="S7" s="334"/>
      <c r="T7" s="288" t="s">
        <v>388</v>
      </c>
    </row>
    <row r="8" spans="2:22" ht="22.5" customHeight="1" collapsed="1" x14ac:dyDescent="0.25">
      <c r="B8"/>
      <c r="D8" s="304" t="s">
        <v>391</v>
      </c>
      <c r="E8" s="40" t="s">
        <v>390</v>
      </c>
      <c r="F8" s="40" t="s">
        <v>391</v>
      </c>
      <c r="G8" s="40" t="s">
        <v>390</v>
      </c>
      <c r="H8" s="75" t="s">
        <v>391</v>
      </c>
      <c r="I8" s="294" t="s">
        <v>392</v>
      </c>
      <c r="J8" s="76" t="s">
        <v>390</v>
      </c>
      <c r="K8" s="75" t="s">
        <v>391</v>
      </c>
      <c r="L8" s="296"/>
      <c r="M8" s="40" t="s">
        <v>391</v>
      </c>
      <c r="N8" s="40" t="s">
        <v>390</v>
      </c>
      <c r="O8" s="40" t="s">
        <v>391</v>
      </c>
      <c r="P8" s="40" t="s">
        <v>390</v>
      </c>
      <c r="Q8" s="75" t="s">
        <v>391</v>
      </c>
      <c r="R8" s="294" t="s">
        <v>392</v>
      </c>
      <c r="S8" s="76" t="s">
        <v>390</v>
      </c>
      <c r="T8" s="75" t="s">
        <v>391</v>
      </c>
    </row>
    <row r="9" spans="2:22" x14ac:dyDescent="0.25">
      <c r="B9" s="14"/>
      <c r="C9" s="15" t="s">
        <v>9</v>
      </c>
      <c r="D9" s="179"/>
      <c r="E9" s="93"/>
      <c r="F9" s="179"/>
      <c r="G9" s="30"/>
      <c r="H9" s="79"/>
      <c r="I9" s="20"/>
      <c r="J9" s="20"/>
      <c r="K9" s="93"/>
      <c r="L9" s="74"/>
      <c r="M9" s="20"/>
      <c r="N9" s="93"/>
      <c r="O9" s="179"/>
      <c r="P9" s="30"/>
      <c r="Q9" s="79"/>
      <c r="R9" s="20"/>
      <c r="S9" s="20"/>
      <c r="T9" s="93"/>
    </row>
    <row r="10" spans="2:22" x14ac:dyDescent="0.25">
      <c r="C10" s="22" t="s">
        <v>80</v>
      </c>
      <c r="D10" s="48"/>
      <c r="E10" s="49"/>
      <c r="F10" s="48"/>
      <c r="H10" s="49"/>
      <c r="I10" s="16"/>
      <c r="J10" s="16"/>
      <c r="K10" s="49"/>
      <c r="L10" s="74"/>
      <c r="M10" s="16"/>
      <c r="N10" s="49"/>
      <c r="O10" s="48"/>
      <c r="Q10" s="49"/>
      <c r="R10" s="16"/>
      <c r="S10" s="16"/>
      <c r="T10" s="49"/>
    </row>
    <row r="11" spans="2:22" x14ac:dyDescent="0.25">
      <c r="B11" s="28" t="s">
        <v>346</v>
      </c>
      <c r="C11" s="17" t="s">
        <v>530</v>
      </c>
      <c r="D11" s="295">
        <v>226705.51</v>
      </c>
      <c r="E11" s="51">
        <f t="shared" ref="E11:E17" si="0">IFERROR(D11/D$35,"")</f>
        <v>0.59795942272654279</v>
      </c>
      <c r="F11" s="36">
        <v>219945</v>
      </c>
      <c r="G11" s="51">
        <f t="shared" ref="G11:G17" si="1">IFERROR(F11/F$35,"")</f>
        <v>0.50260982571416724</v>
      </c>
      <c r="H11" s="137">
        <f t="shared" ref="H11:H17" si="2">+D11-F11</f>
        <v>6760.5100000000093</v>
      </c>
      <c r="I11" s="36">
        <v>133831.43</v>
      </c>
      <c r="J11" s="51">
        <f t="shared" ref="J11:J17" si="3">IFERROR(I11/I$35,"")</f>
        <v>0.53325453804405532</v>
      </c>
      <c r="K11" s="137">
        <f t="shared" ref="K11:K17" si="4">+D11-I11</f>
        <v>92874.080000000016</v>
      </c>
      <c r="L11" s="74"/>
      <c r="M11" s="89">
        <v>905806.53</v>
      </c>
      <c r="N11" s="51">
        <f t="shared" ref="N11:N17" si="5">IFERROR(M11/M$35,"")</f>
        <v>0.59437458238481855</v>
      </c>
      <c r="O11" s="36">
        <v>901635</v>
      </c>
      <c r="P11" s="51">
        <f t="shared" ref="P11:P17" si="6">IFERROR(O11/O$35,"")</f>
        <v>0.50294975329280822</v>
      </c>
      <c r="Q11" s="137">
        <f t="shared" ref="Q11:Q17" si="7">+M11-O11</f>
        <v>4171.5300000000279</v>
      </c>
      <c r="R11" s="36">
        <v>497713.29</v>
      </c>
      <c r="S11" s="51">
        <f t="shared" ref="S11:S17" si="8">IFERROR(R11/R$35,"")</f>
        <v>0.5429402331380051</v>
      </c>
      <c r="T11" s="137">
        <f t="shared" ref="T11:T17" si="9">+M11-R11</f>
        <v>408093.24000000005</v>
      </c>
    </row>
    <row r="12" spans="2:22" x14ac:dyDescent="0.25">
      <c r="B12" s="28" t="s">
        <v>344</v>
      </c>
      <c r="C12" s="17" t="s">
        <v>533</v>
      </c>
      <c r="D12" s="36">
        <v>2867.56</v>
      </c>
      <c r="E12" s="51">
        <f t="shared" si="0"/>
        <v>7.5634885196823173E-3</v>
      </c>
      <c r="F12" s="36">
        <v>2587.9499999999998</v>
      </c>
      <c r="G12" s="51">
        <f t="shared" si="1"/>
        <v>5.9138834638522309E-3</v>
      </c>
      <c r="H12" s="137">
        <f t="shared" si="2"/>
        <v>279.61000000000013</v>
      </c>
      <c r="I12" s="36">
        <v>2434</v>
      </c>
      <c r="J12" s="51">
        <f t="shared" si="3"/>
        <v>9.6983312933234794E-3</v>
      </c>
      <c r="K12" s="137">
        <f t="shared" si="4"/>
        <v>433.55999999999995</v>
      </c>
      <c r="L12" s="74"/>
      <c r="M12" s="89">
        <v>12080.25</v>
      </c>
      <c r="N12" s="51">
        <f t="shared" si="5"/>
        <v>7.9268511663900271E-3</v>
      </c>
      <c r="O12" s="36">
        <v>10339.73</v>
      </c>
      <c r="P12" s="51">
        <f t="shared" si="6"/>
        <v>5.7677049500232886E-3</v>
      </c>
      <c r="Q12" s="137">
        <f t="shared" si="7"/>
        <v>1740.5200000000004</v>
      </c>
      <c r="R12" s="36">
        <v>10012.09</v>
      </c>
      <c r="S12" s="51">
        <f t="shared" si="8"/>
        <v>1.0921883317197919E-2</v>
      </c>
      <c r="T12" s="137">
        <f t="shared" si="9"/>
        <v>2068.16</v>
      </c>
    </row>
    <row r="13" spans="2:22" x14ac:dyDescent="0.25">
      <c r="B13" s="28" t="s">
        <v>611</v>
      </c>
      <c r="C13" s="17" t="s">
        <v>612</v>
      </c>
      <c r="D13" s="36">
        <v>0</v>
      </c>
      <c r="E13" s="51">
        <f t="shared" si="0"/>
        <v>0</v>
      </c>
      <c r="F13" s="36">
        <v>0</v>
      </c>
      <c r="G13" s="51">
        <f t="shared" si="1"/>
        <v>0</v>
      </c>
      <c r="H13" s="137">
        <f t="shared" si="2"/>
        <v>0</v>
      </c>
      <c r="I13" s="36">
        <v>0</v>
      </c>
      <c r="J13" s="51">
        <f t="shared" si="3"/>
        <v>0</v>
      </c>
      <c r="K13" s="137">
        <f t="shared" si="4"/>
        <v>0</v>
      </c>
      <c r="L13" s="74"/>
      <c r="M13" s="89">
        <v>0</v>
      </c>
      <c r="N13" s="51">
        <f t="shared" si="5"/>
        <v>0</v>
      </c>
      <c r="O13" s="36">
        <v>0</v>
      </c>
      <c r="P13" s="51">
        <f t="shared" si="6"/>
        <v>0</v>
      </c>
      <c r="Q13" s="137">
        <f t="shared" si="7"/>
        <v>0</v>
      </c>
      <c r="R13" s="36">
        <v>0</v>
      </c>
      <c r="S13" s="51">
        <f t="shared" si="8"/>
        <v>0</v>
      </c>
      <c r="T13" s="137">
        <f t="shared" si="9"/>
        <v>0</v>
      </c>
    </row>
    <row r="14" spans="2:22" x14ac:dyDescent="0.25">
      <c r="B14" s="28" t="s">
        <v>618</v>
      </c>
      <c r="C14" s="17" t="s">
        <v>613</v>
      </c>
      <c r="D14" s="36">
        <v>0</v>
      </c>
      <c r="E14" s="51">
        <f t="shared" si="0"/>
        <v>0</v>
      </c>
      <c r="F14" s="36">
        <v>0</v>
      </c>
      <c r="G14" s="51">
        <f t="shared" si="1"/>
        <v>0</v>
      </c>
      <c r="H14" s="137">
        <f t="shared" si="2"/>
        <v>0</v>
      </c>
      <c r="I14" s="36">
        <v>0</v>
      </c>
      <c r="J14" s="51">
        <f t="shared" si="3"/>
        <v>0</v>
      </c>
      <c r="K14" s="137">
        <f t="shared" si="4"/>
        <v>0</v>
      </c>
      <c r="L14" s="74"/>
      <c r="M14" s="89">
        <v>0</v>
      </c>
      <c r="N14" s="51">
        <f t="shared" si="5"/>
        <v>0</v>
      </c>
      <c r="O14" s="36">
        <v>0</v>
      </c>
      <c r="P14" s="51">
        <f t="shared" si="6"/>
        <v>0</v>
      </c>
      <c r="Q14" s="137">
        <f t="shared" si="7"/>
        <v>0</v>
      </c>
      <c r="R14" s="36">
        <v>0</v>
      </c>
      <c r="S14" s="51">
        <f t="shared" si="8"/>
        <v>0</v>
      </c>
      <c r="T14" s="137">
        <f t="shared" si="9"/>
        <v>0</v>
      </c>
    </row>
    <row r="15" spans="2:22" x14ac:dyDescent="0.25">
      <c r="B15" s="28" t="s">
        <v>226</v>
      </c>
      <c r="C15" s="17" t="s">
        <v>531</v>
      </c>
      <c r="D15" s="36">
        <v>0</v>
      </c>
      <c r="E15" s="51">
        <f t="shared" si="0"/>
        <v>0</v>
      </c>
      <c r="F15" s="36">
        <v>0</v>
      </c>
      <c r="G15" s="51">
        <f t="shared" si="1"/>
        <v>0</v>
      </c>
      <c r="H15" s="137">
        <f t="shared" si="2"/>
        <v>0</v>
      </c>
      <c r="I15" s="36">
        <v>0</v>
      </c>
      <c r="J15" s="51">
        <f t="shared" si="3"/>
        <v>0</v>
      </c>
      <c r="K15" s="137">
        <f t="shared" si="4"/>
        <v>0</v>
      </c>
      <c r="L15" s="74"/>
      <c r="M15" s="89">
        <v>0</v>
      </c>
      <c r="N15" s="51">
        <f t="shared" si="5"/>
        <v>0</v>
      </c>
      <c r="O15" s="36">
        <v>0</v>
      </c>
      <c r="P15" s="51">
        <f t="shared" si="6"/>
        <v>0</v>
      </c>
      <c r="Q15" s="137">
        <f t="shared" si="7"/>
        <v>0</v>
      </c>
      <c r="R15" s="36">
        <v>0</v>
      </c>
      <c r="S15" s="51">
        <f t="shared" si="8"/>
        <v>0</v>
      </c>
      <c r="T15" s="137">
        <f t="shared" si="9"/>
        <v>0</v>
      </c>
    </row>
    <row r="16" spans="2:22" x14ac:dyDescent="0.25">
      <c r="B16" s="28" t="s">
        <v>245</v>
      </c>
      <c r="C16" s="17" t="s">
        <v>532</v>
      </c>
      <c r="D16" s="90">
        <v>0</v>
      </c>
      <c r="E16" s="253">
        <f t="shared" si="0"/>
        <v>0</v>
      </c>
      <c r="F16" s="159">
        <v>0</v>
      </c>
      <c r="G16" s="253">
        <f t="shared" si="1"/>
        <v>0</v>
      </c>
      <c r="H16" s="141">
        <f t="shared" si="2"/>
        <v>0</v>
      </c>
      <c r="I16" s="36">
        <v>0</v>
      </c>
      <c r="J16" s="253">
        <f t="shared" si="3"/>
        <v>0</v>
      </c>
      <c r="K16" s="141">
        <f t="shared" si="4"/>
        <v>0</v>
      </c>
      <c r="L16" s="74"/>
      <c r="M16" s="85">
        <v>0</v>
      </c>
      <c r="N16" s="253">
        <f t="shared" si="5"/>
        <v>0</v>
      </c>
      <c r="O16" s="159">
        <v>0</v>
      </c>
      <c r="P16" s="253">
        <f t="shared" si="6"/>
        <v>0</v>
      </c>
      <c r="Q16" s="141">
        <f t="shared" si="7"/>
        <v>0</v>
      </c>
      <c r="R16" s="36">
        <v>8277.2099999999991</v>
      </c>
      <c r="S16" s="253">
        <f t="shared" si="8"/>
        <v>9.0293556901649696E-3</v>
      </c>
      <c r="T16" s="141">
        <f t="shared" si="9"/>
        <v>-8277.2099999999991</v>
      </c>
    </row>
    <row r="17" spans="2:20" x14ac:dyDescent="0.25">
      <c r="B17" s="28" t="s">
        <v>663</v>
      </c>
      <c r="C17" s="22" t="s">
        <v>534</v>
      </c>
      <c r="D17" s="103">
        <f t="shared" ref="D17" si="10">SUM(D11:D16)</f>
        <v>229573.07</v>
      </c>
      <c r="E17" s="146">
        <f t="shared" si="0"/>
        <v>0.60552291124622504</v>
      </c>
      <c r="F17" s="103">
        <f t="shared" ref="F17" si="11">SUM(F11:F16)</f>
        <v>222532.95</v>
      </c>
      <c r="G17" s="146">
        <f t="shared" si="1"/>
        <v>0.50852370917801948</v>
      </c>
      <c r="H17" s="154">
        <f t="shared" si="2"/>
        <v>7040.1199999999953</v>
      </c>
      <c r="I17" s="103">
        <f t="shared" ref="I17" si="12">SUM(I11:I16)</f>
        <v>136265.43</v>
      </c>
      <c r="J17" s="146">
        <f t="shared" si="3"/>
        <v>0.54295286933737885</v>
      </c>
      <c r="K17" s="154">
        <f t="shared" si="4"/>
        <v>93307.640000000014</v>
      </c>
      <c r="L17" s="74"/>
      <c r="M17" s="152">
        <f t="shared" ref="M17" si="13">SUM(M11:M16)</f>
        <v>917886.78</v>
      </c>
      <c r="N17" s="146">
        <f t="shared" si="5"/>
        <v>0.60230143355120858</v>
      </c>
      <c r="O17" s="103">
        <f t="shared" ref="O17" si="14">SUM(O11:O16)</f>
        <v>911974.73</v>
      </c>
      <c r="P17" s="146">
        <f t="shared" si="6"/>
        <v>0.50871745824283154</v>
      </c>
      <c r="Q17" s="154">
        <f t="shared" si="7"/>
        <v>5912.0500000000466</v>
      </c>
      <c r="R17" s="103">
        <f t="shared" ref="R17" si="15">SUM(R11:R16)</f>
        <v>516002.59</v>
      </c>
      <c r="S17" s="146">
        <f t="shared" si="8"/>
        <v>0.56289147214536805</v>
      </c>
      <c r="T17" s="154">
        <f t="shared" si="9"/>
        <v>401884.19</v>
      </c>
    </row>
    <row r="18" spans="2:20" x14ac:dyDescent="0.25">
      <c r="B18" s="28"/>
      <c r="C18" s="22" t="s">
        <v>62</v>
      </c>
      <c r="D18" s="250"/>
      <c r="E18" s="147"/>
      <c r="F18" s="250"/>
      <c r="G18" s="114"/>
      <c r="H18" s="266"/>
      <c r="I18" s="250"/>
      <c r="K18" s="169"/>
      <c r="L18" s="296"/>
      <c r="M18" s="249"/>
      <c r="N18" s="147"/>
      <c r="O18" s="250"/>
      <c r="P18" s="114"/>
      <c r="Q18" s="266"/>
      <c r="R18" s="250"/>
      <c r="T18" s="169"/>
    </row>
    <row r="19" spans="2:20" x14ac:dyDescent="0.25">
      <c r="B19" s="28" t="s">
        <v>345</v>
      </c>
      <c r="C19" s="17" t="s">
        <v>535</v>
      </c>
      <c r="D19" s="36">
        <v>85269.01</v>
      </c>
      <c r="E19" s="51">
        <f t="shared" ref="E19:E24" si="16">IFERROR(D19/D$35,"")</f>
        <v>0.22490590544563208</v>
      </c>
      <c r="F19" s="36">
        <v>134805</v>
      </c>
      <c r="G19" s="51">
        <f t="shared" ref="G19:G35" si="17">IFERROR(F19/F$35,"")</f>
        <v>0.30805118350223154</v>
      </c>
      <c r="H19" s="137">
        <f t="shared" ref="H19:H27" si="18">+D19-F19</f>
        <v>-49535.990000000005</v>
      </c>
      <c r="I19" s="36">
        <v>76097.09</v>
      </c>
      <c r="J19" s="51">
        <f t="shared" ref="J19:J35" si="19">IFERROR(I19/I$35,"")</f>
        <v>0.30321067759977532</v>
      </c>
      <c r="K19" s="137">
        <f t="shared" ref="K19:K27" si="20">+D19-I19</f>
        <v>9171.9199999999983</v>
      </c>
      <c r="L19" s="74"/>
      <c r="M19" s="89">
        <v>346194.51</v>
      </c>
      <c r="N19" s="51">
        <f t="shared" ref="N19:N27" si="21">IFERROR(M19/M$35,"")</f>
        <v>0.22716685129788905</v>
      </c>
      <c r="O19" s="36">
        <v>552615</v>
      </c>
      <c r="P19" s="51">
        <f t="shared" ref="P19:P27" si="22">IFERROR(O19/O$35,"")</f>
        <v>0.30825952621172115</v>
      </c>
      <c r="Q19" s="137">
        <f t="shared" ref="Q19:Q27" si="23">+M19-O19</f>
        <v>-206420.49</v>
      </c>
      <c r="R19" s="36">
        <v>235369.46</v>
      </c>
      <c r="S19" s="51">
        <f t="shared" ref="S19:S27" si="24">IFERROR(R19/R$35,"")</f>
        <v>0.2567573582091135</v>
      </c>
      <c r="T19" s="137">
        <f t="shared" ref="T19:T27" si="25">+M19-R19</f>
        <v>110825.05000000002</v>
      </c>
    </row>
    <row r="20" spans="2:20" x14ac:dyDescent="0.25">
      <c r="B20" s="28" t="s">
        <v>343</v>
      </c>
      <c r="C20" s="17" t="s">
        <v>538</v>
      </c>
      <c r="D20" s="36">
        <v>2343.12</v>
      </c>
      <c r="E20" s="51">
        <f t="shared" si="16"/>
        <v>6.1802233328118791E-3</v>
      </c>
      <c r="F20" s="36">
        <v>2879.55</v>
      </c>
      <c r="G20" s="51">
        <f t="shared" si="17"/>
        <v>6.5802365302017798E-3</v>
      </c>
      <c r="H20" s="137">
        <f t="shared" si="18"/>
        <v>-536.43000000000029</v>
      </c>
      <c r="I20" s="36">
        <v>2374</v>
      </c>
      <c r="J20" s="51">
        <f t="shared" si="19"/>
        <v>9.4592598563475513E-3</v>
      </c>
      <c r="K20" s="137">
        <f t="shared" si="20"/>
        <v>-30.880000000000109</v>
      </c>
      <c r="L20" s="74"/>
      <c r="M20" s="89">
        <v>11789.51</v>
      </c>
      <c r="N20" s="51">
        <f t="shared" si="21"/>
        <v>7.7360726056718114E-3</v>
      </c>
      <c r="O20" s="36">
        <v>11504.77</v>
      </c>
      <c r="P20" s="51">
        <f t="shared" si="22"/>
        <v>6.4175871979132368E-3</v>
      </c>
      <c r="Q20" s="137">
        <f t="shared" si="23"/>
        <v>284.73999999999978</v>
      </c>
      <c r="R20" s="36">
        <v>12103.67</v>
      </c>
      <c r="S20" s="51">
        <f t="shared" si="24"/>
        <v>1.3203524084368893E-2</v>
      </c>
      <c r="T20" s="137">
        <f t="shared" si="25"/>
        <v>-314.15999999999985</v>
      </c>
    </row>
    <row r="21" spans="2:20" x14ac:dyDescent="0.25">
      <c r="B21" s="28" t="s">
        <v>616</v>
      </c>
      <c r="C21" s="17" t="s">
        <v>614</v>
      </c>
      <c r="D21" s="36">
        <v>0</v>
      </c>
      <c r="E21" s="51">
        <f t="shared" si="16"/>
        <v>0</v>
      </c>
      <c r="F21" s="36">
        <v>0</v>
      </c>
      <c r="G21" s="51">
        <f t="shared" si="17"/>
        <v>0</v>
      </c>
      <c r="H21" s="137">
        <f t="shared" si="18"/>
        <v>0</v>
      </c>
      <c r="I21" s="36">
        <v>0</v>
      </c>
      <c r="J21" s="51">
        <f t="shared" si="19"/>
        <v>0</v>
      </c>
      <c r="K21" s="137">
        <f t="shared" si="20"/>
        <v>0</v>
      </c>
      <c r="L21" s="74"/>
      <c r="M21" s="89">
        <v>0</v>
      </c>
      <c r="N21" s="51">
        <f t="shared" si="21"/>
        <v>0</v>
      </c>
      <c r="O21" s="36">
        <v>0</v>
      </c>
      <c r="P21" s="51">
        <f t="shared" si="22"/>
        <v>0</v>
      </c>
      <c r="Q21" s="137">
        <f t="shared" si="23"/>
        <v>0</v>
      </c>
      <c r="R21" s="36">
        <v>0</v>
      </c>
      <c r="S21" s="51">
        <f t="shared" si="24"/>
        <v>0</v>
      </c>
      <c r="T21" s="137">
        <f t="shared" si="25"/>
        <v>0</v>
      </c>
    </row>
    <row r="22" spans="2:20" x14ac:dyDescent="0.25">
      <c r="B22" s="28" t="s">
        <v>617</v>
      </c>
      <c r="C22" s="17" t="s">
        <v>615</v>
      </c>
      <c r="D22" s="36">
        <v>0</v>
      </c>
      <c r="E22" s="51">
        <f t="shared" si="16"/>
        <v>0</v>
      </c>
      <c r="F22" s="36">
        <v>0</v>
      </c>
      <c r="G22" s="51">
        <f t="shared" si="17"/>
        <v>0</v>
      </c>
      <c r="H22" s="137">
        <f t="shared" si="18"/>
        <v>0</v>
      </c>
      <c r="I22" s="36">
        <v>0</v>
      </c>
      <c r="J22" s="51">
        <f t="shared" si="19"/>
        <v>0</v>
      </c>
      <c r="K22" s="137">
        <f t="shared" si="20"/>
        <v>0</v>
      </c>
      <c r="L22" s="74"/>
      <c r="M22" s="89">
        <v>0</v>
      </c>
      <c r="N22" s="51">
        <f t="shared" si="21"/>
        <v>0</v>
      </c>
      <c r="O22" s="36">
        <v>0</v>
      </c>
      <c r="P22" s="51">
        <f t="shared" si="22"/>
        <v>0</v>
      </c>
      <c r="Q22" s="137">
        <f t="shared" si="23"/>
        <v>0</v>
      </c>
      <c r="R22" s="36">
        <v>0</v>
      </c>
      <c r="S22" s="51">
        <f t="shared" si="24"/>
        <v>0</v>
      </c>
      <c r="T22" s="137">
        <f t="shared" si="25"/>
        <v>0</v>
      </c>
    </row>
    <row r="23" spans="2:20" x14ac:dyDescent="0.25">
      <c r="B23" s="28" t="s">
        <v>225</v>
      </c>
      <c r="C23" s="17" t="s">
        <v>536</v>
      </c>
      <c r="D23" s="36">
        <v>0</v>
      </c>
      <c r="E23" s="51">
        <f t="shared" si="16"/>
        <v>0</v>
      </c>
      <c r="F23" s="36">
        <v>0</v>
      </c>
      <c r="G23" s="51">
        <f t="shared" si="17"/>
        <v>0</v>
      </c>
      <c r="H23" s="137">
        <f t="shared" si="18"/>
        <v>0</v>
      </c>
      <c r="I23" s="36">
        <v>0</v>
      </c>
      <c r="J23" s="51">
        <f t="shared" si="19"/>
        <v>0</v>
      </c>
      <c r="K23" s="137">
        <f t="shared" si="20"/>
        <v>0</v>
      </c>
      <c r="L23" s="74"/>
      <c r="M23" s="89">
        <v>0</v>
      </c>
      <c r="N23" s="51">
        <f t="shared" si="21"/>
        <v>0</v>
      </c>
      <c r="O23" s="36">
        <v>0</v>
      </c>
      <c r="P23" s="51">
        <f t="shared" si="22"/>
        <v>0</v>
      </c>
      <c r="Q23" s="137">
        <f t="shared" si="23"/>
        <v>0</v>
      </c>
      <c r="R23" s="36">
        <v>0</v>
      </c>
      <c r="S23" s="51">
        <f t="shared" si="24"/>
        <v>0</v>
      </c>
      <c r="T23" s="137">
        <f t="shared" si="25"/>
        <v>0</v>
      </c>
    </row>
    <row r="24" spans="2:20" x14ac:dyDescent="0.25">
      <c r="B24" s="28" t="s">
        <v>244</v>
      </c>
      <c r="C24" s="17" t="s">
        <v>537</v>
      </c>
      <c r="D24" s="159">
        <v>0</v>
      </c>
      <c r="E24" s="253">
        <f t="shared" si="16"/>
        <v>0</v>
      </c>
      <c r="F24" s="159">
        <v>0</v>
      </c>
      <c r="G24" s="253">
        <f t="shared" si="17"/>
        <v>0</v>
      </c>
      <c r="H24" s="141">
        <f t="shared" si="18"/>
        <v>0</v>
      </c>
      <c r="I24" s="36">
        <v>0</v>
      </c>
      <c r="J24" s="253">
        <f t="shared" si="19"/>
        <v>0</v>
      </c>
      <c r="K24" s="141">
        <f t="shared" si="20"/>
        <v>0</v>
      </c>
      <c r="L24" s="74"/>
      <c r="M24" s="158">
        <v>0</v>
      </c>
      <c r="N24" s="253">
        <f t="shared" si="21"/>
        <v>0</v>
      </c>
      <c r="O24" s="159">
        <v>0</v>
      </c>
      <c r="P24" s="253">
        <f t="shared" si="22"/>
        <v>0</v>
      </c>
      <c r="Q24" s="141">
        <f t="shared" si="23"/>
        <v>0</v>
      </c>
      <c r="R24" s="36">
        <v>0</v>
      </c>
      <c r="S24" s="253">
        <f t="shared" si="24"/>
        <v>0</v>
      </c>
      <c r="T24" s="141">
        <f t="shared" si="25"/>
        <v>0</v>
      </c>
    </row>
    <row r="25" spans="2:20" x14ac:dyDescent="0.25">
      <c r="B25" s="28" t="s">
        <v>657</v>
      </c>
      <c r="C25" s="22" t="s">
        <v>539</v>
      </c>
      <c r="D25" s="103">
        <f t="shared" ref="D25" si="26">SUM(D19:D24)</f>
        <v>87612.12999999999</v>
      </c>
      <c r="E25" s="146">
        <f t="shared" ref="E25:E35" si="27">IFERROR(D25/D$35,"")</f>
        <v>0.23108612877844392</v>
      </c>
      <c r="F25" s="103">
        <f t="shared" ref="F25" si="28">SUM(F19:F24)</f>
        <v>137684.54999999999</v>
      </c>
      <c r="G25" s="146">
        <f t="shared" si="17"/>
        <v>0.31463142003243327</v>
      </c>
      <c r="H25" s="154">
        <f t="shared" si="18"/>
        <v>-50072.42</v>
      </c>
      <c r="I25" s="103">
        <f t="shared" ref="I25" si="29">SUM(I19:I24)</f>
        <v>78471.09</v>
      </c>
      <c r="J25" s="146">
        <f t="shared" si="19"/>
        <v>0.31266993745612287</v>
      </c>
      <c r="K25" s="154">
        <f t="shared" si="20"/>
        <v>9141.0399999999936</v>
      </c>
      <c r="L25" s="74"/>
      <c r="M25" s="152">
        <f t="shared" ref="M25" si="30">SUM(M19:M24)</f>
        <v>357984.02</v>
      </c>
      <c r="N25" s="146">
        <f t="shared" si="21"/>
        <v>0.23490292390356085</v>
      </c>
      <c r="O25" s="103">
        <f t="shared" ref="O25" si="31">SUM(O19:O24)</f>
        <v>564119.77</v>
      </c>
      <c r="P25" s="146">
        <f t="shared" si="22"/>
        <v>0.31467711340963439</v>
      </c>
      <c r="Q25" s="154">
        <f t="shared" si="23"/>
        <v>-206135.75</v>
      </c>
      <c r="R25" s="103">
        <f t="shared" ref="R25" si="32">SUM(R19:R24)</f>
        <v>247473.13</v>
      </c>
      <c r="S25" s="146">
        <f t="shared" si="24"/>
        <v>0.26996088229348236</v>
      </c>
      <c r="T25" s="154">
        <f t="shared" si="25"/>
        <v>110510.89000000001</v>
      </c>
    </row>
    <row r="26" spans="2:20" x14ac:dyDescent="0.25">
      <c r="B26" s="28" t="s">
        <v>196</v>
      </c>
      <c r="C26" s="17" t="s">
        <v>540</v>
      </c>
      <c r="D26" s="159">
        <v>-38</v>
      </c>
      <c r="E26" s="253">
        <f t="shared" si="27"/>
        <v>-1.0022896251444715E-4</v>
      </c>
      <c r="F26" s="159">
        <v>0</v>
      </c>
      <c r="G26" s="253">
        <f t="shared" si="17"/>
        <v>0</v>
      </c>
      <c r="H26" s="141">
        <f t="shared" si="18"/>
        <v>-38</v>
      </c>
      <c r="I26" s="36">
        <v>0</v>
      </c>
      <c r="J26" s="253">
        <f t="shared" si="19"/>
        <v>0</v>
      </c>
      <c r="K26" s="141">
        <f t="shared" si="20"/>
        <v>-38</v>
      </c>
      <c r="L26" s="74"/>
      <c r="M26" s="158">
        <v>-727.2</v>
      </c>
      <c r="N26" s="253">
        <f t="shared" si="21"/>
        <v>-4.7717606574357551E-4</v>
      </c>
      <c r="O26" s="159">
        <v>0</v>
      </c>
      <c r="P26" s="253">
        <f t="shared" si="22"/>
        <v>0</v>
      </c>
      <c r="Q26" s="141">
        <f t="shared" si="23"/>
        <v>-727.2</v>
      </c>
      <c r="R26" s="36">
        <v>-43.18</v>
      </c>
      <c r="S26" s="253">
        <f t="shared" si="24"/>
        <v>-4.7103743737482001E-5</v>
      </c>
      <c r="T26" s="141">
        <f t="shared" si="25"/>
        <v>-684.0200000000001</v>
      </c>
    </row>
    <row r="27" spans="2:20" x14ac:dyDescent="0.25">
      <c r="B27" s="28" t="s">
        <v>662</v>
      </c>
      <c r="C27" s="22" t="s">
        <v>541</v>
      </c>
      <c r="D27" s="103">
        <f t="shared" ref="D27" si="33">+D17+D25+D26</f>
        <v>317147.2</v>
      </c>
      <c r="E27" s="146">
        <f t="shared" si="27"/>
        <v>0.83650881106215458</v>
      </c>
      <c r="F27" s="103">
        <f>F17+F25+F26</f>
        <v>360217.5</v>
      </c>
      <c r="G27" s="146">
        <f t="shared" si="17"/>
        <v>0.82315512921045275</v>
      </c>
      <c r="H27" s="154">
        <f t="shared" si="18"/>
        <v>-43070.299999999988</v>
      </c>
      <c r="I27" s="103">
        <f>I17+I25+I26</f>
        <v>214736.52</v>
      </c>
      <c r="J27" s="146">
        <f t="shared" si="19"/>
        <v>0.85562280679350167</v>
      </c>
      <c r="K27" s="154">
        <f t="shared" si="20"/>
        <v>102410.68000000002</v>
      </c>
      <c r="L27" s="74"/>
      <c r="M27" s="152">
        <f t="shared" ref="M27" si="34">+M17+M25+M26</f>
        <v>1275143.6000000001</v>
      </c>
      <c r="N27" s="146">
        <f t="shared" si="21"/>
        <v>0.8367271813890258</v>
      </c>
      <c r="O27" s="103">
        <f>O17+O25+O26</f>
        <v>1476094.5</v>
      </c>
      <c r="P27" s="146">
        <f t="shared" si="22"/>
        <v>0.82339457165246588</v>
      </c>
      <c r="Q27" s="154">
        <f t="shared" si="23"/>
        <v>-200950.89999999991</v>
      </c>
      <c r="R27" s="103">
        <f>R17+R25+R26</f>
        <v>763432.53999999992</v>
      </c>
      <c r="S27" s="146">
        <f t="shared" si="24"/>
        <v>0.83280525069511291</v>
      </c>
      <c r="T27" s="154">
        <f t="shared" si="25"/>
        <v>511711.06000000017</v>
      </c>
    </row>
    <row r="28" spans="2:20" x14ac:dyDescent="0.25">
      <c r="B28" s="28"/>
      <c r="C28" s="18" t="s">
        <v>54</v>
      </c>
      <c r="D28" s="309"/>
      <c r="E28" s="83"/>
      <c r="F28" s="250"/>
      <c r="G28" s="114"/>
      <c r="H28" s="266"/>
      <c r="I28" s="250"/>
      <c r="K28" s="169"/>
      <c r="L28" s="74"/>
      <c r="M28" s="262"/>
      <c r="N28" s="83"/>
      <c r="O28" s="250"/>
      <c r="P28" s="114"/>
      <c r="Q28" s="266"/>
      <c r="R28" s="250"/>
      <c r="T28" s="169"/>
    </row>
    <row r="29" spans="2:20" x14ac:dyDescent="0.25">
      <c r="B29" s="28" t="s">
        <v>197</v>
      </c>
      <c r="C29" s="17" t="s">
        <v>542</v>
      </c>
      <c r="D29" s="36">
        <v>9457</v>
      </c>
      <c r="E29" s="51">
        <f t="shared" si="27"/>
        <v>2.4943823644713859E-2</v>
      </c>
      <c r="F29" s="36">
        <v>6000</v>
      </c>
      <c r="G29" s="51">
        <f t="shared" si="17"/>
        <v>1.3710968443406323E-2</v>
      </c>
      <c r="H29" s="137">
        <f>+D29-F29</f>
        <v>3457</v>
      </c>
      <c r="I29" s="36">
        <v>1062</v>
      </c>
      <c r="J29" s="51">
        <f t="shared" si="19"/>
        <v>4.2315644344739257E-3</v>
      </c>
      <c r="K29" s="137">
        <f>+D29-I29</f>
        <v>8395</v>
      </c>
      <c r="L29" s="74"/>
      <c r="M29" s="89">
        <v>37729</v>
      </c>
      <c r="N29" s="51">
        <f t="shared" ref="N29:N33" si="35">IFERROR(M29/M$35,"")</f>
        <v>2.4757117415345656E-2</v>
      </c>
      <c r="O29" s="36">
        <v>24000</v>
      </c>
      <c r="P29" s="51">
        <f t="shared" ref="P29:P33" si="36">IFERROR(O29/O$35,"")</f>
        <v>1.3387672482797803E-2</v>
      </c>
      <c r="Q29" s="137">
        <f>+M29-O29</f>
        <v>13729</v>
      </c>
      <c r="R29" s="36">
        <v>26047</v>
      </c>
      <c r="S29" s="51">
        <f t="shared" ref="S29:S33" si="37">IFERROR(R29/R$35,"")</f>
        <v>2.841387709889286E-2</v>
      </c>
      <c r="T29" s="137">
        <f>+M29-R29</f>
        <v>11682</v>
      </c>
    </row>
    <row r="30" spans="2:20" x14ac:dyDescent="0.25">
      <c r="B30" s="28" t="s">
        <v>203</v>
      </c>
      <c r="C30" s="17" t="s">
        <v>543</v>
      </c>
      <c r="D30" s="36">
        <v>0</v>
      </c>
      <c r="E30" s="51">
        <f t="shared" si="27"/>
        <v>0</v>
      </c>
      <c r="F30" s="36">
        <v>0</v>
      </c>
      <c r="G30" s="51">
        <f t="shared" si="17"/>
        <v>0</v>
      </c>
      <c r="H30" s="137">
        <f>+D30-F30</f>
        <v>0</v>
      </c>
      <c r="I30" s="36">
        <v>0</v>
      </c>
      <c r="J30" s="51">
        <f t="shared" si="19"/>
        <v>0</v>
      </c>
      <c r="K30" s="137">
        <f>+D30-I30</f>
        <v>0</v>
      </c>
      <c r="L30" s="74"/>
      <c r="M30" s="89">
        <v>0</v>
      </c>
      <c r="N30" s="51">
        <f t="shared" si="35"/>
        <v>0</v>
      </c>
      <c r="O30" s="36">
        <v>0</v>
      </c>
      <c r="P30" s="51">
        <f t="shared" si="36"/>
        <v>0</v>
      </c>
      <c r="Q30" s="137">
        <f>+M30-O30</f>
        <v>0</v>
      </c>
      <c r="R30" s="36">
        <v>1000</v>
      </c>
      <c r="S30" s="51">
        <f t="shared" si="37"/>
        <v>1.0908694705299214E-3</v>
      </c>
      <c r="T30" s="137">
        <f>+M30-R30</f>
        <v>-1000</v>
      </c>
    </row>
    <row r="31" spans="2:20" x14ac:dyDescent="0.25">
      <c r="B31" s="28" t="s">
        <v>206</v>
      </c>
      <c r="C31" s="17" t="s">
        <v>544</v>
      </c>
      <c r="D31" s="36">
        <v>60636.74</v>
      </c>
      <c r="E31" s="51">
        <f t="shared" si="27"/>
        <v>0.15993572474890205</v>
      </c>
      <c r="F31" s="36">
        <v>70950</v>
      </c>
      <c r="G31" s="51">
        <f t="shared" si="17"/>
        <v>0.16213220184327976</v>
      </c>
      <c r="H31" s="137">
        <f>+D31-F31</f>
        <v>-10313.260000000002</v>
      </c>
      <c r="I31" s="36">
        <v>37778.19</v>
      </c>
      <c r="J31" s="51">
        <f t="shared" si="19"/>
        <v>0.1505281028274939</v>
      </c>
      <c r="K31" s="137">
        <f>+D31-I31</f>
        <v>22858.549999999996</v>
      </c>
      <c r="L31" s="74"/>
      <c r="M31" s="89">
        <v>244198.1</v>
      </c>
      <c r="N31" s="51">
        <f t="shared" si="35"/>
        <v>0.16023857070964828</v>
      </c>
      <c r="O31" s="36">
        <v>290850</v>
      </c>
      <c r="P31" s="51">
        <f t="shared" si="36"/>
        <v>0.16224185590090587</v>
      </c>
      <c r="Q31" s="137">
        <f>+M31-O31</f>
        <v>-46651.899999999994</v>
      </c>
      <c r="R31" s="36">
        <v>130447.39</v>
      </c>
      <c r="S31" s="51">
        <f t="shared" si="37"/>
        <v>0.14230107526131014</v>
      </c>
      <c r="T31" s="137">
        <f>+M31-R31</f>
        <v>113750.71</v>
      </c>
    </row>
    <row r="32" spans="2:20" x14ac:dyDescent="0.25">
      <c r="B32" s="28" t="s">
        <v>204</v>
      </c>
      <c r="C32" s="17" t="s">
        <v>545</v>
      </c>
      <c r="D32" s="159">
        <v>-8109.01</v>
      </c>
      <c r="E32" s="253">
        <f t="shared" si="27"/>
        <v>-2.1388359455770452E-2</v>
      </c>
      <c r="F32" s="159">
        <v>438.35</v>
      </c>
      <c r="G32" s="253">
        <f t="shared" si="17"/>
        <v>1.0017005028611936E-3</v>
      </c>
      <c r="H32" s="141">
        <f>+D32-F32</f>
        <v>-8547.36</v>
      </c>
      <c r="I32" s="36">
        <v>-2605.6999999999998</v>
      </c>
      <c r="J32" s="253">
        <f t="shared" si="19"/>
        <v>-1.0382474055469593E-2</v>
      </c>
      <c r="K32" s="141">
        <f>+D32-I32</f>
        <v>-5503.31</v>
      </c>
      <c r="L32" s="74"/>
      <c r="M32" s="158">
        <v>-33104.910000000003</v>
      </c>
      <c r="N32" s="253">
        <f t="shared" si="35"/>
        <v>-2.1722869514019735E-2</v>
      </c>
      <c r="O32" s="159">
        <v>1749.49</v>
      </c>
      <c r="P32" s="253">
        <f t="shared" si="36"/>
        <v>9.7589996383041372E-4</v>
      </c>
      <c r="Q32" s="141">
        <f>+M32-O32</f>
        <v>-34854.400000000001</v>
      </c>
      <c r="R32" s="36">
        <v>-4226.97</v>
      </c>
      <c r="S32" s="253">
        <f t="shared" si="37"/>
        <v>-4.6110725258458616E-3</v>
      </c>
      <c r="T32" s="141">
        <f>+M32-R32</f>
        <v>-28877.940000000002</v>
      </c>
    </row>
    <row r="33" spans="2:20" x14ac:dyDescent="0.25">
      <c r="B33" s="28" t="s">
        <v>668</v>
      </c>
      <c r="C33" s="22" t="s">
        <v>546</v>
      </c>
      <c r="D33" s="103">
        <f t="shared" ref="D33" si="38">SUM(D29:D32)</f>
        <v>61984.729999999989</v>
      </c>
      <c r="E33" s="146">
        <f t="shared" si="27"/>
        <v>0.16349118893784542</v>
      </c>
      <c r="F33" s="103">
        <f t="shared" ref="F33" si="39">SUM(F29:F32)</f>
        <v>77388.350000000006</v>
      </c>
      <c r="G33" s="146">
        <f t="shared" si="17"/>
        <v>0.17684487078954728</v>
      </c>
      <c r="H33" s="154">
        <f>+D33-F33</f>
        <v>-15403.620000000017</v>
      </c>
      <c r="I33" s="103">
        <f t="shared" ref="I33" si="40">SUM(I29:I32)</f>
        <v>36234.490000000005</v>
      </c>
      <c r="J33" s="146">
        <f t="shared" si="19"/>
        <v>0.14437719320649825</v>
      </c>
      <c r="K33" s="154">
        <f>+D33-I33</f>
        <v>25750.239999999983</v>
      </c>
      <c r="L33" s="74"/>
      <c r="M33" s="152">
        <f t="shared" ref="M33" si="41">SUM(M29:M32)</f>
        <v>248822.18999999997</v>
      </c>
      <c r="N33" s="146">
        <f t="shared" si="35"/>
        <v>0.16327281861097417</v>
      </c>
      <c r="O33" s="103">
        <f t="shared" ref="O33" si="42">SUM(O29:O32)</f>
        <v>316599.49</v>
      </c>
      <c r="P33" s="146">
        <f t="shared" si="36"/>
        <v>0.17660542834753409</v>
      </c>
      <c r="Q33" s="154">
        <f>+M33-O33</f>
        <v>-67777.300000000017</v>
      </c>
      <c r="R33" s="103">
        <f t="shared" ref="R33" si="43">SUM(R29:R32)</f>
        <v>153267.42000000001</v>
      </c>
      <c r="S33" s="146">
        <f t="shared" si="37"/>
        <v>0.16719474930488709</v>
      </c>
      <c r="T33" s="154">
        <f>+M33-R33</f>
        <v>95554.76999999996</v>
      </c>
    </row>
    <row r="34" spans="2:20" x14ac:dyDescent="0.25">
      <c r="B34" s="28"/>
      <c r="C34" s="17"/>
      <c r="D34" s="310"/>
      <c r="E34" s="263"/>
      <c r="F34" s="250"/>
      <c r="G34" s="114"/>
      <c r="H34" s="266"/>
      <c r="I34" s="250"/>
      <c r="K34" s="169"/>
      <c r="L34" s="74"/>
      <c r="M34" s="264"/>
      <c r="N34" s="263"/>
      <c r="O34" s="250"/>
      <c r="P34" s="114"/>
      <c r="Q34" s="266"/>
      <c r="R34" s="250"/>
      <c r="T34" s="169"/>
    </row>
    <row r="35" spans="2:20" x14ac:dyDescent="0.25">
      <c r="B35" s="28" t="s">
        <v>12</v>
      </c>
      <c r="C35" s="22" t="s">
        <v>446</v>
      </c>
      <c r="D35" s="103">
        <f t="shared" ref="D35" si="44">+D27+D33</f>
        <v>379131.93</v>
      </c>
      <c r="E35" s="146">
        <f t="shared" si="27"/>
        <v>1</v>
      </c>
      <c r="F35" s="103">
        <f t="shared" ref="F35" si="45">+F27+F33</f>
        <v>437605.85</v>
      </c>
      <c r="G35" s="146">
        <f t="shared" si="17"/>
        <v>1</v>
      </c>
      <c r="H35" s="154">
        <f>+D35-F35</f>
        <v>-58473.919999999984</v>
      </c>
      <c r="I35" s="103">
        <f t="shared" ref="I35" si="46">+I27+I33</f>
        <v>250971.01</v>
      </c>
      <c r="J35" s="146">
        <f t="shared" si="19"/>
        <v>1</v>
      </c>
      <c r="K35" s="154">
        <f>+D35-I35</f>
        <v>128160.91999999998</v>
      </c>
      <c r="L35" s="74"/>
      <c r="M35" s="152">
        <f t="shared" ref="M35" si="47">+M27+M33</f>
        <v>1523965.79</v>
      </c>
      <c r="N35" s="146">
        <f t="shared" ref="N35" si="48">IFERROR(M35/M$35,"")</f>
        <v>1</v>
      </c>
      <c r="O35" s="103">
        <f t="shared" ref="O35" si="49">+O27+O33</f>
        <v>1792693.99</v>
      </c>
      <c r="P35" s="146">
        <f t="shared" ref="P35" si="50">IFERROR(O35/O$35,"")</f>
        <v>1</v>
      </c>
      <c r="Q35" s="154">
        <f>+M35-O35</f>
        <v>-268728.19999999995</v>
      </c>
      <c r="R35" s="103">
        <f t="shared" ref="R35" si="51">+R27+R33</f>
        <v>916699.96</v>
      </c>
      <c r="S35" s="146">
        <f t="shared" ref="S35" si="52">IFERROR(R35/R$35,"")</f>
        <v>1</v>
      </c>
      <c r="T35" s="154">
        <f>+M35-R35</f>
        <v>607265.83000000007</v>
      </c>
    </row>
    <row r="36" spans="2:20" x14ac:dyDescent="0.25">
      <c r="B36" s="28"/>
      <c r="C36" s="16"/>
      <c r="D36" s="241"/>
      <c r="E36" s="53"/>
      <c r="F36" s="260"/>
      <c r="G36" s="261"/>
      <c r="H36" s="49"/>
      <c r="I36" s="260"/>
      <c r="J36" s="261"/>
      <c r="K36" s="49"/>
      <c r="L36" s="74"/>
      <c r="M36" s="240"/>
      <c r="N36" s="53"/>
      <c r="O36" s="260"/>
      <c r="P36" s="261"/>
      <c r="Q36" s="49"/>
      <c r="R36" s="260"/>
      <c r="S36" s="261"/>
      <c r="T36" s="49"/>
    </row>
    <row r="37" spans="2:20" x14ac:dyDescent="0.25">
      <c r="B37" s="28"/>
      <c r="C37" s="15" t="s">
        <v>547</v>
      </c>
      <c r="D37" s="48"/>
      <c r="E37" s="53"/>
      <c r="F37" s="48"/>
      <c r="G37" s="32"/>
      <c r="H37" s="49"/>
      <c r="I37" s="48"/>
      <c r="J37" s="32"/>
      <c r="K37" s="49"/>
      <c r="L37" s="74"/>
      <c r="M37" s="16"/>
      <c r="N37" s="53"/>
      <c r="O37" s="48"/>
      <c r="P37" s="32"/>
      <c r="Q37" s="49"/>
      <c r="R37" s="48"/>
      <c r="S37" s="32"/>
      <c r="T37" s="49"/>
    </row>
    <row r="38" spans="2:20" x14ac:dyDescent="0.25">
      <c r="B38" s="28"/>
      <c r="C38" s="22" t="s">
        <v>548</v>
      </c>
      <c r="D38" s="48"/>
      <c r="E38" s="53"/>
      <c r="F38" s="77"/>
      <c r="G38" s="99"/>
      <c r="H38" s="49"/>
      <c r="I38" s="77"/>
      <c r="J38" s="99"/>
      <c r="K38" s="49"/>
      <c r="L38" s="74"/>
      <c r="M38" s="16"/>
      <c r="N38" s="53"/>
      <c r="O38" s="77"/>
      <c r="P38" s="99"/>
      <c r="Q38" s="49"/>
      <c r="R38" s="77"/>
      <c r="S38" s="99"/>
      <c r="T38" s="49"/>
    </row>
    <row r="39" spans="2:20" x14ac:dyDescent="0.25">
      <c r="B39" s="28" t="s">
        <v>626</v>
      </c>
      <c r="C39" s="17" t="s">
        <v>549</v>
      </c>
      <c r="D39" s="36">
        <v>65514.91</v>
      </c>
      <c r="E39" s="51">
        <f>IFERROR(D39/D$17,"")</f>
        <v>0.28537715682418674</v>
      </c>
      <c r="F39" s="36">
        <v>66687.42</v>
      </c>
      <c r="G39" s="51">
        <f>IFERROR(F39/F$17,"")</f>
        <v>0.2996743628303134</v>
      </c>
      <c r="H39" s="137">
        <f>+D39-F39</f>
        <v>-1172.5099999999948</v>
      </c>
      <c r="I39" s="36">
        <v>55246.67</v>
      </c>
      <c r="J39" s="51">
        <f>IFERROR(I39/I$17,"")</f>
        <v>0.40543423229207881</v>
      </c>
      <c r="K39" s="137">
        <f>+D39-I39</f>
        <v>10268.240000000005</v>
      </c>
      <c r="L39" s="74"/>
      <c r="M39" s="89">
        <v>262051.14</v>
      </c>
      <c r="N39" s="51">
        <f>IFERROR(M39/M$17,"")</f>
        <v>0.2854939690927894</v>
      </c>
      <c r="O39" s="36">
        <v>273302.90000000002</v>
      </c>
      <c r="P39" s="51">
        <f>IFERROR(O39/O$17,"")</f>
        <v>0.29968253615974649</v>
      </c>
      <c r="Q39" s="137">
        <f>+M39-O39</f>
        <v>-11251.760000000009</v>
      </c>
      <c r="R39" s="36">
        <v>172398.03</v>
      </c>
      <c r="S39" s="51">
        <f>IFERROR(R39/R$17,"")</f>
        <v>0.33410303231229904</v>
      </c>
      <c r="T39" s="137">
        <f>+M39-R39</f>
        <v>89653.110000000015</v>
      </c>
    </row>
    <row r="40" spans="2:20" x14ac:dyDescent="0.25">
      <c r="B40" s="28" t="s">
        <v>619</v>
      </c>
      <c r="C40" s="17" t="s">
        <v>550</v>
      </c>
      <c r="D40" s="106">
        <v>21381.25</v>
      </c>
      <c r="E40" s="145">
        <f>+IFERROR(D40/D$25,"")</f>
        <v>0.24404440344048253</v>
      </c>
      <c r="F40" s="106">
        <v>24975.35</v>
      </c>
      <c r="G40" s="145">
        <f>+IFERROR(F40/F$25,"")</f>
        <v>0.18139544342484323</v>
      </c>
      <c r="H40" s="153">
        <f>+D40-F40</f>
        <v>-3594.0999999999985</v>
      </c>
      <c r="I40" s="36">
        <v>23380.27</v>
      </c>
      <c r="J40" s="145">
        <f>+IFERROR(I40/I$25,"")</f>
        <v>0.29794756259916871</v>
      </c>
      <c r="K40" s="153">
        <f>+D40-I40</f>
        <v>-1999.0200000000004</v>
      </c>
      <c r="L40" s="74"/>
      <c r="M40" s="157">
        <v>63521.14</v>
      </c>
      <c r="N40" s="145">
        <f>+IFERROR(M40/M$25,"")</f>
        <v>0.1774412723785827</v>
      </c>
      <c r="O40" s="106">
        <v>102294.42</v>
      </c>
      <c r="P40" s="145">
        <f>+IFERROR(O40/O$25,"")</f>
        <v>0.18133457722993823</v>
      </c>
      <c r="Q40" s="153">
        <f>+M40-O40</f>
        <v>-38773.279999999999</v>
      </c>
      <c r="R40" s="36">
        <v>62470.6</v>
      </c>
      <c r="S40" s="145">
        <f>+IFERROR(R40/R$25,"")</f>
        <v>0.25243387029533265</v>
      </c>
      <c r="T40" s="153">
        <f>+M40-R40</f>
        <v>1050.5400000000009</v>
      </c>
    </row>
    <row r="41" spans="2:20" x14ac:dyDescent="0.25">
      <c r="B41" s="28" t="s">
        <v>94</v>
      </c>
      <c r="C41" s="23" t="s">
        <v>551</v>
      </c>
      <c r="D41" s="103">
        <f t="shared" ref="D41" si="53">+SUM(D39:D40)</f>
        <v>86896.16</v>
      </c>
      <c r="E41" s="146">
        <f>+IFERROR(D41/D$27,"")</f>
        <v>0.27399314892264537</v>
      </c>
      <c r="F41" s="103">
        <f t="shared" ref="F41" si="54">+SUM(F39:F40)</f>
        <v>91662.76999999999</v>
      </c>
      <c r="G41" s="146">
        <f>+IFERROR(F41/F$27,"")</f>
        <v>0.25446506624469933</v>
      </c>
      <c r="H41" s="154">
        <f>+D41-F41</f>
        <v>-4766.609999999986</v>
      </c>
      <c r="I41" s="103">
        <f t="shared" ref="I41" si="55">+SUM(I39:I40)</f>
        <v>78626.94</v>
      </c>
      <c r="J41" s="146">
        <f>+IFERROR(I41/I$27,"")</f>
        <v>0.36615541688018416</v>
      </c>
      <c r="K41" s="154">
        <f>+D41-I41</f>
        <v>8269.2200000000012</v>
      </c>
      <c r="L41" s="74"/>
      <c r="M41" s="152">
        <f t="shared" ref="M41" si="56">+SUM(M39:M40)</f>
        <v>325572.28000000003</v>
      </c>
      <c r="N41" s="146">
        <f>+IFERROR(M41/M$27,"")</f>
        <v>0.25532205157128968</v>
      </c>
      <c r="O41" s="103">
        <f t="shared" ref="O41" si="57">+SUM(O39:O40)</f>
        <v>375597.32</v>
      </c>
      <c r="P41" s="146">
        <f>+IFERROR(O41/O$27,"")</f>
        <v>0.2544534377710912</v>
      </c>
      <c r="Q41" s="154">
        <f>+M41-O41</f>
        <v>-50025.039999999979</v>
      </c>
      <c r="R41" s="103">
        <f t="shared" ref="R41" si="58">+SUM(R39:R40)</f>
        <v>234868.63</v>
      </c>
      <c r="S41" s="146">
        <f>+IFERROR(R41/R$27,"")</f>
        <v>0.30764817805643968</v>
      </c>
      <c r="T41" s="154">
        <f>+M41-R41</f>
        <v>90703.650000000023</v>
      </c>
    </row>
    <row r="42" spans="2:20" x14ac:dyDescent="0.25">
      <c r="B42" s="28"/>
      <c r="C42" s="23" t="s">
        <v>552</v>
      </c>
      <c r="D42" s="250"/>
      <c r="E42" s="254"/>
      <c r="F42" s="250"/>
      <c r="G42" s="265"/>
      <c r="H42" s="169"/>
      <c r="I42" s="250"/>
      <c r="J42" s="265"/>
      <c r="K42" s="169"/>
      <c r="L42" s="296"/>
      <c r="M42" s="249"/>
      <c r="N42" s="254"/>
      <c r="O42" s="250"/>
      <c r="P42" s="265"/>
      <c r="Q42" s="169"/>
      <c r="R42" s="250"/>
      <c r="S42" s="265"/>
      <c r="T42" s="169"/>
    </row>
    <row r="43" spans="2:20" x14ac:dyDescent="0.25">
      <c r="B43" s="28" t="s">
        <v>98</v>
      </c>
      <c r="C43" s="17" t="s">
        <v>553</v>
      </c>
      <c r="D43" s="106">
        <v>2090.84</v>
      </c>
      <c r="E43" s="255">
        <f>+IFERROR(D43/D$33,"")</f>
        <v>3.3731533556732446E-2</v>
      </c>
      <c r="F43" s="106">
        <v>474.51</v>
      </c>
      <c r="G43" s="248">
        <f>+IFERROR(F43/F$33,"")</f>
        <v>6.1315430552531481E-3</v>
      </c>
      <c r="H43" s="153">
        <f>+D43-F43</f>
        <v>1616.3300000000002</v>
      </c>
      <c r="I43" s="36">
        <v>1545.89</v>
      </c>
      <c r="J43" s="255">
        <f>+IFERROR(I43/I$33,"")</f>
        <v>4.266349547075176E-2</v>
      </c>
      <c r="K43" s="153">
        <f>+D43-I43</f>
        <v>544.95000000000005</v>
      </c>
      <c r="L43" s="74"/>
      <c r="M43" s="157">
        <v>11058.76</v>
      </c>
      <c r="N43" s="255">
        <f>+IFERROR(M43/M$33,"")</f>
        <v>4.4444428368707795E-2</v>
      </c>
      <c r="O43" s="106">
        <v>1895.82</v>
      </c>
      <c r="P43" s="248">
        <f>+IFERROR(O43/O$33,"")</f>
        <v>5.9880702903216928E-3</v>
      </c>
      <c r="Q43" s="153">
        <f>+M43-O43</f>
        <v>9162.94</v>
      </c>
      <c r="R43" s="36">
        <v>8297.3700000000008</v>
      </c>
      <c r="S43" s="255">
        <f>+IFERROR(R43/R$33,"")</f>
        <v>5.4136554265740232E-2</v>
      </c>
      <c r="T43" s="153">
        <f>+M43-R43</f>
        <v>2761.3899999999994</v>
      </c>
    </row>
    <row r="44" spans="2:20" x14ac:dyDescent="0.25">
      <c r="B44" s="28" t="s">
        <v>255</v>
      </c>
      <c r="C44" s="23" t="s">
        <v>554</v>
      </c>
      <c r="D44" s="103">
        <f t="shared" ref="D44" si="59">+D41+D43</f>
        <v>88987</v>
      </c>
      <c r="E44" s="146">
        <f>IFERROR(D44/D$35,"")</f>
        <v>0.23471249177034495</v>
      </c>
      <c r="F44" s="103">
        <f t="shared" ref="F44" si="60">+F41+F43</f>
        <v>92137.279999999984</v>
      </c>
      <c r="G44" s="146">
        <f>IFERROR(F44/F$35,"")</f>
        <v>0.21054855642354869</v>
      </c>
      <c r="H44" s="154">
        <f>+D44-F44</f>
        <v>-3150.2799999999843</v>
      </c>
      <c r="I44" s="103">
        <f t="shared" ref="I44" si="61">+I41+I43</f>
        <v>80172.83</v>
      </c>
      <c r="J44" s="146">
        <f>IFERROR(I44/I$35,"")</f>
        <v>0.31945056124211318</v>
      </c>
      <c r="K44" s="154">
        <f>+D44-I44</f>
        <v>8814.1699999999983</v>
      </c>
      <c r="L44" s="74"/>
      <c r="M44" s="152">
        <f t="shared" ref="M44" si="62">+M41+M43</f>
        <v>336631.04000000004</v>
      </c>
      <c r="N44" s="146">
        <f>IFERROR(M44/M$35,"")</f>
        <v>0.22089146764902121</v>
      </c>
      <c r="O44" s="103">
        <f t="shared" ref="O44" si="63">+O41+O43</f>
        <v>377493.14</v>
      </c>
      <c r="P44" s="146">
        <f>IFERROR(O44/O$35,"")</f>
        <v>0.21057310511762245</v>
      </c>
      <c r="Q44" s="154">
        <f>+M44-O44</f>
        <v>-40862.099999999977</v>
      </c>
      <c r="R44" s="103">
        <f t="shared" ref="R44" si="64">+R41+R43</f>
        <v>243166</v>
      </c>
      <c r="S44" s="146">
        <f>IFERROR(R44/R$35,"")</f>
        <v>0.26526236567087885</v>
      </c>
      <c r="T44" s="154">
        <f>+M44-R44</f>
        <v>93465.040000000037</v>
      </c>
    </row>
    <row r="45" spans="2:20" x14ac:dyDescent="0.25">
      <c r="B45" s="14"/>
      <c r="D45" s="244"/>
      <c r="E45" s="311"/>
      <c r="F45" s="244"/>
      <c r="G45" s="34"/>
      <c r="H45" s="246"/>
      <c r="I45" s="244"/>
      <c r="J45" s="34"/>
      <c r="K45" s="245"/>
      <c r="L45" s="74"/>
      <c r="N45" s="34"/>
      <c r="O45" s="244"/>
      <c r="P45" s="34"/>
      <c r="Q45" s="246"/>
      <c r="R45" s="244"/>
      <c r="S45" s="34"/>
      <c r="T45" s="245"/>
    </row>
    <row r="46" spans="2:20" x14ac:dyDescent="0.25">
      <c r="B46" s="28"/>
      <c r="C46" s="18" t="s">
        <v>555</v>
      </c>
      <c r="D46" s="67">
        <f t="shared" ref="D46" si="65">+D35-D44</f>
        <v>290144.93</v>
      </c>
      <c r="E46" s="146">
        <f>IFERROR(D46/D$35,"")</f>
        <v>0.76528750822965508</v>
      </c>
      <c r="F46" s="67">
        <f t="shared" ref="F46" si="66">+F35-F44</f>
        <v>345468.57</v>
      </c>
      <c r="G46" s="146">
        <f>IFERROR(F46/F$35,"")</f>
        <v>0.78945144357645136</v>
      </c>
      <c r="H46" s="233">
        <f>+D46-F46</f>
        <v>-55323.640000000014</v>
      </c>
      <c r="I46" s="67">
        <f t="shared" ref="I46" si="67">+I35-I44</f>
        <v>170798.18</v>
      </c>
      <c r="J46" s="146">
        <f>IFERROR(I46/I$35,"")</f>
        <v>0.68054943875788676</v>
      </c>
      <c r="K46" s="233">
        <f>+D46-I46</f>
        <v>119346.75</v>
      </c>
      <c r="L46" s="74"/>
      <c r="M46" s="232">
        <f t="shared" ref="M46" si="68">+M35-M44</f>
        <v>1187334.75</v>
      </c>
      <c r="N46" s="146">
        <f>IFERROR(M46/M$35,"")</f>
        <v>0.77910853235097877</v>
      </c>
      <c r="O46" s="67">
        <f t="shared" ref="O46" si="69">+O35-O44</f>
        <v>1415200.85</v>
      </c>
      <c r="P46" s="146">
        <f>IFERROR(O46/O$35,"")</f>
        <v>0.78942689488237761</v>
      </c>
      <c r="Q46" s="233">
        <f>+M46-O46</f>
        <v>-227866.10000000009</v>
      </c>
      <c r="R46" s="67">
        <f t="shared" ref="R46" si="70">+R35-R44</f>
        <v>673533.96</v>
      </c>
      <c r="S46" s="146">
        <f>IFERROR(R46/R$35,"")</f>
        <v>0.7347376343291212</v>
      </c>
      <c r="T46" s="233">
        <f>+M46-R46</f>
        <v>513800.79000000004</v>
      </c>
    </row>
    <row r="47" spans="2:20" x14ac:dyDescent="0.25">
      <c r="B47" s="28"/>
      <c r="C47" s="16"/>
      <c r="D47" s="241"/>
      <c r="E47" s="53"/>
      <c r="F47" s="241"/>
      <c r="G47" s="32"/>
      <c r="H47" s="102"/>
      <c r="I47" s="241"/>
      <c r="J47" s="32"/>
      <c r="K47" s="102"/>
      <c r="L47" s="74"/>
      <c r="M47" s="240"/>
      <c r="N47" s="53"/>
      <c r="O47" s="241"/>
      <c r="P47" s="32"/>
      <c r="Q47" s="102"/>
      <c r="R47" s="241"/>
      <c r="S47" s="32"/>
      <c r="T47" s="102"/>
    </row>
    <row r="48" spans="2:20" x14ac:dyDescent="0.25">
      <c r="B48" s="28"/>
      <c r="C48" s="15" t="s">
        <v>403</v>
      </c>
      <c r="D48" s="48"/>
      <c r="E48" s="256"/>
      <c r="F48" s="242"/>
      <c r="G48" s="258"/>
      <c r="H48" s="49"/>
      <c r="I48" s="242"/>
      <c r="J48" s="258"/>
      <c r="K48" s="49"/>
      <c r="L48" s="74"/>
      <c r="M48" s="16"/>
      <c r="N48" s="256"/>
      <c r="O48" s="242"/>
      <c r="P48" s="258"/>
      <c r="Q48" s="49"/>
      <c r="R48" s="242"/>
      <c r="S48" s="258"/>
      <c r="T48" s="49"/>
    </row>
    <row r="49" spans="2:20" x14ac:dyDescent="0.25">
      <c r="B49" s="28"/>
      <c r="C49" s="22" t="s">
        <v>404</v>
      </c>
      <c r="D49" s="48"/>
      <c r="E49" s="53"/>
      <c r="F49" s="77"/>
      <c r="G49" s="32"/>
      <c r="H49" s="101"/>
      <c r="I49" s="77"/>
      <c r="J49" s="32"/>
      <c r="K49" s="101"/>
      <c r="L49" s="74"/>
      <c r="M49" s="16"/>
      <c r="N49" s="53"/>
      <c r="O49" s="77"/>
      <c r="P49" s="32"/>
      <c r="Q49" s="101"/>
      <c r="R49" s="77"/>
      <c r="S49" s="32"/>
      <c r="T49" s="101"/>
    </row>
    <row r="50" spans="2:20" x14ac:dyDescent="0.25">
      <c r="B50" s="28" t="s">
        <v>620</v>
      </c>
      <c r="C50" s="17" t="s">
        <v>405</v>
      </c>
      <c r="D50" s="36">
        <v>0</v>
      </c>
      <c r="E50" s="51">
        <f>IFERROR(D50/D$35,"")</f>
        <v>0</v>
      </c>
      <c r="F50" s="36">
        <v>0</v>
      </c>
      <c r="G50" s="51">
        <f>IFERROR(F50/F$35,"")</f>
        <v>0</v>
      </c>
      <c r="H50" s="137">
        <f>+D50-F50</f>
        <v>0</v>
      </c>
      <c r="I50" s="36">
        <v>0</v>
      </c>
      <c r="J50" s="51">
        <f>IFERROR(I50/I$35,"")</f>
        <v>0</v>
      </c>
      <c r="K50" s="137">
        <f>+D50-I50</f>
        <v>0</v>
      </c>
      <c r="L50" s="74"/>
      <c r="M50" s="89">
        <v>0</v>
      </c>
      <c r="N50" s="51">
        <f>IFERROR(M50/M$35,"")</f>
        <v>0</v>
      </c>
      <c r="O50" s="36">
        <v>0</v>
      </c>
      <c r="P50" s="51">
        <f>IFERROR(O50/O$35,"")</f>
        <v>0</v>
      </c>
      <c r="Q50" s="137">
        <f>+M50-O50</f>
        <v>0</v>
      </c>
      <c r="R50" s="36">
        <v>0</v>
      </c>
      <c r="S50" s="51">
        <f>IFERROR(R50/R$35,"")</f>
        <v>0</v>
      </c>
      <c r="T50" s="137">
        <f>+M50-R50</f>
        <v>0</v>
      </c>
    </row>
    <row r="51" spans="2:20" x14ac:dyDescent="0.25">
      <c r="B51" s="28"/>
      <c r="C51" s="18" t="s">
        <v>406</v>
      </c>
      <c r="D51" s="251"/>
      <c r="E51" s="257"/>
      <c r="F51" s="251"/>
      <c r="G51" s="257"/>
      <c r="H51" s="247"/>
      <c r="I51" s="251"/>
      <c r="J51" s="257"/>
      <c r="K51" s="252"/>
      <c r="L51" s="74"/>
      <c r="M51" s="247"/>
      <c r="N51" s="257"/>
      <c r="O51" s="251"/>
      <c r="P51" s="257"/>
      <c r="Q51" s="247"/>
      <c r="R51" s="251"/>
      <c r="S51" s="257"/>
      <c r="T51" s="252"/>
    </row>
    <row r="52" spans="2:20" x14ac:dyDescent="0.25">
      <c r="B52" s="28" t="s">
        <v>653</v>
      </c>
      <c r="C52" s="17" t="s">
        <v>406</v>
      </c>
      <c r="D52" s="36">
        <v>132895.06</v>
      </c>
      <c r="E52" s="51">
        <f t="shared" ref="E52" si="71">IFERROR(D52/D$35,"")</f>
        <v>0.35052457860776853</v>
      </c>
      <c r="F52" s="36">
        <v>81078.75</v>
      </c>
      <c r="G52" s="51">
        <f t="shared" ref="G52" si="72">IFERROR(F52/F$35,"")</f>
        <v>0.18527803044680505</v>
      </c>
      <c r="H52" s="137">
        <f t="shared" ref="H52:H63" si="73">+D52-F52</f>
        <v>51816.31</v>
      </c>
      <c r="I52" s="36">
        <v>65571.63</v>
      </c>
      <c r="J52" s="51">
        <f t="shared" ref="J52" si="74">IFERROR(I52/I$35,"")</f>
        <v>0.26127173014923116</v>
      </c>
      <c r="K52" s="137">
        <f t="shared" ref="K52:K63" si="75">+D52-I52</f>
        <v>67323.429999999993</v>
      </c>
      <c r="L52" s="74"/>
      <c r="M52" s="89">
        <v>443822.13</v>
      </c>
      <c r="N52" s="51">
        <f t="shared" ref="N52:N63" si="76">IFERROR(M52/M$35,"")</f>
        <v>0.29122840743032691</v>
      </c>
      <c r="O52" s="36">
        <v>332246.25</v>
      </c>
      <c r="P52" s="51">
        <f t="shared" ref="P52:P63" si="77">IFERROR(O52/O$35,"")</f>
        <v>0.18533349910990665</v>
      </c>
      <c r="Q52" s="137">
        <f t="shared" ref="Q52:Q63" si="78">+M52-O52</f>
        <v>111575.88</v>
      </c>
      <c r="R52" s="36">
        <v>213209.98</v>
      </c>
      <c r="S52" s="51">
        <f t="shared" ref="S52:S63" si="79">IFERROR(R52/R$35,"")</f>
        <v>0.23258425799429513</v>
      </c>
      <c r="T52" s="137">
        <f t="shared" ref="T52:T63" si="80">+M52-R52</f>
        <v>230612.15</v>
      </c>
    </row>
    <row r="53" spans="2:20" x14ac:dyDescent="0.25">
      <c r="B53" s="28" t="s">
        <v>654</v>
      </c>
      <c r="C53" s="17" t="s">
        <v>706</v>
      </c>
      <c r="D53" s="106">
        <v>0</v>
      </c>
      <c r="E53" s="145">
        <f t="shared" ref="E53:E63" si="81">IFERROR(D53/D$35,"")</f>
        <v>0</v>
      </c>
      <c r="F53" s="106">
        <v>0</v>
      </c>
      <c r="G53" s="145">
        <f t="shared" ref="G53:G63" si="82">IFERROR(F53/F$35,"")</f>
        <v>0</v>
      </c>
      <c r="H53" s="153">
        <f t="shared" si="73"/>
        <v>0</v>
      </c>
      <c r="I53" s="36">
        <v>0</v>
      </c>
      <c r="J53" s="145">
        <f t="shared" ref="J53:J63" si="83">IFERROR(I53/I$35,"")</f>
        <v>0</v>
      </c>
      <c r="K53" s="153">
        <f t="shared" si="75"/>
        <v>0</v>
      </c>
      <c r="L53" s="74"/>
      <c r="M53" s="157">
        <v>0</v>
      </c>
      <c r="N53" s="145">
        <f t="shared" si="76"/>
        <v>0</v>
      </c>
      <c r="O53" s="106">
        <v>0</v>
      </c>
      <c r="P53" s="145">
        <f t="shared" si="77"/>
        <v>0</v>
      </c>
      <c r="Q53" s="153">
        <f t="shared" si="78"/>
        <v>0</v>
      </c>
      <c r="R53" s="36">
        <v>0</v>
      </c>
      <c r="S53" s="145">
        <f t="shared" si="79"/>
        <v>0</v>
      </c>
      <c r="T53" s="153">
        <f t="shared" si="80"/>
        <v>0</v>
      </c>
    </row>
    <row r="54" spans="2:20" x14ac:dyDescent="0.25">
      <c r="B54" s="28" t="s">
        <v>671</v>
      </c>
      <c r="C54" s="23" t="s">
        <v>409</v>
      </c>
      <c r="D54" s="103">
        <f t="shared" ref="D54" si="84">+D50+D52+D53</f>
        <v>132895.06</v>
      </c>
      <c r="E54" s="146">
        <f t="shared" si="81"/>
        <v>0.35052457860776853</v>
      </c>
      <c r="F54" s="103">
        <f t="shared" ref="F54" si="85">+F50+F52+F53</f>
        <v>81078.75</v>
      </c>
      <c r="G54" s="146">
        <f t="shared" si="82"/>
        <v>0.18527803044680505</v>
      </c>
      <c r="H54" s="154">
        <f t="shared" si="73"/>
        <v>51816.31</v>
      </c>
      <c r="I54" s="103">
        <f t="shared" ref="I54" si="86">+I50+I52+I53</f>
        <v>65571.63</v>
      </c>
      <c r="J54" s="146">
        <f t="shared" si="83"/>
        <v>0.26127173014923116</v>
      </c>
      <c r="K54" s="154">
        <f t="shared" si="75"/>
        <v>67323.429999999993</v>
      </c>
      <c r="L54" s="74"/>
      <c r="M54" s="152">
        <f t="shared" ref="M54" si="87">+M50+M52+M53</f>
        <v>443822.13</v>
      </c>
      <c r="N54" s="146">
        <f t="shared" si="76"/>
        <v>0.29122840743032691</v>
      </c>
      <c r="O54" s="103">
        <f t="shared" ref="O54" si="88">+O50+O52+O53</f>
        <v>332246.25</v>
      </c>
      <c r="P54" s="146">
        <f t="shared" si="77"/>
        <v>0.18533349910990665</v>
      </c>
      <c r="Q54" s="154">
        <f t="shared" si="78"/>
        <v>111575.88</v>
      </c>
      <c r="R54" s="103">
        <f t="shared" ref="R54" si="89">+R50+R52+R53</f>
        <v>213209.98</v>
      </c>
      <c r="S54" s="146">
        <f t="shared" si="79"/>
        <v>0.23258425799429513</v>
      </c>
      <c r="T54" s="154">
        <f t="shared" si="80"/>
        <v>230612.15</v>
      </c>
    </row>
    <row r="55" spans="2:20" x14ac:dyDescent="0.25">
      <c r="B55" s="28" t="s">
        <v>303</v>
      </c>
      <c r="C55" s="17" t="s">
        <v>556</v>
      </c>
      <c r="D55" s="106">
        <v>45128.81</v>
      </c>
      <c r="E55" s="145">
        <f t="shared" si="81"/>
        <v>0.1190319422582002</v>
      </c>
      <c r="F55" s="106">
        <v>60307.5</v>
      </c>
      <c r="G55" s="145">
        <f t="shared" si="82"/>
        <v>0.1378123715667878</v>
      </c>
      <c r="H55" s="153">
        <f t="shared" si="73"/>
        <v>-15178.690000000002</v>
      </c>
      <c r="I55" s="36">
        <v>31378.560000000001</v>
      </c>
      <c r="J55" s="145">
        <f t="shared" si="83"/>
        <v>0.12502862382392294</v>
      </c>
      <c r="K55" s="153">
        <f t="shared" si="75"/>
        <v>13750.249999999996</v>
      </c>
      <c r="L55" s="74"/>
      <c r="M55" s="157">
        <v>183575.95</v>
      </c>
      <c r="N55" s="145">
        <f t="shared" si="76"/>
        <v>0.12045936411735332</v>
      </c>
      <c r="O55" s="106">
        <v>247222.5</v>
      </c>
      <c r="P55" s="145">
        <f t="shared" si="77"/>
        <v>0.13790557751576998</v>
      </c>
      <c r="Q55" s="153">
        <f t="shared" si="78"/>
        <v>-63646.549999999988</v>
      </c>
      <c r="R55" s="36">
        <v>114942.61</v>
      </c>
      <c r="S55" s="145">
        <f t="shared" si="79"/>
        <v>0.12538738411202724</v>
      </c>
      <c r="T55" s="153">
        <f t="shared" si="80"/>
        <v>68633.340000000011</v>
      </c>
    </row>
    <row r="56" spans="2:20" x14ac:dyDescent="0.25">
      <c r="B56" s="28" t="s">
        <v>253</v>
      </c>
      <c r="C56" s="17" t="s">
        <v>410</v>
      </c>
      <c r="D56" s="36">
        <v>0</v>
      </c>
      <c r="E56" s="51">
        <f t="shared" si="81"/>
        <v>0</v>
      </c>
      <c r="F56" s="36">
        <v>28828</v>
      </c>
      <c r="G56" s="51">
        <f t="shared" si="82"/>
        <v>6.5876633047752903E-2</v>
      </c>
      <c r="H56" s="137">
        <f t="shared" si="73"/>
        <v>-28828</v>
      </c>
      <c r="I56" s="36">
        <v>27591.22</v>
      </c>
      <c r="J56" s="51">
        <f t="shared" si="83"/>
        <v>0.10993787688864941</v>
      </c>
      <c r="K56" s="137">
        <f t="shared" si="75"/>
        <v>-27591.22</v>
      </c>
      <c r="L56" s="74"/>
      <c r="M56" s="89">
        <v>0</v>
      </c>
      <c r="N56" s="51">
        <f t="shared" si="76"/>
        <v>0</v>
      </c>
      <c r="O56" s="36">
        <v>118132</v>
      </c>
      <c r="P56" s="51">
        <f t="shared" si="77"/>
        <v>6.5896355239077914E-2</v>
      </c>
      <c r="Q56" s="137">
        <f t="shared" si="78"/>
        <v>-118132</v>
      </c>
      <c r="R56" s="36">
        <v>115814.18</v>
      </c>
      <c r="S56" s="51">
        <f t="shared" si="79"/>
        <v>0.126338153216457</v>
      </c>
      <c r="T56" s="137">
        <f t="shared" si="80"/>
        <v>-115814.18</v>
      </c>
    </row>
    <row r="57" spans="2:20" x14ac:dyDescent="0.25">
      <c r="B57" s="28" t="s">
        <v>247</v>
      </c>
      <c r="C57" s="17" t="s">
        <v>411</v>
      </c>
      <c r="D57" s="106">
        <v>0</v>
      </c>
      <c r="E57" s="145">
        <f t="shared" si="81"/>
        <v>0</v>
      </c>
      <c r="F57" s="106">
        <v>0</v>
      </c>
      <c r="G57" s="145">
        <f t="shared" si="82"/>
        <v>0</v>
      </c>
      <c r="H57" s="153">
        <f t="shared" si="73"/>
        <v>0</v>
      </c>
      <c r="I57" s="36">
        <v>0</v>
      </c>
      <c r="J57" s="145">
        <f t="shared" si="83"/>
        <v>0</v>
      </c>
      <c r="K57" s="153">
        <f t="shared" si="75"/>
        <v>0</v>
      </c>
      <c r="L57" s="74"/>
      <c r="M57" s="157">
        <v>0</v>
      </c>
      <c r="N57" s="145">
        <f t="shared" si="76"/>
        <v>0</v>
      </c>
      <c r="O57" s="106">
        <v>0</v>
      </c>
      <c r="P57" s="145">
        <f t="shared" si="77"/>
        <v>0</v>
      </c>
      <c r="Q57" s="153">
        <f t="shared" si="78"/>
        <v>0</v>
      </c>
      <c r="R57" s="36">
        <v>0</v>
      </c>
      <c r="S57" s="145">
        <f t="shared" si="79"/>
        <v>0</v>
      </c>
      <c r="T57" s="153">
        <f t="shared" si="80"/>
        <v>0</v>
      </c>
    </row>
    <row r="58" spans="2:20" x14ac:dyDescent="0.25">
      <c r="B58" s="28" t="s">
        <v>673</v>
      </c>
      <c r="C58" s="23" t="s">
        <v>412</v>
      </c>
      <c r="D58" s="103">
        <f t="shared" ref="D58" si="90">+D54+SUM(D55:D57)</f>
        <v>178023.87</v>
      </c>
      <c r="E58" s="146">
        <f t="shared" si="81"/>
        <v>0.46955652086596872</v>
      </c>
      <c r="F58" s="103">
        <f t="shared" ref="F58" si="91">+F54+SUM(F55:F57)</f>
        <v>170214.25</v>
      </c>
      <c r="G58" s="146">
        <f t="shared" si="82"/>
        <v>0.38896703506134572</v>
      </c>
      <c r="H58" s="154">
        <f t="shared" si="73"/>
        <v>7809.6199999999953</v>
      </c>
      <c r="I58" s="103">
        <f t="shared" ref="I58" si="92">+I54+SUM(I55:I57)</f>
        <v>124541.41</v>
      </c>
      <c r="J58" s="146">
        <f t="shared" si="83"/>
        <v>0.49623823086180352</v>
      </c>
      <c r="K58" s="154">
        <f t="shared" si="75"/>
        <v>53482.459999999992</v>
      </c>
      <c r="L58" s="74"/>
      <c r="M58" s="152">
        <f t="shared" ref="M58" si="93">+M54+SUM(M55:M57)</f>
        <v>627398.08000000007</v>
      </c>
      <c r="N58" s="146">
        <f t="shared" si="76"/>
        <v>0.41168777154768027</v>
      </c>
      <c r="O58" s="103">
        <f t="shared" ref="O58" si="94">+O54+SUM(O55:O57)</f>
        <v>697600.75</v>
      </c>
      <c r="P58" s="146">
        <f t="shared" si="77"/>
        <v>0.38913543186475458</v>
      </c>
      <c r="Q58" s="154">
        <f t="shared" si="78"/>
        <v>-70202.669999999925</v>
      </c>
      <c r="R58" s="103">
        <f t="shared" ref="R58" si="95">+R54+SUM(R55:R57)</f>
        <v>443966.77</v>
      </c>
      <c r="S58" s="146">
        <f t="shared" si="79"/>
        <v>0.48430979532277935</v>
      </c>
      <c r="T58" s="154">
        <f t="shared" si="80"/>
        <v>183431.31000000006</v>
      </c>
    </row>
    <row r="59" spans="2:20" x14ac:dyDescent="0.25">
      <c r="B59" s="28" t="s">
        <v>293</v>
      </c>
      <c r="C59" s="17" t="s">
        <v>413</v>
      </c>
      <c r="D59" s="106">
        <v>4279</v>
      </c>
      <c r="E59" s="145">
        <f t="shared" si="81"/>
        <v>1.1286308699982088E-2</v>
      </c>
      <c r="F59" s="106">
        <v>12071.725</v>
      </c>
      <c r="G59" s="145">
        <f t="shared" si="82"/>
        <v>2.7585840088746531E-2</v>
      </c>
      <c r="H59" s="153">
        <f t="shared" si="73"/>
        <v>-7792.7250000000004</v>
      </c>
      <c r="I59" s="36">
        <v>7715.42</v>
      </c>
      <c r="J59" s="145">
        <f t="shared" si="83"/>
        <v>3.0742275771213575E-2</v>
      </c>
      <c r="K59" s="153">
        <f t="shared" si="75"/>
        <v>-3436.42</v>
      </c>
      <c r="L59" s="74"/>
      <c r="M59" s="157">
        <v>27101.41</v>
      </c>
      <c r="N59" s="145">
        <f t="shared" si="76"/>
        <v>1.7783476622529694E-2</v>
      </c>
      <c r="O59" s="106">
        <v>49467.775000000001</v>
      </c>
      <c r="P59" s="145">
        <f t="shared" si="77"/>
        <v>2.7594098756363879E-2</v>
      </c>
      <c r="Q59" s="153">
        <f t="shared" si="78"/>
        <v>-22366.365000000002</v>
      </c>
      <c r="R59" s="36">
        <v>29475.68</v>
      </c>
      <c r="S59" s="145">
        <f t="shared" si="79"/>
        <v>3.2154119435109388E-2</v>
      </c>
      <c r="T59" s="153">
        <f t="shared" si="80"/>
        <v>-2374.2700000000004</v>
      </c>
    </row>
    <row r="60" spans="2:20" x14ac:dyDescent="0.25">
      <c r="B60" s="28" t="s">
        <v>305</v>
      </c>
      <c r="C60" s="17" t="s">
        <v>359</v>
      </c>
      <c r="D60" s="36">
        <v>0</v>
      </c>
      <c r="E60" s="51">
        <f t="shared" si="81"/>
        <v>0</v>
      </c>
      <c r="F60" s="36">
        <v>0</v>
      </c>
      <c r="G60" s="51">
        <f t="shared" si="82"/>
        <v>0</v>
      </c>
      <c r="H60" s="137">
        <f t="shared" si="73"/>
        <v>0</v>
      </c>
      <c r="I60" s="36">
        <v>0</v>
      </c>
      <c r="J60" s="51">
        <f t="shared" si="83"/>
        <v>0</v>
      </c>
      <c r="K60" s="137">
        <f t="shared" si="75"/>
        <v>0</v>
      </c>
      <c r="L60" s="74"/>
      <c r="M60" s="89">
        <v>0</v>
      </c>
      <c r="N60" s="51">
        <f t="shared" si="76"/>
        <v>0</v>
      </c>
      <c r="O60" s="36">
        <v>0</v>
      </c>
      <c r="P60" s="51">
        <f t="shared" si="77"/>
        <v>0</v>
      </c>
      <c r="Q60" s="137">
        <f t="shared" si="78"/>
        <v>0</v>
      </c>
      <c r="R60" s="36">
        <v>2493.94</v>
      </c>
      <c r="S60" s="51">
        <f t="shared" si="79"/>
        <v>2.7205630073333922E-3</v>
      </c>
      <c r="T60" s="137">
        <f t="shared" si="80"/>
        <v>-2493.94</v>
      </c>
    </row>
    <row r="61" spans="2:20" x14ac:dyDescent="0.25">
      <c r="B61" s="28" t="s">
        <v>265</v>
      </c>
      <c r="C61" s="17" t="s">
        <v>360</v>
      </c>
      <c r="D61" s="106">
        <v>825.11</v>
      </c>
      <c r="E61" s="145">
        <f t="shared" si="81"/>
        <v>2.1763136647446183E-3</v>
      </c>
      <c r="F61" s="106">
        <v>2156.5</v>
      </c>
      <c r="G61" s="145">
        <f t="shared" si="82"/>
        <v>4.9279505747009556E-3</v>
      </c>
      <c r="H61" s="153">
        <f t="shared" si="73"/>
        <v>-1331.3899999999999</v>
      </c>
      <c r="I61" s="36">
        <v>1209.98</v>
      </c>
      <c r="J61" s="145">
        <f t="shared" si="83"/>
        <v>4.8211942885355566E-3</v>
      </c>
      <c r="K61" s="153">
        <f t="shared" si="75"/>
        <v>-384.87</v>
      </c>
      <c r="L61" s="74"/>
      <c r="M61" s="157">
        <v>3246.64</v>
      </c>
      <c r="N61" s="145">
        <f t="shared" si="76"/>
        <v>2.1303890292707949E-3</v>
      </c>
      <c r="O61" s="106">
        <v>8837.5</v>
      </c>
      <c r="P61" s="145">
        <f t="shared" si="77"/>
        <v>4.9297314819468996E-3</v>
      </c>
      <c r="Q61" s="153">
        <f t="shared" si="78"/>
        <v>-5590.8600000000006</v>
      </c>
      <c r="R61" s="36">
        <v>6842.81</v>
      </c>
      <c r="S61" s="145">
        <f t="shared" si="79"/>
        <v>7.4646125216368516E-3</v>
      </c>
      <c r="T61" s="153">
        <f t="shared" si="80"/>
        <v>-3596.1700000000005</v>
      </c>
    </row>
    <row r="62" spans="2:20" x14ac:dyDescent="0.25">
      <c r="B62" s="28" t="s">
        <v>287</v>
      </c>
      <c r="C62" s="23" t="s">
        <v>414</v>
      </c>
      <c r="D62" s="142">
        <f t="shared" ref="D62" si="96">SUM(D59:D61)</f>
        <v>5104.1099999999997</v>
      </c>
      <c r="E62" s="130">
        <f t="shared" si="81"/>
        <v>1.3462622364726706E-2</v>
      </c>
      <c r="F62" s="142">
        <f t="shared" ref="F62" si="97">SUM(F59:F61)</f>
        <v>14228.225</v>
      </c>
      <c r="G62" s="130">
        <f t="shared" si="82"/>
        <v>3.2513790663447485E-2</v>
      </c>
      <c r="H62" s="168">
        <f t="shared" si="73"/>
        <v>-9124.1150000000016</v>
      </c>
      <c r="I62" s="142">
        <f t="shared" ref="I62" si="98">SUM(I59:I61)</f>
        <v>8925.4</v>
      </c>
      <c r="J62" s="130">
        <f t="shared" si="83"/>
        <v>3.5563470059749129E-2</v>
      </c>
      <c r="K62" s="168">
        <f t="shared" si="75"/>
        <v>-3821.29</v>
      </c>
      <c r="L62" s="74"/>
      <c r="M62" s="133">
        <f t="shared" ref="M62" si="99">SUM(M59:M61)</f>
        <v>30348.05</v>
      </c>
      <c r="N62" s="130">
        <f t="shared" si="76"/>
        <v>1.9913865651800491E-2</v>
      </c>
      <c r="O62" s="142">
        <f t="shared" ref="O62" si="100">SUM(O59:O61)</f>
        <v>58305.275000000001</v>
      </c>
      <c r="P62" s="130">
        <f t="shared" si="77"/>
        <v>3.2523830238310777E-2</v>
      </c>
      <c r="Q62" s="168">
        <f t="shared" si="78"/>
        <v>-27957.225000000002</v>
      </c>
      <c r="R62" s="142">
        <f t="shared" ref="R62" si="101">SUM(R59:R61)</f>
        <v>38812.43</v>
      </c>
      <c r="S62" s="130">
        <f t="shared" si="79"/>
        <v>4.2339294964079635E-2</v>
      </c>
      <c r="T62" s="168">
        <f t="shared" si="80"/>
        <v>-8464.380000000001</v>
      </c>
    </row>
    <row r="63" spans="2:20" x14ac:dyDescent="0.25">
      <c r="B63" s="28" t="s">
        <v>272</v>
      </c>
      <c r="C63" s="23" t="s">
        <v>415</v>
      </c>
      <c r="D63" s="91">
        <f t="shared" ref="D63" si="102">+D58+D62</f>
        <v>183127.97999999998</v>
      </c>
      <c r="E63" s="81">
        <f t="shared" si="81"/>
        <v>0.48301914323069539</v>
      </c>
      <c r="F63" s="91">
        <f t="shared" ref="F63" si="103">+F58+F62</f>
        <v>184442.47500000001</v>
      </c>
      <c r="G63" s="81">
        <f t="shared" si="82"/>
        <v>0.42148082572479323</v>
      </c>
      <c r="H63" s="140">
        <f t="shared" si="73"/>
        <v>-1314.4950000000244</v>
      </c>
      <c r="I63" s="91">
        <f t="shared" ref="I63" si="104">+I58+I62</f>
        <v>133466.81</v>
      </c>
      <c r="J63" s="81">
        <f t="shared" si="83"/>
        <v>0.53180170092155266</v>
      </c>
      <c r="K63" s="140">
        <f t="shared" si="75"/>
        <v>49661.169999999984</v>
      </c>
      <c r="L63" s="74"/>
      <c r="M63" s="86">
        <f t="shared" ref="M63" si="105">+M58+M62</f>
        <v>657746.13000000012</v>
      </c>
      <c r="N63" s="81">
        <f t="shared" si="76"/>
        <v>0.43160163719948075</v>
      </c>
      <c r="O63" s="91">
        <f t="shared" ref="O63" si="106">+O58+O62</f>
        <v>755906.02500000002</v>
      </c>
      <c r="P63" s="81">
        <f t="shared" si="77"/>
        <v>0.42165926210306537</v>
      </c>
      <c r="Q63" s="140">
        <f t="shared" si="78"/>
        <v>-98159.894999999902</v>
      </c>
      <c r="R63" s="91">
        <f t="shared" ref="R63" si="107">+R58+R62</f>
        <v>482779.2</v>
      </c>
      <c r="S63" s="81">
        <f t="shared" si="79"/>
        <v>0.52664909028685902</v>
      </c>
      <c r="T63" s="140">
        <f t="shared" si="80"/>
        <v>174966.93000000011</v>
      </c>
    </row>
    <row r="64" spans="2:20" x14ac:dyDescent="0.25">
      <c r="B64" s="28"/>
      <c r="C64" s="16"/>
      <c r="D64" s="241"/>
      <c r="E64" s="53"/>
      <c r="F64" s="259"/>
      <c r="G64" s="210"/>
      <c r="H64" s="49"/>
      <c r="I64" s="259"/>
      <c r="J64" s="210"/>
      <c r="K64" s="49"/>
      <c r="L64" s="74"/>
      <c r="M64" s="240"/>
      <c r="N64" s="53"/>
      <c r="O64" s="259"/>
      <c r="P64" s="210"/>
      <c r="Q64" s="49"/>
      <c r="R64" s="259"/>
      <c r="S64" s="210"/>
      <c r="T64" s="49"/>
    </row>
    <row r="65" spans="2:20" x14ac:dyDescent="0.25">
      <c r="B65" s="28"/>
      <c r="C65" s="15" t="s">
        <v>50</v>
      </c>
      <c r="D65" s="48"/>
      <c r="E65" s="53"/>
      <c r="F65" s="77"/>
      <c r="G65" s="99"/>
      <c r="H65" s="49"/>
      <c r="I65" s="77"/>
      <c r="J65" s="99"/>
      <c r="K65" s="49"/>
      <c r="L65" s="74"/>
      <c r="M65" s="16"/>
      <c r="N65" s="53"/>
      <c r="O65" s="77"/>
      <c r="P65" s="99"/>
      <c r="Q65" s="49"/>
      <c r="R65" s="77"/>
      <c r="S65" s="99"/>
      <c r="T65" s="49"/>
    </row>
    <row r="66" spans="2:20" x14ac:dyDescent="0.25">
      <c r="B66" s="28" t="s">
        <v>589</v>
      </c>
      <c r="C66" s="17" t="s">
        <v>417</v>
      </c>
      <c r="D66" s="36">
        <v>0</v>
      </c>
      <c r="E66" s="108">
        <f t="shared" ref="E66:E104" si="108">IFERROR(D66/D$35,"")</f>
        <v>0</v>
      </c>
      <c r="F66" s="36">
        <v>0</v>
      </c>
      <c r="G66" s="108">
        <f t="shared" ref="G66:G104" si="109">IFERROR(F66/F$35,"")</f>
        <v>0</v>
      </c>
      <c r="H66" s="137">
        <f t="shared" ref="H66:H104" si="110">+D66-F66</f>
        <v>0</v>
      </c>
      <c r="I66" s="36">
        <v>0</v>
      </c>
      <c r="J66" s="108">
        <f t="shared" ref="J66:J104" si="111">IFERROR(I66/I$35,"")</f>
        <v>0</v>
      </c>
      <c r="K66" s="137">
        <f t="shared" ref="K66:K104" si="112">+D66-I66</f>
        <v>0</v>
      </c>
      <c r="L66" s="74"/>
      <c r="M66" s="89">
        <v>0</v>
      </c>
      <c r="N66" s="108">
        <f t="shared" ref="N66:N104" si="113">IFERROR(M66/M$35,"")</f>
        <v>0</v>
      </c>
      <c r="O66" s="36">
        <v>0</v>
      </c>
      <c r="P66" s="108">
        <f t="shared" ref="P66:P104" si="114">IFERROR(O66/O$35,"")</f>
        <v>0</v>
      </c>
      <c r="Q66" s="137">
        <f t="shared" ref="Q66:Q104" si="115">+M66-O66</f>
        <v>0</v>
      </c>
      <c r="R66" s="36">
        <v>0</v>
      </c>
      <c r="S66" s="108">
        <f t="shared" ref="S66:S104" si="116">IFERROR(R66/R$35,"")</f>
        <v>0</v>
      </c>
      <c r="T66" s="137">
        <f t="shared" ref="T66:T104" si="117">+M66-R66</f>
        <v>0</v>
      </c>
    </row>
    <row r="67" spans="2:20" x14ac:dyDescent="0.25">
      <c r="B67" s="28" t="s">
        <v>587</v>
      </c>
      <c r="C67" s="17" t="s">
        <v>372</v>
      </c>
      <c r="D67" s="36">
        <v>4387.5200000000004</v>
      </c>
      <c r="E67" s="108">
        <f t="shared" si="108"/>
        <v>1.1572541516089137E-2</v>
      </c>
      <c r="F67" s="36">
        <v>1396.5802714199999</v>
      </c>
      <c r="G67" s="108">
        <f t="shared" si="109"/>
        <v>3.191411338353909E-3</v>
      </c>
      <c r="H67" s="137">
        <f t="shared" si="110"/>
        <v>2990.9397285800005</v>
      </c>
      <c r="I67" s="36">
        <v>3553.17</v>
      </c>
      <c r="J67" s="108">
        <f t="shared" si="111"/>
        <v>1.415769096199597E-2</v>
      </c>
      <c r="K67" s="137">
        <f t="shared" si="112"/>
        <v>834.35000000000036</v>
      </c>
      <c r="L67" s="74"/>
      <c r="M67" s="89">
        <v>19303.490000000002</v>
      </c>
      <c r="N67" s="108">
        <f t="shared" si="113"/>
        <v>1.2666616354951117E-2</v>
      </c>
      <c r="O67" s="36">
        <v>6032.2915134109999</v>
      </c>
      <c r="P67" s="108">
        <f t="shared" si="114"/>
        <v>3.3649309625961316E-3</v>
      </c>
      <c r="Q67" s="137">
        <f t="shared" si="115"/>
        <v>13271.198486589001</v>
      </c>
      <c r="R67" s="36">
        <v>4478.1499999999996</v>
      </c>
      <c r="S67" s="108">
        <f t="shared" si="116"/>
        <v>4.8850771194535667E-3</v>
      </c>
      <c r="T67" s="137">
        <f t="shared" si="117"/>
        <v>14825.340000000002</v>
      </c>
    </row>
    <row r="68" spans="2:20" x14ac:dyDescent="0.25">
      <c r="B68" s="28" t="s">
        <v>570</v>
      </c>
      <c r="C68" s="17" t="s">
        <v>361</v>
      </c>
      <c r="D68" s="36">
        <v>3689.19</v>
      </c>
      <c r="E68" s="108">
        <f t="shared" si="108"/>
        <v>9.7306233215440335E-3</v>
      </c>
      <c r="F68" s="36">
        <v>1737.8453245860001</v>
      </c>
      <c r="G68" s="108">
        <f t="shared" si="109"/>
        <v>3.9712570674866436E-3</v>
      </c>
      <c r="H68" s="137">
        <f t="shared" si="110"/>
        <v>1951.344675414</v>
      </c>
      <c r="I68" s="36">
        <v>2129.1799999999998</v>
      </c>
      <c r="J68" s="108">
        <f t="shared" si="111"/>
        <v>8.4837687030067718E-3</v>
      </c>
      <c r="K68" s="137">
        <f t="shared" si="112"/>
        <v>1560.0100000000002</v>
      </c>
      <c r="L68" s="74"/>
      <c r="M68" s="89">
        <v>9758.2999999999993</v>
      </c>
      <c r="N68" s="108">
        <f t="shared" si="113"/>
        <v>6.4032277259977073E-3</v>
      </c>
      <c r="O68" s="36">
        <v>7121.8214959569996</v>
      </c>
      <c r="P68" s="108">
        <f t="shared" si="114"/>
        <v>3.9726922362008921E-3</v>
      </c>
      <c r="Q68" s="137">
        <f t="shared" si="115"/>
        <v>2636.4785040429997</v>
      </c>
      <c r="R68" s="36">
        <v>6740.63</v>
      </c>
      <c r="S68" s="108">
        <f t="shared" si="116"/>
        <v>7.3531474791381033E-3</v>
      </c>
      <c r="T68" s="137">
        <f t="shared" si="117"/>
        <v>3017.6699999999992</v>
      </c>
    </row>
    <row r="69" spans="2:20" x14ac:dyDescent="0.25">
      <c r="B69" s="28" t="s">
        <v>574</v>
      </c>
      <c r="C69" s="17" t="s">
        <v>557</v>
      </c>
      <c r="D69" s="36">
        <v>0</v>
      </c>
      <c r="E69" s="108">
        <f t="shared" si="108"/>
        <v>0</v>
      </c>
      <c r="F69" s="36">
        <v>0</v>
      </c>
      <c r="G69" s="108">
        <f t="shared" si="109"/>
        <v>0</v>
      </c>
      <c r="H69" s="137">
        <f t="shared" si="110"/>
        <v>0</v>
      </c>
      <c r="I69" s="36">
        <v>0</v>
      </c>
      <c r="J69" s="108">
        <f t="shared" si="111"/>
        <v>0</v>
      </c>
      <c r="K69" s="137">
        <f t="shared" si="112"/>
        <v>0</v>
      </c>
      <c r="L69" s="74"/>
      <c r="M69" s="89">
        <v>0</v>
      </c>
      <c r="N69" s="108">
        <f t="shared" si="113"/>
        <v>0</v>
      </c>
      <c r="O69" s="36">
        <v>0</v>
      </c>
      <c r="P69" s="108">
        <f t="shared" si="114"/>
        <v>0</v>
      </c>
      <c r="Q69" s="137">
        <f t="shared" si="115"/>
        <v>0</v>
      </c>
      <c r="R69" s="36">
        <v>0</v>
      </c>
      <c r="S69" s="108">
        <f t="shared" si="116"/>
        <v>0</v>
      </c>
      <c r="T69" s="137">
        <f t="shared" si="117"/>
        <v>0</v>
      </c>
    </row>
    <row r="70" spans="2:20" x14ac:dyDescent="0.25">
      <c r="B70" s="28" t="s">
        <v>579</v>
      </c>
      <c r="C70" s="17" t="s">
        <v>558</v>
      </c>
      <c r="D70" s="36">
        <v>209.55</v>
      </c>
      <c r="E70" s="108">
        <f t="shared" si="108"/>
        <v>5.5270997618164211E-4</v>
      </c>
      <c r="F70" s="36">
        <v>2259.7545651250002</v>
      </c>
      <c r="G70" s="108">
        <f t="shared" si="109"/>
        <v>5.1639039220453759E-3</v>
      </c>
      <c r="H70" s="137">
        <f t="shared" si="110"/>
        <v>-2050.204565125</v>
      </c>
      <c r="I70" s="36">
        <v>1941.16</v>
      </c>
      <c r="J70" s="108">
        <f t="shared" si="111"/>
        <v>7.7345985100032068E-3</v>
      </c>
      <c r="K70" s="137">
        <f t="shared" si="112"/>
        <v>-1731.6100000000001</v>
      </c>
      <c r="L70" s="74"/>
      <c r="M70" s="89">
        <v>2770.45</v>
      </c>
      <c r="N70" s="108">
        <f t="shared" si="113"/>
        <v>1.817921385230045E-3</v>
      </c>
      <c r="O70" s="36">
        <v>9260.6450124250005</v>
      </c>
      <c r="P70" s="108">
        <f t="shared" si="114"/>
        <v>5.1657701002417039E-3</v>
      </c>
      <c r="Q70" s="137">
        <f t="shared" si="115"/>
        <v>-6490.1950124250006</v>
      </c>
      <c r="R70" s="36">
        <v>5217.1000000000004</v>
      </c>
      <c r="S70" s="108">
        <f t="shared" si="116"/>
        <v>5.6911751147016533E-3</v>
      </c>
      <c r="T70" s="137">
        <f t="shared" si="117"/>
        <v>-2446.6500000000005</v>
      </c>
    </row>
    <row r="71" spans="2:20" x14ac:dyDescent="0.25">
      <c r="B71" s="28" t="s">
        <v>604</v>
      </c>
      <c r="C71" s="17" t="s">
        <v>605</v>
      </c>
      <c r="D71" s="36">
        <v>0</v>
      </c>
      <c r="E71" s="108">
        <f t="shared" si="108"/>
        <v>0</v>
      </c>
      <c r="F71" s="36">
        <v>0</v>
      </c>
      <c r="G71" s="108">
        <f t="shared" si="109"/>
        <v>0</v>
      </c>
      <c r="H71" s="137">
        <f t="shared" si="110"/>
        <v>0</v>
      </c>
      <c r="I71" s="36">
        <v>0</v>
      </c>
      <c r="J71" s="108">
        <f t="shared" si="111"/>
        <v>0</v>
      </c>
      <c r="K71" s="137">
        <f t="shared" si="112"/>
        <v>0</v>
      </c>
      <c r="L71" s="74"/>
      <c r="M71" s="89">
        <v>0</v>
      </c>
      <c r="N71" s="108">
        <f t="shared" si="113"/>
        <v>0</v>
      </c>
      <c r="O71" s="36">
        <v>0</v>
      </c>
      <c r="P71" s="108">
        <f t="shared" si="114"/>
        <v>0</v>
      </c>
      <c r="Q71" s="137">
        <f t="shared" si="115"/>
        <v>0</v>
      </c>
      <c r="R71" s="36">
        <v>0</v>
      </c>
      <c r="S71" s="108">
        <f t="shared" si="116"/>
        <v>0</v>
      </c>
      <c r="T71" s="137">
        <f t="shared" si="117"/>
        <v>0</v>
      </c>
    </row>
    <row r="72" spans="2:20" x14ac:dyDescent="0.25">
      <c r="B72" s="28" t="s">
        <v>585</v>
      </c>
      <c r="C72" s="17" t="s">
        <v>568</v>
      </c>
      <c r="D72" s="36">
        <v>0</v>
      </c>
      <c r="E72" s="108">
        <f t="shared" si="108"/>
        <v>0</v>
      </c>
      <c r="F72" s="36">
        <v>0</v>
      </c>
      <c r="G72" s="108">
        <f t="shared" si="109"/>
        <v>0</v>
      </c>
      <c r="H72" s="137">
        <f t="shared" si="110"/>
        <v>0</v>
      </c>
      <c r="I72" s="36">
        <v>0</v>
      </c>
      <c r="J72" s="108">
        <f t="shared" si="111"/>
        <v>0</v>
      </c>
      <c r="K72" s="137">
        <f t="shared" si="112"/>
        <v>0</v>
      </c>
      <c r="L72" s="74"/>
      <c r="M72" s="89">
        <v>0</v>
      </c>
      <c r="N72" s="108">
        <f t="shared" si="113"/>
        <v>0</v>
      </c>
      <c r="O72" s="36">
        <v>0</v>
      </c>
      <c r="P72" s="108">
        <f t="shared" si="114"/>
        <v>0</v>
      </c>
      <c r="Q72" s="137">
        <f t="shared" si="115"/>
        <v>0</v>
      </c>
      <c r="R72" s="36">
        <v>0</v>
      </c>
      <c r="S72" s="108">
        <f t="shared" si="116"/>
        <v>0</v>
      </c>
      <c r="T72" s="137">
        <f t="shared" si="117"/>
        <v>0</v>
      </c>
    </row>
    <row r="73" spans="2:20" x14ac:dyDescent="0.25">
      <c r="B73" s="28" t="s">
        <v>599</v>
      </c>
      <c r="C73" s="17" t="s">
        <v>559</v>
      </c>
      <c r="D73" s="36">
        <v>1012.5</v>
      </c>
      <c r="E73" s="108">
        <f t="shared" si="108"/>
        <v>2.6705743301546772E-3</v>
      </c>
      <c r="F73" s="36">
        <v>3881.7</v>
      </c>
      <c r="G73" s="108">
        <f t="shared" si="109"/>
        <v>8.8703110344617187E-3</v>
      </c>
      <c r="H73" s="137">
        <f t="shared" si="110"/>
        <v>-2869.2</v>
      </c>
      <c r="I73" s="36">
        <v>0</v>
      </c>
      <c r="J73" s="108">
        <f t="shared" si="111"/>
        <v>0</v>
      </c>
      <c r="K73" s="137">
        <f t="shared" si="112"/>
        <v>1012.5</v>
      </c>
      <c r="L73" s="74"/>
      <c r="M73" s="89">
        <v>12425.1</v>
      </c>
      <c r="N73" s="108">
        <f t="shared" si="113"/>
        <v>8.1531357734742852E-3</v>
      </c>
      <c r="O73" s="36">
        <v>15907.5</v>
      </c>
      <c r="P73" s="108">
        <f t="shared" si="114"/>
        <v>8.8735166675044195E-3</v>
      </c>
      <c r="Q73" s="137">
        <f t="shared" si="115"/>
        <v>-3482.3999999999996</v>
      </c>
      <c r="R73" s="36">
        <v>1889.97</v>
      </c>
      <c r="S73" s="108">
        <f t="shared" si="116"/>
        <v>2.0617105732174353E-3</v>
      </c>
      <c r="T73" s="137">
        <f t="shared" si="117"/>
        <v>10535.130000000001</v>
      </c>
    </row>
    <row r="74" spans="2:20" x14ac:dyDescent="0.25">
      <c r="B74" s="28" t="s">
        <v>588</v>
      </c>
      <c r="C74" s="17" t="s">
        <v>560</v>
      </c>
      <c r="D74" s="36">
        <v>0</v>
      </c>
      <c r="E74" s="108">
        <f t="shared" si="108"/>
        <v>0</v>
      </c>
      <c r="F74" s="36">
        <v>1725.2</v>
      </c>
      <c r="G74" s="108">
        <f t="shared" si="109"/>
        <v>3.9423604597607648E-3</v>
      </c>
      <c r="H74" s="137">
        <f t="shared" si="110"/>
        <v>-1725.2</v>
      </c>
      <c r="I74" s="36">
        <v>366</v>
      </c>
      <c r="J74" s="108">
        <f t="shared" si="111"/>
        <v>1.4583357655531609E-3</v>
      </c>
      <c r="K74" s="137">
        <f t="shared" si="112"/>
        <v>-366</v>
      </c>
      <c r="L74" s="74"/>
      <c r="M74" s="89">
        <v>0</v>
      </c>
      <c r="N74" s="108">
        <f t="shared" si="113"/>
        <v>0</v>
      </c>
      <c r="O74" s="36">
        <v>7070</v>
      </c>
      <c r="P74" s="108">
        <f t="shared" si="114"/>
        <v>3.9437851855575199E-3</v>
      </c>
      <c r="Q74" s="137">
        <f t="shared" si="115"/>
        <v>-7070</v>
      </c>
      <c r="R74" s="36">
        <v>629.48</v>
      </c>
      <c r="S74" s="108">
        <f t="shared" si="116"/>
        <v>6.8668051430917484E-4</v>
      </c>
      <c r="T74" s="137">
        <f t="shared" si="117"/>
        <v>-629.48</v>
      </c>
    </row>
    <row r="75" spans="2:20" x14ac:dyDescent="0.25">
      <c r="B75" s="28" t="s">
        <v>607</v>
      </c>
      <c r="C75" s="17" t="s">
        <v>608</v>
      </c>
      <c r="D75" s="36">
        <v>0</v>
      </c>
      <c r="E75" s="108">
        <f t="shared" si="108"/>
        <v>0</v>
      </c>
      <c r="F75" s="36">
        <v>0</v>
      </c>
      <c r="G75" s="108">
        <f t="shared" si="109"/>
        <v>0</v>
      </c>
      <c r="H75" s="137">
        <f t="shared" si="110"/>
        <v>0</v>
      </c>
      <c r="I75" s="36">
        <v>0</v>
      </c>
      <c r="J75" s="108">
        <f t="shared" si="111"/>
        <v>0</v>
      </c>
      <c r="K75" s="137">
        <f t="shared" si="112"/>
        <v>0</v>
      </c>
      <c r="L75" s="74"/>
      <c r="M75" s="89">
        <v>0</v>
      </c>
      <c r="N75" s="108">
        <f t="shared" si="113"/>
        <v>0</v>
      </c>
      <c r="O75" s="36">
        <v>0</v>
      </c>
      <c r="P75" s="108">
        <f t="shared" si="114"/>
        <v>0</v>
      </c>
      <c r="Q75" s="137">
        <f t="shared" si="115"/>
        <v>0</v>
      </c>
      <c r="R75" s="36">
        <v>0</v>
      </c>
      <c r="S75" s="108">
        <f t="shared" si="116"/>
        <v>0</v>
      </c>
      <c r="T75" s="137">
        <f t="shared" si="117"/>
        <v>0</v>
      </c>
    </row>
    <row r="76" spans="2:20" x14ac:dyDescent="0.25">
      <c r="B76" s="28" t="s">
        <v>573</v>
      </c>
      <c r="C76" s="17" t="s">
        <v>365</v>
      </c>
      <c r="D76" s="36">
        <v>0</v>
      </c>
      <c r="E76" s="108">
        <f t="shared" si="108"/>
        <v>0</v>
      </c>
      <c r="F76" s="36">
        <v>124.599742194</v>
      </c>
      <c r="G76" s="108">
        <f t="shared" si="109"/>
        <v>2.8473052221308285E-4</v>
      </c>
      <c r="H76" s="137">
        <f t="shared" si="110"/>
        <v>-124.599742194</v>
      </c>
      <c r="I76" s="36">
        <v>0</v>
      </c>
      <c r="J76" s="108">
        <f t="shared" si="111"/>
        <v>0</v>
      </c>
      <c r="K76" s="137">
        <f t="shared" si="112"/>
        <v>0</v>
      </c>
      <c r="L76" s="74"/>
      <c r="M76" s="89">
        <v>0</v>
      </c>
      <c r="N76" s="108">
        <f t="shared" si="113"/>
        <v>0</v>
      </c>
      <c r="O76" s="36">
        <v>510.61916143600001</v>
      </c>
      <c r="P76" s="108">
        <f t="shared" si="114"/>
        <v>2.8483342069775112E-4</v>
      </c>
      <c r="Q76" s="137">
        <f t="shared" si="115"/>
        <v>-510.61916143600001</v>
      </c>
      <c r="R76" s="36">
        <v>0</v>
      </c>
      <c r="S76" s="108">
        <f t="shared" si="116"/>
        <v>0</v>
      </c>
      <c r="T76" s="137">
        <f t="shared" si="117"/>
        <v>0</v>
      </c>
    </row>
    <row r="77" spans="2:20" x14ac:dyDescent="0.25">
      <c r="B77" s="28" t="s">
        <v>590</v>
      </c>
      <c r="C77" s="17" t="s">
        <v>373</v>
      </c>
      <c r="D77" s="36">
        <v>0</v>
      </c>
      <c r="E77" s="108">
        <f t="shared" si="108"/>
        <v>0</v>
      </c>
      <c r="F77" s="36">
        <v>0</v>
      </c>
      <c r="G77" s="108">
        <f t="shared" si="109"/>
        <v>0</v>
      </c>
      <c r="H77" s="137">
        <f t="shared" si="110"/>
        <v>0</v>
      </c>
      <c r="I77" s="36">
        <v>0</v>
      </c>
      <c r="J77" s="108">
        <f t="shared" si="111"/>
        <v>0</v>
      </c>
      <c r="K77" s="137">
        <f t="shared" si="112"/>
        <v>0</v>
      </c>
      <c r="L77" s="74"/>
      <c r="M77" s="89">
        <v>0</v>
      </c>
      <c r="N77" s="108">
        <f t="shared" si="113"/>
        <v>0</v>
      </c>
      <c r="O77" s="36">
        <v>0</v>
      </c>
      <c r="P77" s="108">
        <f t="shared" si="114"/>
        <v>0</v>
      </c>
      <c r="Q77" s="137">
        <f t="shared" si="115"/>
        <v>0</v>
      </c>
      <c r="R77" s="36">
        <v>20</v>
      </c>
      <c r="S77" s="108">
        <f t="shared" si="116"/>
        <v>2.1817389410598427E-5</v>
      </c>
      <c r="T77" s="137">
        <f t="shared" si="117"/>
        <v>-20</v>
      </c>
    </row>
    <row r="78" spans="2:20" x14ac:dyDescent="0.25">
      <c r="B78" s="28" t="s">
        <v>572</v>
      </c>
      <c r="C78" s="17" t="s">
        <v>364</v>
      </c>
      <c r="D78" s="36">
        <v>0</v>
      </c>
      <c r="E78" s="108">
        <f t="shared" si="108"/>
        <v>0</v>
      </c>
      <c r="F78" s="36">
        <v>0</v>
      </c>
      <c r="G78" s="108">
        <f t="shared" si="109"/>
        <v>0</v>
      </c>
      <c r="H78" s="137">
        <f t="shared" si="110"/>
        <v>0</v>
      </c>
      <c r="I78" s="36">
        <v>0</v>
      </c>
      <c r="J78" s="108">
        <f t="shared" si="111"/>
        <v>0</v>
      </c>
      <c r="K78" s="137">
        <f t="shared" si="112"/>
        <v>0</v>
      </c>
      <c r="L78" s="74"/>
      <c r="M78" s="89">
        <v>0</v>
      </c>
      <c r="N78" s="108">
        <f t="shared" si="113"/>
        <v>0</v>
      </c>
      <c r="O78" s="36">
        <v>0</v>
      </c>
      <c r="P78" s="108">
        <f t="shared" si="114"/>
        <v>0</v>
      </c>
      <c r="Q78" s="137">
        <f t="shared" si="115"/>
        <v>0</v>
      </c>
      <c r="R78" s="36">
        <v>724.84</v>
      </c>
      <c r="S78" s="108">
        <f t="shared" si="116"/>
        <v>7.9070582701890816E-4</v>
      </c>
      <c r="T78" s="137">
        <f t="shared" si="117"/>
        <v>-724.84</v>
      </c>
    </row>
    <row r="79" spans="2:20" x14ac:dyDescent="0.25">
      <c r="B79" s="28" t="s">
        <v>593</v>
      </c>
      <c r="C79" s="17" t="s">
        <v>376</v>
      </c>
      <c r="D79" s="36">
        <v>0</v>
      </c>
      <c r="E79" s="108">
        <f t="shared" si="108"/>
        <v>0</v>
      </c>
      <c r="F79" s="36">
        <v>0</v>
      </c>
      <c r="G79" s="108">
        <f t="shared" si="109"/>
        <v>0</v>
      </c>
      <c r="H79" s="137">
        <f t="shared" si="110"/>
        <v>0</v>
      </c>
      <c r="I79" s="36">
        <v>0</v>
      </c>
      <c r="J79" s="108">
        <f t="shared" si="111"/>
        <v>0</v>
      </c>
      <c r="K79" s="137">
        <f t="shared" si="112"/>
        <v>0</v>
      </c>
      <c r="L79" s="74"/>
      <c r="M79" s="89">
        <v>0</v>
      </c>
      <c r="N79" s="108">
        <f t="shared" si="113"/>
        <v>0</v>
      </c>
      <c r="O79" s="36">
        <v>0</v>
      </c>
      <c r="P79" s="108">
        <f t="shared" si="114"/>
        <v>0</v>
      </c>
      <c r="Q79" s="137">
        <f t="shared" si="115"/>
        <v>0</v>
      </c>
      <c r="R79" s="36">
        <v>0</v>
      </c>
      <c r="S79" s="108">
        <f t="shared" si="116"/>
        <v>0</v>
      </c>
      <c r="T79" s="137">
        <f t="shared" si="117"/>
        <v>0</v>
      </c>
    </row>
    <row r="80" spans="2:20" x14ac:dyDescent="0.25">
      <c r="B80" s="28" t="s">
        <v>592</v>
      </c>
      <c r="C80" s="17" t="s">
        <v>375</v>
      </c>
      <c r="D80" s="36">
        <v>0</v>
      </c>
      <c r="E80" s="108">
        <f t="shared" si="108"/>
        <v>0</v>
      </c>
      <c r="F80" s="36">
        <v>0</v>
      </c>
      <c r="G80" s="108">
        <f t="shared" si="109"/>
        <v>0</v>
      </c>
      <c r="H80" s="137">
        <f t="shared" si="110"/>
        <v>0</v>
      </c>
      <c r="I80" s="36">
        <v>0</v>
      </c>
      <c r="J80" s="108">
        <f t="shared" si="111"/>
        <v>0</v>
      </c>
      <c r="K80" s="137">
        <f t="shared" si="112"/>
        <v>0</v>
      </c>
      <c r="L80" s="74"/>
      <c r="M80" s="89">
        <v>0</v>
      </c>
      <c r="N80" s="108">
        <f t="shared" si="113"/>
        <v>0</v>
      </c>
      <c r="O80" s="36">
        <v>0</v>
      </c>
      <c r="P80" s="108">
        <f t="shared" si="114"/>
        <v>0</v>
      </c>
      <c r="Q80" s="137">
        <f t="shared" si="115"/>
        <v>0</v>
      </c>
      <c r="R80" s="36">
        <v>-43.94</v>
      </c>
      <c r="S80" s="108">
        <f t="shared" si="116"/>
        <v>-4.793280453508474E-5</v>
      </c>
      <c r="T80" s="137">
        <f t="shared" si="117"/>
        <v>43.94</v>
      </c>
    </row>
    <row r="81" spans="2:20" x14ac:dyDescent="0.25">
      <c r="B81" s="28" t="s">
        <v>600</v>
      </c>
      <c r="C81" s="17" t="s">
        <v>485</v>
      </c>
      <c r="D81" s="36">
        <v>0</v>
      </c>
      <c r="E81" s="108">
        <f t="shared" si="108"/>
        <v>0</v>
      </c>
      <c r="F81" s="36">
        <v>0</v>
      </c>
      <c r="G81" s="108">
        <f t="shared" si="109"/>
        <v>0</v>
      </c>
      <c r="H81" s="137">
        <f t="shared" si="110"/>
        <v>0</v>
      </c>
      <c r="I81" s="36">
        <v>0</v>
      </c>
      <c r="J81" s="108">
        <f t="shared" si="111"/>
        <v>0</v>
      </c>
      <c r="K81" s="137">
        <f t="shared" si="112"/>
        <v>0</v>
      </c>
      <c r="L81" s="74"/>
      <c r="M81" s="89">
        <v>0</v>
      </c>
      <c r="N81" s="108">
        <f t="shared" si="113"/>
        <v>0</v>
      </c>
      <c r="O81" s="36">
        <v>0</v>
      </c>
      <c r="P81" s="108">
        <f t="shared" si="114"/>
        <v>0</v>
      </c>
      <c r="Q81" s="137">
        <f t="shared" si="115"/>
        <v>0</v>
      </c>
      <c r="R81" s="36">
        <v>0</v>
      </c>
      <c r="S81" s="108">
        <f t="shared" si="116"/>
        <v>0</v>
      </c>
      <c r="T81" s="137">
        <f t="shared" si="117"/>
        <v>0</v>
      </c>
    </row>
    <row r="82" spans="2:20" x14ac:dyDescent="0.25">
      <c r="B82" s="28" t="s">
        <v>571</v>
      </c>
      <c r="C82" s="17" t="s">
        <v>363</v>
      </c>
      <c r="D82" s="36">
        <v>2421.75</v>
      </c>
      <c r="E82" s="108">
        <f t="shared" si="108"/>
        <v>6.387618157088484E-3</v>
      </c>
      <c r="F82" s="36">
        <v>3666.05</v>
      </c>
      <c r="G82" s="108">
        <f t="shared" si="109"/>
        <v>8.3775159769916251E-3</v>
      </c>
      <c r="H82" s="137">
        <f t="shared" si="110"/>
        <v>-1244.3000000000002</v>
      </c>
      <c r="I82" s="36">
        <v>2240.36</v>
      </c>
      <c r="J82" s="108">
        <f t="shared" si="111"/>
        <v>8.9267680757231689E-3</v>
      </c>
      <c r="K82" s="137">
        <f t="shared" si="112"/>
        <v>181.38999999999987</v>
      </c>
      <c r="L82" s="74"/>
      <c r="M82" s="89">
        <v>8888.6200000000008</v>
      </c>
      <c r="N82" s="108">
        <f t="shared" si="113"/>
        <v>5.8325587479230757E-3</v>
      </c>
      <c r="O82" s="36">
        <v>15023.75</v>
      </c>
      <c r="P82" s="108">
        <f t="shared" si="114"/>
        <v>8.3805435193097296E-3</v>
      </c>
      <c r="Q82" s="137">
        <f t="shared" si="115"/>
        <v>-6135.1299999999992</v>
      </c>
      <c r="R82" s="36">
        <v>7860.33</v>
      </c>
      <c r="S82" s="108">
        <f t="shared" si="116"/>
        <v>8.5745940252904568E-3</v>
      </c>
      <c r="T82" s="137">
        <f t="shared" si="117"/>
        <v>1028.2900000000009</v>
      </c>
    </row>
    <row r="83" spans="2:20" x14ac:dyDescent="0.25">
      <c r="B83" s="28" t="s">
        <v>601</v>
      </c>
      <c r="C83" s="17" t="s">
        <v>486</v>
      </c>
      <c r="D83" s="36">
        <v>0</v>
      </c>
      <c r="E83" s="108">
        <f t="shared" si="108"/>
        <v>0</v>
      </c>
      <c r="F83" s="36">
        <v>0</v>
      </c>
      <c r="G83" s="108">
        <f t="shared" si="109"/>
        <v>0</v>
      </c>
      <c r="H83" s="137">
        <f t="shared" si="110"/>
        <v>0</v>
      </c>
      <c r="I83" s="36">
        <v>0</v>
      </c>
      <c r="J83" s="108">
        <f t="shared" si="111"/>
        <v>0</v>
      </c>
      <c r="K83" s="137">
        <f t="shared" si="112"/>
        <v>0</v>
      </c>
      <c r="L83" s="74"/>
      <c r="M83" s="89">
        <v>0</v>
      </c>
      <c r="N83" s="108">
        <f t="shared" si="113"/>
        <v>0</v>
      </c>
      <c r="O83" s="36">
        <v>0</v>
      </c>
      <c r="P83" s="108">
        <f t="shared" si="114"/>
        <v>0</v>
      </c>
      <c r="Q83" s="137">
        <f t="shared" si="115"/>
        <v>0</v>
      </c>
      <c r="R83" s="36">
        <v>0</v>
      </c>
      <c r="S83" s="108">
        <f t="shared" si="116"/>
        <v>0</v>
      </c>
      <c r="T83" s="137">
        <f t="shared" si="117"/>
        <v>0</v>
      </c>
    </row>
    <row r="84" spans="2:20" x14ac:dyDescent="0.25">
      <c r="B84" s="28" t="s">
        <v>591</v>
      </c>
      <c r="C84" s="17" t="s">
        <v>374</v>
      </c>
      <c r="D84" s="36">
        <v>0</v>
      </c>
      <c r="E84" s="108">
        <f t="shared" si="108"/>
        <v>0</v>
      </c>
      <c r="F84" s="36">
        <v>0</v>
      </c>
      <c r="G84" s="108">
        <f t="shared" si="109"/>
        <v>0</v>
      </c>
      <c r="H84" s="137">
        <f t="shared" si="110"/>
        <v>0</v>
      </c>
      <c r="I84" s="36">
        <v>0</v>
      </c>
      <c r="J84" s="108">
        <f t="shared" si="111"/>
        <v>0</v>
      </c>
      <c r="K84" s="137">
        <f t="shared" si="112"/>
        <v>0</v>
      </c>
      <c r="L84" s="74"/>
      <c r="M84" s="89">
        <v>0</v>
      </c>
      <c r="N84" s="108">
        <f t="shared" si="113"/>
        <v>0</v>
      </c>
      <c r="O84" s="36">
        <v>0</v>
      </c>
      <c r="P84" s="108">
        <f t="shared" si="114"/>
        <v>0</v>
      </c>
      <c r="Q84" s="137">
        <f t="shared" si="115"/>
        <v>0</v>
      </c>
      <c r="R84" s="36">
        <v>0</v>
      </c>
      <c r="S84" s="108">
        <f t="shared" si="116"/>
        <v>0</v>
      </c>
      <c r="T84" s="137">
        <f t="shared" si="117"/>
        <v>0</v>
      </c>
    </row>
    <row r="85" spans="2:20" x14ac:dyDescent="0.25">
      <c r="B85" s="28" t="s">
        <v>594</v>
      </c>
      <c r="C85" s="17" t="s">
        <v>377</v>
      </c>
      <c r="D85" s="36">
        <v>0</v>
      </c>
      <c r="E85" s="108">
        <f t="shared" si="108"/>
        <v>0</v>
      </c>
      <c r="F85" s="36">
        <v>198.50291844700001</v>
      </c>
      <c r="G85" s="108">
        <f t="shared" si="109"/>
        <v>4.536112084584793E-4</v>
      </c>
      <c r="H85" s="137">
        <f t="shared" si="110"/>
        <v>-198.50291844700001</v>
      </c>
      <c r="I85" s="36">
        <v>984.77</v>
      </c>
      <c r="J85" s="108">
        <f t="shared" si="111"/>
        <v>3.9238396498464103E-3</v>
      </c>
      <c r="K85" s="137">
        <f t="shared" si="112"/>
        <v>-984.77</v>
      </c>
      <c r="L85" s="74"/>
      <c r="M85" s="89">
        <v>0</v>
      </c>
      <c r="N85" s="108">
        <f t="shared" si="113"/>
        <v>0</v>
      </c>
      <c r="O85" s="36">
        <v>813.47996372399996</v>
      </c>
      <c r="P85" s="108">
        <f t="shared" si="114"/>
        <v>4.5377513856896458E-4</v>
      </c>
      <c r="Q85" s="137">
        <f t="shared" si="115"/>
        <v>-813.47996372399996</v>
      </c>
      <c r="R85" s="36">
        <v>1210.02</v>
      </c>
      <c r="S85" s="108">
        <f t="shared" si="116"/>
        <v>1.3199738767306153E-3</v>
      </c>
      <c r="T85" s="137">
        <f t="shared" si="117"/>
        <v>-1210.02</v>
      </c>
    </row>
    <row r="86" spans="2:20" x14ac:dyDescent="0.25">
      <c r="B86" s="28" t="s">
        <v>595</v>
      </c>
      <c r="C86" s="17" t="s">
        <v>419</v>
      </c>
      <c r="D86" s="36">
        <v>0</v>
      </c>
      <c r="E86" s="108">
        <f t="shared" si="108"/>
        <v>0</v>
      </c>
      <c r="F86" s="36">
        <v>0</v>
      </c>
      <c r="G86" s="108">
        <f t="shared" si="109"/>
        <v>0</v>
      </c>
      <c r="H86" s="137">
        <f t="shared" si="110"/>
        <v>0</v>
      </c>
      <c r="I86" s="36">
        <v>0</v>
      </c>
      <c r="J86" s="108">
        <f t="shared" si="111"/>
        <v>0</v>
      </c>
      <c r="K86" s="137">
        <f t="shared" si="112"/>
        <v>0</v>
      </c>
      <c r="L86" s="74"/>
      <c r="M86" s="89">
        <v>0</v>
      </c>
      <c r="N86" s="108">
        <f t="shared" si="113"/>
        <v>0</v>
      </c>
      <c r="O86" s="36">
        <v>0</v>
      </c>
      <c r="P86" s="108">
        <f t="shared" si="114"/>
        <v>0</v>
      </c>
      <c r="Q86" s="137">
        <f t="shared" si="115"/>
        <v>0</v>
      </c>
      <c r="R86" s="36">
        <v>0</v>
      </c>
      <c r="S86" s="108">
        <f t="shared" si="116"/>
        <v>0</v>
      </c>
      <c r="T86" s="137">
        <f t="shared" si="117"/>
        <v>0</v>
      </c>
    </row>
    <row r="87" spans="2:20" x14ac:dyDescent="0.25">
      <c r="B87" s="28" t="s">
        <v>580</v>
      </c>
      <c r="C87" s="17" t="s">
        <v>60</v>
      </c>
      <c r="D87" s="36">
        <v>0</v>
      </c>
      <c r="E87" s="108">
        <f t="shared" si="108"/>
        <v>0</v>
      </c>
      <c r="F87" s="36">
        <v>0</v>
      </c>
      <c r="G87" s="108">
        <f t="shared" si="109"/>
        <v>0</v>
      </c>
      <c r="H87" s="137">
        <f t="shared" si="110"/>
        <v>0</v>
      </c>
      <c r="I87" s="36">
        <v>0</v>
      </c>
      <c r="J87" s="108">
        <f t="shared" si="111"/>
        <v>0</v>
      </c>
      <c r="K87" s="137">
        <f t="shared" si="112"/>
        <v>0</v>
      </c>
      <c r="L87" s="74"/>
      <c r="M87" s="89">
        <v>0</v>
      </c>
      <c r="N87" s="108">
        <f t="shared" si="113"/>
        <v>0</v>
      </c>
      <c r="O87" s="36">
        <v>0</v>
      </c>
      <c r="P87" s="108">
        <f t="shared" si="114"/>
        <v>0</v>
      </c>
      <c r="Q87" s="137">
        <f t="shared" si="115"/>
        <v>0</v>
      </c>
      <c r="R87" s="36">
        <v>92.89</v>
      </c>
      <c r="S87" s="108">
        <f t="shared" si="116"/>
        <v>1.0133086511752439E-4</v>
      </c>
      <c r="T87" s="137">
        <f t="shared" si="117"/>
        <v>-92.89</v>
      </c>
    </row>
    <row r="88" spans="2:20" x14ac:dyDescent="0.25">
      <c r="B88" s="28" t="s">
        <v>582</v>
      </c>
      <c r="C88" s="17" t="s">
        <v>371</v>
      </c>
      <c r="D88" s="36">
        <v>2799.16</v>
      </c>
      <c r="E88" s="108">
        <f t="shared" si="108"/>
        <v>7.3830763871563119E-3</v>
      </c>
      <c r="F88" s="36">
        <v>4313</v>
      </c>
      <c r="G88" s="108">
        <f t="shared" si="109"/>
        <v>9.8559011494019112E-3</v>
      </c>
      <c r="H88" s="137">
        <f t="shared" si="110"/>
        <v>-1513.8400000000001</v>
      </c>
      <c r="I88" s="36">
        <v>1565.69</v>
      </c>
      <c r="J88" s="108">
        <f t="shared" si="111"/>
        <v>6.238529302647346E-3</v>
      </c>
      <c r="K88" s="137">
        <f t="shared" si="112"/>
        <v>1233.4699999999998</v>
      </c>
      <c r="L88" s="74"/>
      <c r="M88" s="89">
        <v>10575.14</v>
      </c>
      <c r="N88" s="108">
        <f t="shared" si="113"/>
        <v>6.9392240097463078E-3</v>
      </c>
      <c r="O88" s="36">
        <v>17675</v>
      </c>
      <c r="P88" s="108">
        <f t="shared" si="114"/>
        <v>9.8594629638937992E-3</v>
      </c>
      <c r="Q88" s="137">
        <f t="shared" si="115"/>
        <v>-7099.8600000000006</v>
      </c>
      <c r="R88" s="36">
        <v>5896.63</v>
      </c>
      <c r="S88" s="108">
        <f t="shared" si="116"/>
        <v>6.4324536460108502E-3</v>
      </c>
      <c r="T88" s="137">
        <f t="shared" si="117"/>
        <v>4678.5099999999993</v>
      </c>
    </row>
    <row r="89" spans="2:20" x14ac:dyDescent="0.25">
      <c r="B89" s="28" t="s">
        <v>569</v>
      </c>
      <c r="C89" s="17" t="s">
        <v>561</v>
      </c>
      <c r="D89" s="36">
        <v>0</v>
      </c>
      <c r="E89" s="108">
        <f t="shared" si="108"/>
        <v>0</v>
      </c>
      <c r="F89" s="36">
        <v>1428.064807512</v>
      </c>
      <c r="G89" s="108">
        <f t="shared" si="109"/>
        <v>3.2633585851560257E-3</v>
      </c>
      <c r="H89" s="137">
        <f t="shared" si="110"/>
        <v>-1428.064807512</v>
      </c>
      <c r="I89" s="36">
        <v>431.8</v>
      </c>
      <c r="J89" s="108">
        <f t="shared" si="111"/>
        <v>1.7205174414367619E-3</v>
      </c>
      <c r="K89" s="137">
        <f t="shared" si="112"/>
        <v>-431.8</v>
      </c>
      <c r="L89" s="74"/>
      <c r="M89" s="89">
        <v>0</v>
      </c>
      <c r="N89" s="108">
        <f t="shared" si="113"/>
        <v>0</v>
      </c>
      <c r="O89" s="36">
        <v>5852.3175220889998</v>
      </c>
      <c r="P89" s="108">
        <f t="shared" si="114"/>
        <v>3.2645379271277635E-3</v>
      </c>
      <c r="Q89" s="137">
        <f t="shared" si="115"/>
        <v>-5852.3175220889998</v>
      </c>
      <c r="R89" s="36">
        <v>1324</v>
      </c>
      <c r="S89" s="108">
        <f t="shared" si="116"/>
        <v>1.4443111789816158E-3</v>
      </c>
      <c r="T89" s="137">
        <f t="shared" si="117"/>
        <v>-1324</v>
      </c>
    </row>
    <row r="90" spans="2:20" x14ac:dyDescent="0.25">
      <c r="B90" s="28" t="s">
        <v>577</v>
      </c>
      <c r="C90" s="17" t="s">
        <v>562</v>
      </c>
      <c r="D90" s="36">
        <v>0</v>
      </c>
      <c r="E90" s="108">
        <f t="shared" si="108"/>
        <v>0</v>
      </c>
      <c r="F90" s="36">
        <v>0</v>
      </c>
      <c r="G90" s="108">
        <f t="shared" si="109"/>
        <v>0</v>
      </c>
      <c r="H90" s="137">
        <f t="shared" si="110"/>
        <v>0</v>
      </c>
      <c r="I90" s="36">
        <v>0</v>
      </c>
      <c r="J90" s="108">
        <f t="shared" si="111"/>
        <v>0</v>
      </c>
      <c r="K90" s="137">
        <f t="shared" si="112"/>
        <v>0</v>
      </c>
      <c r="L90" s="74"/>
      <c r="M90" s="89">
        <v>0</v>
      </c>
      <c r="N90" s="108">
        <f t="shared" si="113"/>
        <v>0</v>
      </c>
      <c r="O90" s="36">
        <v>0</v>
      </c>
      <c r="P90" s="108">
        <f t="shared" si="114"/>
        <v>0</v>
      </c>
      <c r="Q90" s="137">
        <f t="shared" si="115"/>
        <v>0</v>
      </c>
      <c r="R90" s="36">
        <v>0</v>
      </c>
      <c r="S90" s="108">
        <f t="shared" si="116"/>
        <v>0</v>
      </c>
      <c r="T90" s="137">
        <f t="shared" si="117"/>
        <v>0</v>
      </c>
    </row>
    <row r="91" spans="2:20" x14ac:dyDescent="0.25">
      <c r="B91" s="28" t="s">
        <v>576</v>
      </c>
      <c r="C91" s="17" t="s">
        <v>563</v>
      </c>
      <c r="D91" s="36">
        <v>0</v>
      </c>
      <c r="E91" s="108">
        <f t="shared" si="108"/>
        <v>0</v>
      </c>
      <c r="F91" s="36">
        <v>0</v>
      </c>
      <c r="G91" s="108">
        <f t="shared" si="109"/>
        <v>0</v>
      </c>
      <c r="H91" s="137">
        <f t="shared" si="110"/>
        <v>0</v>
      </c>
      <c r="I91" s="36">
        <v>0</v>
      </c>
      <c r="J91" s="108">
        <f t="shared" si="111"/>
        <v>0</v>
      </c>
      <c r="K91" s="137">
        <f t="shared" si="112"/>
        <v>0</v>
      </c>
      <c r="L91" s="74"/>
      <c r="M91" s="89">
        <v>0</v>
      </c>
      <c r="N91" s="108">
        <f t="shared" si="113"/>
        <v>0</v>
      </c>
      <c r="O91" s="36">
        <v>0</v>
      </c>
      <c r="P91" s="108">
        <f t="shared" si="114"/>
        <v>0</v>
      </c>
      <c r="Q91" s="137">
        <f t="shared" si="115"/>
        <v>0</v>
      </c>
      <c r="R91" s="36">
        <v>0</v>
      </c>
      <c r="S91" s="108">
        <f t="shared" si="116"/>
        <v>0</v>
      </c>
      <c r="T91" s="137">
        <f t="shared" si="117"/>
        <v>0</v>
      </c>
    </row>
    <row r="92" spans="2:20" x14ac:dyDescent="0.25">
      <c r="B92" s="28" t="s">
        <v>578</v>
      </c>
      <c r="C92" s="17" t="s">
        <v>564</v>
      </c>
      <c r="D92" s="36">
        <v>0</v>
      </c>
      <c r="E92" s="108">
        <f t="shared" si="108"/>
        <v>0</v>
      </c>
      <c r="F92" s="36">
        <v>0</v>
      </c>
      <c r="G92" s="108">
        <f t="shared" si="109"/>
        <v>0</v>
      </c>
      <c r="H92" s="137">
        <f t="shared" si="110"/>
        <v>0</v>
      </c>
      <c r="I92" s="36">
        <v>0</v>
      </c>
      <c r="J92" s="108">
        <f t="shared" si="111"/>
        <v>0</v>
      </c>
      <c r="K92" s="137">
        <f t="shared" si="112"/>
        <v>0</v>
      </c>
      <c r="L92" s="74"/>
      <c r="M92" s="89">
        <v>0</v>
      </c>
      <c r="N92" s="108">
        <f t="shared" si="113"/>
        <v>0</v>
      </c>
      <c r="O92" s="36">
        <v>0</v>
      </c>
      <c r="P92" s="108">
        <f t="shared" si="114"/>
        <v>0</v>
      </c>
      <c r="Q92" s="137">
        <f t="shared" si="115"/>
        <v>0</v>
      </c>
      <c r="R92" s="36">
        <v>0</v>
      </c>
      <c r="S92" s="108">
        <f t="shared" si="116"/>
        <v>0</v>
      </c>
      <c r="T92" s="137">
        <f t="shared" si="117"/>
        <v>0</v>
      </c>
    </row>
    <row r="93" spans="2:20" x14ac:dyDescent="0.25">
      <c r="B93" s="28" t="s">
        <v>596</v>
      </c>
      <c r="C93" s="17" t="s">
        <v>565</v>
      </c>
      <c r="D93" s="36">
        <v>0</v>
      </c>
      <c r="E93" s="108">
        <f t="shared" si="108"/>
        <v>0</v>
      </c>
      <c r="F93" s="36">
        <v>0</v>
      </c>
      <c r="G93" s="108">
        <f t="shared" si="109"/>
        <v>0</v>
      </c>
      <c r="H93" s="137">
        <f t="shared" si="110"/>
        <v>0</v>
      </c>
      <c r="I93" s="36">
        <v>0</v>
      </c>
      <c r="J93" s="108">
        <f t="shared" si="111"/>
        <v>0</v>
      </c>
      <c r="K93" s="137">
        <f t="shared" si="112"/>
        <v>0</v>
      </c>
      <c r="L93" s="74"/>
      <c r="M93" s="89">
        <v>0</v>
      </c>
      <c r="N93" s="108">
        <f t="shared" si="113"/>
        <v>0</v>
      </c>
      <c r="O93" s="36">
        <v>0</v>
      </c>
      <c r="P93" s="108">
        <f t="shared" si="114"/>
        <v>0</v>
      </c>
      <c r="Q93" s="137">
        <f t="shared" si="115"/>
        <v>0</v>
      </c>
      <c r="R93" s="36">
        <v>0</v>
      </c>
      <c r="S93" s="108">
        <f t="shared" si="116"/>
        <v>0</v>
      </c>
      <c r="T93" s="137">
        <f t="shared" si="117"/>
        <v>0</v>
      </c>
    </row>
    <row r="94" spans="2:20" x14ac:dyDescent="0.25">
      <c r="B94" s="28" t="s">
        <v>583</v>
      </c>
      <c r="C94" s="17" t="s">
        <v>566</v>
      </c>
      <c r="D94" s="36">
        <v>0</v>
      </c>
      <c r="E94" s="108">
        <f t="shared" si="108"/>
        <v>0</v>
      </c>
      <c r="F94" s="36">
        <v>0</v>
      </c>
      <c r="G94" s="108">
        <f t="shared" si="109"/>
        <v>0</v>
      </c>
      <c r="H94" s="137">
        <f t="shared" si="110"/>
        <v>0</v>
      </c>
      <c r="I94" s="36">
        <v>0</v>
      </c>
      <c r="J94" s="108">
        <f t="shared" si="111"/>
        <v>0</v>
      </c>
      <c r="K94" s="137">
        <f t="shared" si="112"/>
        <v>0</v>
      </c>
      <c r="L94" s="74"/>
      <c r="M94" s="89">
        <v>0</v>
      </c>
      <c r="N94" s="108">
        <f t="shared" si="113"/>
        <v>0</v>
      </c>
      <c r="O94" s="36">
        <v>0</v>
      </c>
      <c r="P94" s="108">
        <f t="shared" si="114"/>
        <v>0</v>
      </c>
      <c r="Q94" s="137">
        <f t="shared" si="115"/>
        <v>0</v>
      </c>
      <c r="R94" s="36">
        <v>0</v>
      </c>
      <c r="S94" s="108">
        <f t="shared" si="116"/>
        <v>0</v>
      </c>
      <c r="T94" s="137">
        <f t="shared" si="117"/>
        <v>0</v>
      </c>
    </row>
    <row r="95" spans="2:20" x14ac:dyDescent="0.25">
      <c r="B95" s="28" t="s">
        <v>575</v>
      </c>
      <c r="C95" s="17" t="s">
        <v>366</v>
      </c>
      <c r="D95" s="36">
        <v>1141.33</v>
      </c>
      <c r="E95" s="108">
        <f t="shared" si="108"/>
        <v>3.0103768891214201E-3</v>
      </c>
      <c r="F95" s="36">
        <v>465.20132373400003</v>
      </c>
      <c r="G95" s="108">
        <f t="shared" si="109"/>
        <v>1.0630601115912872E-3</v>
      </c>
      <c r="H95" s="137">
        <f t="shared" si="110"/>
        <v>676.12867626599996</v>
      </c>
      <c r="I95" s="36">
        <v>0</v>
      </c>
      <c r="J95" s="108">
        <f t="shared" si="111"/>
        <v>0</v>
      </c>
      <c r="K95" s="137">
        <f t="shared" si="112"/>
        <v>1141.33</v>
      </c>
      <c r="L95" s="74"/>
      <c r="M95" s="89">
        <v>5976.36</v>
      </c>
      <c r="N95" s="108">
        <f t="shared" si="113"/>
        <v>3.9215840927767807E-3</v>
      </c>
      <c r="O95" s="36">
        <v>1906.4301871099999</v>
      </c>
      <c r="P95" s="108">
        <f t="shared" si="114"/>
        <v>1.0634442898478172E-3</v>
      </c>
      <c r="Q95" s="137">
        <f t="shared" si="115"/>
        <v>4069.92981289</v>
      </c>
      <c r="R95" s="36">
        <v>4839.41</v>
      </c>
      <c r="S95" s="108">
        <f t="shared" si="116"/>
        <v>5.2791646243772064E-3</v>
      </c>
      <c r="T95" s="137">
        <f t="shared" si="117"/>
        <v>1136.9499999999998</v>
      </c>
    </row>
    <row r="96" spans="2:20" x14ac:dyDescent="0.25">
      <c r="B96" s="28" t="s">
        <v>586</v>
      </c>
      <c r="C96" s="17" t="s">
        <v>567</v>
      </c>
      <c r="D96" s="36">
        <v>3000</v>
      </c>
      <c r="E96" s="108">
        <f t="shared" si="108"/>
        <v>7.9128128300879324E-3</v>
      </c>
      <c r="F96" s="36">
        <v>1293.9000000000001</v>
      </c>
      <c r="G96" s="108">
        <f t="shared" si="109"/>
        <v>2.9567703448205736E-3</v>
      </c>
      <c r="H96" s="137">
        <f t="shared" si="110"/>
        <v>1706.1</v>
      </c>
      <c r="I96" s="36">
        <v>3950</v>
      </c>
      <c r="J96" s="108">
        <f t="shared" si="111"/>
        <v>1.5738869600915261E-2</v>
      </c>
      <c r="K96" s="137">
        <f t="shared" si="112"/>
        <v>-950</v>
      </c>
      <c r="L96" s="74"/>
      <c r="M96" s="89">
        <v>12670</v>
      </c>
      <c r="N96" s="108">
        <f t="shared" si="113"/>
        <v>8.3138349188271472E-3</v>
      </c>
      <c r="O96" s="36">
        <v>5302.5</v>
      </c>
      <c r="P96" s="108">
        <f t="shared" si="114"/>
        <v>2.9578388891681397E-3</v>
      </c>
      <c r="Q96" s="137">
        <f t="shared" si="115"/>
        <v>7367.5</v>
      </c>
      <c r="R96" s="36">
        <v>5700</v>
      </c>
      <c r="S96" s="108">
        <f t="shared" si="116"/>
        <v>6.2179559820205515E-3</v>
      </c>
      <c r="T96" s="137">
        <f t="shared" si="117"/>
        <v>6970</v>
      </c>
    </row>
    <row r="97" spans="2:20" x14ac:dyDescent="0.25">
      <c r="B97" s="28" t="s">
        <v>602</v>
      </c>
      <c r="C97" s="17" t="s">
        <v>465</v>
      </c>
      <c r="D97" s="36">
        <v>0</v>
      </c>
      <c r="E97" s="108">
        <f t="shared" si="108"/>
        <v>0</v>
      </c>
      <c r="F97" s="36">
        <v>0</v>
      </c>
      <c r="G97" s="108">
        <f t="shared" si="109"/>
        <v>0</v>
      </c>
      <c r="H97" s="137">
        <f t="shared" si="110"/>
        <v>0</v>
      </c>
      <c r="I97" s="36">
        <v>0</v>
      </c>
      <c r="J97" s="108">
        <f t="shared" si="111"/>
        <v>0</v>
      </c>
      <c r="K97" s="137">
        <f t="shared" si="112"/>
        <v>0</v>
      </c>
      <c r="L97" s="74"/>
      <c r="M97" s="89">
        <v>0</v>
      </c>
      <c r="N97" s="108">
        <f t="shared" si="113"/>
        <v>0</v>
      </c>
      <c r="O97" s="36">
        <v>0</v>
      </c>
      <c r="P97" s="108">
        <f t="shared" si="114"/>
        <v>0</v>
      </c>
      <c r="Q97" s="137">
        <f t="shared" si="115"/>
        <v>0</v>
      </c>
      <c r="R97" s="36">
        <v>0</v>
      </c>
      <c r="S97" s="108">
        <f t="shared" si="116"/>
        <v>0</v>
      </c>
      <c r="T97" s="137">
        <f t="shared" si="117"/>
        <v>0</v>
      </c>
    </row>
    <row r="98" spans="2:20" x14ac:dyDescent="0.25">
      <c r="B98" s="28" t="s">
        <v>603</v>
      </c>
      <c r="C98" s="17" t="s">
        <v>487</v>
      </c>
      <c r="D98" s="36">
        <v>0</v>
      </c>
      <c r="E98" s="108">
        <f t="shared" si="108"/>
        <v>0</v>
      </c>
      <c r="F98" s="36">
        <v>0</v>
      </c>
      <c r="G98" s="108">
        <f t="shared" si="109"/>
        <v>0</v>
      </c>
      <c r="H98" s="137">
        <f t="shared" si="110"/>
        <v>0</v>
      </c>
      <c r="I98" s="36">
        <v>0</v>
      </c>
      <c r="J98" s="108">
        <f t="shared" si="111"/>
        <v>0</v>
      </c>
      <c r="K98" s="137">
        <f t="shared" si="112"/>
        <v>0</v>
      </c>
      <c r="L98" s="74"/>
      <c r="M98" s="89">
        <v>0</v>
      </c>
      <c r="N98" s="108">
        <f t="shared" si="113"/>
        <v>0</v>
      </c>
      <c r="O98" s="36">
        <v>0</v>
      </c>
      <c r="P98" s="108">
        <f t="shared" si="114"/>
        <v>0</v>
      </c>
      <c r="Q98" s="137">
        <f t="shared" si="115"/>
        <v>0</v>
      </c>
      <c r="R98" s="36">
        <v>0</v>
      </c>
      <c r="S98" s="108">
        <f t="shared" si="116"/>
        <v>0</v>
      </c>
      <c r="T98" s="137">
        <f t="shared" si="117"/>
        <v>0</v>
      </c>
    </row>
    <row r="99" spans="2:20" x14ac:dyDescent="0.25">
      <c r="B99" s="28" t="s">
        <v>598</v>
      </c>
      <c r="C99" s="17" t="s">
        <v>378</v>
      </c>
      <c r="D99" s="36">
        <v>0</v>
      </c>
      <c r="E99" s="108">
        <f t="shared" si="108"/>
        <v>0</v>
      </c>
      <c r="F99" s="36">
        <v>0</v>
      </c>
      <c r="G99" s="108">
        <f t="shared" si="109"/>
        <v>0</v>
      </c>
      <c r="H99" s="137">
        <f t="shared" si="110"/>
        <v>0</v>
      </c>
      <c r="I99" s="36">
        <v>0</v>
      </c>
      <c r="J99" s="108">
        <f t="shared" si="111"/>
        <v>0</v>
      </c>
      <c r="K99" s="137">
        <f t="shared" si="112"/>
        <v>0</v>
      </c>
      <c r="L99" s="74"/>
      <c r="M99" s="89">
        <v>0</v>
      </c>
      <c r="N99" s="108">
        <f t="shared" si="113"/>
        <v>0</v>
      </c>
      <c r="O99" s="36">
        <v>0</v>
      </c>
      <c r="P99" s="108">
        <f t="shared" si="114"/>
        <v>0</v>
      </c>
      <c r="Q99" s="137">
        <f t="shared" si="115"/>
        <v>0</v>
      </c>
      <c r="R99" s="36">
        <v>0</v>
      </c>
      <c r="S99" s="108">
        <f t="shared" si="116"/>
        <v>0</v>
      </c>
      <c r="T99" s="137">
        <f t="shared" si="117"/>
        <v>0</v>
      </c>
    </row>
    <row r="100" spans="2:20" x14ac:dyDescent="0.25">
      <c r="B100" s="28" t="s">
        <v>581</v>
      </c>
      <c r="C100" s="17" t="s">
        <v>370</v>
      </c>
      <c r="D100" s="36">
        <v>0</v>
      </c>
      <c r="E100" s="108">
        <f t="shared" si="108"/>
        <v>0</v>
      </c>
      <c r="F100" s="36">
        <v>0</v>
      </c>
      <c r="G100" s="108">
        <f t="shared" si="109"/>
        <v>0</v>
      </c>
      <c r="H100" s="137">
        <f t="shared" si="110"/>
        <v>0</v>
      </c>
      <c r="I100" s="36">
        <v>0</v>
      </c>
      <c r="J100" s="108">
        <f t="shared" si="111"/>
        <v>0</v>
      </c>
      <c r="K100" s="137">
        <f t="shared" si="112"/>
        <v>0</v>
      </c>
      <c r="L100" s="74"/>
      <c r="M100" s="89">
        <v>0</v>
      </c>
      <c r="N100" s="108">
        <f t="shared" si="113"/>
        <v>0</v>
      </c>
      <c r="O100" s="36">
        <v>0</v>
      </c>
      <c r="P100" s="108">
        <f t="shared" si="114"/>
        <v>0</v>
      </c>
      <c r="Q100" s="137">
        <f t="shared" si="115"/>
        <v>0</v>
      </c>
      <c r="R100" s="36">
        <v>0</v>
      </c>
      <c r="S100" s="108">
        <f t="shared" si="116"/>
        <v>0</v>
      </c>
      <c r="T100" s="137">
        <f t="shared" si="117"/>
        <v>0</v>
      </c>
    </row>
    <row r="101" spans="2:20" x14ac:dyDescent="0.25">
      <c r="B101" s="28" t="s">
        <v>584</v>
      </c>
      <c r="C101" s="17" t="s">
        <v>358</v>
      </c>
      <c r="D101" s="36">
        <v>620.91999999999996</v>
      </c>
      <c r="E101" s="108">
        <f t="shared" si="108"/>
        <v>1.6377412474860662E-3</v>
      </c>
      <c r="F101" s="36">
        <v>1297.26</v>
      </c>
      <c r="G101" s="108">
        <f t="shared" si="109"/>
        <v>2.9644484871488809E-3</v>
      </c>
      <c r="H101" s="137">
        <f t="shared" si="110"/>
        <v>-676.34</v>
      </c>
      <c r="I101" s="36">
        <v>-1930.65</v>
      </c>
      <c r="J101" s="108">
        <f t="shared" si="111"/>
        <v>-7.6927211632929239E-3</v>
      </c>
      <c r="K101" s="137">
        <f t="shared" si="112"/>
        <v>2551.5700000000002</v>
      </c>
      <c r="L101" s="74"/>
      <c r="M101" s="89">
        <v>3255.84</v>
      </c>
      <c r="N101" s="108">
        <f t="shared" si="113"/>
        <v>2.1364259101905431E-3</v>
      </c>
      <c r="O101" s="36">
        <v>5315.94</v>
      </c>
      <c r="P101" s="108">
        <f t="shared" si="114"/>
        <v>2.965335985758506E-3</v>
      </c>
      <c r="Q101" s="137">
        <f t="shared" si="115"/>
        <v>-2060.0999999999995</v>
      </c>
      <c r="R101" s="36">
        <v>2164.13</v>
      </c>
      <c r="S101" s="108">
        <f t="shared" si="116"/>
        <v>2.3607833472579186E-3</v>
      </c>
      <c r="T101" s="137">
        <f t="shared" si="117"/>
        <v>1091.71</v>
      </c>
    </row>
    <row r="102" spans="2:20" x14ac:dyDescent="0.25">
      <c r="B102" s="28" t="s">
        <v>609</v>
      </c>
      <c r="C102" s="17" t="s">
        <v>610</v>
      </c>
      <c r="D102" s="36">
        <v>0</v>
      </c>
      <c r="E102" s="108">
        <f t="shared" si="108"/>
        <v>0</v>
      </c>
      <c r="F102" s="36">
        <v>0</v>
      </c>
      <c r="G102" s="108">
        <f t="shared" si="109"/>
        <v>0</v>
      </c>
      <c r="H102" s="144">
        <f t="shared" si="110"/>
        <v>0</v>
      </c>
      <c r="I102" s="36">
        <v>0</v>
      </c>
      <c r="J102" s="108">
        <f t="shared" si="111"/>
        <v>0</v>
      </c>
      <c r="K102" s="144">
        <f t="shared" si="112"/>
        <v>0</v>
      </c>
      <c r="L102" s="74"/>
      <c r="M102" s="89">
        <v>0</v>
      </c>
      <c r="N102" s="108">
        <f t="shared" si="113"/>
        <v>0</v>
      </c>
      <c r="O102" s="36">
        <v>0</v>
      </c>
      <c r="P102" s="108">
        <f t="shared" si="114"/>
        <v>0</v>
      </c>
      <c r="Q102" s="144">
        <f t="shared" si="115"/>
        <v>0</v>
      </c>
      <c r="R102" s="36">
        <v>0</v>
      </c>
      <c r="S102" s="108">
        <f t="shared" si="116"/>
        <v>0</v>
      </c>
      <c r="T102" s="144">
        <f t="shared" si="117"/>
        <v>0</v>
      </c>
    </row>
    <row r="103" spans="2:20" x14ac:dyDescent="0.25">
      <c r="B103" s="28" t="s">
        <v>606</v>
      </c>
      <c r="C103" s="17" t="s">
        <v>48</v>
      </c>
      <c r="D103" s="308">
        <v>0</v>
      </c>
      <c r="E103" s="156">
        <f t="shared" si="108"/>
        <v>0</v>
      </c>
      <c r="F103" s="159">
        <v>0</v>
      </c>
      <c r="G103" s="156">
        <f t="shared" si="109"/>
        <v>0</v>
      </c>
      <c r="H103" s="141">
        <f t="shared" si="110"/>
        <v>0</v>
      </c>
      <c r="I103" s="36">
        <v>0</v>
      </c>
      <c r="J103" s="156">
        <f t="shared" si="111"/>
        <v>0</v>
      </c>
      <c r="K103" s="141">
        <f t="shared" si="112"/>
        <v>0</v>
      </c>
      <c r="L103" s="74"/>
      <c r="M103" s="231">
        <v>0</v>
      </c>
      <c r="N103" s="156">
        <f t="shared" si="113"/>
        <v>0</v>
      </c>
      <c r="O103" s="159">
        <v>0</v>
      </c>
      <c r="P103" s="156">
        <f t="shared" si="114"/>
        <v>0</v>
      </c>
      <c r="Q103" s="141">
        <f t="shared" si="115"/>
        <v>0</v>
      </c>
      <c r="R103" s="36">
        <v>0</v>
      </c>
      <c r="S103" s="156">
        <f t="shared" si="116"/>
        <v>0</v>
      </c>
      <c r="T103" s="141">
        <f t="shared" si="117"/>
        <v>0</v>
      </c>
    </row>
    <row r="104" spans="2:20" x14ac:dyDescent="0.25">
      <c r="B104" s="28" t="s">
        <v>597</v>
      </c>
      <c r="C104" s="18" t="s">
        <v>423</v>
      </c>
      <c r="D104" s="91">
        <f t="shared" ref="D104" si="118">+SUM(D66:D103)</f>
        <v>19281.919999999998</v>
      </c>
      <c r="E104" s="83">
        <f t="shared" si="108"/>
        <v>5.0858074654909699E-2</v>
      </c>
      <c r="F104" s="91">
        <f t="shared" ref="F104" si="119">+SUM(F66:F103)</f>
        <v>23787.658953018003</v>
      </c>
      <c r="G104" s="83">
        <f t="shared" si="109"/>
        <v>5.4358640207890281E-2</v>
      </c>
      <c r="H104" s="140">
        <f t="shared" si="110"/>
        <v>-4505.7389530180044</v>
      </c>
      <c r="I104" s="91">
        <f t="shared" ref="I104" si="120">+SUM(I66:I103)</f>
        <v>15231.480000000001</v>
      </c>
      <c r="J104" s="83">
        <f t="shared" si="111"/>
        <v>6.0690196847835137E-2</v>
      </c>
      <c r="K104" s="140">
        <f t="shared" si="112"/>
        <v>4050.4399999999969</v>
      </c>
      <c r="L104" s="74"/>
      <c r="M104" s="86">
        <f t="shared" ref="M104" si="121">+SUM(M66:M103)</f>
        <v>85623.3</v>
      </c>
      <c r="N104" s="83">
        <f t="shared" si="113"/>
        <v>5.6184528919117009E-2</v>
      </c>
      <c r="O104" s="91">
        <f t="shared" ref="O104" si="122">+SUM(O66:O103)</f>
        <v>97792.294856152002</v>
      </c>
      <c r="P104" s="83">
        <f t="shared" si="114"/>
        <v>5.4550467286473135E-2</v>
      </c>
      <c r="Q104" s="140">
        <f t="shared" si="115"/>
        <v>-12168.994856152</v>
      </c>
      <c r="R104" s="91">
        <f t="shared" ref="R104" si="123">+SUM(R66:R103)</f>
        <v>48743.639999999992</v>
      </c>
      <c r="S104" s="83">
        <f t="shared" si="116"/>
        <v>5.3172948758501086E-2</v>
      </c>
      <c r="T104" s="140">
        <f t="shared" si="117"/>
        <v>36879.660000000011</v>
      </c>
    </row>
    <row r="105" spans="2:20" x14ac:dyDescent="0.25">
      <c r="B105" s="28"/>
      <c r="C105" s="16"/>
      <c r="D105" s="241"/>
      <c r="E105" s="307"/>
      <c r="F105" s="240"/>
      <c r="G105" s="32"/>
      <c r="H105" s="16"/>
      <c r="I105" s="240"/>
      <c r="J105" s="32"/>
      <c r="K105" s="303"/>
      <c r="L105" s="74"/>
      <c r="M105" s="240"/>
      <c r="N105" s="32"/>
      <c r="O105" s="240"/>
      <c r="P105" s="32"/>
      <c r="Q105" s="16"/>
      <c r="R105" s="240"/>
      <c r="S105" s="32"/>
      <c r="T105" s="79"/>
    </row>
    <row r="106" spans="2:20" x14ac:dyDescent="0.25">
      <c r="B106" s="14" t="s">
        <v>21</v>
      </c>
      <c r="C106" s="18" t="s">
        <v>424</v>
      </c>
      <c r="D106" s="142">
        <f t="shared" ref="D106" si="124">+D63+D104+D44</f>
        <v>291396.89999999997</v>
      </c>
      <c r="E106" s="135">
        <f t="shared" ref="E106:E107" si="125">IFERROR(D106/D$35,"")</f>
        <v>0.76858970965595008</v>
      </c>
      <c r="F106" s="142">
        <f>F44+F63+F104</f>
        <v>300367.41395301803</v>
      </c>
      <c r="G106" s="135">
        <f t="shared" ref="G106:G107" si="126">IFERROR(F106/F$35,"")</f>
        <v>0.68638802235623231</v>
      </c>
      <c r="H106" s="131">
        <f>+D106-F106</f>
        <v>-8970.5139530180604</v>
      </c>
      <c r="I106" s="142">
        <f>I44+I63+I104</f>
        <v>228871.12000000002</v>
      </c>
      <c r="J106" s="135">
        <f t="shared" ref="J106:J107" si="127">IFERROR(I106/I$35,"")</f>
        <v>0.91194245901150106</v>
      </c>
      <c r="K106" s="131">
        <f>+D106-I106</f>
        <v>62525.779999999941</v>
      </c>
      <c r="L106" s="74"/>
      <c r="M106" s="133">
        <f t="shared" ref="M106" si="128">+M63+M104+M44</f>
        <v>1080000.4700000002</v>
      </c>
      <c r="N106" s="135">
        <f t="shared" ref="N106:N107" si="129">IFERROR(M106/M$35,"")</f>
        <v>0.70867763376761905</v>
      </c>
      <c r="O106" s="142">
        <f>O44+O63+O104</f>
        <v>1231191.4598561521</v>
      </c>
      <c r="P106" s="135">
        <f t="shared" ref="P106:P107" si="130">IFERROR(O106/O$35,"")</f>
        <v>0.68678283450716093</v>
      </c>
      <c r="Q106" s="131">
        <f>+M106-O106</f>
        <v>-151190.98985615186</v>
      </c>
      <c r="R106" s="142">
        <f>R44+R63+R104</f>
        <v>774688.84</v>
      </c>
      <c r="S106" s="135">
        <f t="shared" ref="S106:S107" si="131">IFERROR(R106/R$35,"")</f>
        <v>0.84508440471623891</v>
      </c>
      <c r="T106" s="233">
        <f>+M106-R106</f>
        <v>305311.63000000024</v>
      </c>
    </row>
    <row r="107" spans="2:20" ht="15.75" thickBot="1" x14ac:dyDescent="0.3">
      <c r="B107" s="28"/>
      <c r="C107" s="18" t="s">
        <v>425</v>
      </c>
      <c r="D107" s="143">
        <f t="shared" ref="D107" si="132">+D46-D106</f>
        <v>-1251.9699999999721</v>
      </c>
      <c r="E107" s="136">
        <f t="shared" si="125"/>
        <v>-3.3022014262949896E-3</v>
      </c>
      <c r="F107" s="143">
        <f t="shared" ref="F107" si="133">+F46-F106</f>
        <v>45101.156046981981</v>
      </c>
      <c r="G107" s="136">
        <f t="shared" si="126"/>
        <v>0.10306342122021903</v>
      </c>
      <c r="H107" s="132">
        <f>+D107-F107</f>
        <v>-46353.126046981954</v>
      </c>
      <c r="I107" s="143">
        <f t="shared" ref="I107" si="134">+I46-I106</f>
        <v>-58072.940000000031</v>
      </c>
      <c r="J107" s="136">
        <f t="shared" si="127"/>
        <v>-0.23139302025361427</v>
      </c>
      <c r="K107" s="132">
        <f>+D107-I107</f>
        <v>56820.970000000059</v>
      </c>
      <c r="L107" s="74"/>
      <c r="M107" s="134">
        <f t="shared" ref="M107" si="135">+M46-M106</f>
        <v>107334.2799999998</v>
      </c>
      <c r="N107" s="136">
        <f t="shared" si="129"/>
        <v>7.0430898583359797E-2</v>
      </c>
      <c r="O107" s="143">
        <f t="shared" ref="O107" si="136">+O46-O106</f>
        <v>184009.39014384802</v>
      </c>
      <c r="P107" s="136">
        <f t="shared" si="130"/>
        <v>0.10264406037521664</v>
      </c>
      <c r="Q107" s="132">
        <f>+M107-O107</f>
        <v>-76675.110143848229</v>
      </c>
      <c r="R107" s="143">
        <f t="shared" ref="R107" si="137">+R46-R106</f>
        <v>-101154.88</v>
      </c>
      <c r="S107" s="136">
        <f t="shared" si="131"/>
        <v>-0.11034677038711774</v>
      </c>
      <c r="T107" s="132">
        <f>+M107-R107</f>
        <v>208489.1599999998</v>
      </c>
    </row>
    <row r="108" spans="2:20" ht="15.75" thickTop="1" x14ac:dyDescent="0.25">
      <c r="B108" s="28"/>
    </row>
    <row r="109" spans="2:20" x14ac:dyDescent="0.25">
      <c r="B109" s="28"/>
    </row>
    <row r="110" spans="2:20" x14ac:dyDescent="0.25">
      <c r="B110" s="28"/>
    </row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4D44-DDB6-4E29-ACB2-67F954F124A0}">
  <dimension ref="B1:X40"/>
  <sheetViews>
    <sheetView showGridLines="0" zoomScale="80" zoomScaleNormal="80" workbookViewId="0">
      <pane xSplit="3" ySplit="8" topLeftCell="D18" activePane="bottomRight" state="frozen"/>
      <selection activeCell="AA33" sqref="AA33"/>
      <selection pane="topRight" activeCell="AA33" sqref="AA33"/>
      <selection pane="bottomLeft" activeCell="AA33" sqref="AA33"/>
      <selection pane="bottomRight" activeCell="AA33" sqref="AA33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  <col min="22" max="24" width="9.140625" style="338"/>
  </cols>
  <sheetData>
    <row r="1" spans="2:22" x14ac:dyDescent="0.25">
      <c r="V1" s="338" t="s">
        <v>715</v>
      </c>
    </row>
    <row r="2" spans="2:22" ht="22.5" x14ac:dyDescent="0.3">
      <c r="B2" s="1"/>
      <c r="C2" s="35" t="str">
        <f>+Summary!$C$2</f>
        <v>Angler's</v>
      </c>
      <c r="I2" s="4"/>
      <c r="R2" s="4"/>
      <c r="V2" s="338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APR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2" t="str">
        <f>Year&amp;" "&amp;UPPER(Month)&amp;" - PERIODIC"</f>
        <v>2025 APR - PERIODIC</v>
      </c>
      <c r="E6" s="293"/>
      <c r="F6" s="290"/>
      <c r="G6" s="290"/>
      <c r="H6" s="290"/>
      <c r="I6" s="290"/>
      <c r="J6" s="290"/>
      <c r="K6" s="291"/>
      <c r="M6" s="292" t="str">
        <f>Year&amp;" "&amp;UPPER(Month)&amp;" - YEAR TO DATE"</f>
        <v>2025 APR - YEAR TO DATE</v>
      </c>
      <c r="N6" s="293"/>
      <c r="O6" s="290"/>
      <c r="P6" s="290"/>
      <c r="Q6" s="290"/>
      <c r="R6" s="290"/>
      <c r="S6" s="290"/>
      <c r="T6" s="291"/>
    </row>
    <row r="7" spans="2:22" x14ac:dyDescent="0.25">
      <c r="B7"/>
      <c r="D7" s="333" t="s">
        <v>392</v>
      </c>
      <c r="E7" s="334"/>
      <c r="F7" s="335" t="s">
        <v>389</v>
      </c>
      <c r="G7" s="334"/>
      <c r="H7" s="39" t="s">
        <v>388</v>
      </c>
      <c r="I7" s="335" t="s">
        <v>718</v>
      </c>
      <c r="J7" s="334"/>
      <c r="K7" s="289" t="s">
        <v>388</v>
      </c>
      <c r="M7" s="333" t="s">
        <v>392</v>
      </c>
      <c r="N7" s="334"/>
      <c r="O7" s="335" t="s">
        <v>389</v>
      </c>
      <c r="P7" s="334"/>
      <c r="Q7" s="39" t="s">
        <v>388</v>
      </c>
      <c r="R7" s="335" t="s">
        <v>718</v>
      </c>
      <c r="S7" s="334"/>
      <c r="T7" s="288" t="s">
        <v>388</v>
      </c>
    </row>
    <row r="8" spans="2:22" ht="22.5" customHeight="1" collapsed="1" x14ac:dyDescent="0.25">
      <c r="B8"/>
      <c r="D8" s="304" t="s">
        <v>391</v>
      </c>
      <c r="E8" s="40" t="s">
        <v>390</v>
      </c>
      <c r="F8" s="40" t="s">
        <v>391</v>
      </c>
      <c r="G8" s="40" t="s">
        <v>390</v>
      </c>
      <c r="H8" s="75" t="s">
        <v>391</v>
      </c>
      <c r="I8" s="294" t="s">
        <v>392</v>
      </c>
      <c r="J8" s="76" t="s">
        <v>390</v>
      </c>
      <c r="K8" s="75" t="s">
        <v>391</v>
      </c>
      <c r="M8" s="304" t="s">
        <v>391</v>
      </c>
      <c r="N8" s="40" t="s">
        <v>390</v>
      </c>
      <c r="O8" s="40" t="s">
        <v>391</v>
      </c>
      <c r="P8" s="40" t="s">
        <v>390</v>
      </c>
      <c r="Q8" s="75" t="s">
        <v>391</v>
      </c>
      <c r="R8" s="294" t="s">
        <v>392</v>
      </c>
      <c r="S8" s="76" t="s">
        <v>390</v>
      </c>
      <c r="T8" s="75" t="s">
        <v>391</v>
      </c>
    </row>
    <row r="9" spans="2:22" x14ac:dyDescent="0.25">
      <c r="B9" s="14"/>
      <c r="C9" s="15" t="s">
        <v>9</v>
      </c>
      <c r="D9" s="179"/>
      <c r="E9" s="235"/>
      <c r="F9" s="274"/>
      <c r="G9" s="275"/>
      <c r="H9" s="275"/>
      <c r="I9" s="275"/>
      <c r="J9" s="94"/>
      <c r="K9" s="234"/>
      <c r="M9" s="179"/>
      <c r="N9" s="235"/>
      <c r="O9" s="274"/>
      <c r="P9" s="275"/>
      <c r="Q9" s="275"/>
      <c r="R9" s="275"/>
      <c r="S9" s="94"/>
      <c r="T9" s="234"/>
    </row>
    <row r="10" spans="2:22" x14ac:dyDescent="0.25">
      <c r="B10" s="14" t="s">
        <v>270</v>
      </c>
      <c r="C10" s="17" t="s">
        <v>59</v>
      </c>
      <c r="D10" s="36">
        <v>79.069999999999993</v>
      </c>
      <c r="E10" s="108">
        <f t="shared" ref="E10:E17" si="0">+IFERROR(D10/D$17,"")</f>
        <v>2.6817571325853672E-2</v>
      </c>
      <c r="F10" s="36">
        <v>88.94</v>
      </c>
      <c r="G10" s="108">
        <f t="shared" ref="G10:G17" si="1">+IFERROR(F10/F$17,"")</f>
        <v>5.7090404909235622E-2</v>
      </c>
      <c r="H10" s="144">
        <f t="shared" ref="H10:H17" si="2">+D10-F10</f>
        <v>-9.8700000000000045</v>
      </c>
      <c r="I10" s="36">
        <v>49.53</v>
      </c>
      <c r="J10" s="108">
        <f t="shared" ref="J10:J17" si="3">+IFERROR(I10/I$17,"")</f>
        <v>3.3888679826211902E-2</v>
      </c>
      <c r="K10" s="144">
        <f t="shared" ref="K10:K17" si="4">+D10-I10</f>
        <v>29.539999999999992</v>
      </c>
      <c r="M10" s="36">
        <v>388.26</v>
      </c>
      <c r="N10" s="108">
        <f t="shared" ref="N10:N17" si="5">+IFERROR(M10/M$17,"")</f>
        <v>3.9320892756229908E-2</v>
      </c>
      <c r="O10" s="36">
        <v>355.33</v>
      </c>
      <c r="P10" s="108">
        <f t="shared" ref="P10:P17" si="6">+IFERROR(O10/O$17,"")</f>
        <v>5.7088277727972342E-2</v>
      </c>
      <c r="Q10" s="144">
        <f t="shared" ref="Q10:Q17" si="7">+M10-O10</f>
        <v>32.930000000000007</v>
      </c>
      <c r="R10" s="36">
        <v>149.69</v>
      </c>
      <c r="S10" s="108">
        <f t="shared" ref="S10:S17" si="8">+IFERROR(R10/R$17,"")</f>
        <v>2.0770805147951574E-2</v>
      </c>
      <c r="T10" s="144">
        <f t="shared" ref="T10:T17" si="9">+M10-R10</f>
        <v>238.57</v>
      </c>
    </row>
    <row r="11" spans="2:22" x14ac:dyDescent="0.25">
      <c r="B11" s="14" t="s">
        <v>271</v>
      </c>
      <c r="C11" s="17" t="s">
        <v>55</v>
      </c>
      <c r="D11" s="36">
        <v>0</v>
      </c>
      <c r="E11" s="108">
        <f t="shared" si="0"/>
        <v>0</v>
      </c>
      <c r="F11" s="36">
        <v>0</v>
      </c>
      <c r="G11" s="108">
        <f t="shared" si="1"/>
        <v>0</v>
      </c>
      <c r="H11" s="144">
        <f t="shared" si="2"/>
        <v>0</v>
      </c>
      <c r="I11" s="36">
        <v>0</v>
      </c>
      <c r="J11" s="108">
        <f t="shared" si="3"/>
        <v>0</v>
      </c>
      <c r="K11" s="144">
        <f t="shared" si="4"/>
        <v>0</v>
      </c>
      <c r="M11" s="36">
        <v>0</v>
      </c>
      <c r="N11" s="108">
        <f t="shared" si="5"/>
        <v>0</v>
      </c>
      <c r="O11" s="36">
        <v>0</v>
      </c>
      <c r="P11" s="108">
        <f t="shared" si="6"/>
        <v>0</v>
      </c>
      <c r="Q11" s="144">
        <f t="shared" si="7"/>
        <v>0</v>
      </c>
      <c r="R11" s="36">
        <v>0</v>
      </c>
      <c r="S11" s="108">
        <f t="shared" si="8"/>
        <v>0</v>
      </c>
      <c r="T11" s="144">
        <f t="shared" si="9"/>
        <v>0</v>
      </c>
    </row>
    <row r="12" spans="2:22" x14ac:dyDescent="0.25">
      <c r="B12" s="14" t="s">
        <v>285</v>
      </c>
      <c r="C12" s="17" t="s">
        <v>57</v>
      </c>
      <c r="D12" s="36">
        <v>0</v>
      </c>
      <c r="E12" s="108">
        <f t="shared" si="0"/>
        <v>0</v>
      </c>
      <c r="F12" s="36">
        <v>0</v>
      </c>
      <c r="G12" s="108">
        <f t="shared" si="1"/>
        <v>0</v>
      </c>
      <c r="H12" s="144">
        <f t="shared" si="2"/>
        <v>0</v>
      </c>
      <c r="I12" s="36">
        <v>0</v>
      </c>
      <c r="J12" s="108">
        <f t="shared" si="3"/>
        <v>0</v>
      </c>
      <c r="K12" s="144">
        <f t="shared" si="4"/>
        <v>0</v>
      </c>
      <c r="M12" s="36">
        <v>0</v>
      </c>
      <c r="N12" s="108">
        <f t="shared" si="5"/>
        <v>0</v>
      </c>
      <c r="O12" s="36">
        <v>0</v>
      </c>
      <c r="P12" s="108">
        <f t="shared" si="6"/>
        <v>0</v>
      </c>
      <c r="Q12" s="144">
        <f t="shared" si="7"/>
        <v>0</v>
      </c>
      <c r="R12" s="36">
        <v>0</v>
      </c>
      <c r="S12" s="108">
        <f t="shared" si="8"/>
        <v>0</v>
      </c>
      <c r="T12" s="144">
        <f t="shared" si="9"/>
        <v>0</v>
      </c>
    </row>
    <row r="13" spans="2:22" x14ac:dyDescent="0.25">
      <c r="B13" s="14" t="s">
        <v>277</v>
      </c>
      <c r="C13" s="17" t="s">
        <v>60</v>
      </c>
      <c r="D13" s="36">
        <v>1605.37</v>
      </c>
      <c r="E13" s="108">
        <f t="shared" si="0"/>
        <v>0.54448114935355652</v>
      </c>
      <c r="F13" s="36">
        <v>583.20000000000005</v>
      </c>
      <c r="G13" s="108">
        <f t="shared" si="1"/>
        <v>0.37435489254628085</v>
      </c>
      <c r="H13" s="144">
        <f t="shared" si="2"/>
        <v>1022.1699999999998</v>
      </c>
      <c r="I13" s="36">
        <v>764.02</v>
      </c>
      <c r="J13" s="108">
        <f t="shared" si="3"/>
        <v>0.52274639937053125</v>
      </c>
      <c r="K13" s="144">
        <f t="shared" si="4"/>
        <v>841.34999999999991</v>
      </c>
      <c r="M13" s="36">
        <v>6304.88</v>
      </c>
      <c r="N13" s="108">
        <f t="shared" si="5"/>
        <v>0.63852446896641135</v>
      </c>
      <c r="O13" s="36">
        <v>2330.08</v>
      </c>
      <c r="P13" s="108">
        <f t="shared" si="6"/>
        <v>0.3743569475372015</v>
      </c>
      <c r="Q13" s="144">
        <f t="shared" si="7"/>
        <v>3974.8</v>
      </c>
      <c r="R13" s="36">
        <v>2717.06</v>
      </c>
      <c r="S13" s="108">
        <f t="shared" si="8"/>
        <v>0.37701599195198943</v>
      </c>
      <c r="T13" s="144">
        <f t="shared" si="9"/>
        <v>3587.82</v>
      </c>
    </row>
    <row r="14" spans="2:22" x14ac:dyDescent="0.25">
      <c r="B14" s="14" t="s">
        <v>298</v>
      </c>
      <c r="C14" s="17" t="s">
        <v>432</v>
      </c>
      <c r="D14" s="36">
        <v>0</v>
      </c>
      <c r="E14" s="108">
        <f t="shared" si="0"/>
        <v>0</v>
      </c>
      <c r="F14" s="36">
        <v>0</v>
      </c>
      <c r="G14" s="108">
        <f t="shared" si="1"/>
        <v>0</v>
      </c>
      <c r="H14" s="144">
        <f t="shared" si="2"/>
        <v>0</v>
      </c>
      <c r="I14" s="36">
        <v>0</v>
      </c>
      <c r="J14" s="108">
        <f t="shared" si="3"/>
        <v>0</v>
      </c>
      <c r="K14" s="144">
        <f t="shared" si="4"/>
        <v>0</v>
      </c>
      <c r="M14" s="36">
        <v>0</v>
      </c>
      <c r="N14" s="108">
        <f t="shared" si="5"/>
        <v>0</v>
      </c>
      <c r="O14" s="36">
        <v>0</v>
      </c>
      <c r="P14" s="108">
        <f t="shared" si="6"/>
        <v>0</v>
      </c>
      <c r="Q14" s="144">
        <f t="shared" si="7"/>
        <v>0</v>
      </c>
      <c r="R14" s="36">
        <v>0</v>
      </c>
      <c r="S14" s="108">
        <f t="shared" si="8"/>
        <v>0</v>
      </c>
      <c r="T14" s="144">
        <f t="shared" si="9"/>
        <v>0</v>
      </c>
    </row>
    <row r="15" spans="2:22" x14ac:dyDescent="0.25">
      <c r="B15" s="14" t="s">
        <v>279</v>
      </c>
      <c r="C15" s="17" t="s">
        <v>435</v>
      </c>
      <c r="D15" s="36">
        <v>0</v>
      </c>
      <c r="E15" s="108">
        <f t="shared" si="0"/>
        <v>0</v>
      </c>
      <c r="F15" s="36">
        <v>0</v>
      </c>
      <c r="G15" s="108">
        <f t="shared" si="1"/>
        <v>0</v>
      </c>
      <c r="H15" s="144">
        <f t="shared" si="2"/>
        <v>0</v>
      </c>
      <c r="I15" s="36">
        <v>0</v>
      </c>
      <c r="J15" s="108">
        <f t="shared" si="3"/>
        <v>0</v>
      </c>
      <c r="K15" s="144">
        <f t="shared" si="4"/>
        <v>0</v>
      </c>
      <c r="M15" s="36">
        <v>0</v>
      </c>
      <c r="N15" s="108">
        <f t="shared" si="5"/>
        <v>0</v>
      </c>
      <c r="O15" s="36">
        <v>0</v>
      </c>
      <c r="P15" s="108">
        <f t="shared" si="6"/>
        <v>0</v>
      </c>
      <c r="Q15" s="144">
        <f t="shared" si="7"/>
        <v>0</v>
      </c>
      <c r="R15" s="36">
        <v>0</v>
      </c>
      <c r="S15" s="108">
        <f t="shared" si="8"/>
        <v>0</v>
      </c>
      <c r="T15" s="144">
        <f t="shared" si="9"/>
        <v>0</v>
      </c>
    </row>
    <row r="16" spans="2:22" x14ac:dyDescent="0.25">
      <c r="B16" s="14" t="s">
        <v>280</v>
      </c>
      <c r="C16" s="17" t="s">
        <v>436</v>
      </c>
      <c r="D16" s="230">
        <v>1264</v>
      </c>
      <c r="E16" s="156">
        <f t="shared" si="0"/>
        <v>0.42870127932058993</v>
      </c>
      <c r="F16" s="159">
        <v>885.74</v>
      </c>
      <c r="G16" s="156">
        <f t="shared" si="1"/>
        <v>0.56855470254448348</v>
      </c>
      <c r="H16" s="141">
        <f t="shared" si="2"/>
        <v>378.26</v>
      </c>
      <c r="I16" s="36">
        <v>648</v>
      </c>
      <c r="J16" s="156">
        <f t="shared" si="3"/>
        <v>0.44336492080325685</v>
      </c>
      <c r="K16" s="141">
        <f t="shared" si="4"/>
        <v>616</v>
      </c>
      <c r="M16" s="230">
        <v>3181</v>
      </c>
      <c r="N16" s="156">
        <f t="shared" si="5"/>
        <v>0.32215463827735885</v>
      </c>
      <c r="O16" s="159">
        <v>3538.81</v>
      </c>
      <c r="P16" s="156">
        <f t="shared" si="6"/>
        <v>0.5685547747348263</v>
      </c>
      <c r="Q16" s="141">
        <f t="shared" si="7"/>
        <v>-357.80999999999995</v>
      </c>
      <c r="R16" s="36">
        <v>4340</v>
      </c>
      <c r="S16" s="156">
        <f t="shared" si="8"/>
        <v>0.60221320290005897</v>
      </c>
      <c r="T16" s="141">
        <f t="shared" si="9"/>
        <v>-1159</v>
      </c>
    </row>
    <row r="17" spans="2:20" x14ac:dyDescent="0.25">
      <c r="B17" s="14" t="s">
        <v>14</v>
      </c>
      <c r="C17" s="18" t="s">
        <v>433</v>
      </c>
      <c r="D17" s="67">
        <f t="shared" ref="D17" si="10">SUM(D10:D16)</f>
        <v>2948.4399999999996</v>
      </c>
      <c r="E17" s="229">
        <f t="shared" si="0"/>
        <v>1</v>
      </c>
      <c r="F17" s="67">
        <f>SUM(F10:F16)</f>
        <v>1557.88</v>
      </c>
      <c r="G17" s="229">
        <f t="shared" si="1"/>
        <v>1</v>
      </c>
      <c r="H17" s="233">
        <f t="shared" si="2"/>
        <v>1390.5599999999995</v>
      </c>
      <c r="I17" s="232">
        <f>SUM(I10:I16)</f>
        <v>1461.55</v>
      </c>
      <c r="J17" s="229">
        <f t="shared" si="3"/>
        <v>1</v>
      </c>
      <c r="K17" s="233">
        <f t="shared" si="4"/>
        <v>1486.8899999999996</v>
      </c>
      <c r="M17" s="67">
        <f t="shared" ref="M17" si="11">SUM(M10:M16)</f>
        <v>9874.14</v>
      </c>
      <c r="N17" s="229">
        <f t="shared" si="5"/>
        <v>1</v>
      </c>
      <c r="O17" s="67">
        <f>SUM(O10:O16)</f>
        <v>6224.2199999999993</v>
      </c>
      <c r="P17" s="229">
        <f t="shared" si="6"/>
        <v>1</v>
      </c>
      <c r="Q17" s="233">
        <f t="shared" si="7"/>
        <v>3649.92</v>
      </c>
      <c r="R17" s="232">
        <f>SUM(R10:R16)</f>
        <v>7206.75</v>
      </c>
      <c r="S17" s="229">
        <f t="shared" si="8"/>
        <v>1</v>
      </c>
      <c r="T17" s="233">
        <f t="shared" si="9"/>
        <v>2667.3899999999994</v>
      </c>
    </row>
    <row r="18" spans="2:20" x14ac:dyDescent="0.25">
      <c r="B18" s="14"/>
      <c r="C18" s="18"/>
      <c r="D18" s="48"/>
      <c r="E18" s="305"/>
      <c r="F18" s="31"/>
      <c r="G18" s="16"/>
      <c r="H18" s="31"/>
      <c r="I18" s="16"/>
      <c r="J18" s="16"/>
      <c r="K18" s="102"/>
      <c r="M18" s="48"/>
      <c r="N18" s="305"/>
      <c r="O18" s="31"/>
      <c r="P18" s="16"/>
      <c r="Q18" s="31"/>
      <c r="R18" s="16"/>
      <c r="S18" s="16"/>
      <c r="T18" s="102"/>
    </row>
    <row r="19" spans="2:20" x14ac:dyDescent="0.25">
      <c r="B19" s="14"/>
      <c r="C19" s="15" t="s">
        <v>434</v>
      </c>
      <c r="D19" s="48"/>
      <c r="E19" s="305"/>
      <c r="F19" s="16"/>
      <c r="G19" s="16"/>
      <c r="H19" s="16"/>
      <c r="I19" s="16"/>
      <c r="J19" s="16"/>
      <c r="K19" s="101"/>
      <c r="M19" s="48"/>
      <c r="N19" s="305"/>
      <c r="O19" s="16"/>
      <c r="P19" s="16"/>
      <c r="Q19" s="16"/>
      <c r="R19" s="16"/>
      <c r="S19" s="16"/>
      <c r="T19" s="101"/>
    </row>
    <row r="20" spans="2:20" x14ac:dyDescent="0.25">
      <c r="B20" s="14" t="s">
        <v>259</v>
      </c>
      <c r="C20" s="17" t="s">
        <v>59</v>
      </c>
      <c r="D20" s="36">
        <v>36</v>
      </c>
      <c r="E20" s="51">
        <f t="shared" ref="E20:E27" si="12">+IFERROR(D20/D10,"")</f>
        <v>0.45529277855065137</v>
      </c>
      <c r="F20" s="36">
        <v>40.909999999999997</v>
      </c>
      <c r="G20" s="108">
        <f t="shared" ref="G20:G27" si="13">+IFERROR(F20/F10,"")</f>
        <v>0.45997301551607822</v>
      </c>
      <c r="H20" s="144">
        <f t="shared" ref="H20:H27" si="14">+D20-F20</f>
        <v>-4.9099999999999966</v>
      </c>
      <c r="I20" s="36">
        <v>23</v>
      </c>
      <c r="J20" s="108">
        <f t="shared" ref="J20:J27" si="15">+IFERROR(I20/I10,"")</f>
        <v>0.46436503129416512</v>
      </c>
      <c r="K20" s="144">
        <f t="shared" ref="K20:K27" si="16">+D20-I20</f>
        <v>13</v>
      </c>
      <c r="M20" s="36">
        <v>178</v>
      </c>
      <c r="N20" s="51">
        <f t="shared" ref="N20:N27" si="17">+IFERROR(M20/M10,"")</f>
        <v>0.45845567403286458</v>
      </c>
      <c r="O20" s="36">
        <v>163.44999999999999</v>
      </c>
      <c r="P20" s="108">
        <f t="shared" ref="P20:P27" si="18">+IFERROR(O20/O10,"")</f>
        <v>0.45999493428643795</v>
      </c>
      <c r="Q20" s="144">
        <f t="shared" ref="Q20:Q27" si="19">+M20-O20</f>
        <v>14.550000000000011</v>
      </c>
      <c r="R20" s="36">
        <v>71</v>
      </c>
      <c r="S20" s="108">
        <f t="shared" ref="S20:S24" si="20">+IFERROR(R20/R10,"")</f>
        <v>0.47431358140156321</v>
      </c>
      <c r="T20" s="144">
        <f t="shared" ref="T20:T27" si="21">+M20-R20</f>
        <v>107</v>
      </c>
    </row>
    <row r="21" spans="2:20" x14ac:dyDescent="0.25">
      <c r="B21" s="14" t="s">
        <v>256</v>
      </c>
      <c r="C21" s="17" t="s">
        <v>55</v>
      </c>
      <c r="D21" s="36">
        <v>0</v>
      </c>
      <c r="E21" s="51" t="str">
        <f t="shared" si="12"/>
        <v/>
      </c>
      <c r="F21" s="36">
        <v>0</v>
      </c>
      <c r="G21" s="108" t="str">
        <f t="shared" si="13"/>
        <v/>
      </c>
      <c r="H21" s="144">
        <f t="shared" si="14"/>
        <v>0</v>
      </c>
      <c r="I21" s="36">
        <v>0</v>
      </c>
      <c r="J21" s="108" t="str">
        <f t="shared" si="15"/>
        <v/>
      </c>
      <c r="K21" s="144">
        <f t="shared" si="16"/>
        <v>0</v>
      </c>
      <c r="M21" s="36">
        <v>0</v>
      </c>
      <c r="N21" s="51" t="str">
        <f t="shared" si="17"/>
        <v/>
      </c>
      <c r="O21" s="36">
        <v>0</v>
      </c>
      <c r="P21" s="108" t="str">
        <f t="shared" si="18"/>
        <v/>
      </c>
      <c r="Q21" s="144">
        <f t="shared" si="19"/>
        <v>0</v>
      </c>
      <c r="R21" s="36">
        <v>0</v>
      </c>
      <c r="S21" s="108" t="str">
        <f t="shared" si="20"/>
        <v/>
      </c>
      <c r="T21" s="144">
        <f t="shared" si="21"/>
        <v>0</v>
      </c>
    </row>
    <row r="22" spans="2:20" x14ac:dyDescent="0.25">
      <c r="B22" s="14" t="s">
        <v>257</v>
      </c>
      <c r="C22" s="17" t="s">
        <v>57</v>
      </c>
      <c r="D22" s="36">
        <v>0</v>
      </c>
      <c r="E22" s="51" t="str">
        <f t="shared" si="12"/>
        <v/>
      </c>
      <c r="F22" s="36">
        <v>0</v>
      </c>
      <c r="G22" s="108" t="str">
        <f t="shared" si="13"/>
        <v/>
      </c>
      <c r="H22" s="144">
        <f t="shared" si="14"/>
        <v>0</v>
      </c>
      <c r="I22" s="36">
        <v>0</v>
      </c>
      <c r="J22" s="108" t="str">
        <f t="shared" si="15"/>
        <v/>
      </c>
      <c r="K22" s="144">
        <f t="shared" si="16"/>
        <v>0</v>
      </c>
      <c r="M22" s="36">
        <v>0</v>
      </c>
      <c r="N22" s="51" t="str">
        <f t="shared" si="17"/>
        <v/>
      </c>
      <c r="O22" s="36">
        <v>0</v>
      </c>
      <c r="P22" s="108" t="str">
        <f t="shared" si="18"/>
        <v/>
      </c>
      <c r="Q22" s="144">
        <f t="shared" si="19"/>
        <v>0</v>
      </c>
      <c r="R22" s="36">
        <v>0</v>
      </c>
      <c r="S22" s="108" t="str">
        <f t="shared" si="20"/>
        <v/>
      </c>
      <c r="T22" s="144">
        <f t="shared" si="21"/>
        <v>0</v>
      </c>
    </row>
    <row r="23" spans="2:20" x14ac:dyDescent="0.25">
      <c r="B23" s="14" t="s">
        <v>260</v>
      </c>
      <c r="C23" s="17" t="s">
        <v>60</v>
      </c>
      <c r="D23" s="36">
        <v>1069.98</v>
      </c>
      <c r="E23" s="51">
        <f t="shared" si="12"/>
        <v>0.66650055750387771</v>
      </c>
      <c r="F23" s="36">
        <v>490.47</v>
      </c>
      <c r="G23" s="108">
        <f t="shared" si="13"/>
        <v>0.84099794238683123</v>
      </c>
      <c r="H23" s="144">
        <f t="shared" si="14"/>
        <v>579.51</v>
      </c>
      <c r="I23" s="36">
        <v>619.24</v>
      </c>
      <c r="J23" s="108">
        <f t="shared" si="15"/>
        <v>0.81050234287060552</v>
      </c>
      <c r="K23" s="144">
        <f t="shared" si="16"/>
        <v>450.74</v>
      </c>
      <c r="M23" s="36">
        <v>4895</v>
      </c>
      <c r="N23" s="51">
        <f t="shared" si="17"/>
        <v>0.77638273845021633</v>
      </c>
      <c r="O23" s="36">
        <v>1959.6</v>
      </c>
      <c r="P23" s="108">
        <f t="shared" si="18"/>
        <v>0.84100116734189378</v>
      </c>
      <c r="Q23" s="144">
        <f t="shared" si="19"/>
        <v>2935.4</v>
      </c>
      <c r="R23" s="36">
        <v>2250.77</v>
      </c>
      <c r="S23" s="108">
        <f t="shared" si="20"/>
        <v>0.82838435662075927</v>
      </c>
      <c r="T23" s="144">
        <f t="shared" si="21"/>
        <v>2644.23</v>
      </c>
    </row>
    <row r="24" spans="2:20" x14ac:dyDescent="0.25">
      <c r="B24" s="14" t="s">
        <v>258</v>
      </c>
      <c r="C24" s="17" t="s">
        <v>432</v>
      </c>
      <c r="D24" s="36">
        <v>0</v>
      </c>
      <c r="E24" s="51" t="str">
        <f t="shared" si="12"/>
        <v/>
      </c>
      <c r="F24" s="36">
        <v>0</v>
      </c>
      <c r="G24" s="108" t="str">
        <f t="shared" si="13"/>
        <v/>
      </c>
      <c r="H24" s="144">
        <f t="shared" si="14"/>
        <v>0</v>
      </c>
      <c r="I24" s="36">
        <v>0</v>
      </c>
      <c r="J24" s="108" t="str">
        <f t="shared" si="15"/>
        <v/>
      </c>
      <c r="K24" s="144">
        <f t="shared" si="16"/>
        <v>0</v>
      </c>
      <c r="M24" s="36">
        <v>0</v>
      </c>
      <c r="N24" s="51" t="str">
        <f t="shared" si="17"/>
        <v/>
      </c>
      <c r="O24" s="36">
        <v>0</v>
      </c>
      <c r="P24" s="108" t="str">
        <f t="shared" si="18"/>
        <v/>
      </c>
      <c r="Q24" s="144">
        <f t="shared" si="19"/>
        <v>0</v>
      </c>
      <c r="R24" s="36">
        <v>0</v>
      </c>
      <c r="S24" s="108" t="str">
        <f t="shared" si="20"/>
        <v/>
      </c>
      <c r="T24" s="144">
        <f t="shared" si="21"/>
        <v>0</v>
      </c>
    </row>
    <row r="25" spans="2:20" x14ac:dyDescent="0.25">
      <c r="B25" s="14" t="s">
        <v>261</v>
      </c>
      <c r="C25" s="17" t="s">
        <v>435</v>
      </c>
      <c r="D25" s="36">
        <v>0</v>
      </c>
      <c r="E25" s="51" t="str">
        <f t="shared" si="12"/>
        <v/>
      </c>
      <c r="F25" s="36">
        <v>0</v>
      </c>
      <c r="G25" s="108" t="str">
        <f t="shared" si="13"/>
        <v/>
      </c>
      <c r="H25" s="144">
        <f t="shared" si="14"/>
        <v>0</v>
      </c>
      <c r="I25" s="36">
        <v>0</v>
      </c>
      <c r="J25" s="108" t="str">
        <f>+IFERROR(I25/I15,"")</f>
        <v/>
      </c>
      <c r="K25" s="144">
        <f t="shared" si="16"/>
        <v>0</v>
      </c>
      <c r="M25" s="36">
        <v>0</v>
      </c>
      <c r="N25" s="51" t="str">
        <f t="shared" si="17"/>
        <v/>
      </c>
      <c r="O25" s="36">
        <v>0</v>
      </c>
      <c r="P25" s="108" t="str">
        <f t="shared" si="18"/>
        <v/>
      </c>
      <c r="Q25" s="144">
        <f t="shared" si="19"/>
        <v>0</v>
      </c>
      <c r="R25" s="36">
        <v>0</v>
      </c>
      <c r="S25" s="108" t="str">
        <f>+IFERROR(R25/R15,"")</f>
        <v/>
      </c>
      <c r="T25" s="144">
        <f t="shared" si="21"/>
        <v>0</v>
      </c>
    </row>
    <row r="26" spans="2:20" x14ac:dyDescent="0.25">
      <c r="B26" s="14" t="s">
        <v>262</v>
      </c>
      <c r="C26" s="17" t="s">
        <v>436</v>
      </c>
      <c r="D26" s="306">
        <v>0</v>
      </c>
      <c r="E26" s="127">
        <f t="shared" si="12"/>
        <v>0</v>
      </c>
      <c r="F26" s="159">
        <v>0</v>
      </c>
      <c r="G26" s="156">
        <f t="shared" si="13"/>
        <v>0</v>
      </c>
      <c r="H26" s="141">
        <f t="shared" si="14"/>
        <v>0</v>
      </c>
      <c r="I26" s="36">
        <v>0</v>
      </c>
      <c r="J26" s="156">
        <f t="shared" si="15"/>
        <v>0</v>
      </c>
      <c r="K26" s="141">
        <f t="shared" si="16"/>
        <v>0</v>
      </c>
      <c r="M26" s="306">
        <v>0</v>
      </c>
      <c r="N26" s="127">
        <f t="shared" si="17"/>
        <v>0</v>
      </c>
      <c r="O26" s="159">
        <v>0</v>
      </c>
      <c r="P26" s="156">
        <f t="shared" si="18"/>
        <v>0</v>
      </c>
      <c r="Q26" s="141">
        <f t="shared" si="19"/>
        <v>0</v>
      </c>
      <c r="R26" s="36">
        <v>0</v>
      </c>
      <c r="S26" s="156">
        <f t="shared" ref="S26:S27" si="22">+IFERROR(R26/R16,"")</f>
        <v>0</v>
      </c>
      <c r="T26" s="141">
        <f t="shared" si="21"/>
        <v>0</v>
      </c>
    </row>
    <row r="27" spans="2:20" x14ac:dyDescent="0.25">
      <c r="B27" s="14" t="s">
        <v>22</v>
      </c>
      <c r="C27" s="18" t="s">
        <v>379</v>
      </c>
      <c r="D27" s="66">
        <f t="shared" ref="D27" si="23">SUM(D20:D26)</f>
        <v>1105.98</v>
      </c>
      <c r="E27" s="68">
        <f t="shared" si="12"/>
        <v>0.37510683615742568</v>
      </c>
      <c r="F27" s="67">
        <f>SUM(F20:F26)</f>
        <v>531.38</v>
      </c>
      <c r="G27" s="229">
        <f t="shared" si="13"/>
        <v>0.34109174005700049</v>
      </c>
      <c r="H27" s="233">
        <f t="shared" si="14"/>
        <v>574.6</v>
      </c>
      <c r="I27" s="232">
        <f>SUM(I20:I26)</f>
        <v>642.24</v>
      </c>
      <c r="J27" s="229">
        <f t="shared" si="15"/>
        <v>0.43942389928500564</v>
      </c>
      <c r="K27" s="233">
        <f t="shared" si="16"/>
        <v>463.74</v>
      </c>
      <c r="M27" s="66">
        <f t="shared" ref="M27" si="24">SUM(M20:M26)</f>
        <v>5073</v>
      </c>
      <c r="N27" s="68">
        <f t="shared" si="17"/>
        <v>0.51376626217574395</v>
      </c>
      <c r="O27" s="67">
        <f>SUM(O20:O26)</f>
        <v>2123.0499999999997</v>
      </c>
      <c r="P27" s="229">
        <f t="shared" si="18"/>
        <v>0.3410949484433391</v>
      </c>
      <c r="Q27" s="233">
        <f t="shared" si="19"/>
        <v>2949.9500000000003</v>
      </c>
      <c r="R27" s="232">
        <f>SUM(R20:R26)</f>
        <v>2321.77</v>
      </c>
      <c r="S27" s="229">
        <f t="shared" si="22"/>
        <v>0.32216602490720503</v>
      </c>
      <c r="T27" s="233">
        <f t="shared" si="21"/>
        <v>2751.23</v>
      </c>
    </row>
    <row r="28" spans="2:20" x14ac:dyDescent="0.25">
      <c r="B28" s="14"/>
      <c r="C28" s="18"/>
      <c r="D28" s="48"/>
      <c r="E28" s="307"/>
      <c r="F28" s="31"/>
      <c r="G28" s="32"/>
      <c r="H28" s="16"/>
      <c r="I28" s="31"/>
      <c r="J28" s="32"/>
      <c r="K28" s="49"/>
      <c r="M28" s="48"/>
      <c r="N28" s="307"/>
      <c r="O28" s="31"/>
      <c r="P28" s="32"/>
      <c r="Q28" s="16"/>
      <c r="R28" s="31"/>
      <c r="S28" s="32"/>
      <c r="T28" s="49"/>
    </row>
    <row r="29" spans="2:20" x14ac:dyDescent="0.25">
      <c r="B29" s="14"/>
      <c r="C29" s="15" t="s">
        <v>425</v>
      </c>
      <c r="D29" s="48"/>
      <c r="E29" s="307"/>
      <c r="F29" s="16"/>
      <c r="G29" s="32"/>
      <c r="H29" s="16"/>
      <c r="I29" s="16"/>
      <c r="J29" s="32"/>
      <c r="K29" s="49"/>
      <c r="M29" s="48"/>
      <c r="N29" s="307"/>
      <c r="O29" s="16"/>
      <c r="P29" s="32"/>
      <c r="Q29" s="16"/>
      <c r="R29" s="16"/>
      <c r="S29" s="32"/>
      <c r="T29" s="49"/>
    </row>
    <row r="30" spans="2:20" x14ac:dyDescent="0.25">
      <c r="B30" s="14"/>
      <c r="C30" s="17" t="s">
        <v>59</v>
      </c>
      <c r="D30" s="36">
        <v>0</v>
      </c>
      <c r="E30" s="108">
        <f t="shared" ref="E30:E37" si="25">+IFERROR(D30/D10,"")</f>
        <v>0</v>
      </c>
      <c r="F30" s="36">
        <v>0</v>
      </c>
      <c r="G30" s="108">
        <f t="shared" ref="G30:G37" si="26">+IFERROR(F30/F10,"")</f>
        <v>0</v>
      </c>
      <c r="H30" s="144">
        <f t="shared" ref="H30:H37" si="27">+D30-F30</f>
        <v>0</v>
      </c>
      <c r="I30" s="36">
        <v>0</v>
      </c>
      <c r="J30" s="108">
        <f t="shared" ref="J30:J37" si="28">+IFERROR(I30/I10,"")</f>
        <v>0</v>
      </c>
      <c r="K30" s="144">
        <f t="shared" ref="K30:K37" si="29">+D30-I30</f>
        <v>0</v>
      </c>
      <c r="M30" s="36">
        <v>0</v>
      </c>
      <c r="N30" s="108">
        <f t="shared" ref="N30:N37" si="30">+IFERROR(M30/M10,"")</f>
        <v>0</v>
      </c>
      <c r="O30" s="36">
        <v>0</v>
      </c>
      <c r="P30" s="108">
        <f t="shared" ref="P30:P37" si="31">+IFERROR(O30/O10,"")</f>
        <v>0</v>
      </c>
      <c r="Q30" s="144">
        <f t="shared" ref="Q30:Q37" si="32">+M30-O30</f>
        <v>0</v>
      </c>
      <c r="R30" s="36">
        <v>0</v>
      </c>
      <c r="S30" s="108">
        <f t="shared" ref="S30:S37" si="33">+IFERROR(R30/R10,"")</f>
        <v>0</v>
      </c>
      <c r="T30" s="144">
        <f t="shared" ref="T30:T37" si="34">+M30-R30</f>
        <v>0</v>
      </c>
    </row>
    <row r="31" spans="2:20" x14ac:dyDescent="0.25">
      <c r="B31" s="14"/>
      <c r="C31" s="17" t="s">
        <v>55</v>
      </c>
      <c r="D31" s="36">
        <v>0</v>
      </c>
      <c r="E31" s="108" t="str">
        <f t="shared" si="25"/>
        <v/>
      </c>
      <c r="F31" s="36">
        <v>0</v>
      </c>
      <c r="G31" s="108" t="str">
        <f t="shared" si="26"/>
        <v/>
      </c>
      <c r="H31" s="144">
        <f t="shared" si="27"/>
        <v>0</v>
      </c>
      <c r="I31" s="36">
        <v>0</v>
      </c>
      <c r="J31" s="108" t="str">
        <f t="shared" si="28"/>
        <v/>
      </c>
      <c r="K31" s="144">
        <f t="shared" si="29"/>
        <v>0</v>
      </c>
      <c r="M31" s="36">
        <v>0</v>
      </c>
      <c r="N31" s="108" t="str">
        <f t="shared" si="30"/>
        <v/>
      </c>
      <c r="O31" s="36">
        <v>0</v>
      </c>
      <c r="P31" s="108" t="str">
        <f t="shared" si="31"/>
        <v/>
      </c>
      <c r="Q31" s="144">
        <f t="shared" si="32"/>
        <v>0</v>
      </c>
      <c r="R31" s="36">
        <v>0</v>
      </c>
      <c r="S31" s="108" t="str">
        <f t="shared" si="33"/>
        <v/>
      </c>
      <c r="T31" s="144">
        <f t="shared" si="34"/>
        <v>0</v>
      </c>
    </row>
    <row r="32" spans="2:20" x14ac:dyDescent="0.25">
      <c r="B32" s="14"/>
      <c r="C32" s="17" t="s">
        <v>57</v>
      </c>
      <c r="D32" s="36">
        <v>0</v>
      </c>
      <c r="E32" s="108" t="str">
        <f t="shared" si="25"/>
        <v/>
      </c>
      <c r="F32" s="36">
        <v>0</v>
      </c>
      <c r="G32" s="108" t="str">
        <f t="shared" si="26"/>
        <v/>
      </c>
      <c r="H32" s="144">
        <f t="shared" si="27"/>
        <v>0</v>
      </c>
      <c r="I32" s="36">
        <v>0</v>
      </c>
      <c r="J32" s="108" t="str">
        <f t="shared" si="28"/>
        <v/>
      </c>
      <c r="K32" s="144">
        <f t="shared" si="29"/>
        <v>0</v>
      </c>
      <c r="M32" s="36">
        <v>0</v>
      </c>
      <c r="N32" s="108" t="str">
        <f t="shared" si="30"/>
        <v/>
      </c>
      <c r="O32" s="36">
        <v>0</v>
      </c>
      <c r="P32" s="108" t="str">
        <f t="shared" si="31"/>
        <v/>
      </c>
      <c r="Q32" s="144">
        <f t="shared" si="32"/>
        <v>0</v>
      </c>
      <c r="R32" s="36">
        <v>0</v>
      </c>
      <c r="S32" s="108" t="str">
        <f t="shared" si="33"/>
        <v/>
      </c>
      <c r="T32" s="144">
        <f t="shared" si="34"/>
        <v>0</v>
      </c>
    </row>
    <row r="33" spans="2:20" x14ac:dyDescent="0.25">
      <c r="B33" s="14"/>
      <c r="C33" s="17" t="s">
        <v>60</v>
      </c>
      <c r="D33" s="36">
        <v>0</v>
      </c>
      <c r="E33" s="108">
        <f t="shared" si="25"/>
        <v>0</v>
      </c>
      <c r="F33" s="36">
        <v>0</v>
      </c>
      <c r="G33" s="108">
        <f t="shared" si="26"/>
        <v>0</v>
      </c>
      <c r="H33" s="144">
        <f t="shared" si="27"/>
        <v>0</v>
      </c>
      <c r="I33" s="36">
        <v>0</v>
      </c>
      <c r="J33" s="108">
        <f t="shared" si="28"/>
        <v>0</v>
      </c>
      <c r="K33" s="144">
        <f t="shared" si="29"/>
        <v>0</v>
      </c>
      <c r="M33" s="36">
        <v>0</v>
      </c>
      <c r="N33" s="108">
        <f t="shared" si="30"/>
        <v>0</v>
      </c>
      <c r="O33" s="36">
        <v>0</v>
      </c>
      <c r="P33" s="108">
        <f t="shared" si="31"/>
        <v>0</v>
      </c>
      <c r="Q33" s="144">
        <f t="shared" si="32"/>
        <v>0</v>
      </c>
      <c r="R33" s="36">
        <v>0</v>
      </c>
      <c r="S33" s="108">
        <f t="shared" si="33"/>
        <v>0</v>
      </c>
      <c r="T33" s="144">
        <f t="shared" si="34"/>
        <v>0</v>
      </c>
    </row>
    <row r="34" spans="2:20" x14ac:dyDescent="0.25">
      <c r="B34" s="14"/>
      <c r="C34" s="17" t="s">
        <v>432</v>
      </c>
      <c r="D34" s="36">
        <v>0</v>
      </c>
      <c r="E34" s="108" t="str">
        <f t="shared" si="25"/>
        <v/>
      </c>
      <c r="F34" s="36">
        <v>0</v>
      </c>
      <c r="G34" s="108" t="str">
        <f t="shared" si="26"/>
        <v/>
      </c>
      <c r="H34" s="144">
        <f t="shared" si="27"/>
        <v>0</v>
      </c>
      <c r="I34" s="36">
        <v>0</v>
      </c>
      <c r="J34" s="108" t="str">
        <f t="shared" si="28"/>
        <v/>
      </c>
      <c r="K34" s="144">
        <f t="shared" si="29"/>
        <v>0</v>
      </c>
      <c r="M34" s="36">
        <v>0</v>
      </c>
      <c r="N34" s="108" t="str">
        <f t="shared" si="30"/>
        <v/>
      </c>
      <c r="O34" s="36">
        <v>0</v>
      </c>
      <c r="P34" s="108" t="str">
        <f t="shared" si="31"/>
        <v/>
      </c>
      <c r="Q34" s="144">
        <f t="shared" si="32"/>
        <v>0</v>
      </c>
      <c r="R34" s="36">
        <v>0</v>
      </c>
      <c r="S34" s="108" t="str">
        <f t="shared" si="33"/>
        <v/>
      </c>
      <c r="T34" s="144">
        <f t="shared" si="34"/>
        <v>0</v>
      </c>
    </row>
    <row r="35" spans="2:20" x14ac:dyDescent="0.25">
      <c r="B35" s="14"/>
      <c r="C35" s="17" t="s">
        <v>435</v>
      </c>
      <c r="D35" s="36">
        <v>0</v>
      </c>
      <c r="E35" s="108" t="str">
        <f t="shared" si="25"/>
        <v/>
      </c>
      <c r="F35" s="36">
        <v>0</v>
      </c>
      <c r="G35" s="108" t="str">
        <f t="shared" si="26"/>
        <v/>
      </c>
      <c r="H35" s="144">
        <f t="shared" si="27"/>
        <v>0</v>
      </c>
      <c r="I35" s="36">
        <v>0</v>
      </c>
      <c r="J35" s="108" t="str">
        <f t="shared" si="28"/>
        <v/>
      </c>
      <c r="K35" s="144">
        <f t="shared" si="29"/>
        <v>0</v>
      </c>
      <c r="M35" s="36">
        <v>0</v>
      </c>
      <c r="N35" s="108" t="str">
        <f t="shared" si="30"/>
        <v/>
      </c>
      <c r="O35" s="36">
        <v>0</v>
      </c>
      <c r="P35" s="108" t="str">
        <f t="shared" si="31"/>
        <v/>
      </c>
      <c r="Q35" s="144">
        <f t="shared" si="32"/>
        <v>0</v>
      </c>
      <c r="R35" s="36">
        <v>0</v>
      </c>
      <c r="S35" s="108" t="str">
        <f t="shared" si="33"/>
        <v/>
      </c>
      <c r="T35" s="144">
        <f t="shared" si="34"/>
        <v>0</v>
      </c>
    </row>
    <row r="36" spans="2:20" x14ac:dyDescent="0.25">
      <c r="B36" s="14"/>
      <c r="C36" s="17" t="s">
        <v>436</v>
      </c>
      <c r="D36" s="308">
        <v>0</v>
      </c>
      <c r="E36" s="156">
        <f t="shared" si="25"/>
        <v>0</v>
      </c>
      <c r="F36" s="90">
        <v>0</v>
      </c>
      <c r="G36" s="156">
        <f t="shared" si="26"/>
        <v>0</v>
      </c>
      <c r="H36" s="141">
        <f t="shared" si="27"/>
        <v>0</v>
      </c>
      <c r="I36" s="36">
        <v>0</v>
      </c>
      <c r="J36" s="156">
        <f t="shared" si="28"/>
        <v>0</v>
      </c>
      <c r="K36" s="141">
        <f t="shared" si="29"/>
        <v>0</v>
      </c>
      <c r="M36" s="308">
        <v>0</v>
      </c>
      <c r="N36" s="156">
        <f t="shared" si="30"/>
        <v>0</v>
      </c>
      <c r="O36" s="90">
        <v>0</v>
      </c>
      <c r="P36" s="156">
        <f t="shared" si="31"/>
        <v>0</v>
      </c>
      <c r="Q36" s="141">
        <f t="shared" si="32"/>
        <v>0</v>
      </c>
      <c r="R36" s="36">
        <v>0</v>
      </c>
      <c r="S36" s="156">
        <f t="shared" si="33"/>
        <v>0</v>
      </c>
      <c r="T36" s="141">
        <f t="shared" si="34"/>
        <v>0</v>
      </c>
    </row>
    <row r="37" spans="2:20" x14ac:dyDescent="0.25">
      <c r="B37" s="14"/>
      <c r="C37" s="18" t="s">
        <v>24</v>
      </c>
      <c r="D37" s="67">
        <f t="shared" ref="D37:F37" si="35">+D17-D27</f>
        <v>1842.4599999999996</v>
      </c>
      <c r="E37" s="229">
        <f t="shared" si="25"/>
        <v>0.62489316384257432</v>
      </c>
      <c r="F37" s="67">
        <f t="shared" si="35"/>
        <v>1026.5</v>
      </c>
      <c r="G37" s="229">
        <f t="shared" si="26"/>
        <v>0.6589082599429994</v>
      </c>
      <c r="H37" s="233">
        <f t="shared" si="27"/>
        <v>815.95999999999958</v>
      </c>
      <c r="I37" s="232">
        <f t="shared" ref="I37" si="36">+I17-I27</f>
        <v>819.31</v>
      </c>
      <c r="J37" s="229">
        <f t="shared" si="28"/>
        <v>0.56057610071499431</v>
      </c>
      <c r="K37" s="233">
        <f t="shared" si="29"/>
        <v>1023.1499999999996</v>
      </c>
      <c r="M37" s="67">
        <f t="shared" ref="M37" si="37">+M17-M27</f>
        <v>4801.1399999999994</v>
      </c>
      <c r="N37" s="229">
        <f t="shared" si="30"/>
        <v>0.48623373782425605</v>
      </c>
      <c r="O37" s="67">
        <f t="shared" ref="O37" si="38">+O17-O27</f>
        <v>4101.17</v>
      </c>
      <c r="P37" s="229">
        <f t="shared" si="31"/>
        <v>0.65890505155666101</v>
      </c>
      <c r="Q37" s="233">
        <f t="shared" si="32"/>
        <v>699.96999999999935</v>
      </c>
      <c r="R37" s="232">
        <f t="shared" ref="R37" si="39">+R17-R27</f>
        <v>4884.9799999999996</v>
      </c>
      <c r="S37" s="229">
        <f t="shared" si="33"/>
        <v>0.67783397509279486</v>
      </c>
      <c r="T37" s="233">
        <f t="shared" si="34"/>
        <v>-83.840000000000146</v>
      </c>
    </row>
    <row r="38" spans="2:20" x14ac:dyDescent="0.25">
      <c r="B38" s="14"/>
      <c r="C38" s="16"/>
      <c r="D38" s="48"/>
      <c r="E38" s="307"/>
      <c r="F38" s="16"/>
      <c r="G38" s="32"/>
      <c r="H38" s="16"/>
      <c r="I38" s="16"/>
      <c r="J38" s="32"/>
      <c r="K38" s="49"/>
      <c r="M38" s="48"/>
      <c r="N38" s="307"/>
      <c r="O38" s="16"/>
      <c r="P38" s="32"/>
      <c r="Q38" s="16"/>
      <c r="R38" s="16"/>
      <c r="S38" s="32"/>
      <c r="T38" s="49"/>
    </row>
    <row r="39" spans="2:20" ht="15.75" thickBot="1" x14ac:dyDescent="0.3">
      <c r="B39" s="14" t="s">
        <v>106</v>
      </c>
      <c r="C39" s="18" t="s">
        <v>425</v>
      </c>
      <c r="D39" s="143">
        <f>D37</f>
        <v>1842.4599999999996</v>
      </c>
      <c r="E39" s="136">
        <f>+IFERROR(D39/D17,"")</f>
        <v>0.62489316384257432</v>
      </c>
      <c r="F39" s="134">
        <f>F37</f>
        <v>1026.5</v>
      </c>
      <c r="G39" s="136">
        <f>+IFERROR(F39/F17,"")</f>
        <v>0.6589082599429994</v>
      </c>
      <c r="H39" s="132">
        <f>+D39-F39</f>
        <v>815.95999999999958</v>
      </c>
      <c r="I39" s="134">
        <f>I37</f>
        <v>819.31</v>
      </c>
      <c r="J39" s="136">
        <f>+IFERROR(I39/I17,"")</f>
        <v>0.56057610071499431</v>
      </c>
      <c r="K39" s="132">
        <f>+D39-I39</f>
        <v>1023.1499999999996</v>
      </c>
      <c r="M39" s="143">
        <f>M37</f>
        <v>4801.1399999999994</v>
      </c>
      <c r="N39" s="136">
        <f>+IFERROR(M39/M17,"")</f>
        <v>0.48623373782425605</v>
      </c>
      <c r="O39" s="134">
        <f>O37</f>
        <v>4101.17</v>
      </c>
      <c r="P39" s="136">
        <f>+IFERROR(O39/O17,"")</f>
        <v>0.65890505155666101</v>
      </c>
      <c r="Q39" s="132">
        <f>+M39-O39</f>
        <v>699.96999999999935</v>
      </c>
      <c r="R39" s="134">
        <f>R37</f>
        <v>4884.9799999999996</v>
      </c>
      <c r="S39" s="136">
        <f>+IFERROR(R39/R17,"")</f>
        <v>0.67783397509279486</v>
      </c>
      <c r="T39" s="132">
        <f>+M39-R39</f>
        <v>-83.840000000000146</v>
      </c>
    </row>
    <row r="40" spans="2:20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CD7F-8392-4A30-8565-96ED3FB7458D}">
  <dimension ref="B1:X25"/>
  <sheetViews>
    <sheetView showGridLines="0" zoomScale="80" zoomScaleNormal="80" workbookViewId="0">
      <pane xSplit="3" ySplit="8" topLeftCell="D9" activePane="bottomRight" state="frozen"/>
      <selection activeCell="AA33" sqref="AA33"/>
      <selection pane="topRight" activeCell="AA33" sqref="AA33"/>
      <selection pane="bottomLeft" activeCell="AA33" sqref="AA33"/>
      <selection pane="bottomRight" activeCell="AA33" sqref="AA33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  <col min="22" max="24" width="9.140625" style="338"/>
  </cols>
  <sheetData>
    <row r="1" spans="2:22" x14ac:dyDescent="0.25">
      <c r="V1" s="338" t="s">
        <v>715</v>
      </c>
    </row>
    <row r="2" spans="2:22" ht="22.5" x14ac:dyDescent="0.3">
      <c r="B2" s="1"/>
      <c r="C2" s="35" t="str">
        <f>+Summary!$C$2</f>
        <v>Angler's</v>
      </c>
      <c r="I2" s="4"/>
      <c r="R2" s="4"/>
      <c r="V2" s="338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APR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2" t="str">
        <f>Year&amp;" "&amp;UPPER(Month)&amp;" - PERIODIC"</f>
        <v>2025 APR - PERIODIC</v>
      </c>
      <c r="E6" s="293"/>
      <c r="F6" s="290"/>
      <c r="G6" s="290"/>
      <c r="H6" s="290"/>
      <c r="I6" s="290"/>
      <c r="J6" s="290"/>
      <c r="K6" s="291"/>
      <c r="M6" s="292" t="str">
        <f>Year&amp;" "&amp;UPPER(Month)&amp;" - YEAR TO DATE"</f>
        <v>2025 APR - YEAR TO DATE</v>
      </c>
      <c r="N6" s="293"/>
      <c r="O6" s="290"/>
      <c r="P6" s="290"/>
      <c r="Q6" s="290"/>
      <c r="R6" s="290"/>
      <c r="S6" s="290"/>
      <c r="T6" s="291"/>
    </row>
    <row r="7" spans="2:22" x14ac:dyDescent="0.25">
      <c r="B7"/>
      <c r="D7" s="333" t="s">
        <v>392</v>
      </c>
      <c r="E7" s="334"/>
      <c r="F7" s="335" t="s">
        <v>389</v>
      </c>
      <c r="G7" s="334"/>
      <c r="H7" s="39" t="s">
        <v>388</v>
      </c>
      <c r="I7" s="335" t="s">
        <v>718</v>
      </c>
      <c r="J7" s="334"/>
      <c r="K7" s="289" t="s">
        <v>388</v>
      </c>
      <c r="M7" s="333" t="s">
        <v>392</v>
      </c>
      <c r="N7" s="334"/>
      <c r="O7" s="335" t="s">
        <v>389</v>
      </c>
      <c r="P7" s="334"/>
      <c r="Q7" s="39" t="s">
        <v>388</v>
      </c>
      <c r="R7" s="335" t="s">
        <v>718</v>
      </c>
      <c r="S7" s="334"/>
      <c r="T7" s="289" t="s">
        <v>388</v>
      </c>
    </row>
    <row r="8" spans="2:22" ht="22.5" customHeight="1" collapsed="1" x14ac:dyDescent="0.25">
      <c r="B8"/>
      <c r="D8" s="304" t="s">
        <v>391</v>
      </c>
      <c r="E8" s="40" t="s">
        <v>390</v>
      </c>
      <c r="F8" s="40" t="s">
        <v>391</v>
      </c>
      <c r="G8" s="40" t="s">
        <v>390</v>
      </c>
      <c r="H8" s="75" t="s">
        <v>391</v>
      </c>
      <c r="I8" s="294" t="s">
        <v>392</v>
      </c>
      <c r="J8" s="76" t="s">
        <v>390</v>
      </c>
      <c r="K8" s="75" t="s">
        <v>391</v>
      </c>
      <c r="M8" s="304" t="s">
        <v>391</v>
      </c>
      <c r="N8" s="40" t="s">
        <v>390</v>
      </c>
      <c r="O8" s="40" t="s">
        <v>391</v>
      </c>
      <c r="P8" s="40" t="s">
        <v>390</v>
      </c>
      <c r="Q8" s="75" t="s">
        <v>391</v>
      </c>
      <c r="R8" s="294" t="s">
        <v>392</v>
      </c>
      <c r="S8" s="76" t="s">
        <v>390</v>
      </c>
      <c r="T8" s="75" t="s">
        <v>391</v>
      </c>
    </row>
    <row r="9" spans="2:22" x14ac:dyDescent="0.25">
      <c r="B9" s="14"/>
      <c r="C9" s="15" t="s">
        <v>9</v>
      </c>
      <c r="D9" s="179"/>
      <c r="E9" s="235"/>
      <c r="F9" s="179"/>
      <c r="G9" s="20"/>
      <c r="H9" s="239"/>
      <c r="I9" s="20"/>
      <c r="J9" s="20"/>
      <c r="K9" s="93"/>
      <c r="M9" s="179"/>
      <c r="N9" s="235"/>
      <c r="O9" s="179"/>
      <c r="P9" s="20"/>
      <c r="Q9" s="239"/>
      <c r="R9" s="20"/>
      <c r="S9" s="20"/>
      <c r="T9" s="93"/>
    </row>
    <row r="10" spans="2:22" x14ac:dyDescent="0.25">
      <c r="B10" s="14" t="s">
        <v>184</v>
      </c>
      <c r="C10" s="17" t="s">
        <v>437</v>
      </c>
      <c r="D10" s="36">
        <v>0</v>
      </c>
      <c r="E10" s="108">
        <f t="shared" ref="E10:E22" si="0">IFERROR(D10/D$22,"")</f>
        <v>0</v>
      </c>
      <c r="F10" s="105">
        <v>0</v>
      </c>
      <c r="G10" s="238">
        <f t="shared" ref="G10:G22" si="1">IFERROR(F10/F$22,"")</f>
        <v>0</v>
      </c>
      <c r="H10" s="237">
        <f t="shared" ref="H10:H22" si="2">D10-F10</f>
        <v>0</v>
      </c>
      <c r="I10" s="36">
        <v>0</v>
      </c>
      <c r="J10" s="238">
        <f t="shared" ref="J10:J22" si="3">IFERROR(I10/I$22,"")</f>
        <v>0</v>
      </c>
      <c r="K10" s="237">
        <f t="shared" ref="K10:K22" si="4">D10-I10</f>
        <v>0</v>
      </c>
      <c r="M10" s="36">
        <v>0</v>
      </c>
      <c r="N10" s="108">
        <f t="shared" ref="N10:N22" si="5">IFERROR(M10/M$22,"")</f>
        <v>0</v>
      </c>
      <c r="O10" s="105">
        <v>0</v>
      </c>
      <c r="P10" s="238">
        <f t="shared" ref="P10:P22" si="6">IFERROR(O10/O$22,"")</f>
        <v>0</v>
      </c>
      <c r="Q10" s="237">
        <f t="shared" ref="Q10:Q22" si="7">M10-O10</f>
        <v>0</v>
      </c>
      <c r="R10" s="36">
        <v>0</v>
      </c>
      <c r="S10" s="238">
        <f t="shared" ref="S10:S22" si="8">IFERROR(R10/R$22,"")</f>
        <v>0</v>
      </c>
      <c r="T10" s="237">
        <f t="shared" ref="T10:T22" si="9">M10-R10</f>
        <v>0</v>
      </c>
    </row>
    <row r="11" spans="2:22" x14ac:dyDescent="0.25">
      <c r="B11" s="14" t="s">
        <v>172</v>
      </c>
      <c r="C11" s="17" t="s">
        <v>378</v>
      </c>
      <c r="D11" s="36">
        <v>12790.04</v>
      </c>
      <c r="E11" s="108">
        <f t="shared" si="0"/>
        <v>8.8385198490145075E-2</v>
      </c>
      <c r="F11" s="105">
        <v>7700</v>
      </c>
      <c r="G11" s="238">
        <f t="shared" si="1"/>
        <v>6.4015696316187656E-2</v>
      </c>
      <c r="H11" s="237">
        <f t="shared" si="2"/>
        <v>5090.0400000000009</v>
      </c>
      <c r="I11" s="36">
        <v>930.4</v>
      </c>
      <c r="J11" s="238">
        <f t="shared" si="3"/>
        <v>7.6556598727896587E-3</v>
      </c>
      <c r="K11" s="237">
        <f t="shared" si="4"/>
        <v>11859.640000000001</v>
      </c>
      <c r="M11" s="36">
        <v>19344.7</v>
      </c>
      <c r="N11" s="108">
        <f t="shared" si="5"/>
        <v>3.9018402388572397E-2</v>
      </c>
      <c r="O11" s="105">
        <v>30800</v>
      </c>
      <c r="P11" s="238">
        <f t="shared" si="6"/>
        <v>6.2308699144064589E-2</v>
      </c>
      <c r="Q11" s="237">
        <f t="shared" si="7"/>
        <v>-11455.3</v>
      </c>
      <c r="R11" s="36">
        <v>-1144.7</v>
      </c>
      <c r="S11" s="238">
        <f t="shared" si="8"/>
        <v>-2.617135923230192E-3</v>
      </c>
      <c r="T11" s="237">
        <f t="shared" si="9"/>
        <v>20489.400000000001</v>
      </c>
    </row>
    <row r="12" spans="2:22" x14ac:dyDescent="0.25">
      <c r="B12" s="14" t="s">
        <v>171</v>
      </c>
      <c r="C12" s="17" t="s">
        <v>438</v>
      </c>
      <c r="D12" s="36">
        <v>0</v>
      </c>
      <c r="E12" s="108">
        <f t="shared" si="0"/>
        <v>0</v>
      </c>
      <c r="F12" s="105">
        <v>0</v>
      </c>
      <c r="G12" s="238">
        <f t="shared" si="1"/>
        <v>0</v>
      </c>
      <c r="H12" s="237">
        <f t="shared" si="2"/>
        <v>0</v>
      </c>
      <c r="I12" s="36">
        <v>0</v>
      </c>
      <c r="J12" s="238">
        <f t="shared" si="3"/>
        <v>0</v>
      </c>
      <c r="K12" s="237">
        <f t="shared" si="4"/>
        <v>0</v>
      </c>
      <c r="M12" s="36">
        <v>0</v>
      </c>
      <c r="N12" s="108">
        <f t="shared" si="5"/>
        <v>0</v>
      </c>
      <c r="O12" s="105">
        <v>0</v>
      </c>
      <c r="P12" s="238">
        <f t="shared" si="6"/>
        <v>0</v>
      </c>
      <c r="Q12" s="237">
        <f t="shared" si="7"/>
        <v>0</v>
      </c>
      <c r="R12" s="36">
        <v>0</v>
      </c>
      <c r="S12" s="238">
        <f t="shared" si="8"/>
        <v>0</v>
      </c>
      <c r="T12" s="237">
        <f t="shared" si="9"/>
        <v>0</v>
      </c>
    </row>
    <row r="13" spans="2:22" x14ac:dyDescent="0.25">
      <c r="B13" s="14" t="s">
        <v>169</v>
      </c>
      <c r="C13" s="17" t="s">
        <v>439</v>
      </c>
      <c r="D13" s="36">
        <v>27727</v>
      </c>
      <c r="E13" s="108">
        <f t="shared" si="0"/>
        <v>0.19160662504075454</v>
      </c>
      <c r="F13" s="105">
        <v>0</v>
      </c>
      <c r="G13" s="238">
        <f t="shared" si="1"/>
        <v>0</v>
      </c>
      <c r="H13" s="237">
        <f t="shared" si="2"/>
        <v>27727</v>
      </c>
      <c r="I13" s="36">
        <v>0</v>
      </c>
      <c r="J13" s="238">
        <f t="shared" si="3"/>
        <v>0</v>
      </c>
      <c r="K13" s="237">
        <f t="shared" si="4"/>
        <v>27727</v>
      </c>
      <c r="M13" s="36">
        <v>32135.3</v>
      </c>
      <c r="N13" s="108">
        <f t="shared" si="5"/>
        <v>6.4817136801164688E-2</v>
      </c>
      <c r="O13" s="105">
        <v>1950</v>
      </c>
      <c r="P13" s="238">
        <f t="shared" si="6"/>
        <v>3.9448689393157777E-3</v>
      </c>
      <c r="Q13" s="237">
        <f t="shared" si="7"/>
        <v>30185.3</v>
      </c>
      <c r="R13" s="36">
        <v>1946.8</v>
      </c>
      <c r="S13" s="238">
        <f t="shared" si="8"/>
        <v>4.450982978373842E-3</v>
      </c>
      <c r="T13" s="237">
        <f t="shared" si="9"/>
        <v>30188.5</v>
      </c>
    </row>
    <row r="14" spans="2:22" x14ac:dyDescent="0.25">
      <c r="B14" s="14" t="s">
        <v>170</v>
      </c>
      <c r="C14" s="17" t="s">
        <v>440</v>
      </c>
      <c r="D14" s="36">
        <v>611.41999999999996</v>
      </c>
      <c r="E14" s="108">
        <f t="shared" si="0"/>
        <v>4.2252000823175288E-3</v>
      </c>
      <c r="F14" s="105">
        <v>6592</v>
      </c>
      <c r="G14" s="238">
        <f t="shared" si="1"/>
        <v>5.4804087028092086E-2</v>
      </c>
      <c r="H14" s="237">
        <f t="shared" si="2"/>
        <v>-5980.58</v>
      </c>
      <c r="I14" s="36">
        <v>6592.02</v>
      </c>
      <c r="J14" s="238">
        <f t="shared" si="3"/>
        <v>5.4241469254758048E-2</v>
      </c>
      <c r="K14" s="237">
        <f t="shared" si="4"/>
        <v>-5980.6</v>
      </c>
      <c r="M14" s="36">
        <v>6891.75</v>
      </c>
      <c r="N14" s="108">
        <f t="shared" si="5"/>
        <v>1.3900710513031673E-2</v>
      </c>
      <c r="O14" s="105">
        <v>38093</v>
      </c>
      <c r="P14" s="238">
        <f t="shared" si="6"/>
        <v>7.7062508977105593E-2</v>
      </c>
      <c r="Q14" s="237">
        <f t="shared" si="7"/>
        <v>-31201.25</v>
      </c>
      <c r="R14" s="36">
        <v>38092.61</v>
      </c>
      <c r="S14" s="238">
        <f t="shared" si="8"/>
        <v>8.7091410885470108E-2</v>
      </c>
      <c r="T14" s="237">
        <f t="shared" si="9"/>
        <v>-31200.86</v>
      </c>
    </row>
    <row r="15" spans="2:22" x14ac:dyDescent="0.25">
      <c r="B15" s="14" t="s">
        <v>178</v>
      </c>
      <c r="C15" s="17" t="s">
        <v>441</v>
      </c>
      <c r="D15" s="36">
        <v>0</v>
      </c>
      <c r="E15" s="108">
        <f t="shared" si="0"/>
        <v>0</v>
      </c>
      <c r="F15" s="105">
        <v>0</v>
      </c>
      <c r="G15" s="238">
        <f t="shared" si="1"/>
        <v>0</v>
      </c>
      <c r="H15" s="237">
        <f t="shared" si="2"/>
        <v>0</v>
      </c>
      <c r="I15" s="36">
        <v>0</v>
      </c>
      <c r="J15" s="238">
        <f t="shared" si="3"/>
        <v>0</v>
      </c>
      <c r="K15" s="237">
        <f t="shared" si="4"/>
        <v>0</v>
      </c>
      <c r="M15" s="36">
        <v>0</v>
      </c>
      <c r="N15" s="108">
        <f t="shared" si="5"/>
        <v>0</v>
      </c>
      <c r="O15" s="105">
        <v>0</v>
      </c>
      <c r="P15" s="238">
        <f t="shared" si="6"/>
        <v>0</v>
      </c>
      <c r="Q15" s="237">
        <f t="shared" si="7"/>
        <v>0</v>
      </c>
      <c r="R15" s="36">
        <v>0</v>
      </c>
      <c r="S15" s="238">
        <f t="shared" si="8"/>
        <v>0</v>
      </c>
      <c r="T15" s="237">
        <f t="shared" si="9"/>
        <v>0</v>
      </c>
    </row>
    <row r="16" spans="2:22" x14ac:dyDescent="0.25">
      <c r="B16" s="14" t="s">
        <v>179</v>
      </c>
      <c r="C16" s="17" t="s">
        <v>447</v>
      </c>
      <c r="D16" s="36">
        <v>0</v>
      </c>
      <c r="E16" s="108">
        <f t="shared" si="0"/>
        <v>0</v>
      </c>
      <c r="F16" s="105">
        <v>0</v>
      </c>
      <c r="G16" s="238">
        <f t="shared" si="1"/>
        <v>0</v>
      </c>
      <c r="H16" s="237">
        <f t="shared" si="2"/>
        <v>0</v>
      </c>
      <c r="I16" s="36">
        <v>8745.83</v>
      </c>
      <c r="J16" s="238">
        <f t="shared" si="3"/>
        <v>7.1963778788950966E-2</v>
      </c>
      <c r="K16" s="237">
        <f t="shared" si="4"/>
        <v>-8745.83</v>
      </c>
      <c r="M16" s="36">
        <v>41895.56</v>
      </c>
      <c r="N16" s="108">
        <f t="shared" si="5"/>
        <v>8.4503653112975544E-2</v>
      </c>
      <c r="O16" s="105">
        <v>0</v>
      </c>
      <c r="P16" s="238">
        <f t="shared" si="6"/>
        <v>0</v>
      </c>
      <c r="Q16" s="237">
        <f t="shared" si="7"/>
        <v>41895.56</v>
      </c>
      <c r="R16" s="36">
        <v>34560.949999999997</v>
      </c>
      <c r="S16" s="238">
        <f t="shared" si="8"/>
        <v>7.9016950979263118E-2</v>
      </c>
      <c r="T16" s="237">
        <f t="shared" si="9"/>
        <v>7334.6100000000006</v>
      </c>
    </row>
    <row r="17" spans="2:20" x14ac:dyDescent="0.25">
      <c r="B17" s="14" t="s">
        <v>180</v>
      </c>
      <c r="C17" s="17" t="s">
        <v>442</v>
      </c>
      <c r="D17" s="36">
        <v>0</v>
      </c>
      <c r="E17" s="108">
        <f t="shared" si="0"/>
        <v>0</v>
      </c>
      <c r="F17" s="105">
        <v>0</v>
      </c>
      <c r="G17" s="238">
        <f t="shared" si="1"/>
        <v>0</v>
      </c>
      <c r="H17" s="237">
        <f t="shared" si="2"/>
        <v>0</v>
      </c>
      <c r="I17" s="36">
        <v>0</v>
      </c>
      <c r="J17" s="238">
        <f t="shared" si="3"/>
        <v>0</v>
      </c>
      <c r="K17" s="237">
        <f t="shared" si="4"/>
        <v>0</v>
      </c>
      <c r="M17" s="36">
        <v>0</v>
      </c>
      <c r="N17" s="108">
        <f t="shared" si="5"/>
        <v>0</v>
      </c>
      <c r="O17" s="105">
        <v>0</v>
      </c>
      <c r="P17" s="238">
        <f t="shared" si="6"/>
        <v>0</v>
      </c>
      <c r="Q17" s="237">
        <f t="shared" si="7"/>
        <v>0</v>
      </c>
      <c r="R17" s="36">
        <v>0</v>
      </c>
      <c r="S17" s="238">
        <f t="shared" si="8"/>
        <v>0</v>
      </c>
      <c r="T17" s="237">
        <f t="shared" si="9"/>
        <v>0</v>
      </c>
    </row>
    <row r="18" spans="2:20" x14ac:dyDescent="0.25">
      <c r="B18" s="14" t="s">
        <v>182</v>
      </c>
      <c r="C18" s="17" t="s">
        <v>443</v>
      </c>
      <c r="D18" s="36">
        <v>0</v>
      </c>
      <c r="E18" s="108">
        <f t="shared" si="0"/>
        <v>0</v>
      </c>
      <c r="F18" s="105">
        <v>0</v>
      </c>
      <c r="G18" s="238">
        <f t="shared" si="1"/>
        <v>0</v>
      </c>
      <c r="H18" s="237">
        <f t="shared" si="2"/>
        <v>0</v>
      </c>
      <c r="I18" s="36">
        <v>0</v>
      </c>
      <c r="J18" s="238">
        <f t="shared" si="3"/>
        <v>0</v>
      </c>
      <c r="K18" s="237">
        <f t="shared" si="4"/>
        <v>0</v>
      </c>
      <c r="M18" s="36">
        <v>0</v>
      </c>
      <c r="N18" s="108">
        <f t="shared" si="5"/>
        <v>0</v>
      </c>
      <c r="O18" s="105">
        <v>0</v>
      </c>
      <c r="P18" s="238">
        <f t="shared" si="6"/>
        <v>0</v>
      </c>
      <c r="Q18" s="237">
        <f t="shared" si="7"/>
        <v>0</v>
      </c>
      <c r="R18" s="36">
        <v>0</v>
      </c>
      <c r="S18" s="238">
        <f t="shared" si="8"/>
        <v>0</v>
      </c>
      <c r="T18" s="237">
        <f t="shared" si="9"/>
        <v>0</v>
      </c>
    </row>
    <row r="19" spans="2:20" x14ac:dyDescent="0.25">
      <c r="B19" s="14" t="s">
        <v>183</v>
      </c>
      <c r="C19" s="17" t="s">
        <v>444</v>
      </c>
      <c r="D19" s="36">
        <v>103437.12</v>
      </c>
      <c r="E19" s="108">
        <f t="shared" si="0"/>
        <v>0.71479920175769218</v>
      </c>
      <c r="F19" s="105">
        <v>105991</v>
      </c>
      <c r="G19" s="238">
        <f t="shared" si="1"/>
        <v>0.88118021665572022</v>
      </c>
      <c r="H19" s="237">
        <f t="shared" si="2"/>
        <v>-2553.8800000000047</v>
      </c>
      <c r="I19" s="36">
        <v>105262.75</v>
      </c>
      <c r="J19" s="238">
        <f t="shared" si="3"/>
        <v>0.86613909208350137</v>
      </c>
      <c r="K19" s="237">
        <f t="shared" si="4"/>
        <v>-1825.6300000000047</v>
      </c>
      <c r="M19" s="36">
        <v>395156.87</v>
      </c>
      <c r="N19" s="108">
        <f t="shared" si="5"/>
        <v>0.79703431742383135</v>
      </c>
      <c r="O19" s="105">
        <v>423470</v>
      </c>
      <c r="P19" s="238">
        <f t="shared" si="6"/>
        <v>0.85668392293951401</v>
      </c>
      <c r="Q19" s="237">
        <f t="shared" si="7"/>
        <v>-28313.130000000005</v>
      </c>
      <c r="R19" s="36">
        <v>363930.87</v>
      </c>
      <c r="S19" s="238">
        <f t="shared" si="8"/>
        <v>0.83205779108012301</v>
      </c>
      <c r="T19" s="237">
        <f t="shared" si="9"/>
        <v>31226</v>
      </c>
    </row>
    <row r="20" spans="2:20" x14ac:dyDescent="0.25">
      <c r="B20" s="14" t="s">
        <v>639</v>
      </c>
      <c r="C20" s="17" t="s">
        <v>701</v>
      </c>
      <c r="D20" s="36">
        <v>0</v>
      </c>
      <c r="E20" s="108">
        <f t="shared" si="0"/>
        <v>0</v>
      </c>
      <c r="F20" s="105">
        <v>0</v>
      </c>
      <c r="G20" s="238">
        <f t="shared" si="1"/>
        <v>0</v>
      </c>
      <c r="H20" s="237">
        <f t="shared" si="2"/>
        <v>0</v>
      </c>
      <c r="I20" s="36">
        <v>0</v>
      </c>
      <c r="J20" s="238">
        <f t="shared" si="3"/>
        <v>0</v>
      </c>
      <c r="K20" s="237">
        <f t="shared" si="4"/>
        <v>0</v>
      </c>
      <c r="M20" s="36">
        <v>0</v>
      </c>
      <c r="N20" s="108">
        <f t="shared" si="5"/>
        <v>0</v>
      </c>
      <c r="O20" s="105">
        <v>0</v>
      </c>
      <c r="P20" s="238">
        <f t="shared" si="6"/>
        <v>0</v>
      </c>
      <c r="Q20" s="237">
        <f t="shared" si="7"/>
        <v>0</v>
      </c>
      <c r="R20" s="36">
        <v>0</v>
      </c>
      <c r="S20" s="238">
        <f t="shared" si="8"/>
        <v>0</v>
      </c>
      <c r="T20" s="237">
        <f t="shared" si="9"/>
        <v>0</v>
      </c>
    </row>
    <row r="21" spans="2:20" x14ac:dyDescent="0.25">
      <c r="B21" s="14" t="s">
        <v>181</v>
      </c>
      <c r="C21" s="17" t="s">
        <v>445</v>
      </c>
      <c r="D21" s="106">
        <v>142.36000000000001</v>
      </c>
      <c r="E21" s="147">
        <f t="shared" si="0"/>
        <v>9.8377462909084363E-4</v>
      </c>
      <c r="F21" s="105">
        <v>0</v>
      </c>
      <c r="G21" s="238">
        <f t="shared" si="1"/>
        <v>0</v>
      </c>
      <c r="H21" s="237">
        <f t="shared" si="2"/>
        <v>142.36000000000001</v>
      </c>
      <c r="I21" s="36">
        <v>0</v>
      </c>
      <c r="J21" s="238">
        <f t="shared" si="3"/>
        <v>0</v>
      </c>
      <c r="K21" s="237">
        <f t="shared" si="4"/>
        <v>142.36000000000001</v>
      </c>
      <c r="M21" s="106">
        <v>359.83</v>
      </c>
      <c r="N21" s="147">
        <f t="shared" si="5"/>
        <v>7.2577976042430248E-4</v>
      </c>
      <c r="O21" s="105">
        <v>0</v>
      </c>
      <c r="P21" s="238">
        <f t="shared" si="6"/>
        <v>0</v>
      </c>
      <c r="Q21" s="237">
        <f t="shared" si="7"/>
        <v>359.83</v>
      </c>
      <c r="R21" s="36">
        <v>0</v>
      </c>
      <c r="S21" s="238">
        <f t="shared" si="8"/>
        <v>0</v>
      </c>
      <c r="T21" s="237">
        <f t="shared" si="9"/>
        <v>359.83</v>
      </c>
    </row>
    <row r="22" spans="2:20" x14ac:dyDescent="0.25">
      <c r="B22" s="14" t="s">
        <v>16</v>
      </c>
      <c r="C22" s="23" t="s">
        <v>446</v>
      </c>
      <c r="D22" s="103">
        <f t="shared" ref="D22" si="10">SUM(D10:D21)</f>
        <v>144707.93999999997</v>
      </c>
      <c r="E22" s="148">
        <f t="shared" si="0"/>
        <v>1</v>
      </c>
      <c r="F22" s="103">
        <f>SUM(F10:F21)</f>
        <v>120283</v>
      </c>
      <c r="G22" s="148">
        <f t="shared" si="1"/>
        <v>1</v>
      </c>
      <c r="H22" s="154">
        <f t="shared" si="2"/>
        <v>24424.939999999973</v>
      </c>
      <c r="I22" s="103">
        <f>SUM(I10:I21)</f>
        <v>121531</v>
      </c>
      <c r="J22" s="148">
        <f t="shared" si="3"/>
        <v>1</v>
      </c>
      <c r="K22" s="154">
        <f t="shared" si="4"/>
        <v>23176.939999999973</v>
      </c>
      <c r="M22" s="103">
        <f t="shared" ref="M22" si="11">SUM(M10:M21)</f>
        <v>495784.01</v>
      </c>
      <c r="N22" s="148">
        <f t="shared" si="5"/>
        <v>1</v>
      </c>
      <c r="O22" s="103">
        <f>SUM(O10:O21)</f>
        <v>494313</v>
      </c>
      <c r="P22" s="148">
        <f t="shared" si="6"/>
        <v>1</v>
      </c>
      <c r="Q22" s="154">
        <f t="shared" si="7"/>
        <v>1471.0100000000093</v>
      </c>
      <c r="R22" s="103">
        <f>SUM(R10:R21)</f>
        <v>437386.53</v>
      </c>
      <c r="S22" s="148">
        <f t="shared" si="8"/>
        <v>1</v>
      </c>
      <c r="T22" s="154">
        <f t="shared" si="9"/>
        <v>58397.479999999981</v>
      </c>
    </row>
    <row r="23" spans="2:20" x14ac:dyDescent="0.25">
      <c r="B23" s="14"/>
      <c r="C23" s="16"/>
      <c r="D23" s="48"/>
      <c r="E23" s="307"/>
      <c r="F23" s="16"/>
      <c r="G23" s="32"/>
      <c r="H23" s="16"/>
      <c r="I23" s="16"/>
      <c r="J23" s="32"/>
      <c r="K23" s="49"/>
      <c r="M23" s="48"/>
      <c r="N23" s="307"/>
      <c r="O23" s="16"/>
      <c r="P23" s="32"/>
      <c r="Q23" s="16"/>
      <c r="R23" s="16"/>
      <c r="S23" s="32"/>
      <c r="T23" s="49"/>
    </row>
    <row r="24" spans="2:20" ht="15.75" thickBot="1" x14ac:dyDescent="0.3">
      <c r="B24" s="14" t="s">
        <v>16</v>
      </c>
      <c r="C24" s="18" t="s">
        <v>425</v>
      </c>
      <c r="D24" s="328">
        <f>D22</f>
        <v>144707.93999999997</v>
      </c>
      <c r="E24" s="44">
        <f>IFERROR(D24/D$22,"")</f>
        <v>1</v>
      </c>
      <c r="F24" s="143">
        <f>F22</f>
        <v>120283</v>
      </c>
      <c r="G24" s="136">
        <f>IFERROR(F24/F$22,"")</f>
        <v>1</v>
      </c>
      <c r="H24" s="132">
        <f>D24-F24</f>
        <v>24424.939999999973</v>
      </c>
      <c r="I24" s="134">
        <f>I22</f>
        <v>121531</v>
      </c>
      <c r="J24" s="136">
        <f>IFERROR(I24/I$22,"")</f>
        <v>1</v>
      </c>
      <c r="K24" s="132">
        <f>D24-I24</f>
        <v>23176.939999999973</v>
      </c>
      <c r="M24" s="328">
        <f>M22</f>
        <v>495784.01</v>
      </c>
      <c r="N24" s="44">
        <f>IFERROR(M24/M$22,"")</f>
        <v>1</v>
      </c>
      <c r="O24" s="143">
        <f>O22</f>
        <v>494313</v>
      </c>
      <c r="P24" s="136">
        <f>IFERROR(O24/O$22,"")</f>
        <v>1</v>
      </c>
      <c r="Q24" s="132">
        <f>M24-O24</f>
        <v>1471.0100000000093</v>
      </c>
      <c r="R24" s="134">
        <f>R22</f>
        <v>437386.53</v>
      </c>
      <c r="S24" s="136">
        <f>IFERROR(R24/R$22,"")</f>
        <v>1</v>
      </c>
      <c r="T24" s="132">
        <f>M24-R24</f>
        <v>58397.479999999981</v>
      </c>
    </row>
    <row r="25" spans="2:20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EA3F-59A7-4A70-9DEE-D4D62B6553D8}">
  <dimension ref="B1:X69"/>
  <sheetViews>
    <sheetView showGridLines="0" zoomScale="80" zoomScaleNormal="80" workbookViewId="0">
      <pane xSplit="3" ySplit="8" topLeftCell="D50" activePane="bottomRight" state="frozen"/>
      <selection activeCell="AA33" sqref="AA33"/>
      <selection pane="topRight" activeCell="AA33" sqref="AA33"/>
      <selection pane="bottomLeft" activeCell="AA33" sqref="AA33"/>
      <selection pane="bottomRight" activeCell="AA33" sqref="AA33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  <col min="22" max="24" width="9.140625" style="338"/>
  </cols>
  <sheetData>
    <row r="1" spans="2:22" x14ac:dyDescent="0.25">
      <c r="V1" s="338" t="s">
        <v>715</v>
      </c>
    </row>
    <row r="2" spans="2:22" ht="22.5" x14ac:dyDescent="0.3">
      <c r="B2" s="1"/>
      <c r="C2" s="35" t="str">
        <f>+Summary!$C$2</f>
        <v>Angler's</v>
      </c>
      <c r="I2" s="4"/>
      <c r="R2" s="4"/>
      <c r="V2" s="338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APR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2" t="str">
        <f>Year&amp;" "&amp;UPPER(Month)&amp;" - PERIODIC"</f>
        <v>2025 APR - PERIODIC</v>
      </c>
      <c r="E6" s="293"/>
      <c r="F6" s="290"/>
      <c r="G6" s="290"/>
      <c r="H6" s="290"/>
      <c r="I6" s="290"/>
      <c r="J6" s="290"/>
      <c r="K6" s="291"/>
      <c r="M6" s="292" t="str">
        <f>Year&amp;" "&amp;UPPER(Month)&amp;" - YEAR TO DATE"</f>
        <v>2025 APR - YEAR TO DATE</v>
      </c>
      <c r="N6" s="293"/>
      <c r="O6" s="290"/>
      <c r="P6" s="290"/>
      <c r="Q6" s="290"/>
      <c r="R6" s="290"/>
      <c r="S6" s="290"/>
      <c r="T6" s="291"/>
    </row>
    <row r="7" spans="2:22" x14ac:dyDescent="0.25">
      <c r="B7"/>
      <c r="D7" s="333" t="s">
        <v>392</v>
      </c>
      <c r="E7" s="334"/>
      <c r="F7" s="335" t="s">
        <v>389</v>
      </c>
      <c r="G7" s="334"/>
      <c r="H7" s="39" t="s">
        <v>388</v>
      </c>
      <c r="I7" s="335" t="s">
        <v>718</v>
      </c>
      <c r="J7" s="334"/>
      <c r="K7" s="289" t="s">
        <v>388</v>
      </c>
      <c r="M7" s="333" t="s">
        <v>392</v>
      </c>
      <c r="N7" s="334"/>
      <c r="O7" s="335" t="s">
        <v>389</v>
      </c>
      <c r="P7" s="334"/>
      <c r="Q7" s="39" t="s">
        <v>388</v>
      </c>
      <c r="R7" s="335" t="s">
        <v>718</v>
      </c>
      <c r="S7" s="334"/>
      <c r="T7" s="289" t="s">
        <v>388</v>
      </c>
    </row>
    <row r="8" spans="2:22" ht="22.5" customHeight="1" collapsed="1" x14ac:dyDescent="0.25">
      <c r="B8"/>
      <c r="D8" s="304" t="s">
        <v>391</v>
      </c>
      <c r="E8" s="40" t="s">
        <v>390</v>
      </c>
      <c r="F8" s="40" t="s">
        <v>391</v>
      </c>
      <c r="G8" s="40" t="s">
        <v>390</v>
      </c>
      <c r="H8" s="75" t="s">
        <v>391</v>
      </c>
      <c r="I8" s="294" t="s">
        <v>392</v>
      </c>
      <c r="J8" s="76" t="s">
        <v>390</v>
      </c>
      <c r="K8" s="75" t="s">
        <v>391</v>
      </c>
      <c r="M8" s="304" t="s">
        <v>391</v>
      </c>
      <c r="N8" s="40" t="s">
        <v>390</v>
      </c>
      <c r="O8" s="40" t="s">
        <v>391</v>
      </c>
      <c r="P8" s="40" t="s">
        <v>390</v>
      </c>
      <c r="Q8" s="75" t="s">
        <v>391</v>
      </c>
      <c r="R8" s="294" t="s">
        <v>392</v>
      </c>
      <c r="S8" s="76" t="s">
        <v>390</v>
      </c>
      <c r="T8" s="75" t="s">
        <v>391</v>
      </c>
    </row>
    <row r="9" spans="2:22" x14ac:dyDescent="0.25">
      <c r="B9" s="14"/>
      <c r="C9" s="15" t="s">
        <v>403</v>
      </c>
      <c r="D9" s="48"/>
      <c r="E9" s="49"/>
      <c r="F9" s="179"/>
      <c r="G9" s="16"/>
      <c r="H9" s="79"/>
      <c r="I9" s="16"/>
      <c r="J9" s="16"/>
      <c r="K9" s="79"/>
      <c r="M9" s="48"/>
      <c r="N9" s="49"/>
      <c r="O9" s="179"/>
      <c r="P9" s="16"/>
      <c r="Q9" s="79"/>
      <c r="R9" s="16"/>
      <c r="S9" s="16"/>
      <c r="T9" s="79"/>
    </row>
    <row r="10" spans="2:22" x14ac:dyDescent="0.25">
      <c r="B10" s="14"/>
      <c r="C10" s="22" t="s">
        <v>404</v>
      </c>
      <c r="D10" s="48"/>
      <c r="E10" s="101"/>
      <c r="F10" s="77"/>
      <c r="G10" s="19"/>
      <c r="H10" s="49"/>
      <c r="I10" s="19"/>
      <c r="J10" s="19"/>
      <c r="K10" s="101"/>
      <c r="M10" s="48"/>
      <c r="N10" s="101"/>
      <c r="O10" s="77"/>
      <c r="P10" s="19"/>
      <c r="Q10" s="49"/>
      <c r="R10" s="19"/>
      <c r="S10" s="19"/>
      <c r="T10" s="101"/>
    </row>
    <row r="11" spans="2:22" x14ac:dyDescent="0.25">
      <c r="B11" s="14" t="s">
        <v>652</v>
      </c>
      <c r="C11" s="17" t="s">
        <v>405</v>
      </c>
      <c r="D11" s="36">
        <v>31914.39</v>
      </c>
      <c r="E11" s="51">
        <f>+D11/Summary!$D$19</f>
        <v>2.1151907933260366E-2</v>
      </c>
      <c r="F11" s="36">
        <v>27750.3</v>
      </c>
      <c r="G11" s="205">
        <f>F11/Summary!F$19</f>
        <v>1.8270563258784334E-2</v>
      </c>
      <c r="H11" s="137">
        <f>+D11-F11</f>
        <v>4164.09</v>
      </c>
      <c r="I11" s="36">
        <v>30963.43</v>
      </c>
      <c r="J11" s="205">
        <f>I11/Summary!I$19</f>
        <v>2.3467720414298839E-2</v>
      </c>
      <c r="K11" s="137">
        <f>+D11-I11</f>
        <v>950.95999999999913</v>
      </c>
      <c r="M11" s="36">
        <v>128272.63</v>
      </c>
      <c r="N11" s="51">
        <f>+M11/Summary!$D$19</f>
        <v>8.5015281824818573E-2</v>
      </c>
      <c r="O11" s="36">
        <v>106634.75</v>
      </c>
      <c r="P11" s="205">
        <f>O11/Summary!O$19</f>
        <v>1.5764035411409277E-2</v>
      </c>
      <c r="Q11" s="137">
        <f>+M11-O11</f>
        <v>21637.880000000005</v>
      </c>
      <c r="R11" s="36">
        <v>106447.6</v>
      </c>
      <c r="S11" s="205">
        <f>R11/Summary!R$19</f>
        <v>1.8150856783237239E-2</v>
      </c>
      <c r="T11" s="137">
        <f>+M11-R11</f>
        <v>21825.03</v>
      </c>
    </row>
    <row r="12" spans="2:22" x14ac:dyDescent="0.25">
      <c r="B12" s="14"/>
      <c r="C12" s="22" t="s">
        <v>406</v>
      </c>
      <c r="D12" s="244"/>
      <c r="E12" s="311"/>
      <c r="F12" s="178"/>
      <c r="G12" s="34"/>
      <c r="H12" s="196"/>
      <c r="I12" s="178"/>
      <c r="J12" s="34"/>
      <c r="K12" s="196"/>
      <c r="M12" s="244"/>
      <c r="N12" s="311"/>
      <c r="O12" s="178"/>
      <c r="P12" s="34"/>
      <c r="Q12" s="196"/>
      <c r="R12" s="178"/>
      <c r="S12" s="34"/>
      <c r="T12" s="196"/>
    </row>
    <row r="13" spans="2:22" x14ac:dyDescent="0.25">
      <c r="B13" s="14" t="s">
        <v>185</v>
      </c>
      <c r="C13" s="17" t="s">
        <v>448</v>
      </c>
      <c r="D13" s="36">
        <v>5071.75</v>
      </c>
      <c r="E13" s="51">
        <f>+D13/Summary!$D$19</f>
        <v>3.3614049668664594E-3</v>
      </c>
      <c r="F13" s="36">
        <v>9242.2999999999993</v>
      </c>
      <c r="G13" s="205">
        <f>F13/Summary!F$19</f>
        <v>6.0850522987737953E-3</v>
      </c>
      <c r="H13" s="137">
        <f t="shared" ref="H13:H27" si="0">+D13-F13</f>
        <v>-4170.5499999999993</v>
      </c>
      <c r="I13" s="36">
        <v>7524.69</v>
      </c>
      <c r="J13" s="205">
        <f>I13/Summary!I$19</f>
        <v>5.703093007598652E-3</v>
      </c>
      <c r="K13" s="182">
        <f t="shared" ref="K13:K27" si="1">+D13-I13</f>
        <v>-2452.9399999999996</v>
      </c>
      <c r="M13" s="36">
        <v>16081.44</v>
      </c>
      <c r="N13" s="51">
        <f>+M13/Summary!$D$19</f>
        <v>1.0658299855151565E-2</v>
      </c>
      <c r="O13" s="36">
        <v>35014.949999999997</v>
      </c>
      <c r="P13" s="205">
        <f>O13/Summary!O$19</f>
        <v>5.1763324031680593E-3</v>
      </c>
      <c r="Q13" s="137">
        <f t="shared" ref="Q13:Q27" si="2">+M13-O13</f>
        <v>-18933.509999999995</v>
      </c>
      <c r="R13" s="36">
        <v>34747.51</v>
      </c>
      <c r="S13" s="205">
        <f>R13/Summary!R$19</f>
        <v>5.9249534755513875E-3</v>
      </c>
      <c r="T13" s="182">
        <f t="shared" ref="T13:T27" si="3">+M13-R13</f>
        <v>-18666.07</v>
      </c>
      <c r="U13" s="113"/>
    </row>
    <row r="14" spans="2:22" x14ac:dyDescent="0.25">
      <c r="B14" s="14" t="s">
        <v>188</v>
      </c>
      <c r="C14" s="17" t="s">
        <v>457</v>
      </c>
      <c r="D14" s="36">
        <v>0</v>
      </c>
      <c r="E14" s="51">
        <f>+D14/Summary!$D$19</f>
        <v>0</v>
      </c>
      <c r="F14" s="36">
        <v>0</v>
      </c>
      <c r="G14" s="205">
        <f>F14/Summary!F$19</f>
        <v>0</v>
      </c>
      <c r="H14" s="137">
        <f t="shared" si="0"/>
        <v>0</v>
      </c>
      <c r="I14" s="36">
        <v>0</v>
      </c>
      <c r="J14" s="205">
        <f>I14/Summary!I$19</f>
        <v>0</v>
      </c>
      <c r="K14" s="137">
        <f t="shared" si="1"/>
        <v>0</v>
      </c>
      <c r="M14" s="36">
        <v>0</v>
      </c>
      <c r="N14" s="51">
        <f>+M14/Summary!$D$19</f>
        <v>0</v>
      </c>
      <c r="O14" s="36">
        <v>0</v>
      </c>
      <c r="P14" s="205">
        <f>O14/Summary!O$19</f>
        <v>0</v>
      </c>
      <c r="Q14" s="137">
        <f t="shared" si="2"/>
        <v>0</v>
      </c>
      <c r="R14" s="36">
        <v>0</v>
      </c>
      <c r="S14" s="205">
        <f>R14/Summary!R$19</f>
        <v>0</v>
      </c>
      <c r="T14" s="137">
        <f t="shared" si="3"/>
        <v>0</v>
      </c>
    </row>
    <row r="15" spans="2:22" x14ac:dyDescent="0.25">
      <c r="B15" s="14" t="s">
        <v>186</v>
      </c>
      <c r="C15" s="17" t="s">
        <v>459</v>
      </c>
      <c r="D15" s="36">
        <v>0</v>
      </c>
      <c r="E15" s="51">
        <f>+D15/Summary!$D$19</f>
        <v>0</v>
      </c>
      <c r="F15" s="36">
        <v>0</v>
      </c>
      <c r="G15" s="205">
        <f>F15/Summary!F$19</f>
        <v>0</v>
      </c>
      <c r="H15" s="137">
        <f t="shared" si="0"/>
        <v>0</v>
      </c>
      <c r="I15" s="36">
        <v>0</v>
      </c>
      <c r="J15" s="205">
        <f>I15/Summary!I$19</f>
        <v>0</v>
      </c>
      <c r="K15" s="137">
        <f t="shared" si="1"/>
        <v>0</v>
      </c>
      <c r="M15" s="36">
        <v>0</v>
      </c>
      <c r="N15" s="51">
        <f>+M15/Summary!$D$19</f>
        <v>0</v>
      </c>
      <c r="O15" s="36">
        <v>0</v>
      </c>
      <c r="P15" s="205">
        <f>O15/Summary!O$19</f>
        <v>0</v>
      </c>
      <c r="Q15" s="137">
        <f t="shared" si="2"/>
        <v>0</v>
      </c>
      <c r="R15" s="36">
        <v>0</v>
      </c>
      <c r="S15" s="205">
        <f>R15/Summary!R$19</f>
        <v>0</v>
      </c>
      <c r="T15" s="137">
        <f t="shared" si="3"/>
        <v>0</v>
      </c>
    </row>
    <row r="16" spans="2:22" x14ac:dyDescent="0.25">
      <c r="B16" s="14" t="s">
        <v>187</v>
      </c>
      <c r="C16" s="17" t="s">
        <v>460</v>
      </c>
      <c r="D16" s="36">
        <v>2412.52</v>
      </c>
      <c r="E16" s="51">
        <f>+D16/Summary!$D$19</f>
        <v>1.5989464604258235E-3</v>
      </c>
      <c r="F16" s="36">
        <v>2445.94</v>
      </c>
      <c r="G16" s="205">
        <f>F16/Summary!F$19</f>
        <v>1.6103862479753717E-3</v>
      </c>
      <c r="H16" s="137">
        <f t="shared" si="0"/>
        <v>-33.420000000000073</v>
      </c>
      <c r="I16" s="36">
        <v>1759.8</v>
      </c>
      <c r="J16" s="205">
        <f>I16/Summary!I$19</f>
        <v>1.3337829298977245E-3</v>
      </c>
      <c r="K16" s="137">
        <f t="shared" si="1"/>
        <v>652.72</v>
      </c>
      <c r="M16" s="36">
        <v>8841.64</v>
      </c>
      <c r="N16" s="51">
        <f>+M16/Summary!$D$19</f>
        <v>5.8599758685355463E-3</v>
      </c>
      <c r="O16" s="36">
        <v>9604.7999999999993</v>
      </c>
      <c r="P16" s="205">
        <f>O16/Summary!O$19</f>
        <v>1.4198974285540484E-3</v>
      </c>
      <c r="Q16" s="137">
        <f t="shared" si="2"/>
        <v>-763.15999999999985</v>
      </c>
      <c r="R16" s="36">
        <v>8404.6</v>
      </c>
      <c r="S16" s="205">
        <f>R16/Summary!R$19</f>
        <v>1.4331059687620548E-3</v>
      </c>
      <c r="T16" s="137">
        <f t="shared" si="3"/>
        <v>437.03999999999905</v>
      </c>
    </row>
    <row r="17" spans="2:20" x14ac:dyDescent="0.25">
      <c r="B17" s="14" t="s">
        <v>189</v>
      </c>
      <c r="C17" s="17" t="s">
        <v>461</v>
      </c>
      <c r="D17" s="55">
        <v>0</v>
      </c>
      <c r="E17" s="56">
        <f>+D17/Summary!$D$19</f>
        <v>0</v>
      </c>
      <c r="F17" s="55">
        <v>0</v>
      </c>
      <c r="G17" s="56">
        <f>F17/Summary!F$19</f>
        <v>0</v>
      </c>
      <c r="H17" s="25">
        <f t="shared" si="0"/>
        <v>0</v>
      </c>
      <c r="I17" s="36">
        <v>0</v>
      </c>
      <c r="J17" s="56">
        <f>I17/Summary!I$19</f>
        <v>0</v>
      </c>
      <c r="K17" s="329">
        <f t="shared" si="1"/>
        <v>0</v>
      </c>
      <c r="M17" s="55">
        <v>0</v>
      </c>
      <c r="N17" s="56">
        <f>+M17/Summary!$D$19</f>
        <v>0</v>
      </c>
      <c r="O17" s="55">
        <v>0</v>
      </c>
      <c r="P17" s="56">
        <f>O17/Summary!O$19</f>
        <v>0</v>
      </c>
      <c r="Q17" s="25">
        <f t="shared" si="2"/>
        <v>0</v>
      </c>
      <c r="R17" s="36">
        <v>0</v>
      </c>
      <c r="S17" s="56">
        <f>R17/Summary!R$19</f>
        <v>0</v>
      </c>
      <c r="T17" s="329">
        <f t="shared" si="3"/>
        <v>0</v>
      </c>
    </row>
    <row r="18" spans="2:20" x14ac:dyDescent="0.25">
      <c r="B18" s="14" t="s">
        <v>655</v>
      </c>
      <c r="C18" s="17" t="s">
        <v>706</v>
      </c>
      <c r="D18" s="55">
        <v>0</v>
      </c>
      <c r="E18" s="56">
        <f>+D18/Summary!$D$19</f>
        <v>0</v>
      </c>
      <c r="F18" s="55">
        <v>0</v>
      </c>
      <c r="G18" s="56">
        <f>F18/Summary!F$19</f>
        <v>0</v>
      </c>
      <c r="H18" s="25">
        <f t="shared" si="0"/>
        <v>0</v>
      </c>
      <c r="I18" s="36">
        <v>0</v>
      </c>
      <c r="J18" s="56">
        <f>I18/Summary!I$19</f>
        <v>0</v>
      </c>
      <c r="K18" s="329">
        <f t="shared" si="1"/>
        <v>0</v>
      </c>
      <c r="M18" s="55">
        <v>0</v>
      </c>
      <c r="N18" s="56">
        <f>+M18/Summary!$D$19</f>
        <v>0</v>
      </c>
      <c r="O18" s="55">
        <v>0</v>
      </c>
      <c r="P18" s="56">
        <f>O18/Summary!O$19</f>
        <v>0</v>
      </c>
      <c r="Q18" s="25">
        <f t="shared" si="2"/>
        <v>0</v>
      </c>
      <c r="R18" s="36">
        <v>0</v>
      </c>
      <c r="S18" s="56">
        <f>R18/Summary!R$19</f>
        <v>0</v>
      </c>
      <c r="T18" s="329">
        <f t="shared" si="3"/>
        <v>0</v>
      </c>
    </row>
    <row r="19" spans="2:20" x14ac:dyDescent="0.25">
      <c r="B19" s="14" t="s">
        <v>299</v>
      </c>
      <c r="C19" s="23" t="s">
        <v>409</v>
      </c>
      <c r="D19" s="103">
        <f t="shared" ref="D19" si="4">SUM(D13:D18)+D11</f>
        <v>39398.660000000003</v>
      </c>
      <c r="E19" s="104">
        <f>+D19/Summary!$D$19</f>
        <v>2.6112259360552649E-2</v>
      </c>
      <c r="F19" s="103">
        <f>SUM(F13:F18)</f>
        <v>11688.24</v>
      </c>
      <c r="G19" s="104">
        <f>F19/Summary!F$19</f>
        <v>7.6954385467491665E-3</v>
      </c>
      <c r="H19" s="24">
        <f t="shared" si="0"/>
        <v>27710.420000000006</v>
      </c>
      <c r="I19" s="103">
        <f>SUM(I13:I18)</f>
        <v>9284.49</v>
      </c>
      <c r="J19" s="104">
        <f>I19/Summary!I$19</f>
        <v>7.0368759374963771E-3</v>
      </c>
      <c r="K19" s="330">
        <f t="shared" si="1"/>
        <v>30114.170000000006</v>
      </c>
      <c r="M19" s="103">
        <f t="shared" ref="M19" si="5">SUM(M13:M18)+M11</f>
        <v>153195.71000000002</v>
      </c>
      <c r="N19" s="104">
        <f>+M19/Summary!$D$19</f>
        <v>0.1015335575485057</v>
      </c>
      <c r="O19" s="103">
        <f>SUM(O13:O18)</f>
        <v>44619.75</v>
      </c>
      <c r="P19" s="104">
        <f>O19/Summary!O$19</f>
        <v>6.5962298317221082E-3</v>
      </c>
      <c r="Q19" s="24">
        <f t="shared" si="2"/>
        <v>108575.96000000002</v>
      </c>
      <c r="R19" s="103">
        <f>SUM(R13:R18)</f>
        <v>43152.11</v>
      </c>
      <c r="S19" s="104">
        <f>R19/Summary!R$19</f>
        <v>7.3580594443134421E-3</v>
      </c>
      <c r="T19" s="330">
        <f t="shared" si="3"/>
        <v>110043.60000000002</v>
      </c>
    </row>
    <row r="20" spans="2:20" x14ac:dyDescent="0.25">
      <c r="B20" s="14" t="s">
        <v>658</v>
      </c>
      <c r="C20" s="17" t="s">
        <v>410</v>
      </c>
      <c r="D20" s="208">
        <v>0</v>
      </c>
      <c r="E20" s="174">
        <f>+D20/Summary!$D$19</f>
        <v>0</v>
      </c>
      <c r="F20" s="208">
        <v>0</v>
      </c>
      <c r="G20" s="174">
        <f>F20/Summary!F$19</f>
        <v>0</v>
      </c>
      <c r="H20" s="206">
        <f t="shared" si="0"/>
        <v>0</v>
      </c>
      <c r="I20" s="36">
        <v>0</v>
      </c>
      <c r="J20" s="174">
        <f>I20/Summary!I$19</f>
        <v>0</v>
      </c>
      <c r="K20" s="228">
        <f t="shared" si="1"/>
        <v>0</v>
      </c>
      <c r="M20" s="208">
        <v>7086.8</v>
      </c>
      <c r="N20" s="174">
        <f>+M20/Summary!$D$19</f>
        <v>4.6969201398312658E-3</v>
      </c>
      <c r="O20" s="208">
        <v>0</v>
      </c>
      <c r="P20" s="174">
        <f>O20/Summary!O$19</f>
        <v>0</v>
      </c>
      <c r="Q20" s="206">
        <f t="shared" si="2"/>
        <v>7086.8</v>
      </c>
      <c r="R20" s="36">
        <v>0</v>
      </c>
      <c r="S20" s="174">
        <f>R20/Summary!R$19</f>
        <v>0</v>
      </c>
      <c r="T20" s="228">
        <f t="shared" si="3"/>
        <v>7086.8</v>
      </c>
    </row>
    <row r="21" spans="2:20" x14ac:dyDescent="0.25">
      <c r="B21" s="14" t="s">
        <v>248</v>
      </c>
      <c r="C21" s="17" t="s">
        <v>411</v>
      </c>
      <c r="D21" s="209">
        <v>6767.38</v>
      </c>
      <c r="E21" s="175">
        <f>+D21/Summary!$D$19</f>
        <v>4.4852180696352819E-3</v>
      </c>
      <c r="F21" s="209">
        <v>7027.77</v>
      </c>
      <c r="G21" s="175">
        <f>F21/Summary!F$19</f>
        <v>4.6270244412920502E-3</v>
      </c>
      <c r="H21" s="25">
        <f t="shared" si="0"/>
        <v>-260.39000000000033</v>
      </c>
      <c r="I21" s="36">
        <v>5156.07</v>
      </c>
      <c r="J21" s="175">
        <f>I21/Summary!I$19</f>
        <v>3.9078748445037842E-3</v>
      </c>
      <c r="K21" s="329">
        <f t="shared" si="1"/>
        <v>1611.3100000000004</v>
      </c>
      <c r="M21" s="209">
        <v>18639.2</v>
      </c>
      <c r="N21" s="175">
        <f>+M21/Summary!$D$19</f>
        <v>1.2353507065296457E-2</v>
      </c>
      <c r="O21" s="209">
        <v>27596.82</v>
      </c>
      <c r="P21" s="175">
        <f>O21/Summary!O$19</f>
        <v>4.0796949186103762E-3</v>
      </c>
      <c r="Q21" s="25">
        <f t="shared" si="2"/>
        <v>-8957.619999999999</v>
      </c>
      <c r="R21" s="36">
        <v>16843.189999999999</v>
      </c>
      <c r="S21" s="175">
        <f>R21/Summary!R$19</f>
        <v>2.8720077245786061E-3</v>
      </c>
      <c r="T21" s="329">
        <f t="shared" si="3"/>
        <v>1796.010000000002</v>
      </c>
    </row>
    <row r="22" spans="2:20" x14ac:dyDescent="0.25">
      <c r="B22" s="14"/>
      <c r="C22" s="23" t="s">
        <v>412</v>
      </c>
      <c r="D22" s="103">
        <f t="shared" ref="D22" si="6">+D19+SUM(D20:D21)</f>
        <v>46166.04</v>
      </c>
      <c r="E22" s="104">
        <f>+D22/Summary!$D$19</f>
        <v>3.0597477430187932E-2</v>
      </c>
      <c r="F22" s="103">
        <f>+F11+F19+SUM(F20:F21)</f>
        <v>46466.31</v>
      </c>
      <c r="G22" s="104"/>
      <c r="H22" s="24">
        <f t="shared" si="0"/>
        <v>-300.2699999999968</v>
      </c>
      <c r="I22" s="103">
        <f>+I11+I19+SUM(I20:I21)</f>
        <v>45403.99</v>
      </c>
      <c r="J22" s="104"/>
      <c r="K22" s="330">
        <f t="shared" si="1"/>
        <v>762.05000000000291</v>
      </c>
      <c r="M22" s="103">
        <f t="shared" ref="M22" si="7">+M19+SUM(M20:M21)</f>
        <v>178921.71000000002</v>
      </c>
      <c r="N22" s="104">
        <f>+M22/Summary!$D$19</f>
        <v>0.11858398475363342</v>
      </c>
      <c r="O22" s="103">
        <f>+O11+O19+SUM(O20:O21)</f>
        <v>178851.32</v>
      </c>
      <c r="P22" s="104"/>
      <c r="Q22" s="24">
        <f t="shared" si="2"/>
        <v>70.39000000001397</v>
      </c>
      <c r="R22" s="103">
        <f>+R11+R19+SUM(R20:R21)</f>
        <v>166442.90000000002</v>
      </c>
      <c r="S22" s="104"/>
      <c r="T22" s="330">
        <f t="shared" si="3"/>
        <v>12478.809999999998</v>
      </c>
    </row>
    <row r="23" spans="2:20" x14ac:dyDescent="0.25">
      <c r="B23" s="14" t="s">
        <v>294</v>
      </c>
      <c r="C23" s="17" t="s">
        <v>413</v>
      </c>
      <c r="D23" s="106">
        <v>4934.24</v>
      </c>
      <c r="E23" s="107">
        <f>+D23/Summary!$D$19</f>
        <v>3.2702674311058623E-3</v>
      </c>
      <c r="F23" s="106">
        <v>3550.77</v>
      </c>
      <c r="G23" s="107">
        <f>F23/Summary!F$19</f>
        <v>2.3377969932719162E-3</v>
      </c>
      <c r="H23" s="25">
        <f t="shared" si="0"/>
        <v>1383.4699999999998</v>
      </c>
      <c r="I23" s="36">
        <v>3474.63</v>
      </c>
      <c r="J23" s="107">
        <f>I23/Summary!I$19</f>
        <v>2.6334823171442951E-3</v>
      </c>
      <c r="K23" s="329">
        <f t="shared" si="1"/>
        <v>1459.6099999999997</v>
      </c>
      <c r="M23" s="106">
        <v>15429.19</v>
      </c>
      <c r="N23" s="107">
        <f>+M23/Summary!$D$19</f>
        <v>1.0226007965835521E-2</v>
      </c>
      <c r="O23" s="106">
        <v>14265.27</v>
      </c>
      <c r="P23" s="107">
        <f>O23/Summary!O$19</f>
        <v>2.1088643376883653E-3</v>
      </c>
      <c r="Q23" s="25">
        <f t="shared" si="2"/>
        <v>1163.92</v>
      </c>
      <c r="R23" s="36">
        <v>14411.13</v>
      </c>
      <c r="S23" s="107">
        <f>R23/Summary!R$19</f>
        <v>2.4573062869864015E-3</v>
      </c>
      <c r="T23" s="329">
        <f t="shared" si="3"/>
        <v>1018.0600000000013</v>
      </c>
    </row>
    <row r="24" spans="2:20" x14ac:dyDescent="0.25">
      <c r="B24" s="14" t="s">
        <v>306</v>
      </c>
      <c r="C24" s="17" t="s">
        <v>359</v>
      </c>
      <c r="D24" s="36">
        <v>2477.4299999999998</v>
      </c>
      <c r="E24" s="51">
        <f>+D24/Summary!$D$19</f>
        <v>1.6419668767316945E-3</v>
      </c>
      <c r="F24" s="36">
        <v>3299.82</v>
      </c>
      <c r="G24" s="51">
        <f>F24/Summary!F$19</f>
        <v>2.1725736317301696E-3</v>
      </c>
      <c r="H24" s="137">
        <f t="shared" si="0"/>
        <v>-822.39000000000033</v>
      </c>
      <c r="I24" s="36">
        <v>5159.54</v>
      </c>
      <c r="J24" s="51">
        <f>I24/Summary!I$19</f>
        <v>3.9105048176636577E-3</v>
      </c>
      <c r="K24" s="137">
        <f t="shared" si="1"/>
        <v>-2682.11</v>
      </c>
      <c r="M24" s="36">
        <v>19202.61</v>
      </c>
      <c r="N24" s="51">
        <f>+M24/Summary!$D$19</f>
        <v>1.2726918446453303E-2</v>
      </c>
      <c r="O24" s="36">
        <v>16629.2</v>
      </c>
      <c r="P24" s="51">
        <f>O24/Summary!O$19</f>
        <v>2.4583289937230328E-3</v>
      </c>
      <c r="Q24" s="137">
        <f t="shared" si="2"/>
        <v>2573.41</v>
      </c>
      <c r="R24" s="36">
        <v>16231.47</v>
      </c>
      <c r="S24" s="51">
        <f>R24/Summary!R$19</f>
        <v>2.7677006090453121E-3</v>
      </c>
      <c r="T24" s="137">
        <f t="shared" si="3"/>
        <v>2971.1400000000012</v>
      </c>
    </row>
    <row r="25" spans="2:20" x14ac:dyDescent="0.25">
      <c r="B25" s="14" t="s">
        <v>266</v>
      </c>
      <c r="C25" s="17" t="s">
        <v>360</v>
      </c>
      <c r="D25" s="106">
        <v>6115.19</v>
      </c>
      <c r="E25" s="107">
        <f>+D25/Summary!$D$19</f>
        <v>4.0529659465336626E-3</v>
      </c>
      <c r="F25" s="106">
        <v>6617.07</v>
      </c>
      <c r="G25" s="107">
        <f>F25/Summary!F$19</f>
        <v>4.3566230283205607E-3</v>
      </c>
      <c r="H25" s="25">
        <f t="shared" si="0"/>
        <v>-501.88000000000011</v>
      </c>
      <c r="I25" s="36">
        <v>5342.15</v>
      </c>
      <c r="J25" s="107">
        <f>I25/Summary!I$19</f>
        <v>4.0489081025986634E-3</v>
      </c>
      <c r="K25" s="329">
        <f t="shared" si="1"/>
        <v>773.04</v>
      </c>
      <c r="M25" s="106">
        <v>21997.17</v>
      </c>
      <c r="N25" s="107">
        <f>+M25/Summary!$D$19</f>
        <v>1.4579069649530412E-2</v>
      </c>
      <c r="O25" s="106">
        <v>26201.439999999999</v>
      </c>
      <c r="P25" s="107">
        <f>O25/Summary!O$19</f>
        <v>3.8734130102046046E-3</v>
      </c>
      <c r="Q25" s="25">
        <f t="shared" si="2"/>
        <v>-4204.2700000000004</v>
      </c>
      <c r="R25" s="36">
        <v>26423.39</v>
      </c>
      <c r="S25" s="107">
        <f>R25/Summary!R$19</f>
        <v>4.5055705118539364E-3</v>
      </c>
      <c r="T25" s="329">
        <f t="shared" si="3"/>
        <v>-4426.2200000000012</v>
      </c>
    </row>
    <row r="26" spans="2:20" x14ac:dyDescent="0.25">
      <c r="B26" s="14" t="s">
        <v>288</v>
      </c>
      <c r="C26" s="23" t="s">
        <v>414</v>
      </c>
      <c r="D26" s="142">
        <f t="shared" ref="D26" si="8">SUM(D23:D25)</f>
        <v>13526.86</v>
      </c>
      <c r="E26" s="125">
        <f>+D26/Summary!$D$19</f>
        <v>8.9652002543712198E-3</v>
      </c>
      <c r="F26" s="142">
        <f t="shared" ref="F26" si="9">SUM(F23:F25)</f>
        <v>13467.66</v>
      </c>
      <c r="G26" s="125">
        <f>F26/Summary!F$19</f>
        <v>8.8669936533226461E-3</v>
      </c>
      <c r="H26" s="26">
        <f t="shared" si="0"/>
        <v>59.200000000000728</v>
      </c>
      <c r="I26" s="142">
        <f t="shared" ref="I26" si="10">SUM(I23:I25)</f>
        <v>13976.32</v>
      </c>
      <c r="J26" s="125">
        <f>I26/Summary!I$19</f>
        <v>1.0592895237406617E-2</v>
      </c>
      <c r="K26" s="331">
        <f t="shared" si="1"/>
        <v>-449.45999999999913</v>
      </c>
      <c r="M26" s="142">
        <f t="shared" ref="M26" si="11">SUM(M23:M25)</f>
        <v>56628.97</v>
      </c>
      <c r="N26" s="125">
        <f>+M26/Summary!$D$19</f>
        <v>3.7531996061819235E-2</v>
      </c>
      <c r="O26" s="142">
        <f t="shared" ref="O26" si="12">SUM(O23:O25)</f>
        <v>57095.91</v>
      </c>
      <c r="P26" s="125">
        <f>O26/Summary!O$19</f>
        <v>8.4406063416160027E-3</v>
      </c>
      <c r="Q26" s="26">
        <f t="shared" si="2"/>
        <v>-466.94000000000233</v>
      </c>
      <c r="R26" s="142">
        <f t="shared" ref="R26" si="13">SUM(R23:R25)</f>
        <v>57065.99</v>
      </c>
      <c r="S26" s="125">
        <f>R26/Summary!R$19</f>
        <v>9.7305774078856495E-3</v>
      </c>
      <c r="T26" s="331">
        <f t="shared" si="3"/>
        <v>-437.0199999999968</v>
      </c>
    </row>
    <row r="27" spans="2:20" x14ac:dyDescent="0.25">
      <c r="B27" s="14" t="s">
        <v>273</v>
      </c>
      <c r="C27" s="23" t="s">
        <v>415</v>
      </c>
      <c r="D27" s="91">
        <f t="shared" ref="D27" si="14">+D22+D26</f>
        <v>59692.9</v>
      </c>
      <c r="E27" s="126">
        <f>+D27/Summary!$D$19</f>
        <v>3.956267768455915E-2</v>
      </c>
      <c r="F27" s="91">
        <f t="shared" ref="F27" si="15">+F22+F26</f>
        <v>59933.97</v>
      </c>
      <c r="G27" s="126">
        <f>F27/Summary!F$19</f>
        <v>3.9460019900148198E-2</v>
      </c>
      <c r="H27" s="26">
        <f t="shared" si="0"/>
        <v>-241.06999999999971</v>
      </c>
      <c r="I27" s="91">
        <f t="shared" ref="I27" si="16">+I22+I26</f>
        <v>59380.31</v>
      </c>
      <c r="J27" s="126">
        <f>I27/Summary!I$19</f>
        <v>4.5005366433705618E-2</v>
      </c>
      <c r="K27" s="331">
        <f t="shared" si="1"/>
        <v>312.59000000000378</v>
      </c>
      <c r="M27" s="91">
        <f t="shared" ref="M27" si="17">+M22+M26</f>
        <v>235550.68000000002</v>
      </c>
      <c r="N27" s="126">
        <f>+M27/Summary!$D$19</f>
        <v>0.15611598081545267</v>
      </c>
      <c r="O27" s="91">
        <f t="shared" ref="O27" si="18">+O22+O26</f>
        <v>235947.23</v>
      </c>
      <c r="P27" s="126">
        <f>O27/Summary!O$19</f>
        <v>3.4880566503357767E-2</v>
      </c>
      <c r="Q27" s="26">
        <f t="shared" si="2"/>
        <v>-396.54999999998836</v>
      </c>
      <c r="R27" s="91">
        <f t="shared" ref="R27" si="19">+R22+R26</f>
        <v>223508.89</v>
      </c>
      <c r="S27" s="126">
        <f>R27/Summary!R$19</f>
        <v>3.811150136001494E-2</v>
      </c>
      <c r="T27" s="331">
        <f t="shared" si="3"/>
        <v>12041.790000000008</v>
      </c>
    </row>
    <row r="28" spans="2:20" x14ac:dyDescent="0.25">
      <c r="B28" s="14"/>
      <c r="C28" s="18"/>
      <c r="D28" s="48"/>
      <c r="E28" s="176"/>
      <c r="F28" s="48"/>
      <c r="G28" s="210"/>
      <c r="H28" s="79"/>
      <c r="I28" s="48"/>
      <c r="J28" s="210"/>
      <c r="K28" s="79"/>
      <c r="M28" s="48"/>
      <c r="N28" s="176"/>
      <c r="O28" s="48"/>
      <c r="P28" s="210"/>
      <c r="Q28" s="79"/>
      <c r="R28" s="48"/>
      <c r="S28" s="210"/>
      <c r="T28" s="79"/>
    </row>
    <row r="29" spans="2:20" x14ac:dyDescent="0.25">
      <c r="B29" s="14"/>
      <c r="C29" s="15" t="s">
        <v>50</v>
      </c>
      <c r="D29" s="48"/>
      <c r="E29" s="53"/>
      <c r="F29" s="48"/>
      <c r="G29" s="32"/>
      <c r="H29" s="101"/>
      <c r="I29" s="48"/>
      <c r="J29" s="32"/>
      <c r="K29" s="101"/>
      <c r="M29" s="48"/>
      <c r="N29" s="53"/>
      <c r="O29" s="48"/>
      <c r="P29" s="32"/>
      <c r="Q29" s="101"/>
      <c r="R29" s="48"/>
      <c r="S29" s="32"/>
      <c r="T29" s="101"/>
    </row>
    <row r="30" spans="2:20" x14ac:dyDescent="0.25">
      <c r="B30" s="14" t="s">
        <v>109</v>
      </c>
      <c r="C30" s="17" t="s">
        <v>430</v>
      </c>
      <c r="D30" s="36">
        <v>3721.46</v>
      </c>
      <c r="E30" s="51">
        <f>+D30/Summary!$D$19</f>
        <v>2.4664729389253914E-3</v>
      </c>
      <c r="F30" s="36">
        <v>1659</v>
      </c>
      <c r="G30" s="51">
        <f>F30/Summary!F$19</f>
        <v>1.0922715951295378E-3</v>
      </c>
      <c r="H30" s="137">
        <f t="shared" ref="H30:H65" si="20">+D30-F30</f>
        <v>2062.46</v>
      </c>
      <c r="I30" s="36">
        <v>374.18</v>
      </c>
      <c r="J30" s="51">
        <f>I30/Summary!I$19</f>
        <v>2.8359750921077995E-4</v>
      </c>
      <c r="K30" s="137">
        <f t="shared" ref="K30:K65" si="21">+D30-I30</f>
        <v>3347.28</v>
      </c>
      <c r="M30" s="36">
        <v>9989.58</v>
      </c>
      <c r="N30" s="51">
        <f>+M30/Summary!$D$19</f>
        <v>6.6207963383269767E-3</v>
      </c>
      <c r="O30" s="36">
        <v>6733</v>
      </c>
      <c r="P30" s="51">
        <f>O30/Summary!O$19</f>
        <v>9.9535330110511505E-4</v>
      </c>
      <c r="Q30" s="137">
        <f t="shared" ref="Q30:Q65" si="22">+M30-O30</f>
        <v>3256.58</v>
      </c>
      <c r="R30" s="36">
        <v>1948.87</v>
      </c>
      <c r="S30" s="51">
        <f>R30/Summary!R$19</f>
        <v>3.3231054771688188E-4</v>
      </c>
      <c r="T30" s="137">
        <f t="shared" ref="T30:T65" si="23">+M30-R30</f>
        <v>8040.71</v>
      </c>
    </row>
    <row r="31" spans="2:20" x14ac:dyDescent="0.25">
      <c r="B31" s="14" t="s">
        <v>213</v>
      </c>
      <c r="C31" s="17" t="s">
        <v>416</v>
      </c>
      <c r="D31" s="36">
        <v>176.68</v>
      </c>
      <c r="E31" s="51">
        <f>+D31/Summary!$D$19</f>
        <v>1.1709824607797428E-4</v>
      </c>
      <c r="F31" s="36">
        <v>280.5</v>
      </c>
      <c r="G31" s="51">
        <f>F31/Summary!F$19</f>
        <v>1.8467883208790557E-4</v>
      </c>
      <c r="H31" s="137">
        <f t="shared" si="20"/>
        <v>-103.82</v>
      </c>
      <c r="I31" s="36">
        <v>-31.32</v>
      </c>
      <c r="J31" s="51">
        <f>I31/Summary!I$19</f>
        <v>-2.3737970999202599E-5</v>
      </c>
      <c r="K31" s="137">
        <f t="shared" si="21"/>
        <v>208</v>
      </c>
      <c r="M31" s="36">
        <v>383.73</v>
      </c>
      <c r="N31" s="51">
        <f>+M31/Summary!$D$19</f>
        <v>2.5432482435760171E-4</v>
      </c>
      <c r="O31" s="36">
        <v>1122</v>
      </c>
      <c r="P31" s="51">
        <f>O31/Summary!O$19</f>
        <v>1.6586757817316783E-4</v>
      </c>
      <c r="Q31" s="137">
        <f t="shared" si="22"/>
        <v>-738.27</v>
      </c>
      <c r="R31" s="36">
        <v>572.37</v>
      </c>
      <c r="S31" s="51">
        <f>R31/Summary!R$19</f>
        <v>9.7597370885031692E-5</v>
      </c>
      <c r="T31" s="137">
        <f t="shared" si="23"/>
        <v>-188.64</v>
      </c>
    </row>
    <row r="32" spans="2:20" x14ac:dyDescent="0.25">
      <c r="B32" s="14" t="s">
        <v>712</v>
      </c>
      <c r="C32" s="287" t="s">
        <v>711</v>
      </c>
      <c r="D32" s="36">
        <v>0</v>
      </c>
      <c r="E32" s="51">
        <f>+D32/Summary!$D$19</f>
        <v>0</v>
      </c>
      <c r="F32" s="36">
        <v>0</v>
      </c>
      <c r="G32" s="51">
        <f>F32/Summary!F$19</f>
        <v>0</v>
      </c>
      <c r="H32" s="137">
        <f t="shared" si="20"/>
        <v>0</v>
      </c>
      <c r="I32" s="36">
        <v>0</v>
      </c>
      <c r="J32" s="51">
        <f>I32/Summary!I$19</f>
        <v>0</v>
      </c>
      <c r="K32" s="137">
        <f t="shared" si="21"/>
        <v>0</v>
      </c>
      <c r="M32" s="36">
        <v>0</v>
      </c>
      <c r="N32" s="51">
        <f>+M32/Summary!$D$19</f>
        <v>0</v>
      </c>
      <c r="O32" s="36">
        <v>0</v>
      </c>
      <c r="P32" s="51">
        <f>O32/Summary!O$19</f>
        <v>0</v>
      </c>
      <c r="Q32" s="137">
        <f t="shared" si="22"/>
        <v>0</v>
      </c>
      <c r="R32" s="36">
        <v>0</v>
      </c>
      <c r="S32" s="51">
        <f>R32/Summary!R$19</f>
        <v>0</v>
      </c>
      <c r="T32" s="137">
        <f t="shared" si="23"/>
        <v>0</v>
      </c>
    </row>
    <row r="33" spans="2:20" x14ac:dyDescent="0.25">
      <c r="B33" s="14" t="s">
        <v>218</v>
      </c>
      <c r="C33" s="17" t="s">
        <v>449</v>
      </c>
      <c r="D33" s="36">
        <v>2086</v>
      </c>
      <c r="E33" s="51">
        <f>+D33/Summary!$D$19</f>
        <v>1.3825387215228341E-3</v>
      </c>
      <c r="F33" s="36">
        <v>14344.55</v>
      </c>
      <c r="G33" s="51">
        <f>F33/Summary!F$19</f>
        <v>9.4443306268326768E-3</v>
      </c>
      <c r="H33" s="137">
        <f t="shared" si="20"/>
        <v>-12258.55</v>
      </c>
      <c r="I33" s="36">
        <v>12720</v>
      </c>
      <c r="J33" s="51">
        <f>I33/Summary!I$19</f>
        <v>9.6407085284117826E-3</v>
      </c>
      <c r="K33" s="137">
        <f t="shared" si="21"/>
        <v>-10634</v>
      </c>
      <c r="M33" s="36">
        <v>13301</v>
      </c>
      <c r="N33" s="51">
        <f>+M33/Summary!$D$19</f>
        <v>8.8155069678692317E-3</v>
      </c>
      <c r="O33" s="36">
        <v>19091.25</v>
      </c>
      <c r="P33" s="51">
        <f>O33/Summary!O$19</f>
        <v>2.8222989320842162E-3</v>
      </c>
      <c r="Q33" s="137">
        <f t="shared" si="22"/>
        <v>-5790.25</v>
      </c>
      <c r="R33" s="36">
        <v>13525</v>
      </c>
      <c r="S33" s="51">
        <f>R33/Summary!R$19</f>
        <v>2.3062082939707767E-3</v>
      </c>
      <c r="T33" s="137">
        <f t="shared" si="23"/>
        <v>-224</v>
      </c>
    </row>
    <row r="34" spans="2:20" x14ac:dyDescent="0.25">
      <c r="B34" s="14" t="s">
        <v>191</v>
      </c>
      <c r="C34" s="17" t="s">
        <v>372</v>
      </c>
      <c r="D34" s="36">
        <v>1745.22</v>
      </c>
      <c r="E34" s="51">
        <f>+D34/Summary!$D$19</f>
        <v>1.1566798789914097E-3</v>
      </c>
      <c r="F34" s="36">
        <v>5454.6805938220004</v>
      </c>
      <c r="G34" s="51">
        <f>F34/Summary!F$19</f>
        <v>3.5913156558987887E-3</v>
      </c>
      <c r="H34" s="137">
        <f t="shared" si="20"/>
        <v>-3709.4605938220002</v>
      </c>
      <c r="I34" s="36">
        <v>2858.02</v>
      </c>
      <c r="J34" s="51">
        <f>I34/Summary!I$19</f>
        <v>2.166142907890837E-3</v>
      </c>
      <c r="K34" s="137">
        <f t="shared" si="21"/>
        <v>-1112.8</v>
      </c>
      <c r="M34" s="36">
        <v>5945.63</v>
      </c>
      <c r="N34" s="51">
        <f>+M34/Summary!$D$19</f>
        <v>3.9405866245675013E-3</v>
      </c>
      <c r="O34" s="36">
        <v>22095.135983262</v>
      </c>
      <c r="P34" s="51">
        <f>O34/Summary!O$19</f>
        <v>3.2663696033426769E-3</v>
      </c>
      <c r="Q34" s="137">
        <f t="shared" si="22"/>
        <v>-16149.505983261999</v>
      </c>
      <c r="R34" s="36">
        <v>7085.7</v>
      </c>
      <c r="S34" s="51">
        <f>R34/Summary!R$19</f>
        <v>1.2082144257736587E-3</v>
      </c>
      <c r="T34" s="137">
        <f t="shared" si="23"/>
        <v>-1140.0699999999997</v>
      </c>
    </row>
    <row r="35" spans="2:20" x14ac:dyDescent="0.25">
      <c r="B35" s="14" t="s">
        <v>78</v>
      </c>
      <c r="C35" s="17" t="s">
        <v>363</v>
      </c>
      <c r="D35" s="36">
        <v>0</v>
      </c>
      <c r="E35" s="51">
        <f>+D35/Summary!$D$19</f>
        <v>0</v>
      </c>
      <c r="F35" s="36">
        <v>0</v>
      </c>
      <c r="G35" s="51">
        <f>F35/Summary!F$19</f>
        <v>0</v>
      </c>
      <c r="H35" s="137">
        <f t="shared" si="20"/>
        <v>0</v>
      </c>
      <c r="I35" s="36">
        <v>0</v>
      </c>
      <c r="J35" s="51">
        <f>I35/Summary!I$19</f>
        <v>0</v>
      </c>
      <c r="K35" s="137">
        <f t="shared" si="21"/>
        <v>0</v>
      </c>
      <c r="M35" s="36">
        <v>0</v>
      </c>
      <c r="N35" s="51">
        <f>+M35/Summary!$D$19</f>
        <v>0</v>
      </c>
      <c r="O35" s="36">
        <v>0</v>
      </c>
      <c r="P35" s="51">
        <f>O35/Summary!O$19</f>
        <v>0</v>
      </c>
      <c r="Q35" s="137">
        <f t="shared" si="22"/>
        <v>0</v>
      </c>
      <c r="R35" s="36">
        <v>0</v>
      </c>
      <c r="S35" s="51">
        <f>R35/Summary!R$19</f>
        <v>0</v>
      </c>
      <c r="T35" s="137">
        <f t="shared" si="23"/>
        <v>0</v>
      </c>
    </row>
    <row r="36" spans="2:20" x14ac:dyDescent="0.25">
      <c r="B36" s="14" t="s">
        <v>83</v>
      </c>
      <c r="C36" s="17" t="s">
        <v>364</v>
      </c>
      <c r="D36" s="36">
        <v>1131.3900000000001</v>
      </c>
      <c r="E36" s="51">
        <f>+D36/Summary!$D$19</f>
        <v>7.4985162231242539E-4</v>
      </c>
      <c r="F36" s="36">
        <v>1426.5</v>
      </c>
      <c r="G36" s="51">
        <f>F36/Summary!F$19</f>
        <v>9.3919555783742348E-4</v>
      </c>
      <c r="H36" s="137">
        <f t="shared" si="20"/>
        <v>-295.1099999999999</v>
      </c>
      <c r="I36" s="36">
        <v>1126.56</v>
      </c>
      <c r="J36" s="51">
        <f>I36/Summary!I$19</f>
        <v>8.5383935532763972E-4</v>
      </c>
      <c r="K36" s="137">
        <f t="shared" si="21"/>
        <v>4.8300000000001546</v>
      </c>
      <c r="M36" s="36">
        <v>2095.56</v>
      </c>
      <c r="N36" s="51">
        <f>+M36/Summary!$D$19</f>
        <v>1.3888748050212801E-3</v>
      </c>
      <c r="O36" s="36">
        <v>2781</v>
      </c>
      <c r="P36" s="51">
        <f>O36/Summary!O$19</f>
        <v>4.111209758463278E-4</v>
      </c>
      <c r="Q36" s="137">
        <f t="shared" si="22"/>
        <v>-685.44</v>
      </c>
      <c r="R36" s="36">
        <v>2406.2399999999998</v>
      </c>
      <c r="S36" s="51">
        <f>R36/Summary!R$19</f>
        <v>4.1029875381029513E-4</v>
      </c>
      <c r="T36" s="137">
        <f t="shared" si="23"/>
        <v>-310.67999999999984</v>
      </c>
    </row>
    <row r="37" spans="2:20" x14ac:dyDescent="0.25">
      <c r="B37" s="14" t="s">
        <v>103</v>
      </c>
      <c r="C37" s="17" t="s">
        <v>365</v>
      </c>
      <c r="D37" s="36">
        <v>0</v>
      </c>
      <c r="E37" s="51">
        <f>+D37/Summary!$D$19</f>
        <v>0</v>
      </c>
      <c r="F37" s="36">
        <v>0</v>
      </c>
      <c r="G37" s="51">
        <f>F37/Summary!F$19</f>
        <v>0</v>
      </c>
      <c r="H37" s="137">
        <f t="shared" si="20"/>
        <v>0</v>
      </c>
      <c r="I37" s="36">
        <v>0</v>
      </c>
      <c r="J37" s="51">
        <f>I37/Summary!I$19</f>
        <v>0</v>
      </c>
      <c r="K37" s="137">
        <f t="shared" si="21"/>
        <v>0</v>
      </c>
      <c r="M37" s="36">
        <v>0</v>
      </c>
      <c r="N37" s="51">
        <f>+M37/Summary!$D$19</f>
        <v>0</v>
      </c>
      <c r="O37" s="36">
        <v>0</v>
      </c>
      <c r="P37" s="51">
        <f>O37/Summary!O$19</f>
        <v>0</v>
      </c>
      <c r="Q37" s="137">
        <f t="shared" si="22"/>
        <v>0</v>
      </c>
      <c r="R37" s="36">
        <v>0</v>
      </c>
      <c r="S37" s="51">
        <f>R37/Summary!R$19</f>
        <v>0</v>
      </c>
      <c r="T37" s="137">
        <f t="shared" si="23"/>
        <v>0</v>
      </c>
    </row>
    <row r="38" spans="2:20" x14ac:dyDescent="0.25">
      <c r="B38" s="14" t="s">
        <v>118</v>
      </c>
      <c r="C38" s="17" t="s">
        <v>465</v>
      </c>
      <c r="D38" s="36">
        <v>0</v>
      </c>
      <c r="E38" s="51">
        <f>+D38/Summary!$D$19</f>
        <v>0</v>
      </c>
      <c r="F38" s="36">
        <v>0</v>
      </c>
      <c r="G38" s="51">
        <f>F38/Summary!F$19</f>
        <v>0</v>
      </c>
      <c r="H38" s="137">
        <f t="shared" si="20"/>
        <v>0</v>
      </c>
      <c r="I38" s="36">
        <v>0</v>
      </c>
      <c r="J38" s="51">
        <f>I38/Summary!I$19</f>
        <v>0</v>
      </c>
      <c r="K38" s="137">
        <f t="shared" si="21"/>
        <v>0</v>
      </c>
      <c r="M38" s="36">
        <v>0</v>
      </c>
      <c r="N38" s="51">
        <f>+M38/Summary!$D$19</f>
        <v>0</v>
      </c>
      <c r="O38" s="36">
        <v>0</v>
      </c>
      <c r="P38" s="51">
        <f>O38/Summary!O$19</f>
        <v>0</v>
      </c>
      <c r="Q38" s="137">
        <f t="shared" si="22"/>
        <v>0</v>
      </c>
      <c r="R38" s="36">
        <v>0</v>
      </c>
      <c r="S38" s="51">
        <f>R38/Summary!R$19</f>
        <v>0</v>
      </c>
      <c r="T38" s="137">
        <f t="shared" si="23"/>
        <v>0</v>
      </c>
    </row>
    <row r="39" spans="2:20" x14ac:dyDescent="0.25">
      <c r="B39" s="14" t="s">
        <v>122</v>
      </c>
      <c r="C39" s="17" t="s">
        <v>366</v>
      </c>
      <c r="D39" s="36">
        <v>0</v>
      </c>
      <c r="E39" s="51">
        <f>+D39/Summary!$D$19</f>
        <v>0</v>
      </c>
      <c r="F39" s="36">
        <v>0</v>
      </c>
      <c r="G39" s="51">
        <f>F39/Summary!F$19</f>
        <v>0</v>
      </c>
      <c r="H39" s="137">
        <f t="shared" si="20"/>
        <v>0</v>
      </c>
      <c r="I39" s="36">
        <v>0</v>
      </c>
      <c r="J39" s="51">
        <f>I39/Summary!I$19</f>
        <v>0</v>
      </c>
      <c r="K39" s="137">
        <f t="shared" si="21"/>
        <v>0</v>
      </c>
      <c r="M39" s="36">
        <v>0</v>
      </c>
      <c r="N39" s="51">
        <f>+M39/Summary!$D$19</f>
        <v>0</v>
      </c>
      <c r="O39" s="36">
        <v>0</v>
      </c>
      <c r="P39" s="51">
        <f>O39/Summary!O$19</f>
        <v>0</v>
      </c>
      <c r="Q39" s="137">
        <f t="shared" si="22"/>
        <v>0</v>
      </c>
      <c r="R39" s="36">
        <v>0</v>
      </c>
      <c r="S39" s="51">
        <f>R39/Summary!R$19</f>
        <v>0</v>
      </c>
      <c r="T39" s="137">
        <f t="shared" si="23"/>
        <v>0</v>
      </c>
    </row>
    <row r="40" spans="2:20" x14ac:dyDescent="0.25">
      <c r="B40" s="14" t="s">
        <v>328</v>
      </c>
      <c r="C40" s="17" t="s">
        <v>376</v>
      </c>
      <c r="D40" s="36">
        <v>852.65</v>
      </c>
      <c r="E40" s="51">
        <f>+D40/Summary!$D$19</f>
        <v>5.6511104549685734E-4</v>
      </c>
      <c r="F40" s="36">
        <v>220</v>
      </c>
      <c r="G40" s="51">
        <f>F40/Summary!F$19</f>
        <v>1.4484614281404359E-4</v>
      </c>
      <c r="H40" s="137">
        <f t="shared" si="20"/>
        <v>632.65</v>
      </c>
      <c r="I40" s="36">
        <v>70.349999999999994</v>
      </c>
      <c r="J40" s="51">
        <f>I40/Summary!I$19</f>
        <v>5.3319484667749126E-5</v>
      </c>
      <c r="K40" s="137">
        <f t="shared" si="21"/>
        <v>782.3</v>
      </c>
      <c r="M40" s="36">
        <v>824.97</v>
      </c>
      <c r="N40" s="51">
        <f>+M40/Summary!$D$19</f>
        <v>5.4676556524194272E-4</v>
      </c>
      <c r="O40" s="36">
        <v>637</v>
      </c>
      <c r="P40" s="51">
        <f>O40/Summary!O$19</f>
        <v>9.4169026110791371E-5</v>
      </c>
      <c r="Q40" s="137">
        <f t="shared" si="22"/>
        <v>187.97000000000003</v>
      </c>
      <c r="R40" s="36">
        <v>207.25</v>
      </c>
      <c r="S40" s="51">
        <f>R40/Summary!R$19</f>
        <v>3.5339125244025398E-5</v>
      </c>
      <c r="T40" s="137">
        <f t="shared" si="23"/>
        <v>617.72</v>
      </c>
    </row>
    <row r="41" spans="2:20" x14ac:dyDescent="0.25">
      <c r="B41" s="14" t="s">
        <v>323</v>
      </c>
      <c r="C41" s="17" t="s">
        <v>375</v>
      </c>
      <c r="D41" s="36">
        <v>-138.19999999999999</v>
      </c>
      <c r="E41" s="51">
        <f>+D41/Summary!$D$19</f>
        <v>-9.1594847226488812E-5</v>
      </c>
      <c r="F41" s="36">
        <v>420</v>
      </c>
      <c r="G41" s="51">
        <f>F41/Summary!F$19</f>
        <v>2.7652445446317412E-4</v>
      </c>
      <c r="H41" s="137">
        <f t="shared" si="20"/>
        <v>-558.20000000000005</v>
      </c>
      <c r="I41" s="36">
        <v>-160</v>
      </c>
      <c r="J41" s="51">
        <f>I41/Summary!I$19</f>
        <v>-1.2126677394228657E-4</v>
      </c>
      <c r="K41" s="137">
        <f t="shared" si="21"/>
        <v>21.800000000000011</v>
      </c>
      <c r="M41" s="36">
        <v>996.29</v>
      </c>
      <c r="N41" s="51">
        <f>+M41/Summary!$D$19</f>
        <v>6.6031136283124846E-4</v>
      </c>
      <c r="O41" s="36">
        <v>880</v>
      </c>
      <c r="P41" s="51">
        <f>O41/Summary!O$19</f>
        <v>1.300922181750336E-4</v>
      </c>
      <c r="Q41" s="137">
        <f t="shared" si="22"/>
        <v>116.28999999999996</v>
      </c>
      <c r="R41" s="36">
        <v>58.95</v>
      </c>
      <c r="S41" s="51">
        <f>R41/Summary!R$19</f>
        <v>1.005182838666006E-5</v>
      </c>
      <c r="T41" s="137">
        <f t="shared" si="23"/>
        <v>937.33999999999992</v>
      </c>
    </row>
    <row r="42" spans="2:20" x14ac:dyDescent="0.25">
      <c r="B42" s="14" t="s">
        <v>651</v>
      </c>
      <c r="C42" s="17" t="s">
        <v>709</v>
      </c>
      <c r="D42" s="36">
        <v>0</v>
      </c>
      <c r="E42" s="51">
        <f>+D42/Summary!$D$19</f>
        <v>0</v>
      </c>
      <c r="F42" s="36">
        <v>0</v>
      </c>
      <c r="G42" s="51">
        <f>F42/Summary!F$19</f>
        <v>0</v>
      </c>
      <c r="H42" s="137">
        <f t="shared" si="20"/>
        <v>0</v>
      </c>
      <c r="I42" s="36">
        <v>0</v>
      </c>
      <c r="J42" s="51">
        <f>I42/Summary!I$19</f>
        <v>0</v>
      </c>
      <c r="K42" s="137">
        <f t="shared" si="21"/>
        <v>0</v>
      </c>
      <c r="M42" s="36">
        <v>0</v>
      </c>
      <c r="N42" s="51">
        <f>+M42/Summary!$D$19</f>
        <v>0</v>
      </c>
      <c r="O42" s="36">
        <v>0</v>
      </c>
      <c r="P42" s="51">
        <f>O42/Summary!O$19</f>
        <v>0</v>
      </c>
      <c r="Q42" s="137">
        <f t="shared" si="22"/>
        <v>0</v>
      </c>
      <c r="R42" s="36">
        <v>0</v>
      </c>
      <c r="S42" s="51">
        <f>R42/Summary!R$19</f>
        <v>0</v>
      </c>
      <c r="T42" s="137">
        <f t="shared" si="23"/>
        <v>0</v>
      </c>
    </row>
    <row r="43" spans="2:20" x14ac:dyDescent="0.25">
      <c r="B43" s="14" t="s">
        <v>311</v>
      </c>
      <c r="C43" s="17" t="s">
        <v>374</v>
      </c>
      <c r="D43" s="36">
        <v>-1108.32</v>
      </c>
      <c r="E43" s="51">
        <f>+D43/Summary!$D$19</f>
        <v>-7.3456151286586165E-4</v>
      </c>
      <c r="F43" s="36">
        <v>80</v>
      </c>
      <c r="G43" s="51">
        <f>F43/Summary!F$19</f>
        <v>5.2671324659652214E-5</v>
      </c>
      <c r="H43" s="137">
        <f t="shared" si="20"/>
        <v>-1188.32</v>
      </c>
      <c r="I43" s="36">
        <v>458.33</v>
      </c>
      <c r="J43" s="51">
        <f>I43/Summary!I$19</f>
        <v>3.4737625313105127E-4</v>
      </c>
      <c r="K43" s="137">
        <f t="shared" si="21"/>
        <v>-1566.6499999999999</v>
      </c>
      <c r="M43" s="36">
        <v>266.68</v>
      </c>
      <c r="N43" s="51">
        <f>+M43/Summary!$D$19</f>
        <v>1.7674756771606396E-4</v>
      </c>
      <c r="O43" s="36">
        <v>220</v>
      </c>
      <c r="P43" s="51">
        <f>O43/Summary!O$19</f>
        <v>3.2523054543758399E-5</v>
      </c>
      <c r="Q43" s="137">
        <f t="shared" si="22"/>
        <v>46.680000000000007</v>
      </c>
      <c r="R43" s="36">
        <v>1833.32</v>
      </c>
      <c r="S43" s="51">
        <f>R43/Summary!R$19</f>
        <v>3.126075999632166E-4</v>
      </c>
      <c r="T43" s="137">
        <f t="shared" si="23"/>
        <v>-1566.6399999999999</v>
      </c>
    </row>
    <row r="44" spans="2:20" x14ac:dyDescent="0.25">
      <c r="B44" s="14" t="s">
        <v>334</v>
      </c>
      <c r="C44" s="17" t="s">
        <v>377</v>
      </c>
      <c r="D44" s="36">
        <v>0</v>
      </c>
      <c r="E44" s="51">
        <f>+D44/Summary!$D$19</f>
        <v>0</v>
      </c>
      <c r="F44" s="36">
        <v>0</v>
      </c>
      <c r="G44" s="51">
        <f>F44/Summary!F$19</f>
        <v>0</v>
      </c>
      <c r="H44" s="137">
        <f t="shared" si="20"/>
        <v>0</v>
      </c>
      <c r="I44" s="36">
        <v>0</v>
      </c>
      <c r="J44" s="51">
        <f>I44/Summary!I$19</f>
        <v>0</v>
      </c>
      <c r="K44" s="137">
        <f t="shared" si="21"/>
        <v>0</v>
      </c>
      <c r="M44" s="36">
        <v>0</v>
      </c>
      <c r="N44" s="51">
        <f>+M44/Summary!$D$19</f>
        <v>0</v>
      </c>
      <c r="O44" s="36">
        <v>0</v>
      </c>
      <c r="P44" s="51">
        <f>O44/Summary!O$19</f>
        <v>0</v>
      </c>
      <c r="Q44" s="137">
        <f t="shared" si="22"/>
        <v>0</v>
      </c>
      <c r="R44" s="36">
        <v>0</v>
      </c>
      <c r="S44" s="51">
        <f>R44/Summary!R$19</f>
        <v>0</v>
      </c>
      <c r="T44" s="137">
        <f t="shared" si="23"/>
        <v>0</v>
      </c>
    </row>
    <row r="45" spans="2:20" x14ac:dyDescent="0.25">
      <c r="B45" s="14" t="s">
        <v>338</v>
      </c>
      <c r="C45" s="17" t="s">
        <v>419</v>
      </c>
      <c r="D45" s="36">
        <v>0</v>
      </c>
      <c r="E45" s="51">
        <f>+D45/Summary!$D$19</f>
        <v>0</v>
      </c>
      <c r="F45" s="36">
        <v>0</v>
      </c>
      <c r="G45" s="51">
        <f>F45/Summary!F$19</f>
        <v>0</v>
      </c>
      <c r="H45" s="137">
        <f t="shared" si="20"/>
        <v>0</v>
      </c>
      <c r="I45" s="36">
        <v>60.7</v>
      </c>
      <c r="J45" s="51">
        <f>I45/Summary!I$19</f>
        <v>4.6005582364354972E-5</v>
      </c>
      <c r="K45" s="137">
        <f t="shared" si="21"/>
        <v>-60.7</v>
      </c>
      <c r="M45" s="36">
        <v>138.57</v>
      </c>
      <c r="N45" s="51">
        <f>+M45/Summary!$D$19</f>
        <v>9.1840072215445404E-5</v>
      </c>
      <c r="O45" s="36">
        <v>0</v>
      </c>
      <c r="P45" s="51">
        <f>O45/Summary!O$19</f>
        <v>0</v>
      </c>
      <c r="Q45" s="137">
        <f t="shared" si="22"/>
        <v>138.57</v>
      </c>
      <c r="R45" s="36">
        <v>60.7</v>
      </c>
      <c r="S45" s="51">
        <f>R45/Summary!R$19</f>
        <v>1.0350228720445557E-5</v>
      </c>
      <c r="T45" s="137">
        <f t="shared" si="23"/>
        <v>77.86999999999999</v>
      </c>
    </row>
    <row r="46" spans="2:20" x14ac:dyDescent="0.25">
      <c r="B46" s="14" t="s">
        <v>101</v>
      </c>
      <c r="C46" s="17" t="s">
        <v>464</v>
      </c>
      <c r="D46" s="36">
        <v>0</v>
      </c>
      <c r="E46" s="51">
        <f>+D46/Summary!$D$19</f>
        <v>0</v>
      </c>
      <c r="F46" s="36">
        <v>0</v>
      </c>
      <c r="G46" s="51">
        <f>F46/Summary!F$19</f>
        <v>0</v>
      </c>
      <c r="H46" s="137">
        <f t="shared" si="20"/>
        <v>0</v>
      </c>
      <c r="I46" s="36">
        <v>0</v>
      </c>
      <c r="J46" s="51">
        <f>I46/Summary!I$19</f>
        <v>0</v>
      </c>
      <c r="K46" s="137">
        <f t="shared" si="21"/>
        <v>0</v>
      </c>
      <c r="M46" s="36">
        <v>0</v>
      </c>
      <c r="N46" s="51">
        <f>+M46/Summary!$D$19</f>
        <v>0</v>
      </c>
      <c r="O46" s="36">
        <v>0</v>
      </c>
      <c r="P46" s="51">
        <f>O46/Summary!O$19</f>
        <v>0</v>
      </c>
      <c r="Q46" s="137">
        <f t="shared" si="22"/>
        <v>0</v>
      </c>
      <c r="R46" s="36">
        <v>0</v>
      </c>
      <c r="S46" s="51">
        <f>R46/Summary!R$19</f>
        <v>0</v>
      </c>
      <c r="T46" s="137">
        <f t="shared" si="23"/>
        <v>0</v>
      </c>
    </row>
    <row r="47" spans="2:20" x14ac:dyDescent="0.25">
      <c r="B47" s="14" t="s">
        <v>100</v>
      </c>
      <c r="C47" s="17" t="s">
        <v>450</v>
      </c>
      <c r="D47" s="36">
        <v>46375.98</v>
      </c>
      <c r="E47" s="51">
        <f>+D47/Summary!$D$19</f>
        <v>3.0736619414462381E-2</v>
      </c>
      <c r="F47" s="36">
        <v>45329.47</v>
      </c>
      <c r="G47" s="51">
        <f>F47/Summary!F$19</f>
        <v>2.9844540387749564E-2</v>
      </c>
      <c r="H47" s="137">
        <f t="shared" si="20"/>
        <v>1046.510000000002</v>
      </c>
      <c r="I47" s="36">
        <v>39593.800000000003</v>
      </c>
      <c r="J47" s="51">
        <f>I47/Summary!I$19</f>
        <v>3.0008827463225668E-2</v>
      </c>
      <c r="K47" s="137">
        <f t="shared" si="21"/>
        <v>6782.18</v>
      </c>
      <c r="M47" s="36">
        <v>180258.62</v>
      </c>
      <c r="N47" s="51">
        <f>+M47/Summary!$D$19</f>
        <v>0.1194700489157576</v>
      </c>
      <c r="O47" s="36">
        <v>200777.22</v>
      </c>
      <c r="P47" s="51">
        <f>O47/Summary!O$19</f>
        <v>2.9681311260018998E-2</v>
      </c>
      <c r="Q47" s="137">
        <f t="shared" si="22"/>
        <v>-20518.600000000006</v>
      </c>
      <c r="R47" s="36">
        <v>159996.87</v>
      </c>
      <c r="S47" s="51">
        <f>R47/Summary!R$19</f>
        <v>2.7281782521505669E-2</v>
      </c>
      <c r="T47" s="137">
        <f t="shared" si="23"/>
        <v>20261.75</v>
      </c>
    </row>
    <row r="48" spans="2:20" x14ac:dyDescent="0.25">
      <c r="B48" s="14" t="s">
        <v>64</v>
      </c>
      <c r="C48" s="17" t="s">
        <v>451</v>
      </c>
      <c r="D48" s="36">
        <v>15</v>
      </c>
      <c r="E48" s="51">
        <f>+D48/Summary!$D$19</f>
        <v>9.9415536063482808E-6</v>
      </c>
      <c r="F48" s="36">
        <v>215.65</v>
      </c>
      <c r="G48" s="51">
        <f>F48/Summary!F$19</f>
        <v>1.41982139535675E-4</v>
      </c>
      <c r="H48" s="137">
        <f t="shared" si="20"/>
        <v>-200.65</v>
      </c>
      <c r="I48" s="36">
        <v>664.09</v>
      </c>
      <c r="J48" s="51">
        <f>I48/Summary!I$19</f>
        <v>5.0332532442083188E-4</v>
      </c>
      <c r="K48" s="137">
        <f t="shared" si="21"/>
        <v>-649.09</v>
      </c>
      <c r="M48" s="36">
        <v>310.48</v>
      </c>
      <c r="N48" s="51">
        <f>+M48/Summary!$D$19</f>
        <v>2.0577690424660095E-4</v>
      </c>
      <c r="O48" s="36">
        <v>883.75</v>
      </c>
      <c r="P48" s="51">
        <f>O48/Summary!O$19</f>
        <v>1.3064658842293857E-4</v>
      </c>
      <c r="Q48" s="137">
        <f t="shared" si="22"/>
        <v>-573.27</v>
      </c>
      <c r="R48" s="36">
        <v>1324.94</v>
      </c>
      <c r="S48" s="51">
        <f>R48/Summary!R$19</f>
        <v>2.2592145042614722E-4</v>
      </c>
      <c r="T48" s="137">
        <f t="shared" si="23"/>
        <v>-1014.46</v>
      </c>
    </row>
    <row r="49" spans="2:24" x14ac:dyDescent="0.25">
      <c r="B49" s="14" t="s">
        <v>65</v>
      </c>
      <c r="C49" s="17" t="s">
        <v>463</v>
      </c>
      <c r="D49" s="36">
        <v>7365.44</v>
      </c>
      <c r="E49" s="51">
        <f>+D49/Summary!$D$19</f>
        <v>4.8815944396227917E-3</v>
      </c>
      <c r="F49" s="36">
        <v>7066.62</v>
      </c>
      <c r="G49" s="51">
        <f>F49/Summary!F$19</f>
        <v>4.6526029533298938E-3</v>
      </c>
      <c r="H49" s="137">
        <f t="shared" si="20"/>
        <v>298.81999999999971</v>
      </c>
      <c r="I49" s="36">
        <v>6695.29</v>
      </c>
      <c r="J49" s="51">
        <f>I49/Summary!I$19</f>
        <v>5.0744763681753241E-3</v>
      </c>
      <c r="K49" s="137">
        <f t="shared" si="21"/>
        <v>670.14999999999964</v>
      </c>
      <c r="M49" s="36">
        <v>30247.91</v>
      </c>
      <c r="N49" s="51">
        <f>+M49/Summary!$D$19</f>
        <v>2.0047414582999881E-2</v>
      </c>
      <c r="O49" s="36">
        <v>32468.69</v>
      </c>
      <c r="P49" s="51">
        <f>O49/Summary!O$19</f>
        <v>4.7999135265199225E-3</v>
      </c>
      <c r="Q49" s="137">
        <f t="shared" si="22"/>
        <v>-2220.7799999999988</v>
      </c>
      <c r="R49" s="36">
        <v>31540.02</v>
      </c>
      <c r="S49" s="51">
        <f>R49/Summary!R$19</f>
        <v>5.3780299974864462E-3</v>
      </c>
      <c r="T49" s="137">
        <f t="shared" si="23"/>
        <v>-1292.1100000000006</v>
      </c>
    </row>
    <row r="50" spans="2:24" x14ac:dyDescent="0.25">
      <c r="B50" s="14" t="s">
        <v>625</v>
      </c>
      <c r="C50" s="17" t="s">
        <v>485</v>
      </c>
      <c r="D50" s="36">
        <v>0</v>
      </c>
      <c r="E50" s="51">
        <f>+D50/Summary!$D$19</f>
        <v>0</v>
      </c>
      <c r="F50" s="36">
        <v>0</v>
      </c>
      <c r="G50" s="51">
        <f>F50/Summary!F$19</f>
        <v>0</v>
      </c>
      <c r="H50" s="137">
        <f t="shared" si="20"/>
        <v>0</v>
      </c>
      <c r="I50" s="36">
        <v>0</v>
      </c>
      <c r="J50" s="51">
        <f>I50/Summary!I$19</f>
        <v>0</v>
      </c>
      <c r="K50" s="137">
        <f t="shared" si="21"/>
        <v>0</v>
      </c>
      <c r="M50" s="36">
        <v>0</v>
      </c>
      <c r="N50" s="51">
        <f>+M50/Summary!$D$19</f>
        <v>0</v>
      </c>
      <c r="O50" s="36">
        <v>0</v>
      </c>
      <c r="P50" s="51">
        <f>O50/Summary!O$19</f>
        <v>0</v>
      </c>
      <c r="Q50" s="137">
        <f t="shared" si="22"/>
        <v>0</v>
      </c>
      <c r="R50" s="36">
        <v>0</v>
      </c>
      <c r="S50" s="51">
        <f>R50/Summary!R$19</f>
        <v>0</v>
      </c>
      <c r="T50" s="137">
        <f t="shared" si="23"/>
        <v>0</v>
      </c>
    </row>
    <row r="51" spans="2:24" x14ac:dyDescent="0.25">
      <c r="B51" s="14" t="s">
        <v>221</v>
      </c>
      <c r="C51" s="17" t="s">
        <v>452</v>
      </c>
      <c r="D51" s="36">
        <v>1690.71</v>
      </c>
      <c r="E51" s="51">
        <f>+D51/Summary!$D$19</f>
        <v>1.1205522731859402E-3</v>
      </c>
      <c r="F51" s="36">
        <v>380.64</v>
      </c>
      <c r="G51" s="51">
        <f>F51/Summary!F$19</f>
        <v>2.5061016273062521E-4</v>
      </c>
      <c r="H51" s="137">
        <f t="shared" si="20"/>
        <v>1310.0700000000002</v>
      </c>
      <c r="I51" s="36">
        <v>669.98</v>
      </c>
      <c r="J51" s="51">
        <f>I51/Summary!I$19</f>
        <v>5.0778945753658232E-4</v>
      </c>
      <c r="K51" s="137">
        <f t="shared" si="21"/>
        <v>1020.73</v>
      </c>
      <c r="M51" s="36">
        <v>1781.98</v>
      </c>
      <c r="N51" s="51">
        <f>+M51/Summary!$D$19</f>
        <v>1.1810433130293673E-3</v>
      </c>
      <c r="O51" s="36">
        <v>1748.93</v>
      </c>
      <c r="P51" s="51">
        <f>O51/Summary!O$19</f>
        <v>2.5854793537825172E-4</v>
      </c>
      <c r="Q51" s="137">
        <f t="shared" si="22"/>
        <v>33.049999999999955</v>
      </c>
      <c r="R51" s="36">
        <v>3362.63</v>
      </c>
      <c r="S51" s="51">
        <f>R51/Summary!R$19</f>
        <v>5.7337709394121648E-4</v>
      </c>
      <c r="T51" s="137">
        <f t="shared" si="23"/>
        <v>-1580.65</v>
      </c>
    </row>
    <row r="52" spans="2:24" x14ac:dyDescent="0.25">
      <c r="B52" s="14" t="s">
        <v>56</v>
      </c>
      <c r="C52" s="17" t="s">
        <v>462</v>
      </c>
      <c r="D52" s="36">
        <v>0</v>
      </c>
      <c r="E52" s="51">
        <f>+D52/Summary!$D$19</f>
        <v>0</v>
      </c>
      <c r="F52" s="36">
        <v>0</v>
      </c>
      <c r="G52" s="51">
        <f>F52/Summary!F$19</f>
        <v>0</v>
      </c>
      <c r="H52" s="137">
        <f t="shared" si="20"/>
        <v>0</v>
      </c>
      <c r="I52" s="36">
        <v>0</v>
      </c>
      <c r="J52" s="51">
        <f>I52/Summary!I$19</f>
        <v>0</v>
      </c>
      <c r="K52" s="137">
        <f t="shared" si="21"/>
        <v>0</v>
      </c>
      <c r="M52" s="36">
        <v>0</v>
      </c>
      <c r="N52" s="51">
        <f>+M52/Summary!$D$19</f>
        <v>0</v>
      </c>
      <c r="O52" s="36">
        <v>0</v>
      </c>
      <c r="P52" s="51">
        <f>O52/Summary!O$19</f>
        <v>0</v>
      </c>
      <c r="Q52" s="137">
        <f t="shared" si="22"/>
        <v>0</v>
      </c>
      <c r="R52" s="36">
        <v>0</v>
      </c>
      <c r="S52" s="51">
        <f>R52/Summary!R$19</f>
        <v>0</v>
      </c>
      <c r="T52" s="137">
        <f t="shared" si="23"/>
        <v>0</v>
      </c>
    </row>
    <row r="53" spans="2:24" x14ac:dyDescent="0.25">
      <c r="B53" s="14" t="s">
        <v>61</v>
      </c>
      <c r="C53" s="17" t="s">
        <v>453</v>
      </c>
      <c r="D53" s="36">
        <v>2140.5100000000002</v>
      </c>
      <c r="E53" s="51">
        <f>+D53/Summary!$D$19</f>
        <v>1.4186663273283039E-3</v>
      </c>
      <c r="F53" s="36">
        <v>1500.17</v>
      </c>
      <c r="G53" s="51">
        <f>F53/Summary!F$19</f>
        <v>9.8769926393338088E-4</v>
      </c>
      <c r="H53" s="137">
        <f t="shared" si="20"/>
        <v>640.34000000000015</v>
      </c>
      <c r="I53" s="36">
        <v>1422.49</v>
      </c>
      <c r="J53" s="51">
        <f>I53/Summary!I$19</f>
        <v>1.0781298329072702E-3</v>
      </c>
      <c r="K53" s="137">
        <f t="shared" si="21"/>
        <v>718.02000000000021</v>
      </c>
      <c r="M53" s="36">
        <v>8937.75</v>
      </c>
      <c r="N53" s="51">
        <f>+M53/Summary!$D$19</f>
        <v>5.9236747163426227E-3</v>
      </c>
      <c r="O53" s="36">
        <v>6000.68</v>
      </c>
      <c r="P53" s="51">
        <f>O53/Summary!O$19</f>
        <v>8.8709292245290987E-4</v>
      </c>
      <c r="Q53" s="137">
        <f t="shared" si="22"/>
        <v>2937.0699999999997</v>
      </c>
      <c r="R53" s="36">
        <v>6485.64</v>
      </c>
      <c r="S53" s="51">
        <f>R53/Summary!R$19</f>
        <v>1.1058955090357582E-3</v>
      </c>
      <c r="T53" s="137">
        <f t="shared" si="23"/>
        <v>2452.1099999999997</v>
      </c>
    </row>
    <row r="54" spans="2:24" x14ac:dyDescent="0.25">
      <c r="B54" s="14" t="s">
        <v>210</v>
      </c>
      <c r="C54" s="17" t="s">
        <v>454</v>
      </c>
      <c r="D54" s="36">
        <v>364.37</v>
      </c>
      <c r="E54" s="51">
        <f>+D54/Summary!$D$19</f>
        <v>2.4149359250300818E-4</v>
      </c>
      <c r="F54" s="36">
        <v>248</v>
      </c>
      <c r="G54" s="51">
        <f>F54/Summary!F$19</f>
        <v>1.6328110644492184E-4</v>
      </c>
      <c r="H54" s="137">
        <f t="shared" si="20"/>
        <v>116.37</v>
      </c>
      <c r="I54" s="36">
        <v>292.86</v>
      </c>
      <c r="J54" s="51">
        <f>I54/Summary!I$19</f>
        <v>2.2196367135461281E-4</v>
      </c>
      <c r="K54" s="137">
        <f t="shared" si="21"/>
        <v>71.509999999999991</v>
      </c>
      <c r="M54" s="36">
        <v>885.69</v>
      </c>
      <c r="N54" s="51">
        <f>+M54/Summary!$D$19</f>
        <v>5.8700897424044057E-4</v>
      </c>
      <c r="O54" s="36">
        <v>992</v>
      </c>
      <c r="P54" s="51">
        <f>O54/Summary!O$19</f>
        <v>1.4664940957912878E-4</v>
      </c>
      <c r="Q54" s="137">
        <f t="shared" si="22"/>
        <v>-106.30999999999995</v>
      </c>
      <c r="R54" s="36">
        <v>799.11</v>
      </c>
      <c r="S54" s="51">
        <f>R54/Summary!R$19</f>
        <v>1.3625982327504529E-4</v>
      </c>
      <c r="T54" s="137">
        <f t="shared" si="23"/>
        <v>86.580000000000041</v>
      </c>
    </row>
    <row r="55" spans="2:24" x14ac:dyDescent="0.25">
      <c r="B55" s="14" t="s">
        <v>160</v>
      </c>
      <c r="C55" s="17" t="s">
        <v>455</v>
      </c>
      <c r="D55" s="36">
        <v>0</v>
      </c>
      <c r="E55" s="51">
        <f>+D55/Summary!$D$19</f>
        <v>0</v>
      </c>
      <c r="F55" s="36">
        <v>0</v>
      </c>
      <c r="G55" s="51">
        <f>F55/Summary!F$19</f>
        <v>0</v>
      </c>
      <c r="H55" s="137">
        <f t="shared" si="20"/>
        <v>0</v>
      </c>
      <c r="I55" s="36">
        <v>0</v>
      </c>
      <c r="J55" s="51">
        <f>I55/Summary!I$19</f>
        <v>0</v>
      </c>
      <c r="K55" s="137">
        <f t="shared" si="21"/>
        <v>0</v>
      </c>
      <c r="M55" s="36">
        <v>0</v>
      </c>
      <c r="N55" s="51">
        <f>+M55/Summary!$D$19</f>
        <v>0</v>
      </c>
      <c r="O55" s="36">
        <v>0</v>
      </c>
      <c r="P55" s="51">
        <f>O55/Summary!O$19</f>
        <v>0</v>
      </c>
      <c r="Q55" s="137">
        <f t="shared" si="22"/>
        <v>0</v>
      </c>
      <c r="R55" s="36">
        <v>0</v>
      </c>
      <c r="S55" s="51">
        <f>R55/Summary!R$19</f>
        <v>0</v>
      </c>
      <c r="T55" s="137">
        <f t="shared" si="23"/>
        <v>0</v>
      </c>
    </row>
    <row r="56" spans="2:24" x14ac:dyDescent="0.25">
      <c r="B56" s="14" t="s">
        <v>229</v>
      </c>
      <c r="C56" s="17" t="s">
        <v>467</v>
      </c>
      <c r="D56" s="36">
        <v>0</v>
      </c>
      <c r="E56" s="51">
        <f>+D56/Summary!$D$19</f>
        <v>0</v>
      </c>
      <c r="F56" s="36">
        <v>0</v>
      </c>
      <c r="G56" s="51">
        <f>F56/Summary!F$19</f>
        <v>0</v>
      </c>
      <c r="H56" s="137">
        <f t="shared" si="20"/>
        <v>0</v>
      </c>
      <c r="I56" s="36">
        <v>0</v>
      </c>
      <c r="J56" s="51">
        <f>I56/Summary!I$19</f>
        <v>0</v>
      </c>
      <c r="K56" s="137">
        <f t="shared" si="21"/>
        <v>0</v>
      </c>
      <c r="M56" s="36">
        <v>0</v>
      </c>
      <c r="N56" s="51">
        <f>+M56/Summary!$D$19</f>
        <v>0</v>
      </c>
      <c r="O56" s="36">
        <v>0</v>
      </c>
      <c r="P56" s="51">
        <f>O56/Summary!O$19</f>
        <v>0</v>
      </c>
      <c r="Q56" s="137">
        <f t="shared" si="22"/>
        <v>0</v>
      </c>
      <c r="R56" s="36">
        <v>0</v>
      </c>
      <c r="S56" s="51">
        <f>R56/Summary!R$19</f>
        <v>0</v>
      </c>
      <c r="T56" s="137">
        <f t="shared" si="23"/>
        <v>0</v>
      </c>
    </row>
    <row r="57" spans="2:24" x14ac:dyDescent="0.25">
      <c r="B57" s="14" t="s">
        <v>162</v>
      </c>
      <c r="C57" s="17" t="s">
        <v>370</v>
      </c>
      <c r="D57" s="36">
        <v>461.99</v>
      </c>
      <c r="E57" s="51">
        <f>+D57/Summary!$D$19</f>
        <v>3.061932233731228E-4</v>
      </c>
      <c r="F57" s="36">
        <v>1402.6</v>
      </c>
      <c r="G57" s="51">
        <f>F57/Summary!F$19</f>
        <v>9.234599995953523E-4</v>
      </c>
      <c r="H57" s="137">
        <f t="shared" si="20"/>
        <v>-940.6099999999999</v>
      </c>
      <c r="I57" s="36">
        <v>734.97</v>
      </c>
      <c r="J57" s="51">
        <f>I57/Summary!I$19</f>
        <v>5.5704650527726486E-4</v>
      </c>
      <c r="K57" s="137">
        <f t="shared" si="21"/>
        <v>-272.98</v>
      </c>
      <c r="M57" s="36">
        <v>2382.1999999999998</v>
      </c>
      <c r="N57" s="51">
        <f>+M57/Summary!$D$19</f>
        <v>1.5788512667361913E-3</v>
      </c>
      <c r="O57" s="36">
        <v>5815</v>
      </c>
      <c r="P57" s="51">
        <f>O57/Summary!O$19</f>
        <v>8.596434644179777E-4</v>
      </c>
      <c r="Q57" s="137">
        <f t="shared" si="22"/>
        <v>-3432.8</v>
      </c>
      <c r="R57" s="36">
        <v>3334.78</v>
      </c>
      <c r="S57" s="51">
        <f>R57/Summary!R$19</f>
        <v>5.6862826577211596E-4</v>
      </c>
      <c r="T57" s="137">
        <f t="shared" si="23"/>
        <v>-952.58000000000038</v>
      </c>
    </row>
    <row r="58" spans="2:24" x14ac:dyDescent="0.25">
      <c r="B58" s="14" t="s">
        <v>107</v>
      </c>
      <c r="C58" s="17" t="s">
        <v>456</v>
      </c>
      <c r="D58" s="36">
        <v>0</v>
      </c>
      <c r="E58" s="51">
        <f>+D58/Summary!$D$19</f>
        <v>0</v>
      </c>
      <c r="F58" s="36">
        <v>0</v>
      </c>
      <c r="G58" s="51">
        <f>F58/Summary!F$19</f>
        <v>0</v>
      </c>
      <c r="H58" s="137">
        <f t="shared" si="20"/>
        <v>0</v>
      </c>
      <c r="I58" s="36">
        <v>0</v>
      </c>
      <c r="J58" s="51">
        <f>I58/Summary!I$19</f>
        <v>0</v>
      </c>
      <c r="K58" s="137">
        <f t="shared" si="21"/>
        <v>0</v>
      </c>
      <c r="M58" s="36">
        <v>0</v>
      </c>
      <c r="N58" s="51">
        <f>+M58/Summary!$D$19</f>
        <v>0</v>
      </c>
      <c r="O58" s="36">
        <v>0</v>
      </c>
      <c r="P58" s="51">
        <f>O58/Summary!O$19</f>
        <v>0</v>
      </c>
      <c r="Q58" s="137">
        <f t="shared" si="22"/>
        <v>0</v>
      </c>
      <c r="R58" s="36">
        <v>0</v>
      </c>
      <c r="S58" s="51">
        <f>R58/Summary!R$19</f>
        <v>0</v>
      </c>
      <c r="T58" s="137">
        <f t="shared" si="23"/>
        <v>0</v>
      </c>
    </row>
    <row r="59" spans="2:24" x14ac:dyDescent="0.25">
      <c r="B59" s="14" t="s">
        <v>228</v>
      </c>
      <c r="C59" s="17" t="s">
        <v>457</v>
      </c>
      <c r="D59" s="36">
        <v>437.71</v>
      </c>
      <c r="E59" s="51">
        <f>+D59/Summary!$D$19</f>
        <v>2.9010116193564704E-4</v>
      </c>
      <c r="F59" s="36">
        <v>409</v>
      </c>
      <c r="G59" s="51">
        <f>F59/Summary!F$19</f>
        <v>2.6928214732247196E-4</v>
      </c>
      <c r="H59" s="137">
        <f t="shared" si="20"/>
        <v>28.70999999999998</v>
      </c>
      <c r="I59" s="36">
        <v>412.9</v>
      </c>
      <c r="J59" s="51">
        <f>I59/Summary!I$19</f>
        <v>3.1294406850481326E-4</v>
      </c>
      <c r="K59" s="137">
        <f t="shared" si="21"/>
        <v>24.810000000000002</v>
      </c>
      <c r="M59" s="36">
        <v>1995.99</v>
      </c>
      <c r="N59" s="51">
        <f>+M59/Summary!$D$19</f>
        <v>1.3228827721823403E-3</v>
      </c>
      <c r="O59" s="36">
        <v>1636</v>
      </c>
      <c r="P59" s="51">
        <f>O59/Summary!O$19</f>
        <v>2.4185326015267611E-4</v>
      </c>
      <c r="Q59" s="137">
        <f t="shared" si="22"/>
        <v>359.99</v>
      </c>
      <c r="R59" s="36">
        <v>1640.45</v>
      </c>
      <c r="S59" s="51">
        <f>R59/Summary!R$19</f>
        <v>2.7972047289052574E-4</v>
      </c>
      <c r="T59" s="137">
        <f t="shared" si="23"/>
        <v>355.53999999999996</v>
      </c>
    </row>
    <row r="60" spans="2:24" s="11" customFormat="1" x14ac:dyDescent="0.25">
      <c r="B60" s="14" t="s">
        <v>640</v>
      </c>
      <c r="C60" s="17" t="s">
        <v>708</v>
      </c>
      <c r="D60" s="36">
        <v>0</v>
      </c>
      <c r="E60" s="51">
        <f>+D60/Summary!$D$19</f>
        <v>0</v>
      </c>
      <c r="F60" s="36">
        <v>0</v>
      </c>
      <c r="G60" s="51">
        <f>F60/Summary!F$19</f>
        <v>0</v>
      </c>
      <c r="H60" s="137">
        <f t="shared" si="20"/>
        <v>0</v>
      </c>
      <c r="I60" s="36">
        <v>0</v>
      </c>
      <c r="J60" s="51">
        <f>I60/Summary!I$19</f>
        <v>0</v>
      </c>
      <c r="K60" s="137">
        <f t="shared" si="21"/>
        <v>0</v>
      </c>
      <c r="M60" s="36">
        <v>0</v>
      </c>
      <c r="N60" s="51">
        <f>+M60/Summary!$D$19</f>
        <v>0</v>
      </c>
      <c r="O60" s="36">
        <v>0</v>
      </c>
      <c r="P60" s="51">
        <f>O60/Summary!O$19</f>
        <v>0</v>
      </c>
      <c r="Q60" s="137">
        <f t="shared" si="22"/>
        <v>0</v>
      </c>
      <c r="R60" s="36">
        <v>0</v>
      </c>
      <c r="S60" s="51">
        <f>R60/Summary!R$19</f>
        <v>0</v>
      </c>
      <c r="T60" s="137">
        <f t="shared" si="23"/>
        <v>0</v>
      </c>
      <c r="V60" s="338"/>
      <c r="W60" s="338"/>
      <c r="X60" s="338"/>
    </row>
    <row r="61" spans="2:24" s="11" customFormat="1" x14ac:dyDescent="0.25">
      <c r="B61" s="14" t="s">
        <v>638</v>
      </c>
      <c r="C61" s="17" t="s">
        <v>705</v>
      </c>
      <c r="D61" s="36">
        <v>0</v>
      </c>
      <c r="E61" s="51">
        <f>+D61/Summary!$D$19</f>
        <v>0</v>
      </c>
      <c r="F61" s="36">
        <v>0</v>
      </c>
      <c r="G61" s="51">
        <f>F61/Summary!F$19</f>
        <v>0</v>
      </c>
      <c r="H61" s="137">
        <f t="shared" si="20"/>
        <v>0</v>
      </c>
      <c r="I61" s="36">
        <v>0</v>
      </c>
      <c r="J61" s="51">
        <f>I61/Summary!I$19</f>
        <v>0</v>
      </c>
      <c r="K61" s="137">
        <f t="shared" si="21"/>
        <v>0</v>
      </c>
      <c r="M61" s="36">
        <v>0</v>
      </c>
      <c r="N61" s="51">
        <f>+M61/Summary!$D$19</f>
        <v>0</v>
      </c>
      <c r="O61" s="36">
        <v>0</v>
      </c>
      <c r="P61" s="51">
        <f>O61/Summary!O$19</f>
        <v>0</v>
      </c>
      <c r="Q61" s="137">
        <f t="shared" si="22"/>
        <v>0</v>
      </c>
      <c r="R61" s="36">
        <v>0</v>
      </c>
      <c r="S61" s="51">
        <f>R61/Summary!R$19</f>
        <v>0</v>
      </c>
      <c r="T61" s="137">
        <f t="shared" si="23"/>
        <v>0</v>
      </c>
      <c r="V61" s="338"/>
      <c r="W61" s="338"/>
      <c r="X61" s="338"/>
    </row>
    <row r="62" spans="2:24" s="11" customFormat="1" x14ac:dyDescent="0.25">
      <c r="B62" s="14" t="s">
        <v>174</v>
      </c>
      <c r="C62" s="17" t="s">
        <v>358</v>
      </c>
      <c r="D62" s="36">
        <v>0</v>
      </c>
      <c r="E62" s="51">
        <f>+D62/Summary!$D$19</f>
        <v>0</v>
      </c>
      <c r="F62" s="36">
        <v>1021.766161971</v>
      </c>
      <c r="G62" s="51">
        <f>F62/Summary!F$19</f>
        <v>6.7272221554276663E-4</v>
      </c>
      <c r="H62" s="137">
        <f t="shared" si="20"/>
        <v>-1021.766161971</v>
      </c>
      <c r="I62" s="36">
        <v>0</v>
      </c>
      <c r="J62" s="51">
        <f>I62/Summary!I$19</f>
        <v>0</v>
      </c>
      <c r="K62" s="137">
        <f t="shared" si="21"/>
        <v>0</v>
      </c>
      <c r="M62" s="36">
        <v>-20.05</v>
      </c>
      <c r="N62" s="51">
        <f>+M62/Summary!$D$19</f>
        <v>-1.3288543320485535E-5</v>
      </c>
      <c r="O62" s="36">
        <v>4187.2749624010003</v>
      </c>
      <c r="P62" s="51">
        <f>O62/Summary!O$19</f>
        <v>6.1901350905400746E-4</v>
      </c>
      <c r="Q62" s="137">
        <f t="shared" si="22"/>
        <v>-4207.3249624010004</v>
      </c>
      <c r="R62" s="36">
        <v>297.19</v>
      </c>
      <c r="S62" s="51">
        <f>R62/Summary!R$19</f>
        <v>5.0675197255835504E-5</v>
      </c>
      <c r="T62" s="137">
        <f t="shared" si="23"/>
        <v>-317.24</v>
      </c>
      <c r="V62" s="338"/>
      <c r="W62" s="338"/>
      <c r="X62" s="338"/>
    </row>
    <row r="63" spans="2:24" x14ac:dyDescent="0.25">
      <c r="B63" s="14" t="s">
        <v>89</v>
      </c>
      <c r="C63" s="17" t="s">
        <v>421</v>
      </c>
      <c r="D63" s="36">
        <v>0</v>
      </c>
      <c r="E63" s="51">
        <f>+D63/Summary!$D$19</f>
        <v>0</v>
      </c>
      <c r="F63" s="36">
        <v>0</v>
      </c>
      <c r="G63" s="51">
        <f>F63/Summary!F$19</f>
        <v>0</v>
      </c>
      <c r="H63" s="137">
        <f t="shared" si="20"/>
        <v>0</v>
      </c>
      <c r="I63" s="36">
        <v>0</v>
      </c>
      <c r="J63" s="51">
        <f>I63/Summary!I$19</f>
        <v>0</v>
      </c>
      <c r="K63" s="137">
        <f t="shared" si="21"/>
        <v>0</v>
      </c>
      <c r="M63" s="36">
        <v>0</v>
      </c>
      <c r="N63" s="51">
        <f>+M63/Summary!$D$19</f>
        <v>0</v>
      </c>
      <c r="O63" s="36">
        <v>0</v>
      </c>
      <c r="P63" s="51">
        <f>O63/Summary!O$19</f>
        <v>0</v>
      </c>
      <c r="Q63" s="137">
        <f t="shared" si="22"/>
        <v>0</v>
      </c>
      <c r="R63" s="36">
        <v>0</v>
      </c>
      <c r="S63" s="51">
        <f>R63/Summary!R$19</f>
        <v>0</v>
      </c>
      <c r="T63" s="137">
        <f t="shared" si="23"/>
        <v>0</v>
      </c>
    </row>
    <row r="64" spans="2:24" x14ac:dyDescent="0.25">
      <c r="B64" s="14" t="s">
        <v>152</v>
      </c>
      <c r="C64" s="17" t="s">
        <v>458</v>
      </c>
      <c r="D64" s="90">
        <v>6957.45</v>
      </c>
      <c r="E64" s="82">
        <f>+D64/Summary!$D$19</f>
        <v>4.6111908092325224E-3</v>
      </c>
      <c r="F64" s="90">
        <v>7963.33</v>
      </c>
      <c r="G64" s="82">
        <f>F64/Summary!F$19</f>
        <v>5.2429892475243534E-3</v>
      </c>
      <c r="H64" s="195">
        <f t="shared" si="20"/>
        <v>-1005.8800000000001</v>
      </c>
      <c r="I64" s="36">
        <v>1723.62</v>
      </c>
      <c r="J64" s="82">
        <f>I64/Summary!I$19</f>
        <v>1.3063614806400248E-3</v>
      </c>
      <c r="K64" s="195">
        <f t="shared" si="21"/>
        <v>5233.83</v>
      </c>
      <c r="M64" s="90">
        <v>10418.02</v>
      </c>
      <c r="N64" s="82">
        <f>+M64/Summary!$D$19</f>
        <v>6.9047536201339004E-3</v>
      </c>
      <c r="O64" s="90">
        <v>12400.32</v>
      </c>
      <c r="P64" s="82">
        <f>O64/Summary!O$19</f>
        <v>1.8331649260002643E-3</v>
      </c>
      <c r="Q64" s="195">
        <f t="shared" si="22"/>
        <v>-1982.2999999999993</v>
      </c>
      <c r="R64" s="36">
        <v>8728.7900000000009</v>
      </c>
      <c r="S64" s="82">
        <f>R64/Summary!R$19</f>
        <v>1.4883850568820096E-3</v>
      </c>
      <c r="T64" s="195">
        <f t="shared" si="23"/>
        <v>1689.2299999999996</v>
      </c>
    </row>
    <row r="65" spans="2:20" x14ac:dyDescent="0.25">
      <c r="B65" s="14" t="s">
        <v>282</v>
      </c>
      <c r="C65" s="18" t="s">
        <v>423</v>
      </c>
      <c r="D65" s="91">
        <f t="shared" ref="D65" si="24">SUM(D30:D64)</f>
        <v>74276.040000000008</v>
      </c>
      <c r="E65" s="83">
        <f>+D65/Summary!$D$19</f>
        <v>4.9227948888484613E-2</v>
      </c>
      <c r="F65" s="91">
        <f>SUM(F30:F64)</f>
        <v>89422.476755792988</v>
      </c>
      <c r="G65" s="83">
        <f>F65/Summary!F$19</f>
        <v>5.8875003813432199E-2</v>
      </c>
      <c r="H65" s="192">
        <f t="shared" si="20"/>
        <v>-15146.43675579298</v>
      </c>
      <c r="I65" s="91">
        <f>SUM(I30:I64)</f>
        <v>69686.820000000007</v>
      </c>
      <c r="J65" s="83">
        <f>I65/Summary!I$19</f>
        <v>5.2816849048105102E-2</v>
      </c>
      <c r="K65" s="192">
        <f t="shared" si="21"/>
        <v>4589.2200000000012</v>
      </c>
      <c r="M65" s="91">
        <f t="shared" ref="M65" si="25">SUM(M30:M64)</f>
        <v>271140.60000000003</v>
      </c>
      <c r="N65" s="83">
        <f>+M65/Summary!$D$19</f>
        <v>0.17970392065049579</v>
      </c>
      <c r="O65" s="91">
        <f>SUM(O30:O64)</f>
        <v>320469.25094566302</v>
      </c>
      <c r="P65" s="83">
        <f>O65/Summary!O$19</f>
        <v>4.7375631491378169E-2</v>
      </c>
      <c r="Q65" s="192">
        <f t="shared" si="22"/>
        <v>-49328.650945662986</v>
      </c>
      <c r="R65" s="91">
        <f>SUM(R30:R64)</f>
        <v>245208.82</v>
      </c>
      <c r="S65" s="83">
        <f>R65/Summary!R$19</f>
        <v>4.181165356294176E-2</v>
      </c>
      <c r="T65" s="192">
        <f t="shared" si="23"/>
        <v>25931.780000000028</v>
      </c>
    </row>
    <row r="66" spans="2:20" x14ac:dyDescent="0.25">
      <c r="B66" s="14"/>
      <c r="C66" s="16"/>
      <c r="D66" s="48"/>
      <c r="E66" s="307"/>
      <c r="F66" s="48"/>
      <c r="G66" s="32"/>
      <c r="H66" s="16"/>
      <c r="I66" s="48"/>
      <c r="J66" s="32"/>
      <c r="K66" s="49"/>
      <c r="M66" s="48"/>
      <c r="N66" s="307"/>
      <c r="O66" s="48"/>
      <c r="P66" s="32"/>
      <c r="Q66" s="16"/>
      <c r="R66" s="48"/>
      <c r="S66" s="32"/>
      <c r="T66" s="49"/>
    </row>
    <row r="67" spans="2:20" x14ac:dyDescent="0.25">
      <c r="B67" s="14" t="s">
        <v>26</v>
      </c>
      <c r="C67" s="18" t="s">
        <v>424</v>
      </c>
      <c r="D67" s="142">
        <f t="shared" ref="D67" si="26">+D27+D65</f>
        <v>133968.94</v>
      </c>
      <c r="E67" s="130">
        <f>+D67/Summary!$D$19</f>
        <v>8.8790626573043763E-2</v>
      </c>
      <c r="F67" s="142">
        <f>+F27+F65</f>
        <v>149356.446755793</v>
      </c>
      <c r="G67" s="130">
        <f>F67/Summary!F$19</f>
        <v>9.8335023713580411E-2</v>
      </c>
      <c r="H67" s="207">
        <f>+D67-F67</f>
        <v>-15387.506755793002</v>
      </c>
      <c r="I67" s="142">
        <f>+I27+I65</f>
        <v>129067.13</v>
      </c>
      <c r="J67" s="130">
        <f>I67/Summary!I$19</f>
        <v>9.782221548181072E-2</v>
      </c>
      <c r="K67" s="207">
        <f>+D67-I67</f>
        <v>4901.8099999999977</v>
      </c>
      <c r="M67" s="142">
        <f t="shared" ref="M67" si="27">+M27+M65</f>
        <v>506691.28</v>
      </c>
      <c r="N67" s="130">
        <f>+M67/Summary!$D$19</f>
        <v>0.33581990146594842</v>
      </c>
      <c r="O67" s="142">
        <f>+O27+O65</f>
        <v>556416.48094566306</v>
      </c>
      <c r="P67" s="130">
        <f>O67/Summary!O$19</f>
        <v>8.2256197994735936E-2</v>
      </c>
      <c r="Q67" s="207">
        <f>+M67-O67</f>
        <v>-49725.200945663033</v>
      </c>
      <c r="R67" s="142">
        <f>+R27+R65</f>
        <v>468717.71</v>
      </c>
      <c r="S67" s="130">
        <f>R67/Summary!R$19</f>
        <v>7.9923154922956707E-2</v>
      </c>
      <c r="T67" s="207">
        <f>+M67-R67</f>
        <v>37973.570000000007</v>
      </c>
    </row>
    <row r="68" spans="2:20" ht="15.75" thickBot="1" x14ac:dyDescent="0.3">
      <c r="B68" s="14"/>
      <c r="C68" s="18" t="s">
        <v>425</v>
      </c>
      <c r="D68" s="143">
        <f t="shared" ref="D68" si="28">0-D67</f>
        <v>-133968.94</v>
      </c>
      <c r="E68" s="172">
        <f>+D68/Summary!$D$19</f>
        <v>-8.8790626573043763E-2</v>
      </c>
      <c r="F68" s="143">
        <f t="shared" ref="F68" si="29">0-F67</f>
        <v>-149356.446755793</v>
      </c>
      <c r="G68" s="172">
        <f>F68/Summary!F$19</f>
        <v>-9.8335023713580411E-2</v>
      </c>
      <c r="H68" s="194">
        <f>+D68-F68</f>
        <v>15387.506755793002</v>
      </c>
      <c r="I68" s="143">
        <f t="shared" ref="I68" si="30">0-I67</f>
        <v>-129067.13</v>
      </c>
      <c r="J68" s="172">
        <f>I68/Summary!I$19</f>
        <v>-9.782221548181072E-2</v>
      </c>
      <c r="K68" s="194">
        <f>+D68-I68</f>
        <v>-4901.8099999999977</v>
      </c>
      <c r="M68" s="143">
        <f t="shared" ref="M68" si="31">0-M67</f>
        <v>-506691.28</v>
      </c>
      <c r="N68" s="172">
        <f>+M68/Summary!$D$19</f>
        <v>-0.33581990146594842</v>
      </c>
      <c r="O68" s="143">
        <f t="shared" ref="O68" si="32">0-O67</f>
        <v>-556416.48094566306</v>
      </c>
      <c r="P68" s="172">
        <f>O68/Summary!O$19</f>
        <v>-8.2256197994735936E-2</v>
      </c>
      <c r="Q68" s="194">
        <f>+M68-O68</f>
        <v>49725.200945663033</v>
      </c>
      <c r="R68" s="143">
        <f t="shared" ref="R68" si="33">0-R67</f>
        <v>-468717.71</v>
      </c>
      <c r="S68" s="172">
        <f>R68/Summary!R$19</f>
        <v>-7.9923154922956707E-2</v>
      </c>
      <c r="T68" s="194">
        <f>+M68-R68</f>
        <v>-37973.570000000007</v>
      </c>
    </row>
    <row r="69" spans="2:20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63AD-F441-4358-A878-B80B27B9DAE2}">
  <dimension ref="B1:X71"/>
  <sheetViews>
    <sheetView showGridLines="0" zoomScale="80" zoomScaleNormal="80" workbookViewId="0">
      <pane xSplit="3" ySplit="8" topLeftCell="D57" activePane="bottomRight" state="frozen"/>
      <selection activeCell="AA33" sqref="AA33"/>
      <selection pane="topRight" activeCell="AA33" sqref="AA33"/>
      <selection pane="bottomLeft" activeCell="AA33" sqref="AA33"/>
      <selection pane="bottomRight" activeCell="AA33" sqref="AA33"/>
    </sheetView>
  </sheetViews>
  <sheetFormatPr defaultRowHeight="15" outlineLevelCol="2" x14ac:dyDescent="0.25"/>
  <cols>
    <col min="1" max="1" width="3.28515625" customWidth="1"/>
    <col min="2" max="2" width="11.28515625" style="9" hidden="1" customWidth="1" outlineLevel="2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  <col min="22" max="24" width="9.140625" style="338"/>
  </cols>
  <sheetData>
    <row r="1" spans="2:22" x14ac:dyDescent="0.25">
      <c r="V1" s="338" t="s">
        <v>715</v>
      </c>
    </row>
    <row r="2" spans="2:22" ht="22.5" x14ac:dyDescent="0.3">
      <c r="B2" s="1"/>
      <c r="C2" s="35" t="str">
        <f>+Summary!$C$2</f>
        <v>Angler's</v>
      </c>
      <c r="I2" s="4"/>
      <c r="R2" s="4"/>
      <c r="V2" s="338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APR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2" t="str">
        <f>Year&amp;" "&amp;UPPER(Month)&amp;" - PERIODIC"</f>
        <v>2025 APR - PERIODIC</v>
      </c>
      <c r="E6" s="293"/>
      <c r="F6" s="290"/>
      <c r="G6" s="290"/>
      <c r="H6" s="290"/>
      <c r="I6" s="290"/>
      <c r="J6" s="290"/>
      <c r="K6" s="291"/>
      <c r="M6" s="292" t="str">
        <f>Year&amp;" "&amp;UPPER(Month)&amp;" - YEAR TO DATE"</f>
        <v>2025 APR - YEAR TO DATE</v>
      </c>
      <c r="N6" s="293"/>
      <c r="O6" s="290"/>
      <c r="P6" s="290"/>
      <c r="Q6" s="290"/>
      <c r="R6" s="290"/>
      <c r="S6" s="290"/>
      <c r="T6" s="291"/>
    </row>
    <row r="7" spans="2:22" x14ac:dyDescent="0.25">
      <c r="B7"/>
      <c r="D7" s="333" t="s">
        <v>392</v>
      </c>
      <c r="E7" s="334"/>
      <c r="F7" s="335" t="s">
        <v>389</v>
      </c>
      <c r="G7" s="334"/>
      <c r="H7" s="39" t="s">
        <v>388</v>
      </c>
      <c r="I7" s="335" t="s">
        <v>718</v>
      </c>
      <c r="J7" s="334"/>
      <c r="K7" s="288" t="s">
        <v>388</v>
      </c>
      <c r="M7" s="333" t="s">
        <v>392</v>
      </c>
      <c r="N7" s="334"/>
      <c r="O7" s="335" t="s">
        <v>389</v>
      </c>
      <c r="P7" s="334"/>
      <c r="Q7" s="39" t="s">
        <v>388</v>
      </c>
      <c r="R7" s="335" t="s">
        <v>718</v>
      </c>
      <c r="S7" s="334"/>
      <c r="T7" s="288" t="s">
        <v>388</v>
      </c>
    </row>
    <row r="8" spans="2:22" ht="22.5" customHeight="1" collapsed="1" x14ac:dyDescent="0.25">
      <c r="B8"/>
      <c r="D8" s="304" t="s">
        <v>391</v>
      </c>
      <c r="E8" s="40" t="s">
        <v>390</v>
      </c>
      <c r="F8" s="40" t="s">
        <v>391</v>
      </c>
      <c r="G8" s="40" t="s">
        <v>390</v>
      </c>
      <c r="H8" s="75" t="s">
        <v>391</v>
      </c>
      <c r="I8" s="294" t="s">
        <v>392</v>
      </c>
      <c r="J8" s="76" t="s">
        <v>390</v>
      </c>
      <c r="K8" s="75" t="s">
        <v>391</v>
      </c>
      <c r="M8" s="304" t="s">
        <v>391</v>
      </c>
      <c r="N8" s="40" t="s">
        <v>390</v>
      </c>
      <c r="O8" s="40" t="s">
        <v>391</v>
      </c>
      <c r="P8" s="40" t="s">
        <v>390</v>
      </c>
      <c r="Q8" s="75" t="s">
        <v>391</v>
      </c>
      <c r="R8" s="294" t="s">
        <v>392</v>
      </c>
      <c r="S8" s="76" t="s">
        <v>390</v>
      </c>
      <c r="T8" s="75" t="s">
        <v>391</v>
      </c>
    </row>
    <row r="9" spans="2:22" x14ac:dyDescent="0.25">
      <c r="B9" s="14"/>
      <c r="C9" s="15" t="s">
        <v>403</v>
      </c>
      <c r="D9" s="48"/>
      <c r="E9" s="49"/>
      <c r="F9" s="179"/>
      <c r="G9" s="20"/>
      <c r="H9" s="49"/>
      <c r="I9" s="49"/>
      <c r="J9" s="16"/>
      <c r="K9" s="49"/>
      <c r="M9" s="48"/>
      <c r="N9" s="49"/>
      <c r="O9" s="179"/>
      <c r="P9" s="20"/>
      <c r="Q9" s="49"/>
      <c r="R9" s="49"/>
      <c r="S9" s="16"/>
      <c r="T9" s="49"/>
    </row>
    <row r="10" spans="2:22" x14ac:dyDescent="0.25">
      <c r="B10" s="14"/>
      <c r="C10" s="22" t="s">
        <v>404</v>
      </c>
      <c r="D10" s="92"/>
      <c r="E10" s="101"/>
      <c r="F10" s="92"/>
      <c r="G10" s="94"/>
      <c r="H10" s="80"/>
      <c r="I10" s="80"/>
      <c r="J10" s="19"/>
      <c r="K10" s="80"/>
      <c r="M10" s="92"/>
      <c r="N10" s="101"/>
      <c r="O10" s="92"/>
      <c r="P10" s="94"/>
      <c r="Q10" s="80"/>
      <c r="R10" s="80"/>
      <c r="S10" s="19"/>
      <c r="T10" s="80"/>
    </row>
    <row r="11" spans="2:22" x14ac:dyDescent="0.25">
      <c r="B11" s="14" t="s">
        <v>235</v>
      </c>
      <c r="C11" s="17" t="s">
        <v>405</v>
      </c>
      <c r="D11" s="36">
        <v>0</v>
      </c>
      <c r="E11" s="51">
        <f>+IFERROR(D11/Summary!D$19,"")</f>
        <v>0</v>
      </c>
      <c r="F11" s="36">
        <v>0</v>
      </c>
      <c r="G11" s="51">
        <f>+IFERROR(F11/Summary!F$19,"")</f>
        <v>0</v>
      </c>
      <c r="H11" s="144">
        <f>+D11-F11</f>
        <v>0</v>
      </c>
      <c r="I11" s="36">
        <v>0</v>
      </c>
      <c r="J11" s="51">
        <f>+IFERROR(I11/Summary!I$19,"")</f>
        <v>0</v>
      </c>
      <c r="K11" s="144">
        <f>+D11-I11</f>
        <v>0</v>
      </c>
      <c r="M11" s="36">
        <v>0</v>
      </c>
      <c r="N11" s="51">
        <f>+IFERROR(M11/Summary!M$19,"")</f>
        <v>0</v>
      </c>
      <c r="O11" s="36">
        <v>0</v>
      </c>
      <c r="P11" s="51">
        <f>+IFERROR(O11/Summary!O$19,"")</f>
        <v>0</v>
      </c>
      <c r="Q11" s="144">
        <f>+M11-O11</f>
        <v>0</v>
      </c>
      <c r="R11" s="36">
        <v>0</v>
      </c>
      <c r="S11" s="51">
        <f>+IFERROR(R11/Summary!R$19,"")</f>
        <v>0</v>
      </c>
      <c r="T11" s="144">
        <f>+M11-R11</f>
        <v>0</v>
      </c>
    </row>
    <row r="12" spans="2:22" x14ac:dyDescent="0.25">
      <c r="B12" s="14"/>
      <c r="C12" s="22" t="s">
        <v>406</v>
      </c>
      <c r="D12" s="244"/>
      <c r="E12" s="311"/>
      <c r="F12" s="178"/>
      <c r="G12" s="220"/>
      <c r="H12" s="196"/>
      <c r="I12" s="178"/>
      <c r="J12" s="220"/>
      <c r="K12" s="196"/>
      <c r="M12" s="244"/>
      <c r="N12" s="311"/>
      <c r="O12" s="178"/>
      <c r="P12" s="220"/>
      <c r="Q12" s="196"/>
      <c r="R12" s="178"/>
      <c r="S12" s="220"/>
      <c r="T12" s="196"/>
    </row>
    <row r="13" spans="2:22" x14ac:dyDescent="0.25">
      <c r="B13" s="14" t="s">
        <v>238</v>
      </c>
      <c r="C13" s="17" t="s">
        <v>448</v>
      </c>
      <c r="D13" s="36">
        <v>0</v>
      </c>
      <c r="E13" s="51">
        <f>+IFERROR(D13/Summary!D$19,"")</f>
        <v>0</v>
      </c>
      <c r="F13" s="36">
        <v>0</v>
      </c>
      <c r="G13" s="51">
        <f>+IFERROR(F13/Summary!F$19,"")</f>
        <v>0</v>
      </c>
      <c r="H13" s="144">
        <f t="shared" ref="H13:H22" si="0">+D13-F13</f>
        <v>0</v>
      </c>
      <c r="I13" s="36">
        <v>0</v>
      </c>
      <c r="J13" s="51">
        <f>+IFERROR(I13/Summary!I$19,"")</f>
        <v>0</v>
      </c>
      <c r="K13" s="144">
        <f t="shared" ref="K13:K22" si="1">+D13-I13</f>
        <v>0</v>
      </c>
      <c r="M13" s="36">
        <v>0</v>
      </c>
      <c r="N13" s="51">
        <f>+IFERROR(M13/Summary!M$19,"")</f>
        <v>0</v>
      </c>
      <c r="O13" s="36">
        <v>0</v>
      </c>
      <c r="P13" s="51">
        <f>+IFERROR(O13/Summary!O$19,"")</f>
        <v>0</v>
      </c>
      <c r="Q13" s="144">
        <f t="shared" ref="Q13:Q22" si="2">+M13-O13</f>
        <v>0</v>
      </c>
      <c r="R13" s="36">
        <v>0</v>
      </c>
      <c r="S13" s="51">
        <f>+IFERROR(R13/Summary!R$19,"")</f>
        <v>0</v>
      </c>
      <c r="T13" s="144">
        <f t="shared" ref="T13:T22" si="3">+M13-R13</f>
        <v>0</v>
      </c>
    </row>
    <row r="14" spans="2:22" x14ac:dyDescent="0.25">
      <c r="B14" s="14" t="s">
        <v>300</v>
      </c>
      <c r="C14" s="23" t="s">
        <v>409</v>
      </c>
      <c r="D14" s="103">
        <f t="shared" ref="D14:F14" si="4">+D11+D13</f>
        <v>0</v>
      </c>
      <c r="E14" s="104">
        <f>+IFERROR(D14/Summary!D$19,"")</f>
        <v>0</v>
      </c>
      <c r="F14" s="152">
        <f t="shared" si="4"/>
        <v>0</v>
      </c>
      <c r="G14" s="104">
        <f>+IFERROR(F14/Summary!F$19,"")</f>
        <v>0</v>
      </c>
      <c r="H14" s="154">
        <f t="shared" si="0"/>
        <v>0</v>
      </c>
      <c r="I14" s="152">
        <f t="shared" ref="I14" si="5">+I11+I13</f>
        <v>0</v>
      </c>
      <c r="J14" s="104">
        <f>+IFERROR(I14/Summary!I$19,"")</f>
        <v>0</v>
      </c>
      <c r="K14" s="154">
        <f t="shared" si="1"/>
        <v>0</v>
      </c>
      <c r="M14" s="103">
        <f t="shared" ref="M14" si="6">+M11+M13</f>
        <v>0</v>
      </c>
      <c r="N14" s="104">
        <f>+IFERROR(M14/Summary!M$19,"")</f>
        <v>0</v>
      </c>
      <c r="O14" s="152">
        <f t="shared" ref="O14" si="7">+O11+O13</f>
        <v>0</v>
      </c>
      <c r="P14" s="104">
        <f>+IFERROR(O14/Summary!O$19,"")</f>
        <v>0</v>
      </c>
      <c r="Q14" s="154">
        <f t="shared" si="2"/>
        <v>0</v>
      </c>
      <c r="R14" s="152">
        <f t="shared" ref="R14" si="8">+R11+R13</f>
        <v>0</v>
      </c>
      <c r="S14" s="104">
        <f>+IFERROR(R14/Summary!R$19,"")</f>
        <v>0</v>
      </c>
      <c r="T14" s="154">
        <f t="shared" si="3"/>
        <v>0</v>
      </c>
    </row>
    <row r="15" spans="2:22" x14ac:dyDescent="0.25">
      <c r="B15" s="14" t="s">
        <v>254</v>
      </c>
      <c r="C15" s="17" t="s">
        <v>410</v>
      </c>
      <c r="D15" s="208">
        <v>0</v>
      </c>
      <c r="E15" s="174">
        <f>+IFERROR(D15/Summary!D$19,"")</f>
        <v>0</v>
      </c>
      <c r="F15" s="208">
        <v>0</v>
      </c>
      <c r="G15" s="174">
        <f>+IFERROR(F15/Summary!F$19,"")</f>
        <v>0</v>
      </c>
      <c r="H15" s="167">
        <f t="shared" si="0"/>
        <v>0</v>
      </c>
      <c r="I15" s="36">
        <v>0</v>
      </c>
      <c r="J15" s="174">
        <f>+IFERROR(I15/Summary!I$19,"")</f>
        <v>0</v>
      </c>
      <c r="K15" s="167">
        <f t="shared" si="1"/>
        <v>0</v>
      </c>
      <c r="M15" s="208">
        <v>0</v>
      </c>
      <c r="N15" s="174">
        <f>+IFERROR(M15/Summary!M$19,"")</f>
        <v>0</v>
      </c>
      <c r="O15" s="208">
        <v>0</v>
      </c>
      <c r="P15" s="174">
        <f>+IFERROR(O15/Summary!O$19,"")</f>
        <v>0</v>
      </c>
      <c r="Q15" s="167">
        <f t="shared" si="2"/>
        <v>0</v>
      </c>
      <c r="R15" s="36">
        <v>0</v>
      </c>
      <c r="S15" s="174">
        <f>+IFERROR(R15/Summary!R$19,"")</f>
        <v>0</v>
      </c>
      <c r="T15" s="167">
        <f t="shared" si="3"/>
        <v>0</v>
      </c>
    </row>
    <row r="16" spans="2:22" x14ac:dyDescent="0.25">
      <c r="B16" s="14" t="s">
        <v>249</v>
      </c>
      <c r="C16" s="17" t="s">
        <v>411</v>
      </c>
      <c r="D16" s="209">
        <v>0</v>
      </c>
      <c r="E16" s="175">
        <f>+IFERROR(D16/Summary!D$19,"")</f>
        <v>0</v>
      </c>
      <c r="F16" s="209">
        <v>0</v>
      </c>
      <c r="G16" s="175">
        <f>+IFERROR(F16/Summary!F$19,"")</f>
        <v>0</v>
      </c>
      <c r="H16" s="153">
        <f t="shared" si="0"/>
        <v>0</v>
      </c>
      <c r="I16" s="36">
        <v>0</v>
      </c>
      <c r="J16" s="175">
        <f>+IFERROR(I16/Summary!I$19,"")</f>
        <v>0</v>
      </c>
      <c r="K16" s="153">
        <f t="shared" si="1"/>
        <v>0</v>
      </c>
      <c r="M16" s="209">
        <v>0</v>
      </c>
      <c r="N16" s="175">
        <f>+IFERROR(M16/Summary!M$19,"")</f>
        <v>0</v>
      </c>
      <c r="O16" s="209">
        <v>0</v>
      </c>
      <c r="P16" s="175">
        <f>+IFERROR(O16/Summary!O$19,"")</f>
        <v>0</v>
      </c>
      <c r="Q16" s="153">
        <f t="shared" si="2"/>
        <v>0</v>
      </c>
      <c r="R16" s="36">
        <v>0</v>
      </c>
      <c r="S16" s="175">
        <f>+IFERROR(R16/Summary!R$19,"")</f>
        <v>0</v>
      </c>
      <c r="T16" s="153">
        <f t="shared" si="3"/>
        <v>0</v>
      </c>
    </row>
    <row r="17" spans="2:20" x14ac:dyDescent="0.25">
      <c r="B17" s="14"/>
      <c r="C17" s="23" t="s">
        <v>412</v>
      </c>
      <c r="D17" s="103">
        <f t="shared" ref="D17" si="9">SUM(D14:D16)</f>
        <v>0</v>
      </c>
      <c r="E17" s="104">
        <f>+IFERROR(D17/Summary!D$19,"")</f>
        <v>0</v>
      </c>
      <c r="F17" s="103">
        <f t="shared" ref="F17" si="10">SUM(F14:F16)</f>
        <v>0</v>
      </c>
      <c r="G17" s="104">
        <f>+IFERROR(F17/Summary!F$19,"")</f>
        <v>0</v>
      </c>
      <c r="H17" s="154">
        <f t="shared" si="0"/>
        <v>0</v>
      </c>
      <c r="I17" s="103">
        <f t="shared" ref="I17" si="11">SUM(I14:I16)</f>
        <v>0</v>
      </c>
      <c r="J17" s="104">
        <f>+IFERROR(I17/Summary!I$19,"")</f>
        <v>0</v>
      </c>
      <c r="K17" s="154">
        <f t="shared" si="1"/>
        <v>0</v>
      </c>
      <c r="M17" s="103">
        <f t="shared" ref="M17" si="12">SUM(M14:M16)</f>
        <v>0</v>
      </c>
      <c r="N17" s="104">
        <f>+IFERROR(M17/Summary!M$19,"")</f>
        <v>0</v>
      </c>
      <c r="O17" s="103">
        <f t="shared" ref="O17" si="13">SUM(O14:O16)</f>
        <v>0</v>
      </c>
      <c r="P17" s="104">
        <f>+IFERROR(O17/Summary!O$19,"")</f>
        <v>0</v>
      </c>
      <c r="Q17" s="154">
        <f t="shared" si="2"/>
        <v>0</v>
      </c>
      <c r="R17" s="103">
        <f t="shared" ref="R17" si="14">SUM(R14:R16)</f>
        <v>0</v>
      </c>
      <c r="S17" s="104">
        <f>+IFERROR(R17/Summary!R$19,"")</f>
        <v>0</v>
      </c>
      <c r="T17" s="154">
        <f t="shared" si="3"/>
        <v>0</v>
      </c>
    </row>
    <row r="18" spans="2:20" x14ac:dyDescent="0.25">
      <c r="B18" s="14" t="s">
        <v>295</v>
      </c>
      <c r="C18" s="17" t="s">
        <v>413</v>
      </c>
      <c r="D18" s="106">
        <v>0</v>
      </c>
      <c r="E18" s="107">
        <f>+IFERROR(D18/Summary!D$19,"")</f>
        <v>0</v>
      </c>
      <c r="F18" s="106">
        <v>0</v>
      </c>
      <c r="G18" s="107">
        <f>+IFERROR(F18/Summary!F$19,"")</f>
        <v>0</v>
      </c>
      <c r="H18" s="153">
        <f t="shared" si="0"/>
        <v>0</v>
      </c>
      <c r="I18" s="36">
        <v>0</v>
      </c>
      <c r="J18" s="107">
        <f>+IFERROR(I18/Summary!I$19,"")</f>
        <v>0</v>
      </c>
      <c r="K18" s="153">
        <f t="shared" si="1"/>
        <v>0</v>
      </c>
      <c r="M18" s="106">
        <v>0</v>
      </c>
      <c r="N18" s="107">
        <f>+IFERROR(M18/Summary!M$19,"")</f>
        <v>0</v>
      </c>
      <c r="O18" s="106">
        <v>0</v>
      </c>
      <c r="P18" s="107">
        <f>+IFERROR(O18/Summary!O$19,"")</f>
        <v>0</v>
      </c>
      <c r="Q18" s="153">
        <f t="shared" si="2"/>
        <v>0</v>
      </c>
      <c r="R18" s="36">
        <v>0</v>
      </c>
      <c r="S18" s="107">
        <f>+IFERROR(R18/Summary!R$19,"")</f>
        <v>0</v>
      </c>
      <c r="T18" s="153">
        <f t="shared" si="3"/>
        <v>0</v>
      </c>
    </row>
    <row r="19" spans="2:20" x14ac:dyDescent="0.25">
      <c r="B19" s="14" t="s">
        <v>307</v>
      </c>
      <c r="C19" s="17" t="s">
        <v>359</v>
      </c>
      <c r="D19" s="36">
        <v>0</v>
      </c>
      <c r="E19" s="51">
        <f>+IFERROR(D19/Summary!D$19,"")</f>
        <v>0</v>
      </c>
      <c r="F19" s="36">
        <v>0</v>
      </c>
      <c r="G19" s="51">
        <f>+IFERROR(F19/Summary!F$19,"")</f>
        <v>0</v>
      </c>
      <c r="H19" s="144">
        <f t="shared" si="0"/>
        <v>0</v>
      </c>
      <c r="I19" s="36">
        <v>0</v>
      </c>
      <c r="J19" s="51">
        <f>+IFERROR(I19/Summary!I$19,"")</f>
        <v>0</v>
      </c>
      <c r="K19" s="144">
        <f t="shared" si="1"/>
        <v>0</v>
      </c>
      <c r="M19" s="36">
        <v>0</v>
      </c>
      <c r="N19" s="51">
        <f>+IFERROR(M19/Summary!M$19,"")</f>
        <v>0</v>
      </c>
      <c r="O19" s="36">
        <v>0</v>
      </c>
      <c r="P19" s="51">
        <f>+IFERROR(O19/Summary!O$19,"")</f>
        <v>0</v>
      </c>
      <c r="Q19" s="144">
        <f t="shared" si="2"/>
        <v>0</v>
      </c>
      <c r="R19" s="36">
        <v>0</v>
      </c>
      <c r="S19" s="51">
        <f>+IFERROR(R19/Summary!R$19,"")</f>
        <v>0</v>
      </c>
      <c r="T19" s="144">
        <f t="shared" si="3"/>
        <v>0</v>
      </c>
    </row>
    <row r="20" spans="2:20" x14ac:dyDescent="0.25">
      <c r="B20" s="14" t="s">
        <v>267</v>
      </c>
      <c r="C20" s="17" t="s">
        <v>360</v>
      </c>
      <c r="D20" s="106">
        <v>0</v>
      </c>
      <c r="E20" s="107">
        <f>+IFERROR(D20/Summary!D$19,"")</f>
        <v>0</v>
      </c>
      <c r="F20" s="106">
        <v>0</v>
      </c>
      <c r="G20" s="107">
        <f>+IFERROR(F20/Summary!F$19,"")</f>
        <v>0</v>
      </c>
      <c r="H20" s="153">
        <f t="shared" si="0"/>
        <v>0</v>
      </c>
      <c r="I20" s="36">
        <v>0</v>
      </c>
      <c r="J20" s="107">
        <f>+IFERROR(I20/Summary!I$19,"")</f>
        <v>0</v>
      </c>
      <c r="K20" s="153">
        <f t="shared" si="1"/>
        <v>0</v>
      </c>
      <c r="M20" s="106">
        <v>0</v>
      </c>
      <c r="N20" s="107">
        <f>+IFERROR(M20/Summary!M$19,"")</f>
        <v>0</v>
      </c>
      <c r="O20" s="106">
        <v>0</v>
      </c>
      <c r="P20" s="107">
        <f>+IFERROR(O20/Summary!O$19,"")</f>
        <v>0</v>
      </c>
      <c r="Q20" s="153">
        <f t="shared" si="2"/>
        <v>0</v>
      </c>
      <c r="R20" s="36">
        <v>0</v>
      </c>
      <c r="S20" s="107">
        <f>+IFERROR(R20/Summary!R$19,"")</f>
        <v>0</v>
      </c>
      <c r="T20" s="153">
        <f t="shared" si="3"/>
        <v>0</v>
      </c>
    </row>
    <row r="21" spans="2:20" x14ac:dyDescent="0.25">
      <c r="B21" s="14" t="s">
        <v>289</v>
      </c>
      <c r="C21" s="23" t="s">
        <v>414</v>
      </c>
      <c r="D21" s="142">
        <f t="shared" ref="D21:F21" si="15">SUM(D18:D20)</f>
        <v>0</v>
      </c>
      <c r="E21" s="125">
        <f>+IFERROR(D21/Summary!D$19,"")</f>
        <v>0</v>
      </c>
      <c r="F21" s="133">
        <f t="shared" si="15"/>
        <v>0</v>
      </c>
      <c r="G21" s="125">
        <f>+IFERROR(F21/Summary!F$19,"")</f>
        <v>0</v>
      </c>
      <c r="H21" s="168">
        <f t="shared" si="0"/>
        <v>0</v>
      </c>
      <c r="I21" s="133">
        <f t="shared" ref="I21" si="16">SUM(I18:I20)</f>
        <v>0</v>
      </c>
      <c r="J21" s="125">
        <f>+IFERROR(I21/Summary!I$19,"")</f>
        <v>0</v>
      </c>
      <c r="K21" s="168">
        <f t="shared" si="1"/>
        <v>0</v>
      </c>
      <c r="M21" s="142">
        <f t="shared" ref="M21" si="17">SUM(M18:M20)</f>
        <v>0</v>
      </c>
      <c r="N21" s="125">
        <f>+IFERROR(M21/Summary!M$19,"")</f>
        <v>0</v>
      </c>
      <c r="O21" s="133">
        <f t="shared" ref="O21" si="18">SUM(O18:O20)</f>
        <v>0</v>
      </c>
      <c r="P21" s="125">
        <f>+IFERROR(O21/Summary!O$19,"")</f>
        <v>0</v>
      </c>
      <c r="Q21" s="168">
        <f t="shared" si="2"/>
        <v>0</v>
      </c>
      <c r="R21" s="133">
        <f t="shared" ref="R21" si="19">SUM(R18:R20)</f>
        <v>0</v>
      </c>
      <c r="S21" s="125">
        <f>+IFERROR(R21/Summary!R$19,"")</f>
        <v>0</v>
      </c>
      <c r="T21" s="168">
        <f t="shared" si="3"/>
        <v>0</v>
      </c>
    </row>
    <row r="22" spans="2:20" x14ac:dyDescent="0.25">
      <c r="B22" s="14" t="s">
        <v>274</v>
      </c>
      <c r="C22" s="23" t="s">
        <v>415</v>
      </c>
      <c r="D22" s="91">
        <f t="shared" ref="D22:F22" si="20">+D17+D21</f>
        <v>0</v>
      </c>
      <c r="E22" s="126">
        <f>+IFERROR(D22/Summary!D$19,"")</f>
        <v>0</v>
      </c>
      <c r="F22" s="86">
        <f t="shared" si="20"/>
        <v>0</v>
      </c>
      <c r="G22" s="126">
        <f>+IFERROR(F22/Summary!F$19,"")</f>
        <v>0</v>
      </c>
      <c r="H22" s="168">
        <f t="shared" si="0"/>
        <v>0</v>
      </c>
      <c r="I22" s="86">
        <f t="shared" ref="I22" si="21">+I17+I21</f>
        <v>0</v>
      </c>
      <c r="J22" s="126">
        <f>+IFERROR(I22/Summary!I$19,"")</f>
        <v>0</v>
      </c>
      <c r="K22" s="168">
        <f t="shared" si="1"/>
        <v>0</v>
      </c>
      <c r="M22" s="91">
        <f t="shared" ref="M22" si="22">+M17+M21</f>
        <v>0</v>
      </c>
      <c r="N22" s="126">
        <f>+IFERROR(M22/Summary!M$19,"")</f>
        <v>0</v>
      </c>
      <c r="O22" s="86">
        <f t="shared" ref="O22" si="23">+O17+O21</f>
        <v>0</v>
      </c>
      <c r="P22" s="126">
        <f>+IFERROR(O22/Summary!O$19,"")</f>
        <v>0</v>
      </c>
      <c r="Q22" s="168">
        <f t="shared" si="2"/>
        <v>0</v>
      </c>
      <c r="R22" s="86">
        <f t="shared" ref="R22" si="24">+R17+R21</f>
        <v>0</v>
      </c>
      <c r="S22" s="126">
        <f>+IFERROR(R22/Summary!R$19,"")</f>
        <v>0</v>
      </c>
      <c r="T22" s="168">
        <f t="shared" si="3"/>
        <v>0</v>
      </c>
    </row>
    <row r="23" spans="2:20" x14ac:dyDescent="0.25">
      <c r="B23" s="14"/>
      <c r="C23" s="18"/>
      <c r="D23" s="48"/>
      <c r="E23" s="176"/>
      <c r="F23" s="48"/>
      <c r="G23" s="16"/>
      <c r="H23" s="49"/>
      <c r="I23" s="48"/>
      <c r="J23" s="16"/>
      <c r="K23" s="49"/>
      <c r="M23" s="48"/>
      <c r="N23" s="176"/>
      <c r="O23" s="48"/>
      <c r="P23" s="16"/>
      <c r="Q23" s="49"/>
      <c r="R23" s="48"/>
      <c r="S23" s="16"/>
      <c r="T23" s="49"/>
    </row>
    <row r="24" spans="2:20" x14ac:dyDescent="0.25">
      <c r="B24" s="14"/>
      <c r="C24" s="15" t="s">
        <v>468</v>
      </c>
      <c r="D24" s="48"/>
      <c r="E24" s="214"/>
      <c r="F24" s="48"/>
      <c r="G24" s="16"/>
      <c r="H24" s="49"/>
      <c r="I24" s="48"/>
      <c r="J24" s="16"/>
      <c r="K24" s="49"/>
      <c r="M24" s="48"/>
      <c r="N24" s="214"/>
      <c r="O24" s="48"/>
      <c r="P24" s="16"/>
      <c r="Q24" s="49"/>
      <c r="R24" s="48"/>
      <c r="S24" s="16"/>
      <c r="T24" s="49"/>
    </row>
    <row r="25" spans="2:20" x14ac:dyDescent="0.25">
      <c r="B25" s="14" t="s">
        <v>93</v>
      </c>
      <c r="C25" s="17" t="s">
        <v>469</v>
      </c>
      <c r="D25" s="36">
        <v>762.57</v>
      </c>
      <c r="E25" s="51">
        <f>+IFERROR(D25/Summary!D$19,"")</f>
        <v>5.0540870223953393E-4</v>
      </c>
      <c r="F25" s="36">
        <v>657</v>
      </c>
      <c r="G25" s="51">
        <f>+IFERROR(F25/Summary!F$19,"")</f>
        <v>4.3256325376739378E-4</v>
      </c>
      <c r="H25" s="137">
        <f t="shared" ref="H25:H30" si="25">+D25-F25</f>
        <v>105.57000000000005</v>
      </c>
      <c r="I25" s="36">
        <v>604.19000000000005</v>
      </c>
      <c r="J25" s="51">
        <f>+IFERROR(I25/Summary!I$19,"")</f>
        <v>4.5792607592618834E-4</v>
      </c>
      <c r="K25" s="137">
        <f t="shared" ref="K25:K30" si="26">+D25-I25</f>
        <v>158.38</v>
      </c>
      <c r="M25" s="36">
        <v>2495.94</v>
      </c>
      <c r="N25" s="51">
        <f>+IFERROR(M25/Summary!M$19,"")</f>
        <v>3.9685841299950009E-4</v>
      </c>
      <c r="O25" s="36">
        <v>2628</v>
      </c>
      <c r="P25" s="51">
        <f>+IFERROR(O25/Summary!O$19,"")</f>
        <v>3.8850266973180489E-4</v>
      </c>
      <c r="Q25" s="137">
        <f t="shared" ref="Q25:Q30" si="27">+M25-O25</f>
        <v>-132.05999999999995</v>
      </c>
      <c r="R25" s="36">
        <v>2643.82</v>
      </c>
      <c r="S25" s="51">
        <f>+IFERROR(R25/Summary!R$19,"")</f>
        <v>4.5080958312501441E-4</v>
      </c>
      <c r="T25" s="137">
        <f t="shared" ref="T25:T30" si="28">+M25-R25</f>
        <v>-147.88000000000011</v>
      </c>
    </row>
    <row r="26" spans="2:20" x14ac:dyDescent="0.25">
      <c r="B26" s="14" t="s">
        <v>95</v>
      </c>
      <c r="C26" s="17" t="s">
        <v>470</v>
      </c>
      <c r="D26" s="36">
        <v>4146.0200000000004</v>
      </c>
      <c r="E26" s="51">
        <f>+IFERROR(D26/Summary!D$19,"")</f>
        <v>2.7478586721994733E-3</v>
      </c>
      <c r="F26" s="36">
        <v>4027</v>
      </c>
      <c r="G26" s="51">
        <f>+IFERROR(F26/Summary!F$19,"")</f>
        <v>2.6513428050552431E-3</v>
      </c>
      <c r="H26" s="137">
        <f t="shared" si="25"/>
        <v>119.02000000000044</v>
      </c>
      <c r="I26" s="36">
        <v>3493.16</v>
      </c>
      <c r="J26" s="51">
        <f>+IFERROR(I26/Summary!I$19,"")</f>
        <v>2.6475265254014861E-3</v>
      </c>
      <c r="K26" s="137">
        <f t="shared" si="26"/>
        <v>652.86000000000058</v>
      </c>
      <c r="M26" s="36">
        <v>17388.759999999998</v>
      </c>
      <c r="N26" s="51">
        <f>+IFERROR(M26/Summary!M$19,"")</f>
        <v>2.764840379828516E-3</v>
      </c>
      <c r="O26" s="36">
        <v>16108</v>
      </c>
      <c r="P26" s="51">
        <f>+IFERROR(O26/Summary!O$19,"")</f>
        <v>2.3812789208675468E-3</v>
      </c>
      <c r="Q26" s="137">
        <f t="shared" si="27"/>
        <v>1280.7599999999984</v>
      </c>
      <c r="R26" s="36">
        <v>14431.72</v>
      </c>
      <c r="S26" s="51">
        <f>+IFERROR(R26/Summary!R$19,"")</f>
        <v>2.4608171800564833E-3</v>
      </c>
      <c r="T26" s="137">
        <f t="shared" si="28"/>
        <v>2957.0399999999991</v>
      </c>
    </row>
    <row r="27" spans="2:20" x14ac:dyDescent="0.25">
      <c r="B27" s="14" t="s">
        <v>96</v>
      </c>
      <c r="C27" s="17" t="s">
        <v>471</v>
      </c>
      <c r="D27" s="36">
        <v>0</v>
      </c>
      <c r="E27" s="51">
        <f>+IFERROR(D27/Summary!D$19,"")</f>
        <v>0</v>
      </c>
      <c r="F27" s="36">
        <v>0</v>
      </c>
      <c r="G27" s="51">
        <f>+IFERROR(F27/Summary!F$19,"")</f>
        <v>0</v>
      </c>
      <c r="H27" s="137">
        <f t="shared" si="25"/>
        <v>0</v>
      </c>
      <c r="I27" s="36">
        <v>0</v>
      </c>
      <c r="J27" s="51">
        <f>+IFERROR(I27/Summary!I$19,"")</f>
        <v>0</v>
      </c>
      <c r="K27" s="137">
        <f t="shared" si="26"/>
        <v>0</v>
      </c>
      <c r="M27" s="36">
        <v>0</v>
      </c>
      <c r="N27" s="51">
        <f>+IFERROR(M27/Summary!M$19,"")</f>
        <v>0</v>
      </c>
      <c r="O27" s="36">
        <v>0</v>
      </c>
      <c r="P27" s="51">
        <f>+IFERROR(O27/Summary!O$19,"")</f>
        <v>0</v>
      </c>
      <c r="Q27" s="137">
        <f t="shared" si="27"/>
        <v>0</v>
      </c>
      <c r="R27" s="36">
        <v>0</v>
      </c>
      <c r="S27" s="51">
        <f>+IFERROR(R27/Summary!R$19,"")</f>
        <v>0</v>
      </c>
      <c r="T27" s="137">
        <f t="shared" si="28"/>
        <v>0</v>
      </c>
    </row>
    <row r="28" spans="2:20" x14ac:dyDescent="0.25">
      <c r="B28" s="14" t="s">
        <v>97</v>
      </c>
      <c r="C28" s="17" t="s">
        <v>472</v>
      </c>
      <c r="D28" s="36">
        <v>0</v>
      </c>
      <c r="E28" s="51">
        <f>+IFERROR(D28/Summary!D$19,"")</f>
        <v>0</v>
      </c>
      <c r="F28" s="36">
        <v>0</v>
      </c>
      <c r="G28" s="51">
        <f>+IFERROR(F28/Summary!F$19,"")</f>
        <v>0</v>
      </c>
      <c r="H28" s="137">
        <f t="shared" si="25"/>
        <v>0</v>
      </c>
      <c r="I28" s="36">
        <v>0</v>
      </c>
      <c r="J28" s="51">
        <f>+IFERROR(I28/Summary!I$19,"")</f>
        <v>0</v>
      </c>
      <c r="K28" s="137">
        <f t="shared" si="26"/>
        <v>0</v>
      </c>
      <c r="M28" s="36">
        <v>0</v>
      </c>
      <c r="N28" s="51">
        <f>+IFERROR(M28/Summary!M$19,"")</f>
        <v>0</v>
      </c>
      <c r="O28" s="36">
        <v>0</v>
      </c>
      <c r="P28" s="51">
        <f>+IFERROR(O28/Summary!O$19,"")</f>
        <v>0</v>
      </c>
      <c r="Q28" s="137">
        <f t="shared" si="27"/>
        <v>0</v>
      </c>
      <c r="R28" s="36">
        <v>0</v>
      </c>
      <c r="S28" s="51">
        <f>+IFERROR(R28/Summary!R$19,"")</f>
        <v>0</v>
      </c>
      <c r="T28" s="137">
        <f t="shared" si="28"/>
        <v>0</v>
      </c>
    </row>
    <row r="29" spans="2:20" x14ac:dyDescent="0.25">
      <c r="B29" s="14" t="s">
        <v>198</v>
      </c>
      <c r="C29" s="17" t="s">
        <v>473</v>
      </c>
      <c r="D29" s="90">
        <v>0</v>
      </c>
      <c r="E29" s="127">
        <f>+IFERROR(D29/Summary!D$19,"")</f>
        <v>0</v>
      </c>
      <c r="F29" s="90">
        <v>0</v>
      </c>
      <c r="G29" s="156">
        <f>+IFERROR(F29/Summary!F$19,"")</f>
        <v>0</v>
      </c>
      <c r="H29" s="141">
        <f t="shared" si="25"/>
        <v>0</v>
      </c>
      <c r="I29" s="36">
        <v>0</v>
      </c>
      <c r="J29" s="156">
        <f>+IFERROR(I29/Summary!I$19,"")</f>
        <v>0</v>
      </c>
      <c r="K29" s="141">
        <f t="shared" si="26"/>
        <v>0</v>
      </c>
      <c r="M29" s="90">
        <v>0</v>
      </c>
      <c r="N29" s="127">
        <f>+IFERROR(M29/Summary!M$19,"")</f>
        <v>0</v>
      </c>
      <c r="O29" s="90">
        <v>0</v>
      </c>
      <c r="P29" s="156">
        <f>+IFERROR(O29/Summary!O$19,"")</f>
        <v>0</v>
      </c>
      <c r="Q29" s="141">
        <f t="shared" si="27"/>
        <v>0</v>
      </c>
      <c r="R29" s="36">
        <v>0</v>
      </c>
      <c r="S29" s="156">
        <f>+IFERROR(R29/Summary!R$19,"")</f>
        <v>0</v>
      </c>
      <c r="T29" s="141">
        <f t="shared" si="28"/>
        <v>0</v>
      </c>
    </row>
    <row r="30" spans="2:20" x14ac:dyDescent="0.25">
      <c r="B30" s="14" t="s">
        <v>99</v>
      </c>
      <c r="C30" s="18" t="s">
        <v>474</v>
      </c>
      <c r="D30" s="91">
        <f t="shared" ref="D30:F30" si="29">SUM(D25:D29)</f>
        <v>4908.59</v>
      </c>
      <c r="E30" s="126">
        <f>+IFERROR(D30/Summary!D$19,"")</f>
        <v>3.2532673744390069E-3</v>
      </c>
      <c r="F30" s="84">
        <f t="shared" si="29"/>
        <v>4684</v>
      </c>
      <c r="G30" s="83">
        <f>+IFERROR(F30/Summary!F$19,"")</f>
        <v>3.0839060588226368E-3</v>
      </c>
      <c r="H30" s="140">
        <f t="shared" si="25"/>
        <v>224.59000000000015</v>
      </c>
      <c r="I30" s="84">
        <f t="shared" ref="I30" si="30">SUM(I25:I29)</f>
        <v>4097.3500000000004</v>
      </c>
      <c r="J30" s="83">
        <f>+IFERROR(I30/Summary!I$19,"")</f>
        <v>3.1054526013276746E-3</v>
      </c>
      <c r="K30" s="140">
        <f t="shared" si="26"/>
        <v>811.23999999999978</v>
      </c>
      <c r="M30" s="91">
        <f t="shared" ref="M30" si="31">SUM(M25:M29)</f>
        <v>19884.699999999997</v>
      </c>
      <c r="N30" s="126">
        <f>+IFERROR(M30/Summary!M$19,"")</f>
        <v>3.161698792828016E-3</v>
      </c>
      <c r="O30" s="84">
        <f t="shared" ref="O30" si="32">SUM(O25:O29)</f>
        <v>18736</v>
      </c>
      <c r="P30" s="83">
        <f>+IFERROR(O30/Summary!O$19,"")</f>
        <v>2.7697815905993518E-3</v>
      </c>
      <c r="Q30" s="140">
        <f t="shared" si="27"/>
        <v>1148.6999999999971</v>
      </c>
      <c r="R30" s="84">
        <f t="shared" ref="R30" si="33">SUM(R25:R29)</f>
        <v>17075.54</v>
      </c>
      <c r="S30" s="83">
        <f>+IFERROR(R30/Summary!R$19,"")</f>
        <v>2.9116267631814981E-3</v>
      </c>
      <c r="T30" s="140">
        <f t="shared" si="28"/>
        <v>2809.1599999999962</v>
      </c>
    </row>
    <row r="31" spans="2:20" x14ac:dyDescent="0.25">
      <c r="D31" s="244"/>
      <c r="E31" s="211"/>
      <c r="F31" s="177"/>
      <c r="G31" s="276"/>
      <c r="H31" s="211"/>
      <c r="I31" s="276"/>
      <c r="J31" s="276"/>
      <c r="K31" s="211"/>
      <c r="M31" s="244"/>
      <c r="N31" s="211"/>
      <c r="O31" s="177"/>
      <c r="P31" s="276"/>
      <c r="Q31" s="211"/>
      <c r="R31" s="276"/>
      <c r="S31" s="276"/>
      <c r="T31" s="211"/>
    </row>
    <row r="32" spans="2:20" x14ac:dyDescent="0.25">
      <c r="B32" s="14"/>
      <c r="C32" s="15" t="s">
        <v>475</v>
      </c>
      <c r="D32" s="48"/>
      <c r="E32" s="53"/>
      <c r="F32" s="48"/>
      <c r="G32" s="32"/>
      <c r="H32" s="49"/>
      <c r="I32" s="48"/>
      <c r="J32" s="32"/>
      <c r="K32" s="49"/>
      <c r="M32" s="48"/>
      <c r="N32" s="53"/>
      <c r="O32" s="48"/>
      <c r="P32" s="32"/>
      <c r="Q32" s="49"/>
      <c r="R32" s="48"/>
      <c r="S32" s="32"/>
      <c r="T32" s="49"/>
    </row>
    <row r="33" spans="2:20" x14ac:dyDescent="0.25">
      <c r="B33" s="14" t="s">
        <v>49</v>
      </c>
      <c r="C33" s="17" t="s">
        <v>476</v>
      </c>
      <c r="D33" s="36">
        <v>475</v>
      </c>
      <c r="E33" s="51">
        <f>+IFERROR(D33/Summary!D$19,"")</f>
        <v>3.1481586420102885E-4</v>
      </c>
      <c r="F33" s="36">
        <v>460</v>
      </c>
      <c r="G33" s="51">
        <f>+IFERROR(F33/Summary!F$19,"")</f>
        <v>3.0286011679300019E-4</v>
      </c>
      <c r="H33" s="137">
        <f t="shared" ref="H33:H49" si="34">+D33-F33</f>
        <v>15</v>
      </c>
      <c r="I33" s="36">
        <v>255</v>
      </c>
      <c r="J33" s="51">
        <f>+IFERROR(I33/Summary!I$19,"")</f>
        <v>1.9326892097051924E-4</v>
      </c>
      <c r="K33" s="137">
        <f t="shared" ref="K33:K49" si="35">+D33-I33</f>
        <v>220</v>
      </c>
      <c r="M33" s="36">
        <v>2175</v>
      </c>
      <c r="N33" s="51">
        <f>+IFERROR(M33/Summary!M$19,"")</f>
        <v>3.45828444703764E-4</v>
      </c>
      <c r="O33" s="36">
        <v>1840</v>
      </c>
      <c r="P33" s="51">
        <f>+IFERROR(O33/Summary!O$19,"")</f>
        <v>2.7201100163870659E-4</v>
      </c>
      <c r="Q33" s="137">
        <f t="shared" ref="Q33:Q49" si="36">+M33-O33</f>
        <v>335</v>
      </c>
      <c r="R33" s="36">
        <v>1020</v>
      </c>
      <c r="S33" s="51">
        <f>+IFERROR(R33/Summary!R$19,"")</f>
        <v>1.7392476597783308E-4</v>
      </c>
      <c r="T33" s="137">
        <f t="shared" ref="T33:T49" si="37">+M33-R33</f>
        <v>1155</v>
      </c>
    </row>
    <row r="34" spans="2:20" x14ac:dyDescent="0.25">
      <c r="B34" s="14" t="s">
        <v>66</v>
      </c>
      <c r="C34" s="17" t="s">
        <v>466</v>
      </c>
      <c r="D34" s="36">
        <v>0</v>
      </c>
      <c r="E34" s="51">
        <f>+IFERROR(D34/Summary!D$19,"")</f>
        <v>0</v>
      </c>
      <c r="F34" s="36">
        <v>0</v>
      </c>
      <c r="G34" s="51">
        <f>+IFERROR(F34/Summary!F$19,"")</f>
        <v>0</v>
      </c>
      <c r="H34" s="137">
        <f t="shared" si="34"/>
        <v>0</v>
      </c>
      <c r="I34" s="36">
        <v>0</v>
      </c>
      <c r="J34" s="51">
        <f>+IFERROR(I34/Summary!I$19,"")</f>
        <v>0</v>
      </c>
      <c r="K34" s="137">
        <f t="shared" si="35"/>
        <v>0</v>
      </c>
      <c r="M34" s="36">
        <v>0</v>
      </c>
      <c r="N34" s="51">
        <f>+IFERROR(M34/Summary!M$19,"")</f>
        <v>0</v>
      </c>
      <c r="O34" s="36">
        <v>0</v>
      </c>
      <c r="P34" s="51">
        <f>+IFERROR(O34/Summary!O$19,"")</f>
        <v>0</v>
      </c>
      <c r="Q34" s="137">
        <f t="shared" si="36"/>
        <v>0</v>
      </c>
      <c r="R34" s="36">
        <v>0</v>
      </c>
      <c r="S34" s="51">
        <f>+IFERROR(R34/Summary!R$19,"")</f>
        <v>0</v>
      </c>
      <c r="T34" s="137">
        <f t="shared" si="37"/>
        <v>0</v>
      </c>
    </row>
    <row r="35" spans="2:20" x14ac:dyDescent="0.25">
      <c r="B35" s="14" t="s">
        <v>115</v>
      </c>
      <c r="C35" s="17" t="s">
        <v>478</v>
      </c>
      <c r="D35" s="36">
        <v>0</v>
      </c>
      <c r="E35" s="51">
        <f>+IFERROR(D35/Summary!D$19,"")</f>
        <v>0</v>
      </c>
      <c r="F35" s="36">
        <v>0</v>
      </c>
      <c r="G35" s="51">
        <f>+IFERROR(F35/Summary!F$19,"")</f>
        <v>0</v>
      </c>
      <c r="H35" s="137">
        <f t="shared" si="34"/>
        <v>0</v>
      </c>
      <c r="I35" s="36">
        <v>0</v>
      </c>
      <c r="J35" s="51">
        <f>+IFERROR(I35/Summary!I$19,"")</f>
        <v>0</v>
      </c>
      <c r="K35" s="137">
        <f t="shared" si="35"/>
        <v>0</v>
      </c>
      <c r="M35" s="36">
        <v>0</v>
      </c>
      <c r="N35" s="51">
        <f>+IFERROR(M35/Summary!M$19,"")</f>
        <v>0</v>
      </c>
      <c r="O35" s="36">
        <v>0</v>
      </c>
      <c r="P35" s="51">
        <f>+IFERROR(O35/Summary!O$19,"")</f>
        <v>0</v>
      </c>
      <c r="Q35" s="137">
        <f t="shared" si="36"/>
        <v>0</v>
      </c>
      <c r="R35" s="36">
        <v>0</v>
      </c>
      <c r="S35" s="51">
        <f>+IFERROR(R35/Summary!R$19,"")</f>
        <v>0</v>
      </c>
      <c r="T35" s="137">
        <f t="shared" si="37"/>
        <v>0</v>
      </c>
    </row>
    <row r="36" spans="2:20" x14ac:dyDescent="0.25">
      <c r="B36" s="14" t="s">
        <v>128</v>
      </c>
      <c r="C36" s="17" t="s">
        <v>380</v>
      </c>
      <c r="D36" s="36">
        <v>0</v>
      </c>
      <c r="E36" s="51">
        <f>+IFERROR(D36/Summary!D$19,"")</f>
        <v>0</v>
      </c>
      <c r="F36" s="36">
        <v>0</v>
      </c>
      <c r="G36" s="51">
        <f>+IFERROR(F36/Summary!F$19,"")</f>
        <v>0</v>
      </c>
      <c r="H36" s="137">
        <f t="shared" si="34"/>
        <v>0</v>
      </c>
      <c r="I36" s="36">
        <v>0</v>
      </c>
      <c r="J36" s="51">
        <f>+IFERROR(I36/Summary!I$19,"")</f>
        <v>0</v>
      </c>
      <c r="K36" s="137">
        <f t="shared" si="35"/>
        <v>0</v>
      </c>
      <c r="M36" s="36">
        <v>0</v>
      </c>
      <c r="N36" s="51">
        <f>+IFERROR(M36/Summary!M$19,"")</f>
        <v>0</v>
      </c>
      <c r="O36" s="36">
        <v>0</v>
      </c>
      <c r="P36" s="51">
        <f>+IFERROR(O36/Summary!O$19,"")</f>
        <v>0</v>
      </c>
      <c r="Q36" s="137">
        <f t="shared" si="36"/>
        <v>0</v>
      </c>
      <c r="R36" s="36">
        <v>168.53</v>
      </c>
      <c r="S36" s="51">
        <f>+IFERROR(R36/Summary!R$19,"")</f>
        <v>2.8736804715925695E-5</v>
      </c>
      <c r="T36" s="137">
        <f t="shared" si="37"/>
        <v>-168.53</v>
      </c>
    </row>
    <row r="37" spans="2:20" x14ac:dyDescent="0.25">
      <c r="B37" s="14" t="s">
        <v>136</v>
      </c>
      <c r="C37" s="17" t="s">
        <v>479</v>
      </c>
      <c r="D37" s="36">
        <v>0</v>
      </c>
      <c r="E37" s="51">
        <f>+IFERROR(D37/Summary!D$19,"")</f>
        <v>0</v>
      </c>
      <c r="F37" s="36">
        <v>0</v>
      </c>
      <c r="G37" s="51">
        <f>+IFERROR(F37/Summary!F$19,"")</f>
        <v>0</v>
      </c>
      <c r="H37" s="137">
        <f t="shared" si="34"/>
        <v>0</v>
      </c>
      <c r="I37" s="36">
        <v>0</v>
      </c>
      <c r="J37" s="51">
        <f>+IFERROR(I37/Summary!I$19,"")</f>
        <v>0</v>
      </c>
      <c r="K37" s="137">
        <f t="shared" si="35"/>
        <v>0</v>
      </c>
      <c r="M37" s="36">
        <v>0</v>
      </c>
      <c r="N37" s="51">
        <f>+IFERROR(M37/Summary!M$19,"")</f>
        <v>0</v>
      </c>
      <c r="O37" s="36">
        <v>0</v>
      </c>
      <c r="P37" s="51">
        <f>+IFERROR(O37/Summary!O$19,"")</f>
        <v>0</v>
      </c>
      <c r="Q37" s="137">
        <f t="shared" si="36"/>
        <v>0</v>
      </c>
      <c r="R37" s="36">
        <v>0</v>
      </c>
      <c r="S37" s="51">
        <f>+IFERROR(R37/Summary!R$19,"")</f>
        <v>0</v>
      </c>
      <c r="T37" s="137">
        <f t="shared" si="37"/>
        <v>0</v>
      </c>
    </row>
    <row r="38" spans="2:20" x14ac:dyDescent="0.25">
      <c r="B38" s="14" t="s">
        <v>148</v>
      </c>
      <c r="C38" s="17" t="s">
        <v>480</v>
      </c>
      <c r="D38" s="36">
        <v>277.5</v>
      </c>
      <c r="E38" s="51">
        <f>+IFERROR(D38/Summary!D$19,"")</f>
        <v>1.8391874171744317E-4</v>
      </c>
      <c r="F38" s="36">
        <v>0</v>
      </c>
      <c r="G38" s="51">
        <f>+IFERROR(F38/Summary!F$19,"")</f>
        <v>0</v>
      </c>
      <c r="H38" s="137">
        <f t="shared" si="34"/>
        <v>277.5</v>
      </c>
      <c r="I38" s="36">
        <v>0</v>
      </c>
      <c r="J38" s="51">
        <f>+IFERROR(I38/Summary!I$19,"")</f>
        <v>0</v>
      </c>
      <c r="K38" s="137">
        <f t="shared" si="35"/>
        <v>277.5</v>
      </c>
      <c r="M38" s="36">
        <v>2124</v>
      </c>
      <c r="N38" s="51">
        <f>+IFERROR(M38/Summary!M$19,"")</f>
        <v>3.3771936393139988E-4</v>
      </c>
      <c r="O38" s="36">
        <v>1600</v>
      </c>
      <c r="P38" s="51">
        <f>+IFERROR(O38/Summary!O$19,"")</f>
        <v>2.3653130577278836E-4</v>
      </c>
      <c r="Q38" s="137">
        <f t="shared" si="36"/>
        <v>524</v>
      </c>
      <c r="R38" s="36">
        <v>1639.2</v>
      </c>
      <c r="S38" s="51">
        <f>+IFERROR(R38/Summary!R$19,"")</f>
        <v>2.7950732979496469E-4</v>
      </c>
      <c r="T38" s="137">
        <f t="shared" si="37"/>
        <v>484.79999999999995</v>
      </c>
    </row>
    <row r="39" spans="2:20" x14ac:dyDescent="0.25">
      <c r="B39" s="14" t="s">
        <v>149</v>
      </c>
      <c r="C39" s="17" t="s">
        <v>55</v>
      </c>
      <c r="D39" s="36">
        <v>0</v>
      </c>
      <c r="E39" s="51">
        <f>+IFERROR(D39/Summary!D$19,"")</f>
        <v>0</v>
      </c>
      <c r="F39" s="36">
        <v>0</v>
      </c>
      <c r="G39" s="51">
        <f>+IFERROR(F39/Summary!F$19,"")</f>
        <v>0</v>
      </c>
      <c r="H39" s="137">
        <f t="shared" si="34"/>
        <v>0</v>
      </c>
      <c r="I39" s="36">
        <v>0</v>
      </c>
      <c r="J39" s="51">
        <f>+IFERROR(I39/Summary!I$19,"")</f>
        <v>0</v>
      </c>
      <c r="K39" s="137">
        <f t="shared" si="35"/>
        <v>0</v>
      </c>
      <c r="M39" s="36">
        <v>0</v>
      </c>
      <c r="N39" s="51">
        <f>+IFERROR(M39/Summary!M$19,"")</f>
        <v>0</v>
      </c>
      <c r="O39" s="36">
        <v>0</v>
      </c>
      <c r="P39" s="51">
        <f>+IFERROR(O39/Summary!O$19,"")</f>
        <v>0</v>
      </c>
      <c r="Q39" s="137">
        <f t="shared" si="36"/>
        <v>0</v>
      </c>
      <c r="R39" s="36">
        <v>0</v>
      </c>
      <c r="S39" s="51">
        <f>+IFERROR(R39/Summary!R$19,"")</f>
        <v>0</v>
      </c>
      <c r="T39" s="137">
        <f t="shared" si="37"/>
        <v>0</v>
      </c>
    </row>
    <row r="40" spans="2:20" x14ac:dyDescent="0.25">
      <c r="B40" s="14" t="s">
        <v>153</v>
      </c>
      <c r="C40" s="17" t="s">
        <v>466</v>
      </c>
      <c r="D40" s="36">
        <v>523.91999999999996</v>
      </c>
      <c r="E40" s="51">
        <f>+IFERROR(D40/Summary!D$19,"")</f>
        <v>3.4723858436253269E-4</v>
      </c>
      <c r="F40" s="36">
        <v>613.5</v>
      </c>
      <c r="G40" s="51">
        <f>+IFERROR(F40/Summary!F$19,"")</f>
        <v>4.0392322098370788E-4</v>
      </c>
      <c r="H40" s="137">
        <f t="shared" si="34"/>
        <v>-89.580000000000041</v>
      </c>
      <c r="I40" s="36">
        <v>3091.68</v>
      </c>
      <c r="J40" s="51">
        <f>+IFERROR(I40/Summary!I$19,"")</f>
        <v>2.3432378728868034E-3</v>
      </c>
      <c r="K40" s="137">
        <f t="shared" si="35"/>
        <v>-2567.7599999999998</v>
      </c>
      <c r="M40" s="36">
        <v>3389.52</v>
      </c>
      <c r="N40" s="51">
        <f>+IFERROR(M40/Summary!M$19,"")</f>
        <v>5.3893904822634577E-4</v>
      </c>
      <c r="O40" s="36">
        <v>2454</v>
      </c>
      <c r="P40" s="51">
        <f>+IFERROR(O40/Summary!O$19,"")</f>
        <v>3.6277989022901413E-4</v>
      </c>
      <c r="Q40" s="137">
        <f t="shared" si="36"/>
        <v>935.52</v>
      </c>
      <c r="R40" s="36">
        <v>6041.11</v>
      </c>
      <c r="S40" s="51">
        <f>+IFERROR(R40/Summary!R$19,"")</f>
        <v>1.0300967088199481E-3</v>
      </c>
      <c r="T40" s="137">
        <f t="shared" si="37"/>
        <v>-2651.5899999999997</v>
      </c>
    </row>
    <row r="41" spans="2:20" x14ac:dyDescent="0.25">
      <c r="B41" s="14" t="s">
        <v>155</v>
      </c>
      <c r="C41" s="17" t="s">
        <v>481</v>
      </c>
      <c r="D41" s="36">
        <v>0</v>
      </c>
      <c r="E41" s="51">
        <f>+IFERROR(D41/Summary!D$19,"")</f>
        <v>0</v>
      </c>
      <c r="F41" s="36">
        <v>0</v>
      </c>
      <c r="G41" s="51">
        <f>+IFERROR(F41/Summary!F$19,"")</f>
        <v>0</v>
      </c>
      <c r="H41" s="137">
        <f t="shared" si="34"/>
        <v>0</v>
      </c>
      <c r="I41" s="36">
        <v>0</v>
      </c>
      <c r="J41" s="51">
        <f>+IFERROR(I41/Summary!I$19,"")</f>
        <v>0</v>
      </c>
      <c r="K41" s="137">
        <f t="shared" si="35"/>
        <v>0</v>
      </c>
      <c r="M41" s="36">
        <v>0</v>
      </c>
      <c r="N41" s="51">
        <f>+IFERROR(M41/Summary!M$19,"")</f>
        <v>0</v>
      </c>
      <c r="O41" s="36">
        <v>0</v>
      </c>
      <c r="P41" s="51">
        <f>+IFERROR(O41/Summary!O$19,"")</f>
        <v>0</v>
      </c>
      <c r="Q41" s="137">
        <f t="shared" si="36"/>
        <v>0</v>
      </c>
      <c r="R41" s="36">
        <v>0</v>
      </c>
      <c r="S41" s="51">
        <f>+IFERROR(R41/Summary!R$19,"")</f>
        <v>0</v>
      </c>
      <c r="T41" s="137">
        <f t="shared" si="37"/>
        <v>0</v>
      </c>
    </row>
    <row r="42" spans="2:20" x14ac:dyDescent="0.25">
      <c r="B42" s="14" t="s">
        <v>156</v>
      </c>
      <c r="C42" s="17" t="s">
        <v>482</v>
      </c>
      <c r="D42" s="36">
        <v>0</v>
      </c>
      <c r="E42" s="51">
        <f>+IFERROR(D42/Summary!D$19,"")</f>
        <v>0</v>
      </c>
      <c r="F42" s="36">
        <v>0</v>
      </c>
      <c r="G42" s="51">
        <f>+IFERROR(F42/Summary!F$19,"")</f>
        <v>0</v>
      </c>
      <c r="H42" s="137">
        <f t="shared" si="34"/>
        <v>0</v>
      </c>
      <c r="I42" s="36">
        <v>0</v>
      </c>
      <c r="J42" s="51">
        <f>+IFERROR(I42/Summary!I$19,"")</f>
        <v>0</v>
      </c>
      <c r="K42" s="137">
        <f t="shared" si="35"/>
        <v>0</v>
      </c>
      <c r="M42" s="36">
        <v>0</v>
      </c>
      <c r="N42" s="51">
        <f>+IFERROR(M42/Summary!M$19,"")</f>
        <v>0</v>
      </c>
      <c r="O42" s="36">
        <v>0</v>
      </c>
      <c r="P42" s="51">
        <f>+IFERROR(O42/Summary!O$19,"")</f>
        <v>0</v>
      </c>
      <c r="Q42" s="137">
        <f t="shared" si="36"/>
        <v>0</v>
      </c>
      <c r="R42" s="36">
        <v>-1287.51</v>
      </c>
      <c r="S42" s="51">
        <f>+IFERROR(R42/Summary!R$19,"")</f>
        <v>-2.1953909357266653E-4</v>
      </c>
      <c r="T42" s="137">
        <f t="shared" si="37"/>
        <v>1287.51</v>
      </c>
    </row>
    <row r="43" spans="2:20" x14ac:dyDescent="0.25">
      <c r="B43" s="14" t="s">
        <v>195</v>
      </c>
      <c r="C43" s="17" t="s">
        <v>445</v>
      </c>
      <c r="D43" s="36">
        <v>749.32</v>
      </c>
      <c r="E43" s="51">
        <f>+IFERROR(D43/Summary!D$19,"")</f>
        <v>4.966269965539262E-4</v>
      </c>
      <c r="F43" s="36">
        <v>1023.83</v>
      </c>
      <c r="G43" s="51">
        <f>+IFERROR(F43/Summary!F$19,"")</f>
        <v>6.7408102907864659E-4</v>
      </c>
      <c r="H43" s="137">
        <f t="shared" si="34"/>
        <v>-274.51</v>
      </c>
      <c r="I43" s="36">
        <v>1270</v>
      </c>
      <c r="J43" s="51">
        <f>+IFERROR(I43/Summary!I$19,"")</f>
        <v>9.6255501816689976E-4</v>
      </c>
      <c r="K43" s="137">
        <f t="shared" si="35"/>
        <v>-520.67999999999995</v>
      </c>
      <c r="M43" s="36">
        <v>1534.32</v>
      </c>
      <c r="N43" s="51">
        <f>+IFERROR(M43/Summary!M$19,"")</f>
        <v>2.4395931001281802E-4</v>
      </c>
      <c r="O43" s="36">
        <v>2595.3200000000002</v>
      </c>
      <c r="P43" s="51">
        <f>+IFERROR(O43/Summary!O$19,"")</f>
        <v>3.8367151781139568E-4</v>
      </c>
      <c r="Q43" s="137">
        <f t="shared" si="36"/>
        <v>-1061.0000000000002</v>
      </c>
      <c r="R43" s="36">
        <v>3756</v>
      </c>
      <c r="S43" s="51">
        <f>+IFERROR(R43/Summary!R$19,"")</f>
        <v>6.4045237354190294E-4</v>
      </c>
      <c r="T43" s="137">
        <f t="shared" si="37"/>
        <v>-2221.6800000000003</v>
      </c>
    </row>
    <row r="44" spans="2:20" x14ac:dyDescent="0.25">
      <c r="B44" s="14" t="s">
        <v>209</v>
      </c>
      <c r="C44" s="17" t="s">
        <v>57</v>
      </c>
      <c r="D44" s="36">
        <v>0</v>
      </c>
      <c r="E44" s="51">
        <f>+IFERROR(D44/Summary!D$19,"")</f>
        <v>0</v>
      </c>
      <c r="F44" s="36">
        <v>0</v>
      </c>
      <c r="G44" s="51">
        <f>+IFERROR(F44/Summary!F$19,"")</f>
        <v>0</v>
      </c>
      <c r="H44" s="137">
        <f t="shared" si="34"/>
        <v>0</v>
      </c>
      <c r="I44" s="36">
        <v>0</v>
      </c>
      <c r="J44" s="51">
        <f>+IFERROR(I44/Summary!I$19,"")</f>
        <v>0</v>
      </c>
      <c r="K44" s="137">
        <f t="shared" si="35"/>
        <v>0</v>
      </c>
      <c r="M44" s="36">
        <v>0</v>
      </c>
      <c r="N44" s="51">
        <f>+IFERROR(M44/Summary!M$19,"")</f>
        <v>0</v>
      </c>
      <c r="O44" s="36">
        <v>0</v>
      </c>
      <c r="P44" s="51">
        <f>+IFERROR(O44/Summary!O$19,"")</f>
        <v>0</v>
      </c>
      <c r="Q44" s="137">
        <f t="shared" si="36"/>
        <v>0</v>
      </c>
      <c r="R44" s="36">
        <v>0</v>
      </c>
      <c r="S44" s="51">
        <f>+IFERROR(R44/Summary!R$19,"")</f>
        <v>0</v>
      </c>
      <c r="T44" s="137">
        <f t="shared" si="37"/>
        <v>0</v>
      </c>
    </row>
    <row r="45" spans="2:20" x14ac:dyDescent="0.25">
      <c r="B45" s="14" t="s">
        <v>220</v>
      </c>
      <c r="C45" s="17" t="s">
        <v>483</v>
      </c>
      <c r="D45" s="36">
        <v>0</v>
      </c>
      <c r="E45" s="51">
        <f>+IFERROR(D45/Summary!D$19,"")</f>
        <v>0</v>
      </c>
      <c r="F45" s="36">
        <v>0</v>
      </c>
      <c r="G45" s="51">
        <f>+IFERROR(F45/Summary!F$19,"")</f>
        <v>0</v>
      </c>
      <c r="H45" s="137">
        <f t="shared" si="34"/>
        <v>0</v>
      </c>
      <c r="I45" s="36">
        <v>0</v>
      </c>
      <c r="J45" s="51">
        <f>+IFERROR(I45/Summary!I$19,"")</f>
        <v>0</v>
      </c>
      <c r="K45" s="137">
        <f t="shared" si="35"/>
        <v>0</v>
      </c>
      <c r="M45" s="36">
        <v>0</v>
      </c>
      <c r="N45" s="51">
        <f>+IFERROR(M45/Summary!M$19,"")</f>
        <v>0</v>
      </c>
      <c r="O45" s="36">
        <v>0</v>
      </c>
      <c r="P45" s="51">
        <f>+IFERROR(O45/Summary!O$19,"")</f>
        <v>0</v>
      </c>
      <c r="Q45" s="137">
        <f t="shared" si="36"/>
        <v>0</v>
      </c>
      <c r="R45" s="36">
        <v>0</v>
      </c>
      <c r="S45" s="51">
        <f>+IFERROR(R45/Summary!R$19,"")</f>
        <v>0</v>
      </c>
      <c r="T45" s="137">
        <f t="shared" si="37"/>
        <v>0</v>
      </c>
    </row>
    <row r="46" spans="2:20" x14ac:dyDescent="0.25">
      <c r="B46" s="14" t="s">
        <v>224</v>
      </c>
      <c r="C46" s="17" t="s">
        <v>52</v>
      </c>
      <c r="D46" s="36">
        <v>1804.94</v>
      </c>
      <c r="E46" s="51">
        <f>+IFERROR(D46/Summary!D$19,"")</f>
        <v>1.1962605177494843E-3</v>
      </c>
      <c r="F46" s="36">
        <v>1715</v>
      </c>
      <c r="G46" s="51">
        <f>+IFERROR(F46/Summary!F$19,"")</f>
        <v>1.1291415223912942E-3</v>
      </c>
      <c r="H46" s="137">
        <f t="shared" si="34"/>
        <v>89.940000000000055</v>
      </c>
      <c r="I46" s="36">
        <v>261</v>
      </c>
      <c r="J46" s="51">
        <f>+IFERROR(I46/Summary!I$19,"")</f>
        <v>1.9781642499335498E-4</v>
      </c>
      <c r="K46" s="137">
        <f t="shared" si="35"/>
        <v>1543.94</v>
      </c>
      <c r="M46" s="36">
        <v>8122.94</v>
      </c>
      <c r="N46" s="51">
        <f>+IFERROR(M46/Summary!M$19,"")</f>
        <v>1.2915603248836748E-3</v>
      </c>
      <c r="O46" s="36">
        <v>8033</v>
      </c>
      <c r="P46" s="51">
        <f>+IFERROR(O46/Summary!O$19,"")</f>
        <v>1.1875349870455055E-3</v>
      </c>
      <c r="Q46" s="137">
        <f t="shared" si="36"/>
        <v>89.9399999999996</v>
      </c>
      <c r="R46" s="36">
        <v>5563</v>
      </c>
      <c r="S46" s="51">
        <f>+IFERROR(R46/Summary!R$19,"")</f>
        <v>9.4857203248498569E-4</v>
      </c>
      <c r="T46" s="137">
        <f t="shared" si="37"/>
        <v>2559.9399999999996</v>
      </c>
    </row>
    <row r="47" spans="2:20" x14ac:dyDescent="0.25">
      <c r="B47" s="14" t="s">
        <v>227</v>
      </c>
      <c r="C47" s="17" t="s">
        <v>384</v>
      </c>
      <c r="D47" s="36">
        <v>0</v>
      </c>
      <c r="E47" s="51">
        <f>+IFERROR(D47/Summary!D$19,"")</f>
        <v>0</v>
      </c>
      <c r="F47" s="36">
        <v>0</v>
      </c>
      <c r="G47" s="51">
        <f>+IFERROR(F47/Summary!F$19,"")</f>
        <v>0</v>
      </c>
      <c r="H47" s="137">
        <f t="shared" si="34"/>
        <v>0</v>
      </c>
      <c r="I47" s="36">
        <v>29.63</v>
      </c>
      <c r="J47" s="51">
        <f>+IFERROR(I47/Summary!I$19,"")</f>
        <v>2.2457090699437193E-5</v>
      </c>
      <c r="K47" s="137">
        <f t="shared" si="35"/>
        <v>-29.63</v>
      </c>
      <c r="M47" s="36">
        <v>12158.36</v>
      </c>
      <c r="N47" s="51">
        <f>+IFERROR(M47/Summary!M$19,"")</f>
        <v>1.9331984960682558E-3</v>
      </c>
      <c r="O47" s="36">
        <v>11434</v>
      </c>
      <c r="P47" s="51">
        <f>+IFERROR(O47/Summary!O$19,"")</f>
        <v>1.6903118438787888E-3</v>
      </c>
      <c r="Q47" s="137">
        <f t="shared" si="36"/>
        <v>724.36000000000058</v>
      </c>
      <c r="R47" s="36">
        <v>12122.61</v>
      </c>
      <c r="S47" s="51">
        <f>+IFERROR(R47/Summary!R$19,"")</f>
        <v>2.067080497343666E-3</v>
      </c>
      <c r="T47" s="137">
        <f t="shared" si="37"/>
        <v>35.75</v>
      </c>
    </row>
    <row r="48" spans="2:20" x14ac:dyDescent="0.25">
      <c r="B48" s="14" t="s">
        <v>243</v>
      </c>
      <c r="C48" s="17" t="s">
        <v>484</v>
      </c>
      <c r="D48" s="90">
        <v>0</v>
      </c>
      <c r="E48" s="82">
        <f>+IFERROR(D48/Summary!D$19,"")</f>
        <v>0</v>
      </c>
      <c r="F48" s="90">
        <v>0</v>
      </c>
      <c r="G48" s="156">
        <f>+IFERROR(F48/Summary!F$19,"")</f>
        <v>0</v>
      </c>
      <c r="H48" s="141">
        <f t="shared" si="34"/>
        <v>0</v>
      </c>
      <c r="I48" s="36">
        <v>0</v>
      </c>
      <c r="J48" s="156">
        <f>+IFERROR(I48/Summary!I$19,"")</f>
        <v>0</v>
      </c>
      <c r="K48" s="141">
        <f t="shared" si="35"/>
        <v>0</v>
      </c>
      <c r="M48" s="90">
        <v>0</v>
      </c>
      <c r="N48" s="82">
        <f>+IFERROR(M48/Summary!M$19,"")</f>
        <v>0</v>
      </c>
      <c r="O48" s="90">
        <v>0</v>
      </c>
      <c r="P48" s="156">
        <f>+IFERROR(O48/Summary!O$19,"")</f>
        <v>0</v>
      </c>
      <c r="Q48" s="141">
        <f t="shared" si="36"/>
        <v>0</v>
      </c>
      <c r="R48" s="36">
        <v>0</v>
      </c>
      <c r="S48" s="156">
        <f>+IFERROR(R48/Summary!R$19,"")</f>
        <v>0</v>
      </c>
      <c r="T48" s="141">
        <f t="shared" si="37"/>
        <v>0</v>
      </c>
    </row>
    <row r="49" spans="2:20" x14ac:dyDescent="0.25">
      <c r="B49" s="14" t="s">
        <v>241</v>
      </c>
      <c r="C49" s="18" t="s">
        <v>477</v>
      </c>
      <c r="D49" s="91">
        <f t="shared" ref="D49:F49" si="38">SUM(D33:D48)</f>
        <v>3830.6800000000003</v>
      </c>
      <c r="E49" s="83">
        <f>+IFERROR(D49/Summary!D$19,"")</f>
        <v>2.5388607045844155E-3</v>
      </c>
      <c r="F49" s="86">
        <f t="shared" si="38"/>
        <v>3812.33</v>
      </c>
      <c r="G49" s="83">
        <f>+IFERROR(F49/Summary!F$19,"")</f>
        <v>2.510005889246649E-3</v>
      </c>
      <c r="H49" s="140">
        <f t="shared" si="34"/>
        <v>18.350000000000364</v>
      </c>
      <c r="I49" s="86">
        <f t="shared" ref="I49" si="39">SUM(I33:I48)</f>
        <v>4907.3100000000004</v>
      </c>
      <c r="J49" s="83">
        <f>+IFERROR(I49/Summary!I$19,"")</f>
        <v>3.7193353277170148E-3</v>
      </c>
      <c r="K49" s="140">
        <f t="shared" si="35"/>
        <v>-1076.6300000000001</v>
      </c>
      <c r="M49" s="91">
        <f t="shared" ref="M49" si="40">SUM(M33:M48)</f>
        <v>29504.14</v>
      </c>
      <c r="N49" s="83">
        <f>+IFERROR(M49/Summary!M$19,"")</f>
        <v>4.6912049878262583E-3</v>
      </c>
      <c r="O49" s="86">
        <f t="shared" ref="O49" si="41">SUM(O33:O48)</f>
        <v>27956.32</v>
      </c>
      <c r="P49" s="83">
        <f>+IFERROR(O49/Summary!O$19,"")</f>
        <v>4.1328405463761991E-3</v>
      </c>
      <c r="Q49" s="140">
        <f t="shared" si="36"/>
        <v>1547.8199999999997</v>
      </c>
      <c r="R49" s="86">
        <f t="shared" ref="R49" si="42">SUM(R33:R48)</f>
        <v>29022.940000000002</v>
      </c>
      <c r="S49" s="83">
        <f>+IFERROR(R49/Summary!R$19,"")</f>
        <v>4.9488314191065601E-3</v>
      </c>
      <c r="T49" s="140">
        <f t="shared" si="37"/>
        <v>481.19999999999709</v>
      </c>
    </row>
    <row r="50" spans="2:20" x14ac:dyDescent="0.25">
      <c r="B50" s="14"/>
      <c r="C50" s="18"/>
      <c r="D50" s="48"/>
      <c r="E50" s="312"/>
      <c r="F50" s="48"/>
      <c r="G50" s="32"/>
      <c r="H50" s="49"/>
      <c r="I50" s="48"/>
      <c r="J50" s="32"/>
      <c r="K50" s="49"/>
      <c r="M50" s="48"/>
      <c r="N50" s="312"/>
      <c r="O50" s="48"/>
      <c r="P50" s="32"/>
      <c r="Q50" s="49"/>
      <c r="R50" s="48"/>
      <c r="S50" s="32"/>
      <c r="T50" s="49"/>
    </row>
    <row r="51" spans="2:20" x14ac:dyDescent="0.25">
      <c r="B51" s="14"/>
      <c r="C51" s="15" t="s">
        <v>50</v>
      </c>
      <c r="D51" s="244"/>
      <c r="E51" s="312"/>
      <c r="F51" s="48"/>
      <c r="G51" s="32"/>
      <c r="H51" s="49"/>
      <c r="I51" s="48"/>
      <c r="J51" s="32"/>
      <c r="K51" s="49"/>
      <c r="M51" s="244"/>
      <c r="N51" s="312"/>
      <c r="O51" s="48"/>
      <c r="P51" s="32"/>
      <c r="Q51" s="49"/>
      <c r="R51" s="48"/>
      <c r="S51" s="32"/>
      <c r="T51" s="49"/>
    </row>
    <row r="52" spans="2:20" x14ac:dyDescent="0.25">
      <c r="B52" s="14" t="s">
        <v>69</v>
      </c>
      <c r="C52" s="17" t="s">
        <v>485</v>
      </c>
      <c r="D52" s="36">
        <v>0</v>
      </c>
      <c r="E52" s="51">
        <f>+IFERROR(D52/Summary!D$19,"")</f>
        <v>0</v>
      </c>
      <c r="F52" s="36">
        <v>0</v>
      </c>
      <c r="G52" s="51">
        <f>+IFERROR(F52/Summary!F$19,"")</f>
        <v>0</v>
      </c>
      <c r="H52" s="137">
        <f t="shared" ref="H52:H67" si="43">+D52-F52</f>
        <v>0</v>
      </c>
      <c r="I52" s="36">
        <v>0</v>
      </c>
      <c r="J52" s="51">
        <f>+IFERROR(I52/Summary!I$19,"")</f>
        <v>0</v>
      </c>
      <c r="K52" s="137">
        <f t="shared" ref="K52:K67" si="44">+D52-I52</f>
        <v>0</v>
      </c>
      <c r="M52" s="36">
        <v>0</v>
      </c>
      <c r="N52" s="51">
        <f>+IFERROR(M52/Summary!M$19,"")</f>
        <v>0</v>
      </c>
      <c r="O52" s="36">
        <v>0</v>
      </c>
      <c r="P52" s="51">
        <f>+IFERROR(O52/Summary!O$19,"")</f>
        <v>0</v>
      </c>
      <c r="Q52" s="137">
        <f t="shared" ref="Q52:Q67" si="45">+M52-O52</f>
        <v>0</v>
      </c>
      <c r="R52" s="36">
        <v>0</v>
      </c>
      <c r="S52" s="51">
        <f>+IFERROR(R52/Summary!R$19,"")</f>
        <v>0</v>
      </c>
      <c r="T52" s="137">
        <f t="shared" ref="T52:T67" si="46">+M52-R52</f>
        <v>0</v>
      </c>
    </row>
    <row r="53" spans="2:20" x14ac:dyDescent="0.25">
      <c r="B53" s="14" t="s">
        <v>84</v>
      </c>
      <c r="C53" s="17" t="s">
        <v>364</v>
      </c>
      <c r="D53" s="36">
        <v>56.12</v>
      </c>
      <c r="E53" s="51">
        <f>+IFERROR(D53/Summary!D$19,"")</f>
        <v>3.719466589255103E-5</v>
      </c>
      <c r="F53" s="36">
        <v>118.75</v>
      </c>
      <c r="G53" s="51">
        <f>+IFERROR(F53/Summary!F$19,"")</f>
        <v>7.8183997541671248E-5</v>
      </c>
      <c r="H53" s="137">
        <f t="shared" si="43"/>
        <v>-62.63</v>
      </c>
      <c r="I53" s="36">
        <v>91.42</v>
      </c>
      <c r="J53" s="51">
        <f>+IFERROR(I53/Summary!I$19,"")</f>
        <v>6.9288802961274001E-5</v>
      </c>
      <c r="K53" s="137">
        <f t="shared" si="44"/>
        <v>-35.300000000000004</v>
      </c>
      <c r="M53" s="36">
        <v>273.26</v>
      </c>
      <c r="N53" s="51">
        <f>+IFERROR(M53/Summary!M$19,"")</f>
        <v>4.3448772781494505E-5</v>
      </c>
      <c r="O53" s="36">
        <v>475</v>
      </c>
      <c r="P53" s="51">
        <f>+IFERROR(O53/Summary!O$19,"")</f>
        <v>7.022023140129655E-5</v>
      </c>
      <c r="Q53" s="137">
        <f t="shared" si="45"/>
        <v>-201.74</v>
      </c>
      <c r="R53" s="36">
        <v>368.53</v>
      </c>
      <c r="S53" s="51">
        <f>+IFERROR(R53/Summary!R$19,"")</f>
        <v>6.283970000569688E-5</v>
      </c>
      <c r="T53" s="137">
        <f t="shared" si="46"/>
        <v>-95.269999999999982</v>
      </c>
    </row>
    <row r="54" spans="2:20" x14ac:dyDescent="0.25">
      <c r="B54" s="14" t="s">
        <v>90</v>
      </c>
      <c r="C54" s="17" t="s">
        <v>486</v>
      </c>
      <c r="D54" s="36">
        <v>7365.44</v>
      </c>
      <c r="E54" s="51">
        <f>+IFERROR(D54/Summary!D$19,"")</f>
        <v>4.8815944396227917E-3</v>
      </c>
      <c r="F54" s="36">
        <v>7066.62</v>
      </c>
      <c r="G54" s="51">
        <f>+IFERROR(F54/Summary!F$19,"")</f>
        <v>4.6526029533298938E-3</v>
      </c>
      <c r="H54" s="137">
        <f t="shared" si="43"/>
        <v>298.81999999999971</v>
      </c>
      <c r="I54" s="36">
        <v>6695.29</v>
      </c>
      <c r="J54" s="51">
        <f>+IFERROR(I54/Summary!I$19,"")</f>
        <v>5.0744763681753241E-3</v>
      </c>
      <c r="K54" s="137">
        <f t="shared" si="44"/>
        <v>670.14999999999964</v>
      </c>
      <c r="M54" s="36">
        <v>30699.119999999999</v>
      </c>
      <c r="N54" s="51">
        <f>+IFERROR(M54/Summary!M$19,"")</f>
        <v>4.8812087004019376E-3</v>
      </c>
      <c r="O54" s="36">
        <v>32468.69</v>
      </c>
      <c r="P54" s="51">
        <f>+IFERROR(O54/Summary!O$19,"")</f>
        <v>4.7999135265199225E-3</v>
      </c>
      <c r="Q54" s="137">
        <f t="shared" si="45"/>
        <v>-1769.5699999999997</v>
      </c>
      <c r="R54" s="36">
        <v>31540.02</v>
      </c>
      <c r="S54" s="51">
        <f>+IFERROR(R54/Summary!R$19,"")</f>
        <v>5.3780299974864462E-3</v>
      </c>
      <c r="T54" s="137">
        <f t="shared" si="46"/>
        <v>-840.90000000000146</v>
      </c>
    </row>
    <row r="55" spans="2:20" x14ac:dyDescent="0.25">
      <c r="B55" s="14" t="s">
        <v>110</v>
      </c>
      <c r="C55" s="17" t="s">
        <v>487</v>
      </c>
      <c r="D55" s="36">
        <v>0</v>
      </c>
      <c r="E55" s="51">
        <f>+IFERROR(D55/Summary!D$19,"")</f>
        <v>0</v>
      </c>
      <c r="F55" s="36">
        <v>0</v>
      </c>
      <c r="G55" s="51">
        <f>+IFERROR(F55/Summary!F$19,"")</f>
        <v>0</v>
      </c>
      <c r="H55" s="137">
        <f t="shared" si="43"/>
        <v>0</v>
      </c>
      <c r="I55" s="36">
        <v>0</v>
      </c>
      <c r="J55" s="51">
        <f>+IFERROR(I55/Summary!I$19,"")</f>
        <v>0</v>
      </c>
      <c r="K55" s="137">
        <f t="shared" si="44"/>
        <v>0</v>
      </c>
      <c r="M55" s="36">
        <v>0</v>
      </c>
      <c r="N55" s="51">
        <f>+IFERROR(M55/Summary!M$19,"")</f>
        <v>0</v>
      </c>
      <c r="O55" s="36">
        <v>0</v>
      </c>
      <c r="P55" s="51">
        <f>+IFERROR(O55/Summary!O$19,"")</f>
        <v>0</v>
      </c>
      <c r="Q55" s="137">
        <f t="shared" si="45"/>
        <v>0</v>
      </c>
      <c r="R55" s="36">
        <v>0</v>
      </c>
      <c r="S55" s="51">
        <f>+IFERROR(R55/Summary!R$19,"")</f>
        <v>0</v>
      </c>
      <c r="T55" s="137">
        <f t="shared" si="46"/>
        <v>0</v>
      </c>
    </row>
    <row r="56" spans="2:20" x14ac:dyDescent="0.25">
      <c r="B56" s="14" t="s">
        <v>119</v>
      </c>
      <c r="C56" s="17" t="s">
        <v>488</v>
      </c>
      <c r="D56" s="36">
        <v>0</v>
      </c>
      <c r="E56" s="51">
        <f>+IFERROR(D56/Summary!D$19,"")</f>
        <v>0</v>
      </c>
      <c r="F56" s="36">
        <v>0</v>
      </c>
      <c r="G56" s="51">
        <f>+IFERROR(F56/Summary!F$19,"")</f>
        <v>0</v>
      </c>
      <c r="H56" s="137">
        <f t="shared" si="43"/>
        <v>0</v>
      </c>
      <c r="I56" s="36">
        <v>0</v>
      </c>
      <c r="J56" s="51">
        <f>+IFERROR(I56/Summary!I$19,"")</f>
        <v>0</v>
      </c>
      <c r="K56" s="137">
        <f t="shared" si="44"/>
        <v>0</v>
      </c>
      <c r="M56" s="36">
        <v>0</v>
      </c>
      <c r="N56" s="51">
        <f>+IFERROR(M56/Summary!M$19,"")</f>
        <v>0</v>
      </c>
      <c r="O56" s="36">
        <v>0</v>
      </c>
      <c r="P56" s="51">
        <f>+IFERROR(O56/Summary!O$19,"")</f>
        <v>0</v>
      </c>
      <c r="Q56" s="137">
        <f t="shared" si="45"/>
        <v>0</v>
      </c>
      <c r="R56" s="36">
        <v>0</v>
      </c>
      <c r="S56" s="51">
        <f>+IFERROR(R56/Summary!R$19,"")</f>
        <v>0</v>
      </c>
      <c r="T56" s="137">
        <f t="shared" si="46"/>
        <v>0</v>
      </c>
    </row>
    <row r="57" spans="2:20" x14ac:dyDescent="0.25">
      <c r="B57" s="14" t="s">
        <v>123</v>
      </c>
      <c r="C57" s="17" t="s">
        <v>366</v>
      </c>
      <c r="D57" s="36">
        <v>0</v>
      </c>
      <c r="E57" s="51">
        <f>+IFERROR(D57/Summary!D$19,"")</f>
        <v>0</v>
      </c>
      <c r="F57" s="36">
        <v>0</v>
      </c>
      <c r="G57" s="51">
        <f>+IFERROR(F57/Summary!F$19,"")</f>
        <v>0</v>
      </c>
      <c r="H57" s="137">
        <f t="shared" si="43"/>
        <v>0</v>
      </c>
      <c r="I57" s="36">
        <v>0</v>
      </c>
      <c r="J57" s="51">
        <f>+IFERROR(I57/Summary!I$19,"")</f>
        <v>0</v>
      </c>
      <c r="K57" s="137">
        <f t="shared" si="44"/>
        <v>0</v>
      </c>
      <c r="M57" s="36">
        <v>0</v>
      </c>
      <c r="N57" s="51">
        <f>+IFERROR(M57/Summary!M$19,"")</f>
        <v>0</v>
      </c>
      <c r="O57" s="36">
        <v>0</v>
      </c>
      <c r="P57" s="51">
        <f>+IFERROR(O57/Summary!O$19,"")</f>
        <v>0</v>
      </c>
      <c r="Q57" s="137">
        <f t="shared" si="45"/>
        <v>0</v>
      </c>
      <c r="R57" s="36">
        <v>0</v>
      </c>
      <c r="S57" s="51">
        <f>+IFERROR(R57/Summary!R$19,"")</f>
        <v>0</v>
      </c>
      <c r="T57" s="137">
        <f t="shared" si="46"/>
        <v>0</v>
      </c>
    </row>
    <row r="58" spans="2:20" x14ac:dyDescent="0.25">
      <c r="B58" s="14" t="s">
        <v>175</v>
      </c>
      <c r="C58" s="17" t="s">
        <v>358</v>
      </c>
      <c r="D58" s="36">
        <v>0</v>
      </c>
      <c r="E58" s="51">
        <f>+IFERROR(D58/Summary!D$19,"")</f>
        <v>0</v>
      </c>
      <c r="F58" s="36">
        <v>0</v>
      </c>
      <c r="G58" s="51">
        <f>+IFERROR(F58/Summary!F$19,"")</f>
        <v>0</v>
      </c>
      <c r="H58" s="137">
        <f t="shared" si="43"/>
        <v>0</v>
      </c>
      <c r="I58" s="36">
        <v>0</v>
      </c>
      <c r="J58" s="51">
        <f>+IFERROR(I58/Summary!I$19,"")</f>
        <v>0</v>
      </c>
      <c r="K58" s="137">
        <f t="shared" si="44"/>
        <v>0</v>
      </c>
      <c r="M58" s="36">
        <v>0</v>
      </c>
      <c r="N58" s="51">
        <f>+IFERROR(M58/Summary!M$19,"")</f>
        <v>0</v>
      </c>
      <c r="O58" s="36">
        <v>0</v>
      </c>
      <c r="P58" s="51">
        <f>+IFERROR(O58/Summary!O$19,"")</f>
        <v>0</v>
      </c>
      <c r="Q58" s="137">
        <f t="shared" si="45"/>
        <v>0</v>
      </c>
      <c r="R58" s="36">
        <v>0</v>
      </c>
      <c r="S58" s="51">
        <f>+IFERROR(R58/Summary!R$19,"")</f>
        <v>0</v>
      </c>
      <c r="T58" s="137">
        <f t="shared" si="46"/>
        <v>0</v>
      </c>
    </row>
    <row r="59" spans="2:20" x14ac:dyDescent="0.25">
      <c r="B59" s="14" t="s">
        <v>192</v>
      </c>
      <c r="C59" s="17" t="s">
        <v>372</v>
      </c>
      <c r="D59" s="36">
        <v>0</v>
      </c>
      <c r="E59" s="51">
        <f>+IFERROR(D59/Summary!D$19,"")</f>
        <v>0</v>
      </c>
      <c r="F59" s="36">
        <v>0</v>
      </c>
      <c r="G59" s="51">
        <f>+IFERROR(F59/Summary!F$19,"")</f>
        <v>0</v>
      </c>
      <c r="H59" s="137">
        <f t="shared" si="43"/>
        <v>0</v>
      </c>
      <c r="I59" s="36">
        <v>0</v>
      </c>
      <c r="J59" s="51">
        <f>+IFERROR(I59/Summary!I$19,"")</f>
        <v>0</v>
      </c>
      <c r="K59" s="137">
        <f t="shared" si="44"/>
        <v>0</v>
      </c>
      <c r="M59" s="36">
        <v>0</v>
      </c>
      <c r="N59" s="51">
        <f>+IFERROR(M59/Summary!M$19,"")</f>
        <v>0</v>
      </c>
      <c r="O59" s="36">
        <v>0</v>
      </c>
      <c r="P59" s="51">
        <f>+IFERROR(O59/Summary!O$19,"")</f>
        <v>0</v>
      </c>
      <c r="Q59" s="137">
        <f t="shared" si="45"/>
        <v>0</v>
      </c>
      <c r="R59" s="36">
        <v>0</v>
      </c>
      <c r="S59" s="51">
        <f>+IFERROR(R59/Summary!R$19,"")</f>
        <v>0</v>
      </c>
      <c r="T59" s="137">
        <f t="shared" si="46"/>
        <v>0</v>
      </c>
    </row>
    <row r="60" spans="2:20" x14ac:dyDescent="0.25">
      <c r="B60" s="14" t="s">
        <v>199</v>
      </c>
      <c r="C60" s="17" t="s">
        <v>489</v>
      </c>
      <c r="D60" s="36">
        <v>0</v>
      </c>
      <c r="E60" s="51">
        <f>+IFERROR(D60/Summary!D$19,"")</f>
        <v>0</v>
      </c>
      <c r="F60" s="36">
        <v>0</v>
      </c>
      <c r="G60" s="51">
        <f>+IFERROR(F60/Summary!F$19,"")</f>
        <v>0</v>
      </c>
      <c r="H60" s="137">
        <f t="shared" si="43"/>
        <v>0</v>
      </c>
      <c r="I60" s="36">
        <v>0</v>
      </c>
      <c r="J60" s="51">
        <f>+IFERROR(I60/Summary!I$19,"")</f>
        <v>0</v>
      </c>
      <c r="K60" s="137">
        <f t="shared" si="44"/>
        <v>0</v>
      </c>
      <c r="M60" s="36">
        <v>0</v>
      </c>
      <c r="N60" s="51">
        <f>+IFERROR(M60/Summary!M$19,"")</f>
        <v>0</v>
      </c>
      <c r="O60" s="36">
        <v>0</v>
      </c>
      <c r="P60" s="51">
        <f>+IFERROR(O60/Summary!O$19,"")</f>
        <v>0</v>
      </c>
      <c r="Q60" s="137">
        <f t="shared" si="45"/>
        <v>0</v>
      </c>
      <c r="R60" s="36">
        <v>0</v>
      </c>
      <c r="S60" s="51">
        <f>+IFERROR(R60/Summary!R$19,"")</f>
        <v>0</v>
      </c>
      <c r="T60" s="137">
        <f t="shared" si="46"/>
        <v>0</v>
      </c>
    </row>
    <row r="61" spans="2:20" x14ac:dyDescent="0.25">
      <c r="B61" s="14" t="s">
        <v>242</v>
      </c>
      <c r="C61" s="17" t="s">
        <v>490</v>
      </c>
      <c r="D61" s="36">
        <v>0</v>
      </c>
      <c r="E61" s="51">
        <f>+IFERROR(D61/Summary!D$19,"")</f>
        <v>0</v>
      </c>
      <c r="F61" s="36">
        <v>0</v>
      </c>
      <c r="G61" s="51">
        <f>+IFERROR(F61/Summary!F$19,"")</f>
        <v>0</v>
      </c>
      <c r="H61" s="137">
        <f t="shared" si="43"/>
        <v>0</v>
      </c>
      <c r="I61" s="36">
        <v>0</v>
      </c>
      <c r="J61" s="51">
        <f>+IFERROR(I61/Summary!I$19,"")</f>
        <v>0</v>
      </c>
      <c r="K61" s="137">
        <f t="shared" si="44"/>
        <v>0</v>
      </c>
      <c r="M61" s="36">
        <v>0</v>
      </c>
      <c r="N61" s="51">
        <f>+IFERROR(M61/Summary!M$19,"")</f>
        <v>0</v>
      </c>
      <c r="O61" s="36">
        <v>0</v>
      </c>
      <c r="P61" s="51">
        <f>+IFERROR(O61/Summary!O$19,"")</f>
        <v>0</v>
      </c>
      <c r="Q61" s="137">
        <f t="shared" si="45"/>
        <v>0</v>
      </c>
      <c r="R61" s="36">
        <v>0</v>
      </c>
      <c r="S61" s="51">
        <f>+IFERROR(R61/Summary!R$19,"")</f>
        <v>0</v>
      </c>
      <c r="T61" s="137">
        <f t="shared" si="46"/>
        <v>0</v>
      </c>
    </row>
    <row r="62" spans="2:20" x14ac:dyDescent="0.25">
      <c r="B62" s="14" t="s">
        <v>312</v>
      </c>
      <c r="C62" s="17" t="s">
        <v>374</v>
      </c>
      <c r="D62" s="36">
        <v>0</v>
      </c>
      <c r="E62" s="51">
        <f>+IFERROR(D62/Summary!D$19,"")</f>
        <v>0</v>
      </c>
      <c r="F62" s="36">
        <v>0</v>
      </c>
      <c r="G62" s="51">
        <f>+IFERROR(F62/Summary!F$19,"")</f>
        <v>0</v>
      </c>
      <c r="H62" s="137">
        <f t="shared" si="43"/>
        <v>0</v>
      </c>
      <c r="I62" s="36">
        <v>0</v>
      </c>
      <c r="J62" s="51">
        <f>+IFERROR(I62/Summary!I$19,"")</f>
        <v>0</v>
      </c>
      <c r="K62" s="137">
        <f t="shared" si="44"/>
        <v>0</v>
      </c>
      <c r="M62" s="36">
        <v>0</v>
      </c>
      <c r="N62" s="51">
        <f>+IFERROR(M62/Summary!M$19,"")</f>
        <v>0</v>
      </c>
      <c r="O62" s="36">
        <v>0</v>
      </c>
      <c r="P62" s="51">
        <f>+IFERROR(O62/Summary!O$19,"")</f>
        <v>0</v>
      </c>
      <c r="Q62" s="137">
        <f t="shared" si="45"/>
        <v>0</v>
      </c>
      <c r="R62" s="36">
        <v>0</v>
      </c>
      <c r="S62" s="51">
        <f>+IFERROR(R62/Summary!R$19,"")</f>
        <v>0</v>
      </c>
      <c r="T62" s="137">
        <f t="shared" si="46"/>
        <v>0</v>
      </c>
    </row>
    <row r="63" spans="2:20" x14ac:dyDescent="0.25">
      <c r="B63" s="14" t="s">
        <v>324</v>
      </c>
      <c r="C63" s="17" t="s">
        <v>375</v>
      </c>
      <c r="D63" s="36">
        <v>0</v>
      </c>
      <c r="E63" s="51">
        <f>+IFERROR(D63/Summary!D$19,"")</f>
        <v>0</v>
      </c>
      <c r="F63" s="36">
        <v>0</v>
      </c>
      <c r="G63" s="51">
        <f>+IFERROR(F63/Summary!F$19,"")</f>
        <v>0</v>
      </c>
      <c r="H63" s="137">
        <f t="shared" si="43"/>
        <v>0</v>
      </c>
      <c r="I63" s="36">
        <v>0</v>
      </c>
      <c r="J63" s="51">
        <f>+IFERROR(I63/Summary!I$19,"")</f>
        <v>0</v>
      </c>
      <c r="K63" s="137">
        <f t="shared" si="44"/>
        <v>0</v>
      </c>
      <c r="M63" s="36">
        <v>0</v>
      </c>
      <c r="N63" s="51">
        <f>+IFERROR(M63/Summary!M$19,"")</f>
        <v>0</v>
      </c>
      <c r="O63" s="36">
        <v>0</v>
      </c>
      <c r="P63" s="51">
        <f>+IFERROR(O63/Summary!O$19,"")</f>
        <v>0</v>
      </c>
      <c r="Q63" s="137">
        <f t="shared" si="45"/>
        <v>0</v>
      </c>
      <c r="R63" s="36">
        <v>0</v>
      </c>
      <c r="S63" s="51">
        <f>+IFERROR(R63/Summary!R$19,"")</f>
        <v>0</v>
      </c>
      <c r="T63" s="137">
        <f t="shared" si="46"/>
        <v>0</v>
      </c>
    </row>
    <row r="64" spans="2:20" x14ac:dyDescent="0.25">
      <c r="B64" s="14" t="s">
        <v>329</v>
      </c>
      <c r="C64" s="17" t="s">
        <v>376</v>
      </c>
      <c r="D64" s="36">
        <v>0</v>
      </c>
      <c r="E64" s="51">
        <f>+IFERROR(D64/Summary!D$19,"")</f>
        <v>0</v>
      </c>
      <c r="F64" s="36">
        <v>0</v>
      </c>
      <c r="G64" s="51">
        <f>+IFERROR(F64/Summary!F$19,"")</f>
        <v>0</v>
      </c>
      <c r="H64" s="137">
        <f t="shared" si="43"/>
        <v>0</v>
      </c>
      <c r="I64" s="36">
        <v>38.43</v>
      </c>
      <c r="J64" s="51">
        <f>+IFERROR(I64/Summary!I$19,"")</f>
        <v>2.9126763266262956E-5</v>
      </c>
      <c r="K64" s="137">
        <f t="shared" si="44"/>
        <v>-38.43</v>
      </c>
      <c r="M64" s="36">
        <v>0</v>
      </c>
      <c r="N64" s="51">
        <f>+IFERROR(M64/Summary!M$19,"")</f>
        <v>0</v>
      </c>
      <c r="O64" s="36">
        <v>0</v>
      </c>
      <c r="P64" s="51">
        <f>+IFERROR(O64/Summary!O$19,"")</f>
        <v>0</v>
      </c>
      <c r="Q64" s="137">
        <f t="shared" si="45"/>
        <v>0</v>
      </c>
      <c r="R64" s="36">
        <v>38.43</v>
      </c>
      <c r="S64" s="51">
        <f>+IFERROR(R64/Summary!R$19,"")</f>
        <v>6.5528713299295349E-6</v>
      </c>
      <c r="T64" s="137">
        <f t="shared" si="46"/>
        <v>-38.43</v>
      </c>
    </row>
    <row r="65" spans="2:20" x14ac:dyDescent="0.25">
      <c r="B65" s="14" t="s">
        <v>335</v>
      </c>
      <c r="C65" s="17" t="s">
        <v>377</v>
      </c>
      <c r="D65" s="36">
        <v>0</v>
      </c>
      <c r="E65" s="51">
        <f>+IFERROR(D65/Summary!D$19,"")</f>
        <v>0</v>
      </c>
      <c r="F65" s="36">
        <v>0</v>
      </c>
      <c r="G65" s="51">
        <f>+IFERROR(F65/Summary!F$19,"")</f>
        <v>0</v>
      </c>
      <c r="H65" s="137">
        <f t="shared" si="43"/>
        <v>0</v>
      </c>
      <c r="I65" s="36">
        <v>0</v>
      </c>
      <c r="J65" s="51">
        <f>+IFERROR(I65/Summary!I$19,"")</f>
        <v>0</v>
      </c>
      <c r="K65" s="137">
        <f t="shared" si="44"/>
        <v>0</v>
      </c>
      <c r="M65" s="36">
        <v>0</v>
      </c>
      <c r="N65" s="51">
        <f>+IFERROR(M65/Summary!M$19,"")</f>
        <v>0</v>
      </c>
      <c r="O65" s="36">
        <v>0</v>
      </c>
      <c r="P65" s="51">
        <f>+IFERROR(O65/Summary!O$19,"")</f>
        <v>0</v>
      </c>
      <c r="Q65" s="137">
        <f t="shared" si="45"/>
        <v>0</v>
      </c>
      <c r="R65" s="36">
        <v>0</v>
      </c>
      <c r="S65" s="51">
        <f>+IFERROR(R65/Summary!R$19,"")</f>
        <v>0</v>
      </c>
      <c r="T65" s="137">
        <f t="shared" si="46"/>
        <v>0</v>
      </c>
    </row>
    <row r="66" spans="2:20" x14ac:dyDescent="0.25">
      <c r="B66" s="14" t="s">
        <v>339</v>
      </c>
      <c r="C66" s="17" t="s">
        <v>491</v>
      </c>
      <c r="D66" s="90">
        <v>0</v>
      </c>
      <c r="E66" s="82">
        <f>+IFERROR(D66/Summary!D$19,"")</f>
        <v>0</v>
      </c>
      <c r="F66" s="90">
        <v>0</v>
      </c>
      <c r="G66" s="82">
        <f>+IFERROR(F66/Summary!F$19,"")</f>
        <v>0</v>
      </c>
      <c r="H66" s="139">
        <f t="shared" si="43"/>
        <v>0</v>
      </c>
      <c r="I66" s="36">
        <v>0</v>
      </c>
      <c r="J66" s="82">
        <f>+IFERROR(I66/Summary!I$19,"")</f>
        <v>0</v>
      </c>
      <c r="K66" s="139">
        <f t="shared" si="44"/>
        <v>0</v>
      </c>
      <c r="M66" s="90">
        <v>0</v>
      </c>
      <c r="N66" s="82">
        <f>+IFERROR(M66/Summary!M$19,"")</f>
        <v>0</v>
      </c>
      <c r="O66" s="90">
        <v>0</v>
      </c>
      <c r="P66" s="82">
        <f>+IFERROR(O66/Summary!O$19,"")</f>
        <v>0</v>
      </c>
      <c r="Q66" s="139">
        <f t="shared" si="45"/>
        <v>0</v>
      </c>
      <c r="R66" s="36">
        <v>0</v>
      </c>
      <c r="S66" s="82">
        <f>+IFERROR(R66/Summary!R$19,"")</f>
        <v>0</v>
      </c>
      <c r="T66" s="139">
        <f t="shared" si="46"/>
        <v>0</v>
      </c>
    </row>
    <row r="67" spans="2:20" x14ac:dyDescent="0.25">
      <c r="B67" s="14" t="s">
        <v>200</v>
      </c>
      <c r="C67" s="18" t="s">
        <v>423</v>
      </c>
      <c r="D67" s="91">
        <f t="shared" ref="D67:F67" si="47">SUM(D52:D66)</f>
        <v>7421.5599999999995</v>
      </c>
      <c r="E67" s="83">
        <f>+IFERROR(D67/Summary!D$19,"")</f>
        <v>4.9187891055153428E-3</v>
      </c>
      <c r="F67" s="86">
        <f t="shared" si="47"/>
        <v>7185.37</v>
      </c>
      <c r="G67" s="83">
        <f>+IFERROR(F67/Summary!F$19,"")</f>
        <v>4.7307869508715654E-3</v>
      </c>
      <c r="H67" s="140">
        <f t="shared" si="43"/>
        <v>236.1899999999996</v>
      </c>
      <c r="I67" s="86">
        <f t="shared" ref="I67" si="48">SUM(I52:I66)</f>
        <v>6825.14</v>
      </c>
      <c r="J67" s="83">
        <f>+IFERROR(I67/Summary!I$19,"")</f>
        <v>5.1728919344028613E-3</v>
      </c>
      <c r="K67" s="140">
        <f t="shared" si="44"/>
        <v>596.41999999999916</v>
      </c>
      <c r="M67" s="91">
        <f t="shared" ref="M67" si="49">SUM(M52:M66)</f>
        <v>30972.379999999997</v>
      </c>
      <c r="N67" s="83">
        <f>+IFERROR(M67/Summary!M$19,"")</f>
        <v>4.9246574731834324E-3</v>
      </c>
      <c r="O67" s="86">
        <f t="shared" ref="O67" si="50">SUM(O52:O66)</f>
        <v>32943.69</v>
      </c>
      <c r="P67" s="83">
        <f>+IFERROR(O67/Summary!O$19,"")</f>
        <v>4.8701337579212193E-3</v>
      </c>
      <c r="Q67" s="140">
        <f t="shared" si="45"/>
        <v>-1971.3100000000049</v>
      </c>
      <c r="R67" s="86">
        <f t="shared" ref="R67" si="51">SUM(R52:R66)</f>
        <v>31946.98</v>
      </c>
      <c r="S67" s="83">
        <f>+IFERROR(R67/Summary!R$19,"")</f>
        <v>5.4474225688220723E-3</v>
      </c>
      <c r="T67" s="140">
        <f t="shared" si="46"/>
        <v>-974.60000000000218</v>
      </c>
    </row>
    <row r="68" spans="2:20" x14ac:dyDescent="0.25">
      <c r="C68" s="16"/>
      <c r="D68" s="48"/>
      <c r="E68" s="307"/>
      <c r="F68" s="48"/>
      <c r="G68" s="32"/>
      <c r="H68" s="41"/>
      <c r="I68" s="48"/>
      <c r="J68" s="32"/>
      <c r="K68" s="41"/>
      <c r="M68" s="48"/>
      <c r="N68" s="307"/>
      <c r="O68" s="48"/>
      <c r="P68" s="32"/>
      <c r="Q68" s="41"/>
      <c r="R68" s="48"/>
      <c r="S68" s="32"/>
      <c r="T68" s="41"/>
    </row>
    <row r="69" spans="2:20" x14ac:dyDescent="0.25">
      <c r="B69" s="14" t="s">
        <v>283</v>
      </c>
      <c r="C69" s="18" t="s">
        <v>424</v>
      </c>
      <c r="D69" s="142">
        <f t="shared" ref="D69:F69" si="52">+D30+D49+D67</f>
        <v>16160.83</v>
      </c>
      <c r="E69" s="135">
        <f>+IFERROR(D69/Summary!D$19,"")</f>
        <v>1.0710917184538765E-2</v>
      </c>
      <c r="F69" s="170">
        <f t="shared" si="52"/>
        <v>15681.7</v>
      </c>
      <c r="G69" s="135">
        <f>+IFERROR(F69/Summary!F$19,"")</f>
        <v>1.0324698898940851E-2</v>
      </c>
      <c r="H69" s="131">
        <f>+D69-F69</f>
        <v>479.1299999999992</v>
      </c>
      <c r="I69" s="170">
        <f t="shared" ref="I69" si="53">+I30+I49+I67</f>
        <v>15829.8</v>
      </c>
      <c r="J69" s="135">
        <f>+IFERROR(I69/Summary!I$19,"")</f>
        <v>1.199767986344755E-2</v>
      </c>
      <c r="K69" s="131">
        <f>+D69-I69</f>
        <v>331.03000000000065</v>
      </c>
      <c r="M69" s="142">
        <f t="shared" ref="M69" si="54">+M30+M49+M67</f>
        <v>80361.22</v>
      </c>
      <c r="N69" s="135">
        <f>+IFERROR(M69/Summary!M$19,"")</f>
        <v>1.2777561253837708E-2</v>
      </c>
      <c r="O69" s="170">
        <f t="shared" ref="O69" si="55">+O30+O49+O67</f>
        <v>79636.010000000009</v>
      </c>
      <c r="P69" s="135">
        <f>+IFERROR(O69/Summary!O$19,"")</f>
        <v>1.1772755894896771E-2</v>
      </c>
      <c r="Q69" s="131">
        <f>+M69-O69</f>
        <v>725.20999999999185</v>
      </c>
      <c r="R69" s="170">
        <f t="shared" ref="R69" si="56">+R30+R49+R67</f>
        <v>78045.460000000006</v>
      </c>
      <c r="S69" s="135">
        <f>+IFERROR(R69/Summary!R$19,"")</f>
        <v>1.330788075111013E-2</v>
      </c>
      <c r="T69" s="131">
        <f>+M69-R69</f>
        <v>2315.7599999999948</v>
      </c>
    </row>
    <row r="70" spans="2:20" ht="15.75" thickBot="1" x14ac:dyDescent="0.3">
      <c r="C70" s="18" t="s">
        <v>425</v>
      </c>
      <c r="D70" s="143">
        <f t="shared" ref="D70" si="57">0-D69</f>
        <v>-16160.83</v>
      </c>
      <c r="E70" s="213">
        <f>+IFERROR(D70/Summary!D$19,"")</f>
        <v>-1.0710917184538765E-2</v>
      </c>
      <c r="F70" s="143">
        <f t="shared" ref="F70" si="58">0-F69</f>
        <v>-15681.7</v>
      </c>
      <c r="G70" s="213">
        <f>+IFERROR(F70/Summary!F$19,"")</f>
        <v>-1.0324698898940851E-2</v>
      </c>
      <c r="H70" s="132">
        <f>+D70-F70</f>
        <v>-479.1299999999992</v>
      </c>
      <c r="I70" s="143">
        <f t="shared" ref="I70" si="59">0-I69</f>
        <v>-15829.8</v>
      </c>
      <c r="J70" s="213">
        <f>+IFERROR(I70/Summary!I$19,"")</f>
        <v>-1.199767986344755E-2</v>
      </c>
      <c r="K70" s="132">
        <f>+D70-I70</f>
        <v>-331.03000000000065</v>
      </c>
      <c r="M70" s="143">
        <f t="shared" ref="M70" si="60">0-M69</f>
        <v>-80361.22</v>
      </c>
      <c r="N70" s="213">
        <f>+IFERROR(M70/Summary!M$19,"")</f>
        <v>-1.2777561253837708E-2</v>
      </c>
      <c r="O70" s="143">
        <f t="shared" ref="O70" si="61">0-O69</f>
        <v>-79636.010000000009</v>
      </c>
      <c r="P70" s="213">
        <f>+IFERROR(O70/Summary!O$19,"")</f>
        <v>-1.1772755894896771E-2</v>
      </c>
      <c r="Q70" s="132">
        <f>+M70-O70</f>
        <v>-725.20999999999185</v>
      </c>
      <c r="R70" s="143">
        <f t="shared" ref="R70" si="62">0-R69</f>
        <v>-78045.460000000006</v>
      </c>
      <c r="S70" s="213">
        <f>+IFERROR(R70/Summary!R$19,"")</f>
        <v>-1.330788075111013E-2</v>
      </c>
      <c r="T70" s="132">
        <f>+M70-R70</f>
        <v>-2315.7599999999948</v>
      </c>
    </row>
    <row r="71" spans="2:20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3C7B-8FAE-4D9A-AB65-AF7B82B19A49}">
  <dimension ref="B1:X61"/>
  <sheetViews>
    <sheetView showGridLines="0" zoomScale="80" zoomScaleNormal="80" workbookViewId="0">
      <pane xSplit="3" ySplit="8" topLeftCell="D42" activePane="bottomRight" state="frozen"/>
      <selection activeCell="AA33" sqref="AA33"/>
      <selection pane="topRight" activeCell="AA33" sqref="AA33"/>
      <selection pane="bottomLeft" activeCell="AA33" sqref="AA33"/>
      <selection pane="bottomRight" activeCell="AA33" sqref="AA33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  <col min="22" max="24" width="9.140625" style="338"/>
  </cols>
  <sheetData>
    <row r="1" spans="2:22" x14ac:dyDescent="0.25">
      <c r="V1" s="338" t="s">
        <v>715</v>
      </c>
    </row>
    <row r="2" spans="2:22" ht="22.5" x14ac:dyDescent="0.3">
      <c r="B2" s="1"/>
      <c r="C2" s="35" t="str">
        <f>+Summary!$C$2</f>
        <v>Angler's</v>
      </c>
      <c r="I2" s="4"/>
      <c r="R2" s="4"/>
      <c r="V2" s="338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APR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2" t="str">
        <f>Year&amp;" "&amp;UPPER(Month)&amp;" - PERIODIC"</f>
        <v>2025 APR - PERIODIC</v>
      </c>
      <c r="E6" s="293"/>
      <c r="F6" s="290"/>
      <c r="G6" s="290"/>
      <c r="H6" s="290"/>
      <c r="I6" s="290"/>
      <c r="J6" s="290"/>
      <c r="K6" s="291"/>
      <c r="M6" s="292" t="str">
        <f>Year&amp;" "&amp;UPPER(Month)&amp;" - YEAR TO DATE"</f>
        <v>2025 APR - YEAR TO DATE</v>
      </c>
      <c r="N6" s="293"/>
      <c r="O6" s="290"/>
      <c r="P6" s="290"/>
      <c r="Q6" s="290"/>
      <c r="R6" s="290"/>
      <c r="S6" s="290"/>
      <c r="T6" s="291"/>
    </row>
    <row r="7" spans="2:22" x14ac:dyDescent="0.25">
      <c r="B7"/>
      <c r="D7" s="333" t="s">
        <v>392</v>
      </c>
      <c r="E7" s="334"/>
      <c r="F7" s="335" t="s">
        <v>389</v>
      </c>
      <c r="G7" s="334"/>
      <c r="H7" s="39" t="s">
        <v>388</v>
      </c>
      <c r="I7" s="335" t="s">
        <v>718</v>
      </c>
      <c r="J7" s="334"/>
      <c r="K7" s="289" t="s">
        <v>388</v>
      </c>
      <c r="M7" s="333" t="s">
        <v>392</v>
      </c>
      <c r="N7" s="334"/>
      <c r="O7" s="335" t="s">
        <v>389</v>
      </c>
      <c r="P7" s="334"/>
      <c r="Q7" s="39" t="s">
        <v>388</v>
      </c>
      <c r="R7" s="335" t="s">
        <v>718</v>
      </c>
      <c r="S7" s="334"/>
      <c r="T7" s="289" t="s">
        <v>388</v>
      </c>
    </row>
    <row r="8" spans="2:22" ht="22.5" customHeight="1" collapsed="1" x14ac:dyDescent="0.25">
      <c r="B8"/>
      <c r="D8" s="304" t="s">
        <v>391</v>
      </c>
      <c r="E8" s="40" t="s">
        <v>390</v>
      </c>
      <c r="F8" s="40" t="s">
        <v>391</v>
      </c>
      <c r="G8" s="40" t="s">
        <v>390</v>
      </c>
      <c r="H8" s="75" t="s">
        <v>391</v>
      </c>
      <c r="I8" s="294" t="s">
        <v>392</v>
      </c>
      <c r="J8" s="76" t="s">
        <v>390</v>
      </c>
      <c r="K8" s="75" t="s">
        <v>391</v>
      </c>
      <c r="M8" s="304" t="s">
        <v>391</v>
      </c>
      <c r="N8" s="40" t="s">
        <v>390</v>
      </c>
      <c r="O8" s="40" t="s">
        <v>391</v>
      </c>
      <c r="P8" s="40" t="s">
        <v>390</v>
      </c>
      <c r="Q8" s="75" t="s">
        <v>391</v>
      </c>
      <c r="R8" s="294" t="s">
        <v>392</v>
      </c>
      <c r="S8" s="76" t="s">
        <v>390</v>
      </c>
      <c r="T8" s="75" t="s">
        <v>391</v>
      </c>
    </row>
    <row r="9" spans="2:22" x14ac:dyDescent="0.25">
      <c r="B9" s="14"/>
      <c r="C9" s="15" t="s">
        <v>403</v>
      </c>
      <c r="D9" s="48"/>
      <c r="E9" s="49"/>
      <c r="F9" s="179"/>
      <c r="G9" s="16"/>
      <c r="H9" s="49"/>
      <c r="I9" s="179"/>
      <c r="J9" s="16"/>
      <c r="K9" s="49"/>
      <c r="M9" s="48"/>
      <c r="N9" s="49"/>
      <c r="O9" s="179"/>
      <c r="P9" s="16"/>
      <c r="Q9" s="49"/>
      <c r="R9" s="179"/>
      <c r="S9" s="16"/>
      <c r="T9" s="49"/>
    </row>
    <row r="10" spans="2:22" x14ac:dyDescent="0.25">
      <c r="B10" s="14"/>
      <c r="C10" s="22" t="s">
        <v>404</v>
      </c>
      <c r="D10" s="48"/>
      <c r="E10" s="49"/>
      <c r="F10" s="77"/>
      <c r="G10" s="16"/>
      <c r="H10" s="49"/>
      <c r="I10" s="77"/>
      <c r="J10" s="16"/>
      <c r="K10" s="49"/>
      <c r="M10" s="48"/>
      <c r="N10" s="49"/>
      <c r="O10" s="77"/>
      <c r="P10" s="16"/>
      <c r="Q10" s="49"/>
      <c r="R10" s="77"/>
      <c r="S10" s="16"/>
      <c r="T10" s="49"/>
    </row>
    <row r="11" spans="2:22" x14ac:dyDescent="0.25">
      <c r="B11" s="14" t="s">
        <v>234</v>
      </c>
      <c r="C11" s="17" t="s">
        <v>405</v>
      </c>
      <c r="D11" s="36">
        <v>21373.73</v>
      </c>
      <c r="E11" s="51">
        <f>+IFERROR(D11/Summary!D$19,"")</f>
        <v>1.4165872170840961E-2</v>
      </c>
      <c r="F11" s="36">
        <v>25161.15</v>
      </c>
      <c r="G11" s="51">
        <f>+IFERROR(F11/Summary!F$19,"")</f>
        <v>1.6565888755752604E-2</v>
      </c>
      <c r="H11" s="137">
        <f>+D11-F11</f>
        <v>-3787.4200000000019</v>
      </c>
      <c r="I11" s="36">
        <v>24739.37</v>
      </c>
      <c r="J11" s="51">
        <f>+IFERROR(I11/Summary!I$19,"")</f>
        <v>1.8750397432903663E-2</v>
      </c>
      <c r="K11" s="137">
        <f>+D11-I11</f>
        <v>-3365.6399999999994</v>
      </c>
      <c r="M11" s="36">
        <v>82831.070000000007</v>
      </c>
      <c r="N11" s="51">
        <f>+IFERROR(M11/Summary!M$19,"")</f>
        <v>1.3170271315516601E-2</v>
      </c>
      <c r="O11" s="36">
        <v>95861.92</v>
      </c>
      <c r="P11" s="51">
        <f>+IFERROR(O11/Summary!O$19,"")</f>
        <v>1.4171465694679111E-2</v>
      </c>
      <c r="Q11" s="137">
        <f>+M11-O11</f>
        <v>-13030.849999999991</v>
      </c>
      <c r="R11" s="36">
        <v>92384.27</v>
      </c>
      <c r="S11" s="51">
        <f>+IFERROR(R11/Summary!R$19,"")</f>
        <v>1.575285543115975E-2</v>
      </c>
      <c r="T11" s="137">
        <f>+M11-R11</f>
        <v>-9553.1999999999971</v>
      </c>
    </row>
    <row r="12" spans="2:22" x14ac:dyDescent="0.25">
      <c r="C12" s="18" t="s">
        <v>406</v>
      </c>
      <c r="D12" s="36"/>
      <c r="E12" s="51">
        <f>+IFERROR(D12/Summary!D$19,"")</f>
        <v>0</v>
      </c>
      <c r="F12" s="36"/>
      <c r="G12" s="51">
        <f>+IFERROR(F12/Summary!F$19,"")</f>
        <v>0</v>
      </c>
      <c r="H12" s="166"/>
      <c r="I12" s="36"/>
      <c r="J12" s="51"/>
      <c r="K12" s="166"/>
      <c r="M12" s="36"/>
      <c r="N12" s="51">
        <f>+IFERROR(M12/Summary!M$19,"")</f>
        <v>0</v>
      </c>
      <c r="O12" s="36"/>
      <c r="P12" s="51">
        <f>+IFERROR(O12/Summary!O$19,"")</f>
        <v>0</v>
      </c>
      <c r="Q12" s="166"/>
      <c r="R12" s="36"/>
      <c r="S12" s="51"/>
      <c r="T12" s="166"/>
    </row>
    <row r="13" spans="2:22" x14ac:dyDescent="0.25">
      <c r="B13" s="14" t="s">
        <v>239</v>
      </c>
      <c r="C13" s="17" t="s">
        <v>501</v>
      </c>
      <c r="D13" s="106">
        <v>2161</v>
      </c>
      <c r="E13" s="107">
        <f>+IFERROR(D13/Summary!D$19,"")</f>
        <v>1.4322464895545756E-3</v>
      </c>
      <c r="F13" s="106">
        <v>1932.86</v>
      </c>
      <c r="G13" s="107">
        <f>+IFERROR(F13/Summary!F$19,"")</f>
        <v>1.272578707270692E-3</v>
      </c>
      <c r="H13" s="137">
        <f t="shared" ref="H13:H23" si="0">+D13-F13</f>
        <v>228.1400000000001</v>
      </c>
      <c r="I13" s="36">
        <v>3789.28</v>
      </c>
      <c r="J13" s="107">
        <f>+IFERROR(I13/Summary!I$19,"")</f>
        <v>2.8719610072751732E-3</v>
      </c>
      <c r="K13" s="137">
        <f t="shared" ref="K13:K23" si="1">+D13-I13</f>
        <v>-1628.2800000000002</v>
      </c>
      <c r="M13" s="106">
        <v>11178.25</v>
      </c>
      <c r="N13" s="107">
        <f>+IFERROR(M13/Summary!M$19,"")</f>
        <v>1.7773594537976321E-3</v>
      </c>
      <c r="O13" s="106">
        <v>9617.77</v>
      </c>
      <c r="P13" s="107">
        <f>+IFERROR(O13/Summary!O$19,"")</f>
        <v>1.4218148104514694E-3</v>
      </c>
      <c r="Q13" s="137">
        <f t="shared" ref="Q13:Q23" si="2">+M13-O13</f>
        <v>1560.4799999999996</v>
      </c>
      <c r="R13" s="36">
        <v>14220.66</v>
      </c>
      <c r="S13" s="107">
        <f>+IFERROR(R13/Summary!R$19,"")</f>
        <v>2.424828394657188E-3</v>
      </c>
      <c r="T13" s="137">
        <f t="shared" ref="T13:T23" si="3">+M13-R13</f>
        <v>-3042.41</v>
      </c>
    </row>
    <row r="14" spans="2:22" x14ac:dyDescent="0.25">
      <c r="B14" s="14" t="s">
        <v>301</v>
      </c>
      <c r="C14" s="23" t="s">
        <v>409</v>
      </c>
      <c r="D14" s="103">
        <f t="shared" ref="D14" si="4">D11+D13</f>
        <v>23534.73</v>
      </c>
      <c r="E14" s="104">
        <f>+IFERROR(D14/Summary!D$19,"")</f>
        <v>1.5598118660395536E-2</v>
      </c>
      <c r="F14" s="103">
        <f>F11+F13</f>
        <v>27094.010000000002</v>
      </c>
      <c r="G14" s="104">
        <f>+IFERROR(F14/Summary!F$19,"")</f>
        <v>1.7838467463023297E-2</v>
      </c>
      <c r="H14" s="154">
        <f t="shared" si="0"/>
        <v>-3559.2800000000025</v>
      </c>
      <c r="I14" s="103">
        <f>I11+I13</f>
        <v>28528.649999999998</v>
      </c>
      <c r="J14" s="104">
        <f>+IFERROR(I14/Summary!I$19,"")</f>
        <v>2.1622358440178836E-2</v>
      </c>
      <c r="K14" s="154">
        <f t="shared" si="1"/>
        <v>-4993.9199999999983</v>
      </c>
      <c r="M14" s="103">
        <f t="shared" ref="M14" si="5">M11+M13</f>
        <v>94009.32</v>
      </c>
      <c r="N14" s="104">
        <f>+IFERROR(M14/Summary!M$19,"")</f>
        <v>1.4947630769314234E-2</v>
      </c>
      <c r="O14" s="103">
        <f>O11+O13</f>
        <v>105479.69</v>
      </c>
      <c r="P14" s="104">
        <f>+IFERROR(O14/Summary!O$19,"")</f>
        <v>1.5593280505130579E-2</v>
      </c>
      <c r="Q14" s="154">
        <f t="shared" si="2"/>
        <v>-11470.369999999995</v>
      </c>
      <c r="R14" s="103">
        <f>R11+R13</f>
        <v>106604.93000000001</v>
      </c>
      <c r="S14" s="104">
        <f>+IFERROR(R14/Summary!R$19,"")</f>
        <v>1.8177683825816939E-2</v>
      </c>
      <c r="T14" s="154">
        <f t="shared" si="3"/>
        <v>-12595.61</v>
      </c>
    </row>
    <row r="15" spans="2:22" x14ac:dyDescent="0.25">
      <c r="B15" s="14" t="s">
        <v>675</v>
      </c>
      <c r="C15" s="17" t="s">
        <v>556</v>
      </c>
      <c r="D15" s="161">
        <v>0</v>
      </c>
      <c r="E15" s="222">
        <f>+IFERROR(D15/Summary!D$19,"")</f>
        <v>0</v>
      </c>
      <c r="F15" s="161">
        <v>0</v>
      </c>
      <c r="G15" s="222">
        <f>+IFERROR(F15/Summary!F$19,"")</f>
        <v>0</v>
      </c>
      <c r="H15" s="167">
        <f t="shared" si="0"/>
        <v>0</v>
      </c>
      <c r="I15" s="36">
        <v>0</v>
      </c>
      <c r="J15" s="222">
        <f>+IFERROR(I15/Summary!I$19,"")</f>
        <v>0</v>
      </c>
      <c r="K15" s="167">
        <f t="shared" si="1"/>
        <v>0</v>
      </c>
      <c r="M15" s="161">
        <v>0</v>
      </c>
      <c r="N15" s="222">
        <f>+IFERROR(M15/Summary!M$19,"")</f>
        <v>0</v>
      </c>
      <c r="O15" s="161">
        <v>0</v>
      </c>
      <c r="P15" s="222">
        <f>+IFERROR(O15/Summary!O$19,"")</f>
        <v>0</v>
      </c>
      <c r="Q15" s="167">
        <f t="shared" si="2"/>
        <v>0</v>
      </c>
      <c r="R15" s="36">
        <v>0</v>
      </c>
      <c r="S15" s="222">
        <f>+IFERROR(R15/Summary!R$19,"")</f>
        <v>0</v>
      </c>
      <c r="T15" s="167">
        <f t="shared" si="3"/>
        <v>0</v>
      </c>
    </row>
    <row r="16" spans="2:22" x14ac:dyDescent="0.25">
      <c r="B16" s="14" t="s">
        <v>659</v>
      </c>
      <c r="C16" s="17" t="s">
        <v>410</v>
      </c>
      <c r="D16" s="36">
        <v>3500</v>
      </c>
      <c r="E16" s="51">
        <f>+IFERROR(D16/Summary!D$19,"")</f>
        <v>2.3196958414812654E-3</v>
      </c>
      <c r="F16" s="36">
        <v>3500</v>
      </c>
      <c r="G16" s="51">
        <f>+IFERROR(F16/Summary!F$19,"")</f>
        <v>2.3043704538597844E-3</v>
      </c>
      <c r="H16" s="217">
        <f t="shared" si="0"/>
        <v>0</v>
      </c>
      <c r="I16" s="36">
        <v>3500</v>
      </c>
      <c r="J16" s="51">
        <f>+IFERROR(I16/Summary!I$19,"")</f>
        <v>2.6527106799875189E-3</v>
      </c>
      <c r="K16" s="217">
        <f t="shared" si="1"/>
        <v>0</v>
      </c>
      <c r="M16" s="36">
        <v>14000</v>
      </c>
      <c r="N16" s="51">
        <f>+IFERROR(M16/Summary!M$19,"")</f>
        <v>2.2260221728058372E-3</v>
      </c>
      <c r="O16" s="36">
        <v>14000</v>
      </c>
      <c r="P16" s="51">
        <f>+IFERROR(O16/Summary!O$19,"")</f>
        <v>2.0696489255118983E-3</v>
      </c>
      <c r="Q16" s="217">
        <f t="shared" si="2"/>
        <v>0</v>
      </c>
      <c r="R16" s="36">
        <v>14000</v>
      </c>
      <c r="S16" s="51">
        <f>+IFERROR(R16/Summary!R$19,"")</f>
        <v>2.3872026702839834E-3</v>
      </c>
      <c r="T16" s="217">
        <f t="shared" si="3"/>
        <v>0</v>
      </c>
    </row>
    <row r="17" spans="2:20" x14ac:dyDescent="0.25">
      <c r="B17" s="14" t="s">
        <v>250</v>
      </c>
      <c r="C17" s="17" t="s">
        <v>411</v>
      </c>
      <c r="D17" s="106">
        <v>3329.91</v>
      </c>
      <c r="E17" s="107">
        <f>+IFERROR(D17/Summary!D$19,"")</f>
        <v>2.2069652512876799E-3</v>
      </c>
      <c r="F17" s="106">
        <v>6203.73</v>
      </c>
      <c r="G17" s="107">
        <f>+IFERROR(F17/Summary!F$19,"")</f>
        <v>4.0844834616353028E-3</v>
      </c>
      <c r="H17" s="153">
        <f t="shared" si="0"/>
        <v>-2873.8199999999997</v>
      </c>
      <c r="I17" s="36">
        <v>3641.12</v>
      </c>
      <c r="J17" s="107">
        <f>+IFERROR(I17/Summary!I$19,"")</f>
        <v>2.7596679746046157E-3</v>
      </c>
      <c r="K17" s="153">
        <f t="shared" si="1"/>
        <v>-311.21000000000004</v>
      </c>
      <c r="M17" s="106">
        <v>10835.23</v>
      </c>
      <c r="N17" s="107">
        <f>+IFERROR(M17/Summary!M$19,"")</f>
        <v>1.7228187305322136E-3</v>
      </c>
      <c r="O17" s="106">
        <v>24360.99</v>
      </c>
      <c r="P17" s="107">
        <f>+IFERROR(O17/Summary!O$19,"")</f>
        <v>3.6013354841361498E-3</v>
      </c>
      <c r="Q17" s="153">
        <f t="shared" si="2"/>
        <v>-13525.760000000002</v>
      </c>
      <c r="R17" s="36">
        <v>11041.24</v>
      </c>
      <c r="S17" s="107">
        <f>+IFERROR(R17/Summary!R$19,"")</f>
        <v>1.8826912579461663E-3</v>
      </c>
      <c r="T17" s="153">
        <f t="shared" si="3"/>
        <v>-206.01000000000022</v>
      </c>
    </row>
    <row r="18" spans="2:20" x14ac:dyDescent="0.25">
      <c r="B18" s="14"/>
      <c r="C18" s="23" t="s">
        <v>412</v>
      </c>
      <c r="D18" s="103">
        <f t="shared" ref="D18" si="6">+D14+SUM(D15:D17)</f>
        <v>30364.639999999999</v>
      </c>
      <c r="E18" s="104">
        <f>+IFERROR(D18/Summary!D$19,"")</f>
        <v>2.0124779753164481E-2</v>
      </c>
      <c r="F18" s="103">
        <f t="shared" ref="F18" si="7">+F14+SUM(F15:F17)</f>
        <v>36797.740000000005</v>
      </c>
      <c r="G18" s="104">
        <f>+IFERROR(F18/Summary!F$19,"")</f>
        <v>2.4227321378518386E-2</v>
      </c>
      <c r="H18" s="154">
        <f t="shared" si="0"/>
        <v>-6433.1000000000058</v>
      </c>
      <c r="I18" s="103">
        <f>+I14+SUM(I15:I17)</f>
        <v>35669.769999999997</v>
      </c>
      <c r="J18" s="104">
        <f>+IFERROR(I18/Summary!I$19,"")</f>
        <v>2.7034737094770969E-2</v>
      </c>
      <c r="K18" s="154">
        <f t="shared" si="1"/>
        <v>-5305.1299999999974</v>
      </c>
      <c r="M18" s="103">
        <f t="shared" ref="M18" si="8">+M14+SUM(M15:M17)</f>
        <v>118844.55</v>
      </c>
      <c r="N18" s="104">
        <f>+IFERROR(M18/Summary!M$19,"")</f>
        <v>1.8896471672652283E-2</v>
      </c>
      <c r="O18" s="103">
        <f t="shared" ref="O18" si="9">+O14+SUM(O15:O17)</f>
        <v>143840.68</v>
      </c>
      <c r="P18" s="104">
        <f>+IFERROR(O18/Summary!O$19,"")</f>
        <v>2.1264264914778626E-2</v>
      </c>
      <c r="Q18" s="154">
        <f t="shared" si="2"/>
        <v>-24996.12999999999</v>
      </c>
      <c r="R18" s="103">
        <f>+R14+SUM(R15:R17)</f>
        <v>131646.17000000001</v>
      </c>
      <c r="S18" s="104">
        <f>+IFERROR(R18/Summary!R$19,"")</f>
        <v>2.2447577754047088E-2</v>
      </c>
      <c r="T18" s="154">
        <f t="shared" si="3"/>
        <v>-12801.62000000001</v>
      </c>
    </row>
    <row r="19" spans="2:20" x14ac:dyDescent="0.25">
      <c r="B19" s="14" t="s">
        <v>296</v>
      </c>
      <c r="C19" s="17" t="s">
        <v>413</v>
      </c>
      <c r="D19" s="106">
        <v>2021.04</v>
      </c>
      <c r="E19" s="107">
        <f>+IFERROR(D19/Summary!D$19,"")</f>
        <v>1.3394851667049418E-3</v>
      </c>
      <c r="F19" s="106">
        <v>2652.39</v>
      </c>
      <c r="G19" s="107">
        <f>+IFERROR(F19/Summary!F$19,"")</f>
        <v>1.7463111851751866E-3</v>
      </c>
      <c r="H19" s="217">
        <f t="shared" si="0"/>
        <v>-631.34999999999991</v>
      </c>
      <c r="I19" s="36">
        <v>2208.35</v>
      </c>
      <c r="J19" s="107">
        <f>+IFERROR(I19/Summary!I$19,"")</f>
        <v>1.6737467514715534E-3</v>
      </c>
      <c r="K19" s="217">
        <f t="shared" si="1"/>
        <v>-187.30999999999995</v>
      </c>
      <c r="M19" s="106">
        <v>7529.62</v>
      </c>
      <c r="N19" s="107">
        <f>+IFERROR(M19/Summary!M$19,"")</f>
        <v>1.1972215052001634E-3</v>
      </c>
      <c r="O19" s="106">
        <v>10444.66</v>
      </c>
      <c r="P19" s="107">
        <f>+IFERROR(O19/Summary!O$19,"")</f>
        <v>1.5440556675955072E-3</v>
      </c>
      <c r="Q19" s="217">
        <f t="shared" si="2"/>
        <v>-2915.04</v>
      </c>
      <c r="R19" s="36">
        <v>8872.6</v>
      </c>
      <c r="S19" s="107">
        <f>+IFERROR(R19/Summary!R$19,"")</f>
        <v>1.5129067437401195E-3</v>
      </c>
      <c r="T19" s="217">
        <f t="shared" si="3"/>
        <v>-1342.9800000000005</v>
      </c>
    </row>
    <row r="20" spans="2:20" x14ac:dyDescent="0.25">
      <c r="B20" s="14" t="s">
        <v>308</v>
      </c>
      <c r="C20" s="17" t="s">
        <v>359</v>
      </c>
      <c r="D20" s="36">
        <v>2213.4</v>
      </c>
      <c r="E20" s="51">
        <f>+IFERROR(D20/Summary!D$19,"")</f>
        <v>1.4669756501527523E-3</v>
      </c>
      <c r="F20" s="36">
        <v>2558.87</v>
      </c>
      <c r="G20" s="51">
        <f>+IFERROR(F20/Summary!F$19,"")</f>
        <v>1.6847384066480532E-3</v>
      </c>
      <c r="H20" s="217">
        <f t="shared" si="0"/>
        <v>-345.4699999999998</v>
      </c>
      <c r="I20" s="36">
        <v>2022.61</v>
      </c>
      <c r="J20" s="51">
        <f>+IFERROR(I20/Summary!I$19,"")</f>
        <v>1.5329711852713015E-3</v>
      </c>
      <c r="K20" s="217">
        <f t="shared" si="1"/>
        <v>190.79000000000019</v>
      </c>
      <c r="M20" s="36">
        <v>9695.7999999999993</v>
      </c>
      <c r="N20" s="51">
        <f>+IFERROR(M20/Summary!M$19,"")</f>
        <v>1.5416475559350596E-3</v>
      </c>
      <c r="O20" s="36">
        <v>11568.84</v>
      </c>
      <c r="P20" s="51">
        <f>+IFERROR(O20/Summary!O$19,"")</f>
        <v>1.7102455196727907E-3</v>
      </c>
      <c r="Q20" s="217">
        <f t="shared" si="2"/>
        <v>-1873.0400000000009</v>
      </c>
      <c r="R20" s="36">
        <v>9658.2900000000009</v>
      </c>
      <c r="S20" s="51">
        <f>+IFERROR(R20/Summary!R$19,"")</f>
        <v>1.6468782627412212E-3</v>
      </c>
      <c r="T20" s="217">
        <f t="shared" si="3"/>
        <v>37.509999999998399</v>
      </c>
    </row>
    <row r="21" spans="2:20" x14ac:dyDescent="0.25">
      <c r="B21" s="14" t="s">
        <v>268</v>
      </c>
      <c r="C21" s="17" t="s">
        <v>360</v>
      </c>
      <c r="D21" s="106">
        <v>4004.59</v>
      </c>
      <c r="E21" s="107">
        <f>+IFERROR(D21/Summary!D$19,"")</f>
        <v>2.6541230770964173E-3</v>
      </c>
      <c r="F21" s="106">
        <v>4849.1899999999996</v>
      </c>
      <c r="G21" s="107">
        <f>+IFERROR(F21/Summary!F$19,"")</f>
        <v>3.1926657603292361E-3</v>
      </c>
      <c r="H21" s="153">
        <f t="shared" si="0"/>
        <v>-844.59999999999945</v>
      </c>
      <c r="I21" s="36">
        <v>3502.44</v>
      </c>
      <c r="J21" s="107">
        <f>+IFERROR(I21/Summary!I$19,"")</f>
        <v>2.6545599982901388E-3</v>
      </c>
      <c r="K21" s="153">
        <f t="shared" si="1"/>
        <v>502.15000000000009</v>
      </c>
      <c r="M21" s="106">
        <v>12979.59</v>
      </c>
      <c r="N21" s="107">
        <f>+IFERROR(M21/Summary!M$19,"")</f>
        <v>2.0637753667092085E-3</v>
      </c>
      <c r="O21" s="106">
        <v>19330.61</v>
      </c>
      <c r="P21" s="107">
        <f>+IFERROR(O21/Summary!O$19,"")</f>
        <v>2.8576840154278253E-3</v>
      </c>
      <c r="Q21" s="153">
        <f t="shared" si="2"/>
        <v>-6351.02</v>
      </c>
      <c r="R21" s="36">
        <v>19525.88</v>
      </c>
      <c r="S21" s="107">
        <f>+IFERROR(R21/Summary!R$19,"")</f>
        <v>3.3294452054031878E-3</v>
      </c>
      <c r="T21" s="153">
        <f t="shared" si="3"/>
        <v>-6546.2900000000009</v>
      </c>
    </row>
    <row r="22" spans="2:20" x14ac:dyDescent="0.25">
      <c r="B22" s="14" t="s">
        <v>290</v>
      </c>
      <c r="C22" s="23" t="s">
        <v>414</v>
      </c>
      <c r="D22" s="103">
        <f t="shared" ref="D22" si="10">SUM(D19:D21)</f>
        <v>8239.0300000000007</v>
      </c>
      <c r="E22" s="125">
        <f>+IFERROR(D22/Summary!D$19,"")</f>
        <v>5.4605838939541119E-3</v>
      </c>
      <c r="F22" s="103">
        <f t="shared" ref="F22" si="11">SUM(F19:F21)</f>
        <v>10060.450000000001</v>
      </c>
      <c r="G22" s="125">
        <f>+IFERROR(F22/Summary!F$19,"")</f>
        <v>6.623715352152477E-3</v>
      </c>
      <c r="H22" s="168">
        <f t="shared" si="0"/>
        <v>-1821.42</v>
      </c>
      <c r="I22" s="103">
        <f t="shared" ref="I22" si="12">SUM(I19:I21)</f>
        <v>7733.4</v>
      </c>
      <c r="J22" s="125">
        <f>+IFERROR(I22/Summary!I$19,"")</f>
        <v>5.8612779350329935E-3</v>
      </c>
      <c r="K22" s="168">
        <f t="shared" si="1"/>
        <v>505.63000000000102</v>
      </c>
      <c r="M22" s="103">
        <f t="shared" ref="M22" si="13">SUM(M19:M21)</f>
        <v>30205.01</v>
      </c>
      <c r="N22" s="125">
        <f>+IFERROR(M22/Summary!M$19,"")</f>
        <v>4.8026444278444309E-3</v>
      </c>
      <c r="O22" s="103">
        <f t="shared" ref="O22" si="14">SUM(O19:O21)</f>
        <v>41344.11</v>
      </c>
      <c r="P22" s="125">
        <f>+IFERROR(O22/Summary!O$19,"")</f>
        <v>6.1119852026961232E-3</v>
      </c>
      <c r="Q22" s="168">
        <f t="shared" si="2"/>
        <v>-11139.100000000002</v>
      </c>
      <c r="R22" s="103">
        <f t="shared" ref="R22" si="15">SUM(R19:R21)</f>
        <v>38056.770000000004</v>
      </c>
      <c r="S22" s="125">
        <f>+IFERROR(R22/Summary!R$19,"")</f>
        <v>6.4892302118845285E-3</v>
      </c>
      <c r="T22" s="168">
        <f t="shared" si="3"/>
        <v>-7851.7600000000057</v>
      </c>
    </row>
    <row r="23" spans="2:20" x14ac:dyDescent="0.25">
      <c r="B23" s="14" t="s">
        <v>275</v>
      </c>
      <c r="C23" s="23" t="s">
        <v>415</v>
      </c>
      <c r="D23" s="91">
        <f t="shared" ref="D23" si="16">+D18+D22</f>
        <v>38603.67</v>
      </c>
      <c r="E23" s="126">
        <f>+IFERROR(D23/Summary!D$19,"")</f>
        <v>2.5585363647118591E-2</v>
      </c>
      <c r="F23" s="91">
        <f t="shared" ref="F23" si="17">+F18+F22</f>
        <v>46858.19</v>
      </c>
      <c r="G23" s="126">
        <f>+IFERROR(F23/Summary!F$19,"")</f>
        <v>3.0851036730670859E-2</v>
      </c>
      <c r="H23" s="140">
        <f t="shared" si="0"/>
        <v>-8254.5200000000041</v>
      </c>
      <c r="I23" s="91">
        <f t="shared" ref="I23" si="18">+I18+I22</f>
        <v>43403.17</v>
      </c>
      <c r="J23" s="126">
        <f>+IFERROR(I23/Summary!I$19,"")</f>
        <v>3.2896015029803966E-2</v>
      </c>
      <c r="K23" s="140">
        <f t="shared" si="1"/>
        <v>-4799.5</v>
      </c>
      <c r="M23" s="91">
        <f t="shared" ref="M23" si="19">+M18+M22</f>
        <v>149049.56</v>
      </c>
      <c r="N23" s="126">
        <f>+IFERROR(M23/Summary!M$19,"")</f>
        <v>2.3699116100496714E-2</v>
      </c>
      <c r="O23" s="91">
        <f t="shared" ref="O23" si="20">+O18+O22</f>
        <v>185184.78999999998</v>
      </c>
      <c r="P23" s="126">
        <f>+IFERROR(O23/Summary!O$19,"")</f>
        <v>2.7376250117474746E-2</v>
      </c>
      <c r="Q23" s="140">
        <f t="shared" si="2"/>
        <v>-36135.229999999981</v>
      </c>
      <c r="R23" s="91">
        <f t="shared" ref="R23" si="21">+R18+R22</f>
        <v>169702.94</v>
      </c>
      <c r="S23" s="126">
        <f>+IFERROR(R23/Summary!R$19,"")</f>
        <v>2.8936807965931618E-2</v>
      </c>
      <c r="T23" s="140">
        <f t="shared" si="3"/>
        <v>-20653.380000000005</v>
      </c>
    </row>
    <row r="24" spans="2:20" x14ac:dyDescent="0.25">
      <c r="B24" s="14"/>
      <c r="C24" s="18"/>
      <c r="D24" s="179"/>
      <c r="E24" s="53"/>
      <c r="F24" s="277"/>
      <c r="G24" s="32"/>
      <c r="H24" s="79"/>
      <c r="I24" s="20"/>
      <c r="J24" s="32"/>
      <c r="K24" s="79"/>
      <c r="M24" s="179"/>
      <c r="N24" s="53"/>
      <c r="O24" s="277"/>
      <c r="P24" s="32"/>
      <c r="Q24" s="79"/>
      <c r="R24" s="20"/>
      <c r="S24" s="32"/>
      <c r="T24" s="79"/>
    </row>
    <row r="25" spans="2:20" x14ac:dyDescent="0.25">
      <c r="B25" s="14"/>
      <c r="C25" s="15" t="s">
        <v>50</v>
      </c>
      <c r="D25" s="48"/>
      <c r="E25" s="214"/>
      <c r="F25" s="77"/>
      <c r="G25" s="99"/>
      <c r="H25" s="101"/>
      <c r="I25" s="16"/>
      <c r="J25" s="99"/>
      <c r="K25" s="101"/>
      <c r="M25" s="48"/>
      <c r="N25" s="214"/>
      <c r="O25" s="77"/>
      <c r="P25" s="99"/>
      <c r="Q25" s="101"/>
      <c r="R25" s="16"/>
      <c r="S25" s="99"/>
      <c r="T25" s="101"/>
    </row>
    <row r="26" spans="2:20" x14ac:dyDescent="0.25">
      <c r="B26" s="14" t="s">
        <v>70</v>
      </c>
      <c r="C26" s="17" t="s">
        <v>485</v>
      </c>
      <c r="D26" s="36">
        <v>0</v>
      </c>
      <c r="E26" s="51">
        <f>+IFERROR(D26/Summary!D$19,"")</f>
        <v>0</v>
      </c>
      <c r="F26" s="36">
        <v>0</v>
      </c>
      <c r="G26" s="51">
        <f>+IFERROR(F26/Summary!F$19,"")</f>
        <v>0</v>
      </c>
      <c r="H26" s="137">
        <f t="shared" ref="H26:H57" si="22">+D26-F26</f>
        <v>0</v>
      </c>
      <c r="I26" s="36">
        <v>0</v>
      </c>
      <c r="J26" s="51">
        <f>+IFERROR(I26/Summary!I$19,"")</f>
        <v>0</v>
      </c>
      <c r="K26" s="137">
        <f t="shared" ref="K26:K57" si="23">+D26-I26</f>
        <v>0</v>
      </c>
      <c r="M26" s="36">
        <v>0</v>
      </c>
      <c r="N26" s="51">
        <f>+IFERROR(M26/Summary!M$19,"")</f>
        <v>0</v>
      </c>
      <c r="O26" s="36">
        <v>0</v>
      </c>
      <c r="P26" s="51">
        <f>+IFERROR(O26/Summary!O$19,"")</f>
        <v>0</v>
      </c>
      <c r="Q26" s="137">
        <f t="shared" ref="Q26:Q57" si="24">+M26-O26</f>
        <v>0</v>
      </c>
      <c r="R26" s="36">
        <v>0</v>
      </c>
      <c r="S26" s="51">
        <f>+IFERROR(R26/Summary!R$19,"")</f>
        <v>0</v>
      </c>
      <c r="T26" s="137">
        <f t="shared" ref="T26:T57" si="25">+M26-R26</f>
        <v>0</v>
      </c>
    </row>
    <row r="27" spans="2:20" x14ac:dyDescent="0.25">
      <c r="B27" s="14" t="s">
        <v>104</v>
      </c>
      <c r="C27" s="17" t="s">
        <v>365</v>
      </c>
      <c r="D27" s="36">
        <v>0</v>
      </c>
      <c r="E27" s="51">
        <f>+IFERROR(D27/Summary!D$19,"")</f>
        <v>0</v>
      </c>
      <c r="F27" s="36">
        <v>0</v>
      </c>
      <c r="G27" s="51">
        <f>+IFERROR(F27/Summary!F$19,"")</f>
        <v>0</v>
      </c>
      <c r="H27" s="137">
        <f t="shared" si="22"/>
        <v>0</v>
      </c>
      <c r="I27" s="36">
        <v>0</v>
      </c>
      <c r="J27" s="51">
        <f>+IFERROR(I27/Summary!I$19,"")</f>
        <v>0</v>
      </c>
      <c r="K27" s="137">
        <f t="shared" si="23"/>
        <v>0</v>
      </c>
      <c r="M27" s="36">
        <v>0</v>
      </c>
      <c r="N27" s="51">
        <f>+IFERROR(M27/Summary!M$19,"")</f>
        <v>0</v>
      </c>
      <c r="O27" s="36">
        <v>0</v>
      </c>
      <c r="P27" s="51">
        <f>+IFERROR(O27/Summary!O$19,"")</f>
        <v>0</v>
      </c>
      <c r="Q27" s="137">
        <f t="shared" si="24"/>
        <v>0</v>
      </c>
      <c r="R27" s="36">
        <v>0</v>
      </c>
      <c r="S27" s="51">
        <f>+IFERROR(R27/Summary!R$19,"")</f>
        <v>0</v>
      </c>
      <c r="T27" s="137">
        <f t="shared" si="25"/>
        <v>0</v>
      </c>
    </row>
    <row r="28" spans="2:20" x14ac:dyDescent="0.25">
      <c r="B28" s="14" t="s">
        <v>111</v>
      </c>
      <c r="C28" s="17" t="s">
        <v>430</v>
      </c>
      <c r="D28" s="36">
        <v>3624.87</v>
      </c>
      <c r="E28" s="51">
        <f>+IFERROR(D28/Summary!D$19,"")</f>
        <v>2.4024559614029125E-3</v>
      </c>
      <c r="F28" s="36">
        <v>2965</v>
      </c>
      <c r="G28" s="51">
        <f>+IFERROR(F28/Summary!F$19,"")</f>
        <v>1.9521309701983601E-3</v>
      </c>
      <c r="H28" s="137">
        <f t="shared" si="22"/>
        <v>659.86999999999989</v>
      </c>
      <c r="I28" s="36">
        <v>3429.21</v>
      </c>
      <c r="J28" s="51">
        <f>+IFERROR(I28/Summary!I$19,"")</f>
        <v>2.5990577116914285E-3</v>
      </c>
      <c r="K28" s="137">
        <f t="shared" si="23"/>
        <v>195.65999999999985</v>
      </c>
      <c r="M28" s="36">
        <v>11513.4</v>
      </c>
      <c r="N28" s="51">
        <f>+IFERROR(M28/Summary!M$19,"")</f>
        <v>1.8306488345987662E-3</v>
      </c>
      <c r="O28" s="36">
        <v>11860</v>
      </c>
      <c r="P28" s="51">
        <f>+IFERROR(O28/Summary!O$19,"")</f>
        <v>1.7532883040407938E-3</v>
      </c>
      <c r="Q28" s="137">
        <f t="shared" si="24"/>
        <v>-346.60000000000036</v>
      </c>
      <c r="R28" s="36">
        <v>9681.9</v>
      </c>
      <c r="S28" s="51">
        <f>+IFERROR(R28/Summary!R$19,"")</f>
        <v>1.6509041095301785E-3</v>
      </c>
      <c r="T28" s="137">
        <f t="shared" si="25"/>
        <v>1831.5</v>
      </c>
    </row>
    <row r="29" spans="2:20" x14ac:dyDescent="0.25">
      <c r="B29" s="14" t="s">
        <v>120</v>
      </c>
      <c r="C29" s="17" t="s">
        <v>465</v>
      </c>
      <c r="D29" s="36">
        <v>0</v>
      </c>
      <c r="E29" s="51">
        <f>+IFERROR(D29/Summary!D$19,"")</f>
        <v>0</v>
      </c>
      <c r="F29" s="36">
        <v>0</v>
      </c>
      <c r="G29" s="51">
        <f>+IFERROR(F29/Summary!F$19,"")</f>
        <v>0</v>
      </c>
      <c r="H29" s="137">
        <f t="shared" si="22"/>
        <v>0</v>
      </c>
      <c r="I29" s="36">
        <v>0</v>
      </c>
      <c r="J29" s="51">
        <f>+IFERROR(I29/Summary!I$19,"")</f>
        <v>0</v>
      </c>
      <c r="K29" s="137">
        <f t="shared" si="23"/>
        <v>0</v>
      </c>
      <c r="M29" s="36">
        <v>0</v>
      </c>
      <c r="N29" s="51">
        <f>+IFERROR(M29/Summary!M$19,"")</f>
        <v>0</v>
      </c>
      <c r="O29" s="36">
        <v>0</v>
      </c>
      <c r="P29" s="51">
        <f>+IFERROR(O29/Summary!O$19,"")</f>
        <v>0</v>
      </c>
      <c r="Q29" s="137">
        <f t="shared" si="24"/>
        <v>0</v>
      </c>
      <c r="R29" s="36">
        <v>0</v>
      </c>
      <c r="S29" s="51">
        <f>+IFERROR(R29/Summary!R$19,"")</f>
        <v>0</v>
      </c>
      <c r="T29" s="137">
        <f t="shared" si="25"/>
        <v>0</v>
      </c>
    </row>
    <row r="30" spans="2:20" x14ac:dyDescent="0.25">
      <c r="B30" s="14" t="s">
        <v>124</v>
      </c>
      <c r="C30" s="17" t="s">
        <v>366</v>
      </c>
      <c r="D30" s="36">
        <v>562.5</v>
      </c>
      <c r="E30" s="51">
        <f>+IFERROR(D30/Summary!D$19,"")</f>
        <v>3.7280826023806051E-4</v>
      </c>
      <c r="F30" s="36">
        <v>0</v>
      </c>
      <c r="G30" s="51">
        <f>+IFERROR(F30/Summary!F$19,"")</f>
        <v>0</v>
      </c>
      <c r="H30" s="137">
        <f t="shared" si="22"/>
        <v>562.5</v>
      </c>
      <c r="I30" s="36">
        <v>0</v>
      </c>
      <c r="J30" s="51">
        <f>+IFERROR(I30/Summary!I$19,"")</f>
        <v>0</v>
      </c>
      <c r="K30" s="137">
        <f t="shared" si="23"/>
        <v>562.5</v>
      </c>
      <c r="M30" s="36">
        <v>3056</v>
      </c>
      <c r="N30" s="51">
        <f>+IFERROR(M30/Summary!M$19,"")</f>
        <v>4.8590884000675991E-4</v>
      </c>
      <c r="O30" s="36">
        <v>0</v>
      </c>
      <c r="P30" s="51">
        <f>+IFERROR(O30/Summary!O$19,"")</f>
        <v>0</v>
      </c>
      <c r="Q30" s="137">
        <f t="shared" si="24"/>
        <v>3056</v>
      </c>
      <c r="R30" s="36">
        <v>0</v>
      </c>
      <c r="S30" s="51">
        <f>+IFERROR(R30/Summary!R$19,"")</f>
        <v>0</v>
      </c>
      <c r="T30" s="137">
        <f t="shared" si="25"/>
        <v>3056</v>
      </c>
    </row>
    <row r="31" spans="2:20" x14ac:dyDescent="0.25">
      <c r="B31" s="14" t="s">
        <v>126</v>
      </c>
      <c r="C31" s="17" t="s">
        <v>502</v>
      </c>
      <c r="D31" s="36">
        <v>0</v>
      </c>
      <c r="E31" s="51">
        <f>+IFERROR(D31/Summary!D$19,"")</f>
        <v>0</v>
      </c>
      <c r="F31" s="36">
        <v>0</v>
      </c>
      <c r="G31" s="51">
        <f>+IFERROR(F31/Summary!F$19,"")</f>
        <v>0</v>
      </c>
      <c r="H31" s="137">
        <f t="shared" si="22"/>
        <v>0</v>
      </c>
      <c r="I31" s="36">
        <v>0</v>
      </c>
      <c r="J31" s="51">
        <f>+IFERROR(I31/Summary!I$19,"")</f>
        <v>0</v>
      </c>
      <c r="K31" s="137">
        <f t="shared" si="23"/>
        <v>0</v>
      </c>
      <c r="M31" s="36">
        <v>0</v>
      </c>
      <c r="N31" s="51">
        <f>+IFERROR(M31/Summary!M$19,"")</f>
        <v>0</v>
      </c>
      <c r="O31" s="36">
        <v>0</v>
      </c>
      <c r="P31" s="51">
        <f>+IFERROR(O31/Summary!O$19,"")</f>
        <v>0</v>
      </c>
      <c r="Q31" s="137">
        <f t="shared" si="24"/>
        <v>0</v>
      </c>
      <c r="R31" s="36">
        <v>0</v>
      </c>
      <c r="S31" s="51">
        <f>+IFERROR(R31/Summary!R$19,"")</f>
        <v>0</v>
      </c>
      <c r="T31" s="137">
        <f t="shared" si="25"/>
        <v>0</v>
      </c>
    </row>
    <row r="32" spans="2:20" x14ac:dyDescent="0.25">
      <c r="B32" s="14" t="s">
        <v>214</v>
      </c>
      <c r="C32" s="17" t="s">
        <v>416</v>
      </c>
      <c r="D32" s="36">
        <v>0</v>
      </c>
      <c r="E32" s="51">
        <f>+IFERROR(D32/Summary!D$19,"")</f>
        <v>0</v>
      </c>
      <c r="F32" s="36">
        <v>0</v>
      </c>
      <c r="G32" s="51">
        <f>+IFERROR(F32/Summary!F$19,"")</f>
        <v>0</v>
      </c>
      <c r="H32" s="137">
        <f t="shared" si="22"/>
        <v>0</v>
      </c>
      <c r="I32" s="36">
        <v>0</v>
      </c>
      <c r="J32" s="51">
        <f>+IFERROR(I32/Summary!I$19,"")</f>
        <v>0</v>
      </c>
      <c r="K32" s="137">
        <f t="shared" si="23"/>
        <v>0</v>
      </c>
      <c r="M32" s="36">
        <v>0</v>
      </c>
      <c r="N32" s="51">
        <f>+IFERROR(M32/Summary!M$19,"")</f>
        <v>0</v>
      </c>
      <c r="O32" s="36">
        <v>12</v>
      </c>
      <c r="P32" s="51">
        <f>+IFERROR(O32/Summary!O$19,"")</f>
        <v>1.7739847932959127E-6</v>
      </c>
      <c r="Q32" s="137">
        <f t="shared" si="24"/>
        <v>-12</v>
      </c>
      <c r="R32" s="36">
        <v>0</v>
      </c>
      <c r="S32" s="51">
        <f>+IFERROR(R32/Summary!R$19,"")</f>
        <v>0</v>
      </c>
      <c r="T32" s="137">
        <f t="shared" si="25"/>
        <v>0</v>
      </c>
    </row>
    <row r="33" spans="2:20" x14ac:dyDescent="0.25">
      <c r="B33" s="14" t="s">
        <v>217</v>
      </c>
      <c r="C33" s="17" t="s">
        <v>417</v>
      </c>
      <c r="D33" s="36">
        <v>0</v>
      </c>
      <c r="E33" s="51">
        <f>+IFERROR(D33/Summary!D$19,"")</f>
        <v>0</v>
      </c>
      <c r="F33" s="36">
        <v>0</v>
      </c>
      <c r="G33" s="51">
        <f>+IFERROR(F33/Summary!F$19,"")</f>
        <v>0</v>
      </c>
      <c r="H33" s="137">
        <f t="shared" si="22"/>
        <v>0</v>
      </c>
      <c r="I33" s="36">
        <v>0</v>
      </c>
      <c r="J33" s="51">
        <f>+IFERROR(I33/Summary!I$19,"")</f>
        <v>0</v>
      </c>
      <c r="K33" s="137">
        <f t="shared" si="23"/>
        <v>0</v>
      </c>
      <c r="M33" s="36">
        <v>0</v>
      </c>
      <c r="N33" s="51">
        <f>+IFERROR(M33/Summary!M$19,"")</f>
        <v>0</v>
      </c>
      <c r="O33" s="36">
        <v>0</v>
      </c>
      <c r="P33" s="51">
        <f>+IFERROR(O33/Summary!O$19,"")</f>
        <v>0</v>
      </c>
      <c r="Q33" s="137">
        <f t="shared" si="24"/>
        <v>0</v>
      </c>
      <c r="R33" s="36">
        <v>0</v>
      </c>
      <c r="S33" s="51">
        <f>+IFERROR(R33/Summary!R$19,"")</f>
        <v>0</v>
      </c>
      <c r="T33" s="137">
        <f t="shared" si="25"/>
        <v>0</v>
      </c>
    </row>
    <row r="34" spans="2:20" x14ac:dyDescent="0.25">
      <c r="B34" s="14" t="s">
        <v>193</v>
      </c>
      <c r="C34" s="17" t="s">
        <v>372</v>
      </c>
      <c r="D34" s="36">
        <v>59.9</v>
      </c>
      <c r="E34" s="51">
        <f>+IFERROR(D34/Summary!D$19,"")</f>
        <v>3.9699937401350797E-5</v>
      </c>
      <c r="F34" s="36">
        <v>0</v>
      </c>
      <c r="G34" s="51">
        <f>+IFERROR(F34/Summary!F$19,"")</f>
        <v>0</v>
      </c>
      <c r="H34" s="137">
        <f t="shared" si="22"/>
        <v>59.9</v>
      </c>
      <c r="I34" s="36">
        <v>0</v>
      </c>
      <c r="J34" s="51">
        <f>+IFERROR(I34/Summary!I$19,"")</f>
        <v>0</v>
      </c>
      <c r="K34" s="137">
        <f t="shared" si="23"/>
        <v>59.9</v>
      </c>
      <c r="M34" s="36">
        <v>104.82</v>
      </c>
      <c r="N34" s="51">
        <f>+IFERROR(M34/Summary!M$19,"")</f>
        <v>1.6666546010964844E-5</v>
      </c>
      <c r="O34" s="36">
        <v>66</v>
      </c>
      <c r="P34" s="51">
        <f>+IFERROR(O34/Summary!O$19,"")</f>
        <v>9.7569163631275207E-6</v>
      </c>
      <c r="Q34" s="137">
        <f t="shared" si="24"/>
        <v>38.819999999999993</v>
      </c>
      <c r="R34" s="36">
        <v>-33.409999999999997</v>
      </c>
      <c r="S34" s="51">
        <f>+IFERROR(R34/Summary!R$19,"")</f>
        <v>-5.6968886581562773E-6</v>
      </c>
      <c r="T34" s="137">
        <f t="shared" si="25"/>
        <v>138.22999999999999</v>
      </c>
    </row>
    <row r="35" spans="2:20" x14ac:dyDescent="0.25">
      <c r="B35" s="14" t="s">
        <v>85</v>
      </c>
      <c r="C35" s="17" t="s">
        <v>364</v>
      </c>
      <c r="D35" s="36">
        <v>429.14</v>
      </c>
      <c r="E35" s="51">
        <f>+IFERROR(D35/Summary!D$19,"")</f>
        <v>2.8442122097522004E-4</v>
      </c>
      <c r="F35" s="36">
        <v>519</v>
      </c>
      <c r="G35" s="51">
        <f>+IFERROR(F35/Summary!F$19,"")</f>
        <v>3.417052187294937E-4</v>
      </c>
      <c r="H35" s="137">
        <f t="shared" si="22"/>
        <v>-89.860000000000014</v>
      </c>
      <c r="I35" s="36">
        <v>429</v>
      </c>
      <c r="J35" s="51">
        <f>+IFERROR(I35/Summary!I$19,"")</f>
        <v>3.2514653763275587E-4</v>
      </c>
      <c r="K35" s="137">
        <f t="shared" si="23"/>
        <v>0.13999999999998636</v>
      </c>
      <c r="M35" s="36">
        <v>1127.83</v>
      </c>
      <c r="N35" s="51">
        <f>+IFERROR(M35/Summary!M$19,"")</f>
        <v>1.7932675622540052E-4</v>
      </c>
      <c r="O35" s="36">
        <v>2676</v>
      </c>
      <c r="P35" s="51">
        <f>+IFERROR(O35/Summary!O$19,"")</f>
        <v>3.9559860890498854E-4</v>
      </c>
      <c r="Q35" s="137">
        <f t="shared" si="24"/>
        <v>-1548.17</v>
      </c>
      <c r="R35" s="36">
        <v>2362.48</v>
      </c>
      <c r="S35" s="51">
        <f>+IFERROR(R35/Summary!R$19,"")</f>
        <v>4.0283704032089324E-4</v>
      </c>
      <c r="T35" s="137">
        <f t="shared" si="25"/>
        <v>-1234.6500000000001</v>
      </c>
    </row>
    <row r="36" spans="2:20" x14ac:dyDescent="0.25">
      <c r="B36" s="14" t="s">
        <v>330</v>
      </c>
      <c r="C36" s="17" t="s">
        <v>376</v>
      </c>
      <c r="D36" s="36">
        <v>161.63999999999999</v>
      </c>
      <c r="E36" s="51">
        <f>+IFERROR(D36/Summary!D$19,"")</f>
        <v>1.0713018166200906E-4</v>
      </c>
      <c r="F36" s="36">
        <v>0</v>
      </c>
      <c r="G36" s="51">
        <f>+IFERROR(F36/Summary!F$19,"")</f>
        <v>0</v>
      </c>
      <c r="H36" s="137">
        <f t="shared" si="22"/>
        <v>161.63999999999999</v>
      </c>
      <c r="I36" s="36">
        <v>211.94</v>
      </c>
      <c r="J36" s="51">
        <f>+IFERROR(I36/Summary!I$19,"")</f>
        <v>1.6063300043330135E-4</v>
      </c>
      <c r="K36" s="137">
        <f t="shared" si="23"/>
        <v>-50.300000000000011</v>
      </c>
      <c r="M36" s="36">
        <v>291.43</v>
      </c>
      <c r="N36" s="51">
        <f>+IFERROR(M36/Summary!M$19,"")</f>
        <v>4.6337831558628942E-5</v>
      </c>
      <c r="O36" s="36">
        <v>1050</v>
      </c>
      <c r="P36" s="51">
        <f>+IFERROR(O36/Summary!O$19,"")</f>
        <v>1.5522366941339235E-4</v>
      </c>
      <c r="Q36" s="137">
        <f t="shared" si="24"/>
        <v>-758.56999999999994</v>
      </c>
      <c r="R36" s="36">
        <v>365.75</v>
      </c>
      <c r="S36" s="51">
        <f>+IFERROR(R36/Summary!R$19,"")</f>
        <v>6.2365669761169068E-5</v>
      </c>
      <c r="T36" s="137">
        <f t="shared" si="25"/>
        <v>-74.319999999999993</v>
      </c>
    </row>
    <row r="37" spans="2:20" x14ac:dyDescent="0.25">
      <c r="B37" s="14" t="s">
        <v>325</v>
      </c>
      <c r="C37" s="17" t="s">
        <v>375</v>
      </c>
      <c r="D37" s="36">
        <v>294.39999999999998</v>
      </c>
      <c r="E37" s="51">
        <f>+IFERROR(D37/Summary!D$19,"")</f>
        <v>1.9511955878059555E-4</v>
      </c>
      <c r="F37" s="36">
        <v>200</v>
      </c>
      <c r="G37" s="51">
        <f>+IFERROR(F37/Summary!F$19,"")</f>
        <v>1.3167831164913053E-4</v>
      </c>
      <c r="H37" s="137">
        <f t="shared" si="22"/>
        <v>94.399999999999977</v>
      </c>
      <c r="I37" s="36">
        <v>242.5</v>
      </c>
      <c r="J37" s="51">
        <f>+IFERROR(I37/Summary!I$19,"")</f>
        <v>1.8379495425627809E-4</v>
      </c>
      <c r="K37" s="137">
        <f t="shared" si="23"/>
        <v>51.899999999999977</v>
      </c>
      <c r="M37" s="36">
        <v>602.76</v>
      </c>
      <c r="N37" s="51">
        <f>+IFERROR(M37/Summary!M$19,"")</f>
        <v>9.5839794634317604E-5</v>
      </c>
      <c r="O37" s="36">
        <v>1100</v>
      </c>
      <c r="P37" s="51">
        <f>+IFERROR(O37/Summary!O$19,"")</f>
        <v>1.6261527271879201E-4</v>
      </c>
      <c r="Q37" s="137">
        <f t="shared" si="24"/>
        <v>-497.24</v>
      </c>
      <c r="R37" s="36">
        <v>428.62</v>
      </c>
      <c r="S37" s="51">
        <f>+IFERROR(R37/Summary!R$19,"")</f>
        <v>7.3085914895508646E-5</v>
      </c>
      <c r="T37" s="137">
        <f t="shared" si="25"/>
        <v>174.14</v>
      </c>
    </row>
    <row r="38" spans="2:20" x14ac:dyDescent="0.25">
      <c r="B38" s="14" t="s">
        <v>79</v>
      </c>
      <c r="C38" s="17" t="s">
        <v>363</v>
      </c>
      <c r="D38" s="36">
        <v>207.94</v>
      </c>
      <c r="E38" s="51">
        <f>+IFERROR(D38/Summary!D$19,"")</f>
        <v>1.3781644379360408E-4</v>
      </c>
      <c r="F38" s="36">
        <v>350</v>
      </c>
      <c r="G38" s="51">
        <f>+IFERROR(F38/Summary!F$19,"")</f>
        <v>2.3043704538597843E-4</v>
      </c>
      <c r="H38" s="137">
        <f t="shared" si="22"/>
        <v>-142.06</v>
      </c>
      <c r="I38" s="36">
        <v>897.29</v>
      </c>
      <c r="J38" s="51">
        <f>+IFERROR(I38/Summary!I$19,"")</f>
        <v>6.8007164744171447E-4</v>
      </c>
      <c r="K38" s="137">
        <f t="shared" si="23"/>
        <v>-689.34999999999991</v>
      </c>
      <c r="M38" s="36">
        <v>1197.96</v>
      </c>
      <c r="N38" s="51">
        <f>+IFERROR(M38/Summary!M$19,"")</f>
        <v>1.9047753729532006E-4</v>
      </c>
      <c r="O38" s="36">
        <v>1452</v>
      </c>
      <c r="P38" s="51">
        <f>+IFERROR(O38/Summary!O$19,"")</f>
        <v>2.1465215998880542E-4</v>
      </c>
      <c r="Q38" s="137">
        <f t="shared" si="24"/>
        <v>-254.03999999999996</v>
      </c>
      <c r="R38" s="36">
        <v>3697.71</v>
      </c>
      <c r="S38" s="51">
        <f>+IFERROR(R38/Summary!R$19,"")</f>
        <v>6.3051308470969919E-4</v>
      </c>
      <c r="T38" s="137">
        <f t="shared" si="25"/>
        <v>-2499.75</v>
      </c>
    </row>
    <row r="39" spans="2:20" x14ac:dyDescent="0.25">
      <c r="B39" s="14" t="s">
        <v>313</v>
      </c>
      <c r="C39" s="17" t="s">
        <v>374</v>
      </c>
      <c r="D39" s="36">
        <v>0</v>
      </c>
      <c r="E39" s="51">
        <f>+IFERROR(D39/Summary!D$19,"")</f>
        <v>0</v>
      </c>
      <c r="F39" s="36">
        <v>0</v>
      </c>
      <c r="G39" s="51">
        <f>+IFERROR(F39/Summary!F$19,"")</f>
        <v>0</v>
      </c>
      <c r="H39" s="137">
        <f t="shared" si="22"/>
        <v>0</v>
      </c>
      <c r="I39" s="36">
        <v>0</v>
      </c>
      <c r="J39" s="51">
        <f>+IFERROR(I39/Summary!I$19,"")</f>
        <v>0</v>
      </c>
      <c r="K39" s="137">
        <f t="shared" si="23"/>
        <v>0</v>
      </c>
      <c r="M39" s="36">
        <v>0</v>
      </c>
      <c r="N39" s="51">
        <f>+IFERROR(M39/Summary!M$19,"")</f>
        <v>0</v>
      </c>
      <c r="O39" s="36">
        <v>0</v>
      </c>
      <c r="P39" s="51">
        <f>+IFERROR(O39/Summary!O$19,"")</f>
        <v>0</v>
      </c>
      <c r="Q39" s="137">
        <f t="shared" si="24"/>
        <v>0</v>
      </c>
      <c r="R39" s="36">
        <v>0</v>
      </c>
      <c r="S39" s="51">
        <f>+IFERROR(R39/Summary!R$19,"")</f>
        <v>0</v>
      </c>
      <c r="T39" s="137">
        <f t="shared" si="25"/>
        <v>0</v>
      </c>
    </row>
    <row r="40" spans="2:20" x14ac:dyDescent="0.25">
      <c r="B40" s="14" t="s">
        <v>340</v>
      </c>
      <c r="C40" s="17" t="s">
        <v>419</v>
      </c>
      <c r="D40" s="36">
        <v>152.35</v>
      </c>
      <c r="E40" s="51">
        <f>+IFERROR(D40/Summary!D$19,"")</f>
        <v>1.0097304612847736E-4</v>
      </c>
      <c r="F40" s="36">
        <v>99.33</v>
      </c>
      <c r="G40" s="51">
        <f>+IFERROR(F40/Summary!F$19,"")</f>
        <v>6.5398033480540673E-5</v>
      </c>
      <c r="H40" s="137">
        <f t="shared" si="22"/>
        <v>53.019999999999996</v>
      </c>
      <c r="I40" s="36">
        <v>78.41</v>
      </c>
      <c r="J40" s="51">
        <f>+IFERROR(I40/Summary!I$19,"")</f>
        <v>5.9428298405091816E-5</v>
      </c>
      <c r="K40" s="137">
        <f t="shared" si="23"/>
        <v>73.94</v>
      </c>
      <c r="M40" s="36">
        <v>353.83</v>
      </c>
      <c r="N40" s="51">
        <f>+IFERROR(M40/Summary!M$19,"")</f>
        <v>5.6259530385992095E-5</v>
      </c>
      <c r="O40" s="36">
        <v>397.32</v>
      </c>
      <c r="P40" s="51">
        <f>+IFERROR(O40/Summary!O$19,"")</f>
        <v>5.8736636506027669E-5</v>
      </c>
      <c r="Q40" s="137">
        <f t="shared" si="24"/>
        <v>-43.490000000000009</v>
      </c>
      <c r="R40" s="36">
        <v>543.08000000000004</v>
      </c>
      <c r="S40" s="51">
        <f>+IFERROR(R40/Summary!R$19,"")</f>
        <v>9.26030018698447E-5</v>
      </c>
      <c r="T40" s="137">
        <f t="shared" si="25"/>
        <v>-189.25000000000006</v>
      </c>
    </row>
    <row r="41" spans="2:20" x14ac:dyDescent="0.25">
      <c r="B41" s="14" t="s">
        <v>91</v>
      </c>
      <c r="C41" s="17" t="s">
        <v>421</v>
      </c>
      <c r="D41" s="36">
        <v>0</v>
      </c>
      <c r="E41" s="51">
        <f>+IFERROR(D41/Summary!D$19,"")</f>
        <v>0</v>
      </c>
      <c r="F41" s="36">
        <v>0</v>
      </c>
      <c r="G41" s="51">
        <f>+IFERROR(F41/Summary!F$19,"")</f>
        <v>0</v>
      </c>
      <c r="H41" s="137">
        <f t="shared" si="22"/>
        <v>0</v>
      </c>
      <c r="I41" s="36">
        <v>0</v>
      </c>
      <c r="J41" s="51">
        <f>+IFERROR(I41/Summary!I$19,"")</f>
        <v>0</v>
      </c>
      <c r="K41" s="137">
        <f t="shared" si="23"/>
        <v>0</v>
      </c>
      <c r="M41" s="36">
        <v>0</v>
      </c>
      <c r="N41" s="51">
        <f>+IFERROR(M41/Summary!M$19,"")</f>
        <v>0</v>
      </c>
      <c r="O41" s="36">
        <v>0</v>
      </c>
      <c r="P41" s="51">
        <f>+IFERROR(O41/Summary!O$19,"")</f>
        <v>0</v>
      </c>
      <c r="Q41" s="137">
        <f t="shared" si="24"/>
        <v>0</v>
      </c>
      <c r="R41" s="36">
        <v>0</v>
      </c>
      <c r="S41" s="51">
        <f>+IFERROR(R41/Summary!R$19,"")</f>
        <v>0</v>
      </c>
      <c r="T41" s="137">
        <f t="shared" si="25"/>
        <v>0</v>
      </c>
    </row>
    <row r="42" spans="2:20" x14ac:dyDescent="0.25">
      <c r="B42" s="14" t="s">
        <v>219</v>
      </c>
      <c r="C42" s="17" t="s">
        <v>492</v>
      </c>
      <c r="D42" s="36">
        <v>389</v>
      </c>
      <c r="E42" s="51">
        <f>+IFERROR(D42/Summary!D$19,"")</f>
        <v>2.5781762352463207E-4</v>
      </c>
      <c r="F42" s="36">
        <v>350</v>
      </c>
      <c r="G42" s="51">
        <f>+IFERROR(F42/Summary!F$19,"")</f>
        <v>2.3043704538597843E-4</v>
      </c>
      <c r="H42" s="137">
        <f t="shared" si="22"/>
        <v>39</v>
      </c>
      <c r="I42" s="36">
        <v>0</v>
      </c>
      <c r="J42" s="51">
        <f>+IFERROR(I42/Summary!I$19,"")</f>
        <v>0</v>
      </c>
      <c r="K42" s="137">
        <f t="shared" si="23"/>
        <v>389</v>
      </c>
      <c r="M42" s="36">
        <v>2716.1</v>
      </c>
      <c r="N42" s="51">
        <f>+IFERROR(M42/Summary!M$19,"")</f>
        <v>4.3186420168270961E-4</v>
      </c>
      <c r="O42" s="36">
        <v>2400</v>
      </c>
      <c r="P42" s="51">
        <f>+IFERROR(O42/Summary!O$19,"")</f>
        <v>3.5479695865918252E-4</v>
      </c>
      <c r="Q42" s="137">
        <f t="shared" si="24"/>
        <v>316.09999999999991</v>
      </c>
      <c r="R42" s="36">
        <v>4636.71</v>
      </c>
      <c r="S42" s="51">
        <f>+IFERROR(R42/Summary!R$19,"")</f>
        <v>7.9062617809517489E-4</v>
      </c>
      <c r="T42" s="137">
        <f t="shared" si="25"/>
        <v>-1920.6100000000001</v>
      </c>
    </row>
    <row r="43" spans="2:20" x14ac:dyDescent="0.25">
      <c r="B43" s="14" t="s">
        <v>645</v>
      </c>
      <c r="C43" s="17" t="s">
        <v>703</v>
      </c>
      <c r="D43" s="36">
        <v>0</v>
      </c>
      <c r="E43" s="51">
        <f>+IFERROR(D43/Summary!D$19,"")</f>
        <v>0</v>
      </c>
      <c r="F43" s="36">
        <v>0</v>
      </c>
      <c r="G43" s="51">
        <f>+IFERROR(F43/Summary!F$19,"")</f>
        <v>0</v>
      </c>
      <c r="H43" s="137">
        <f t="shared" si="22"/>
        <v>0</v>
      </c>
      <c r="I43" s="36">
        <v>4174</v>
      </c>
      <c r="J43" s="51">
        <f>+IFERROR(I43/Summary!I$19,"")</f>
        <v>3.1635469652194011E-3</v>
      </c>
      <c r="K43" s="137">
        <f t="shared" si="23"/>
        <v>-4174</v>
      </c>
      <c r="M43" s="36">
        <v>0</v>
      </c>
      <c r="N43" s="51">
        <f>+IFERROR(M43/Summary!M$19,"")</f>
        <v>0</v>
      </c>
      <c r="O43" s="36">
        <v>0</v>
      </c>
      <c r="P43" s="51">
        <f>+IFERROR(O43/Summary!O$19,"")</f>
        <v>0</v>
      </c>
      <c r="Q43" s="137">
        <f t="shared" si="24"/>
        <v>0</v>
      </c>
      <c r="R43" s="36">
        <v>4174</v>
      </c>
      <c r="S43" s="51">
        <f>+IFERROR(R43/Summary!R$19,"")</f>
        <v>7.1172742469752476E-4</v>
      </c>
      <c r="T43" s="137">
        <f t="shared" si="25"/>
        <v>-4174</v>
      </c>
    </row>
    <row r="44" spans="2:20" x14ac:dyDescent="0.25">
      <c r="B44" s="14" t="s">
        <v>309</v>
      </c>
      <c r="C44" s="17" t="s">
        <v>493</v>
      </c>
      <c r="D44" s="36">
        <v>0</v>
      </c>
      <c r="E44" s="51">
        <f>+IFERROR(D44/Summary!D$19,"")</f>
        <v>0</v>
      </c>
      <c r="F44" s="36">
        <v>0</v>
      </c>
      <c r="G44" s="51">
        <f>+IFERROR(F44/Summary!F$19,"")</f>
        <v>0</v>
      </c>
      <c r="H44" s="137">
        <f t="shared" si="22"/>
        <v>0</v>
      </c>
      <c r="I44" s="36">
        <v>1656.49</v>
      </c>
      <c r="J44" s="51">
        <f>+IFERROR(I44/Summary!I$19,"")</f>
        <v>1.2554824897978644E-3</v>
      </c>
      <c r="K44" s="137">
        <f t="shared" si="23"/>
        <v>-1656.49</v>
      </c>
      <c r="M44" s="36">
        <v>302.66000000000003</v>
      </c>
      <c r="N44" s="51">
        <f>+IFERROR(M44/Summary!M$19,"")</f>
        <v>4.812341934438677E-5</v>
      </c>
      <c r="O44" s="36">
        <v>250</v>
      </c>
      <c r="P44" s="51">
        <f>+IFERROR(O44/Summary!O$19,"")</f>
        <v>3.6958016526998182E-5</v>
      </c>
      <c r="Q44" s="137">
        <f t="shared" si="24"/>
        <v>52.660000000000025</v>
      </c>
      <c r="R44" s="36">
        <v>1763.35</v>
      </c>
      <c r="S44" s="51">
        <f>+IFERROR(R44/Summary!R$19,"")</f>
        <v>3.0067670204609015E-4</v>
      </c>
      <c r="T44" s="137">
        <f t="shared" si="25"/>
        <v>-1460.6899999999998</v>
      </c>
    </row>
    <row r="45" spans="2:20" x14ac:dyDescent="0.25">
      <c r="B45" s="14" t="s">
        <v>71</v>
      </c>
      <c r="C45" s="17" t="s">
        <v>494</v>
      </c>
      <c r="D45" s="36">
        <v>0</v>
      </c>
      <c r="E45" s="51">
        <f>+IFERROR(D45/Summary!D$19,"")</f>
        <v>0</v>
      </c>
      <c r="F45" s="36">
        <v>0</v>
      </c>
      <c r="G45" s="51">
        <f>+IFERROR(F45/Summary!F$19,"")</f>
        <v>0</v>
      </c>
      <c r="H45" s="137">
        <f t="shared" si="22"/>
        <v>0</v>
      </c>
      <c r="I45" s="36">
        <v>0</v>
      </c>
      <c r="J45" s="51">
        <f>+IFERROR(I45/Summary!I$19,"")</f>
        <v>0</v>
      </c>
      <c r="K45" s="137">
        <f t="shared" si="23"/>
        <v>0</v>
      </c>
      <c r="M45" s="36">
        <v>-100</v>
      </c>
      <c r="N45" s="51">
        <f>+IFERROR(M45/Summary!M$19,"")</f>
        <v>-1.5900158377184553E-5</v>
      </c>
      <c r="O45" s="36">
        <v>100</v>
      </c>
      <c r="P45" s="51">
        <f>+IFERROR(O45/Summary!O$19,"")</f>
        <v>1.4783206610799272E-5</v>
      </c>
      <c r="Q45" s="137">
        <f t="shared" si="24"/>
        <v>-200</v>
      </c>
      <c r="R45" s="36">
        <v>0</v>
      </c>
      <c r="S45" s="51">
        <f>+IFERROR(R45/Summary!R$19,"")</f>
        <v>0</v>
      </c>
      <c r="T45" s="137">
        <f t="shared" si="25"/>
        <v>-100</v>
      </c>
    </row>
    <row r="46" spans="2:20" x14ac:dyDescent="0.25">
      <c r="B46" s="14" t="s">
        <v>629</v>
      </c>
      <c r="C46" s="17" t="s">
        <v>702</v>
      </c>
      <c r="D46" s="36">
        <v>0</v>
      </c>
      <c r="E46" s="51">
        <f>+IFERROR(D46/Summary!D$19,"")</f>
        <v>0</v>
      </c>
      <c r="F46" s="36">
        <v>0</v>
      </c>
      <c r="G46" s="51">
        <f>+IFERROR(F46/Summary!F$19,"")</f>
        <v>0</v>
      </c>
      <c r="H46" s="137">
        <f t="shared" si="22"/>
        <v>0</v>
      </c>
      <c r="I46" s="36">
        <v>0</v>
      </c>
      <c r="J46" s="51">
        <f>+IFERROR(I46/Summary!I$19,"")</f>
        <v>0</v>
      </c>
      <c r="K46" s="137">
        <f t="shared" si="23"/>
        <v>0</v>
      </c>
      <c r="M46" s="36">
        <v>0</v>
      </c>
      <c r="N46" s="51">
        <f>+IFERROR(M46/Summary!M$19,"")</f>
        <v>0</v>
      </c>
      <c r="O46" s="36">
        <v>0</v>
      </c>
      <c r="P46" s="51">
        <f>+IFERROR(O46/Summary!O$19,"")</f>
        <v>0</v>
      </c>
      <c r="Q46" s="137">
        <f t="shared" si="24"/>
        <v>0</v>
      </c>
      <c r="R46" s="36">
        <v>0</v>
      </c>
      <c r="S46" s="51">
        <f>+IFERROR(R46/Summary!R$19,"")</f>
        <v>0</v>
      </c>
      <c r="T46" s="137">
        <f t="shared" si="25"/>
        <v>0</v>
      </c>
    </row>
    <row r="47" spans="2:20" x14ac:dyDescent="0.25">
      <c r="B47" s="14" t="s">
        <v>349</v>
      </c>
      <c r="C47" s="17" t="s">
        <v>495</v>
      </c>
      <c r="D47" s="36">
        <v>2585</v>
      </c>
      <c r="E47" s="51">
        <f>+IFERROR(D47/Summary!D$19,"")</f>
        <v>1.7132610714940203E-3</v>
      </c>
      <c r="F47" s="36">
        <v>2525</v>
      </c>
      <c r="G47" s="51">
        <f>+IFERROR(F47/Summary!F$19,"")</f>
        <v>1.6624386845702729E-3</v>
      </c>
      <c r="H47" s="137">
        <f t="shared" si="22"/>
        <v>60</v>
      </c>
      <c r="I47" s="36">
        <v>4265.6400000000003</v>
      </c>
      <c r="J47" s="51">
        <f>+IFERROR(I47/Summary!I$19,"")</f>
        <v>3.2330025099948458E-3</v>
      </c>
      <c r="K47" s="137">
        <f t="shared" si="23"/>
        <v>-1680.6400000000003</v>
      </c>
      <c r="M47" s="36">
        <v>9465</v>
      </c>
      <c r="N47" s="51">
        <f>+IFERROR(M47/Summary!M$19,"")</f>
        <v>1.5049499904005179E-3</v>
      </c>
      <c r="O47" s="36">
        <v>11600</v>
      </c>
      <c r="P47" s="51">
        <f>+IFERROR(O47/Summary!O$19,"")</f>
        <v>1.7148519668527156E-3</v>
      </c>
      <c r="Q47" s="137">
        <f t="shared" si="24"/>
        <v>-2135</v>
      </c>
      <c r="R47" s="36">
        <v>12460.44</v>
      </c>
      <c r="S47" s="51">
        <f>+IFERROR(R47/Summary!R$19,"")</f>
        <v>2.1246854029223828E-3</v>
      </c>
      <c r="T47" s="137">
        <f t="shared" si="25"/>
        <v>-2995.4400000000005</v>
      </c>
    </row>
    <row r="48" spans="2:20" x14ac:dyDescent="0.25">
      <c r="B48" s="14" t="s">
        <v>168</v>
      </c>
      <c r="C48" s="17" t="s">
        <v>496</v>
      </c>
      <c r="D48" s="36">
        <v>4532.71</v>
      </c>
      <c r="E48" s="51">
        <f>+IFERROR(D48/Summary!D$19,"")</f>
        <v>3.0041452964687273E-3</v>
      </c>
      <c r="F48" s="36">
        <v>7512</v>
      </c>
      <c r="G48" s="51">
        <f>+IFERROR(F48/Summary!F$19,"")</f>
        <v>4.9458373855413426E-3</v>
      </c>
      <c r="H48" s="137">
        <f t="shared" si="22"/>
        <v>-2979.29</v>
      </c>
      <c r="I48" s="36">
        <v>17752.650000000001</v>
      </c>
      <c r="J48" s="51">
        <f>+IFERROR(I48/Summary!I$19,"")</f>
        <v>1.3455041215165837E-2</v>
      </c>
      <c r="K48" s="137">
        <f t="shared" si="23"/>
        <v>-13219.940000000002</v>
      </c>
      <c r="M48" s="36">
        <v>48234.86</v>
      </c>
      <c r="N48" s="51">
        <f>+IFERROR(M48/Summary!M$19,"")</f>
        <v>7.6694191330132404E-3</v>
      </c>
      <c r="O48" s="36">
        <v>51998</v>
      </c>
      <c r="P48" s="51">
        <f>+IFERROR(O48/Summary!O$19,"")</f>
        <v>7.6869717734834057E-3</v>
      </c>
      <c r="Q48" s="137">
        <f t="shared" si="24"/>
        <v>-3763.1399999999994</v>
      </c>
      <c r="R48" s="36">
        <v>52236.19</v>
      </c>
      <c r="S48" s="51">
        <f>+IFERROR(R48/Summary!R$19,"")</f>
        <v>8.907026589532966E-3</v>
      </c>
      <c r="T48" s="137">
        <f t="shared" si="25"/>
        <v>-4001.3300000000017</v>
      </c>
    </row>
    <row r="49" spans="2:24" x14ac:dyDescent="0.25">
      <c r="B49" s="14" t="s">
        <v>633</v>
      </c>
      <c r="C49" s="287" t="s">
        <v>707</v>
      </c>
      <c r="D49" s="36">
        <v>0</v>
      </c>
      <c r="E49" s="51">
        <f>+IFERROR(D49/Summary!D$19,"")</f>
        <v>0</v>
      </c>
      <c r="F49" s="36">
        <v>0</v>
      </c>
      <c r="G49" s="51">
        <f>+IFERROR(F49/Summary!F$19,"")</f>
        <v>0</v>
      </c>
      <c r="H49" s="137">
        <f t="shared" si="22"/>
        <v>0</v>
      </c>
      <c r="I49" s="36">
        <v>0</v>
      </c>
      <c r="J49" s="51">
        <f>+IFERROR(I49/Summary!I$19,"")</f>
        <v>0</v>
      </c>
      <c r="K49" s="137">
        <f t="shared" si="23"/>
        <v>0</v>
      </c>
      <c r="M49" s="36">
        <v>0</v>
      </c>
      <c r="N49" s="51">
        <f>+IFERROR(M49/Summary!M$19,"")</f>
        <v>0</v>
      </c>
      <c r="O49" s="36">
        <v>0</v>
      </c>
      <c r="P49" s="51">
        <f>+IFERROR(O49/Summary!O$19,"")</f>
        <v>0</v>
      </c>
      <c r="Q49" s="137">
        <f t="shared" si="24"/>
        <v>0</v>
      </c>
      <c r="R49" s="36">
        <v>0</v>
      </c>
      <c r="S49" s="51">
        <f>+IFERROR(R49/Summary!R$19,"")</f>
        <v>0</v>
      </c>
      <c r="T49" s="137">
        <f t="shared" si="25"/>
        <v>0</v>
      </c>
    </row>
    <row r="50" spans="2:24" x14ac:dyDescent="0.25">
      <c r="B50" s="14" t="s">
        <v>176</v>
      </c>
      <c r="C50" s="17" t="s">
        <v>358</v>
      </c>
      <c r="D50" s="36">
        <v>6758.47</v>
      </c>
      <c r="E50" s="51">
        <f>+IFERROR(D50/Summary!D$19,"")</f>
        <v>4.4793127867931107E-3</v>
      </c>
      <c r="F50" s="36">
        <v>12725</v>
      </c>
      <c r="G50" s="51">
        <f>+IFERROR(F50/Summary!F$19,"")</f>
        <v>8.3780325786759306E-3</v>
      </c>
      <c r="H50" s="137">
        <f t="shared" si="22"/>
        <v>-5966.53</v>
      </c>
      <c r="I50" s="36">
        <v>9353.52</v>
      </c>
      <c r="J50" s="51">
        <f>+IFERROR(I50/Summary!I$19,"")</f>
        <v>7.0891949712791023E-3</v>
      </c>
      <c r="K50" s="137">
        <f t="shared" si="23"/>
        <v>-2595.0500000000002</v>
      </c>
      <c r="M50" s="36">
        <v>25450.639999999999</v>
      </c>
      <c r="N50" s="51">
        <f>+IFERROR(M50/Summary!M$19,"")</f>
        <v>4.0466920680070819E-3</v>
      </c>
      <c r="O50" s="36">
        <v>65036</v>
      </c>
      <c r="P50" s="51">
        <f>+IFERROR(O50/Summary!O$19,"")</f>
        <v>9.6144062513994141E-3</v>
      </c>
      <c r="Q50" s="137">
        <f t="shared" si="24"/>
        <v>-39585.360000000001</v>
      </c>
      <c r="R50" s="36">
        <v>19880.98</v>
      </c>
      <c r="S50" s="51">
        <f>+IFERROR(R50/Summary!R$19,"")</f>
        <v>3.3899948959901765E-3</v>
      </c>
      <c r="T50" s="137">
        <f t="shared" si="25"/>
        <v>5569.66</v>
      </c>
    </row>
    <row r="51" spans="2:24" x14ac:dyDescent="0.25">
      <c r="B51" s="14" t="s">
        <v>207</v>
      </c>
      <c r="C51" s="17" t="s">
        <v>497</v>
      </c>
      <c r="D51" s="36">
        <v>883.76</v>
      </c>
      <c r="E51" s="51">
        <f>+IFERROR(D51/Summary!D$19,"")</f>
        <v>5.8572982767642371E-4</v>
      </c>
      <c r="F51" s="36">
        <v>993</v>
      </c>
      <c r="G51" s="51">
        <f>+IFERROR(F51/Summary!F$19,"")</f>
        <v>6.5378281733793312E-4</v>
      </c>
      <c r="H51" s="137">
        <f t="shared" si="22"/>
        <v>-109.24000000000001</v>
      </c>
      <c r="I51" s="36">
        <v>926.34</v>
      </c>
      <c r="J51" s="51">
        <f>+IFERROR(I51/Summary!I$19,"")</f>
        <v>7.0208914608561098E-4</v>
      </c>
      <c r="K51" s="137">
        <f t="shared" si="23"/>
        <v>-42.580000000000041</v>
      </c>
      <c r="M51" s="36">
        <v>3712.16</v>
      </c>
      <c r="N51" s="51">
        <f>+IFERROR(M51/Summary!M$19,"")</f>
        <v>5.9023931921449403E-4</v>
      </c>
      <c r="O51" s="36">
        <v>4472</v>
      </c>
      <c r="P51" s="51">
        <f>+IFERROR(O51/Summary!O$19,"")</f>
        <v>6.6110499963494343E-4</v>
      </c>
      <c r="Q51" s="137">
        <f t="shared" si="24"/>
        <v>-759.84000000000015</v>
      </c>
      <c r="R51" s="36">
        <v>3781.82</v>
      </c>
      <c r="S51" s="51">
        <f>+IFERROR(R51/Summary!R$19,"")</f>
        <v>6.4485505732381242E-4</v>
      </c>
      <c r="T51" s="137">
        <f t="shared" si="25"/>
        <v>-69.660000000000309</v>
      </c>
    </row>
    <row r="52" spans="2:24" x14ac:dyDescent="0.25">
      <c r="B52" s="14" t="s">
        <v>211</v>
      </c>
      <c r="C52" s="17" t="s">
        <v>498</v>
      </c>
      <c r="D52" s="36">
        <v>0</v>
      </c>
      <c r="E52" s="51">
        <f>+IFERROR(D52/Summary!D$19,"")</f>
        <v>0</v>
      </c>
      <c r="F52" s="36">
        <v>0</v>
      </c>
      <c r="G52" s="51">
        <f>+IFERROR(F52/Summary!F$19,"")</f>
        <v>0</v>
      </c>
      <c r="H52" s="137">
        <f t="shared" si="22"/>
        <v>0</v>
      </c>
      <c r="I52" s="36">
        <v>0</v>
      </c>
      <c r="J52" s="51">
        <f>+IFERROR(I52/Summary!I$19,"")</f>
        <v>0</v>
      </c>
      <c r="K52" s="137">
        <f t="shared" si="23"/>
        <v>0</v>
      </c>
      <c r="M52" s="36">
        <v>0</v>
      </c>
      <c r="N52" s="51">
        <f>+IFERROR(M52/Summary!M$19,"")</f>
        <v>0</v>
      </c>
      <c r="O52" s="36">
        <v>0</v>
      </c>
      <c r="P52" s="51">
        <f>+IFERROR(O52/Summary!O$19,"")</f>
        <v>0</v>
      </c>
      <c r="Q52" s="137">
        <f t="shared" si="24"/>
        <v>0</v>
      </c>
      <c r="R52" s="36">
        <v>0</v>
      </c>
      <c r="S52" s="51">
        <f>+IFERROR(R52/Summary!R$19,"")</f>
        <v>0</v>
      </c>
      <c r="T52" s="137">
        <f t="shared" si="25"/>
        <v>0</v>
      </c>
    </row>
    <row r="53" spans="2:24" x14ac:dyDescent="0.25">
      <c r="B53" s="14" t="s">
        <v>129</v>
      </c>
      <c r="C53" s="17" t="s">
        <v>503</v>
      </c>
      <c r="D53" s="36">
        <v>0</v>
      </c>
      <c r="E53" s="51">
        <f>+IFERROR(D53/Summary!D$19,"")</f>
        <v>0</v>
      </c>
      <c r="F53" s="36">
        <v>0</v>
      </c>
      <c r="G53" s="51">
        <f>+IFERROR(F53/Summary!F$19,"")</f>
        <v>0</v>
      </c>
      <c r="H53" s="137">
        <f t="shared" si="22"/>
        <v>0</v>
      </c>
      <c r="I53" s="36">
        <v>0</v>
      </c>
      <c r="J53" s="51">
        <f>+IFERROR(I53/Summary!I$19,"")</f>
        <v>0</v>
      </c>
      <c r="K53" s="137">
        <f t="shared" si="23"/>
        <v>0</v>
      </c>
      <c r="M53" s="36">
        <v>0</v>
      </c>
      <c r="N53" s="51">
        <f>+IFERROR(M53/Summary!M$19,"")</f>
        <v>0</v>
      </c>
      <c r="O53" s="36">
        <v>0</v>
      </c>
      <c r="P53" s="51">
        <f>+IFERROR(O53/Summary!O$19,"")</f>
        <v>0</v>
      </c>
      <c r="Q53" s="137">
        <f t="shared" si="24"/>
        <v>0</v>
      </c>
      <c r="R53" s="36">
        <v>0</v>
      </c>
      <c r="S53" s="51">
        <f>+IFERROR(R53/Summary!R$19,"")</f>
        <v>0</v>
      </c>
      <c r="T53" s="137">
        <f t="shared" si="25"/>
        <v>0</v>
      </c>
    </row>
    <row r="54" spans="2:24" x14ac:dyDescent="0.25">
      <c r="B54" s="14" t="s">
        <v>130</v>
      </c>
      <c r="C54" s="17" t="s">
        <v>504</v>
      </c>
      <c r="D54" s="36">
        <v>19640.599999999999</v>
      </c>
      <c r="E54" s="51">
        <f>+IFERROR(D54/Summary!D$19,"")</f>
        <v>1.3017205184056267E-2</v>
      </c>
      <c r="F54" s="36">
        <v>19188.13</v>
      </c>
      <c r="G54" s="51">
        <f>+IFERROR(F54/Summary!F$19,"")</f>
        <v>1.2633302810520155E-2</v>
      </c>
      <c r="H54" s="137">
        <f t="shared" si="22"/>
        <v>452.46999999999753</v>
      </c>
      <c r="I54" s="36">
        <v>18317.97</v>
      </c>
      <c r="J54" s="51">
        <f>+IFERROR(I54/Summary!I$19,"")</f>
        <v>1.3883507044197422E-2</v>
      </c>
      <c r="K54" s="137">
        <f t="shared" si="23"/>
        <v>1322.6299999999974</v>
      </c>
      <c r="M54" s="36">
        <v>84876.19</v>
      </c>
      <c r="N54" s="51">
        <f>+IFERROR(M54/Summary!M$19,"")</f>
        <v>1.3495448634520077E-2</v>
      </c>
      <c r="O54" s="36">
        <v>89424.03</v>
      </c>
      <c r="P54" s="51">
        <f>+IFERROR(O54/Summary!O$19,"")</f>
        <v>1.3219739114603125E-2</v>
      </c>
      <c r="Q54" s="137">
        <f t="shared" si="24"/>
        <v>-4547.8399999999965</v>
      </c>
      <c r="R54" s="36">
        <v>87993.86</v>
      </c>
      <c r="S54" s="51">
        <f>+IFERROR(R54/Summary!R$19,"")</f>
        <v>1.5004226968613929E-2</v>
      </c>
      <c r="T54" s="137">
        <f t="shared" si="25"/>
        <v>-3117.6699999999983</v>
      </c>
    </row>
    <row r="55" spans="2:24" x14ac:dyDescent="0.25">
      <c r="B55" s="14" t="s">
        <v>167</v>
      </c>
      <c r="C55" s="17" t="s">
        <v>499</v>
      </c>
      <c r="D55" s="36">
        <v>9508.01</v>
      </c>
      <c r="E55" s="51">
        <f>+IFERROR(D55/Summary!D$19,"")</f>
        <v>6.3016260736463671E-3</v>
      </c>
      <c r="F55" s="36">
        <v>10475</v>
      </c>
      <c r="G55" s="51">
        <f>+IFERROR(F55/Summary!F$19,"")</f>
        <v>6.8966515726232112E-3</v>
      </c>
      <c r="H55" s="137">
        <f t="shared" si="22"/>
        <v>-966.98999999999978</v>
      </c>
      <c r="I55" s="36">
        <v>10589.59</v>
      </c>
      <c r="J55" s="51">
        <f>+IFERROR(I55/Summary!I$19,"")</f>
        <v>8.0260338541968661E-3</v>
      </c>
      <c r="K55" s="137">
        <f t="shared" si="23"/>
        <v>-1081.58</v>
      </c>
      <c r="M55" s="36">
        <v>40025.69</v>
      </c>
      <c r="N55" s="51">
        <f>+IFERROR(M55/Summary!M$19,"")</f>
        <v>6.3641481015609194E-3</v>
      </c>
      <c r="O55" s="36">
        <v>41862.5</v>
      </c>
      <c r="P55" s="51">
        <f>+IFERROR(O55/Summary!O$19,"")</f>
        <v>6.1886198674458454E-3</v>
      </c>
      <c r="Q55" s="137">
        <f t="shared" si="24"/>
        <v>-1836.8099999999977</v>
      </c>
      <c r="R55" s="36">
        <v>43714.34</v>
      </c>
      <c r="S55" s="51">
        <f>+IFERROR(R55/Summary!R$19,"")</f>
        <v>7.4539277984072812E-3</v>
      </c>
      <c r="T55" s="137">
        <f t="shared" si="25"/>
        <v>-3688.6499999999942</v>
      </c>
    </row>
    <row r="56" spans="2:24" s="11" customFormat="1" x14ac:dyDescent="0.25">
      <c r="B56" s="14" t="s">
        <v>51</v>
      </c>
      <c r="C56" s="17" t="s">
        <v>500</v>
      </c>
      <c r="D56" s="209">
        <v>0</v>
      </c>
      <c r="E56" s="175">
        <f>+IFERROR(D56/Summary!D$19,"")</f>
        <v>0</v>
      </c>
      <c r="F56" s="209">
        <v>0</v>
      </c>
      <c r="G56" s="175">
        <f>+IFERROR(F56/Summary!F$19,"")</f>
        <v>0</v>
      </c>
      <c r="H56" s="139">
        <f t="shared" si="22"/>
        <v>0</v>
      </c>
      <c r="I56" s="36">
        <v>0</v>
      </c>
      <c r="J56" s="175">
        <f>+IFERROR(I56/Summary!I$19,"")</f>
        <v>0</v>
      </c>
      <c r="K56" s="139">
        <f t="shared" si="23"/>
        <v>0</v>
      </c>
      <c r="M56" s="209">
        <v>0</v>
      </c>
      <c r="N56" s="175">
        <f>+IFERROR(M56/Summary!M$19,"")</f>
        <v>0</v>
      </c>
      <c r="O56" s="209">
        <v>0</v>
      </c>
      <c r="P56" s="175">
        <f>+IFERROR(O56/Summary!O$19,"")</f>
        <v>0</v>
      </c>
      <c r="Q56" s="139">
        <f t="shared" si="24"/>
        <v>0</v>
      </c>
      <c r="R56" s="36">
        <v>0</v>
      </c>
      <c r="S56" s="175">
        <f>+IFERROR(R56/Summary!R$19,"")</f>
        <v>0</v>
      </c>
      <c r="T56" s="139">
        <f t="shared" si="25"/>
        <v>0</v>
      </c>
      <c r="V56" s="338"/>
      <c r="W56" s="338"/>
      <c r="X56" s="338"/>
    </row>
    <row r="57" spans="2:24" x14ac:dyDescent="0.25">
      <c r="B57" s="14" t="s">
        <v>284</v>
      </c>
      <c r="C57" s="18" t="s">
        <v>423</v>
      </c>
      <c r="D57" s="91">
        <f t="shared" ref="D57" si="26">SUM(D26:D56)</f>
        <v>49790.29</v>
      </c>
      <c r="E57" s="83">
        <f>+IFERROR(D57/Summary!D$19,"")</f>
        <v>3.2999522474041781E-2</v>
      </c>
      <c r="F57" s="91">
        <f>SUM(F26:F56)</f>
        <v>57901.460000000006</v>
      </c>
      <c r="G57" s="83">
        <f>+IFERROR(F57/Summary!F$19,"")</f>
        <v>3.8121832474098331E-2</v>
      </c>
      <c r="H57" s="140">
        <f t="shared" si="22"/>
        <v>-8111.1700000000055</v>
      </c>
      <c r="I57" s="91">
        <f>SUM(I26:I56)</f>
        <v>72324.55</v>
      </c>
      <c r="J57" s="83">
        <f>+IFERROR(I57/Summary!I$19,"")</f>
        <v>5.4816030345797517E-2</v>
      </c>
      <c r="K57" s="140">
        <f t="shared" si="23"/>
        <v>-22534.260000000002</v>
      </c>
      <c r="M57" s="91">
        <f t="shared" ref="M57" si="27">SUM(M26:M56)</f>
        <v>232931.33000000002</v>
      </c>
      <c r="N57" s="83">
        <f>+IFERROR(M57/Summary!M$19,"")</f>
        <v>3.7036450380082395E-2</v>
      </c>
      <c r="O57" s="91">
        <f>SUM(O26:O56)</f>
        <v>285755.84999999998</v>
      </c>
      <c r="P57" s="83">
        <f>+IFERROR(O57/Summary!O$19,"")</f>
        <v>4.2243877707945653E-2</v>
      </c>
      <c r="Q57" s="140">
        <f t="shared" si="24"/>
        <v>-52824.51999999996</v>
      </c>
      <c r="R57" s="91">
        <f>SUM(R26:R56)</f>
        <v>247687.82</v>
      </c>
      <c r="S57" s="83">
        <f>+IFERROR(R57/Summary!R$19,"")</f>
        <v>4.2234358950058476E-2</v>
      </c>
      <c r="T57" s="140">
        <f t="shared" si="25"/>
        <v>-14756.489999999991</v>
      </c>
    </row>
    <row r="58" spans="2:24" x14ac:dyDescent="0.25">
      <c r="B58" s="14"/>
      <c r="C58" s="16"/>
      <c r="D58" s="48"/>
      <c r="E58" s="307"/>
      <c r="F58" s="16"/>
      <c r="G58" s="32"/>
      <c r="H58" s="16"/>
      <c r="I58" s="16"/>
      <c r="J58" s="32"/>
      <c r="K58" s="49"/>
      <c r="M58" s="48"/>
      <c r="N58" s="307"/>
      <c r="O58" s="16"/>
      <c r="P58" s="32"/>
      <c r="Q58" s="16"/>
      <c r="R58" s="16"/>
      <c r="S58" s="32"/>
      <c r="T58" s="49"/>
    </row>
    <row r="59" spans="2:24" x14ac:dyDescent="0.25">
      <c r="B59" s="14" t="s">
        <v>263</v>
      </c>
      <c r="C59" s="18" t="s">
        <v>424</v>
      </c>
      <c r="D59" s="142">
        <f t="shared" ref="D59" si="28">+D23+D57</f>
        <v>88393.959999999992</v>
      </c>
      <c r="E59" s="135">
        <f>+IFERROR(D59/Summary!D$19,"")</f>
        <v>5.8584886121160369E-2</v>
      </c>
      <c r="F59" s="142">
        <f>+F23+F57</f>
        <v>104759.65000000001</v>
      </c>
      <c r="G59" s="135">
        <f>+IFERROR(F59/Summary!F$19,"")</f>
        <v>6.8972869204769194E-2</v>
      </c>
      <c r="H59" s="131">
        <f>+D59-F59</f>
        <v>-16365.690000000017</v>
      </c>
      <c r="I59" s="142">
        <f>+I23+I57</f>
        <v>115727.72</v>
      </c>
      <c r="J59" s="135">
        <f>+IFERROR(I59/Summary!I$19,"")</f>
        <v>8.7712045375601483E-2</v>
      </c>
      <c r="K59" s="131">
        <f>+D59-I59</f>
        <v>-27333.760000000009</v>
      </c>
      <c r="M59" s="142">
        <f t="shared" ref="M59" si="29">+M23+M57</f>
        <v>381980.89</v>
      </c>
      <c r="N59" s="135">
        <f>+IFERROR(M59/Summary!M$19,"")</f>
        <v>6.0735566480579109E-2</v>
      </c>
      <c r="O59" s="142">
        <f>+O23+O57</f>
        <v>470940.63999999996</v>
      </c>
      <c r="P59" s="135">
        <f>+IFERROR(O59/Summary!O$19,"")</f>
        <v>6.9620127825420403E-2</v>
      </c>
      <c r="Q59" s="131">
        <f>+M59-O59</f>
        <v>-88959.749999999942</v>
      </c>
      <c r="R59" s="142">
        <f>+R23+R57</f>
        <v>417390.76</v>
      </c>
      <c r="S59" s="135">
        <f>+IFERROR(R59/Summary!R$19,"")</f>
        <v>7.1171166915990097E-2</v>
      </c>
      <c r="T59" s="131">
        <f>+M59-R59</f>
        <v>-35409.869999999995</v>
      </c>
    </row>
    <row r="60" spans="2:24" ht="15.75" thickBot="1" x14ac:dyDescent="0.3">
      <c r="B60" s="14"/>
      <c r="C60" s="18" t="s">
        <v>425</v>
      </c>
      <c r="D60" s="143">
        <f t="shared" ref="D60" si="30">0-D59</f>
        <v>-88393.959999999992</v>
      </c>
      <c r="E60" s="213">
        <f>+IFERROR(D60/Summary!D$19,"")</f>
        <v>-5.8584886121160369E-2</v>
      </c>
      <c r="F60" s="143">
        <f t="shared" ref="F60" si="31">0-F59</f>
        <v>-104759.65000000001</v>
      </c>
      <c r="G60" s="213">
        <f>+IFERROR(F60/Summary!F$19,"")</f>
        <v>-6.8972869204769194E-2</v>
      </c>
      <c r="H60" s="132">
        <f>+D60-F60</f>
        <v>16365.690000000017</v>
      </c>
      <c r="I60" s="143">
        <f t="shared" ref="I60" si="32">0-I59</f>
        <v>-115727.72</v>
      </c>
      <c r="J60" s="213">
        <f>+IFERROR(I60/Summary!I$19,"")</f>
        <v>-8.7712045375601483E-2</v>
      </c>
      <c r="K60" s="132">
        <f>+D60-I60</f>
        <v>27333.760000000009</v>
      </c>
      <c r="M60" s="143">
        <f t="shared" ref="M60" si="33">0-M59</f>
        <v>-381980.89</v>
      </c>
      <c r="N60" s="213">
        <f>+IFERROR(M60/Summary!M$19,"")</f>
        <v>-6.0735566480579109E-2</v>
      </c>
      <c r="O60" s="143">
        <f t="shared" ref="O60" si="34">0-O59</f>
        <v>-470940.63999999996</v>
      </c>
      <c r="P60" s="213">
        <f>+IFERROR(O60/Summary!O$19,"")</f>
        <v>-6.9620127825420403E-2</v>
      </c>
      <c r="Q60" s="132">
        <f>+M60-O60</f>
        <v>88959.749999999942</v>
      </c>
      <c r="R60" s="143">
        <f t="shared" ref="R60" si="35">0-R59</f>
        <v>-417390.76</v>
      </c>
      <c r="S60" s="213">
        <f>+IFERROR(R60/Summary!R$19,"")</f>
        <v>-7.1171166915990097E-2</v>
      </c>
      <c r="T60" s="132">
        <f>+M60-R60</f>
        <v>35409.869999999995</v>
      </c>
    </row>
    <row r="61" spans="2:24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D377-E734-476B-AA63-FF769A2736E7}">
  <dimension ref="B1:X60"/>
  <sheetViews>
    <sheetView showGridLines="0" zoomScale="80" zoomScaleNormal="80" workbookViewId="0">
      <pane xSplit="3" ySplit="8" topLeftCell="D45" activePane="bottomRight" state="frozen"/>
      <selection activeCell="AA33" sqref="AA33"/>
      <selection pane="topRight" activeCell="AA33" sqref="AA33"/>
      <selection pane="bottomLeft" activeCell="AA33" sqref="AA33"/>
      <selection pane="bottomRight" activeCell="AA33" sqref="AA33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  <col min="22" max="24" width="9.140625" style="338"/>
  </cols>
  <sheetData>
    <row r="1" spans="2:22" x14ac:dyDescent="0.25">
      <c r="V1" s="338" t="s">
        <v>715</v>
      </c>
    </row>
    <row r="2" spans="2:22" ht="22.5" x14ac:dyDescent="0.3">
      <c r="B2" s="1"/>
      <c r="C2" s="35" t="str">
        <f>+Summary!$C$2</f>
        <v>Angler's</v>
      </c>
      <c r="I2" s="4"/>
      <c r="R2" s="4"/>
      <c r="V2" s="338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APR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2" t="str">
        <f>Year&amp;" "&amp;UPPER(Month)&amp;" - PERIODIC"</f>
        <v>2025 APR - PERIODIC</v>
      </c>
      <c r="E6" s="293"/>
      <c r="F6" s="290"/>
      <c r="G6" s="290"/>
      <c r="H6" s="290"/>
      <c r="I6" s="290"/>
      <c r="J6" s="290"/>
      <c r="K6" s="291"/>
      <c r="M6" s="292" t="str">
        <f>Year&amp;" "&amp;UPPER(Month)&amp;" - YEAR TO DATE"</f>
        <v>2025 APR - YEAR TO DATE</v>
      </c>
      <c r="N6" s="293"/>
      <c r="O6" s="290"/>
      <c r="P6" s="290"/>
      <c r="Q6" s="290"/>
      <c r="R6" s="290"/>
      <c r="S6" s="290"/>
      <c r="T6" s="291"/>
    </row>
    <row r="7" spans="2:22" x14ac:dyDescent="0.25">
      <c r="B7"/>
      <c r="D7" s="333" t="s">
        <v>392</v>
      </c>
      <c r="E7" s="334"/>
      <c r="F7" s="335" t="s">
        <v>389</v>
      </c>
      <c r="G7" s="334"/>
      <c r="H7" s="39" t="s">
        <v>388</v>
      </c>
      <c r="I7" s="335" t="s">
        <v>718</v>
      </c>
      <c r="J7" s="334"/>
      <c r="K7" s="288" t="s">
        <v>388</v>
      </c>
      <c r="M7" s="333" t="s">
        <v>392</v>
      </c>
      <c r="N7" s="334"/>
      <c r="O7" s="335" t="s">
        <v>389</v>
      </c>
      <c r="P7" s="334"/>
      <c r="Q7" s="39" t="s">
        <v>388</v>
      </c>
      <c r="R7" s="335" t="s">
        <v>718</v>
      </c>
      <c r="S7" s="334"/>
      <c r="T7" s="288" t="s">
        <v>388</v>
      </c>
    </row>
    <row r="8" spans="2:22" ht="22.5" customHeight="1" collapsed="1" x14ac:dyDescent="0.25">
      <c r="B8"/>
      <c r="D8" s="304" t="s">
        <v>391</v>
      </c>
      <c r="E8" s="40" t="s">
        <v>390</v>
      </c>
      <c r="F8" s="40" t="s">
        <v>391</v>
      </c>
      <c r="G8" s="40" t="s">
        <v>390</v>
      </c>
      <c r="H8" s="75" t="s">
        <v>391</v>
      </c>
      <c r="I8" s="294" t="s">
        <v>392</v>
      </c>
      <c r="J8" s="76" t="s">
        <v>390</v>
      </c>
      <c r="K8" s="75" t="s">
        <v>391</v>
      </c>
      <c r="M8" s="304" t="s">
        <v>391</v>
      </c>
      <c r="N8" s="40" t="s">
        <v>390</v>
      </c>
      <c r="O8" s="40" t="s">
        <v>391</v>
      </c>
      <c r="P8" s="40" t="s">
        <v>390</v>
      </c>
      <c r="Q8" s="75" t="s">
        <v>391</v>
      </c>
      <c r="R8" s="294" t="s">
        <v>392</v>
      </c>
      <c r="S8" s="76" t="s">
        <v>390</v>
      </c>
      <c r="T8" s="75" t="s">
        <v>391</v>
      </c>
    </row>
    <row r="9" spans="2:22" x14ac:dyDescent="0.25">
      <c r="B9" s="14"/>
      <c r="C9" s="15" t="s">
        <v>403</v>
      </c>
      <c r="D9" s="48"/>
      <c r="E9" s="49"/>
      <c r="F9" s="179"/>
      <c r="G9" s="16"/>
      <c r="H9" s="79"/>
      <c r="I9" s="16"/>
      <c r="J9" s="16"/>
      <c r="K9" s="79"/>
      <c r="M9" s="48"/>
      <c r="N9" s="49"/>
      <c r="O9" s="179"/>
      <c r="P9" s="16"/>
      <c r="Q9" s="79"/>
      <c r="R9" s="16"/>
      <c r="S9" s="16"/>
      <c r="T9" s="79"/>
    </row>
    <row r="10" spans="2:22" x14ac:dyDescent="0.25">
      <c r="B10" s="14"/>
      <c r="C10" s="22" t="s">
        <v>404</v>
      </c>
      <c r="D10" s="48"/>
      <c r="E10" s="101"/>
      <c r="F10" s="92"/>
      <c r="G10" s="19"/>
      <c r="H10" s="49"/>
      <c r="I10" s="19"/>
      <c r="J10" s="19"/>
      <c r="K10" s="101"/>
      <c r="M10" s="48"/>
      <c r="N10" s="101"/>
      <c r="O10" s="92"/>
      <c r="P10" s="19"/>
      <c r="Q10" s="49"/>
      <c r="R10" s="19"/>
      <c r="S10" s="19"/>
      <c r="T10" s="101"/>
    </row>
    <row r="11" spans="2:22" x14ac:dyDescent="0.25">
      <c r="B11" s="14" t="s">
        <v>236</v>
      </c>
      <c r="C11" s="17" t="s">
        <v>405</v>
      </c>
      <c r="D11" s="36">
        <v>7466.01</v>
      </c>
      <c r="E11" s="108">
        <f>+IFERROR(D11/Summary!D$19,"")</f>
        <v>4.9482492427021553E-3</v>
      </c>
      <c r="F11" s="36">
        <v>5812.72</v>
      </c>
      <c r="G11" s="108">
        <f>+IFERROR(F11/Summary!F$19,"")</f>
        <v>3.8270457784456702E-3</v>
      </c>
      <c r="H11" s="137">
        <f>+D11-F11</f>
        <v>1653.29</v>
      </c>
      <c r="I11" s="36">
        <v>7367.73</v>
      </c>
      <c r="J11" s="108">
        <f>+IFERROR(I11/Summary!I$19,"")</f>
        <v>5.5841303023612694E-3</v>
      </c>
      <c r="K11" s="137">
        <f>+D11-I11</f>
        <v>98.280000000000655</v>
      </c>
      <c r="M11" s="36">
        <v>21841.34</v>
      </c>
      <c r="N11" s="108">
        <f>+IFERROR(M11/Summary!M$19,"")</f>
        <v>3.4728076516993603E-3</v>
      </c>
      <c r="O11" s="36">
        <v>22385.5</v>
      </c>
      <c r="P11" s="108">
        <f>+IFERROR(O11/Summary!O$19,"")</f>
        <v>3.3092947158604711E-3</v>
      </c>
      <c r="Q11" s="137">
        <f>+M11-O11</f>
        <v>-544.15999999999985</v>
      </c>
      <c r="R11" s="36">
        <v>32002.69</v>
      </c>
      <c r="S11" s="108">
        <f>+IFERROR(R11/Summary!R$19,"")</f>
        <v>5.4569219303050379E-3</v>
      </c>
      <c r="T11" s="137">
        <f>+M11-R11</f>
        <v>-10161.349999999999</v>
      </c>
    </row>
    <row r="12" spans="2:22" x14ac:dyDescent="0.25">
      <c r="B12" s="14"/>
      <c r="C12" s="18" t="s">
        <v>406</v>
      </c>
      <c r="D12" s="281"/>
      <c r="E12" s="108"/>
      <c r="F12" s="281"/>
      <c r="G12" s="108"/>
      <c r="H12" s="137"/>
      <c r="I12" s="281"/>
      <c r="J12" s="108"/>
      <c r="K12" s="137"/>
      <c r="M12" s="281"/>
      <c r="N12" s="108"/>
      <c r="O12" s="281"/>
      <c r="P12" s="108"/>
      <c r="Q12" s="137"/>
      <c r="R12" s="281"/>
      <c r="S12" s="108"/>
      <c r="T12" s="137"/>
    </row>
    <row r="13" spans="2:22" x14ac:dyDescent="0.25">
      <c r="B13" s="14" t="s">
        <v>240</v>
      </c>
      <c r="C13" s="17" t="s">
        <v>505</v>
      </c>
      <c r="D13" s="36">
        <v>17840.400000000001</v>
      </c>
      <c r="E13" s="108">
        <f>+IFERROR(D13/Summary!D$19,"")</f>
        <v>1.1824086197246392E-2</v>
      </c>
      <c r="F13" s="36">
        <v>17366.18</v>
      </c>
      <c r="G13" s="108">
        <f>+IFERROR(F13/Summary!F$19,"")</f>
        <v>1.1433746310974489E-2</v>
      </c>
      <c r="H13" s="137">
        <f t="shared" ref="H13:H23" si="0">+D13-F13</f>
        <v>474.22000000000116</v>
      </c>
      <c r="I13" s="36">
        <v>18995.93</v>
      </c>
      <c r="J13" s="108">
        <f>+IFERROR(I13/Summary!I$19,"")</f>
        <v>1.4397344682084375E-2</v>
      </c>
      <c r="K13" s="137">
        <f t="shared" ref="K13:K23" si="1">+D13-I13</f>
        <v>-1155.5299999999988</v>
      </c>
      <c r="M13" s="36">
        <v>64673.49</v>
      </c>
      <c r="N13" s="108">
        <f>+IFERROR(M13/Summary!M$19,"")</f>
        <v>1.0283187338052613E-2</v>
      </c>
      <c r="O13" s="36">
        <v>68902.740000000005</v>
      </c>
      <c r="P13" s="108">
        <f>+IFERROR(O13/Summary!O$19,"")</f>
        <v>1.0186034414701835E-2</v>
      </c>
      <c r="Q13" s="137">
        <f t="shared" ref="Q13:Q23" si="2">+M13-O13</f>
        <v>-4229.2500000000073</v>
      </c>
      <c r="R13" s="36">
        <v>74969.95</v>
      </c>
      <c r="S13" s="108">
        <f>+IFERROR(R13/Summary!R$19,"")</f>
        <v>1.2783461773646908E-2</v>
      </c>
      <c r="T13" s="137">
        <f t="shared" ref="T13:T23" si="3">+M13-R13</f>
        <v>-10296.459999999999</v>
      </c>
    </row>
    <row r="14" spans="2:22" x14ac:dyDescent="0.25">
      <c r="B14" s="14" t="s">
        <v>656</v>
      </c>
      <c r="C14" s="17" t="s">
        <v>706</v>
      </c>
      <c r="D14" s="221">
        <v>0</v>
      </c>
      <c r="E14" s="224">
        <f>+IFERROR(D14/Summary!D$19,"")</f>
        <v>0</v>
      </c>
      <c r="F14" s="221">
        <v>0</v>
      </c>
      <c r="G14" s="224">
        <f>+IFERROR(F14/Summary!F$19,"")</f>
        <v>0</v>
      </c>
      <c r="H14" s="183">
        <f t="shared" si="0"/>
        <v>0</v>
      </c>
      <c r="I14" s="36">
        <v>0</v>
      </c>
      <c r="J14" s="224">
        <f>+IFERROR(I14/Summary!I$19,"")</f>
        <v>0</v>
      </c>
      <c r="K14" s="183">
        <f t="shared" si="1"/>
        <v>0</v>
      </c>
      <c r="M14" s="221">
        <v>0</v>
      </c>
      <c r="N14" s="224">
        <f>+IFERROR(M14/Summary!M$19,"")</f>
        <v>0</v>
      </c>
      <c r="O14" s="221">
        <v>0</v>
      </c>
      <c r="P14" s="224">
        <f>+IFERROR(O14/Summary!O$19,"")</f>
        <v>0</v>
      </c>
      <c r="Q14" s="183">
        <f t="shared" si="2"/>
        <v>0</v>
      </c>
      <c r="R14" s="36">
        <v>0</v>
      </c>
      <c r="S14" s="224">
        <f>+IFERROR(R14/Summary!R$19,"")</f>
        <v>0</v>
      </c>
      <c r="T14" s="183">
        <f t="shared" si="3"/>
        <v>0</v>
      </c>
    </row>
    <row r="15" spans="2:22" x14ac:dyDescent="0.25">
      <c r="B15" s="14" t="s">
        <v>302</v>
      </c>
      <c r="C15" s="23" t="s">
        <v>409</v>
      </c>
      <c r="D15" s="103">
        <f t="shared" ref="D15" si="4">SUM(D11,D13:D14)</f>
        <v>25306.410000000003</v>
      </c>
      <c r="E15" s="146">
        <f>+IFERROR(D15/Summary!D$19,"")</f>
        <v>1.6772335439948549E-2</v>
      </c>
      <c r="F15" s="103">
        <f t="shared" ref="F15" si="5">SUM(F11,F13:F14)</f>
        <v>23178.9</v>
      </c>
      <c r="G15" s="146">
        <f>+IFERROR(F15/Summary!F$19,"")</f>
        <v>1.5260792089420159E-2</v>
      </c>
      <c r="H15" s="150">
        <f t="shared" si="0"/>
        <v>2127.510000000002</v>
      </c>
      <c r="I15" s="103">
        <f t="shared" ref="I15" si="6">SUM(I11,I13:I14)</f>
        <v>26363.66</v>
      </c>
      <c r="J15" s="146">
        <f>+IFERROR(I15/Summary!I$19,"")</f>
        <v>1.9981474984445642E-2</v>
      </c>
      <c r="K15" s="150">
        <f t="shared" si="1"/>
        <v>-1057.2499999999964</v>
      </c>
      <c r="M15" s="103">
        <f t="shared" ref="M15" si="7">SUM(M11,M13:M14)</f>
        <v>86514.83</v>
      </c>
      <c r="N15" s="146">
        <f>+IFERROR(M15/Summary!M$19,"")</f>
        <v>1.3755994989751974E-2</v>
      </c>
      <c r="O15" s="103">
        <f t="shared" ref="O15" si="8">SUM(O11,O13:O14)</f>
        <v>91288.24</v>
      </c>
      <c r="P15" s="146">
        <f>+IFERROR(O15/Summary!O$19,"")</f>
        <v>1.3495329130562306E-2</v>
      </c>
      <c r="Q15" s="150">
        <f t="shared" si="2"/>
        <v>-4773.4100000000035</v>
      </c>
      <c r="R15" s="103">
        <f t="shared" ref="R15" si="9">SUM(R11,R13:R14)</f>
        <v>106972.64</v>
      </c>
      <c r="S15" s="146">
        <f>+IFERROR(R15/Summary!R$19,"")</f>
        <v>1.8240383703951948E-2</v>
      </c>
      <c r="T15" s="150">
        <f t="shared" si="3"/>
        <v>-20457.809999999998</v>
      </c>
    </row>
    <row r="16" spans="2:22" x14ac:dyDescent="0.25">
      <c r="B16" s="14" t="s">
        <v>660</v>
      </c>
      <c r="C16" s="17" t="s">
        <v>410</v>
      </c>
      <c r="D16" s="161">
        <v>0</v>
      </c>
      <c r="E16" s="225">
        <f>+IFERROR(D16/Summary!D$19,"")</f>
        <v>0</v>
      </c>
      <c r="F16" s="161">
        <v>0</v>
      </c>
      <c r="G16" s="225">
        <f>+IFERROR(F16/Summary!F$19,"")</f>
        <v>0</v>
      </c>
      <c r="H16" s="228">
        <f t="shared" si="0"/>
        <v>0</v>
      </c>
      <c r="I16" s="36">
        <v>0</v>
      </c>
      <c r="J16" s="225">
        <f>+IFERROR(I16/Summary!I$19,"")</f>
        <v>0</v>
      </c>
      <c r="K16" s="228">
        <f t="shared" si="1"/>
        <v>0</v>
      </c>
      <c r="M16" s="161">
        <v>4128</v>
      </c>
      <c r="N16" s="225">
        <f>+IFERROR(M16/Summary!M$19,"")</f>
        <v>6.5635853781017834E-4</v>
      </c>
      <c r="O16" s="161">
        <v>0</v>
      </c>
      <c r="P16" s="225">
        <f>+IFERROR(O16/Summary!O$19,"")</f>
        <v>0</v>
      </c>
      <c r="Q16" s="228">
        <f t="shared" si="2"/>
        <v>4128</v>
      </c>
      <c r="R16" s="36">
        <v>0</v>
      </c>
      <c r="S16" s="225">
        <f>+IFERROR(R16/Summary!R$19,"")</f>
        <v>0</v>
      </c>
      <c r="T16" s="228">
        <f t="shared" si="3"/>
        <v>4128</v>
      </c>
    </row>
    <row r="17" spans="2:20" x14ac:dyDescent="0.25">
      <c r="B17" s="14" t="s">
        <v>251</v>
      </c>
      <c r="C17" s="17" t="s">
        <v>411</v>
      </c>
      <c r="D17" s="106">
        <v>73.599999999999994</v>
      </c>
      <c r="E17" s="145">
        <f>+IFERROR(D17/Summary!D$19,"")</f>
        <v>4.8779889695148888E-5</v>
      </c>
      <c r="F17" s="106">
        <v>581.27</v>
      </c>
      <c r="G17" s="145">
        <f>+IFERROR(F17/Summary!F$19,"")</f>
        <v>3.8270326106145048E-4</v>
      </c>
      <c r="H17" s="183">
        <f t="shared" si="0"/>
        <v>-507.66999999999996</v>
      </c>
      <c r="I17" s="36">
        <v>-2362.5</v>
      </c>
      <c r="J17" s="145">
        <f>+IFERROR(I17/Summary!I$19,"")</f>
        <v>-1.7905797089915753E-3</v>
      </c>
      <c r="K17" s="183">
        <f t="shared" si="1"/>
        <v>2436.1</v>
      </c>
      <c r="M17" s="106">
        <v>623.54</v>
      </c>
      <c r="N17" s="145">
        <f>+IFERROR(M17/Summary!M$19,"")</f>
        <v>9.9143847545096547E-5</v>
      </c>
      <c r="O17" s="106">
        <v>2325.08</v>
      </c>
      <c r="P17" s="145">
        <f>+IFERROR(O17/Summary!O$19,"")</f>
        <v>3.4372138026637173E-4</v>
      </c>
      <c r="Q17" s="183">
        <f t="shared" si="2"/>
        <v>-1701.54</v>
      </c>
      <c r="R17" s="36">
        <v>-2000</v>
      </c>
      <c r="S17" s="145">
        <f>+IFERROR(R17/Summary!R$19,"")</f>
        <v>-3.4102895289771191E-4</v>
      </c>
      <c r="T17" s="183">
        <f t="shared" si="3"/>
        <v>2623.54</v>
      </c>
    </row>
    <row r="18" spans="2:20" x14ac:dyDescent="0.25">
      <c r="B18" s="14"/>
      <c r="C18" s="23" t="s">
        <v>412</v>
      </c>
      <c r="D18" s="103">
        <f t="shared" ref="D18" si="10">+D15+SUM(D16:D17)</f>
        <v>25380.010000000002</v>
      </c>
      <c r="E18" s="146">
        <f>+IFERROR(D18/Summary!D$19,"")</f>
        <v>1.6821115329643695E-2</v>
      </c>
      <c r="F18" s="103">
        <f>+F15+SUM(F16:F17)</f>
        <v>23760.170000000002</v>
      </c>
      <c r="G18" s="146">
        <f>+IFERROR(F18/Summary!F$19,"")</f>
        <v>1.5643495350481609E-2</v>
      </c>
      <c r="H18" s="150">
        <f t="shared" si="0"/>
        <v>1619.8400000000001</v>
      </c>
      <c r="I18" s="103">
        <f>+I15+SUM(I16:I17)</f>
        <v>24001.16</v>
      </c>
      <c r="J18" s="146">
        <f>+IFERROR(I18/Summary!I$19,"")</f>
        <v>1.8190895275454068E-2</v>
      </c>
      <c r="K18" s="150">
        <f t="shared" si="1"/>
        <v>1378.8500000000022</v>
      </c>
      <c r="M18" s="103">
        <f t="shared" ref="M18" si="11">+M15+SUM(M16:M17)</f>
        <v>91266.37</v>
      </c>
      <c r="N18" s="146">
        <f>+IFERROR(M18/Summary!M$19,"")</f>
        <v>1.4511497375107247E-2</v>
      </c>
      <c r="O18" s="103">
        <f>+O15+SUM(O16:O17)</f>
        <v>93613.32</v>
      </c>
      <c r="P18" s="146">
        <f>+IFERROR(O18/Summary!O$19,"")</f>
        <v>1.3839050510828678E-2</v>
      </c>
      <c r="Q18" s="150">
        <f t="shared" si="2"/>
        <v>-2346.9500000000116</v>
      </c>
      <c r="R18" s="103">
        <f>+R15+SUM(R16:R17)</f>
        <v>104972.64</v>
      </c>
      <c r="S18" s="146">
        <f>+IFERROR(R18/Summary!R$19,"")</f>
        <v>1.7899354751054235E-2</v>
      </c>
      <c r="T18" s="150">
        <f t="shared" si="3"/>
        <v>-13706.270000000004</v>
      </c>
    </row>
    <row r="19" spans="2:20" x14ac:dyDescent="0.25">
      <c r="B19" s="14" t="s">
        <v>297</v>
      </c>
      <c r="C19" s="17" t="s">
        <v>413</v>
      </c>
      <c r="D19" s="106">
        <v>1857.77</v>
      </c>
      <c r="E19" s="145">
        <f>+IFERROR(D19/Summary!D$19,"")</f>
        <v>1.2312746695510429E-3</v>
      </c>
      <c r="F19" s="106">
        <v>2356.7399999999998</v>
      </c>
      <c r="G19" s="145">
        <f>+IFERROR(F19/Summary!F$19,"")</f>
        <v>1.5516577209798593E-3</v>
      </c>
      <c r="H19" s="182">
        <f t="shared" si="0"/>
        <v>-498.9699999999998</v>
      </c>
      <c r="I19" s="36">
        <v>2404.15</v>
      </c>
      <c r="J19" s="145">
        <f>+IFERROR(I19/Summary!I$19,"")</f>
        <v>1.8221469660834268E-3</v>
      </c>
      <c r="K19" s="182">
        <f t="shared" si="1"/>
        <v>-546.38000000000011</v>
      </c>
      <c r="M19" s="106">
        <v>7174.15</v>
      </c>
      <c r="N19" s="145">
        <f>+IFERROR(M19/Summary!M$19,"")</f>
        <v>1.1407012122167854E-3</v>
      </c>
      <c r="O19" s="106">
        <v>9468.4500000000007</v>
      </c>
      <c r="P19" s="145">
        <f>+IFERROR(O19/Summary!O$19,"")</f>
        <v>1.3997405263402238E-3</v>
      </c>
      <c r="Q19" s="182">
        <f t="shared" si="2"/>
        <v>-2294.3000000000011</v>
      </c>
      <c r="R19" s="36">
        <v>9101.2999999999993</v>
      </c>
      <c r="S19" s="145">
        <f>+IFERROR(R19/Summary!R$19,"")</f>
        <v>1.5519034045039725E-3</v>
      </c>
      <c r="T19" s="182">
        <f t="shared" si="3"/>
        <v>-1927.1499999999996</v>
      </c>
    </row>
    <row r="20" spans="2:20" x14ac:dyDescent="0.25">
      <c r="B20" s="14" t="s">
        <v>231</v>
      </c>
      <c r="C20" s="17" t="s">
        <v>359</v>
      </c>
      <c r="D20" s="36">
        <v>3221.14</v>
      </c>
      <c r="E20" s="51">
        <f>+IFERROR(D20/Summary!D$19,"")</f>
        <v>2.1348757322368463E-3</v>
      </c>
      <c r="F20" s="36">
        <v>2425.7600000000002</v>
      </c>
      <c r="G20" s="51">
        <f>+IFERROR(F20/Summary!F$19,"")</f>
        <v>1.5970999063299744E-3</v>
      </c>
      <c r="H20" s="182">
        <f t="shared" si="0"/>
        <v>795.37999999999965</v>
      </c>
      <c r="I20" s="36">
        <v>1009.18</v>
      </c>
      <c r="J20" s="51">
        <f>+IFERROR(I20/Summary!I$19,"")</f>
        <v>7.6487501829422978E-4</v>
      </c>
      <c r="K20" s="182">
        <f t="shared" si="1"/>
        <v>2211.96</v>
      </c>
      <c r="M20" s="36">
        <v>12131.29</v>
      </c>
      <c r="N20" s="51">
        <f>+IFERROR(M20/Summary!M$19,"")</f>
        <v>1.9288943231955519E-3</v>
      </c>
      <c r="O20" s="36">
        <v>11591.59</v>
      </c>
      <c r="P20" s="51">
        <f>+IFERROR(O20/Summary!O$19,"")</f>
        <v>1.7136086991767475E-3</v>
      </c>
      <c r="Q20" s="182">
        <f t="shared" si="2"/>
        <v>539.70000000000073</v>
      </c>
      <c r="R20" s="36">
        <v>7831.73</v>
      </c>
      <c r="S20" s="51">
        <f>+IFERROR(R20/Summary!R$19,"")</f>
        <v>1.3354233406387987E-3</v>
      </c>
      <c r="T20" s="182">
        <f t="shared" si="3"/>
        <v>4299.5600000000013</v>
      </c>
    </row>
    <row r="21" spans="2:20" x14ac:dyDescent="0.25">
      <c r="B21" s="14" t="s">
        <v>269</v>
      </c>
      <c r="C21" s="17" t="s">
        <v>360</v>
      </c>
      <c r="D21" s="106">
        <v>5441.09</v>
      </c>
      <c r="E21" s="145">
        <f>+IFERROR(D21/Summary!D$19,"")</f>
        <v>3.606192527464371E-3</v>
      </c>
      <c r="F21" s="106">
        <v>5541.71</v>
      </c>
      <c r="G21" s="145">
        <f>+IFERROR(F21/Summary!F$19,"")</f>
        <v>3.6486150822455155E-3</v>
      </c>
      <c r="H21" s="226">
        <f t="shared" si="0"/>
        <v>-100.61999999999989</v>
      </c>
      <c r="I21" s="36">
        <v>7273.01</v>
      </c>
      <c r="J21" s="145">
        <f>+IFERROR(I21/Summary!I$19,"")</f>
        <v>5.5123403721874355E-3</v>
      </c>
      <c r="K21" s="226">
        <f t="shared" si="1"/>
        <v>-1831.92</v>
      </c>
      <c r="M21" s="106">
        <v>18976.240000000002</v>
      </c>
      <c r="N21" s="145">
        <f>+IFERROR(M21/Summary!M$19,"")</f>
        <v>3.0172522140346461E-3</v>
      </c>
      <c r="O21" s="106">
        <v>22077.3</v>
      </c>
      <c r="P21" s="145">
        <f>+IFERROR(O21/Summary!O$19,"")</f>
        <v>3.2637328730859877E-3</v>
      </c>
      <c r="Q21" s="226">
        <f t="shared" si="2"/>
        <v>-3101.0599999999977</v>
      </c>
      <c r="R21" s="36">
        <v>26285.42</v>
      </c>
      <c r="S21" s="145">
        <f>+IFERROR(R21/Summary!R$19,"")</f>
        <v>4.4820446295382871E-3</v>
      </c>
      <c r="T21" s="226">
        <f t="shared" si="3"/>
        <v>-7309.1799999999967</v>
      </c>
    </row>
    <row r="22" spans="2:20" x14ac:dyDescent="0.25">
      <c r="B22" s="14" t="s">
        <v>291</v>
      </c>
      <c r="C22" s="23" t="s">
        <v>414</v>
      </c>
      <c r="D22" s="142">
        <f t="shared" ref="D22" si="12">+SUM(D19:D21)</f>
        <v>10520</v>
      </c>
      <c r="E22" s="130">
        <f>+IFERROR(D22/Summary!D$19,"")</f>
        <v>6.9723429292522605E-3</v>
      </c>
      <c r="F22" s="142">
        <f t="shared" ref="F22" si="13">+SUM(F19:F21)</f>
        <v>10324.209999999999</v>
      </c>
      <c r="G22" s="130">
        <f>+IFERROR(F22/Summary!F$19,"")</f>
        <v>6.7973727095553488E-3</v>
      </c>
      <c r="H22" s="26">
        <f t="shared" si="0"/>
        <v>195.79000000000087</v>
      </c>
      <c r="I22" s="142">
        <f t="shared" ref="I22" si="14">+SUM(I19:I21)</f>
        <v>10686.34</v>
      </c>
      <c r="J22" s="130">
        <f>+IFERROR(I22/Summary!I$19,"")</f>
        <v>8.0993623565650923E-3</v>
      </c>
      <c r="K22" s="227">
        <f t="shared" si="1"/>
        <v>-166.34000000000015</v>
      </c>
      <c r="M22" s="142">
        <f t="shared" ref="M22" si="15">+SUM(M19:M21)</f>
        <v>38281.680000000008</v>
      </c>
      <c r="N22" s="130">
        <f>+IFERROR(M22/Summary!M$19,"")</f>
        <v>6.0868477494469839E-3</v>
      </c>
      <c r="O22" s="142">
        <f t="shared" ref="O22" si="16">+SUM(O19:O21)</f>
        <v>43137.34</v>
      </c>
      <c r="P22" s="130">
        <f>+IFERROR(O22/Summary!O$19,"")</f>
        <v>6.3770820986029583E-3</v>
      </c>
      <c r="Q22" s="26">
        <f t="shared" si="2"/>
        <v>-4855.6599999999889</v>
      </c>
      <c r="R22" s="142">
        <f t="shared" ref="R22" si="17">+SUM(R19:R21)</f>
        <v>43218.45</v>
      </c>
      <c r="S22" s="130">
        <f>+IFERROR(R22/Summary!R$19,"")</f>
        <v>7.3693713746810583E-3</v>
      </c>
      <c r="T22" s="227">
        <f t="shared" si="3"/>
        <v>-4936.7699999999895</v>
      </c>
    </row>
    <row r="23" spans="2:20" x14ac:dyDescent="0.25">
      <c r="B23" s="14" t="s">
        <v>276</v>
      </c>
      <c r="C23" s="23" t="s">
        <v>415</v>
      </c>
      <c r="D23" s="91">
        <f t="shared" ref="D23" si="18">+D22+D18</f>
        <v>35900.01</v>
      </c>
      <c r="E23" s="81">
        <f>+IFERROR(D23/Summary!D$19,"")</f>
        <v>2.3793458258895957E-2</v>
      </c>
      <c r="F23" s="91">
        <f t="shared" ref="F23" si="19">+F22+F18</f>
        <v>34084.380000000005</v>
      </c>
      <c r="G23" s="81">
        <f>+IFERROR(F23/Summary!F$19,"")</f>
        <v>2.2440868060036961E-2</v>
      </c>
      <c r="H23" s="192">
        <f t="shared" si="0"/>
        <v>1815.6299999999974</v>
      </c>
      <c r="I23" s="91">
        <f t="shared" ref="I23" si="20">+I22+I18</f>
        <v>34687.5</v>
      </c>
      <c r="J23" s="81">
        <f>+IFERROR(I23/Summary!I$19,"")</f>
        <v>2.629025763201916E-2</v>
      </c>
      <c r="K23" s="192">
        <f t="shared" si="1"/>
        <v>1212.510000000002</v>
      </c>
      <c r="M23" s="91">
        <f t="shared" ref="M23" si="21">+M22+M18</f>
        <v>129548.05</v>
      </c>
      <c r="N23" s="81">
        <f>+IFERROR(M23/Summary!M$19,"")</f>
        <v>2.0598345124554232E-2</v>
      </c>
      <c r="O23" s="91">
        <f t="shared" ref="O23" si="22">+O22+O18</f>
        <v>136750.66</v>
      </c>
      <c r="P23" s="81">
        <f>+IFERROR(O23/Summary!O$19,"")</f>
        <v>2.0216132609431638E-2</v>
      </c>
      <c r="Q23" s="192">
        <f t="shared" si="2"/>
        <v>-7202.6100000000006</v>
      </c>
      <c r="R23" s="91">
        <f t="shared" ref="R23" si="23">+R22+R18</f>
        <v>148191.09</v>
      </c>
      <c r="S23" s="81">
        <f>+IFERROR(R23/Summary!R$19,"")</f>
        <v>2.5268726125735292E-2</v>
      </c>
      <c r="T23" s="192">
        <f t="shared" si="3"/>
        <v>-18643.039999999994</v>
      </c>
    </row>
    <row r="24" spans="2:20" x14ac:dyDescent="0.25">
      <c r="B24" s="14"/>
      <c r="C24" s="18"/>
      <c r="D24" s="48"/>
      <c r="E24" s="176"/>
      <c r="F24" s="48"/>
      <c r="H24" s="74"/>
      <c r="I24" s="48"/>
      <c r="K24" s="74"/>
      <c r="M24" s="48"/>
      <c r="N24" s="176"/>
      <c r="O24" s="48"/>
      <c r="Q24" s="74"/>
      <c r="R24" s="48"/>
      <c r="T24" s="74"/>
    </row>
    <row r="25" spans="2:20" x14ac:dyDescent="0.25">
      <c r="B25" s="14"/>
      <c r="C25" s="15" t="s">
        <v>50</v>
      </c>
      <c r="D25" s="48"/>
      <c r="E25" s="53"/>
      <c r="F25" s="77"/>
      <c r="H25" s="74"/>
      <c r="I25" s="77"/>
      <c r="K25" s="74"/>
      <c r="M25" s="48"/>
      <c r="N25" s="53"/>
      <c r="O25" s="77"/>
      <c r="Q25" s="74"/>
      <c r="R25" s="77"/>
      <c r="T25" s="74"/>
    </row>
    <row r="26" spans="2:20" x14ac:dyDescent="0.25">
      <c r="B26" s="14" t="s">
        <v>194</v>
      </c>
      <c r="C26" s="17" t="s">
        <v>372</v>
      </c>
      <c r="D26" s="36">
        <v>0</v>
      </c>
      <c r="E26" s="51">
        <f>+IFERROR(D26/Summary!D$19,"")</f>
        <v>0</v>
      </c>
      <c r="F26" s="36">
        <v>100</v>
      </c>
      <c r="G26" s="51">
        <f>+IFERROR(F26/Summary!F$19,"")</f>
        <v>6.5839155824565264E-5</v>
      </c>
      <c r="H26" s="137">
        <f t="shared" ref="H26:H56" si="24">+D26-F26</f>
        <v>-100</v>
      </c>
      <c r="I26" s="36">
        <v>239.02</v>
      </c>
      <c r="J26" s="51">
        <f>+IFERROR(I26/Summary!I$19,"")</f>
        <v>1.8115740192303336E-4</v>
      </c>
      <c r="K26" s="137">
        <f t="shared" ref="K26:K56" si="25">+D26-I26</f>
        <v>-239.02</v>
      </c>
      <c r="M26" s="36">
        <v>51.13</v>
      </c>
      <c r="N26" s="51">
        <f>+IFERROR(M26/Summary!M$19,"")</f>
        <v>8.1297509782544609E-6</v>
      </c>
      <c r="O26" s="36">
        <v>614</v>
      </c>
      <c r="P26" s="51">
        <f>+IFERROR(O26/Summary!O$19,"")</f>
        <v>9.0768888590307532E-5</v>
      </c>
      <c r="Q26" s="137">
        <f t="shared" ref="Q26:Q56" si="26">+M26-O26</f>
        <v>-562.87</v>
      </c>
      <c r="R26" s="36">
        <v>1407.02</v>
      </c>
      <c r="S26" s="51">
        <f>+IFERROR(R26/Summary!R$19,"")</f>
        <v>2.3991727865306931E-4</v>
      </c>
      <c r="T26" s="137">
        <f t="shared" ref="T26:T56" si="27">+M26-R26</f>
        <v>-1355.8899999999999</v>
      </c>
    </row>
    <row r="27" spans="2:20" x14ac:dyDescent="0.25">
      <c r="B27" s="14" t="s">
        <v>86</v>
      </c>
      <c r="C27" s="17" t="s">
        <v>364</v>
      </c>
      <c r="D27" s="36">
        <v>5461.78</v>
      </c>
      <c r="E27" s="51">
        <f>+IFERROR(D27/Summary!D$19,"")</f>
        <v>3.6199052437387272E-3</v>
      </c>
      <c r="F27" s="36">
        <v>4052.39992854</v>
      </c>
      <c r="G27" s="51">
        <f>+IFERROR(F27/Summary!F$19,"")</f>
        <v>2.6680659035860223E-3</v>
      </c>
      <c r="H27" s="137">
        <f t="shared" si="24"/>
        <v>1409.3800714599997</v>
      </c>
      <c r="I27" s="36">
        <v>3286.04</v>
      </c>
      <c r="J27" s="51">
        <f>+IFERROR(I27/Summary!I$19,"")</f>
        <v>2.4905466865331963E-3</v>
      </c>
      <c r="K27" s="137">
        <f t="shared" si="25"/>
        <v>2175.7399999999998</v>
      </c>
      <c r="M27" s="36">
        <v>21822.26</v>
      </c>
      <c r="N27" s="51">
        <f>+IFERROR(M27/Summary!M$19,"")</f>
        <v>3.4697739014809934E-3</v>
      </c>
      <c r="O27" s="36">
        <v>16462.673947817999</v>
      </c>
      <c r="P27" s="51">
        <f>+IFERROR(O27/Summary!O$19,"")</f>
        <v>2.4337111033681598E-3</v>
      </c>
      <c r="Q27" s="137">
        <f t="shared" si="26"/>
        <v>5359.5860521819995</v>
      </c>
      <c r="R27" s="36">
        <v>13191.41</v>
      </c>
      <c r="S27" s="51">
        <f>+IFERROR(R27/Summary!R$19,"")</f>
        <v>2.2493263697722032E-3</v>
      </c>
      <c r="T27" s="137">
        <f t="shared" si="27"/>
        <v>8630.8499999999985</v>
      </c>
    </row>
    <row r="28" spans="2:20" x14ac:dyDescent="0.25">
      <c r="B28" s="14" t="s">
        <v>713</v>
      </c>
      <c r="C28" s="287" t="s">
        <v>361</v>
      </c>
      <c r="D28" s="36">
        <v>0</v>
      </c>
      <c r="E28" s="51">
        <f>+IFERROR(D28/Summary!D$19,"")</f>
        <v>0</v>
      </c>
      <c r="F28" s="36">
        <v>0</v>
      </c>
      <c r="G28" s="51">
        <f>+IFERROR(F28/Summary!F$19,"")</f>
        <v>0</v>
      </c>
      <c r="H28" s="137">
        <f t="shared" si="24"/>
        <v>0</v>
      </c>
      <c r="I28" s="36">
        <v>0</v>
      </c>
      <c r="J28" s="51">
        <f>+IFERROR(I28/Summary!I$19,"")</f>
        <v>0</v>
      </c>
      <c r="K28" s="137">
        <f t="shared" si="25"/>
        <v>0</v>
      </c>
      <c r="M28" s="36">
        <v>0</v>
      </c>
      <c r="N28" s="51">
        <f>+IFERROR(M28/Summary!M$19,"")</f>
        <v>0</v>
      </c>
      <c r="O28" s="36">
        <v>0</v>
      </c>
      <c r="P28" s="51">
        <f>+IFERROR(O28/Summary!O$19,"")</f>
        <v>0</v>
      </c>
      <c r="Q28" s="137">
        <f t="shared" si="26"/>
        <v>0</v>
      </c>
      <c r="R28" s="36">
        <v>0</v>
      </c>
      <c r="S28" s="51">
        <f>+IFERROR(R28/Summary!R$19,"")</f>
        <v>0</v>
      </c>
      <c r="T28" s="137">
        <f t="shared" si="27"/>
        <v>0</v>
      </c>
    </row>
    <row r="29" spans="2:20" x14ac:dyDescent="0.25">
      <c r="B29" s="14" t="s">
        <v>630</v>
      </c>
      <c r="C29" s="17" t="s">
        <v>487</v>
      </c>
      <c r="D29" s="36">
        <v>0</v>
      </c>
      <c r="E29" s="51">
        <f>+IFERROR(D29/Summary!D$19,"")</f>
        <v>0</v>
      </c>
      <c r="F29" s="36">
        <v>0</v>
      </c>
      <c r="G29" s="51">
        <f>+IFERROR(F29/Summary!F$19,"")</f>
        <v>0</v>
      </c>
      <c r="H29" s="137">
        <f t="shared" si="24"/>
        <v>0</v>
      </c>
      <c r="I29" s="36">
        <v>0</v>
      </c>
      <c r="J29" s="51">
        <f>+IFERROR(I29/Summary!I$19,"")</f>
        <v>0</v>
      </c>
      <c r="K29" s="137">
        <f t="shared" si="25"/>
        <v>0</v>
      </c>
      <c r="M29" s="36">
        <v>0</v>
      </c>
      <c r="N29" s="51">
        <f>+IFERROR(M29/Summary!M$19,"")</f>
        <v>0</v>
      </c>
      <c r="O29" s="36">
        <v>0</v>
      </c>
      <c r="P29" s="51">
        <f>+IFERROR(O29/Summary!O$19,"")</f>
        <v>0</v>
      </c>
      <c r="Q29" s="137">
        <f t="shared" si="26"/>
        <v>0</v>
      </c>
      <c r="R29" s="36">
        <v>0</v>
      </c>
      <c r="S29" s="51">
        <f>+IFERROR(R29/Summary!R$19,"")</f>
        <v>0</v>
      </c>
      <c r="T29" s="137">
        <f t="shared" si="27"/>
        <v>0</v>
      </c>
    </row>
    <row r="30" spans="2:20" x14ac:dyDescent="0.25">
      <c r="B30" s="14" t="s">
        <v>331</v>
      </c>
      <c r="C30" s="17" t="s">
        <v>376</v>
      </c>
      <c r="D30" s="36">
        <v>0</v>
      </c>
      <c r="E30" s="51">
        <f>+IFERROR(D30/Summary!D$19,"")</f>
        <v>0</v>
      </c>
      <c r="F30" s="36">
        <v>39.58</v>
      </c>
      <c r="G30" s="51">
        <f>+IFERROR(F30/Summary!F$19,"")</f>
        <v>2.605913787536293E-5</v>
      </c>
      <c r="H30" s="137">
        <f t="shared" si="24"/>
        <v>-39.58</v>
      </c>
      <c r="I30" s="36">
        <v>0</v>
      </c>
      <c r="J30" s="51">
        <f>+IFERROR(I30/Summary!I$19,"")</f>
        <v>0</v>
      </c>
      <c r="K30" s="137">
        <f t="shared" si="25"/>
        <v>0</v>
      </c>
      <c r="M30" s="36">
        <v>120.78</v>
      </c>
      <c r="N30" s="51">
        <f>+IFERROR(M30/Summary!M$19,"")</f>
        <v>1.9204211287963502E-5</v>
      </c>
      <c r="O30" s="36">
        <v>258.32</v>
      </c>
      <c r="P30" s="51">
        <f>+IFERROR(O30/Summary!O$19,"")</f>
        <v>3.818797931701668E-5</v>
      </c>
      <c r="Q30" s="137">
        <f t="shared" si="26"/>
        <v>-137.54</v>
      </c>
      <c r="R30" s="36">
        <v>221.1</v>
      </c>
      <c r="S30" s="51">
        <f>+IFERROR(R30/Summary!R$19,"")</f>
        <v>3.7700750742842053E-5</v>
      </c>
      <c r="T30" s="137">
        <f t="shared" si="27"/>
        <v>-100.32</v>
      </c>
    </row>
    <row r="31" spans="2:20" x14ac:dyDescent="0.25">
      <c r="B31" s="14" t="s">
        <v>326</v>
      </c>
      <c r="C31" s="17" t="s">
        <v>375</v>
      </c>
      <c r="D31" s="36">
        <v>0</v>
      </c>
      <c r="E31" s="51">
        <f>+IFERROR(D31/Summary!D$19,"")</f>
        <v>0</v>
      </c>
      <c r="F31" s="36">
        <v>0</v>
      </c>
      <c r="G31" s="51">
        <f>+IFERROR(F31/Summary!F$19,"")</f>
        <v>0</v>
      </c>
      <c r="H31" s="137">
        <f t="shared" si="24"/>
        <v>0</v>
      </c>
      <c r="I31" s="36">
        <v>0</v>
      </c>
      <c r="J31" s="51">
        <f>+IFERROR(I31/Summary!I$19,"")</f>
        <v>0</v>
      </c>
      <c r="K31" s="137">
        <f t="shared" si="25"/>
        <v>0</v>
      </c>
      <c r="M31" s="36">
        <v>0</v>
      </c>
      <c r="N31" s="51">
        <f>+IFERROR(M31/Summary!M$19,"")</f>
        <v>0</v>
      </c>
      <c r="O31" s="36">
        <v>0</v>
      </c>
      <c r="P31" s="51">
        <f>+IFERROR(O31/Summary!O$19,"")</f>
        <v>0</v>
      </c>
      <c r="Q31" s="137">
        <f t="shared" si="26"/>
        <v>0</v>
      </c>
      <c r="R31" s="36">
        <v>0</v>
      </c>
      <c r="S31" s="51">
        <f>+IFERROR(R31/Summary!R$19,"")</f>
        <v>0</v>
      </c>
      <c r="T31" s="137">
        <f t="shared" si="27"/>
        <v>0</v>
      </c>
    </row>
    <row r="32" spans="2:20" x14ac:dyDescent="0.25">
      <c r="B32" s="14" t="s">
        <v>314</v>
      </c>
      <c r="C32" s="17" t="s">
        <v>374</v>
      </c>
      <c r="D32" s="36">
        <v>0</v>
      </c>
      <c r="E32" s="51">
        <f>+IFERROR(D32/Summary!D$19,"")</f>
        <v>0</v>
      </c>
      <c r="F32" s="36">
        <v>0</v>
      </c>
      <c r="G32" s="51">
        <f>+IFERROR(F32/Summary!F$19,"")</f>
        <v>0</v>
      </c>
      <c r="H32" s="137">
        <f t="shared" si="24"/>
        <v>0</v>
      </c>
      <c r="I32" s="36">
        <v>0</v>
      </c>
      <c r="J32" s="51">
        <f>+IFERROR(I32/Summary!I$19,"")</f>
        <v>0</v>
      </c>
      <c r="K32" s="137">
        <f t="shared" si="25"/>
        <v>0</v>
      </c>
      <c r="M32" s="36">
        <v>0</v>
      </c>
      <c r="N32" s="51">
        <f>+IFERROR(M32/Summary!M$19,"")</f>
        <v>0</v>
      </c>
      <c r="O32" s="36">
        <v>0</v>
      </c>
      <c r="P32" s="51">
        <f>+IFERROR(O32/Summary!O$19,"")</f>
        <v>0</v>
      </c>
      <c r="Q32" s="137">
        <f t="shared" si="26"/>
        <v>0</v>
      </c>
      <c r="R32" s="36">
        <v>0</v>
      </c>
      <c r="S32" s="51">
        <f>+IFERROR(R32/Summary!R$19,"")</f>
        <v>0</v>
      </c>
      <c r="T32" s="137">
        <f t="shared" si="27"/>
        <v>0</v>
      </c>
    </row>
    <row r="33" spans="2:20" x14ac:dyDescent="0.25">
      <c r="B33" s="14" t="s">
        <v>336</v>
      </c>
      <c r="C33" s="17" t="s">
        <v>377</v>
      </c>
      <c r="D33" s="36">
        <v>0</v>
      </c>
      <c r="E33" s="51">
        <f>+IFERROR(D33/Summary!D$19,"")</f>
        <v>0</v>
      </c>
      <c r="F33" s="36">
        <v>0</v>
      </c>
      <c r="G33" s="51">
        <f>+IFERROR(F33/Summary!F$19,"")</f>
        <v>0</v>
      </c>
      <c r="H33" s="137">
        <f t="shared" si="24"/>
        <v>0</v>
      </c>
      <c r="I33" s="36">
        <v>304.33999999999997</v>
      </c>
      <c r="J33" s="51">
        <f>+IFERROR(I33/Summary!I$19,"")</f>
        <v>2.3066456238497184E-4</v>
      </c>
      <c r="K33" s="137">
        <f t="shared" si="25"/>
        <v>-304.33999999999997</v>
      </c>
      <c r="M33" s="36">
        <v>308.99</v>
      </c>
      <c r="N33" s="51">
        <f>+IFERROR(M33/Summary!M$19,"")</f>
        <v>4.9129899369662548E-5</v>
      </c>
      <c r="O33" s="36">
        <v>225</v>
      </c>
      <c r="P33" s="51">
        <f>+IFERROR(O33/Summary!O$19,"")</f>
        <v>3.3262214874298362E-5</v>
      </c>
      <c r="Q33" s="137">
        <f t="shared" si="26"/>
        <v>83.990000000000009</v>
      </c>
      <c r="R33" s="36">
        <v>530.28</v>
      </c>
      <c r="S33" s="51">
        <f>+IFERROR(R33/Summary!R$19,"")</f>
        <v>9.0420416571299338E-5</v>
      </c>
      <c r="T33" s="137">
        <f t="shared" si="27"/>
        <v>-221.28999999999996</v>
      </c>
    </row>
    <row r="34" spans="2:20" x14ac:dyDescent="0.25">
      <c r="B34" s="14" t="s">
        <v>341</v>
      </c>
      <c r="C34" s="17" t="s">
        <v>419</v>
      </c>
      <c r="D34" s="36">
        <v>302.99</v>
      </c>
      <c r="E34" s="51">
        <f>+IFERROR(D34/Summary!D$19,"")</f>
        <v>2.0081275514583104E-4</v>
      </c>
      <c r="F34" s="36">
        <v>320.75</v>
      </c>
      <c r="G34" s="51">
        <f>+IFERROR(F34/Summary!F$19,"")</f>
        <v>2.1117909230729308E-4</v>
      </c>
      <c r="H34" s="137">
        <f t="shared" si="24"/>
        <v>-17.759999999999991</v>
      </c>
      <c r="I34" s="36">
        <v>472.73</v>
      </c>
      <c r="J34" s="51">
        <f>+IFERROR(I34/Summary!I$19,"")</f>
        <v>3.5829026278585708E-4</v>
      </c>
      <c r="K34" s="137">
        <f t="shared" si="25"/>
        <v>-169.74</v>
      </c>
      <c r="M34" s="36">
        <v>1190.44</v>
      </c>
      <c r="N34" s="51">
        <f>+IFERROR(M34/Summary!M$19,"")</f>
        <v>1.8928184538535579E-4</v>
      </c>
      <c r="O34" s="36">
        <v>1283</v>
      </c>
      <c r="P34" s="51">
        <f>+IFERROR(O34/Summary!O$19,"")</f>
        <v>1.8966854081655467E-4</v>
      </c>
      <c r="Q34" s="137">
        <f t="shared" si="26"/>
        <v>-92.559999999999945</v>
      </c>
      <c r="R34" s="36">
        <v>1328.57</v>
      </c>
      <c r="S34" s="51">
        <f>+IFERROR(R34/Summary!R$19,"")</f>
        <v>2.2654041797565656E-4</v>
      </c>
      <c r="T34" s="137">
        <f t="shared" si="27"/>
        <v>-138.12999999999988</v>
      </c>
    </row>
    <row r="35" spans="2:20" x14ac:dyDescent="0.25">
      <c r="B35" s="14" t="s">
        <v>125</v>
      </c>
      <c r="C35" s="17" t="s">
        <v>366</v>
      </c>
      <c r="D35" s="36">
        <v>0</v>
      </c>
      <c r="E35" s="51">
        <f>+IFERROR(D35/Summary!D$19,"")</f>
        <v>0</v>
      </c>
      <c r="F35" s="36">
        <v>0</v>
      </c>
      <c r="G35" s="51">
        <f>+IFERROR(F35/Summary!F$19,"")</f>
        <v>0</v>
      </c>
      <c r="H35" s="137">
        <f t="shared" si="24"/>
        <v>0</v>
      </c>
      <c r="I35" s="36">
        <v>0</v>
      </c>
      <c r="J35" s="51">
        <f>+IFERROR(I35/Summary!I$19,"")</f>
        <v>0</v>
      </c>
      <c r="K35" s="137">
        <f t="shared" si="25"/>
        <v>0</v>
      </c>
      <c r="M35" s="36">
        <v>0</v>
      </c>
      <c r="N35" s="51">
        <f>+IFERROR(M35/Summary!M$19,"")</f>
        <v>0</v>
      </c>
      <c r="O35" s="36">
        <v>0</v>
      </c>
      <c r="P35" s="51">
        <f>+IFERROR(O35/Summary!O$19,"")</f>
        <v>0</v>
      </c>
      <c r="Q35" s="137">
        <f t="shared" si="26"/>
        <v>0</v>
      </c>
      <c r="R35" s="36">
        <v>0</v>
      </c>
      <c r="S35" s="51">
        <f>+IFERROR(R35/Summary!R$19,"")</f>
        <v>0</v>
      </c>
      <c r="T35" s="137">
        <f t="shared" si="27"/>
        <v>0</v>
      </c>
    </row>
    <row r="36" spans="2:20" x14ac:dyDescent="0.25">
      <c r="B36" s="14" t="s">
        <v>127</v>
      </c>
      <c r="C36" s="17" t="s">
        <v>522</v>
      </c>
      <c r="D36" s="36">
        <v>0</v>
      </c>
      <c r="E36" s="51">
        <f>+IFERROR(D36/Summary!D$19,"")</f>
        <v>0</v>
      </c>
      <c r="F36" s="36">
        <v>0</v>
      </c>
      <c r="G36" s="51">
        <f>+IFERROR(F36/Summary!F$19,"")</f>
        <v>0</v>
      </c>
      <c r="H36" s="137">
        <f t="shared" si="24"/>
        <v>0</v>
      </c>
      <c r="I36" s="36">
        <v>0</v>
      </c>
      <c r="J36" s="51">
        <f>+IFERROR(I36/Summary!I$19,"")</f>
        <v>0</v>
      </c>
      <c r="K36" s="137">
        <f t="shared" si="25"/>
        <v>0</v>
      </c>
      <c r="M36" s="36">
        <v>0</v>
      </c>
      <c r="N36" s="51">
        <f>+IFERROR(M36/Summary!M$19,"")</f>
        <v>0</v>
      </c>
      <c r="O36" s="36">
        <v>0</v>
      </c>
      <c r="P36" s="51">
        <f>+IFERROR(O36/Summary!O$19,"")</f>
        <v>0</v>
      </c>
      <c r="Q36" s="137">
        <f t="shared" si="26"/>
        <v>0</v>
      </c>
      <c r="R36" s="36">
        <v>0</v>
      </c>
      <c r="S36" s="51">
        <f>+IFERROR(R36/Summary!R$19,"")</f>
        <v>0</v>
      </c>
      <c r="T36" s="137">
        <f t="shared" si="27"/>
        <v>0</v>
      </c>
    </row>
    <row r="37" spans="2:20" x14ac:dyDescent="0.25">
      <c r="B37" s="14" t="s">
        <v>163</v>
      </c>
      <c r="C37" s="17" t="s">
        <v>370</v>
      </c>
      <c r="D37" s="36">
        <v>0</v>
      </c>
      <c r="E37" s="51">
        <f>+IFERROR(D37/Summary!D$19,"")</f>
        <v>0</v>
      </c>
      <c r="F37" s="36">
        <v>0</v>
      </c>
      <c r="G37" s="51">
        <f>+IFERROR(F37/Summary!F$19,"")</f>
        <v>0</v>
      </c>
      <c r="H37" s="137">
        <f t="shared" si="24"/>
        <v>0</v>
      </c>
      <c r="I37" s="36">
        <v>-5300</v>
      </c>
      <c r="J37" s="51">
        <f>+IFERROR(I37/Summary!I$19,"")</f>
        <v>-4.0169618868382429E-3</v>
      </c>
      <c r="K37" s="137">
        <f t="shared" si="25"/>
        <v>5300</v>
      </c>
      <c r="M37" s="36">
        <v>-3110</v>
      </c>
      <c r="N37" s="51">
        <f>+IFERROR(M37/Summary!M$19,"")</f>
        <v>-4.9449492553043956E-4</v>
      </c>
      <c r="O37" s="36">
        <v>0</v>
      </c>
      <c r="P37" s="51">
        <f>+IFERROR(O37/Summary!O$19,"")</f>
        <v>0</v>
      </c>
      <c r="Q37" s="137">
        <f t="shared" si="26"/>
        <v>-3110</v>
      </c>
      <c r="R37" s="36">
        <v>-5300</v>
      </c>
      <c r="S37" s="51">
        <f>+IFERROR(R37/Summary!R$19,"")</f>
        <v>-9.0372672517893664E-4</v>
      </c>
      <c r="T37" s="137">
        <f t="shared" si="27"/>
        <v>2190</v>
      </c>
    </row>
    <row r="38" spans="2:20" x14ac:dyDescent="0.25">
      <c r="B38" s="14" t="s">
        <v>164</v>
      </c>
      <c r="C38" s="17" t="s">
        <v>506</v>
      </c>
      <c r="D38" s="36">
        <v>280.25</v>
      </c>
      <c r="E38" s="51">
        <f>+IFERROR(D38/Summary!D$19,"")</f>
        <v>1.8574135987860704E-4</v>
      </c>
      <c r="F38" s="36">
        <v>295</v>
      </c>
      <c r="G38" s="51">
        <f>+IFERROR(F38/Summary!F$19,"")</f>
        <v>1.9422550968246753E-4</v>
      </c>
      <c r="H38" s="137">
        <f t="shared" si="24"/>
        <v>-14.75</v>
      </c>
      <c r="I38" s="36">
        <v>68.260000000000005</v>
      </c>
      <c r="J38" s="51">
        <f>+IFERROR(I38/Summary!I$19,"")</f>
        <v>5.1735437433128015E-5</v>
      </c>
      <c r="K38" s="137">
        <f t="shared" si="25"/>
        <v>211.99</v>
      </c>
      <c r="M38" s="36">
        <v>2215</v>
      </c>
      <c r="N38" s="51">
        <f>+IFERROR(M38/Summary!M$19,"")</f>
        <v>3.5218850805463783E-4</v>
      </c>
      <c r="O38" s="36">
        <v>1380</v>
      </c>
      <c r="P38" s="51">
        <f>+IFERROR(O38/Summary!O$19,"")</f>
        <v>2.0400825122902997E-4</v>
      </c>
      <c r="Q38" s="137">
        <f t="shared" si="26"/>
        <v>835</v>
      </c>
      <c r="R38" s="36">
        <v>2635.53</v>
      </c>
      <c r="S38" s="51">
        <f>+IFERROR(R38/Summary!R$19,"")</f>
        <v>4.493960181152534E-4</v>
      </c>
      <c r="T38" s="137">
        <f t="shared" si="27"/>
        <v>-420.5300000000002</v>
      </c>
    </row>
    <row r="39" spans="2:20" x14ac:dyDescent="0.25">
      <c r="B39" s="14" t="s">
        <v>112</v>
      </c>
      <c r="C39" s="17" t="s">
        <v>507</v>
      </c>
      <c r="D39" s="36">
        <v>787.94</v>
      </c>
      <c r="E39" s="51">
        <f>+IFERROR(D39/Summary!D$19,"")</f>
        <v>5.2222318323907099E-4</v>
      </c>
      <c r="F39" s="36">
        <v>1150</v>
      </c>
      <c r="G39" s="51">
        <f>+IFERROR(F39/Summary!F$19,"")</f>
        <v>7.5715029198250051E-4</v>
      </c>
      <c r="H39" s="137">
        <f t="shared" si="24"/>
        <v>-362.05999999999995</v>
      </c>
      <c r="I39" s="36">
        <v>-294.85000000000002</v>
      </c>
      <c r="J39" s="51">
        <f>+IFERROR(I39/Summary!I$19,"")</f>
        <v>-2.2347192685552E-4</v>
      </c>
      <c r="K39" s="137">
        <f t="shared" si="25"/>
        <v>1082.79</v>
      </c>
      <c r="M39" s="36">
        <v>2438.73</v>
      </c>
      <c r="N39" s="51">
        <f>+IFERROR(M39/Summary!M$19,"")</f>
        <v>3.8776193239191284E-4</v>
      </c>
      <c r="O39" s="36">
        <v>3287</v>
      </c>
      <c r="P39" s="51">
        <f>+IFERROR(O39/Summary!O$19,"")</f>
        <v>4.8592400129697207E-4</v>
      </c>
      <c r="Q39" s="137">
        <f t="shared" si="26"/>
        <v>-848.27</v>
      </c>
      <c r="R39" s="36">
        <v>1971.67</v>
      </c>
      <c r="S39" s="51">
        <f>+IFERROR(R39/Summary!R$19,"")</f>
        <v>3.3619827777991583E-4</v>
      </c>
      <c r="T39" s="137">
        <f t="shared" si="27"/>
        <v>467.05999999999995</v>
      </c>
    </row>
    <row r="40" spans="2:20" x14ac:dyDescent="0.25">
      <c r="B40" s="14" t="s">
        <v>154</v>
      </c>
      <c r="C40" s="17" t="s">
        <v>508</v>
      </c>
      <c r="D40" s="36">
        <v>1028.83</v>
      </c>
      <c r="E40" s="51">
        <f>+IFERROR(D40/Summary!D$19,"")</f>
        <v>6.8187790645462003E-4</v>
      </c>
      <c r="F40" s="36">
        <v>786.17</v>
      </c>
      <c r="G40" s="51">
        <f>+IFERROR(F40/Summary!F$19,"")</f>
        <v>5.176076913459847E-4</v>
      </c>
      <c r="H40" s="137">
        <f t="shared" si="24"/>
        <v>242.65999999999997</v>
      </c>
      <c r="I40" s="36">
        <v>-5583.42</v>
      </c>
      <c r="J40" s="51">
        <f>+IFERROR(I40/Summary!I$19,"")</f>
        <v>-4.2317708185302611E-3</v>
      </c>
      <c r="K40" s="137">
        <f t="shared" si="25"/>
        <v>6612.25</v>
      </c>
      <c r="M40" s="36">
        <v>4872.2299999999996</v>
      </c>
      <c r="N40" s="51">
        <f>+IFERROR(M40/Summary!M$19,"")</f>
        <v>7.7469228650069882E-4</v>
      </c>
      <c r="O40" s="36">
        <v>6544.68</v>
      </c>
      <c r="P40" s="51">
        <f>+IFERROR(O40/Summary!O$19,"")</f>
        <v>9.675135664156579E-4</v>
      </c>
      <c r="Q40" s="137">
        <f t="shared" si="26"/>
        <v>-1672.4500000000007</v>
      </c>
      <c r="R40" s="36">
        <v>2439.0100000000002</v>
      </c>
      <c r="S40" s="51">
        <f>+IFERROR(R40/Summary!R$19,"")</f>
        <v>4.1588651320352419E-4</v>
      </c>
      <c r="T40" s="137">
        <f t="shared" si="27"/>
        <v>2433.2199999999993</v>
      </c>
    </row>
    <row r="41" spans="2:20" x14ac:dyDescent="0.25">
      <c r="B41" s="14" t="s">
        <v>157</v>
      </c>
      <c r="C41" s="17" t="s">
        <v>520</v>
      </c>
      <c r="D41" s="36">
        <v>0</v>
      </c>
      <c r="E41" s="51">
        <f>+IFERROR(D41/Summary!D$19,"")</f>
        <v>0</v>
      </c>
      <c r="F41" s="36">
        <v>0</v>
      </c>
      <c r="G41" s="51">
        <f>+IFERROR(F41/Summary!F$19,"")</f>
        <v>0</v>
      </c>
      <c r="H41" s="137">
        <f t="shared" si="24"/>
        <v>0</v>
      </c>
      <c r="I41" s="36">
        <v>0</v>
      </c>
      <c r="J41" s="51">
        <f>+IFERROR(I41/Summary!I$19,"")</f>
        <v>0</v>
      </c>
      <c r="K41" s="137">
        <f t="shared" si="25"/>
        <v>0</v>
      </c>
      <c r="M41" s="36">
        <v>0</v>
      </c>
      <c r="N41" s="51">
        <f>+IFERROR(M41/Summary!M$19,"")</f>
        <v>0</v>
      </c>
      <c r="O41" s="36">
        <v>0</v>
      </c>
      <c r="P41" s="51">
        <f>+IFERROR(O41/Summary!O$19,"")</f>
        <v>0</v>
      </c>
      <c r="Q41" s="137">
        <f t="shared" si="26"/>
        <v>0</v>
      </c>
      <c r="R41" s="36">
        <v>0</v>
      </c>
      <c r="S41" s="51">
        <f>+IFERROR(R41/Summary!R$19,"")</f>
        <v>0</v>
      </c>
      <c r="T41" s="137">
        <f t="shared" si="27"/>
        <v>0</v>
      </c>
    </row>
    <row r="42" spans="2:20" x14ac:dyDescent="0.25">
      <c r="B42" s="14" t="s">
        <v>159</v>
      </c>
      <c r="C42" s="17" t="s">
        <v>521</v>
      </c>
      <c r="D42" s="36">
        <v>0</v>
      </c>
      <c r="E42" s="51">
        <f>+IFERROR(D42/Summary!D$19,"")</f>
        <v>0</v>
      </c>
      <c r="F42" s="36">
        <v>0</v>
      </c>
      <c r="G42" s="51">
        <f>+IFERROR(F42/Summary!F$19,"")</f>
        <v>0</v>
      </c>
      <c r="H42" s="137">
        <f t="shared" si="24"/>
        <v>0</v>
      </c>
      <c r="I42" s="36">
        <v>0</v>
      </c>
      <c r="J42" s="51">
        <f>+IFERROR(I42/Summary!I$19,"")</f>
        <v>0</v>
      </c>
      <c r="K42" s="137">
        <f t="shared" si="25"/>
        <v>0</v>
      </c>
      <c r="M42" s="36">
        <v>0</v>
      </c>
      <c r="N42" s="51">
        <f>+IFERROR(M42/Summary!M$19,"")</f>
        <v>0</v>
      </c>
      <c r="O42" s="36">
        <v>0</v>
      </c>
      <c r="P42" s="51">
        <f>+IFERROR(O42/Summary!O$19,"")</f>
        <v>0</v>
      </c>
      <c r="Q42" s="137">
        <f t="shared" si="26"/>
        <v>0</v>
      </c>
      <c r="R42" s="36">
        <v>0</v>
      </c>
      <c r="S42" s="51">
        <f>+IFERROR(R42/Summary!R$19,"")</f>
        <v>0</v>
      </c>
      <c r="T42" s="137">
        <f t="shared" si="27"/>
        <v>0</v>
      </c>
    </row>
    <row r="43" spans="2:20" x14ac:dyDescent="0.25">
      <c r="B43" s="14" t="s">
        <v>133</v>
      </c>
      <c r="C43" s="17" t="s">
        <v>509</v>
      </c>
      <c r="D43" s="36">
        <v>271</v>
      </c>
      <c r="E43" s="51">
        <f>+IFERROR(D43/Summary!D$19,"")</f>
        <v>1.7961073515469225E-4</v>
      </c>
      <c r="F43" s="36">
        <v>271</v>
      </c>
      <c r="G43" s="51">
        <f>+IFERROR(F43/Summary!F$19,"")</f>
        <v>1.7842411228457186E-4</v>
      </c>
      <c r="H43" s="137">
        <f t="shared" si="24"/>
        <v>0</v>
      </c>
      <c r="I43" s="36">
        <v>0</v>
      </c>
      <c r="J43" s="51">
        <f>+IFERROR(I43/Summary!I$19,"")</f>
        <v>0</v>
      </c>
      <c r="K43" s="137">
        <f t="shared" si="25"/>
        <v>271</v>
      </c>
      <c r="M43" s="36">
        <v>2761.8</v>
      </c>
      <c r="N43" s="51">
        <f>+IFERROR(M43/Summary!M$19,"")</f>
        <v>4.3913057406108299E-4</v>
      </c>
      <c r="O43" s="36">
        <v>871</v>
      </c>
      <c r="P43" s="51">
        <f>+IFERROR(O43/Summary!O$19,"")</f>
        <v>1.2876172958006167E-4</v>
      </c>
      <c r="Q43" s="137">
        <f t="shared" si="26"/>
        <v>1890.8000000000002</v>
      </c>
      <c r="R43" s="36">
        <v>-875</v>
      </c>
      <c r="S43" s="51">
        <f>+IFERROR(R43/Summary!R$19,"")</f>
        <v>-1.4920016689274896E-4</v>
      </c>
      <c r="T43" s="137">
        <f t="shared" si="27"/>
        <v>3636.8</v>
      </c>
    </row>
    <row r="44" spans="2:20" x14ac:dyDescent="0.25">
      <c r="B44" s="14" t="s">
        <v>63</v>
      </c>
      <c r="C44" s="17" t="s">
        <v>510</v>
      </c>
      <c r="D44" s="36">
        <v>966.26</v>
      </c>
      <c r="E44" s="51">
        <f>+IFERROR(D44/Summary!D$19,"")</f>
        <v>6.4040837251133924E-4</v>
      </c>
      <c r="F44" s="36">
        <v>1310</v>
      </c>
      <c r="G44" s="51">
        <f>+IFERROR(F44/Summary!F$19,"")</f>
        <v>8.6249294130180492E-4</v>
      </c>
      <c r="H44" s="137">
        <f t="shared" si="24"/>
        <v>-343.74</v>
      </c>
      <c r="I44" s="36">
        <v>594.46</v>
      </c>
      <c r="J44" s="51">
        <f>+IFERROR(I44/Summary!I$19,"")</f>
        <v>4.5055154023582303E-4</v>
      </c>
      <c r="K44" s="137">
        <f t="shared" si="25"/>
        <v>371.79999999999995</v>
      </c>
      <c r="M44" s="36">
        <v>4382.24</v>
      </c>
      <c r="N44" s="51">
        <f>+IFERROR(M44/Summary!M$19,"")</f>
        <v>6.967831004683323E-4</v>
      </c>
      <c r="O44" s="36">
        <v>6219</v>
      </c>
      <c r="P44" s="51">
        <f>+IFERROR(O44/Summary!O$19,"")</f>
        <v>9.1936761912560672E-4</v>
      </c>
      <c r="Q44" s="137">
        <f t="shared" si="26"/>
        <v>-1836.7600000000002</v>
      </c>
      <c r="R44" s="36">
        <v>5406.54</v>
      </c>
      <c r="S44" s="51">
        <f>+IFERROR(R44/Summary!R$19,"")</f>
        <v>9.2189333749979766E-4</v>
      </c>
      <c r="T44" s="137">
        <f t="shared" si="27"/>
        <v>-1024.3000000000002</v>
      </c>
    </row>
    <row r="45" spans="2:20" x14ac:dyDescent="0.25">
      <c r="B45" s="14" t="s">
        <v>212</v>
      </c>
      <c r="C45" s="17" t="s">
        <v>511</v>
      </c>
      <c r="D45" s="36">
        <v>478.3</v>
      </c>
      <c r="E45" s="51">
        <f>+IFERROR(D45/Summary!D$19,"")</f>
        <v>3.170030059944255E-4</v>
      </c>
      <c r="F45" s="36">
        <v>350.75</v>
      </c>
      <c r="G45" s="51">
        <f>+IFERROR(F45/Summary!F$19,"")</f>
        <v>2.3093083905466268E-4</v>
      </c>
      <c r="H45" s="137">
        <f t="shared" si="24"/>
        <v>127.55000000000001</v>
      </c>
      <c r="I45" s="36">
        <v>156.09</v>
      </c>
      <c r="J45" s="51">
        <f>+IFERROR(I45/Summary!I$19,"")</f>
        <v>1.1830331715407195E-4</v>
      </c>
      <c r="K45" s="137">
        <f t="shared" si="25"/>
        <v>322.21000000000004</v>
      </c>
      <c r="M45" s="36">
        <v>1119.29</v>
      </c>
      <c r="N45" s="51">
        <f>+IFERROR(M45/Summary!M$19,"")</f>
        <v>1.7796888269998898E-4</v>
      </c>
      <c r="O45" s="36">
        <v>1403</v>
      </c>
      <c r="P45" s="51">
        <f>+IFERROR(O45/Summary!O$19,"")</f>
        <v>2.074083887495138E-4</v>
      </c>
      <c r="Q45" s="137">
        <f t="shared" si="26"/>
        <v>-283.71000000000004</v>
      </c>
      <c r="R45" s="36">
        <v>1129.8800000000001</v>
      </c>
      <c r="S45" s="51">
        <f>+IFERROR(R45/Summary!R$19,"")</f>
        <v>1.926608966500334E-4</v>
      </c>
      <c r="T45" s="137">
        <f t="shared" si="27"/>
        <v>-10.590000000000146</v>
      </c>
    </row>
    <row r="46" spans="2:20" x14ac:dyDescent="0.25">
      <c r="B46" s="14" t="s">
        <v>208</v>
      </c>
      <c r="C46" s="17" t="s">
        <v>512</v>
      </c>
      <c r="D46" s="36">
        <v>842.64</v>
      </c>
      <c r="E46" s="51">
        <f>+IFERROR(D46/Summary!D$19,"")</f>
        <v>5.5847671539022094E-4</v>
      </c>
      <c r="F46" s="36">
        <v>1087</v>
      </c>
      <c r="G46" s="51">
        <f>+IFERROR(F46/Summary!F$19,"")</f>
        <v>7.1567162381302443E-4</v>
      </c>
      <c r="H46" s="137">
        <f t="shared" si="24"/>
        <v>-244.36</v>
      </c>
      <c r="I46" s="36">
        <v>846.83</v>
      </c>
      <c r="J46" s="51">
        <f>+IFERROR(I46/Summary!I$19,"")</f>
        <v>6.4182713860966593E-4</v>
      </c>
      <c r="K46" s="137">
        <f t="shared" si="25"/>
        <v>-4.1900000000000546</v>
      </c>
      <c r="M46" s="36">
        <v>4388.1899999999996</v>
      </c>
      <c r="N46" s="51">
        <f>+IFERROR(M46/Summary!M$19,"")</f>
        <v>6.9772915989177475E-4</v>
      </c>
      <c r="O46" s="36">
        <v>4344</v>
      </c>
      <c r="P46" s="51">
        <f>+IFERROR(O46/Summary!O$19,"")</f>
        <v>6.4218249517312043E-4</v>
      </c>
      <c r="Q46" s="137">
        <f t="shared" si="26"/>
        <v>44.1899999999996</v>
      </c>
      <c r="R46" s="36">
        <v>4056.11</v>
      </c>
      <c r="S46" s="51">
        <f>+IFERROR(R46/Summary!R$19,"")</f>
        <v>6.9162547306896916E-4</v>
      </c>
      <c r="T46" s="137">
        <f t="shared" si="27"/>
        <v>332.07999999999947</v>
      </c>
    </row>
    <row r="47" spans="2:20" x14ac:dyDescent="0.25">
      <c r="B47" s="14" t="s">
        <v>232</v>
      </c>
      <c r="C47" s="17" t="s">
        <v>519</v>
      </c>
      <c r="D47" s="36">
        <v>2423.0500000000002</v>
      </c>
      <c r="E47" s="51">
        <f>+IFERROR(D47/Summary!D$19,"")</f>
        <v>1.6059254310574801E-3</v>
      </c>
      <c r="F47" s="36">
        <v>2420</v>
      </c>
      <c r="G47" s="51">
        <f>+IFERROR(F47/Summary!F$19,"")</f>
        <v>1.5933075709544794E-3</v>
      </c>
      <c r="H47" s="137">
        <f t="shared" si="24"/>
        <v>3.0500000000001819</v>
      </c>
      <c r="I47" s="36">
        <v>1437.23</v>
      </c>
      <c r="J47" s="51">
        <f>+IFERROR(I47/Summary!I$19,"")</f>
        <v>1.0893015344567035E-3</v>
      </c>
      <c r="K47" s="137">
        <f t="shared" si="25"/>
        <v>985.82000000000016</v>
      </c>
      <c r="M47" s="36">
        <v>9249.09</v>
      </c>
      <c r="N47" s="51">
        <f>+IFERROR(M47/Summary!M$19,"")</f>
        <v>1.4706199584483388E-3</v>
      </c>
      <c r="O47" s="36">
        <v>10330</v>
      </c>
      <c r="P47" s="51">
        <f>+IFERROR(O47/Summary!O$19,"")</f>
        <v>1.5271052428955649E-3</v>
      </c>
      <c r="Q47" s="137">
        <f t="shared" si="26"/>
        <v>-1080.9099999999999</v>
      </c>
      <c r="R47" s="36">
        <v>8535.09</v>
      </c>
      <c r="S47" s="51">
        <f>+IFERROR(R47/Summary!R$19,"")</f>
        <v>1.4553564027938661E-3</v>
      </c>
      <c r="T47" s="137">
        <f t="shared" si="27"/>
        <v>714</v>
      </c>
    </row>
    <row r="48" spans="2:20" x14ac:dyDescent="0.25">
      <c r="B48" s="14" t="s">
        <v>114</v>
      </c>
      <c r="C48" s="17" t="s">
        <v>513</v>
      </c>
      <c r="D48" s="36">
        <v>1787.11</v>
      </c>
      <c r="E48" s="51">
        <f>+IFERROR(D48/Summary!D$19,"")</f>
        <v>1.1844433243627381E-3</v>
      </c>
      <c r="F48" s="36">
        <v>2675.79</v>
      </c>
      <c r="G48" s="51">
        <f>+IFERROR(F48/Summary!F$19,"")</f>
        <v>1.7617175476381348E-3</v>
      </c>
      <c r="H48" s="137">
        <f t="shared" si="24"/>
        <v>-888.68000000000006</v>
      </c>
      <c r="I48" s="36">
        <v>1735.07</v>
      </c>
      <c r="J48" s="51">
        <f>+IFERROR(I48/Summary!I$19,"")</f>
        <v>1.3150396341502699E-3</v>
      </c>
      <c r="K48" s="137">
        <f t="shared" si="25"/>
        <v>52.039999999999964</v>
      </c>
      <c r="M48" s="36">
        <v>7296.46</v>
      </c>
      <c r="N48" s="51">
        <f>+IFERROR(M48/Summary!M$19,"")</f>
        <v>1.1601486959279198E-3</v>
      </c>
      <c r="O48" s="36">
        <v>10543.68</v>
      </c>
      <c r="P48" s="51">
        <f>+IFERROR(O48/Summary!O$19,"")</f>
        <v>1.5586939987815207E-3</v>
      </c>
      <c r="Q48" s="137">
        <f t="shared" si="26"/>
        <v>-3247.2200000000003</v>
      </c>
      <c r="R48" s="36">
        <v>12338.01</v>
      </c>
      <c r="S48" s="51">
        <f>+IFERROR(R48/Summary!R$19,"")</f>
        <v>2.1038093155707495E-3</v>
      </c>
      <c r="T48" s="137">
        <f t="shared" si="27"/>
        <v>-5041.55</v>
      </c>
    </row>
    <row r="49" spans="2:24" x14ac:dyDescent="0.25">
      <c r="B49" s="14" t="s">
        <v>92</v>
      </c>
      <c r="C49" s="17" t="s">
        <v>486</v>
      </c>
      <c r="D49" s="36">
        <v>0</v>
      </c>
      <c r="E49" s="51">
        <f>+IFERROR(D49/Summary!D$19,"")</f>
        <v>0</v>
      </c>
      <c r="F49" s="36">
        <v>0</v>
      </c>
      <c r="G49" s="51">
        <f>+IFERROR(F49/Summary!F$19,"")</f>
        <v>0</v>
      </c>
      <c r="H49" s="137">
        <f t="shared" si="24"/>
        <v>0</v>
      </c>
      <c r="I49" s="36">
        <v>0</v>
      </c>
      <c r="J49" s="51">
        <f>+IFERROR(I49/Summary!I$19,"")</f>
        <v>0</v>
      </c>
      <c r="K49" s="137">
        <f t="shared" si="25"/>
        <v>0</v>
      </c>
      <c r="M49" s="36">
        <v>0</v>
      </c>
      <c r="N49" s="51">
        <f>+IFERROR(M49/Summary!M$19,"")</f>
        <v>0</v>
      </c>
      <c r="O49" s="36">
        <v>0</v>
      </c>
      <c r="P49" s="51">
        <f>+IFERROR(O49/Summary!O$19,"")</f>
        <v>0</v>
      </c>
      <c r="Q49" s="137">
        <f t="shared" si="26"/>
        <v>0</v>
      </c>
      <c r="R49" s="36">
        <v>0</v>
      </c>
      <c r="S49" s="51">
        <f>+IFERROR(R49/Summary!R$19,"")</f>
        <v>0</v>
      </c>
      <c r="T49" s="137">
        <f t="shared" si="27"/>
        <v>0</v>
      </c>
    </row>
    <row r="50" spans="2:24" x14ac:dyDescent="0.25">
      <c r="B50" s="14" t="s">
        <v>137</v>
      </c>
      <c r="C50" s="17" t="s">
        <v>514</v>
      </c>
      <c r="D50" s="36">
        <v>2500</v>
      </c>
      <c r="E50" s="51">
        <f>+IFERROR(D50/Summary!D$19,"")</f>
        <v>1.6569256010580467E-3</v>
      </c>
      <c r="F50" s="36">
        <v>2791.5</v>
      </c>
      <c r="G50" s="51">
        <f>+IFERROR(F50/Summary!F$19,"")</f>
        <v>1.8379000348427393E-3</v>
      </c>
      <c r="H50" s="137">
        <f t="shared" si="24"/>
        <v>-291.5</v>
      </c>
      <c r="I50" s="36">
        <v>2532</v>
      </c>
      <c r="J50" s="51">
        <f>+IFERROR(I50/Summary!I$19,"")</f>
        <v>1.9190466976366852E-3</v>
      </c>
      <c r="K50" s="137">
        <f t="shared" si="25"/>
        <v>-32</v>
      </c>
      <c r="M50" s="36">
        <v>10200</v>
      </c>
      <c r="N50" s="51">
        <f>+IFERROR(M50/Summary!M$19,"")</f>
        <v>1.6218161544728242E-3</v>
      </c>
      <c r="O50" s="36">
        <v>11166</v>
      </c>
      <c r="P50" s="51">
        <f>+IFERROR(O50/Summary!O$19,"")</f>
        <v>1.6506928501618468E-3</v>
      </c>
      <c r="Q50" s="137">
        <f t="shared" si="26"/>
        <v>-966</v>
      </c>
      <c r="R50" s="36">
        <v>11647.99</v>
      </c>
      <c r="S50" s="51">
        <f>+IFERROR(R50/Summary!R$19,"")</f>
        <v>1.9861509165315099E-3</v>
      </c>
      <c r="T50" s="137">
        <f t="shared" si="27"/>
        <v>-1447.9899999999998</v>
      </c>
    </row>
    <row r="51" spans="2:24" x14ac:dyDescent="0.25">
      <c r="B51" s="14" t="s">
        <v>165</v>
      </c>
      <c r="C51" s="17" t="s">
        <v>515</v>
      </c>
      <c r="D51" s="36">
        <v>43.32</v>
      </c>
      <c r="E51" s="51">
        <f>+IFERROR(D51/Summary!D$19,"")</f>
        <v>2.8711206815133832E-5</v>
      </c>
      <c r="F51" s="36">
        <v>150</v>
      </c>
      <c r="G51" s="51">
        <f>+IFERROR(F51/Summary!F$19,"")</f>
        <v>9.8758733736847897E-5</v>
      </c>
      <c r="H51" s="137">
        <f t="shared" si="24"/>
        <v>-106.68</v>
      </c>
      <c r="I51" s="36">
        <v>-432.21</v>
      </c>
      <c r="J51" s="51">
        <f>+IFERROR(I51/Summary!I$19,"")</f>
        <v>-3.2757945228497297E-4</v>
      </c>
      <c r="K51" s="137">
        <f t="shared" si="25"/>
        <v>475.53</v>
      </c>
      <c r="M51" s="36">
        <v>768.2</v>
      </c>
      <c r="N51" s="51">
        <f>+IFERROR(M51/Summary!M$19,"")</f>
        <v>1.2214501665353173E-4</v>
      </c>
      <c r="O51" s="36">
        <v>950</v>
      </c>
      <c r="P51" s="51">
        <f>+IFERROR(O51/Summary!O$19,"")</f>
        <v>1.404404628025931E-4</v>
      </c>
      <c r="Q51" s="137">
        <f t="shared" si="26"/>
        <v>-181.79999999999995</v>
      </c>
      <c r="R51" s="36">
        <v>660.08</v>
      </c>
      <c r="S51" s="51">
        <f>+IFERROR(R51/Summary!R$19,"")</f>
        <v>1.1255319561436086E-4</v>
      </c>
      <c r="T51" s="137">
        <f t="shared" si="27"/>
        <v>108.12</v>
      </c>
    </row>
    <row r="52" spans="2:24" x14ac:dyDescent="0.25">
      <c r="B52" s="14" t="s">
        <v>177</v>
      </c>
      <c r="C52" s="17" t="s">
        <v>358</v>
      </c>
      <c r="D52" s="36">
        <v>760.43</v>
      </c>
      <c r="E52" s="51">
        <f>+IFERROR(D52/Summary!D$19,"")</f>
        <v>5.0399037392502815E-4</v>
      </c>
      <c r="F52" s="36">
        <v>9488.6</v>
      </c>
      <c r="G52" s="51">
        <f>+IFERROR(F52/Summary!F$19,"")</f>
        <v>6.2472141395696996E-3</v>
      </c>
      <c r="H52" s="137">
        <f t="shared" si="24"/>
        <v>-8728.17</v>
      </c>
      <c r="I52" s="36">
        <v>2660.01</v>
      </c>
      <c r="J52" s="51">
        <f>+IFERROR(I52/Summary!I$19,"")</f>
        <v>2.0160676959638858E-3</v>
      </c>
      <c r="K52" s="137">
        <f t="shared" si="25"/>
        <v>-1899.5800000000004</v>
      </c>
      <c r="M52" s="36">
        <v>3030.27</v>
      </c>
      <c r="N52" s="51">
        <f>+IFERROR(M52/Summary!M$19,"")</f>
        <v>4.8181772925631034E-4</v>
      </c>
      <c r="O52" s="36">
        <v>38885</v>
      </c>
      <c r="P52" s="51">
        <f>+IFERROR(O52/Summary!O$19,"")</f>
        <v>5.7484498906092973E-3</v>
      </c>
      <c r="Q52" s="137">
        <f t="shared" si="26"/>
        <v>-35854.730000000003</v>
      </c>
      <c r="R52" s="36">
        <v>6483.53</v>
      </c>
      <c r="S52" s="51">
        <f>+IFERROR(R52/Summary!R$19,"")</f>
        <v>1.1055357234904511E-3</v>
      </c>
      <c r="T52" s="137">
        <f t="shared" si="27"/>
        <v>-3453.2599999999998</v>
      </c>
    </row>
    <row r="53" spans="2:24" s="11" customFormat="1" x14ac:dyDescent="0.25">
      <c r="B53" s="14" t="s">
        <v>116</v>
      </c>
      <c r="C53" s="17" t="s">
        <v>516</v>
      </c>
      <c r="D53" s="36">
        <v>75.569999999999993</v>
      </c>
      <c r="E53" s="51">
        <f>+IFERROR(D53/Summary!D$19,"")</f>
        <v>5.0085547068782628E-5</v>
      </c>
      <c r="F53" s="36">
        <v>400.95</v>
      </c>
      <c r="G53" s="51">
        <f>+IFERROR(F53/Summary!F$19,"")</f>
        <v>2.6398209527859443E-4</v>
      </c>
      <c r="H53" s="137">
        <f t="shared" si="24"/>
        <v>-325.38</v>
      </c>
      <c r="I53" s="36">
        <v>-842.9</v>
      </c>
      <c r="J53" s="51">
        <f>+IFERROR(I53/Summary!I$19,"")</f>
        <v>-6.3884852347470848E-4</v>
      </c>
      <c r="K53" s="137">
        <f t="shared" si="25"/>
        <v>918.47</v>
      </c>
      <c r="M53" s="36">
        <v>797.67</v>
      </c>
      <c r="N53" s="51">
        <f>+IFERROR(M53/Summary!M$19,"")</f>
        <v>1.2683079332728801E-4</v>
      </c>
      <c r="O53" s="36">
        <v>1601.93</v>
      </c>
      <c r="P53" s="51">
        <f>+IFERROR(O53/Summary!O$19,"")</f>
        <v>2.3681662166037679E-4</v>
      </c>
      <c r="Q53" s="137">
        <f t="shared" si="26"/>
        <v>-804.2600000000001</v>
      </c>
      <c r="R53" s="36">
        <v>1421</v>
      </c>
      <c r="S53" s="51">
        <f>+IFERROR(R53/Summary!R$19,"")</f>
        <v>2.4230107103382433E-4</v>
      </c>
      <c r="T53" s="137">
        <f t="shared" si="27"/>
        <v>-623.33000000000004</v>
      </c>
      <c r="V53" s="338"/>
      <c r="W53" s="338"/>
      <c r="X53" s="338"/>
    </row>
    <row r="54" spans="2:24" s="11" customFormat="1" x14ac:dyDescent="0.25">
      <c r="B54" s="14" t="s">
        <v>342</v>
      </c>
      <c r="C54" s="17" t="s">
        <v>518</v>
      </c>
      <c r="D54" s="36">
        <v>0</v>
      </c>
      <c r="E54" s="51">
        <f>+IFERROR(D54/Summary!D$19,"")</f>
        <v>0</v>
      </c>
      <c r="F54" s="36">
        <v>0</v>
      </c>
      <c r="G54" s="51">
        <f>+IFERROR(F54/Summary!F$19,"")</f>
        <v>0</v>
      </c>
      <c r="H54" s="137">
        <f t="shared" si="24"/>
        <v>0</v>
      </c>
      <c r="I54" s="36">
        <v>0</v>
      </c>
      <c r="J54" s="51">
        <f>+IFERROR(I54/Summary!I$19,"")</f>
        <v>0</v>
      </c>
      <c r="K54" s="137">
        <f t="shared" si="25"/>
        <v>0</v>
      </c>
      <c r="M54" s="36">
        <v>0</v>
      </c>
      <c r="N54" s="51">
        <f>+IFERROR(M54/Summary!M$19,"")</f>
        <v>0</v>
      </c>
      <c r="O54" s="36">
        <v>0</v>
      </c>
      <c r="P54" s="51">
        <f>+IFERROR(O54/Summary!O$19,"")</f>
        <v>0</v>
      </c>
      <c r="Q54" s="137">
        <f t="shared" si="26"/>
        <v>0</v>
      </c>
      <c r="R54" s="36">
        <v>0</v>
      </c>
      <c r="S54" s="51">
        <f>+IFERROR(R54/Summary!R$19,"")</f>
        <v>0</v>
      </c>
      <c r="T54" s="137">
        <f t="shared" si="27"/>
        <v>0</v>
      </c>
      <c r="V54" s="338"/>
      <c r="W54" s="338"/>
      <c r="X54" s="338"/>
    </row>
    <row r="55" spans="2:24" x14ac:dyDescent="0.25">
      <c r="B55" s="14" t="s">
        <v>347</v>
      </c>
      <c r="C55" s="17" t="s">
        <v>517</v>
      </c>
      <c r="D55" s="90">
        <v>4209.8</v>
      </c>
      <c r="E55" s="82">
        <f>+IFERROR(D55/Summary!D$19,"")</f>
        <v>2.7901301581336659E-3</v>
      </c>
      <c r="F55" s="90">
        <v>3560</v>
      </c>
      <c r="G55" s="82">
        <f>+IFERROR(F55/Summary!F$19,"")</f>
        <v>2.3438739473545236E-3</v>
      </c>
      <c r="H55" s="226">
        <f t="shared" si="24"/>
        <v>649.80000000000018</v>
      </c>
      <c r="I55" s="36">
        <v>3670.45</v>
      </c>
      <c r="J55" s="82">
        <f>+IFERROR(I55/Summary!I$19,"")</f>
        <v>2.7818976901029108E-3</v>
      </c>
      <c r="K55" s="226">
        <f t="shared" si="25"/>
        <v>539.35000000000036</v>
      </c>
      <c r="M55" s="90">
        <v>20374.240000000002</v>
      </c>
      <c r="N55" s="82">
        <f>+IFERROR(M55/Summary!M$19,"")</f>
        <v>3.239536428147686E-3</v>
      </c>
      <c r="O55" s="90">
        <v>14240</v>
      </c>
      <c r="P55" s="82">
        <f>+IFERROR(O55/Summary!O$19,"")</f>
        <v>2.1051286213778163E-3</v>
      </c>
      <c r="Q55" s="226">
        <f t="shared" si="26"/>
        <v>6134.2400000000016</v>
      </c>
      <c r="R55" s="36">
        <v>14534.89</v>
      </c>
      <c r="S55" s="82">
        <f>+IFERROR(R55/Summary!R$19,"")</f>
        <v>2.4784091585917118E-3</v>
      </c>
      <c r="T55" s="226">
        <f t="shared" si="27"/>
        <v>5839.3500000000022</v>
      </c>
    </row>
    <row r="56" spans="2:24" x14ac:dyDescent="0.25">
      <c r="B56" s="14" t="s">
        <v>667</v>
      </c>
      <c r="C56" s="18" t="s">
        <v>423</v>
      </c>
      <c r="D56" s="91">
        <f t="shared" ref="D56" si="28">SUM(D26:D55)</f>
        <v>22219.269999999997</v>
      </c>
      <c r="E56" s="83">
        <f>+IFERROR(D56/Summary!D$19,"")</f>
        <v>1.4726270919928407E-2</v>
      </c>
      <c r="F56" s="91">
        <f t="shared" ref="F56" si="29">SUM(F26:F55)</f>
        <v>31249.489928539999</v>
      </c>
      <c r="G56" s="83">
        <f>+IFERROR(F56/Summary!F$19,"")</f>
        <v>2.057440036843328E-2</v>
      </c>
      <c r="H56" s="192">
        <f t="shared" si="24"/>
        <v>-9030.219928540002</v>
      </c>
      <c r="I56" s="91">
        <f t="shared" ref="I56" si="30">SUM(I26:I55)</f>
        <v>5549.15</v>
      </c>
      <c r="J56" s="83">
        <f>+IFERROR(I56/Summary!I$19,"")</f>
        <v>4.2057969913864967E-3</v>
      </c>
      <c r="K56" s="192">
        <f t="shared" si="25"/>
        <v>16670.119999999995</v>
      </c>
      <c r="M56" s="91">
        <f t="shared" ref="M56" si="31">SUM(M26:M55)</f>
        <v>94277.010000000009</v>
      </c>
      <c r="N56" s="83">
        <f>+IFERROR(M56/Summary!M$19,"")</f>
        <v>1.4990193903274119E-2</v>
      </c>
      <c r="O56" s="91">
        <f t="shared" ref="O56" si="32">SUM(O26:O55)</f>
        <v>130608.28394781798</v>
      </c>
      <c r="P56" s="83">
        <f>+IFERROR(O56/Summary!O$19,"")</f>
        <v>1.9308092466825313E-2</v>
      </c>
      <c r="Q56" s="192">
        <f t="shared" si="26"/>
        <v>-36331.273947817972</v>
      </c>
      <c r="R56" s="91">
        <f t="shared" ref="R56" si="33">SUM(R26:R55)</f>
        <v>83762.710000000006</v>
      </c>
      <c r="S56" s="83">
        <f>+IFERROR(R56/Summary!R$19,"")</f>
        <v>1.4282754641587353E-2</v>
      </c>
      <c r="T56" s="192">
        <f t="shared" si="27"/>
        <v>10514.300000000003</v>
      </c>
    </row>
    <row r="57" spans="2:24" x14ac:dyDescent="0.25">
      <c r="B57" s="14"/>
      <c r="C57" s="16"/>
      <c r="D57" s="48"/>
      <c r="E57" s="307"/>
      <c r="F57" s="48"/>
      <c r="G57" s="32"/>
      <c r="H57" s="16"/>
      <c r="I57" s="48"/>
      <c r="J57" s="32"/>
      <c r="K57" s="79"/>
      <c r="M57" s="48"/>
      <c r="N57" s="307"/>
      <c r="O57" s="48"/>
      <c r="P57" s="32"/>
      <c r="Q57" s="16"/>
      <c r="R57" s="48"/>
      <c r="S57" s="32"/>
      <c r="T57" s="79"/>
    </row>
    <row r="58" spans="2:24" x14ac:dyDescent="0.25">
      <c r="B58" s="14" t="s">
        <v>28</v>
      </c>
      <c r="C58" s="18" t="s">
        <v>424</v>
      </c>
      <c r="D58" s="142">
        <f t="shared" ref="D58" si="34">D23+D56</f>
        <v>58119.28</v>
      </c>
      <c r="E58" s="135">
        <f>+IFERROR(D58/Summary!D$19,"")</f>
        <v>3.8519729178824361E-2</v>
      </c>
      <c r="F58" s="142">
        <f t="shared" ref="F58" si="35">F23+F56</f>
        <v>65333.869928540007</v>
      </c>
      <c r="G58" s="135">
        <f>+IFERROR(F58/Summary!F$19,"")</f>
        <v>4.3015268428470241E-2</v>
      </c>
      <c r="H58" s="27">
        <f>+D58-F58</f>
        <v>-7214.5899285400083</v>
      </c>
      <c r="I58" s="142">
        <f t="shared" ref="I58" si="36">I23+I56</f>
        <v>40236.65</v>
      </c>
      <c r="J58" s="135">
        <f>+IFERROR(I58/Summary!I$19,"")</f>
        <v>3.0496054623405659E-2</v>
      </c>
      <c r="K58" s="218">
        <f>+D58-I58</f>
        <v>17882.629999999997</v>
      </c>
      <c r="M58" s="142">
        <f t="shared" ref="M58" si="37">M23+M56</f>
        <v>223825.06</v>
      </c>
      <c r="N58" s="135">
        <f>+IFERROR(M58/Summary!M$19,"")</f>
        <v>3.5588539027828346E-2</v>
      </c>
      <c r="O58" s="142">
        <f t="shared" ref="O58" si="38">O23+O56</f>
        <v>267358.94394781801</v>
      </c>
      <c r="P58" s="135">
        <f>+IFERROR(O58/Summary!O$19,"")</f>
        <v>3.9524225076256955E-2</v>
      </c>
      <c r="Q58" s="27">
        <f>+M58-O58</f>
        <v>-43533.883947818016</v>
      </c>
      <c r="R58" s="142">
        <f t="shared" ref="R58" si="39">R23+R56</f>
        <v>231953.8</v>
      </c>
      <c r="S58" s="135">
        <f>+IFERROR(R58/Summary!R$19,"")</f>
        <v>3.9551480767322643E-2</v>
      </c>
      <c r="T58" s="218">
        <f>+M58-R58</f>
        <v>-8128.7399999999907</v>
      </c>
    </row>
    <row r="59" spans="2:24" ht="15.75" thickBot="1" x14ac:dyDescent="0.3">
      <c r="B59" s="14"/>
      <c r="C59" s="18" t="s">
        <v>425</v>
      </c>
      <c r="D59" s="143">
        <f t="shared" ref="D59" si="40">0-D58</f>
        <v>-58119.28</v>
      </c>
      <c r="E59" s="213">
        <f>+IFERROR(D59/Summary!D$19,"")</f>
        <v>-3.8519729178824361E-2</v>
      </c>
      <c r="F59" s="143">
        <f t="shared" ref="F59" si="41">0-F58</f>
        <v>-65333.869928540007</v>
      </c>
      <c r="G59" s="213">
        <f>+IFERROR(F59/Summary!F$19,"")</f>
        <v>-4.3015268428470241E-2</v>
      </c>
      <c r="H59" s="21">
        <f>+D59-F59</f>
        <v>7214.5899285400083</v>
      </c>
      <c r="I59" s="143">
        <f t="shared" ref="I59" si="42">0-I58</f>
        <v>-40236.65</v>
      </c>
      <c r="J59" s="213">
        <f>+IFERROR(I59/Summary!I$19,"")</f>
        <v>-3.0496054623405659E-2</v>
      </c>
      <c r="K59" s="219">
        <f>+D59-I59</f>
        <v>-17882.629999999997</v>
      </c>
      <c r="M59" s="143">
        <f t="shared" ref="M59" si="43">0-M58</f>
        <v>-223825.06</v>
      </c>
      <c r="N59" s="213">
        <f>+IFERROR(M59/Summary!M$19,"")</f>
        <v>-3.5588539027828346E-2</v>
      </c>
      <c r="O59" s="143">
        <f t="shared" ref="O59" si="44">0-O58</f>
        <v>-267358.94394781801</v>
      </c>
      <c r="P59" s="213">
        <f>+IFERROR(O59/Summary!O$19,"")</f>
        <v>-3.9524225076256955E-2</v>
      </c>
      <c r="Q59" s="21">
        <f>+M59-O59</f>
        <v>43533.883947818016</v>
      </c>
      <c r="R59" s="143">
        <f t="shared" ref="R59" si="45">0-R58</f>
        <v>-231953.8</v>
      </c>
      <c r="S59" s="213">
        <f>+IFERROR(R59/Summary!R$19,"")</f>
        <v>-3.9551480767322643E-2</v>
      </c>
      <c r="T59" s="219">
        <f>+M59-R59</f>
        <v>8128.7399999999907</v>
      </c>
    </row>
    <row r="60" spans="2:24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FEAC-35E6-4683-9D01-267A6F2AB687}">
  <dimension ref="B1:X17"/>
  <sheetViews>
    <sheetView showGridLines="0" zoomScale="80" zoomScaleNormal="80" workbookViewId="0">
      <pane xSplit="3" ySplit="8" topLeftCell="D9" activePane="bottomRight" state="frozen"/>
      <selection activeCell="AA33" sqref="AA33"/>
      <selection pane="topRight" activeCell="AA33" sqref="AA33"/>
      <selection pane="bottomLeft" activeCell="AA33" sqref="AA33"/>
      <selection pane="bottomRight" activeCell="AA33" sqref="AA33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  <col min="22" max="24" width="9.140625" style="338"/>
  </cols>
  <sheetData>
    <row r="1" spans="2:22" x14ac:dyDescent="0.25">
      <c r="V1" s="338" t="s">
        <v>715</v>
      </c>
    </row>
    <row r="2" spans="2:22" ht="22.5" x14ac:dyDescent="0.3">
      <c r="B2" s="1"/>
      <c r="C2" s="35" t="str">
        <f>+Summary!$C$2</f>
        <v>Angler's</v>
      </c>
      <c r="I2" s="4"/>
      <c r="R2" s="4"/>
      <c r="V2" s="338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APR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2" t="str">
        <f>Year&amp;" "&amp;UPPER(Month)&amp;" - PERIODIC"</f>
        <v>2025 APR - PERIODIC</v>
      </c>
      <c r="E6" s="293"/>
      <c r="F6" s="290"/>
      <c r="G6" s="290"/>
      <c r="H6" s="290"/>
      <c r="I6" s="290"/>
      <c r="J6" s="290"/>
      <c r="K6" s="291"/>
      <c r="M6" s="292" t="str">
        <f>Year&amp;" "&amp;UPPER(Month)&amp;" - YEAR TO DATE"</f>
        <v>2025 APR - YEAR TO DATE</v>
      </c>
      <c r="N6" s="293"/>
      <c r="O6" s="290"/>
      <c r="P6" s="290"/>
      <c r="Q6" s="290"/>
      <c r="R6" s="290"/>
      <c r="S6" s="290"/>
      <c r="T6" s="291"/>
    </row>
    <row r="7" spans="2:22" x14ac:dyDescent="0.25">
      <c r="B7"/>
      <c r="D7" s="335" t="s">
        <v>392</v>
      </c>
      <c r="E7" s="334"/>
      <c r="F7" s="335" t="s">
        <v>389</v>
      </c>
      <c r="G7" s="334"/>
      <c r="H7" s="39" t="s">
        <v>388</v>
      </c>
      <c r="I7" s="335" t="s">
        <v>718</v>
      </c>
      <c r="J7" s="334"/>
      <c r="K7" s="288" t="s">
        <v>388</v>
      </c>
      <c r="M7" s="333" t="s">
        <v>392</v>
      </c>
      <c r="N7" s="334"/>
      <c r="O7" s="335" t="s">
        <v>389</v>
      </c>
      <c r="P7" s="334"/>
      <c r="Q7" s="39" t="s">
        <v>388</v>
      </c>
      <c r="R7" s="335" t="s">
        <v>718</v>
      </c>
      <c r="S7" s="334"/>
      <c r="T7" s="288" t="s">
        <v>388</v>
      </c>
    </row>
    <row r="8" spans="2:22" ht="22.5" customHeight="1" collapsed="1" x14ac:dyDescent="0.25">
      <c r="B8"/>
      <c r="D8" s="40" t="s">
        <v>391</v>
      </c>
      <c r="E8" s="40" t="s">
        <v>390</v>
      </c>
      <c r="F8" s="40" t="s">
        <v>391</v>
      </c>
      <c r="G8" s="40" t="s">
        <v>390</v>
      </c>
      <c r="H8" s="75" t="s">
        <v>391</v>
      </c>
      <c r="I8" s="294" t="s">
        <v>392</v>
      </c>
      <c r="J8" s="76" t="s">
        <v>390</v>
      </c>
      <c r="K8" s="75" t="s">
        <v>391</v>
      </c>
      <c r="M8" s="304" t="s">
        <v>391</v>
      </c>
      <c r="N8" s="40" t="s">
        <v>390</v>
      </c>
      <c r="O8" s="40" t="s">
        <v>391</v>
      </c>
      <c r="P8" s="40" t="s">
        <v>390</v>
      </c>
      <c r="Q8" s="75" t="s">
        <v>391</v>
      </c>
      <c r="R8" s="294" t="s">
        <v>392</v>
      </c>
      <c r="S8" s="76" t="s">
        <v>390</v>
      </c>
      <c r="T8" s="75" t="s">
        <v>391</v>
      </c>
    </row>
    <row r="9" spans="2:22" x14ac:dyDescent="0.25">
      <c r="B9" s="14"/>
      <c r="C9" s="15" t="s">
        <v>67</v>
      </c>
      <c r="D9" s="16"/>
      <c r="E9" s="49"/>
      <c r="F9" s="48"/>
      <c r="G9" s="16"/>
      <c r="H9" s="79"/>
      <c r="I9" s="16"/>
      <c r="J9" s="16"/>
      <c r="K9" s="49"/>
      <c r="M9" s="48"/>
      <c r="N9" s="49"/>
      <c r="O9" s="48"/>
      <c r="P9" s="16"/>
      <c r="Q9" s="79"/>
      <c r="R9" s="16"/>
      <c r="S9" s="16"/>
      <c r="T9" s="49"/>
    </row>
    <row r="10" spans="2:22" x14ac:dyDescent="0.25">
      <c r="B10" s="14" t="s">
        <v>113</v>
      </c>
      <c r="C10" s="17" t="s">
        <v>523</v>
      </c>
      <c r="D10" s="36">
        <v>18685.07</v>
      </c>
      <c r="E10" s="51">
        <f>+IFERROR(D10/Summary!D$19,"")</f>
        <v>1.238390833622467E-2</v>
      </c>
      <c r="F10" s="36">
        <v>18926.39</v>
      </c>
      <c r="G10" s="51">
        <f>+IFERROR(F10/Summary!F$19,"")</f>
        <v>1.2460975404064937E-2</v>
      </c>
      <c r="H10" s="137">
        <f t="shared" ref="H10:H17" si="0">+D10-F10</f>
        <v>-241.31999999999971</v>
      </c>
      <c r="I10" s="36">
        <v>18512.68</v>
      </c>
      <c r="J10" s="51">
        <f>+IFERROR(I10/Summary!I$19,"")</f>
        <v>1.4031081128911813E-2</v>
      </c>
      <c r="K10" s="137">
        <f t="shared" ref="K10:K17" si="1">+D10-I10</f>
        <v>172.38999999999942</v>
      </c>
      <c r="M10" s="36">
        <v>73774.559999999998</v>
      </c>
      <c r="N10" s="51">
        <f>+IFERROR(M10/Summary!M$19,"")</f>
        <v>1.1730271882071043E-2</v>
      </c>
      <c r="O10" s="36">
        <v>72404.740000000005</v>
      </c>
      <c r="P10" s="51">
        <f>+IFERROR(O10/Summary!O$19,"")</f>
        <v>1.0703742310212027E-2</v>
      </c>
      <c r="Q10" s="137">
        <f t="shared" ref="Q10:Q17" si="2">+M10-O10</f>
        <v>1369.8199999999924</v>
      </c>
      <c r="R10" s="36">
        <v>70174.27</v>
      </c>
      <c r="S10" s="51">
        <f>+IFERROR(R10/Summary!R$19,"")</f>
        <v>1.196572890923066E-2</v>
      </c>
      <c r="T10" s="137">
        <f t="shared" ref="T10:T17" si="3">+M10-R10</f>
        <v>3600.2899999999936</v>
      </c>
    </row>
    <row r="11" spans="2:22" x14ac:dyDescent="0.25">
      <c r="B11" s="14" t="s">
        <v>134</v>
      </c>
      <c r="C11" s="17" t="s">
        <v>135</v>
      </c>
      <c r="D11" s="36">
        <v>1908.87</v>
      </c>
      <c r="E11" s="51">
        <f>+IFERROR(D11/Summary!D$19,"")</f>
        <v>1.2651422288366694E-3</v>
      </c>
      <c r="F11" s="36">
        <v>3236</v>
      </c>
      <c r="G11" s="51">
        <f>+IFERROR(F11/Summary!F$19,"")</f>
        <v>2.1305550824829321E-3</v>
      </c>
      <c r="H11" s="137">
        <f t="shared" si="0"/>
        <v>-1327.13</v>
      </c>
      <c r="I11" s="36">
        <v>3143.23</v>
      </c>
      <c r="J11" s="51">
        <f>+IFERROR(I11/Summary!I$19,"")</f>
        <v>2.382308511616334E-3</v>
      </c>
      <c r="K11" s="137">
        <f t="shared" si="1"/>
        <v>-1234.3600000000001</v>
      </c>
      <c r="M11" s="36">
        <v>10943.34</v>
      </c>
      <c r="N11" s="51">
        <f>+IFERROR(M11/Summary!M$19,"")</f>
        <v>1.740008391753788E-3</v>
      </c>
      <c r="O11" s="36">
        <v>11262.92</v>
      </c>
      <c r="P11" s="51">
        <f>+IFERROR(O11/Summary!O$19,"")</f>
        <v>1.6650207340090334E-3</v>
      </c>
      <c r="Q11" s="137">
        <f t="shared" si="2"/>
        <v>-319.57999999999993</v>
      </c>
      <c r="R11" s="36">
        <v>10194.19</v>
      </c>
      <c r="S11" s="51">
        <f>+IFERROR(R11/Summary!R$19,"")</f>
        <v>1.738256970670163E-3</v>
      </c>
      <c r="T11" s="137">
        <f t="shared" si="3"/>
        <v>749.14999999999964</v>
      </c>
    </row>
    <row r="12" spans="2:22" x14ac:dyDescent="0.25">
      <c r="B12" s="14" t="s">
        <v>348</v>
      </c>
      <c r="C12" s="17" t="s">
        <v>524</v>
      </c>
      <c r="D12" s="36">
        <v>7767.5</v>
      </c>
      <c r="E12" s="51">
        <f>+IFERROR(D12/Summary!D$19,"")</f>
        <v>5.1480678424873508E-3</v>
      </c>
      <c r="F12" s="36">
        <v>6000</v>
      </c>
      <c r="G12" s="51">
        <f>+IFERROR(F12/Summary!F$19,"")</f>
        <v>3.9503493494739157E-3</v>
      </c>
      <c r="H12" s="137">
        <f t="shared" si="0"/>
        <v>1767.5</v>
      </c>
      <c r="I12" s="36">
        <v>5657.22</v>
      </c>
      <c r="J12" s="51">
        <f>+IFERROR(I12/Summary!I$19,"")</f>
        <v>4.287705118011141E-3</v>
      </c>
      <c r="K12" s="137">
        <f t="shared" si="1"/>
        <v>2110.2799999999997</v>
      </c>
      <c r="M12" s="36">
        <v>25697.200000000001</v>
      </c>
      <c r="N12" s="51">
        <f>+IFERROR(M12/Summary!M$19,"")</f>
        <v>4.0858954985018691E-3</v>
      </c>
      <c r="O12" s="36">
        <v>26549.38</v>
      </c>
      <c r="P12" s="51">
        <f>+IFERROR(O12/Summary!O$19,"")</f>
        <v>3.9248496992862203E-3</v>
      </c>
      <c r="Q12" s="137">
        <f t="shared" si="2"/>
        <v>-852.18000000000029</v>
      </c>
      <c r="R12" s="36">
        <v>25117.53</v>
      </c>
      <c r="S12" s="51">
        <f>+IFERROR(R12/Summary!R$19,"")</f>
        <v>4.282902477638433E-3</v>
      </c>
      <c r="T12" s="137">
        <f t="shared" si="3"/>
        <v>579.67000000000189</v>
      </c>
    </row>
    <row r="13" spans="2:22" x14ac:dyDescent="0.25">
      <c r="B13" s="14" t="s">
        <v>627</v>
      </c>
      <c r="C13" s="287" t="s">
        <v>710</v>
      </c>
      <c r="D13" s="36">
        <v>0</v>
      </c>
      <c r="E13" s="51">
        <f>+IFERROR(D13/Summary!D$19,"")</f>
        <v>0</v>
      </c>
      <c r="F13" s="36">
        <v>0</v>
      </c>
      <c r="G13" s="51">
        <f>+IFERROR(F13/Summary!F$19,"")</f>
        <v>0</v>
      </c>
      <c r="H13" s="137">
        <f t="shared" si="0"/>
        <v>0</v>
      </c>
      <c r="I13" s="36">
        <v>0</v>
      </c>
      <c r="J13" s="51">
        <f>+IFERROR(I13/Summary!I$19,"")</f>
        <v>0</v>
      </c>
      <c r="K13" s="137">
        <f t="shared" si="1"/>
        <v>0</v>
      </c>
      <c r="M13" s="36">
        <v>0</v>
      </c>
      <c r="N13" s="51">
        <f>+IFERROR(M13/Summary!M$19,"")</f>
        <v>0</v>
      </c>
      <c r="O13" s="36">
        <v>0</v>
      </c>
      <c r="P13" s="51">
        <f>+IFERROR(O13/Summary!O$19,"")</f>
        <v>0</v>
      </c>
      <c r="Q13" s="137">
        <f t="shared" si="2"/>
        <v>0</v>
      </c>
      <c r="R13" s="36">
        <v>0</v>
      </c>
      <c r="S13" s="51">
        <f>+IFERROR(R13/Summary!R$19,"")</f>
        <v>0</v>
      </c>
      <c r="T13" s="137">
        <f t="shared" si="3"/>
        <v>0</v>
      </c>
    </row>
    <row r="14" spans="2:22" x14ac:dyDescent="0.25">
      <c r="B14" s="14" t="s">
        <v>230</v>
      </c>
      <c r="C14" s="17" t="s">
        <v>525</v>
      </c>
      <c r="D14" s="36">
        <v>0</v>
      </c>
      <c r="E14" s="51">
        <f>+IFERROR(D14/Summary!D$19,"")</f>
        <v>0</v>
      </c>
      <c r="F14" s="36">
        <v>0</v>
      </c>
      <c r="G14" s="51">
        <f>+IFERROR(F14/Summary!F$19,"")</f>
        <v>0</v>
      </c>
      <c r="H14" s="137">
        <f t="shared" si="0"/>
        <v>0</v>
      </c>
      <c r="I14" s="36">
        <v>0</v>
      </c>
      <c r="J14" s="51">
        <f>+IFERROR(I14/Summary!I$19,"")</f>
        <v>0</v>
      </c>
      <c r="K14" s="137">
        <f t="shared" si="1"/>
        <v>0</v>
      </c>
      <c r="M14" s="36">
        <v>0</v>
      </c>
      <c r="N14" s="51">
        <f>+IFERROR(M14/Summary!M$19,"")</f>
        <v>0</v>
      </c>
      <c r="O14" s="36">
        <v>0</v>
      </c>
      <c r="P14" s="51">
        <f>+IFERROR(O14/Summary!O$19,"")</f>
        <v>0</v>
      </c>
      <c r="Q14" s="137">
        <f t="shared" si="2"/>
        <v>0</v>
      </c>
      <c r="R14" s="36">
        <v>0</v>
      </c>
      <c r="S14" s="51">
        <f>+IFERROR(R14/Summary!R$19,"")</f>
        <v>0</v>
      </c>
      <c r="T14" s="137">
        <f t="shared" si="3"/>
        <v>0</v>
      </c>
    </row>
    <row r="15" spans="2:22" x14ac:dyDescent="0.25">
      <c r="B15" s="14" t="s">
        <v>202</v>
      </c>
      <c r="C15" s="17" t="s">
        <v>526</v>
      </c>
      <c r="D15" s="36">
        <v>-5000</v>
      </c>
      <c r="E15" s="51">
        <f>+IFERROR(D15/Summary!D$19,"")</f>
        <v>-3.3138512021160934E-3</v>
      </c>
      <c r="F15" s="36">
        <v>-5000</v>
      </c>
      <c r="G15" s="51">
        <f>+IFERROR(F15/Summary!F$19,"")</f>
        <v>-3.2919577912282633E-3</v>
      </c>
      <c r="H15" s="137">
        <f t="shared" si="0"/>
        <v>0</v>
      </c>
      <c r="I15" s="36">
        <v>-4166.67</v>
      </c>
      <c r="J15" s="51">
        <f>+IFERROR(I15/Summary!I$19,"")</f>
        <v>-3.1579914311381701E-3</v>
      </c>
      <c r="K15" s="137">
        <f t="shared" si="1"/>
        <v>-833.32999999999993</v>
      </c>
      <c r="M15" s="36">
        <v>-20000</v>
      </c>
      <c r="N15" s="51">
        <f>+IFERROR(M15/Summary!M$19,"")</f>
        <v>-3.1800316754369102E-3</v>
      </c>
      <c r="O15" s="36">
        <v>-20000</v>
      </c>
      <c r="P15" s="51">
        <f>+IFERROR(O15/Summary!O$19,"")</f>
        <v>-2.9566413221598547E-3</v>
      </c>
      <c r="Q15" s="137">
        <f t="shared" si="2"/>
        <v>0</v>
      </c>
      <c r="R15" s="36">
        <v>-15994.91</v>
      </c>
      <c r="S15" s="51">
        <f>+IFERROR(R15/Summary!R$19,"")</f>
        <v>-2.7273637044965705E-3</v>
      </c>
      <c r="T15" s="137">
        <f t="shared" si="3"/>
        <v>-4005.09</v>
      </c>
    </row>
    <row r="16" spans="2:22" x14ac:dyDescent="0.25">
      <c r="B16" s="14" t="s">
        <v>87</v>
      </c>
      <c r="C16" s="17" t="s">
        <v>364</v>
      </c>
      <c r="D16" s="173">
        <v>0</v>
      </c>
      <c r="E16" s="215">
        <f>+IFERROR(D16/Summary!D$19,"")</f>
        <v>0</v>
      </c>
      <c r="F16" s="90">
        <v>0</v>
      </c>
      <c r="G16" s="215">
        <f>+IFERROR(F16/Summary!F$19,"")</f>
        <v>0</v>
      </c>
      <c r="H16" s="139">
        <f t="shared" si="0"/>
        <v>0</v>
      </c>
      <c r="I16" s="36">
        <v>0</v>
      </c>
      <c r="J16" s="215">
        <f>+IFERROR(I16/Summary!I$19,"")</f>
        <v>0</v>
      </c>
      <c r="K16" s="141">
        <f t="shared" si="1"/>
        <v>0</v>
      </c>
      <c r="M16" s="209">
        <v>0</v>
      </c>
      <c r="N16" s="215">
        <f>+IFERROR(M16/Summary!M$19,"")</f>
        <v>0</v>
      </c>
      <c r="O16" s="90">
        <v>0</v>
      </c>
      <c r="P16" s="215">
        <f>+IFERROR(O16/Summary!O$19,"")</f>
        <v>0</v>
      </c>
      <c r="Q16" s="139">
        <f t="shared" si="2"/>
        <v>0</v>
      </c>
      <c r="R16" s="36">
        <v>0</v>
      </c>
      <c r="S16" s="215">
        <f>+IFERROR(R16/Summary!R$19,"")</f>
        <v>0</v>
      </c>
      <c r="T16" s="141">
        <f t="shared" si="3"/>
        <v>0</v>
      </c>
    </row>
    <row r="17" spans="2:20" x14ac:dyDescent="0.25">
      <c r="B17" s="14" t="s">
        <v>29</v>
      </c>
      <c r="C17" s="18" t="s">
        <v>423</v>
      </c>
      <c r="D17" s="86">
        <f t="shared" ref="D17" si="4">SUM(D10:D16)</f>
        <v>23361.439999999999</v>
      </c>
      <c r="E17" s="83">
        <f>+IFERROR(D17/Summary!D$19,"")</f>
        <v>1.5483267205432596E-2</v>
      </c>
      <c r="F17" s="91">
        <f t="shared" ref="F17" si="5">SUM(F10:F16)</f>
        <v>23162.39</v>
      </c>
      <c r="G17" s="83">
        <f>+IFERROR(F17/Summary!F$19,"")</f>
        <v>1.5249922044793522E-2</v>
      </c>
      <c r="H17" s="140">
        <f t="shared" si="0"/>
        <v>199.04999999999927</v>
      </c>
      <c r="I17" s="86">
        <f t="shared" ref="I17" si="6">SUM(I10:I16)</f>
        <v>23146.46</v>
      </c>
      <c r="J17" s="83">
        <f>+IFERROR(I17/Summary!I$19,"")</f>
        <v>1.7543103327401114E-2</v>
      </c>
      <c r="K17" s="140">
        <f t="shared" si="1"/>
        <v>214.97999999999956</v>
      </c>
      <c r="M17" s="91">
        <f t="shared" ref="M17" si="7">SUM(M10:M16)</f>
        <v>90415.099999999991</v>
      </c>
      <c r="N17" s="83">
        <f>+IFERROR(M17/Summary!M$19,"")</f>
        <v>1.4376144096889788E-2</v>
      </c>
      <c r="O17" s="91">
        <f t="shared" ref="O17" si="8">SUM(O10:O16)</f>
        <v>90217.040000000008</v>
      </c>
      <c r="P17" s="83">
        <f>+IFERROR(O17/Summary!O$19,"")</f>
        <v>1.3336971421347425E-2</v>
      </c>
      <c r="Q17" s="140">
        <f t="shared" si="2"/>
        <v>198.05999999998312</v>
      </c>
      <c r="R17" s="86">
        <f t="shared" ref="R17" si="9">SUM(R10:R16)</f>
        <v>89491.08</v>
      </c>
      <c r="S17" s="83">
        <f>+IFERROR(R17/Summary!R$19,"")</f>
        <v>1.5259524653042684E-2</v>
      </c>
      <c r="T17" s="140">
        <f t="shared" si="3"/>
        <v>924.01999999998952</v>
      </c>
    </row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B433-B631-47DF-84F8-0265AC73912D}">
  <dimension ref="B1:X13"/>
  <sheetViews>
    <sheetView showGridLines="0" zoomScale="80" zoomScaleNormal="80" workbookViewId="0">
      <pane xSplit="3" ySplit="8" topLeftCell="D9" activePane="bottomRight" state="frozen"/>
      <selection activeCell="AA33" sqref="AA33"/>
      <selection pane="topRight" activeCell="AA33" sqref="AA33"/>
      <selection pane="bottomLeft" activeCell="AA33" sqref="AA33"/>
      <selection pane="bottomRight" activeCell="AA33" sqref="AA33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  <col min="22" max="24" width="9.140625" style="338"/>
  </cols>
  <sheetData>
    <row r="1" spans="2:22" x14ac:dyDescent="0.25">
      <c r="V1" s="338" t="s">
        <v>715</v>
      </c>
    </row>
    <row r="2" spans="2:22" ht="22.5" x14ac:dyDescent="0.3">
      <c r="B2" s="1"/>
      <c r="C2" s="35" t="str">
        <f>+Summary!$C$2</f>
        <v>Angler's</v>
      </c>
      <c r="I2" s="4"/>
      <c r="R2" s="4"/>
      <c r="V2" s="338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APR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2" t="str">
        <f>Year&amp;" "&amp;UPPER(Month)&amp;" - PERIODIC"</f>
        <v>2025 APR - PERIODIC</v>
      </c>
      <c r="E6" s="293"/>
      <c r="F6" s="290"/>
      <c r="G6" s="290"/>
      <c r="H6" s="290"/>
      <c r="I6" s="290"/>
      <c r="J6" s="290"/>
      <c r="K6" s="291"/>
      <c r="M6" s="292" t="str">
        <f>Year&amp;" "&amp;UPPER(Month)&amp;" - YEAR TO DATE"</f>
        <v>2025 APR - YEAR TO DATE</v>
      </c>
      <c r="N6" s="293"/>
      <c r="O6" s="290"/>
      <c r="P6" s="290"/>
      <c r="Q6" s="290"/>
      <c r="R6" s="290"/>
      <c r="S6" s="290"/>
      <c r="T6" s="291"/>
    </row>
    <row r="7" spans="2:22" x14ac:dyDescent="0.25">
      <c r="B7"/>
      <c r="D7" s="333" t="s">
        <v>392</v>
      </c>
      <c r="E7" s="334"/>
      <c r="F7" s="335" t="s">
        <v>389</v>
      </c>
      <c r="G7" s="334"/>
      <c r="H7" s="39" t="s">
        <v>388</v>
      </c>
      <c r="I7" s="335" t="s">
        <v>718</v>
      </c>
      <c r="J7" s="334"/>
      <c r="K7" s="288" t="s">
        <v>388</v>
      </c>
      <c r="M7" s="333" t="s">
        <v>392</v>
      </c>
      <c r="N7" s="334"/>
      <c r="O7" s="335" t="s">
        <v>389</v>
      </c>
      <c r="P7" s="334"/>
      <c r="Q7" s="39" t="s">
        <v>388</v>
      </c>
      <c r="R7" s="335" t="s">
        <v>718</v>
      </c>
      <c r="S7" s="334"/>
      <c r="T7" s="288" t="s">
        <v>388</v>
      </c>
    </row>
    <row r="8" spans="2:22" ht="22.5" customHeight="1" collapsed="1" x14ac:dyDescent="0.25">
      <c r="B8"/>
      <c r="D8" s="304" t="s">
        <v>391</v>
      </c>
      <c r="E8" s="40" t="s">
        <v>390</v>
      </c>
      <c r="F8" s="40" t="s">
        <v>391</v>
      </c>
      <c r="G8" s="40" t="s">
        <v>390</v>
      </c>
      <c r="H8" s="75" t="s">
        <v>391</v>
      </c>
      <c r="I8" s="294" t="s">
        <v>392</v>
      </c>
      <c r="J8" s="76" t="s">
        <v>390</v>
      </c>
      <c r="K8" s="75" t="s">
        <v>391</v>
      </c>
      <c r="M8" s="304" t="s">
        <v>391</v>
      </c>
      <c r="N8" s="40" t="s">
        <v>390</v>
      </c>
      <c r="O8" s="40" t="s">
        <v>391</v>
      </c>
      <c r="P8" s="40" t="s">
        <v>390</v>
      </c>
      <c r="Q8" s="75" t="s">
        <v>391</v>
      </c>
      <c r="R8" s="294" t="s">
        <v>392</v>
      </c>
      <c r="S8" s="76" t="s">
        <v>390</v>
      </c>
      <c r="T8" s="75" t="s">
        <v>391</v>
      </c>
    </row>
    <row r="9" spans="2:22" x14ac:dyDescent="0.25">
      <c r="B9" s="14"/>
      <c r="C9" s="15" t="s">
        <v>48</v>
      </c>
      <c r="D9" s="48"/>
      <c r="E9" s="49"/>
      <c r="F9" s="48"/>
      <c r="G9" s="16"/>
      <c r="H9" s="79"/>
      <c r="I9" s="16"/>
      <c r="J9" s="16"/>
      <c r="K9" s="49"/>
      <c r="M9" s="48"/>
      <c r="N9" s="49"/>
      <c r="O9" s="48"/>
      <c r="P9" s="16"/>
      <c r="Q9" s="79"/>
      <c r="R9" s="16"/>
      <c r="S9" s="16"/>
      <c r="T9" s="49"/>
    </row>
    <row r="10" spans="2:22" x14ac:dyDescent="0.25">
      <c r="B10" s="14" t="s">
        <v>32</v>
      </c>
      <c r="C10" s="17" t="s">
        <v>527</v>
      </c>
      <c r="D10" s="36">
        <v>61919.55</v>
      </c>
      <c r="E10" s="51">
        <f>+IFERROR(D10/Summary!D$19,"")</f>
        <v>4.103843504039751E-2</v>
      </c>
      <c r="F10" s="36">
        <v>64273.1</v>
      </c>
      <c r="G10" s="51">
        <f>+IFERROR(F10/Summary!F$19,"")</f>
        <v>4.2316866462278654E-2</v>
      </c>
      <c r="H10" s="137">
        <f>+D10-F10</f>
        <v>-2353.5499999999956</v>
      </c>
      <c r="I10" s="36">
        <v>50584.2</v>
      </c>
      <c r="J10" s="51">
        <f>+IFERROR(I10/Summary!I$19,"")</f>
        <v>3.8338642165321325E-2</v>
      </c>
      <c r="K10" s="137">
        <f>+D10-I10</f>
        <v>11335.350000000006</v>
      </c>
      <c r="M10" s="36">
        <v>247929.58</v>
      </c>
      <c r="N10" s="51">
        <f>+IFERROR(M10/Summary!M$19,"")</f>
        <v>3.9421195883888475E-2</v>
      </c>
      <c r="O10" s="36">
        <v>280923.46000000002</v>
      </c>
      <c r="P10" s="51">
        <f>+IFERROR(O10/Summary!O$19,"")</f>
        <v>4.1529495510006051E-2</v>
      </c>
      <c r="Q10" s="137">
        <f>+M10-O10</f>
        <v>-32993.880000000034</v>
      </c>
      <c r="R10" s="36">
        <v>218035.98</v>
      </c>
      <c r="S10" s="51">
        <f>+IFERROR(R10/Summary!R$19,"")</f>
        <v>3.7178290976713234E-2</v>
      </c>
      <c r="T10" s="137">
        <f>+M10-R10</f>
        <v>29893.599999999977</v>
      </c>
    </row>
    <row r="11" spans="2:22" x14ac:dyDescent="0.25">
      <c r="B11" s="14" t="s">
        <v>34</v>
      </c>
      <c r="C11" s="17" t="s">
        <v>528</v>
      </c>
      <c r="D11" s="36">
        <v>0</v>
      </c>
      <c r="E11" s="51">
        <f>+IFERROR(D11/Summary!D$19,"")</f>
        <v>0</v>
      </c>
      <c r="F11" s="36">
        <v>0</v>
      </c>
      <c r="G11" s="51">
        <f>+IFERROR(F11/Summary!F$19,"")</f>
        <v>0</v>
      </c>
      <c r="H11" s="137">
        <f>+D11-F11</f>
        <v>0</v>
      </c>
      <c r="I11" s="36">
        <v>0</v>
      </c>
      <c r="J11" s="51">
        <f>+IFERROR(I11/Summary!I$19,"")</f>
        <v>0</v>
      </c>
      <c r="K11" s="137">
        <f>+D11-I11</f>
        <v>0</v>
      </c>
      <c r="M11" s="36">
        <v>0</v>
      </c>
      <c r="N11" s="51">
        <f>+IFERROR(M11/Summary!M$19,"")</f>
        <v>0</v>
      </c>
      <c r="O11" s="36">
        <v>0</v>
      </c>
      <c r="P11" s="51">
        <f>+IFERROR(O11/Summary!O$19,"")</f>
        <v>0</v>
      </c>
      <c r="Q11" s="137">
        <f>+M11-O11</f>
        <v>0</v>
      </c>
      <c r="R11" s="36">
        <v>0</v>
      </c>
      <c r="S11" s="51">
        <f>+IFERROR(R11/Summary!R$19,"")</f>
        <v>0</v>
      </c>
      <c r="T11" s="137">
        <f>+M11-R11</f>
        <v>0</v>
      </c>
    </row>
    <row r="12" spans="2:22" x14ac:dyDescent="0.25">
      <c r="B12" s="14" t="s">
        <v>201</v>
      </c>
      <c r="C12" s="17" t="s">
        <v>529</v>
      </c>
      <c r="D12" s="36">
        <v>6510.67</v>
      </c>
      <c r="E12" s="51">
        <f>+IFERROR(D12/Summary!D$19,"")</f>
        <v>4.3150783212162367E-3</v>
      </c>
      <c r="F12" s="36">
        <v>6510.67</v>
      </c>
      <c r="G12" s="51">
        <f>+IFERROR(F12/Summary!F$19,"")</f>
        <v>4.2865701665232231E-3</v>
      </c>
      <c r="H12" s="137">
        <f>+D12-F12</f>
        <v>0</v>
      </c>
      <c r="I12" s="36">
        <v>6333.33</v>
      </c>
      <c r="J12" s="51">
        <f>+IFERROR(I12/Summary!I$19,"")</f>
        <v>4.8001406088243864E-3</v>
      </c>
      <c r="K12" s="137">
        <f>+D12-I12</f>
        <v>177.34000000000015</v>
      </c>
      <c r="M12" s="36">
        <v>26042.68</v>
      </c>
      <c r="N12" s="51">
        <f>+IFERROR(M12/Summary!M$19,"")</f>
        <v>4.1408273656633656E-3</v>
      </c>
      <c r="O12" s="36">
        <v>26042.68</v>
      </c>
      <c r="P12" s="51">
        <f>+IFERROR(O12/Summary!O$19,"")</f>
        <v>3.8499431913893E-3</v>
      </c>
      <c r="Q12" s="137">
        <f>+M12-O12</f>
        <v>0</v>
      </c>
      <c r="R12" s="36">
        <v>25333.32</v>
      </c>
      <c r="S12" s="51">
        <f>+IFERROR(R12/Summary!R$19,"")</f>
        <v>4.3196977965113317E-3</v>
      </c>
      <c r="T12" s="137">
        <f>+M12-R12</f>
        <v>709.36000000000058</v>
      </c>
    </row>
    <row r="13" spans="2:22" x14ac:dyDescent="0.25">
      <c r="B13" s="14" t="s">
        <v>278</v>
      </c>
      <c r="C13" s="18" t="s">
        <v>423</v>
      </c>
      <c r="D13" s="91">
        <f t="shared" ref="D13" si="0">SUM(D10:D12)</f>
        <v>68430.22</v>
      </c>
      <c r="E13" s="83">
        <v>3.284318002319344E-2</v>
      </c>
      <c r="F13" s="84">
        <f>SUM(F10:F12)</f>
        <v>70783.77</v>
      </c>
      <c r="G13" s="171">
        <f>+IFERROR(F13/Summary!F$19,"")</f>
        <v>4.6603436628801884E-2</v>
      </c>
      <c r="H13" s="140">
        <f>+D13-F13</f>
        <v>-2353.5500000000029</v>
      </c>
      <c r="I13" s="84">
        <f>SUM(I10:I12)</f>
        <v>56917.53</v>
      </c>
      <c r="J13" s="171">
        <f>+IFERROR(I13/Summary!I$19,"")</f>
        <v>4.3138782774145713E-2</v>
      </c>
      <c r="K13" s="140">
        <f>+D13-I13</f>
        <v>11512.690000000002</v>
      </c>
      <c r="M13" s="91">
        <f t="shared" ref="M13" si="1">SUM(M10:M12)</f>
        <v>273972.26</v>
      </c>
      <c r="N13" s="83">
        <v>3.284318002319344E-2</v>
      </c>
      <c r="O13" s="84">
        <f>SUM(O10:O12)</f>
        <v>306966.14</v>
      </c>
      <c r="P13" s="171">
        <f>+IFERROR(O13/Summary!O$19,"")</f>
        <v>4.5379438701395353E-2</v>
      </c>
      <c r="Q13" s="140">
        <f>+M13-O13</f>
        <v>-32993.880000000005</v>
      </c>
      <c r="R13" s="84">
        <f>SUM(R10:R12)</f>
        <v>243369.30000000002</v>
      </c>
      <c r="S13" s="171">
        <f>+IFERROR(R13/Summary!R$19,"")</f>
        <v>4.149798877322456E-2</v>
      </c>
      <c r="T13" s="140">
        <f>+M13-R13</f>
        <v>30602.959999999992</v>
      </c>
    </row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7FFD-740C-4D8B-AD87-D54531A550F8}">
  <dimension ref="B1:X39"/>
  <sheetViews>
    <sheetView showGridLines="0" zoomScale="80" zoomScaleNormal="80" workbookViewId="0">
      <pane xSplit="3" ySplit="8" topLeftCell="D9" activePane="bottomRight" state="frozen"/>
      <selection activeCell="AA33" sqref="AA33"/>
      <selection pane="topRight" activeCell="AA33" sqref="AA33"/>
      <selection pane="bottomLeft" activeCell="AA33" sqref="AA33"/>
      <selection pane="bottomRight" activeCell="AA33" sqref="AA33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  <col min="22" max="24" width="9.140625" style="338"/>
  </cols>
  <sheetData>
    <row r="1" spans="2:22" x14ac:dyDescent="0.25">
      <c r="V1" s="338" t="s">
        <v>715</v>
      </c>
    </row>
    <row r="2" spans="2:22" ht="22.5" x14ac:dyDescent="0.3">
      <c r="B2" s="1"/>
      <c r="C2" s="35" t="str">
        <f>+Summary!$C$2</f>
        <v>Angler's</v>
      </c>
      <c r="I2" s="4"/>
      <c r="R2" s="4"/>
      <c r="V2" s="338" t="s">
        <v>0</v>
      </c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APR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2" t="str">
        <f>Year&amp;" "&amp;UPPER(Month)&amp;" - PERIODIC"</f>
        <v>2025 APR - PERIODIC</v>
      </c>
      <c r="E6" s="293"/>
      <c r="F6" s="290"/>
      <c r="G6" s="290"/>
      <c r="H6" s="290"/>
      <c r="I6" s="290"/>
      <c r="J6" s="290"/>
      <c r="K6" s="291"/>
      <c r="M6" s="292" t="str">
        <f>Year&amp;" "&amp;UPPER(Month)&amp;" - YEAR TO DATE"</f>
        <v>2025 APR - YEAR TO DATE</v>
      </c>
      <c r="N6" s="293"/>
      <c r="O6" s="290"/>
      <c r="P6" s="290"/>
      <c r="Q6" s="290"/>
      <c r="R6" s="290"/>
      <c r="S6" s="290"/>
      <c r="T6" s="291"/>
    </row>
    <row r="7" spans="2:22" x14ac:dyDescent="0.25">
      <c r="B7"/>
      <c r="D7" s="333" t="s">
        <v>392</v>
      </c>
      <c r="E7" s="334"/>
      <c r="F7" s="335" t="s">
        <v>389</v>
      </c>
      <c r="G7" s="334"/>
      <c r="H7" s="39" t="s">
        <v>388</v>
      </c>
      <c r="I7" s="335" t="s">
        <v>718</v>
      </c>
      <c r="J7" s="334"/>
      <c r="K7" s="288" t="s">
        <v>388</v>
      </c>
      <c r="M7" s="333" t="s">
        <v>392</v>
      </c>
      <c r="N7" s="334"/>
      <c r="O7" s="335" t="s">
        <v>389</v>
      </c>
      <c r="P7" s="334"/>
      <c r="Q7" s="39" t="s">
        <v>388</v>
      </c>
      <c r="R7" s="335" t="s">
        <v>718</v>
      </c>
      <c r="S7" s="334"/>
      <c r="T7" s="288" t="s">
        <v>388</v>
      </c>
    </row>
    <row r="8" spans="2:22" ht="22.5" customHeight="1" collapsed="1" x14ac:dyDescent="0.25">
      <c r="B8"/>
      <c r="D8" s="304" t="s">
        <v>391</v>
      </c>
      <c r="E8" s="40" t="s">
        <v>390</v>
      </c>
      <c r="F8" s="40" t="s">
        <v>391</v>
      </c>
      <c r="G8" s="40" t="s">
        <v>390</v>
      </c>
      <c r="H8" s="75" t="s">
        <v>391</v>
      </c>
      <c r="I8" s="294" t="s">
        <v>392</v>
      </c>
      <c r="J8" s="76" t="s">
        <v>390</v>
      </c>
      <c r="K8" s="75" t="s">
        <v>391</v>
      </c>
      <c r="M8" s="304" t="s">
        <v>391</v>
      </c>
      <c r="N8" s="40" t="s">
        <v>390</v>
      </c>
      <c r="O8" s="40" t="s">
        <v>391</v>
      </c>
      <c r="P8" s="40" t="s">
        <v>390</v>
      </c>
      <c r="Q8" s="75" t="s">
        <v>391</v>
      </c>
      <c r="R8" s="294" t="s">
        <v>392</v>
      </c>
      <c r="S8" s="76" t="s">
        <v>390</v>
      </c>
      <c r="T8" s="75" t="s">
        <v>391</v>
      </c>
    </row>
    <row r="9" spans="2:22" x14ac:dyDescent="0.25">
      <c r="B9" s="14"/>
      <c r="C9" s="15" t="s">
        <v>677</v>
      </c>
      <c r="D9" s="48"/>
      <c r="E9" s="101"/>
      <c r="F9" s="48"/>
      <c r="G9" s="16"/>
      <c r="H9" s="49"/>
      <c r="I9" s="16"/>
      <c r="J9" s="16"/>
      <c r="K9" s="49"/>
      <c r="M9" s="48"/>
      <c r="N9" s="101"/>
      <c r="O9" s="48"/>
      <c r="P9" s="16"/>
      <c r="Q9" s="49"/>
      <c r="R9" s="16"/>
      <c r="S9" s="16"/>
      <c r="T9" s="49"/>
    </row>
    <row r="10" spans="2:22" x14ac:dyDescent="0.25">
      <c r="B10" s="28" t="s">
        <v>36</v>
      </c>
      <c r="C10" s="17" t="s">
        <v>677</v>
      </c>
      <c r="D10" s="209">
        <v>1631.67</v>
      </c>
      <c r="E10" s="279">
        <f>+D10/Summary!D$19</f>
        <v>1.0814223181913533E-3</v>
      </c>
      <c r="F10" s="209">
        <v>2031</v>
      </c>
      <c r="G10" s="279">
        <f>+F10/Summary!F$19</f>
        <v>1.3371932547969205E-3</v>
      </c>
      <c r="H10" s="283">
        <f>+D10-F10</f>
        <v>-399.32999999999993</v>
      </c>
      <c r="I10" s="36">
        <v>1967.65</v>
      </c>
      <c r="J10" s="279">
        <f>+I10/Summary!I$19</f>
        <v>1.4913160484221262E-3</v>
      </c>
      <c r="K10" s="283">
        <f t="shared" ref="K10:K37" si="0">+F10-I10</f>
        <v>63.349999999999909</v>
      </c>
      <c r="M10" s="209">
        <v>9884.92</v>
      </c>
      <c r="N10" s="279">
        <f>+M10/Summary!M$19</f>
        <v>1.5717179354579913E-3</v>
      </c>
      <c r="O10" s="209">
        <v>8124</v>
      </c>
      <c r="P10" s="279">
        <f>+O10/Summary!O$19</f>
        <v>1.2009877050613328E-3</v>
      </c>
      <c r="Q10" s="283">
        <f>+M10-O10</f>
        <v>1760.92</v>
      </c>
      <c r="R10" s="36">
        <v>7748.25</v>
      </c>
      <c r="S10" s="279">
        <f>+R10/Summary!R$19</f>
        <v>1.3211887921448482E-3</v>
      </c>
      <c r="T10" s="283">
        <f t="shared" ref="T10:T11" si="1">+O10-R10</f>
        <v>375.75</v>
      </c>
    </row>
    <row r="11" spans="2:22" x14ac:dyDescent="0.25">
      <c r="B11" s="28"/>
      <c r="C11" s="23" t="s">
        <v>678</v>
      </c>
      <c r="D11" s="91">
        <f t="shared" ref="D11" si="2">SUM(D10:D10)</f>
        <v>1631.67</v>
      </c>
      <c r="E11" s="171">
        <f>+D11/Summary!D$19</f>
        <v>1.0814223181913533E-3</v>
      </c>
      <c r="F11" s="142">
        <f>SUM(F10:F10)</f>
        <v>2031</v>
      </c>
      <c r="G11" s="212">
        <f>+F11/Summary!F$19</f>
        <v>1.3371932547969205E-3</v>
      </c>
      <c r="H11" s="168">
        <f>+D11-F11</f>
        <v>-399.32999999999993</v>
      </c>
      <c r="I11" s="133">
        <f>SUM(I10:I10)</f>
        <v>1967.65</v>
      </c>
      <c r="J11" s="212">
        <f>+I11/Summary!I$19</f>
        <v>1.4913160484221262E-3</v>
      </c>
      <c r="K11" s="168">
        <f t="shared" si="0"/>
        <v>63.349999999999909</v>
      </c>
      <c r="M11" s="91">
        <f t="shared" ref="M11" si="3">SUM(M10:M10)</f>
        <v>9884.92</v>
      </c>
      <c r="N11" s="171">
        <f>+M11/Summary!M$19</f>
        <v>1.5717179354579913E-3</v>
      </c>
      <c r="O11" s="142">
        <f>SUM(O10:O10)</f>
        <v>8124</v>
      </c>
      <c r="P11" s="212">
        <f>+O11/Summary!O$19</f>
        <v>1.2009877050613328E-3</v>
      </c>
      <c r="Q11" s="168">
        <f>+M11-O11</f>
        <v>1760.92</v>
      </c>
      <c r="R11" s="133">
        <f>SUM(R10:R10)</f>
        <v>7748.25</v>
      </c>
      <c r="S11" s="212">
        <f>+R11/Summary!R$19</f>
        <v>1.3211887921448482E-3</v>
      </c>
      <c r="T11" s="168">
        <f t="shared" si="1"/>
        <v>375.75</v>
      </c>
    </row>
    <row r="12" spans="2:22" x14ac:dyDescent="0.25">
      <c r="B12" s="28"/>
      <c r="C12" s="278" t="s">
        <v>635</v>
      </c>
      <c r="D12" s="241"/>
      <c r="E12" s="101"/>
      <c r="F12" s="281"/>
      <c r="G12" s="280"/>
      <c r="H12" s="89"/>
      <c r="I12" s="282"/>
      <c r="J12" s="280"/>
      <c r="K12" s="89"/>
      <c r="M12" s="241"/>
      <c r="N12" s="101"/>
      <c r="O12" s="281"/>
      <c r="P12" s="280"/>
      <c r="Q12" s="89"/>
      <c r="R12" s="282"/>
      <c r="S12" s="280"/>
      <c r="T12" s="89"/>
    </row>
    <row r="13" spans="2:22" x14ac:dyDescent="0.25">
      <c r="B13" s="28" t="s">
        <v>634</v>
      </c>
      <c r="C13" s="17" t="s">
        <v>679</v>
      </c>
      <c r="D13" s="36">
        <v>0</v>
      </c>
      <c r="E13" s="223">
        <f>+D13/Summary!D$19</f>
        <v>0</v>
      </c>
      <c r="F13" s="36">
        <v>0</v>
      </c>
      <c r="G13" s="223">
        <f>+F13/Summary!F$19</f>
        <v>0</v>
      </c>
      <c r="H13" s="144">
        <f>+D13-F13</f>
        <v>0</v>
      </c>
      <c r="I13" s="36">
        <v>0</v>
      </c>
      <c r="J13" s="223">
        <f>+I13/Summary!I$19</f>
        <v>0</v>
      </c>
      <c r="K13" s="144">
        <f t="shared" si="0"/>
        <v>0</v>
      </c>
      <c r="M13" s="36">
        <v>0</v>
      </c>
      <c r="N13" s="223">
        <f>+M13/Summary!M$19</f>
        <v>0</v>
      </c>
      <c r="O13" s="36">
        <v>0</v>
      </c>
      <c r="P13" s="223">
        <f>+O13/Summary!O$19</f>
        <v>0</v>
      </c>
      <c r="Q13" s="144">
        <f>+M13-O13</f>
        <v>0</v>
      </c>
      <c r="R13" s="36">
        <v>0</v>
      </c>
      <c r="S13" s="223">
        <f>+R13/Summary!R$19</f>
        <v>0</v>
      </c>
      <c r="T13" s="144">
        <f t="shared" ref="T13:T15" si="4">+O13-R13</f>
        <v>0</v>
      </c>
    </row>
    <row r="14" spans="2:22" x14ac:dyDescent="0.25">
      <c r="B14" s="28" t="s">
        <v>643</v>
      </c>
      <c r="C14" s="17" t="s">
        <v>680</v>
      </c>
      <c r="D14" s="106">
        <v>277.08999999999997</v>
      </c>
      <c r="E14" s="243">
        <f>+D14/Summary!D$19</f>
        <v>1.8364700591886964E-4</v>
      </c>
      <c r="F14" s="106">
        <v>1100.5</v>
      </c>
      <c r="G14" s="243">
        <f>+F14/Summary!F$19</f>
        <v>7.2455990984934078E-4</v>
      </c>
      <c r="H14" s="153">
        <f>+D14-F14</f>
        <v>-823.41000000000008</v>
      </c>
      <c r="I14" s="36">
        <v>-196.17</v>
      </c>
      <c r="J14" s="243">
        <f>+I14/Summary!I$19</f>
        <v>-1.4868064402661472E-4</v>
      </c>
      <c r="K14" s="153">
        <f t="shared" si="0"/>
        <v>1296.67</v>
      </c>
      <c r="M14" s="106">
        <v>3931.72</v>
      </c>
      <c r="N14" s="243">
        <f>+M14/Summary!M$19</f>
        <v>6.2514970694744045E-4</v>
      </c>
      <c r="O14" s="106">
        <v>4615</v>
      </c>
      <c r="P14" s="243">
        <f>+O14/Summary!O$19</f>
        <v>6.8224498508838644E-4</v>
      </c>
      <c r="Q14" s="153">
        <f>+M14-O14</f>
        <v>-683.2800000000002</v>
      </c>
      <c r="R14" s="36">
        <v>4172.12</v>
      </c>
      <c r="S14" s="243">
        <f>+R14/Summary!R$19</f>
        <v>7.1140685748180088E-4</v>
      </c>
      <c r="T14" s="153">
        <f t="shared" si="4"/>
        <v>442.88000000000011</v>
      </c>
    </row>
    <row r="15" spans="2:22" x14ac:dyDescent="0.25">
      <c r="B15" s="28" t="s">
        <v>38</v>
      </c>
      <c r="C15" s="23" t="s">
        <v>681</v>
      </c>
      <c r="D15" s="91">
        <f>SUM(D13:D14)</f>
        <v>277.08999999999997</v>
      </c>
      <c r="E15" s="171">
        <f>+D15/Summary!D$19</f>
        <v>1.8364700591886964E-4</v>
      </c>
      <c r="F15" s="142">
        <f>SUM(F13:F14)</f>
        <v>1100.5</v>
      </c>
      <c r="G15" s="212">
        <f>+F15/Summary!F$19</f>
        <v>7.2455990984934078E-4</v>
      </c>
      <c r="H15" s="168">
        <f>+D15-F15</f>
        <v>-823.41000000000008</v>
      </c>
      <c r="I15" s="133">
        <f>SUM(I13:I14)</f>
        <v>-196.17</v>
      </c>
      <c r="J15" s="212">
        <f>+I15/Summary!I$19</f>
        <v>-1.4868064402661472E-4</v>
      </c>
      <c r="K15" s="168">
        <f t="shared" si="0"/>
        <v>1296.67</v>
      </c>
      <c r="M15" s="91">
        <f>SUM(M13:M14)</f>
        <v>3931.72</v>
      </c>
      <c r="N15" s="171">
        <f>+M15/Summary!M$19</f>
        <v>6.2514970694744045E-4</v>
      </c>
      <c r="O15" s="142">
        <f>SUM(O13:O14)</f>
        <v>4615</v>
      </c>
      <c r="P15" s="212">
        <f>+O15/Summary!O$19</f>
        <v>6.8224498508838644E-4</v>
      </c>
      <c r="Q15" s="168">
        <f>+M15-O15</f>
        <v>-683.2800000000002</v>
      </c>
      <c r="R15" s="133">
        <f>SUM(R13:R14)</f>
        <v>4172.12</v>
      </c>
      <c r="S15" s="212">
        <f>+R15/Summary!R$19</f>
        <v>7.1140685748180088E-4</v>
      </c>
      <c r="T15" s="168">
        <f t="shared" si="4"/>
        <v>442.88000000000011</v>
      </c>
    </row>
    <row r="16" spans="2:22" x14ac:dyDescent="0.25">
      <c r="B16" s="28"/>
      <c r="C16" s="278" t="s">
        <v>682</v>
      </c>
      <c r="D16" s="48"/>
      <c r="E16" s="101"/>
      <c r="F16" s="281"/>
      <c r="G16" s="280"/>
      <c r="H16" s="89"/>
      <c r="I16" s="282"/>
      <c r="J16" s="280"/>
      <c r="K16" s="89"/>
      <c r="M16" s="48"/>
      <c r="N16" s="101"/>
      <c r="O16" s="281"/>
      <c r="P16" s="280"/>
      <c r="Q16" s="89"/>
      <c r="R16" s="282"/>
      <c r="S16" s="280"/>
      <c r="T16" s="89"/>
    </row>
    <row r="17" spans="2:20" x14ac:dyDescent="0.25">
      <c r="B17" s="28" t="s">
        <v>649</v>
      </c>
      <c r="C17" s="17" t="s">
        <v>683</v>
      </c>
      <c r="D17" s="36">
        <v>8724.92</v>
      </c>
      <c r="E17" s="223">
        <f>+D17/Summary!D$19</f>
        <v>5.7826173260733492E-3</v>
      </c>
      <c r="F17" s="36">
        <v>40005</v>
      </c>
      <c r="G17" s="223">
        <f>+F17/Summary!F$19</f>
        <v>2.6338954287617334E-2</v>
      </c>
      <c r="H17" s="144">
        <f>+D17-F17</f>
        <v>-31280.080000000002</v>
      </c>
      <c r="I17" s="36">
        <v>37098</v>
      </c>
      <c r="J17" s="223">
        <f>+I17/Summary!I$19</f>
        <v>2.8117217373193421E-2</v>
      </c>
      <c r="K17" s="144">
        <f t="shared" si="0"/>
        <v>2907</v>
      </c>
      <c r="M17" s="36">
        <v>128739.92</v>
      </c>
      <c r="N17" s="223">
        <f>+M17/Summary!M$19</f>
        <v>2.0469851174660689E-2</v>
      </c>
      <c r="O17" s="36">
        <v>160020</v>
      </c>
      <c r="P17" s="223">
        <f>+O17/Summary!O$19</f>
        <v>2.3656087218600998E-2</v>
      </c>
      <c r="Q17" s="144">
        <f>+M17-O17</f>
        <v>-31280.080000000002</v>
      </c>
      <c r="R17" s="36">
        <v>151858</v>
      </c>
      <c r="S17" s="223">
        <f>+R17/Summary!R$19</f>
        <v>2.5893987364570367E-2</v>
      </c>
      <c r="T17" s="144">
        <f t="shared" ref="T17:T21" si="5">+O17-R17</f>
        <v>8162</v>
      </c>
    </row>
    <row r="18" spans="2:20" x14ac:dyDescent="0.25">
      <c r="B18" s="28" t="s">
        <v>647</v>
      </c>
      <c r="C18" s="17" t="s">
        <v>684</v>
      </c>
      <c r="D18" s="36">
        <v>8363</v>
      </c>
      <c r="E18" s="223">
        <f>+D18/Summary!D$19</f>
        <v>5.5427475206593774E-3</v>
      </c>
      <c r="F18" s="36">
        <v>8363</v>
      </c>
      <c r="G18" s="223">
        <f>+F18/Summary!F$19</f>
        <v>5.5061286016083932E-3</v>
      </c>
      <c r="H18" s="144">
        <f>+D18-F18</f>
        <v>0</v>
      </c>
      <c r="I18" s="36">
        <v>8363.2000000000007</v>
      </c>
      <c r="J18" s="223">
        <f>+I18/Summary!I$19</f>
        <v>6.3386142739633201E-3</v>
      </c>
      <c r="K18" s="144">
        <f t="shared" si="0"/>
        <v>-0.2000000000007276</v>
      </c>
      <c r="M18" s="36">
        <v>33452</v>
      </c>
      <c r="N18" s="223">
        <f>+M18/Summary!M$19</f>
        <v>5.3189209803357765E-3</v>
      </c>
      <c r="O18" s="36">
        <v>33452</v>
      </c>
      <c r="P18" s="223">
        <f>+O18/Summary!O$19</f>
        <v>4.9452782754445725E-3</v>
      </c>
      <c r="Q18" s="144">
        <f>+M18-O18</f>
        <v>0</v>
      </c>
      <c r="R18" s="36">
        <v>33452.199999999997</v>
      </c>
      <c r="S18" s="223">
        <f>+R18/Summary!R$19</f>
        <v>5.7040843690624185E-3</v>
      </c>
      <c r="T18" s="144">
        <f t="shared" si="5"/>
        <v>-0.19999999999708962</v>
      </c>
    </row>
    <row r="19" spans="2:20" x14ac:dyDescent="0.25">
      <c r="B19" s="28" t="s">
        <v>624</v>
      </c>
      <c r="C19" s="17" t="s">
        <v>685</v>
      </c>
      <c r="D19" s="36">
        <v>600</v>
      </c>
      <c r="E19" s="223">
        <f>+D19/Summary!D$19</f>
        <v>3.9766214425393119E-4</v>
      </c>
      <c r="F19" s="36">
        <v>300</v>
      </c>
      <c r="G19" s="223">
        <f>+F19/Summary!F$19</f>
        <v>1.9751746747369579E-4</v>
      </c>
      <c r="H19" s="144">
        <f>+D19-F19</f>
        <v>300</v>
      </c>
      <c r="I19" s="36">
        <v>600</v>
      </c>
      <c r="J19" s="223">
        <f>+I19/Summary!I$19</f>
        <v>4.5475040228357469E-4</v>
      </c>
      <c r="K19" s="144">
        <f t="shared" si="0"/>
        <v>-300</v>
      </c>
      <c r="M19" s="36">
        <v>600</v>
      </c>
      <c r="N19" s="223">
        <f>+M19/Summary!M$19</f>
        <v>9.5400950263107312E-5</v>
      </c>
      <c r="O19" s="36">
        <v>300</v>
      </c>
      <c r="P19" s="223">
        <f>+O19/Summary!O$19</f>
        <v>4.4349619832397815E-5</v>
      </c>
      <c r="Q19" s="144">
        <f>+M19-O19</f>
        <v>300</v>
      </c>
      <c r="R19" s="36">
        <v>600</v>
      </c>
      <c r="S19" s="223">
        <f>+R19/Summary!R$19</f>
        <v>1.0230868586931357E-4</v>
      </c>
      <c r="T19" s="144">
        <f t="shared" si="5"/>
        <v>-300</v>
      </c>
    </row>
    <row r="20" spans="2:20" x14ac:dyDescent="0.25">
      <c r="B20" s="28" t="s">
        <v>644</v>
      </c>
      <c r="C20" s="17" t="s">
        <v>686</v>
      </c>
      <c r="D20" s="36">
        <v>16589.2</v>
      </c>
      <c r="E20" s="223">
        <f>+D20/Summary!D$19</f>
        <v>1.099482807242886E-2</v>
      </c>
      <c r="F20" s="36">
        <v>16589</v>
      </c>
      <c r="G20" s="223">
        <f>+F20/Summary!F$19</f>
        <v>1.0922057559737132E-2</v>
      </c>
      <c r="H20" s="144">
        <f>+D20-F20</f>
        <v>0.2000000000007276</v>
      </c>
      <c r="I20" s="36">
        <v>16589</v>
      </c>
      <c r="J20" s="223">
        <f>+I20/Summary!I$19</f>
        <v>1.2573090705803701E-2</v>
      </c>
      <c r="K20" s="144">
        <f t="shared" si="0"/>
        <v>0</v>
      </c>
      <c r="M20" s="36">
        <v>16589.2</v>
      </c>
      <c r="N20" s="223">
        <f>+M20/Summary!M$19</f>
        <v>2.6377090735078997E-3</v>
      </c>
      <c r="O20" s="36">
        <v>16589</v>
      </c>
      <c r="P20" s="223">
        <f>+O20/Summary!O$19</f>
        <v>2.4523861446654914E-3</v>
      </c>
      <c r="Q20" s="144">
        <f>+M20-O20</f>
        <v>0.2000000000007276</v>
      </c>
      <c r="R20" s="36">
        <v>16589</v>
      </c>
      <c r="S20" s="223">
        <f>+R20/Summary!R$19</f>
        <v>2.8286646498100715E-3</v>
      </c>
      <c r="T20" s="144">
        <f t="shared" si="5"/>
        <v>0</v>
      </c>
    </row>
    <row r="21" spans="2:20" x14ac:dyDescent="0.25">
      <c r="B21" s="28" t="s">
        <v>40</v>
      </c>
      <c r="C21" s="23" t="s">
        <v>687</v>
      </c>
      <c r="D21" s="91">
        <f t="shared" ref="D21" si="6">SUM(D17:D20)</f>
        <v>34277.119999999995</v>
      </c>
      <c r="E21" s="171">
        <f>+D21/Summary!D$19</f>
        <v>2.2717855063415514E-2</v>
      </c>
      <c r="F21" s="142">
        <f>SUM(F17:F20)</f>
        <v>65257</v>
      </c>
      <c r="G21" s="212">
        <f>+F21/Summary!F$19</f>
        <v>4.2964657916436555E-2</v>
      </c>
      <c r="H21" s="168">
        <f>+D21-F21</f>
        <v>-30979.880000000005</v>
      </c>
      <c r="I21" s="133">
        <f>SUM(I17:I20)</f>
        <v>62650.2</v>
      </c>
      <c r="J21" s="212">
        <f>+I21/Summary!I$19</f>
        <v>4.7483672755244011E-2</v>
      </c>
      <c r="K21" s="168">
        <f t="shared" si="0"/>
        <v>2606.8000000000029</v>
      </c>
      <c r="M21" s="91">
        <f t="shared" ref="M21" si="7">SUM(M17:M20)</f>
        <v>179381.12</v>
      </c>
      <c r="N21" s="171">
        <f>+M21/Summary!M$19</f>
        <v>2.8521882178767471E-2</v>
      </c>
      <c r="O21" s="142">
        <f>SUM(O17:O20)</f>
        <v>210361</v>
      </c>
      <c r="P21" s="212">
        <f>+O21/Summary!O$19</f>
        <v>3.1098101258543457E-2</v>
      </c>
      <c r="Q21" s="168">
        <f>+M21-O21</f>
        <v>-30979.880000000005</v>
      </c>
      <c r="R21" s="133">
        <f>SUM(R17:R20)</f>
        <v>202499.20000000001</v>
      </c>
      <c r="S21" s="212">
        <f>+R21/Summary!R$19</f>
        <v>3.4529045069312175E-2</v>
      </c>
      <c r="T21" s="168">
        <f t="shared" si="5"/>
        <v>7861.7999999999884</v>
      </c>
    </row>
    <row r="22" spans="2:20" x14ac:dyDescent="0.25">
      <c r="B22" s="28"/>
      <c r="C22" s="278" t="s">
        <v>622</v>
      </c>
      <c r="D22" s="48"/>
      <c r="E22" s="101"/>
      <c r="F22" s="281"/>
      <c r="G22" s="280"/>
      <c r="H22" s="89"/>
      <c r="I22" s="282"/>
      <c r="J22" s="280"/>
      <c r="K22" s="89"/>
      <c r="M22" s="48"/>
      <c r="N22" s="101"/>
      <c r="O22" s="281"/>
      <c r="P22" s="280"/>
      <c r="Q22" s="89"/>
      <c r="R22" s="282"/>
      <c r="S22" s="280"/>
      <c r="T22" s="89"/>
    </row>
    <row r="23" spans="2:20" x14ac:dyDescent="0.25">
      <c r="B23" s="28" t="s">
        <v>623</v>
      </c>
      <c r="C23" s="17" t="s">
        <v>688</v>
      </c>
      <c r="D23" s="36">
        <v>107063.27</v>
      </c>
      <c r="E23" s="223">
        <f>+D23/Summary!D$19</f>
        <v>7.095834919839597E-2</v>
      </c>
      <c r="F23" s="36">
        <v>107065</v>
      </c>
      <c r="G23" s="223">
        <f>+F23/Summary!F$19</f>
        <v>7.0490692183570805E-2</v>
      </c>
      <c r="H23" s="144">
        <f>+D23-F23</f>
        <v>-1.7299999999959255</v>
      </c>
      <c r="I23" s="36">
        <v>120330.33</v>
      </c>
      <c r="J23" s="223">
        <f>+I23/Summary!I$19</f>
        <v>9.1200443290692157E-2</v>
      </c>
      <c r="K23" s="144">
        <f t="shared" si="0"/>
        <v>-13265.330000000002</v>
      </c>
      <c r="M23" s="36">
        <v>428253.35</v>
      </c>
      <c r="N23" s="223">
        <f>+M23/Summary!M$19</f>
        <v>6.8092960905598479E-2</v>
      </c>
      <c r="O23" s="36">
        <v>428260</v>
      </c>
      <c r="P23" s="223">
        <f>+O23/Summary!O$19</f>
        <v>6.3310560631408969E-2</v>
      </c>
      <c r="Q23" s="144">
        <f>+M23-O23</f>
        <v>-6.6500000000232831</v>
      </c>
      <c r="R23" s="36">
        <v>480531.21</v>
      </c>
      <c r="S23" s="223">
        <f>+R23/Summary!R$19</f>
        <v>8.1937527690485262E-2</v>
      </c>
      <c r="T23" s="144">
        <f t="shared" ref="T23:T27" si="8">+O23-R23</f>
        <v>-52271.210000000021</v>
      </c>
    </row>
    <row r="24" spans="2:20" x14ac:dyDescent="0.25">
      <c r="B24" s="28" t="s">
        <v>637</v>
      </c>
      <c r="C24" s="17" t="s">
        <v>689</v>
      </c>
      <c r="D24" s="36">
        <v>7704.69</v>
      </c>
      <c r="E24" s="223">
        <f>+D24/Summary!D$19</f>
        <v>5.1064392436863688E-3</v>
      </c>
      <c r="F24" s="36">
        <v>10545.32</v>
      </c>
      <c r="G24" s="223">
        <f>+F24/Summary!F$19</f>
        <v>6.9429496669990457E-3</v>
      </c>
      <c r="H24" s="144">
        <f>+D24-F24</f>
        <v>-2840.63</v>
      </c>
      <c r="I24" s="36">
        <v>10303.48</v>
      </c>
      <c r="J24" s="223">
        <f>+I24/Summary!I$19</f>
        <v>7.8091861248679425E-3</v>
      </c>
      <c r="K24" s="144">
        <f t="shared" si="0"/>
        <v>241.84000000000015</v>
      </c>
      <c r="M24" s="36">
        <v>31114.29</v>
      </c>
      <c r="N24" s="223">
        <f>+M24/Summary!M$19</f>
        <v>4.9472213879364953E-3</v>
      </c>
      <c r="O24" s="36">
        <v>42181.279999999999</v>
      </c>
      <c r="P24" s="223">
        <f>+O24/Summary!O$19</f>
        <v>6.2357457734797516E-3</v>
      </c>
      <c r="Q24" s="144">
        <f>+M24-O24</f>
        <v>-11066.989999999998</v>
      </c>
      <c r="R24" s="36">
        <v>39939.839999999997</v>
      </c>
      <c r="S24" s="223">
        <f>+R24/Summary!R$19</f>
        <v>6.8103209070510748E-3</v>
      </c>
      <c r="T24" s="144">
        <f t="shared" si="8"/>
        <v>2241.4400000000023</v>
      </c>
    </row>
    <row r="25" spans="2:20" x14ac:dyDescent="0.25">
      <c r="B25" s="28" t="s">
        <v>628</v>
      </c>
      <c r="C25" s="17" t="s">
        <v>695</v>
      </c>
      <c r="D25" s="36">
        <v>0</v>
      </c>
      <c r="E25" s="223">
        <f>+D25/Summary!D$19</f>
        <v>0</v>
      </c>
      <c r="F25" s="36">
        <v>0</v>
      </c>
      <c r="G25" s="223">
        <f>+F25/Summary!F$19</f>
        <v>0</v>
      </c>
      <c r="H25" s="144">
        <f>+D25-F25</f>
        <v>0</v>
      </c>
      <c r="I25" s="36">
        <v>0</v>
      </c>
      <c r="J25" s="223">
        <f>+I25/Summary!I$19</f>
        <v>0</v>
      </c>
      <c r="K25" s="144">
        <f t="shared" si="0"/>
        <v>0</v>
      </c>
      <c r="M25" s="36">
        <v>0</v>
      </c>
      <c r="N25" s="223">
        <f>+M25/Summary!M$19</f>
        <v>0</v>
      </c>
      <c r="O25" s="36">
        <v>0</v>
      </c>
      <c r="P25" s="223">
        <f>+O25/Summary!O$19</f>
        <v>0</v>
      </c>
      <c r="Q25" s="144">
        <f>+M25-O25</f>
        <v>0</v>
      </c>
      <c r="R25" s="36">
        <v>0</v>
      </c>
      <c r="S25" s="223">
        <f>+R25/Summary!R$19</f>
        <v>0</v>
      </c>
      <c r="T25" s="144">
        <f t="shared" si="8"/>
        <v>0</v>
      </c>
    </row>
    <row r="26" spans="2:20" x14ac:dyDescent="0.25">
      <c r="B26" s="28" t="s">
        <v>641</v>
      </c>
      <c r="C26" s="17" t="s">
        <v>690</v>
      </c>
      <c r="D26" s="106">
        <v>439.84</v>
      </c>
      <c r="E26" s="243">
        <f>+D26/Summary!D$19</f>
        <v>2.9151286254774846E-4</v>
      </c>
      <c r="F26" s="106">
        <v>873</v>
      </c>
      <c r="G26" s="243">
        <f>+F26/Summary!F$19</f>
        <v>5.7477583034845473E-4</v>
      </c>
      <c r="H26" s="153">
        <f>+D26-F26</f>
        <v>-433.16</v>
      </c>
      <c r="I26" s="36">
        <v>350.51</v>
      </c>
      <c r="J26" s="243">
        <f>+I26/Summary!I$19</f>
        <v>2.6565760584069292E-4</v>
      </c>
      <c r="K26" s="153">
        <f t="shared" si="0"/>
        <v>522.49</v>
      </c>
      <c r="M26" s="106">
        <v>1848.69</v>
      </c>
      <c r="N26" s="243">
        <f>+M26/Summary!M$19</f>
        <v>2.9394463790317308E-4</v>
      </c>
      <c r="O26" s="106">
        <v>3492</v>
      </c>
      <c r="P26" s="243">
        <f>+O26/Summary!O$19</f>
        <v>5.1622957484911058E-4</v>
      </c>
      <c r="Q26" s="153">
        <f>+M26-O26</f>
        <v>-1643.31</v>
      </c>
      <c r="R26" s="36">
        <v>1408.5</v>
      </c>
      <c r="S26" s="243">
        <f>+R26/Summary!R$19</f>
        <v>2.4016964007821361E-4</v>
      </c>
      <c r="T26" s="153">
        <f t="shared" si="8"/>
        <v>2083.5</v>
      </c>
    </row>
    <row r="27" spans="2:20" x14ac:dyDescent="0.25">
      <c r="B27" s="28" t="s">
        <v>41</v>
      </c>
      <c r="C27" s="23" t="s">
        <v>691</v>
      </c>
      <c r="D27" s="91">
        <f t="shared" ref="D27" si="9">SUM(D23:D26)</f>
        <v>115207.8</v>
      </c>
      <c r="E27" s="171">
        <f>+D27/Summary!D$19</f>
        <v>7.63563013046301E-2</v>
      </c>
      <c r="F27" s="142">
        <f>SUM(F23:F26)</f>
        <v>118483.32</v>
      </c>
      <c r="G27" s="212">
        <f>+F27/Summary!F$19</f>
        <v>7.8008417680918304E-2</v>
      </c>
      <c r="H27" s="168">
        <f>+D27-F27</f>
        <v>-3275.5200000000041</v>
      </c>
      <c r="I27" s="133">
        <f>SUM(I23:I26)</f>
        <v>130984.31999999999</v>
      </c>
      <c r="J27" s="212">
        <f>+I27/Summary!I$19</f>
        <v>9.9275287021400788E-2</v>
      </c>
      <c r="K27" s="168">
        <f t="shared" si="0"/>
        <v>-12500.999999999985</v>
      </c>
      <c r="M27" s="91">
        <f t="shared" ref="M27" si="10">SUM(M23:M26)</f>
        <v>461216.32999999996</v>
      </c>
      <c r="N27" s="171">
        <f>+M27/Summary!M$19</f>
        <v>7.3334126931438134E-2</v>
      </c>
      <c r="O27" s="142">
        <f>SUM(O23:O26)</f>
        <v>473933.28</v>
      </c>
      <c r="P27" s="212">
        <f>+O27/Summary!O$19</f>
        <v>7.0062535979737828E-2</v>
      </c>
      <c r="Q27" s="168">
        <f>+M27-O27</f>
        <v>-12716.95000000007</v>
      </c>
      <c r="R27" s="133">
        <f>SUM(R23:R26)</f>
        <v>521879.55000000005</v>
      </c>
      <c r="S27" s="212">
        <f>+R27/Summary!R$19</f>
        <v>8.8988018237614555E-2</v>
      </c>
      <c r="T27" s="168">
        <f t="shared" si="8"/>
        <v>-47946.270000000019</v>
      </c>
    </row>
    <row r="28" spans="2:20" x14ac:dyDescent="0.25">
      <c r="B28" s="28"/>
      <c r="C28" s="278" t="s">
        <v>445</v>
      </c>
      <c r="D28" s="48"/>
      <c r="E28" s="101"/>
      <c r="F28" s="281"/>
      <c r="G28" s="280"/>
      <c r="H28" s="89"/>
      <c r="I28" s="282"/>
      <c r="J28" s="280"/>
      <c r="K28" s="89"/>
      <c r="M28" s="48"/>
      <c r="N28" s="101"/>
      <c r="O28" s="281"/>
      <c r="P28" s="280"/>
      <c r="Q28" s="89"/>
      <c r="R28" s="282"/>
      <c r="S28" s="280"/>
      <c r="T28" s="89"/>
    </row>
    <row r="29" spans="2:20" x14ac:dyDescent="0.25">
      <c r="B29" s="28" t="s">
        <v>621</v>
      </c>
      <c r="C29" s="17" t="s">
        <v>696</v>
      </c>
      <c r="D29" s="36">
        <v>0</v>
      </c>
      <c r="E29" s="223">
        <f>+D29/Summary!D$19</f>
        <v>0</v>
      </c>
      <c r="F29" s="36">
        <v>0</v>
      </c>
      <c r="G29" s="223">
        <f>+F29/Summary!F$19</f>
        <v>0</v>
      </c>
      <c r="H29" s="144">
        <f t="shared" ref="H29:H35" si="11">+D29-F29</f>
        <v>0</v>
      </c>
      <c r="I29" s="36">
        <v>0</v>
      </c>
      <c r="J29" s="223">
        <f>+I29/Summary!I$19</f>
        <v>0</v>
      </c>
      <c r="K29" s="144">
        <f t="shared" si="0"/>
        <v>0</v>
      </c>
      <c r="M29" s="36">
        <v>0</v>
      </c>
      <c r="N29" s="223">
        <f>+M29/Summary!M$19</f>
        <v>0</v>
      </c>
      <c r="O29" s="36">
        <v>0</v>
      </c>
      <c r="P29" s="223">
        <f>+O29/Summary!O$19</f>
        <v>0</v>
      </c>
      <c r="Q29" s="144">
        <f t="shared" ref="Q29:Q35" si="12">+M29-O29</f>
        <v>0</v>
      </c>
      <c r="R29" s="36">
        <v>0</v>
      </c>
      <c r="S29" s="223">
        <f>+R29/Summary!R$19</f>
        <v>0</v>
      </c>
      <c r="T29" s="144">
        <f t="shared" ref="T29:T35" si="13">+O29-R29</f>
        <v>0</v>
      </c>
    </row>
    <row r="30" spans="2:20" x14ac:dyDescent="0.25">
      <c r="B30" s="28" t="s">
        <v>631</v>
      </c>
      <c r="C30" s="17" t="s">
        <v>697</v>
      </c>
      <c r="D30" s="36">
        <v>0</v>
      </c>
      <c r="E30" s="223">
        <f>+D30/Summary!D$19</f>
        <v>0</v>
      </c>
      <c r="F30" s="36">
        <v>0</v>
      </c>
      <c r="G30" s="223">
        <f>+F30/Summary!F$19</f>
        <v>0</v>
      </c>
      <c r="H30" s="144">
        <f t="shared" si="11"/>
        <v>0</v>
      </c>
      <c r="I30" s="36">
        <v>0</v>
      </c>
      <c r="J30" s="223">
        <f>+I30/Summary!I$19</f>
        <v>0</v>
      </c>
      <c r="K30" s="144">
        <f t="shared" si="0"/>
        <v>0</v>
      </c>
      <c r="M30" s="36">
        <v>0</v>
      </c>
      <c r="N30" s="223">
        <f>+M30/Summary!M$19</f>
        <v>0</v>
      </c>
      <c r="O30" s="36">
        <v>0</v>
      </c>
      <c r="P30" s="223">
        <f>+O30/Summary!O$19</f>
        <v>0</v>
      </c>
      <c r="Q30" s="144">
        <f t="shared" si="12"/>
        <v>0</v>
      </c>
      <c r="R30" s="36">
        <v>0</v>
      </c>
      <c r="S30" s="223">
        <f>+R30/Summary!R$19</f>
        <v>0</v>
      </c>
      <c r="T30" s="144">
        <f t="shared" si="13"/>
        <v>0</v>
      </c>
    </row>
    <row r="31" spans="2:20" x14ac:dyDescent="0.25">
      <c r="B31" s="28" t="s">
        <v>636</v>
      </c>
      <c r="C31" s="17" t="s">
        <v>698</v>
      </c>
      <c r="D31" s="36">
        <v>0</v>
      </c>
      <c r="E31" s="223">
        <f>+D31/Summary!D$19</f>
        <v>0</v>
      </c>
      <c r="F31" s="36">
        <v>0</v>
      </c>
      <c r="G31" s="223">
        <f>+F31/Summary!F$19</f>
        <v>0</v>
      </c>
      <c r="H31" s="144">
        <f t="shared" si="11"/>
        <v>0</v>
      </c>
      <c r="I31" s="36">
        <v>0</v>
      </c>
      <c r="J31" s="223">
        <f>+I31/Summary!I$19</f>
        <v>0</v>
      </c>
      <c r="K31" s="144">
        <f t="shared" si="0"/>
        <v>0</v>
      </c>
      <c r="M31" s="36">
        <v>0</v>
      </c>
      <c r="N31" s="223">
        <f>+M31/Summary!M$19</f>
        <v>0</v>
      </c>
      <c r="O31" s="36">
        <v>0</v>
      </c>
      <c r="P31" s="223">
        <f>+O31/Summary!O$19</f>
        <v>0</v>
      </c>
      <c r="Q31" s="144">
        <f t="shared" si="12"/>
        <v>0</v>
      </c>
      <c r="R31" s="36">
        <v>0</v>
      </c>
      <c r="S31" s="223">
        <f>+R31/Summary!R$19</f>
        <v>0</v>
      </c>
      <c r="T31" s="144">
        <f t="shared" si="13"/>
        <v>0</v>
      </c>
    </row>
    <row r="32" spans="2:20" x14ac:dyDescent="0.25">
      <c r="B32" s="28" t="s">
        <v>642</v>
      </c>
      <c r="C32" s="17" t="s">
        <v>699</v>
      </c>
      <c r="D32" s="36">
        <v>0</v>
      </c>
      <c r="E32" s="223">
        <f>+D32/Summary!D$19</f>
        <v>0</v>
      </c>
      <c r="F32" s="36">
        <v>0</v>
      </c>
      <c r="G32" s="223">
        <f>+F32/Summary!F$19</f>
        <v>0</v>
      </c>
      <c r="H32" s="144">
        <f t="shared" si="11"/>
        <v>0</v>
      </c>
      <c r="I32" s="36">
        <v>-185.5</v>
      </c>
      <c r="J32" s="223">
        <f>+I32/Summary!I$19</f>
        <v>-1.4059366603933851E-4</v>
      </c>
      <c r="K32" s="144">
        <f t="shared" si="0"/>
        <v>185.5</v>
      </c>
      <c r="M32" s="36">
        <v>0</v>
      </c>
      <c r="N32" s="223">
        <f>+M32/Summary!M$19</f>
        <v>0</v>
      </c>
      <c r="O32" s="36">
        <v>0</v>
      </c>
      <c r="P32" s="223">
        <f>+O32/Summary!O$19</f>
        <v>0</v>
      </c>
      <c r="Q32" s="144">
        <f t="shared" si="12"/>
        <v>0</v>
      </c>
      <c r="R32" s="36">
        <v>-448</v>
      </c>
      <c r="S32" s="223">
        <f>+R32/Summary!R$19</f>
        <v>-7.6390485449087469E-5</v>
      </c>
      <c r="T32" s="144">
        <f t="shared" si="13"/>
        <v>448</v>
      </c>
    </row>
    <row r="33" spans="2:20" x14ac:dyDescent="0.25">
      <c r="B33" s="28" t="s">
        <v>646</v>
      </c>
      <c r="C33" s="17" t="s">
        <v>692</v>
      </c>
      <c r="D33" s="36">
        <v>0</v>
      </c>
      <c r="E33" s="223">
        <f>+D33/Summary!D$19</f>
        <v>0</v>
      </c>
      <c r="F33" s="36">
        <v>0</v>
      </c>
      <c r="G33" s="223">
        <f>+F33/Summary!F$19</f>
        <v>0</v>
      </c>
      <c r="H33" s="144">
        <f t="shared" si="11"/>
        <v>0</v>
      </c>
      <c r="I33" s="36">
        <v>0</v>
      </c>
      <c r="J33" s="223">
        <f>+I33/Summary!I$19</f>
        <v>0</v>
      </c>
      <c r="K33" s="144">
        <f t="shared" si="0"/>
        <v>0</v>
      </c>
      <c r="M33" s="36">
        <v>0</v>
      </c>
      <c r="N33" s="223">
        <f>+M33/Summary!M$19</f>
        <v>0</v>
      </c>
      <c r="O33" s="36">
        <v>0</v>
      </c>
      <c r="P33" s="223">
        <f>+O33/Summary!O$19</f>
        <v>0</v>
      </c>
      <c r="Q33" s="144">
        <f t="shared" si="12"/>
        <v>0</v>
      </c>
      <c r="R33" s="36">
        <v>0</v>
      </c>
      <c r="S33" s="223">
        <f>+R33/Summary!R$19</f>
        <v>0</v>
      </c>
      <c r="T33" s="144">
        <f t="shared" si="13"/>
        <v>0</v>
      </c>
    </row>
    <row r="34" spans="2:20" x14ac:dyDescent="0.25">
      <c r="B34" s="28" t="s">
        <v>648</v>
      </c>
      <c r="C34" s="17" t="s">
        <v>700</v>
      </c>
      <c r="D34" s="36">
        <v>0</v>
      </c>
      <c r="E34" s="223">
        <f>+D34/Summary!D$19</f>
        <v>0</v>
      </c>
      <c r="F34" s="36">
        <v>0</v>
      </c>
      <c r="G34" s="223">
        <f>+F34/Summary!F$19</f>
        <v>0</v>
      </c>
      <c r="H34" s="144">
        <f t="shared" si="11"/>
        <v>0</v>
      </c>
      <c r="I34" s="36">
        <v>0</v>
      </c>
      <c r="J34" s="223">
        <f>+I34/Summary!I$19</f>
        <v>0</v>
      </c>
      <c r="K34" s="144">
        <f t="shared" si="0"/>
        <v>0</v>
      </c>
      <c r="M34" s="36">
        <v>0</v>
      </c>
      <c r="N34" s="223">
        <f>+M34/Summary!M$19</f>
        <v>0</v>
      </c>
      <c r="O34" s="36">
        <v>0</v>
      </c>
      <c r="P34" s="223">
        <f>+O34/Summary!O$19</f>
        <v>0</v>
      </c>
      <c r="Q34" s="144">
        <f t="shared" si="12"/>
        <v>0</v>
      </c>
      <c r="R34" s="36">
        <v>0</v>
      </c>
      <c r="S34" s="223">
        <f>+R34/Summary!R$19</f>
        <v>0</v>
      </c>
      <c r="T34" s="144">
        <f t="shared" si="13"/>
        <v>0</v>
      </c>
    </row>
    <row r="35" spans="2:20" x14ac:dyDescent="0.25">
      <c r="B35" s="28" t="s">
        <v>43</v>
      </c>
      <c r="C35" s="23" t="s">
        <v>693</v>
      </c>
      <c r="D35" s="91">
        <f t="shared" ref="D35" si="14">SUM(D29:D34)</f>
        <v>0</v>
      </c>
      <c r="E35" s="171">
        <f>+D35/Summary!D$19</f>
        <v>0</v>
      </c>
      <c r="F35" s="91">
        <f>SUM(F29:F34)</f>
        <v>0</v>
      </c>
      <c r="G35" s="171">
        <f>+F35/Summary!F$19</f>
        <v>0</v>
      </c>
      <c r="H35" s="140">
        <f t="shared" si="11"/>
        <v>0</v>
      </c>
      <c r="I35" s="86">
        <f>SUM(I29:I34)</f>
        <v>-185.5</v>
      </c>
      <c r="J35" s="171">
        <f>+I35/Summary!I$19</f>
        <v>-1.4059366603933851E-4</v>
      </c>
      <c r="K35" s="140">
        <f t="shared" si="0"/>
        <v>185.5</v>
      </c>
      <c r="M35" s="91">
        <f t="shared" ref="M35" si="15">SUM(M29:M34)</f>
        <v>0</v>
      </c>
      <c r="N35" s="171">
        <f>+M35/Summary!M$19</f>
        <v>0</v>
      </c>
      <c r="O35" s="91">
        <f>SUM(O29:O34)</f>
        <v>0</v>
      </c>
      <c r="P35" s="171">
        <f>+O35/Summary!O$19</f>
        <v>0</v>
      </c>
      <c r="Q35" s="140">
        <f t="shared" si="12"/>
        <v>0</v>
      </c>
      <c r="R35" s="86">
        <f>SUM(R29:R34)</f>
        <v>-448</v>
      </c>
      <c r="S35" s="171">
        <f>+R35/Summary!R$19</f>
        <v>-7.6390485449087469E-5</v>
      </c>
      <c r="T35" s="140">
        <f t="shared" si="13"/>
        <v>448</v>
      </c>
    </row>
    <row r="36" spans="2:20" x14ac:dyDescent="0.25">
      <c r="B36" s="28"/>
      <c r="C36" s="17"/>
      <c r="D36" s="332"/>
      <c r="E36" s="216"/>
      <c r="F36" s="251"/>
      <c r="G36" s="247"/>
      <c r="H36" s="247"/>
      <c r="I36" s="247"/>
      <c r="J36" s="247"/>
      <c r="K36" s="252"/>
      <c r="M36" s="332"/>
      <c r="N36" s="216"/>
      <c r="O36" s="251"/>
      <c r="P36" s="247"/>
      <c r="Q36" s="247"/>
      <c r="R36" s="247"/>
      <c r="S36" s="247"/>
      <c r="T36" s="252"/>
    </row>
    <row r="37" spans="2:20" x14ac:dyDescent="0.25">
      <c r="B37" s="28" t="s">
        <v>666</v>
      </c>
      <c r="C37" s="18" t="s">
        <v>694</v>
      </c>
      <c r="D37" s="91">
        <f t="shared" ref="D37" si="16">+(-D11)+D15+D21+D27+D35</f>
        <v>148130.34</v>
      </c>
      <c r="E37" s="171">
        <f>+D37/Summary!D$19</f>
        <v>9.8176381055773129E-2</v>
      </c>
      <c r="F37" s="60">
        <f>+-F11+F15+F21+F27+F35</f>
        <v>182809.82</v>
      </c>
      <c r="G37" s="284">
        <f>+F37/Summary!F$19</f>
        <v>0.12036044225240727</v>
      </c>
      <c r="H37" s="285">
        <f>+D37-F37</f>
        <v>-34679.48000000001</v>
      </c>
      <c r="I37" s="286">
        <f>+-I11+I15+I21+I27+I35</f>
        <v>191285.19999999998</v>
      </c>
      <c r="J37" s="284">
        <f>+I37/Summary!I$19</f>
        <v>0.14497836941815673</v>
      </c>
      <c r="K37" s="285">
        <f t="shared" si="0"/>
        <v>-8475.3799999999756</v>
      </c>
      <c r="M37" s="91">
        <f t="shared" ref="M37" si="17">+(-M11)+M15+M21+M27+M35</f>
        <v>634644.25</v>
      </c>
      <c r="N37" s="171">
        <f>+M37/Summary!M$19</f>
        <v>0.10090944088169507</v>
      </c>
      <c r="O37" s="60">
        <f>+-O11+O15+O21+O27+O35</f>
        <v>680785.28</v>
      </c>
      <c r="P37" s="284">
        <f>+O37/Summary!O$19</f>
        <v>0.10064189451830834</v>
      </c>
      <c r="Q37" s="285">
        <f>+M37-O37</f>
        <v>-46141.030000000028</v>
      </c>
      <c r="R37" s="286">
        <f>+-R11+R15+R21+R27+R35</f>
        <v>720354.62000000011</v>
      </c>
      <c r="S37" s="284">
        <f>+R37/Summary!R$19</f>
        <v>0.12283089088681461</v>
      </c>
      <c r="T37" s="285">
        <f t="shared" ref="T37" si="18">+O37-R37</f>
        <v>-39569.340000000084</v>
      </c>
    </row>
    <row r="38" spans="2:20" x14ac:dyDescent="0.25">
      <c r="B38" s="28"/>
    </row>
    <row r="39" spans="2:20" x14ac:dyDescent="0.25">
      <c r="B39" s="28"/>
    </row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Summary</vt:lpstr>
      <vt:lpstr>Rooms</vt:lpstr>
      <vt:lpstr>F&amp;B_CONS</vt:lpstr>
      <vt:lpstr>OTH_OP</vt:lpstr>
      <vt:lpstr>MISC_INC</vt:lpstr>
      <vt:lpstr>AG</vt:lpstr>
      <vt:lpstr>IT</vt:lpstr>
      <vt:lpstr>SM</vt:lpstr>
      <vt:lpstr>POM</vt:lpstr>
      <vt:lpstr>EC</vt:lpstr>
      <vt:lpstr>Mgt_Fees</vt:lpstr>
      <vt:lpstr>Non_Op</vt:lpstr>
      <vt:lpstr>Month</vt:lpstr>
      <vt:lpstr>Property</vt:lpstr>
      <vt:lpstr>Property_Code</vt:lpstr>
      <vt:lpstr>Year</vt:lpstr>
      <vt:lpstr>YTDMonth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Galiardo</dc:creator>
  <cp:lastModifiedBy>Hyun Lee</cp:lastModifiedBy>
  <dcterms:created xsi:type="dcterms:W3CDTF">2024-11-04T20:15:09Z</dcterms:created>
  <dcterms:modified xsi:type="dcterms:W3CDTF">2025-06-10T20:34:31Z</dcterms:modified>
</cp:coreProperties>
</file>