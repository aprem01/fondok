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pcp-my.sharepoint.com/personal/hyun_lee_khpcp_com/Documents/Documents/AM/Dispositions/ANG Disposition/"/>
    </mc:Choice>
  </mc:AlternateContent>
  <xr:revisionPtr revIDLastSave="5878" documentId="8_{280D9B25-FF29-4951-9991-148987B9BB7A}" xr6:coauthVersionLast="47" xr6:coauthVersionMax="47" xr10:uidLastSave="{FC64C20D-8D98-461E-A97C-1680D912E5B6}"/>
  <bookViews>
    <workbookView xWindow="-28920" yWindow="-105" windowWidth="29040" windowHeight="15720" xr2:uid="{04E17F45-2941-4E53-AB6B-FEDC6E14B477}"/>
  </bookViews>
  <sheets>
    <sheet name="Summary" sheetId="2" r:id="rId1"/>
    <sheet name="Rooms" sheetId="20" r:id="rId2"/>
    <sheet name="F&amp;B_CONS" sheetId="21" r:id="rId3"/>
    <sheet name="OTH_OP" sheetId="22" r:id="rId4"/>
    <sheet name="MISC_INC" sheetId="23" r:id="rId5"/>
    <sheet name="AG" sheetId="25" r:id="rId6"/>
    <sheet name="IT" sheetId="26" r:id="rId7"/>
    <sheet name="SM" sheetId="27" r:id="rId8"/>
    <sheet name="POM" sheetId="28" r:id="rId9"/>
    <sheet name="EC" sheetId="29" r:id="rId10"/>
    <sheet name="Mgt_Fees" sheetId="30" r:id="rId11"/>
    <sheet name="Non_Op" sheetId="33" r:id="rId12"/>
  </sheets>
  <definedNames>
    <definedName name="Month">Summary!$V$2</definedName>
    <definedName name="Property">Summary!$V$1</definedName>
    <definedName name="Property_Code">Summary!$V$1</definedName>
    <definedName name="Year">Summary!$V$3</definedName>
    <definedName name="YTDMonth">Summary!$V$4</definedName>
  </definedNames>
  <calcPr calcId="191029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M6" i="20" l="1"/>
  <c r="M6" i="21"/>
  <c r="M6" i="22"/>
  <c r="M6" i="23"/>
  <c r="M6" i="25"/>
  <c r="M6" i="26"/>
  <c r="M6" i="27"/>
  <c r="M6" i="28"/>
  <c r="M6" i="29"/>
  <c r="M6" i="30"/>
  <c r="M6" i="33"/>
  <c r="M6" i="2"/>
  <c r="R11" i="33"/>
  <c r="V4" i="2"/>
  <c r="D6" i="21"/>
  <c r="D6" i="22"/>
  <c r="D6" i="23"/>
  <c r="D6" i="25"/>
  <c r="D6" i="26"/>
  <c r="D6" i="27"/>
  <c r="D6" i="28"/>
  <c r="D6" i="29"/>
  <c r="D6" i="30"/>
  <c r="D6" i="33"/>
  <c r="D6" i="20"/>
  <c r="D6" i="2"/>
  <c r="F14" i="26" l="1"/>
  <c r="T33" i="2"/>
  <c r="T10" i="33"/>
  <c r="Q33" i="33"/>
  <c r="Q31" i="28"/>
  <c r="T10" i="2"/>
  <c r="I21" i="26"/>
  <c r="Q76" i="20"/>
  <c r="T35" i="25"/>
  <c r="T39" i="25"/>
  <c r="T90" i="21"/>
  <c r="T40" i="25"/>
  <c r="N25" i="22"/>
  <c r="T65" i="26"/>
  <c r="Q33" i="28"/>
  <c r="T45" i="20"/>
  <c r="T33" i="33"/>
  <c r="Q12" i="29"/>
  <c r="T31" i="25"/>
  <c r="M11" i="33"/>
  <c r="N30" i="22"/>
  <c r="Q15" i="27"/>
  <c r="T81" i="21"/>
  <c r="Q82" i="21"/>
  <c r="T97" i="21"/>
  <c r="T44" i="27"/>
  <c r="Q57" i="20"/>
  <c r="F49" i="26"/>
  <c r="F30" i="26"/>
  <c r="F67" i="26"/>
  <c r="F21" i="26"/>
  <c r="K66" i="20"/>
  <c r="H66" i="20"/>
  <c r="I30" i="26"/>
  <c r="I14" i="26"/>
  <c r="I17" i="26" s="1"/>
  <c r="I49" i="26"/>
  <c r="I67" i="26"/>
  <c r="I48" i="2"/>
  <c r="I19" i="2"/>
  <c r="I52" i="2" s="1"/>
  <c r="I11" i="2"/>
  <c r="I12" i="2"/>
  <c r="I35" i="2"/>
  <c r="I25" i="2"/>
  <c r="T14" i="29" l="1"/>
  <c r="T48" i="27"/>
  <c r="S23" i="2"/>
  <c r="Q18" i="33"/>
  <c r="Q46" i="2"/>
  <c r="Q35" i="25"/>
  <c r="T33" i="26"/>
  <c r="R21" i="26"/>
  <c r="T49" i="20"/>
  <c r="Q13" i="29"/>
  <c r="T16" i="20"/>
  <c r="Q34" i="33"/>
  <c r="T55" i="25"/>
  <c r="Q15" i="23"/>
  <c r="T13" i="25"/>
  <c r="Q67" i="20"/>
  <c r="S31" i="22"/>
  <c r="Q30" i="25"/>
  <c r="Q34" i="22"/>
  <c r="Q13" i="27"/>
  <c r="Q13" i="23"/>
  <c r="Q17" i="25"/>
  <c r="Q39" i="26"/>
  <c r="T34" i="33"/>
  <c r="T20" i="26"/>
  <c r="S33" i="22"/>
  <c r="Q19" i="28"/>
  <c r="O17" i="29"/>
  <c r="O13" i="30"/>
  <c r="T43" i="27"/>
  <c r="Q80" i="20"/>
  <c r="T46" i="28"/>
  <c r="R12" i="2"/>
  <c r="Q40" i="21"/>
  <c r="Q11" i="30"/>
  <c r="T94" i="21"/>
  <c r="Q29" i="20"/>
  <c r="Q34" i="27"/>
  <c r="Q37" i="25"/>
  <c r="Q33" i="2"/>
  <c r="T20" i="27"/>
  <c r="Q91" i="21"/>
  <c r="O15" i="33"/>
  <c r="T37" i="27"/>
  <c r="Q58" i="25"/>
  <c r="T53" i="28"/>
  <c r="Q30" i="2"/>
  <c r="T30" i="2"/>
  <c r="T34" i="22"/>
  <c r="Q31" i="2"/>
  <c r="T84" i="21"/>
  <c r="T23" i="20"/>
  <c r="T50" i="20"/>
  <c r="Q43" i="20"/>
  <c r="N35" i="22"/>
  <c r="Q33" i="27"/>
  <c r="N26" i="22"/>
  <c r="T14" i="25"/>
  <c r="Q18" i="2"/>
  <c r="T51" i="28"/>
  <c r="T72" i="21"/>
  <c r="Q78" i="20"/>
  <c r="P24" i="2"/>
  <c r="T68" i="20"/>
  <c r="T49" i="27"/>
  <c r="S30" i="22"/>
  <c r="T45" i="25"/>
  <c r="Q31" i="27"/>
  <c r="Q20" i="25"/>
  <c r="S22" i="2"/>
  <c r="Q35" i="22"/>
  <c r="T56" i="26"/>
  <c r="T28" i="27"/>
  <c r="Q39" i="21"/>
  <c r="T31" i="33"/>
  <c r="T74" i="20"/>
  <c r="Q77" i="20"/>
  <c r="T10" i="22"/>
  <c r="T31" i="2"/>
  <c r="Q16" i="22"/>
  <c r="R41" i="21"/>
  <c r="R44" i="21" s="1"/>
  <c r="Q46" i="27"/>
  <c r="T72" i="20"/>
  <c r="T69" i="20"/>
  <c r="P32" i="22"/>
  <c r="T29" i="20"/>
  <c r="Q14" i="28"/>
  <c r="Q40" i="26"/>
  <c r="T32" i="2"/>
  <c r="T17" i="25"/>
  <c r="T56" i="27"/>
  <c r="Q46" i="28"/>
  <c r="Q93" i="21"/>
  <c r="Q54" i="27"/>
  <c r="T43" i="26"/>
  <c r="Q49" i="20"/>
  <c r="T29" i="27"/>
  <c r="Q47" i="28"/>
  <c r="T91" i="21"/>
  <c r="O22" i="28"/>
  <c r="Q69" i="20"/>
  <c r="Q79" i="21"/>
  <c r="O14" i="26"/>
  <c r="O17" i="26" s="1"/>
  <c r="I22" i="26"/>
  <c r="Q15" i="29"/>
  <c r="Q15" i="22"/>
  <c r="T38" i="28"/>
  <c r="R14" i="26"/>
  <c r="R17" i="26" s="1"/>
  <c r="R22" i="26" s="1"/>
  <c r="Q75" i="20"/>
  <c r="T58" i="25"/>
  <c r="R62" i="21"/>
  <c r="Q55" i="25"/>
  <c r="Q60" i="25"/>
  <c r="T93" i="21"/>
  <c r="S34" i="22"/>
  <c r="Q29" i="27"/>
  <c r="Q21" i="27"/>
  <c r="T11" i="20"/>
  <c r="T77" i="20"/>
  <c r="Q54" i="25"/>
  <c r="Q57" i="21"/>
  <c r="T47" i="26"/>
  <c r="T95" i="21"/>
  <c r="Q38" i="28"/>
  <c r="Q67" i="21"/>
  <c r="T51" i="27"/>
  <c r="Q34" i="25"/>
  <c r="Q71" i="20"/>
  <c r="T54" i="28"/>
  <c r="T38" i="25"/>
  <c r="Q21" i="23"/>
  <c r="T48" i="28"/>
  <c r="T54" i="27"/>
  <c r="T26" i="27"/>
  <c r="T30" i="28"/>
  <c r="T31" i="21"/>
  <c r="Q29" i="28"/>
  <c r="T18" i="25"/>
  <c r="T47" i="28"/>
  <c r="T43" i="2"/>
  <c r="T26" i="26"/>
  <c r="T10" i="30"/>
  <c r="Q50" i="20"/>
  <c r="T16" i="29"/>
  <c r="Q54" i="26"/>
  <c r="T70" i="20"/>
  <c r="T100" i="21"/>
  <c r="T50" i="28"/>
  <c r="T88" i="21"/>
  <c r="S24" i="22"/>
  <c r="Q46" i="20"/>
  <c r="T16" i="28"/>
  <c r="T47" i="20"/>
  <c r="T37" i="26"/>
  <c r="Q53" i="25"/>
  <c r="R25" i="21"/>
  <c r="S40" i="21" s="1"/>
  <c r="Q41" i="20"/>
  <c r="T75" i="20"/>
  <c r="T62" i="26"/>
  <c r="Q43" i="26"/>
  <c r="T27" i="27"/>
  <c r="Q81" i="21"/>
  <c r="R19" i="2"/>
  <c r="T61" i="20"/>
  <c r="T14" i="28"/>
  <c r="Q55" i="21"/>
  <c r="T25" i="25"/>
  <c r="T31" i="27"/>
  <c r="Q26" i="26"/>
  <c r="Q40" i="28"/>
  <c r="Q32" i="2"/>
  <c r="T30" i="21"/>
  <c r="S24" i="2"/>
  <c r="T63" i="25"/>
  <c r="T21" i="21"/>
  <c r="Q63" i="20"/>
  <c r="T47" i="2"/>
  <c r="Q37" i="27"/>
  <c r="T16" i="26"/>
  <c r="T26" i="20"/>
  <c r="Q58" i="20"/>
  <c r="O26" i="25"/>
  <c r="T50" i="21"/>
  <c r="T56" i="21"/>
  <c r="Q22" i="2"/>
  <c r="O11" i="33"/>
  <c r="Q74" i="20"/>
  <c r="T52" i="21"/>
  <c r="Q42" i="28"/>
  <c r="Q52" i="21"/>
  <c r="M25" i="2"/>
  <c r="M54" i="21"/>
  <c r="M58" i="21" s="1"/>
  <c r="Q94" i="21"/>
  <c r="T46" i="2"/>
  <c r="T28" i="28"/>
  <c r="T40" i="26"/>
  <c r="T11" i="28"/>
  <c r="Q57" i="25"/>
  <c r="R11" i="2"/>
  <c r="T58" i="26"/>
  <c r="T60" i="20"/>
  <c r="T27" i="28"/>
  <c r="Q70" i="21"/>
  <c r="Q43" i="25"/>
  <c r="P36" i="22"/>
  <c r="R17" i="21"/>
  <c r="S39" i="21" s="1"/>
  <c r="Q14" i="33"/>
  <c r="T12" i="23"/>
  <c r="Q23" i="21"/>
  <c r="T32" i="21"/>
  <c r="T57" i="25"/>
  <c r="Q10" i="30"/>
  <c r="Q18" i="26"/>
  <c r="P21" i="22"/>
  <c r="Q63" i="26"/>
  <c r="Q52" i="28"/>
  <c r="T77" i="21"/>
  <c r="Q76" i="21"/>
  <c r="O30" i="26"/>
  <c r="Q11" i="22"/>
  <c r="Q36" i="25"/>
  <c r="Q20" i="33"/>
  <c r="T16" i="23"/>
  <c r="Q72" i="20"/>
  <c r="T11" i="29"/>
  <c r="T32" i="25"/>
  <c r="R17" i="20"/>
  <c r="Q50" i="27"/>
  <c r="Q31" i="33"/>
  <c r="T32" i="22"/>
  <c r="T15" i="20"/>
  <c r="R54" i="21"/>
  <c r="Q86" i="21"/>
  <c r="T87" i="21"/>
  <c r="S35" i="22"/>
  <c r="T26" i="33"/>
  <c r="T39" i="27"/>
  <c r="Q56" i="27"/>
  <c r="Q47" i="25"/>
  <c r="S21" i="22"/>
  <c r="Q26" i="21"/>
  <c r="T10" i="23"/>
  <c r="T83" i="20"/>
  <c r="Q74" i="21"/>
  <c r="Q45" i="2"/>
  <c r="T18" i="2"/>
  <c r="Q40" i="27"/>
  <c r="Q56" i="21"/>
  <c r="T15" i="27"/>
  <c r="T30" i="33"/>
  <c r="T24" i="2"/>
  <c r="Q98" i="21"/>
  <c r="P31" i="22"/>
  <c r="Q23" i="33"/>
  <c r="T48" i="25"/>
  <c r="S23" i="22"/>
  <c r="Q65" i="26"/>
  <c r="Q26" i="20"/>
  <c r="Q10" i="2"/>
  <c r="T20" i="25"/>
  <c r="T42" i="26"/>
  <c r="Q58" i="26"/>
  <c r="T15" i="22"/>
  <c r="T44" i="2"/>
  <c r="Q37" i="28"/>
  <c r="T20" i="28"/>
  <c r="Q84" i="21"/>
  <c r="T49" i="25"/>
  <c r="Q51" i="25"/>
  <c r="S25" i="22"/>
  <c r="Q24" i="25"/>
  <c r="Q59" i="20"/>
  <c r="Q73" i="21"/>
  <c r="Q89" i="21"/>
  <c r="T38" i="27"/>
  <c r="Q62" i="20"/>
  <c r="O35" i="2"/>
  <c r="T11" i="25"/>
  <c r="Q59" i="25"/>
  <c r="Q35" i="28"/>
  <c r="Q16" i="2"/>
  <c r="T24" i="21"/>
  <c r="S17" i="27"/>
  <c r="Q39" i="27"/>
  <c r="T78" i="21"/>
  <c r="T18" i="33"/>
  <c r="Q59" i="26"/>
  <c r="P23" i="2"/>
  <c r="T28" i="26"/>
  <c r="T63" i="26"/>
  <c r="T22" i="20"/>
  <c r="Q14" i="29"/>
  <c r="Q40" i="25"/>
  <c r="Q10" i="22"/>
  <c r="Q47" i="26"/>
  <c r="O62" i="21"/>
  <c r="Q60" i="20"/>
  <c r="O14" i="27"/>
  <c r="O18" i="27" s="1"/>
  <c r="Q45" i="28"/>
  <c r="Q60" i="26"/>
  <c r="Q56" i="25"/>
  <c r="T56" i="25"/>
  <c r="T55" i="27"/>
  <c r="Q27" i="28"/>
  <c r="T39" i="21"/>
  <c r="Q26" i="27"/>
  <c r="T29" i="28"/>
  <c r="Q30" i="28"/>
  <c r="T57" i="20"/>
  <c r="T31" i="28"/>
  <c r="T46" i="27"/>
  <c r="Q73" i="20"/>
  <c r="Q100" i="21"/>
  <c r="Q30" i="27"/>
  <c r="Q46" i="25"/>
  <c r="M44" i="20"/>
  <c r="T14" i="33"/>
  <c r="O22" i="27"/>
  <c r="T41" i="26"/>
  <c r="Q37" i="26"/>
  <c r="M52" i="20"/>
  <c r="Q20" i="28"/>
  <c r="Q48" i="28"/>
  <c r="Q28" i="27"/>
  <c r="R48" i="2"/>
  <c r="T81" i="20"/>
  <c r="O12" i="2"/>
  <c r="Q12" i="23"/>
  <c r="O44" i="20"/>
  <c r="O48" i="20" s="1"/>
  <c r="Q47" i="27"/>
  <c r="T48" i="26"/>
  <c r="Q19" i="23"/>
  <c r="Q92" i="21"/>
  <c r="T46" i="20"/>
  <c r="T53" i="25"/>
  <c r="T35" i="20"/>
  <c r="O17" i="22"/>
  <c r="P17" i="22" s="1"/>
  <c r="T60" i="26"/>
  <c r="Q35" i="20"/>
  <c r="T70" i="21"/>
  <c r="Q18" i="25"/>
  <c r="T76" i="20"/>
  <c r="O19" i="2"/>
  <c r="Q43" i="27"/>
  <c r="T23" i="21"/>
  <c r="Q48" i="26"/>
  <c r="Q56" i="26"/>
  <c r="T92" i="21"/>
  <c r="Q10" i="33"/>
  <c r="Q21" i="21"/>
  <c r="T58" i="20"/>
  <c r="T39" i="26"/>
  <c r="Q70" i="20"/>
  <c r="P24" i="22"/>
  <c r="T82" i="20"/>
  <c r="Q31" i="21"/>
  <c r="Q32" i="21"/>
  <c r="Q61" i="26"/>
  <c r="T73" i="20"/>
  <c r="T34" i="27"/>
  <c r="Q55" i="27"/>
  <c r="T41" i="20"/>
  <c r="Q51" i="28"/>
  <c r="Q25" i="25"/>
  <c r="T45" i="28"/>
  <c r="Q43" i="21"/>
  <c r="T43" i="21"/>
  <c r="T34" i="2"/>
  <c r="M35" i="2"/>
  <c r="R35" i="33"/>
  <c r="T64" i="25"/>
  <c r="Q64" i="25"/>
  <c r="Q38" i="27"/>
  <c r="Q59" i="21"/>
  <c r="M62" i="21"/>
  <c r="O49" i="26"/>
  <c r="T33" i="25"/>
  <c r="Q33" i="25"/>
  <c r="Q32" i="33"/>
  <c r="T19" i="23"/>
  <c r="T12" i="20"/>
  <c r="Q38" i="26"/>
  <c r="Q38" i="25"/>
  <c r="M17" i="22"/>
  <c r="Q13" i="21"/>
  <c r="T13" i="21"/>
  <c r="Q14" i="21"/>
  <c r="M12" i="2"/>
  <c r="N22" i="2"/>
  <c r="Q29" i="21"/>
  <c r="T29" i="21"/>
  <c r="Q21" i="22"/>
  <c r="T21" i="22"/>
  <c r="Q11" i="20"/>
  <c r="Q34" i="26"/>
  <c r="Q51" i="20"/>
  <c r="T51" i="20"/>
  <c r="T29" i="33"/>
  <c r="N24" i="2"/>
  <c r="T17" i="2"/>
  <c r="O17" i="21"/>
  <c r="P39" i="21" s="1"/>
  <c r="Q11" i="26"/>
  <c r="M14" i="26"/>
  <c r="Q62" i="25"/>
  <c r="T62" i="25"/>
  <c r="O67" i="26"/>
  <c r="T52" i="28"/>
  <c r="T9" i="2"/>
  <c r="M11" i="2"/>
  <c r="T15" i="21"/>
  <c r="Q75" i="21"/>
  <c r="R27" i="20"/>
  <c r="O17" i="20"/>
  <c r="Q45" i="26"/>
  <c r="T45" i="26"/>
  <c r="Q17" i="33"/>
  <c r="T33" i="22"/>
  <c r="R22" i="23"/>
  <c r="S17" i="23" s="1"/>
  <c r="Q19" i="33"/>
  <c r="Q19" i="26"/>
  <c r="Q11" i="27"/>
  <c r="T11" i="27"/>
  <c r="O104" i="21"/>
  <c r="T85" i="21"/>
  <c r="R22" i="27"/>
  <c r="Q85" i="21"/>
  <c r="T40" i="28"/>
  <c r="S13" i="29"/>
  <c r="Q57" i="26"/>
  <c r="Q12" i="30"/>
  <c r="M13" i="30"/>
  <c r="Q53" i="27"/>
  <c r="Q78" i="21"/>
  <c r="Q66" i="21"/>
  <c r="O48" i="2"/>
  <c r="T34" i="26"/>
  <c r="Q16" i="29"/>
  <c r="R30" i="26"/>
  <c r="T29" i="26"/>
  <c r="T64" i="20"/>
  <c r="T53" i="26"/>
  <c r="Q41" i="25"/>
  <c r="T45" i="2"/>
  <c r="T23" i="2"/>
  <c r="T47" i="27"/>
  <c r="Q47" i="2"/>
  <c r="Q44" i="26"/>
  <c r="T44" i="28"/>
  <c r="T66" i="26"/>
  <c r="Q23" i="2"/>
  <c r="Q14" i="25"/>
  <c r="Q72" i="21"/>
  <c r="N20" i="22"/>
  <c r="Q39" i="2"/>
  <c r="T16" i="25"/>
  <c r="M35" i="33"/>
  <c r="T16" i="21"/>
  <c r="T38" i="26"/>
  <c r="Q29" i="26"/>
  <c r="T19" i="27"/>
  <c r="Q45" i="25"/>
  <c r="T23" i="33"/>
  <c r="Q50" i="28"/>
  <c r="R22" i="28"/>
  <c r="R35" i="2"/>
  <c r="Q16" i="26"/>
  <c r="P25" i="22"/>
  <c r="N23" i="2"/>
  <c r="T89" i="21"/>
  <c r="T42" i="28"/>
  <c r="Q47" i="20"/>
  <c r="T53" i="27"/>
  <c r="Q66" i="26"/>
  <c r="Q16" i="28"/>
  <c r="T82" i="21"/>
  <c r="O41" i="21"/>
  <c r="O44" i="21" s="1"/>
  <c r="T12" i="22"/>
  <c r="R44" i="20"/>
  <c r="R48" i="20" s="1"/>
  <c r="T14" i="23"/>
  <c r="Q45" i="27"/>
  <c r="Q56" i="20"/>
  <c r="T79" i="21"/>
  <c r="T13" i="20"/>
  <c r="T37" i="20"/>
  <c r="Q16" i="27"/>
  <c r="T14" i="20"/>
  <c r="Q82" i="20"/>
  <c r="R33" i="21"/>
  <c r="S43" i="21" s="1"/>
  <c r="S26" i="26"/>
  <c r="Q60" i="21"/>
  <c r="T73" i="21"/>
  <c r="Q26" i="28"/>
  <c r="Q37" i="20"/>
  <c r="Q30" i="22"/>
  <c r="Q32" i="22"/>
  <c r="T86" i="21"/>
  <c r="Q15" i="21"/>
  <c r="T60" i="21"/>
  <c r="T21" i="27"/>
  <c r="Q52" i="26"/>
  <c r="Q32" i="25"/>
  <c r="T75" i="21"/>
  <c r="Q13" i="28"/>
  <c r="T44" i="26"/>
  <c r="T20" i="22"/>
  <c r="T45" i="27"/>
  <c r="T55" i="21"/>
  <c r="Q48" i="27"/>
  <c r="T26" i="21"/>
  <c r="Q33" i="22"/>
  <c r="T12" i="29"/>
  <c r="O19" i="25"/>
  <c r="O22" i="25" s="1"/>
  <c r="Q30" i="21"/>
  <c r="T63" i="20"/>
  <c r="T57" i="21"/>
  <c r="Q13" i="20"/>
  <c r="Q95" i="21"/>
  <c r="Q54" i="28"/>
  <c r="Q36" i="26"/>
  <c r="T50" i="27"/>
  <c r="Q11" i="25"/>
  <c r="Q87" i="21"/>
  <c r="Q10" i="29"/>
  <c r="T37" i="25"/>
  <c r="O21" i="26"/>
  <c r="T59" i="21"/>
  <c r="Q77" i="21"/>
  <c r="Q20" i="21"/>
  <c r="T19" i="26"/>
  <c r="T32" i="33"/>
  <c r="Q97" i="21"/>
  <c r="Q42" i="25"/>
  <c r="Q48" i="25"/>
  <c r="T54" i="25"/>
  <c r="O22" i="23"/>
  <c r="P19" i="23" s="1"/>
  <c r="T30" i="25"/>
  <c r="Q68" i="20"/>
  <c r="T26" i="28"/>
  <c r="Q11" i="29"/>
  <c r="T16" i="27"/>
  <c r="Q12" i="20"/>
  <c r="T15" i="23"/>
  <c r="Q28" i="28"/>
  <c r="R57" i="27"/>
  <c r="T30" i="27"/>
  <c r="T61" i="26"/>
  <c r="S61" i="26"/>
  <c r="T11" i="23"/>
  <c r="Q11" i="23"/>
  <c r="T23" i="25"/>
  <c r="Q23" i="25"/>
  <c r="R17" i="22"/>
  <c r="S16" i="22" s="1"/>
  <c r="T35" i="22"/>
  <c r="R56" i="28"/>
  <c r="Q33" i="26"/>
  <c r="T19" i="33"/>
  <c r="O21" i="33"/>
  <c r="O27" i="22"/>
  <c r="Q20" i="22"/>
  <c r="S36" i="22"/>
  <c r="T44" i="25"/>
  <c r="Q44" i="25"/>
  <c r="R65" i="25"/>
  <c r="R17" i="29"/>
  <c r="T36" i="26"/>
  <c r="R49" i="26"/>
  <c r="Q18" i="23"/>
  <c r="T18" i="23"/>
  <c r="Q25" i="33"/>
  <c r="T13" i="26"/>
  <c r="Q13" i="26"/>
  <c r="Q52" i="25"/>
  <c r="T52" i="25"/>
  <c r="T21" i="23"/>
  <c r="M84" i="20"/>
  <c r="T56" i="20"/>
  <c r="T13" i="22"/>
  <c r="N33" i="22"/>
  <c r="Q36" i="27"/>
  <c r="T36" i="27"/>
  <c r="Q21" i="25"/>
  <c r="T21" i="25"/>
  <c r="R21" i="33"/>
  <c r="T17" i="33"/>
  <c r="Q29" i="33"/>
  <c r="P33" i="22"/>
  <c r="O15" i="28"/>
  <c r="O18" i="28" s="1"/>
  <c r="T55" i="26"/>
  <c r="Q55" i="26"/>
  <c r="M26" i="25"/>
  <c r="Q26" i="25" s="1"/>
  <c r="Q30" i="20"/>
  <c r="T30" i="20"/>
  <c r="Q41" i="26"/>
  <c r="T60" i="25"/>
  <c r="O65" i="25"/>
  <c r="Q83" i="21"/>
  <c r="S26" i="22"/>
  <c r="T16" i="22"/>
  <c r="Q20" i="26"/>
  <c r="T36" i="25"/>
  <c r="Q13" i="22"/>
  <c r="M67" i="26"/>
  <c r="Q53" i="26"/>
  <c r="Q61" i="21"/>
  <c r="T61" i="21"/>
  <c r="T83" i="21"/>
  <c r="R27" i="22"/>
  <c r="Q46" i="26"/>
  <c r="T46" i="26"/>
  <c r="O54" i="21"/>
  <c r="O58" i="21" s="1"/>
  <c r="Q50" i="21"/>
  <c r="Q99" i="21"/>
  <c r="T99" i="21"/>
  <c r="Q36" i="28"/>
  <c r="Q35" i="26"/>
  <c r="T35" i="26"/>
  <c r="N21" i="22"/>
  <c r="O11" i="2"/>
  <c r="Q9" i="2"/>
  <c r="M21" i="33"/>
  <c r="O25" i="21"/>
  <c r="P40" i="21" s="1"/>
  <c r="T51" i="25"/>
  <c r="Q103" i="21"/>
  <c r="T24" i="33"/>
  <c r="O27" i="33"/>
  <c r="Q39" i="28"/>
  <c r="T39" i="28"/>
  <c r="M57" i="27"/>
  <c r="P26" i="22"/>
  <c r="R15" i="28"/>
  <c r="R18" i="28" s="1"/>
  <c r="T49" i="28"/>
  <c r="Q49" i="28"/>
  <c r="T23" i="22"/>
  <c r="R67" i="26"/>
  <c r="T52" i="26"/>
  <c r="T101" i="21"/>
  <c r="Q101" i="21"/>
  <c r="Q36" i="22"/>
  <c r="T36" i="22"/>
  <c r="N36" i="22"/>
  <c r="T32" i="28"/>
  <c r="Q32" i="28"/>
  <c r="M56" i="28"/>
  <c r="O84" i="20"/>
  <c r="Q71" i="21"/>
  <c r="T71" i="21"/>
  <c r="Q17" i="23"/>
  <c r="T17" i="23"/>
  <c r="T25" i="33"/>
  <c r="T43" i="28"/>
  <c r="Q43" i="28"/>
  <c r="N34" i="22"/>
  <c r="Q14" i="22"/>
  <c r="T14" i="22"/>
  <c r="Q51" i="27"/>
  <c r="N24" i="22"/>
  <c r="Q24" i="22"/>
  <c r="T24" i="22"/>
  <c r="Q69" i="21"/>
  <c r="O27" i="20"/>
  <c r="T13" i="27"/>
  <c r="R14" i="27"/>
  <c r="Q68" i="21"/>
  <c r="Q21" i="28"/>
  <c r="M22" i="28"/>
  <c r="Q53" i="28"/>
  <c r="Q26" i="22"/>
  <c r="T26" i="22"/>
  <c r="Q24" i="20"/>
  <c r="T24" i="20"/>
  <c r="Q61" i="20"/>
  <c r="S20" i="22"/>
  <c r="T31" i="22"/>
  <c r="N31" i="22"/>
  <c r="T20" i="23"/>
  <c r="M30" i="26"/>
  <c r="T13" i="23"/>
  <c r="M27" i="22"/>
  <c r="T103" i="21"/>
  <c r="Q24" i="33"/>
  <c r="T54" i="26"/>
  <c r="T80" i="21"/>
  <c r="Q80" i="21"/>
  <c r="N32" i="22"/>
  <c r="Q14" i="20"/>
  <c r="T13" i="28"/>
  <c r="T46" i="25"/>
  <c r="Q13" i="33"/>
  <c r="M15" i="33"/>
  <c r="Q20" i="23"/>
  <c r="O33" i="21"/>
  <c r="P43" i="21" s="1"/>
  <c r="T80" i="20"/>
  <c r="T96" i="21"/>
  <c r="Q96" i="21"/>
  <c r="M17" i="20"/>
  <c r="R52" i="20"/>
  <c r="Q21" i="20"/>
  <c r="Q22" i="20"/>
  <c r="S22" i="22"/>
  <c r="T57" i="26"/>
  <c r="M65" i="25"/>
  <c r="M49" i="26"/>
  <c r="T40" i="21"/>
  <c r="Q61" i="25"/>
  <c r="Q63" i="25"/>
  <c r="O57" i="27"/>
  <c r="Q41" i="27"/>
  <c r="Q22" i="21"/>
  <c r="Q23" i="20"/>
  <c r="T32" i="27"/>
  <c r="Q11" i="28"/>
  <c r="T65" i="20"/>
  <c r="T67" i="20"/>
  <c r="T33" i="27"/>
  <c r="Q49" i="27"/>
  <c r="O56" i="28"/>
  <c r="P23" i="22"/>
  <c r="Q66" i="20"/>
  <c r="T67" i="21"/>
  <c r="T74" i="21"/>
  <c r="T15" i="29"/>
  <c r="Q35" i="27"/>
  <c r="T40" i="20"/>
  <c r="T21" i="20"/>
  <c r="Q16" i="21"/>
  <c r="T41" i="25"/>
  <c r="T11" i="26"/>
  <c r="M27" i="33"/>
  <c r="T33" i="28"/>
  <c r="Q15" i="25"/>
  <c r="T25" i="26"/>
  <c r="R84" i="20"/>
  <c r="T22" i="22"/>
  <c r="T20" i="33"/>
  <c r="Q64" i="20"/>
  <c r="O52" i="20"/>
  <c r="P34" i="22"/>
  <c r="T43" i="20"/>
  <c r="M17" i="29"/>
  <c r="M15" i="28"/>
  <c r="M18" i="28" s="1"/>
  <c r="T43" i="25"/>
  <c r="T79" i="20"/>
  <c r="Q27" i="27"/>
  <c r="T12" i="21"/>
  <c r="M27" i="20"/>
  <c r="T34" i="28"/>
  <c r="Q24" i="21"/>
  <c r="T36" i="20"/>
  <c r="P22" i="22"/>
  <c r="Q30" i="33"/>
  <c r="Q49" i="25"/>
  <c r="M33" i="21"/>
  <c r="Q33" i="21" s="1"/>
  <c r="Q52" i="27"/>
  <c r="T53" i="21"/>
  <c r="M22" i="23"/>
  <c r="N17" i="23" s="1"/>
  <c r="T102" i="21"/>
  <c r="Q62" i="26"/>
  <c r="Q81" i="20"/>
  <c r="T14" i="21"/>
  <c r="T20" i="21"/>
  <c r="R104" i="21"/>
  <c r="S32" i="22"/>
  <c r="R15" i="33"/>
  <c r="T10" i="29"/>
  <c r="Q25" i="20"/>
  <c r="T13" i="33"/>
  <c r="T42" i="25"/>
  <c r="Q41" i="28"/>
  <c r="T30" i="22"/>
  <c r="T39" i="20"/>
  <c r="Q17" i="28"/>
  <c r="Q27" i="26"/>
  <c r="T61" i="25"/>
  <c r="Q17" i="27"/>
  <c r="Q15" i="20"/>
  <c r="Q64" i="26"/>
  <c r="T78" i="20"/>
  <c r="R27" i="33"/>
  <c r="P35" i="22"/>
  <c r="Q42" i="27"/>
  <c r="Q28" i="20"/>
  <c r="Q15" i="26"/>
  <c r="Q42" i="20"/>
  <c r="M41" i="21"/>
  <c r="R13" i="30"/>
  <c r="Q24" i="2"/>
  <c r="Q17" i="2"/>
  <c r="T39" i="2"/>
  <c r="T22" i="2"/>
  <c r="P22" i="2"/>
  <c r="M48" i="2"/>
  <c r="Q34" i="2"/>
  <c r="M19" i="2"/>
  <c r="Q15" i="2"/>
  <c r="T15" i="2"/>
  <c r="O25" i="2"/>
  <c r="T16" i="2"/>
  <c r="T11" i="30"/>
  <c r="T59" i="25"/>
  <c r="T40" i="27"/>
  <c r="Q65" i="20"/>
  <c r="T22" i="21"/>
  <c r="Q16" i="20"/>
  <c r="T50" i="25"/>
  <c r="Q50" i="25"/>
  <c r="Q90" i="21"/>
  <c r="P20" i="22"/>
  <c r="Q12" i="22"/>
  <c r="T15" i="25"/>
  <c r="R25" i="2"/>
  <c r="Q39" i="25"/>
  <c r="Q14" i="23"/>
  <c r="T17" i="27"/>
  <c r="T19" i="28"/>
  <c r="R19" i="25"/>
  <c r="R22" i="25" s="1"/>
  <c r="N23" i="22"/>
  <c r="T42" i="20"/>
  <c r="Q42" i="26"/>
  <c r="T24" i="25"/>
  <c r="Q25" i="26"/>
  <c r="Q10" i="23"/>
  <c r="Q36" i="20"/>
  <c r="Q39" i="20"/>
  <c r="T34" i="25"/>
  <c r="O35" i="33"/>
  <c r="Q44" i="28"/>
  <c r="Q26" i="33"/>
  <c r="T55" i="28"/>
  <c r="Q55" i="28"/>
  <c r="T35" i="27"/>
  <c r="T76" i="21"/>
  <c r="T42" i="27"/>
  <c r="T18" i="26"/>
  <c r="Q31" i="22"/>
  <c r="T47" i="25"/>
  <c r="T12" i="30"/>
  <c r="Q28" i="26"/>
  <c r="N22" i="22"/>
  <c r="Q12" i="21"/>
  <c r="Q79" i="20"/>
  <c r="T20" i="20"/>
  <c r="Q83" i="20"/>
  <c r="Q20" i="20"/>
  <c r="T59" i="20"/>
  <c r="T68" i="21"/>
  <c r="T27" i="26"/>
  <c r="T36" i="28"/>
  <c r="T69" i="21"/>
  <c r="T11" i="22"/>
  <c r="M21" i="26"/>
  <c r="Q22" i="22"/>
  <c r="Q23" i="22"/>
  <c r="T28" i="20"/>
  <c r="M14" i="27"/>
  <c r="Q44" i="27"/>
  <c r="T59" i="26"/>
  <c r="Q16" i="25"/>
  <c r="M22" i="27"/>
  <c r="Q44" i="2"/>
  <c r="T25" i="20"/>
  <c r="T17" i="28"/>
  <c r="Q45" i="20"/>
  <c r="M19" i="25"/>
  <c r="M22" i="25" s="1"/>
  <c r="Q88" i="21"/>
  <c r="T15" i="26"/>
  <c r="Q16" i="23"/>
  <c r="T41" i="27"/>
  <c r="Q31" i="25"/>
  <c r="T64" i="26"/>
  <c r="T66" i="20"/>
  <c r="R26" i="25"/>
  <c r="T41" i="28"/>
  <c r="Q19" i="27"/>
  <c r="Q43" i="2"/>
  <c r="T62" i="20"/>
  <c r="Q34" i="28"/>
  <c r="Q13" i="25"/>
  <c r="Q32" i="27"/>
  <c r="T98" i="21"/>
  <c r="T25" i="22"/>
  <c r="Q25" i="22"/>
  <c r="Q53" i="21"/>
  <c r="T71" i="20"/>
  <c r="T35" i="28"/>
  <c r="Q102" i="21"/>
  <c r="Q40" i="20"/>
  <c r="M104" i="21"/>
  <c r="T21" i="28"/>
  <c r="T52" i="27"/>
  <c r="T66" i="21"/>
  <c r="Q20" i="27"/>
  <c r="T13" i="29"/>
  <c r="T37" i="28"/>
  <c r="P30" i="22"/>
  <c r="S64" i="25"/>
  <c r="S61" i="25"/>
  <c r="F69" i="26"/>
  <c r="I27" i="2"/>
  <c r="I37" i="2" s="1"/>
  <c r="I69" i="26"/>
  <c r="I13" i="2"/>
  <c r="P14" i="22" l="1"/>
  <c r="N12" i="27"/>
  <c r="M52" i="2"/>
  <c r="S40" i="25"/>
  <c r="R52" i="2"/>
  <c r="P10" i="33"/>
  <c r="O52" i="2"/>
  <c r="P52" i="2" s="1"/>
  <c r="S31" i="27"/>
  <c r="S29" i="28"/>
  <c r="S47" i="2"/>
  <c r="N42" i="27"/>
  <c r="S19" i="33"/>
  <c r="S18" i="25"/>
  <c r="N38" i="26"/>
  <c r="S60" i="25"/>
  <c r="R13" i="2"/>
  <c r="N59" i="26"/>
  <c r="T62" i="21"/>
  <c r="N21" i="26"/>
  <c r="O27" i="25"/>
  <c r="P11" i="22"/>
  <c r="P16" i="22"/>
  <c r="N39" i="27"/>
  <c r="T14" i="26"/>
  <c r="S34" i="26"/>
  <c r="N37" i="27"/>
  <c r="N34" i="33"/>
  <c r="S35" i="27"/>
  <c r="N44" i="2"/>
  <c r="N29" i="33"/>
  <c r="N67" i="26"/>
  <c r="S20" i="26"/>
  <c r="S34" i="27"/>
  <c r="P19" i="33"/>
  <c r="N26" i="26"/>
  <c r="Q11" i="33"/>
  <c r="S39" i="28"/>
  <c r="N43" i="26"/>
  <c r="N55" i="26"/>
  <c r="N45" i="26"/>
  <c r="S63" i="26"/>
  <c r="N51" i="27"/>
  <c r="T11" i="33"/>
  <c r="S54" i="28"/>
  <c r="N46" i="27"/>
  <c r="S30" i="2"/>
  <c r="S17" i="28"/>
  <c r="S13" i="28"/>
  <c r="N55" i="27"/>
  <c r="S15" i="29"/>
  <c r="N38" i="27"/>
  <c r="S21" i="25"/>
  <c r="P11" i="33"/>
  <c r="S46" i="2"/>
  <c r="S11" i="27"/>
  <c r="S11" i="29"/>
  <c r="P58" i="25"/>
  <c r="S14" i="28"/>
  <c r="S31" i="2"/>
  <c r="S43" i="2"/>
  <c r="S44" i="28"/>
  <c r="S43" i="26"/>
  <c r="O31" i="20"/>
  <c r="P79" i="20" s="1"/>
  <c r="P25" i="33"/>
  <c r="S16" i="29"/>
  <c r="S37" i="27"/>
  <c r="S45" i="26"/>
  <c r="P53" i="25"/>
  <c r="S55" i="26"/>
  <c r="S41" i="28"/>
  <c r="S50" i="25"/>
  <c r="S19" i="2"/>
  <c r="S55" i="28"/>
  <c r="S41" i="26"/>
  <c r="N24" i="33"/>
  <c r="S33" i="33"/>
  <c r="N10" i="30"/>
  <c r="S40" i="28"/>
  <c r="S54" i="26"/>
  <c r="S34" i="2"/>
  <c r="S45" i="25"/>
  <c r="T48" i="2"/>
  <c r="S10" i="30"/>
  <c r="S18" i="33"/>
  <c r="S39" i="27"/>
  <c r="S11" i="26"/>
  <c r="P41" i="26"/>
  <c r="S50" i="28"/>
  <c r="S24" i="25"/>
  <c r="N20" i="23"/>
  <c r="S11" i="28"/>
  <c r="P24" i="33"/>
  <c r="S27" i="26"/>
  <c r="N15" i="23"/>
  <c r="S65" i="26"/>
  <c r="S20" i="33"/>
  <c r="S62" i="25"/>
  <c r="S45" i="27"/>
  <c r="S66" i="26"/>
  <c r="S30" i="26"/>
  <c r="S46" i="25"/>
  <c r="S26" i="33"/>
  <c r="S32" i="27"/>
  <c r="S45" i="28"/>
  <c r="N32" i="27"/>
  <c r="S26" i="25"/>
  <c r="S64" i="26"/>
  <c r="S51" i="28"/>
  <c r="S32" i="2"/>
  <c r="S55" i="27"/>
  <c r="S57" i="25"/>
  <c r="N36" i="26"/>
  <c r="S29" i="26"/>
  <c r="S37" i="28"/>
  <c r="P10" i="22"/>
  <c r="S32" i="33"/>
  <c r="P13" i="22"/>
  <c r="N34" i="2"/>
  <c r="N32" i="2"/>
  <c r="S11" i="22"/>
  <c r="S25" i="2"/>
  <c r="S30" i="33"/>
  <c r="S23" i="25"/>
  <c r="S63" i="25"/>
  <c r="S56" i="26"/>
  <c r="S38" i="28"/>
  <c r="S38" i="26"/>
  <c r="S52" i="2"/>
  <c r="S17" i="2"/>
  <c r="Q11" i="21"/>
  <c r="S49" i="25"/>
  <c r="S18" i="26"/>
  <c r="S21" i="27"/>
  <c r="P16" i="28"/>
  <c r="S34" i="25"/>
  <c r="S34" i="33"/>
  <c r="S15" i="25"/>
  <c r="S20" i="25"/>
  <c r="P36" i="27"/>
  <c r="S36" i="27"/>
  <c r="S37" i="26"/>
  <c r="S33" i="25"/>
  <c r="N39" i="2"/>
  <c r="S21" i="26"/>
  <c r="S41" i="27"/>
  <c r="N41" i="28"/>
  <c r="S56" i="25"/>
  <c r="S52" i="26"/>
  <c r="S10" i="33"/>
  <c r="S57" i="26"/>
  <c r="S15" i="2"/>
  <c r="S33" i="27"/>
  <c r="S31" i="28"/>
  <c r="S26" i="27"/>
  <c r="S47" i="25"/>
  <c r="S19" i="27"/>
  <c r="S37" i="25"/>
  <c r="P60" i="26"/>
  <c r="N16" i="28"/>
  <c r="N29" i="28"/>
  <c r="S53" i="27"/>
  <c r="O53" i="20"/>
  <c r="T22" i="28"/>
  <c r="S16" i="2"/>
  <c r="T35" i="2"/>
  <c r="S15" i="27"/>
  <c r="S26" i="28"/>
  <c r="S23" i="33"/>
  <c r="S11" i="33"/>
  <c r="S55" i="25"/>
  <c r="S39" i="26"/>
  <c r="S22" i="27"/>
  <c r="S12" i="30"/>
  <c r="S59" i="25"/>
  <c r="S44" i="2"/>
  <c r="S48" i="27"/>
  <c r="S53" i="28"/>
  <c r="S20" i="27"/>
  <c r="S60" i="26"/>
  <c r="S25" i="26"/>
  <c r="R27" i="25"/>
  <c r="T27" i="20"/>
  <c r="S14" i="27"/>
  <c r="S15" i="28"/>
  <c r="S35" i="2"/>
  <c r="S18" i="2"/>
  <c r="S59" i="26"/>
  <c r="S13" i="23"/>
  <c r="S13" i="26"/>
  <c r="S24" i="33"/>
  <c r="S20" i="28"/>
  <c r="S49" i="27"/>
  <c r="P21" i="27"/>
  <c r="S13" i="33"/>
  <c r="S14" i="25"/>
  <c r="S31" i="25"/>
  <c r="S48" i="26"/>
  <c r="S52" i="28"/>
  <c r="S35" i="28"/>
  <c r="S22" i="28"/>
  <c r="S16" i="26"/>
  <c r="S35" i="25"/>
  <c r="S17" i="25"/>
  <c r="S16" i="27"/>
  <c r="S13" i="25"/>
  <c r="S39" i="25"/>
  <c r="S46" i="27"/>
  <c r="S29" i="27"/>
  <c r="S47" i="26"/>
  <c r="S16" i="28"/>
  <c r="S12" i="29"/>
  <c r="S16" i="25"/>
  <c r="P28" i="27"/>
  <c r="S40" i="26"/>
  <c r="S17" i="26"/>
  <c r="S31" i="33"/>
  <c r="S38" i="25"/>
  <c r="S17" i="33"/>
  <c r="S21" i="28"/>
  <c r="S53" i="25"/>
  <c r="P56" i="27"/>
  <c r="M17" i="21"/>
  <c r="N39" i="21" s="1"/>
  <c r="S56" i="27"/>
  <c r="S33" i="28"/>
  <c r="S49" i="28"/>
  <c r="S48" i="2"/>
  <c r="S11" i="25"/>
  <c r="S36" i="25"/>
  <c r="S43" i="27"/>
  <c r="Q35" i="2"/>
  <c r="R27" i="21"/>
  <c r="S41" i="21" s="1"/>
  <c r="P22" i="23"/>
  <c r="P33" i="33"/>
  <c r="T11" i="21"/>
  <c r="S51" i="25"/>
  <c r="S54" i="27"/>
  <c r="S43" i="25"/>
  <c r="S62" i="26"/>
  <c r="S36" i="28"/>
  <c r="S47" i="27"/>
  <c r="S42" i="26"/>
  <c r="S32" i="28"/>
  <c r="S44" i="27"/>
  <c r="N14" i="26"/>
  <c r="S46" i="28"/>
  <c r="S25" i="33"/>
  <c r="S19" i="26"/>
  <c r="S14" i="29"/>
  <c r="S40" i="27"/>
  <c r="S29" i="33"/>
  <c r="S51" i="27"/>
  <c r="P15" i="25"/>
  <c r="P13" i="27"/>
  <c r="S52" i="27"/>
  <c r="S36" i="26"/>
  <c r="S27" i="28"/>
  <c r="S42" i="28"/>
  <c r="S28" i="27"/>
  <c r="S30" i="25"/>
  <c r="S45" i="2"/>
  <c r="S44" i="26"/>
  <c r="S25" i="25"/>
  <c r="S58" i="26"/>
  <c r="S50" i="27"/>
  <c r="S28" i="28"/>
  <c r="P10" i="30"/>
  <c r="P20" i="26"/>
  <c r="S14" i="26"/>
  <c r="S41" i="25"/>
  <c r="S39" i="2"/>
  <c r="S18" i="28"/>
  <c r="S48" i="28"/>
  <c r="S44" i="25"/>
  <c r="S33" i="26"/>
  <c r="S52" i="25"/>
  <c r="S11" i="30"/>
  <c r="S48" i="25"/>
  <c r="R27" i="2"/>
  <c r="R37" i="2" s="1"/>
  <c r="S30" i="27"/>
  <c r="S28" i="26"/>
  <c r="S58" i="25"/>
  <c r="S35" i="26"/>
  <c r="P54" i="27"/>
  <c r="S32" i="25"/>
  <c r="S53" i="26"/>
  <c r="S54" i="25"/>
  <c r="S33" i="2"/>
  <c r="S27" i="27"/>
  <c r="S38" i="27"/>
  <c r="S47" i="28"/>
  <c r="S14" i="33"/>
  <c r="S42" i="27"/>
  <c r="S42" i="25"/>
  <c r="S34" i="28"/>
  <c r="S10" i="29"/>
  <c r="S30" i="28"/>
  <c r="N31" i="33"/>
  <c r="P39" i="2"/>
  <c r="P41" i="28"/>
  <c r="N53" i="28"/>
  <c r="S19" i="28"/>
  <c r="N33" i="27"/>
  <c r="N32" i="28"/>
  <c r="S13" i="27"/>
  <c r="S43" i="28"/>
  <c r="S46" i="26"/>
  <c r="R31" i="20"/>
  <c r="S39" i="20" s="1"/>
  <c r="S15" i="26"/>
  <c r="S56" i="28"/>
  <c r="S15" i="33"/>
  <c r="Q21" i="26"/>
  <c r="P41" i="27"/>
  <c r="P63" i="26"/>
  <c r="P36" i="26"/>
  <c r="P36" i="28"/>
  <c r="P61" i="25"/>
  <c r="P55" i="25"/>
  <c r="P50" i="28"/>
  <c r="P22" i="27"/>
  <c r="P25" i="26"/>
  <c r="P42" i="27"/>
  <c r="P53" i="28"/>
  <c r="P27" i="27"/>
  <c r="P13" i="30"/>
  <c r="P47" i="2"/>
  <c r="P30" i="2"/>
  <c r="P18" i="26"/>
  <c r="P45" i="25"/>
  <c r="Q44" i="20"/>
  <c r="T54" i="21"/>
  <c r="R58" i="21"/>
  <c r="R63" i="21" s="1"/>
  <c r="R106" i="21" s="1"/>
  <c r="M48" i="20"/>
  <c r="Q48" i="20" s="1"/>
  <c r="P17" i="2"/>
  <c r="P11" i="30"/>
  <c r="P18" i="2"/>
  <c r="P41" i="25"/>
  <c r="P31" i="2"/>
  <c r="P21" i="26"/>
  <c r="Q11" i="2"/>
  <c r="M13" i="2"/>
  <c r="T13" i="2" s="1"/>
  <c r="T11" i="2"/>
  <c r="T21" i="26"/>
  <c r="P17" i="29"/>
  <c r="P46" i="28"/>
  <c r="P14" i="29"/>
  <c r="P15" i="29"/>
  <c r="N19" i="2"/>
  <c r="N18" i="26"/>
  <c r="N34" i="28"/>
  <c r="N25" i="33"/>
  <c r="N47" i="28"/>
  <c r="N50" i="28"/>
  <c r="N48" i="27"/>
  <c r="N62" i="26"/>
  <c r="N29" i="27"/>
  <c r="N34" i="26"/>
  <c r="N36" i="27"/>
  <c r="N25" i="2"/>
  <c r="N43" i="27"/>
  <c r="N19" i="33"/>
  <c r="N12" i="29"/>
  <c r="N15" i="27"/>
  <c r="N16" i="26"/>
  <c r="N20" i="26"/>
  <c r="N63" i="26"/>
  <c r="N56" i="27"/>
  <c r="N46" i="26"/>
  <c r="N11" i="29"/>
  <c r="N23" i="33"/>
  <c r="N19" i="28"/>
  <c r="N52" i="2"/>
  <c r="N21" i="27"/>
  <c r="N13" i="27"/>
  <c r="N35" i="26"/>
  <c r="N34" i="27"/>
  <c r="N33" i="33"/>
  <c r="N47" i="2"/>
  <c r="N28" i="26"/>
  <c r="N14" i="28"/>
  <c r="N13" i="29"/>
  <c r="N26" i="27"/>
  <c r="N33" i="28"/>
  <c r="N35" i="2"/>
  <c r="N39" i="26"/>
  <c r="N11" i="26"/>
  <c r="N30" i="27"/>
  <c r="N20" i="33"/>
  <c r="N44" i="28"/>
  <c r="N37" i="28"/>
  <c r="N15" i="2"/>
  <c r="N47" i="26"/>
  <c r="N14" i="29"/>
  <c r="N66" i="26"/>
  <c r="N30" i="33"/>
  <c r="N41" i="26"/>
  <c r="O24" i="23"/>
  <c r="P13" i="23"/>
  <c r="P17" i="23"/>
  <c r="P18" i="23"/>
  <c r="P20" i="23"/>
  <c r="P14" i="23"/>
  <c r="P15" i="23"/>
  <c r="P21" i="23"/>
  <c r="S14" i="23"/>
  <c r="S11" i="23"/>
  <c r="S12" i="23"/>
  <c r="S20" i="23"/>
  <c r="S16" i="23"/>
  <c r="S15" i="23"/>
  <c r="S19" i="23"/>
  <c r="S10" i="23"/>
  <c r="P44" i="26"/>
  <c r="P11" i="23"/>
  <c r="P37" i="28"/>
  <c r="P14" i="28"/>
  <c r="P13" i="26"/>
  <c r="P18" i="25"/>
  <c r="P35" i="26"/>
  <c r="P35" i="27"/>
  <c r="P42" i="26"/>
  <c r="N50" i="27"/>
  <c r="N11" i="27"/>
  <c r="N58" i="26"/>
  <c r="P55" i="28"/>
  <c r="N51" i="28"/>
  <c r="P10" i="23"/>
  <c r="S18" i="23"/>
  <c r="P45" i="26"/>
  <c r="P34" i="26"/>
  <c r="R24" i="23"/>
  <c r="P50" i="25"/>
  <c r="P12" i="23"/>
  <c r="P52" i="26"/>
  <c r="P45" i="2"/>
  <c r="P46" i="27"/>
  <c r="P19" i="2"/>
  <c r="P44" i="28"/>
  <c r="P49" i="27"/>
  <c r="P33" i="25"/>
  <c r="N33" i="26"/>
  <c r="N27" i="27"/>
  <c r="N61" i="26"/>
  <c r="P34" i="28"/>
  <c r="P37" i="26"/>
  <c r="P43" i="28"/>
  <c r="P48" i="25"/>
  <c r="P55" i="27"/>
  <c r="P14" i="25"/>
  <c r="P21" i="28"/>
  <c r="P40" i="27"/>
  <c r="P15" i="26"/>
  <c r="P19" i="27"/>
  <c r="P52" i="27"/>
  <c r="P29" i="33"/>
  <c r="P13" i="25"/>
  <c r="P38" i="26"/>
  <c r="P53" i="26"/>
  <c r="P26" i="28"/>
  <c r="P44" i="27"/>
  <c r="P52" i="25"/>
  <c r="P65" i="26"/>
  <c r="P46" i="2"/>
  <c r="P37" i="27"/>
  <c r="P11" i="26"/>
  <c r="P51" i="28"/>
  <c r="P30" i="28"/>
  <c r="P66" i="26"/>
  <c r="P48" i="28"/>
  <c r="P46" i="25"/>
  <c r="P15" i="2"/>
  <c r="P32" i="28"/>
  <c r="P33" i="2"/>
  <c r="P32" i="27"/>
  <c r="P10" i="29"/>
  <c r="P29" i="28"/>
  <c r="P30" i="33"/>
  <c r="P59" i="26"/>
  <c r="P47" i="28"/>
  <c r="P60" i="25"/>
  <c r="P63" i="25"/>
  <c r="P38" i="27"/>
  <c r="P46" i="26"/>
  <c r="P33" i="26"/>
  <c r="P11" i="29"/>
  <c r="P51" i="25"/>
  <c r="P58" i="26"/>
  <c r="P26" i="33"/>
  <c r="P27" i="28"/>
  <c r="P38" i="28"/>
  <c r="P22" i="28"/>
  <c r="P28" i="26"/>
  <c r="P17" i="28"/>
  <c r="P16" i="25"/>
  <c r="P64" i="25"/>
  <c r="P19" i="26"/>
  <c r="P36" i="25"/>
  <c r="P12" i="30"/>
  <c r="P57" i="25"/>
  <c r="P33" i="27"/>
  <c r="P53" i="27"/>
  <c r="P20" i="28"/>
  <c r="P38" i="25"/>
  <c r="P35" i="25"/>
  <c r="P15" i="33"/>
  <c r="P44" i="2"/>
  <c r="P11" i="28"/>
  <c r="P47" i="27"/>
  <c r="P43" i="25"/>
  <c r="P61" i="26"/>
  <c r="P59" i="25"/>
  <c r="P39" i="27"/>
  <c r="P34" i="33"/>
  <c r="P54" i="25"/>
  <c r="P35" i="28"/>
  <c r="P48" i="27"/>
  <c r="P19" i="28"/>
  <c r="P14" i="27"/>
  <c r="P12" i="29"/>
  <c r="P34" i="25"/>
  <c r="P43" i="2"/>
  <c r="P26" i="25"/>
  <c r="P17" i="33"/>
  <c r="P32" i="33"/>
  <c r="P45" i="28"/>
  <c r="P31" i="25"/>
  <c r="P23" i="25"/>
  <c r="P13" i="29"/>
  <c r="P18" i="33"/>
  <c r="P32" i="2"/>
  <c r="P16" i="29"/>
  <c r="P17" i="25"/>
  <c r="P50" i="27"/>
  <c r="P20" i="27"/>
  <c r="P32" i="25"/>
  <c r="P49" i="28"/>
  <c r="P47" i="25"/>
  <c r="P25" i="25"/>
  <c r="P39" i="26"/>
  <c r="P14" i="26"/>
  <c r="P37" i="25"/>
  <c r="P11" i="25"/>
  <c r="P54" i="26"/>
  <c r="P49" i="25"/>
  <c r="P39" i="28"/>
  <c r="P26" i="26"/>
  <c r="P15" i="27"/>
  <c r="P62" i="25"/>
  <c r="Q19" i="2"/>
  <c r="P31" i="28"/>
  <c r="P30" i="26"/>
  <c r="P44" i="25"/>
  <c r="P57" i="26"/>
  <c r="P43" i="27"/>
  <c r="P55" i="26"/>
  <c r="P13" i="28"/>
  <c r="P34" i="2"/>
  <c r="P26" i="27"/>
  <c r="P39" i="25"/>
  <c r="P27" i="26"/>
  <c r="P16" i="2"/>
  <c r="P43" i="26"/>
  <c r="T44" i="20"/>
  <c r="P33" i="28"/>
  <c r="P54" i="28"/>
  <c r="P56" i="26"/>
  <c r="P40" i="28"/>
  <c r="N21" i="28"/>
  <c r="N16" i="2"/>
  <c r="P62" i="26"/>
  <c r="S22" i="23"/>
  <c r="T13" i="30"/>
  <c r="N13" i="28"/>
  <c r="P24" i="25"/>
  <c r="P40" i="25"/>
  <c r="P45" i="27"/>
  <c r="N57" i="26"/>
  <c r="N28" i="28"/>
  <c r="P17" i="27"/>
  <c r="S21" i="23"/>
  <c r="P47" i="26"/>
  <c r="P29" i="26"/>
  <c r="P31" i="33"/>
  <c r="P52" i="28"/>
  <c r="P29" i="27"/>
  <c r="T12" i="2"/>
  <c r="Q12" i="2"/>
  <c r="P28" i="28"/>
  <c r="P11" i="27"/>
  <c r="P40" i="26"/>
  <c r="P51" i="27"/>
  <c r="P20" i="33"/>
  <c r="M24" i="23"/>
  <c r="N11" i="23"/>
  <c r="N10" i="23"/>
  <c r="N16" i="23"/>
  <c r="N12" i="23"/>
  <c r="N21" i="23"/>
  <c r="N13" i="23"/>
  <c r="P16" i="23"/>
  <c r="P21" i="25"/>
  <c r="P16" i="26"/>
  <c r="P42" i="25"/>
  <c r="N55" i="28"/>
  <c r="P16" i="27"/>
  <c r="Q52" i="20"/>
  <c r="P30" i="27"/>
  <c r="P23" i="33"/>
  <c r="P20" i="25"/>
  <c r="P34" i="27"/>
  <c r="N64" i="26"/>
  <c r="Q13" i="30"/>
  <c r="P13" i="33"/>
  <c r="P35" i="2"/>
  <c r="P64" i="26"/>
  <c r="P56" i="25"/>
  <c r="P30" i="25"/>
  <c r="O27" i="2"/>
  <c r="O37" i="2" s="1"/>
  <c r="P12" i="27"/>
  <c r="P48" i="26"/>
  <c r="P31" i="27"/>
  <c r="N32" i="33"/>
  <c r="N48" i="28"/>
  <c r="N15" i="26"/>
  <c r="P14" i="33"/>
  <c r="P42" i="28"/>
  <c r="T17" i="20"/>
  <c r="O63" i="21"/>
  <c r="N16" i="22"/>
  <c r="T14" i="27"/>
  <c r="P48" i="2"/>
  <c r="R53" i="20"/>
  <c r="R86" i="20" s="1"/>
  <c r="N15" i="22"/>
  <c r="N14" i="22"/>
  <c r="S49" i="26"/>
  <c r="P25" i="2"/>
  <c r="Q41" i="21"/>
  <c r="N10" i="22"/>
  <c r="P12" i="22"/>
  <c r="P15" i="22"/>
  <c r="O13" i="2"/>
  <c r="P18" i="28"/>
  <c r="O27" i="21"/>
  <c r="P41" i="21" s="1"/>
  <c r="Q14" i="26"/>
  <c r="M17" i="26"/>
  <c r="M22" i="26" s="1"/>
  <c r="N14" i="27"/>
  <c r="N17" i="29"/>
  <c r="S57" i="27"/>
  <c r="S35" i="33"/>
  <c r="T33" i="21"/>
  <c r="T27" i="33"/>
  <c r="T30" i="26"/>
  <c r="T104" i="21"/>
  <c r="N12" i="22"/>
  <c r="N43" i="21"/>
  <c r="N30" i="26"/>
  <c r="Q14" i="27"/>
  <c r="N21" i="33"/>
  <c r="Q17" i="22"/>
  <c r="N31" i="28"/>
  <c r="O69" i="26"/>
  <c r="N44" i="27"/>
  <c r="N28" i="27"/>
  <c r="N17" i="28"/>
  <c r="N17" i="22"/>
  <c r="T52" i="20"/>
  <c r="N13" i="33"/>
  <c r="N19" i="27"/>
  <c r="N53" i="26"/>
  <c r="N52" i="27"/>
  <c r="N17" i="2"/>
  <c r="N53" i="27"/>
  <c r="N35" i="33"/>
  <c r="N42" i="26"/>
  <c r="N36" i="28"/>
  <c r="N65" i="26"/>
  <c r="N22" i="28"/>
  <c r="N38" i="28"/>
  <c r="N27" i="26"/>
  <c r="N43" i="28"/>
  <c r="N26" i="33"/>
  <c r="N45" i="27"/>
  <c r="N16" i="27"/>
  <c r="N29" i="26"/>
  <c r="N11" i="22"/>
  <c r="Q22" i="28"/>
  <c r="Q17" i="20"/>
  <c r="Q62" i="21"/>
  <c r="R18" i="27"/>
  <c r="S18" i="27" s="1"/>
  <c r="N35" i="28"/>
  <c r="N13" i="26"/>
  <c r="N30" i="28"/>
  <c r="N40" i="27"/>
  <c r="N20" i="28"/>
  <c r="N19" i="26"/>
  <c r="N40" i="26"/>
  <c r="N20" i="27"/>
  <c r="N33" i="2"/>
  <c r="N35" i="27"/>
  <c r="Q30" i="26"/>
  <c r="Q104" i="21"/>
  <c r="S21" i="33"/>
  <c r="P27" i="33"/>
  <c r="M18" i="27"/>
  <c r="T18" i="27" s="1"/>
  <c r="M69" i="26"/>
  <c r="S13" i="30"/>
  <c r="O37" i="22"/>
  <c r="O39" i="22" s="1"/>
  <c r="P39" i="22" s="1"/>
  <c r="P67" i="26"/>
  <c r="N11" i="30"/>
  <c r="N27" i="28"/>
  <c r="N54" i="28"/>
  <c r="N43" i="2"/>
  <c r="N18" i="33"/>
  <c r="N10" i="29"/>
  <c r="N44" i="26"/>
  <c r="N56" i="26"/>
  <c r="M37" i="33"/>
  <c r="N45" i="2"/>
  <c r="N13" i="22"/>
  <c r="T41" i="21"/>
  <c r="P49" i="26"/>
  <c r="N45" i="28"/>
  <c r="N26" i="28"/>
  <c r="N54" i="27"/>
  <c r="N11" i="28"/>
  <c r="N40" i="28"/>
  <c r="N54" i="26"/>
  <c r="N49" i="28"/>
  <c r="N52" i="26"/>
  <c r="N27" i="33"/>
  <c r="M31" i="20"/>
  <c r="N84" i="20" s="1"/>
  <c r="N19" i="23"/>
  <c r="M44" i="21"/>
  <c r="N11" i="33"/>
  <c r="N14" i="33"/>
  <c r="N16" i="29"/>
  <c r="N37" i="26"/>
  <c r="N22" i="27"/>
  <c r="R37" i="33"/>
  <c r="N42" i="28"/>
  <c r="N31" i="27"/>
  <c r="N48" i="26"/>
  <c r="Q25" i="2"/>
  <c r="N49" i="27"/>
  <c r="N46" i="28"/>
  <c r="N31" i="2"/>
  <c r="N60" i="26"/>
  <c r="N17" i="33"/>
  <c r="N17" i="27"/>
  <c r="N39" i="28"/>
  <c r="N15" i="29"/>
  <c r="N41" i="27"/>
  <c r="N52" i="28"/>
  <c r="N12" i="30"/>
  <c r="N47" i="27"/>
  <c r="N25" i="26"/>
  <c r="S65" i="25"/>
  <c r="N49" i="26"/>
  <c r="Q65" i="25"/>
  <c r="P65" i="25"/>
  <c r="T22" i="27"/>
  <c r="T22" i="23"/>
  <c r="S27" i="33"/>
  <c r="P15" i="28"/>
  <c r="Q22" i="23"/>
  <c r="P19" i="25"/>
  <c r="Q15" i="33"/>
  <c r="N15" i="33"/>
  <c r="N22" i="23"/>
  <c r="S17" i="29"/>
  <c r="Q84" i="20"/>
  <c r="Q49" i="26"/>
  <c r="T84" i="20"/>
  <c r="N15" i="28"/>
  <c r="S15" i="22"/>
  <c r="S13" i="22"/>
  <c r="T57" i="27"/>
  <c r="Q22" i="27"/>
  <c r="O37" i="33"/>
  <c r="S17" i="22"/>
  <c r="P27" i="22"/>
  <c r="T19" i="25"/>
  <c r="Q27" i="33"/>
  <c r="Q15" i="28"/>
  <c r="P57" i="27"/>
  <c r="T26" i="25"/>
  <c r="P21" i="33"/>
  <c r="T17" i="29"/>
  <c r="T21" i="33"/>
  <c r="Q54" i="21"/>
  <c r="S10" i="22"/>
  <c r="P56" i="28"/>
  <c r="S27" i="22"/>
  <c r="N14" i="23"/>
  <c r="Q27" i="20"/>
  <c r="Q21" i="33"/>
  <c r="Q17" i="29"/>
  <c r="Q35" i="33"/>
  <c r="T15" i="28"/>
  <c r="T49" i="26"/>
  <c r="N56" i="28"/>
  <c r="P35" i="33"/>
  <c r="R69" i="26"/>
  <c r="S19" i="25"/>
  <c r="S14" i="22"/>
  <c r="S12" i="22"/>
  <c r="Q57" i="27"/>
  <c r="T35" i="33"/>
  <c r="T56" i="28"/>
  <c r="T17" i="22"/>
  <c r="N27" i="22"/>
  <c r="N57" i="27"/>
  <c r="M37" i="22"/>
  <c r="S67" i="26"/>
  <c r="T67" i="26"/>
  <c r="Q27" i="22"/>
  <c r="T15" i="33"/>
  <c r="N18" i="23"/>
  <c r="R37" i="22"/>
  <c r="S37" i="22" s="1"/>
  <c r="Q56" i="28"/>
  <c r="Q19" i="21"/>
  <c r="T19" i="21"/>
  <c r="M25" i="21"/>
  <c r="T27" i="22"/>
  <c r="T65" i="25"/>
  <c r="Q67" i="26"/>
  <c r="N46" i="2"/>
  <c r="T25" i="2"/>
  <c r="Q48" i="2"/>
  <c r="M27" i="2"/>
  <c r="N30" i="2"/>
  <c r="N48" i="2"/>
  <c r="T19" i="2"/>
  <c r="N18" i="2"/>
  <c r="N10" i="33"/>
  <c r="Q19" i="25"/>
  <c r="R23" i="28"/>
  <c r="M23" i="28"/>
  <c r="Q18" i="28"/>
  <c r="T18" i="28"/>
  <c r="N18" i="28"/>
  <c r="O23" i="28"/>
  <c r="O23" i="27"/>
  <c r="P18" i="27"/>
  <c r="O22" i="26"/>
  <c r="P17" i="26"/>
  <c r="Q22" i="25"/>
  <c r="T22" i="25"/>
  <c r="M27" i="25"/>
  <c r="S22" i="26"/>
  <c r="M63" i="21"/>
  <c r="Q58" i="21"/>
  <c r="I40" i="2"/>
  <c r="I50" i="2" s="1"/>
  <c r="Q27" i="2" l="1"/>
  <c r="O67" i="25"/>
  <c r="P16" i="20"/>
  <c r="P27" i="25"/>
  <c r="S48" i="20"/>
  <c r="S73" i="20"/>
  <c r="Q52" i="2"/>
  <c r="T52" i="2"/>
  <c r="O86" i="20"/>
  <c r="P46" i="20"/>
  <c r="P26" i="20"/>
  <c r="P61" i="20"/>
  <c r="P41" i="20"/>
  <c r="P83" i="20"/>
  <c r="S30" i="20"/>
  <c r="S17" i="20"/>
  <c r="S79" i="20"/>
  <c r="S68" i="20"/>
  <c r="S29" i="20"/>
  <c r="S13" i="20"/>
  <c r="S12" i="20"/>
  <c r="S60" i="20"/>
  <c r="N27" i="20"/>
  <c r="S25" i="20"/>
  <c r="S64" i="20"/>
  <c r="S57" i="20"/>
  <c r="S24" i="20"/>
  <c r="S83" i="20"/>
  <c r="S15" i="20"/>
  <c r="S84" i="20"/>
  <c r="P69" i="26"/>
  <c r="S81" i="20"/>
  <c r="P11" i="20"/>
  <c r="S61" i="20"/>
  <c r="S51" i="20"/>
  <c r="S44" i="20"/>
  <c r="P24" i="20"/>
  <c r="S37" i="20"/>
  <c r="S41" i="20"/>
  <c r="P49" i="20"/>
  <c r="S36" i="20"/>
  <c r="S65" i="20"/>
  <c r="S31" i="20"/>
  <c r="O106" i="21"/>
  <c r="S28" i="20"/>
  <c r="T17" i="21"/>
  <c r="P82" i="20"/>
  <c r="S42" i="20"/>
  <c r="S11" i="20"/>
  <c r="S27" i="25"/>
  <c r="S27" i="2"/>
  <c r="P14" i="20"/>
  <c r="S24" i="23"/>
  <c r="P78" i="20"/>
  <c r="P74" i="20"/>
  <c r="P63" i="20"/>
  <c r="P76" i="20"/>
  <c r="P50" i="20"/>
  <c r="P29" i="20"/>
  <c r="P67" i="20"/>
  <c r="P59" i="20"/>
  <c r="P36" i="20"/>
  <c r="P48" i="20"/>
  <c r="P22" i="20"/>
  <c r="P39" i="20"/>
  <c r="P13" i="20"/>
  <c r="P57" i="20"/>
  <c r="R35" i="21"/>
  <c r="S56" i="21" s="1"/>
  <c r="P44" i="20"/>
  <c r="P45" i="20"/>
  <c r="P27" i="20"/>
  <c r="P51" i="20"/>
  <c r="P66" i="20"/>
  <c r="P37" i="20"/>
  <c r="P71" i="20"/>
  <c r="P25" i="20"/>
  <c r="P68" i="20"/>
  <c r="P20" i="20"/>
  <c r="P58" i="20"/>
  <c r="P77" i="20"/>
  <c r="P80" i="20"/>
  <c r="P21" i="20"/>
  <c r="P35" i="20"/>
  <c r="P40" i="20"/>
  <c r="P53" i="20"/>
  <c r="P47" i="20"/>
  <c r="P28" i="20"/>
  <c r="P64" i="20"/>
  <c r="P17" i="20"/>
  <c r="P75" i="20"/>
  <c r="P69" i="20"/>
  <c r="P73" i="20"/>
  <c r="P42" i="20"/>
  <c r="P30" i="20"/>
  <c r="R67" i="25"/>
  <c r="P52" i="20"/>
  <c r="P62" i="20"/>
  <c r="P43" i="20"/>
  <c r="P56" i="20"/>
  <c r="P70" i="20"/>
  <c r="P60" i="20"/>
  <c r="P27" i="2"/>
  <c r="P23" i="20"/>
  <c r="P65" i="20"/>
  <c r="P15" i="20"/>
  <c r="P81" i="20"/>
  <c r="O40" i="2"/>
  <c r="P40" i="2" s="1"/>
  <c r="P84" i="20"/>
  <c r="P72" i="20"/>
  <c r="P31" i="20"/>
  <c r="P12" i="20"/>
  <c r="N24" i="23"/>
  <c r="T24" i="23"/>
  <c r="P37" i="22"/>
  <c r="S72" i="20"/>
  <c r="S53" i="20"/>
  <c r="S50" i="20"/>
  <c r="Q13" i="2"/>
  <c r="P37" i="2"/>
  <c r="S82" i="20"/>
  <c r="S78" i="20"/>
  <c r="S45" i="20"/>
  <c r="S62" i="20"/>
  <c r="S59" i="20"/>
  <c r="S35" i="20"/>
  <c r="S47" i="20"/>
  <c r="S43" i="20"/>
  <c r="S14" i="20"/>
  <c r="S26" i="20"/>
  <c r="S27" i="20"/>
  <c r="Q17" i="21"/>
  <c r="S77" i="20"/>
  <c r="N39" i="20"/>
  <c r="S70" i="20"/>
  <c r="S16" i="20"/>
  <c r="S22" i="20"/>
  <c r="S21" i="20"/>
  <c r="S52" i="20"/>
  <c r="O35" i="21"/>
  <c r="P24" i="23"/>
  <c r="N61" i="20"/>
  <c r="S67" i="20"/>
  <c r="S71" i="20"/>
  <c r="S74" i="20"/>
  <c r="S69" i="20"/>
  <c r="S23" i="20"/>
  <c r="S63" i="20"/>
  <c r="S46" i="20"/>
  <c r="S58" i="20"/>
  <c r="S20" i="20"/>
  <c r="S49" i="20"/>
  <c r="S75" i="20"/>
  <c r="Q24" i="23"/>
  <c r="S76" i="20"/>
  <c r="S40" i="20"/>
  <c r="S66" i="20"/>
  <c r="S80" i="20"/>
  <c r="S56" i="20"/>
  <c r="N69" i="26"/>
  <c r="M70" i="26"/>
  <c r="O70" i="26"/>
  <c r="P70" i="26" s="1"/>
  <c r="N45" i="20"/>
  <c r="N23" i="20"/>
  <c r="N82" i="20"/>
  <c r="N71" i="20"/>
  <c r="T58" i="21"/>
  <c r="Q17" i="26"/>
  <c r="M37" i="2"/>
  <c r="T48" i="20"/>
  <c r="N80" i="20"/>
  <c r="N69" i="20"/>
  <c r="M53" i="20"/>
  <c r="Q53" i="20" s="1"/>
  <c r="T17" i="26"/>
  <c r="N43" i="20"/>
  <c r="N78" i="20"/>
  <c r="N17" i="26"/>
  <c r="N46" i="20"/>
  <c r="O68" i="25"/>
  <c r="P68" i="25" s="1"/>
  <c r="N12" i="20"/>
  <c r="N26" i="20"/>
  <c r="N68" i="20"/>
  <c r="N21" i="20"/>
  <c r="N77" i="20"/>
  <c r="N24" i="20"/>
  <c r="N11" i="20"/>
  <c r="P67" i="25"/>
  <c r="Q18" i="27"/>
  <c r="N25" i="20"/>
  <c r="N72" i="20"/>
  <c r="N37" i="33"/>
  <c r="N27" i="2"/>
  <c r="R23" i="27"/>
  <c r="R59" i="27" s="1"/>
  <c r="T27" i="2"/>
  <c r="N40" i="20"/>
  <c r="N51" i="20"/>
  <c r="N64" i="20"/>
  <c r="N81" i="20"/>
  <c r="N83" i="20"/>
  <c r="N47" i="20"/>
  <c r="N44" i="20"/>
  <c r="N31" i="20"/>
  <c r="N66" i="20"/>
  <c r="N30" i="20"/>
  <c r="N65" i="20"/>
  <c r="N60" i="20"/>
  <c r="N36" i="20"/>
  <c r="Q37" i="33"/>
  <c r="T31" i="20"/>
  <c r="N58" i="20"/>
  <c r="N22" i="20"/>
  <c r="N67" i="20"/>
  <c r="N48" i="20"/>
  <c r="M23" i="27"/>
  <c r="N63" i="20"/>
  <c r="N28" i="20"/>
  <c r="Q44" i="21"/>
  <c r="N17" i="20"/>
  <c r="N73" i="20"/>
  <c r="N15" i="20"/>
  <c r="N42" i="20"/>
  <c r="N74" i="20"/>
  <c r="Q69" i="26"/>
  <c r="N75" i="20"/>
  <c r="N59" i="20"/>
  <c r="N16" i="20"/>
  <c r="N52" i="20"/>
  <c r="N56" i="20"/>
  <c r="N62" i="20"/>
  <c r="N13" i="20"/>
  <c r="N41" i="20"/>
  <c r="N70" i="20"/>
  <c r="N18" i="27"/>
  <c r="N14" i="20"/>
  <c r="N57" i="20"/>
  <c r="S37" i="33"/>
  <c r="T37" i="22"/>
  <c r="Q31" i="20"/>
  <c r="N20" i="20"/>
  <c r="N37" i="20"/>
  <c r="N49" i="20"/>
  <c r="N79" i="20"/>
  <c r="N35" i="20"/>
  <c r="N29" i="20"/>
  <c r="N76" i="20"/>
  <c r="N50" i="20"/>
  <c r="T44" i="21"/>
  <c r="R39" i="22"/>
  <c r="S39" i="22" s="1"/>
  <c r="T37" i="33"/>
  <c r="P37" i="33"/>
  <c r="N37" i="22"/>
  <c r="T25" i="21"/>
  <c r="Q25" i="21"/>
  <c r="N40" i="21"/>
  <c r="M27" i="21"/>
  <c r="Q37" i="22"/>
  <c r="S69" i="26"/>
  <c r="R70" i="26"/>
  <c r="S70" i="26" s="1"/>
  <c r="O58" i="28"/>
  <c r="M39" i="22"/>
  <c r="T69" i="26"/>
  <c r="R87" i="20"/>
  <c r="S87" i="20" s="1"/>
  <c r="R58" i="28"/>
  <c r="P23" i="28"/>
  <c r="S86" i="20"/>
  <c r="O59" i="27"/>
  <c r="P23" i="27"/>
  <c r="N23" i="28"/>
  <c r="T23" i="28"/>
  <c r="Q23" i="28"/>
  <c r="M58" i="28"/>
  <c r="S23" i="28"/>
  <c r="R40" i="2"/>
  <c r="S37" i="2"/>
  <c r="T27" i="25"/>
  <c r="Q27" i="25"/>
  <c r="M67" i="25"/>
  <c r="T63" i="21"/>
  <c r="Q63" i="21"/>
  <c r="M106" i="21"/>
  <c r="N22" i="26"/>
  <c r="Q22" i="26"/>
  <c r="T22" i="26"/>
  <c r="P22" i="26"/>
  <c r="I53" i="2"/>
  <c r="S90" i="21" l="1"/>
  <c r="O87" i="20"/>
  <c r="P87" i="20" s="1"/>
  <c r="P86" i="20"/>
  <c r="S106" i="21"/>
  <c r="S63" i="21"/>
  <c r="S100" i="21"/>
  <c r="S82" i="21"/>
  <c r="S21" i="21"/>
  <c r="S101" i="21"/>
  <c r="S74" i="21"/>
  <c r="S44" i="21"/>
  <c r="S61" i="21"/>
  <c r="P97" i="21"/>
  <c r="P72" i="21"/>
  <c r="S24" i="21"/>
  <c r="S31" i="21"/>
  <c r="S89" i="21"/>
  <c r="S96" i="21"/>
  <c r="O50" i="2"/>
  <c r="P25" i="21"/>
  <c r="P71" i="21"/>
  <c r="P23" i="21"/>
  <c r="P17" i="21"/>
  <c r="P79" i="21"/>
  <c r="P94" i="21"/>
  <c r="Q70" i="26"/>
  <c r="P62" i="21"/>
  <c r="P90" i="21"/>
  <c r="P100" i="21"/>
  <c r="S67" i="21"/>
  <c r="S25" i="21"/>
  <c r="S11" i="21"/>
  <c r="P87" i="21"/>
  <c r="P14" i="21"/>
  <c r="S88" i="21"/>
  <c r="S78" i="21"/>
  <c r="S15" i="21"/>
  <c r="P83" i="21"/>
  <c r="P26" i="21"/>
  <c r="S58" i="21"/>
  <c r="S93" i="21"/>
  <c r="S52" i="21"/>
  <c r="P22" i="21"/>
  <c r="P93" i="21"/>
  <c r="S62" i="21"/>
  <c r="S68" i="21"/>
  <c r="S59" i="21"/>
  <c r="S103" i="21"/>
  <c r="S85" i="21"/>
  <c r="P30" i="21"/>
  <c r="S76" i="21"/>
  <c r="S97" i="21"/>
  <c r="S50" i="21"/>
  <c r="S81" i="21"/>
  <c r="S70" i="21"/>
  <c r="S14" i="21"/>
  <c r="S30" i="21"/>
  <c r="S55" i="21"/>
  <c r="S32" i="21"/>
  <c r="S92" i="21"/>
  <c r="P76" i="21"/>
  <c r="P13" i="21"/>
  <c r="S95" i="21"/>
  <c r="S87" i="21"/>
  <c r="S16" i="21"/>
  <c r="S99" i="21"/>
  <c r="S22" i="21"/>
  <c r="S77" i="21"/>
  <c r="S86" i="21"/>
  <c r="P80" i="21"/>
  <c r="P16" i="21"/>
  <c r="P89" i="21"/>
  <c r="S19" i="21"/>
  <c r="S29" i="21"/>
  <c r="S57" i="21"/>
  <c r="P99" i="21"/>
  <c r="P59" i="21"/>
  <c r="P15" i="21"/>
  <c r="P74" i="21"/>
  <c r="S94" i="21"/>
  <c r="S98" i="21"/>
  <c r="S17" i="21"/>
  <c r="S20" i="21"/>
  <c r="O46" i="21"/>
  <c r="P46" i="21" s="1"/>
  <c r="N70" i="26"/>
  <c r="P35" i="21"/>
  <c r="T39" i="22"/>
  <c r="P67" i="21"/>
  <c r="P31" i="21"/>
  <c r="P53" i="21"/>
  <c r="P86" i="21"/>
  <c r="P24" i="21"/>
  <c r="S91" i="21"/>
  <c r="S13" i="21"/>
  <c r="S79" i="21"/>
  <c r="S60" i="21"/>
  <c r="S73" i="21"/>
  <c r="S67" i="25"/>
  <c r="S53" i="21"/>
  <c r="P88" i="21"/>
  <c r="P106" i="21"/>
  <c r="P56" i="21"/>
  <c r="P75" i="21"/>
  <c r="S33" i="21"/>
  <c r="S71" i="21"/>
  <c r="S35" i="21"/>
  <c r="P91" i="21"/>
  <c r="P58" i="21"/>
  <c r="P95" i="21"/>
  <c r="P32" i="21"/>
  <c r="P77" i="21"/>
  <c r="P20" i="21"/>
  <c r="P44" i="21"/>
  <c r="S12" i="21"/>
  <c r="S72" i="21"/>
  <c r="S66" i="21"/>
  <c r="S26" i="21"/>
  <c r="N53" i="20"/>
  <c r="R68" i="25"/>
  <c r="S68" i="25" s="1"/>
  <c r="R46" i="21"/>
  <c r="S46" i="21" s="1"/>
  <c r="P55" i="21"/>
  <c r="P70" i="21"/>
  <c r="P12" i="21"/>
  <c r="P96" i="21"/>
  <c r="P104" i="21"/>
  <c r="P63" i="21"/>
  <c r="P81" i="21"/>
  <c r="P98" i="21"/>
  <c r="S102" i="21"/>
  <c r="S80" i="21"/>
  <c r="S69" i="21"/>
  <c r="P33" i="21"/>
  <c r="P101" i="21"/>
  <c r="P57" i="21"/>
  <c r="P85" i="21"/>
  <c r="P82" i="21"/>
  <c r="S104" i="21"/>
  <c r="S83" i="21"/>
  <c r="S75" i="21"/>
  <c r="S84" i="21"/>
  <c r="S54" i="21"/>
  <c r="S23" i="21"/>
  <c r="S27" i="21"/>
  <c r="T37" i="2"/>
  <c r="P27" i="21"/>
  <c r="P19" i="21"/>
  <c r="P61" i="21"/>
  <c r="P103" i="21"/>
  <c r="P52" i="21"/>
  <c r="P69" i="21"/>
  <c r="P78" i="21"/>
  <c r="P66" i="21"/>
  <c r="P60" i="21"/>
  <c r="P29" i="21"/>
  <c r="P54" i="21"/>
  <c r="P102" i="21"/>
  <c r="P50" i="21"/>
  <c r="N23" i="27"/>
  <c r="P84" i="21"/>
  <c r="P92" i="21"/>
  <c r="P21" i="21"/>
  <c r="P11" i="21"/>
  <c r="P73" i="21"/>
  <c r="P68" i="21"/>
  <c r="S23" i="27"/>
  <c r="M59" i="27"/>
  <c r="M86" i="20"/>
  <c r="N86" i="20" s="1"/>
  <c r="T53" i="20"/>
  <c r="N37" i="2"/>
  <c r="Q37" i="2"/>
  <c r="M40" i="2"/>
  <c r="T40" i="2" s="1"/>
  <c r="Q23" i="27"/>
  <c r="T23" i="27"/>
  <c r="R60" i="27"/>
  <c r="S60" i="27" s="1"/>
  <c r="M35" i="21"/>
  <c r="N27" i="21" s="1"/>
  <c r="N41" i="21"/>
  <c r="Q27" i="21"/>
  <c r="T27" i="21"/>
  <c r="Q39" i="22"/>
  <c r="N39" i="22"/>
  <c r="P58" i="28"/>
  <c r="O59" i="28"/>
  <c r="P59" i="28" s="1"/>
  <c r="T70" i="26"/>
  <c r="S59" i="27"/>
  <c r="R59" i="28"/>
  <c r="S59" i="28" s="1"/>
  <c r="S58" i="28"/>
  <c r="P59" i="27"/>
  <c r="O60" i="27"/>
  <c r="P60" i="27" s="1"/>
  <c r="R50" i="2"/>
  <c r="S40" i="2"/>
  <c r="Q58" i="28"/>
  <c r="T58" i="28"/>
  <c r="M59" i="28"/>
  <c r="N58" i="28"/>
  <c r="Q67" i="25"/>
  <c r="T67" i="25"/>
  <c r="M68" i="25"/>
  <c r="T106" i="21"/>
  <c r="Q106" i="21"/>
  <c r="O107" i="21" l="1"/>
  <c r="P107" i="21" s="1"/>
  <c r="P50" i="2"/>
  <c r="O53" i="2"/>
  <c r="P53" i="2" s="1"/>
  <c r="N40" i="2"/>
  <c r="R107" i="21"/>
  <c r="S107" i="21" s="1"/>
  <c r="Q86" i="20"/>
  <c r="M50" i="2"/>
  <c r="Q59" i="27"/>
  <c r="M60" i="27"/>
  <c r="Q60" i="27" s="1"/>
  <c r="Q40" i="2"/>
  <c r="N59" i="27"/>
  <c r="T59" i="27"/>
  <c r="M87" i="20"/>
  <c r="Q87" i="20" s="1"/>
  <c r="T86" i="20"/>
  <c r="N44" i="21"/>
  <c r="N73" i="21"/>
  <c r="N85" i="21"/>
  <c r="N32" i="21"/>
  <c r="N91" i="21"/>
  <c r="N33" i="21"/>
  <c r="N35" i="21"/>
  <c r="N94" i="21"/>
  <c r="N80" i="21"/>
  <c r="N56" i="21"/>
  <c r="N30" i="21"/>
  <c r="N61" i="21"/>
  <c r="N29" i="21"/>
  <c r="N19" i="21"/>
  <c r="N52" i="21"/>
  <c r="N68" i="21"/>
  <c r="N60" i="21"/>
  <c r="N101" i="21"/>
  <c r="N97" i="21"/>
  <c r="N100" i="21"/>
  <c r="N78" i="21"/>
  <c r="N67" i="21"/>
  <c r="N15" i="21"/>
  <c r="N90" i="21"/>
  <c r="N79" i="21"/>
  <c r="N104" i="21"/>
  <c r="N71" i="21"/>
  <c r="N75" i="21"/>
  <c r="N16" i="21"/>
  <c r="N89" i="21"/>
  <c r="N59" i="21"/>
  <c r="N81" i="21"/>
  <c r="N62" i="21"/>
  <c r="N50" i="21"/>
  <c r="N99" i="21"/>
  <c r="N74" i="21"/>
  <c r="N102" i="21"/>
  <c r="N53" i="21"/>
  <c r="N58" i="21"/>
  <c r="N20" i="21"/>
  <c r="N12" i="21"/>
  <c r="N22" i="21"/>
  <c r="N86" i="21"/>
  <c r="N77" i="21"/>
  <c r="N83" i="21"/>
  <c r="N23" i="21"/>
  <c r="N11" i="21"/>
  <c r="N21" i="21"/>
  <c r="N25" i="21"/>
  <c r="N72" i="21"/>
  <c r="N55" i="21"/>
  <c r="N14" i="21"/>
  <c r="N88" i="21"/>
  <c r="N31" i="21"/>
  <c r="N98" i="21"/>
  <c r="N57" i="21"/>
  <c r="N54" i="21"/>
  <c r="N26" i="21"/>
  <c r="N96" i="21"/>
  <c r="N13" i="21"/>
  <c r="N87" i="21"/>
  <c r="N66" i="21"/>
  <c r="N92" i="21"/>
  <c r="N24" i="21"/>
  <c r="N95" i="21"/>
  <c r="N103" i="21"/>
  <c r="N70" i="21"/>
  <c r="N17" i="21"/>
  <c r="N93" i="21"/>
  <c r="N69" i="21"/>
  <c r="N84" i="21"/>
  <c r="N82" i="21"/>
  <c r="N76" i="21"/>
  <c r="M46" i="21"/>
  <c r="N63" i="21"/>
  <c r="T35" i="21"/>
  <c r="Q35" i="21"/>
  <c r="N106" i="21"/>
  <c r="R53" i="2"/>
  <c r="S50" i="2"/>
  <c r="N59" i="28"/>
  <c r="T59" i="28"/>
  <c r="Q59" i="28"/>
  <c r="T68" i="25"/>
  <c r="Q68" i="25"/>
  <c r="M53" i="2" l="1"/>
  <c r="T50" i="2"/>
  <c r="T60" i="27"/>
  <c r="Q50" i="2"/>
  <c r="N50" i="2"/>
  <c r="T87" i="20"/>
  <c r="N87" i="20"/>
  <c r="N60" i="27"/>
  <c r="N46" i="21"/>
  <c r="T46" i="21"/>
  <c r="Q46" i="21"/>
  <c r="M107" i="21"/>
  <c r="S53" i="2"/>
  <c r="T53" i="2" l="1"/>
  <c r="Q53" i="2"/>
  <c r="N53" i="2"/>
  <c r="T107" i="21"/>
  <c r="N107" i="21"/>
  <c r="Q107" i="21"/>
  <c r="F19" i="2"/>
  <c r="F52" i="2" s="1"/>
  <c r="F35" i="2" l="1"/>
  <c r="F25" i="2"/>
  <c r="F27" i="2" s="1"/>
  <c r="F11" i="2"/>
  <c r="F12" i="2"/>
  <c r="F48" i="2"/>
  <c r="F37" i="2" l="1"/>
  <c r="F13" i="2"/>
  <c r="F40" i="2" l="1"/>
  <c r="F50" i="2" s="1"/>
  <c r="F53" i="2" l="1"/>
  <c r="H18" i="2" l="1"/>
  <c r="K17" i="2"/>
  <c r="D25" i="2" l="1"/>
  <c r="D11" i="2"/>
  <c r="E24" i="2"/>
  <c r="D12" i="2"/>
  <c r="D35" i="2"/>
  <c r="D19" i="2"/>
  <c r="D52" i="2" s="1"/>
  <c r="D48" i="2"/>
  <c r="C3" i="33"/>
  <c r="C2" i="33"/>
  <c r="D27" i="2" l="1"/>
  <c r="D37" i="2" s="1"/>
  <c r="N15" i="25"/>
  <c r="N54" i="25"/>
  <c r="N23" i="25"/>
  <c r="N59" i="25"/>
  <c r="N38" i="25"/>
  <c r="N44" i="25"/>
  <c r="N14" i="25"/>
  <c r="N16" i="25"/>
  <c r="N30" i="25"/>
  <c r="N56" i="25"/>
  <c r="N49" i="25"/>
  <c r="N37" i="25"/>
  <c r="N46" i="25"/>
  <c r="N17" i="25"/>
  <c r="N32" i="25"/>
  <c r="N63" i="25"/>
  <c r="N25" i="25"/>
  <c r="N62" i="25"/>
  <c r="N61" i="25"/>
  <c r="N53" i="25"/>
  <c r="N58" i="25"/>
  <c r="N48" i="25"/>
  <c r="E25" i="26"/>
  <c r="N41" i="25"/>
  <c r="N13" i="25"/>
  <c r="N20" i="25"/>
  <c r="N51" i="25"/>
  <c r="N40" i="25"/>
  <c r="N34" i="25"/>
  <c r="N36" i="25"/>
  <c r="N35" i="25"/>
  <c r="N26" i="25"/>
  <c r="N39" i="25"/>
  <c r="N64" i="25"/>
  <c r="N50" i="25"/>
  <c r="N11" i="25"/>
  <c r="N43" i="25"/>
  <c r="N18" i="25"/>
  <c r="N21" i="25"/>
  <c r="N47" i="25"/>
  <c r="N55" i="25"/>
  <c r="N52" i="25"/>
  <c r="N57" i="25"/>
  <c r="N45" i="25"/>
  <c r="N60" i="25"/>
  <c r="N31" i="25"/>
  <c r="N24" i="25"/>
  <c r="N42" i="25"/>
  <c r="N33" i="25"/>
  <c r="N19" i="25"/>
  <c r="N65" i="25"/>
  <c r="N22" i="25"/>
  <c r="N27" i="25"/>
  <c r="N67" i="25"/>
  <c r="N68" i="25"/>
  <c r="D13" i="2"/>
  <c r="C3" i="30"/>
  <c r="C2" i="30"/>
  <c r="C3" i="29"/>
  <c r="C2" i="29"/>
  <c r="C3" i="28"/>
  <c r="C2" i="28"/>
  <c r="D40" i="2" l="1"/>
  <c r="D50" i="2" s="1"/>
  <c r="C3" i="27"/>
  <c r="C2" i="27"/>
  <c r="D53" i="2" l="1"/>
  <c r="C3" i="26"/>
  <c r="C2" i="26"/>
  <c r="C3" i="25" l="1"/>
  <c r="C2" i="25"/>
  <c r="I19" i="25" l="1"/>
  <c r="I22" i="25" s="1"/>
  <c r="F17" i="26"/>
  <c r="F22" i="26" s="1"/>
  <c r="I17" i="21"/>
  <c r="J39" i="21" s="1"/>
  <c r="F17" i="21"/>
  <c r="G39" i="21" s="1"/>
  <c r="F25" i="21"/>
  <c r="I25" i="21"/>
  <c r="I15" i="28"/>
  <c r="F15" i="28"/>
  <c r="F54" i="21"/>
  <c r="I54" i="21"/>
  <c r="I11" i="33"/>
  <c r="I15" i="33"/>
  <c r="F15" i="33"/>
  <c r="I70" i="26"/>
  <c r="F70" i="26"/>
  <c r="K14" i="33"/>
  <c r="K32" i="33"/>
  <c r="K19" i="33"/>
  <c r="K26" i="33"/>
  <c r="I27" i="33"/>
  <c r="K25" i="33"/>
  <c r="K30" i="33"/>
  <c r="K33" i="33"/>
  <c r="K31" i="33"/>
  <c r="I21" i="33"/>
  <c r="K18" i="33"/>
  <c r="K20" i="33"/>
  <c r="K34" i="33"/>
  <c r="K24" i="33"/>
  <c r="I35" i="33"/>
  <c r="K10" i="33"/>
  <c r="F11" i="33"/>
  <c r="K23" i="33"/>
  <c r="F27" i="33"/>
  <c r="F21" i="33"/>
  <c r="K17" i="33"/>
  <c r="K13" i="33"/>
  <c r="F35" i="33"/>
  <c r="K29" i="33"/>
  <c r="F62" i="21"/>
  <c r="I41" i="21"/>
  <c r="I33" i="21"/>
  <c r="J43" i="21" s="1"/>
  <c r="F33" i="21"/>
  <c r="F104" i="21"/>
  <c r="F41" i="21"/>
  <c r="I62" i="21"/>
  <c r="I104" i="21"/>
  <c r="I22" i="28"/>
  <c r="F56" i="28"/>
  <c r="F13" i="30"/>
  <c r="I56" i="28"/>
  <c r="F22" i="27"/>
  <c r="I17" i="29"/>
  <c r="F14" i="27"/>
  <c r="I57" i="27"/>
  <c r="F22" i="28"/>
  <c r="I14" i="27"/>
  <c r="F57" i="27"/>
  <c r="I22" i="27"/>
  <c r="F17" i="29"/>
  <c r="I13" i="30"/>
  <c r="I65" i="25"/>
  <c r="I26" i="25"/>
  <c r="F19" i="25"/>
  <c r="F22" i="25" s="1"/>
  <c r="F26" i="25"/>
  <c r="F65" i="25"/>
  <c r="I22" i="23"/>
  <c r="F22" i="23"/>
  <c r="F24" i="23" l="1"/>
  <c r="I24" i="23"/>
  <c r="J15" i="23"/>
  <c r="J20" i="23"/>
  <c r="G10" i="23"/>
  <c r="G20" i="23"/>
  <c r="K35" i="33"/>
  <c r="K15" i="33"/>
  <c r="K27" i="33"/>
  <c r="I37" i="33"/>
  <c r="K21" i="33"/>
  <c r="K11" i="33"/>
  <c r="F37" i="33"/>
  <c r="G40" i="21"/>
  <c r="J40" i="21"/>
  <c r="G43" i="21"/>
  <c r="F44" i="21"/>
  <c r="I58" i="21"/>
  <c r="I63" i="21" s="1"/>
  <c r="F58" i="21"/>
  <c r="I44" i="21"/>
  <c r="I27" i="21"/>
  <c r="J41" i="21" s="1"/>
  <c r="F27" i="21"/>
  <c r="F35" i="21" s="1"/>
  <c r="F18" i="27"/>
  <c r="I18" i="28"/>
  <c r="I23" i="28" s="1"/>
  <c r="I18" i="27"/>
  <c r="F27" i="25"/>
  <c r="I27" i="25"/>
  <c r="J21" i="23"/>
  <c r="J22" i="23"/>
  <c r="J12" i="23"/>
  <c r="J14" i="23"/>
  <c r="J18" i="23"/>
  <c r="J11" i="23"/>
  <c r="J10" i="23"/>
  <c r="J16" i="23"/>
  <c r="J19" i="23"/>
  <c r="J17" i="23"/>
  <c r="J13" i="23"/>
  <c r="G14" i="23"/>
  <c r="G16" i="23"/>
  <c r="G15" i="23"/>
  <c r="G22" i="23"/>
  <c r="G18" i="23"/>
  <c r="G13" i="23"/>
  <c r="G21" i="23"/>
  <c r="G19" i="23"/>
  <c r="G11" i="23"/>
  <c r="G12" i="23"/>
  <c r="G17" i="23"/>
  <c r="C3" i="23"/>
  <c r="C2" i="23"/>
  <c r="C3" i="22"/>
  <c r="C2" i="22"/>
  <c r="C3" i="21"/>
  <c r="C2" i="21"/>
  <c r="G24" i="23" l="1"/>
  <c r="J24" i="23"/>
  <c r="G52" i="21"/>
  <c r="I106" i="21"/>
  <c r="I67" i="25"/>
  <c r="F67" i="25"/>
  <c r="K37" i="33"/>
  <c r="G104" i="21"/>
  <c r="G54" i="21"/>
  <c r="G33" i="21"/>
  <c r="G26" i="21"/>
  <c r="G62" i="21"/>
  <c r="G41" i="21"/>
  <c r="G44" i="21"/>
  <c r="G25" i="21"/>
  <c r="G17" i="21"/>
  <c r="G100" i="21"/>
  <c r="G93" i="21"/>
  <c r="G72" i="21"/>
  <c r="G32" i="21"/>
  <c r="G90" i="21"/>
  <c r="G60" i="21"/>
  <c r="G50" i="21"/>
  <c r="G81" i="21"/>
  <c r="G23" i="21"/>
  <c r="G94" i="21"/>
  <c r="G68" i="21"/>
  <c r="G15" i="21"/>
  <c r="G69" i="21"/>
  <c r="G31" i="21"/>
  <c r="G89" i="21"/>
  <c r="G12" i="21"/>
  <c r="G85" i="21"/>
  <c r="G96" i="21"/>
  <c r="G97" i="21"/>
  <c r="G55" i="21"/>
  <c r="G77" i="21"/>
  <c r="G13" i="21"/>
  <c r="G98" i="21"/>
  <c r="G95" i="21"/>
  <c r="G78" i="21"/>
  <c r="G67" i="21"/>
  <c r="G76" i="21"/>
  <c r="G99" i="21"/>
  <c r="G87" i="21"/>
  <c r="G88" i="21"/>
  <c r="G103" i="21"/>
  <c r="G80" i="21"/>
  <c r="G83" i="21"/>
  <c r="G53" i="21"/>
  <c r="G22" i="21"/>
  <c r="G61" i="21"/>
  <c r="G92" i="21"/>
  <c r="G20" i="21"/>
  <c r="G56" i="21"/>
  <c r="G91" i="21"/>
  <c r="G16" i="21"/>
  <c r="G71" i="21"/>
  <c r="G30" i="21"/>
  <c r="G79" i="21"/>
  <c r="G29" i="21"/>
  <c r="G19" i="21"/>
  <c r="G57" i="21"/>
  <c r="G70" i="21"/>
  <c r="G74" i="21"/>
  <c r="G11" i="21"/>
  <c r="G84" i="21"/>
  <c r="G14" i="21"/>
  <c r="G73" i="21"/>
  <c r="G102" i="21"/>
  <c r="G59" i="21"/>
  <c r="G66" i="21"/>
  <c r="G21" i="21"/>
  <c r="G75" i="21"/>
  <c r="G101" i="21"/>
  <c r="G24" i="21"/>
  <c r="G86" i="21"/>
  <c r="G82" i="21"/>
  <c r="I35" i="21"/>
  <c r="F63" i="21"/>
  <c r="G58" i="21"/>
  <c r="G27" i="21"/>
  <c r="F46" i="21"/>
  <c r="G35" i="21"/>
  <c r="I58" i="28"/>
  <c r="I23" i="27"/>
  <c r="F23" i="27"/>
  <c r="C3" i="20"/>
  <c r="C2" i="20"/>
  <c r="J52" i="21" l="1"/>
  <c r="I68" i="25"/>
  <c r="F106" i="21"/>
  <c r="F68" i="25"/>
  <c r="J26" i="21"/>
  <c r="J27" i="21"/>
  <c r="J84" i="21"/>
  <c r="J67" i="21"/>
  <c r="J102" i="21"/>
  <c r="J86" i="21"/>
  <c r="J97" i="21"/>
  <c r="J76" i="21"/>
  <c r="J82" i="21"/>
  <c r="J103" i="21"/>
  <c r="J77" i="21"/>
  <c r="J100" i="21"/>
  <c r="J98" i="21"/>
  <c r="J87" i="21"/>
  <c r="J16" i="21"/>
  <c r="J73" i="21"/>
  <c r="J92" i="21"/>
  <c r="J50" i="21"/>
  <c r="J94" i="21"/>
  <c r="J80" i="21"/>
  <c r="J15" i="21"/>
  <c r="J74" i="21"/>
  <c r="J13" i="21"/>
  <c r="J81" i="21"/>
  <c r="J60" i="21"/>
  <c r="J90" i="21"/>
  <c r="J56" i="21"/>
  <c r="J21" i="21"/>
  <c r="J71" i="21"/>
  <c r="J96" i="21"/>
  <c r="J75" i="21"/>
  <c r="J12" i="21"/>
  <c r="J70" i="21"/>
  <c r="J32" i="21"/>
  <c r="J83" i="21"/>
  <c r="J89" i="21"/>
  <c r="J78" i="21"/>
  <c r="J29" i="21"/>
  <c r="J59" i="21"/>
  <c r="J55" i="21"/>
  <c r="J85" i="21"/>
  <c r="J72" i="21"/>
  <c r="J91" i="21"/>
  <c r="J95" i="21"/>
  <c r="J61" i="21"/>
  <c r="J14" i="21"/>
  <c r="J53" i="21"/>
  <c r="J24" i="21"/>
  <c r="J31" i="21"/>
  <c r="J93" i="21"/>
  <c r="J57" i="21"/>
  <c r="J20" i="21"/>
  <c r="J11" i="21"/>
  <c r="J19" i="21"/>
  <c r="J30" i="21"/>
  <c r="J22" i="21"/>
  <c r="J88" i="21"/>
  <c r="J79" i="21"/>
  <c r="J99" i="21"/>
  <c r="J23" i="21"/>
  <c r="J66" i="21"/>
  <c r="J101" i="21"/>
  <c r="J69" i="21"/>
  <c r="J68" i="21"/>
  <c r="J104" i="21"/>
  <c r="J17" i="21"/>
  <c r="J33" i="21"/>
  <c r="J25" i="21"/>
  <c r="J62" i="21"/>
  <c r="J54" i="21"/>
  <c r="J106" i="21"/>
  <c r="J63" i="21"/>
  <c r="J44" i="21"/>
  <c r="G46" i="21"/>
  <c r="G63" i="21"/>
  <c r="J58" i="21"/>
  <c r="I46" i="21"/>
  <c r="J35" i="21"/>
  <c r="I59" i="27"/>
  <c r="F59" i="27"/>
  <c r="I59" i="28"/>
  <c r="F27" i="20" l="1"/>
  <c r="I27" i="20"/>
  <c r="F44" i="20"/>
  <c r="I44" i="20"/>
  <c r="F107" i="21"/>
  <c r="G107" i="21" s="1"/>
  <c r="I84" i="20"/>
  <c r="F84" i="20"/>
  <c r="G106" i="21"/>
  <c r="J46" i="21"/>
  <c r="I107" i="21"/>
  <c r="J107" i="21" s="1"/>
  <c r="I60" i="27"/>
  <c r="F60" i="27"/>
  <c r="J26" i="22"/>
  <c r="G23" i="2"/>
  <c r="G36" i="22"/>
  <c r="G21" i="22"/>
  <c r="G32" i="22"/>
  <c r="J22" i="22"/>
  <c r="G25" i="22"/>
  <c r="J24" i="22"/>
  <c r="G23" i="22"/>
  <c r="G24" i="22"/>
  <c r="G22" i="22"/>
  <c r="J25" i="22"/>
  <c r="J24" i="2"/>
  <c r="J23" i="2"/>
  <c r="J21" i="22"/>
  <c r="G26" i="22"/>
  <c r="J36" i="22"/>
  <c r="G24" i="2"/>
  <c r="G35" i="22"/>
  <c r="J23" i="22"/>
  <c r="G22" i="2"/>
  <c r="G20" i="22"/>
  <c r="F27" i="22"/>
  <c r="G34" i="22"/>
  <c r="F17" i="22"/>
  <c r="G30" i="22"/>
  <c r="I17" i="22"/>
  <c r="J30" i="22"/>
  <c r="J31" i="22"/>
  <c r="G33" i="22"/>
  <c r="I27" i="22"/>
  <c r="J20" i="22"/>
  <c r="G31" i="22"/>
  <c r="J22" i="2"/>
  <c r="J32" i="22"/>
  <c r="J33" i="22"/>
  <c r="I17" i="20"/>
  <c r="I52" i="20"/>
  <c r="F52" i="20"/>
  <c r="F17" i="20"/>
  <c r="I31" i="20" l="1"/>
  <c r="H32" i="25"/>
  <c r="K34" i="25"/>
  <c r="H15" i="20"/>
  <c r="K25" i="20"/>
  <c r="H13" i="20"/>
  <c r="K20" i="21"/>
  <c r="K26" i="21"/>
  <c r="H77" i="20"/>
  <c r="H45" i="20"/>
  <c r="K23" i="22"/>
  <c r="K11" i="25"/>
  <c r="K15" i="21"/>
  <c r="K23" i="21"/>
  <c r="H71" i="20"/>
  <c r="H31" i="21"/>
  <c r="H47" i="20"/>
  <c r="H78" i="20"/>
  <c r="H20" i="20"/>
  <c r="K28" i="20"/>
  <c r="K29" i="20"/>
  <c r="H11" i="20"/>
  <c r="K12" i="20"/>
  <c r="H62" i="20"/>
  <c r="K24" i="20"/>
  <c r="H86" i="21"/>
  <c r="H14" i="23"/>
  <c r="K79" i="20"/>
  <c r="K68" i="20"/>
  <c r="K51" i="20"/>
  <c r="K13" i="25"/>
  <c r="K43" i="20"/>
  <c r="K35" i="20"/>
  <c r="K39" i="20"/>
  <c r="K36" i="20"/>
  <c r="H50" i="20"/>
  <c r="K55" i="21"/>
  <c r="K66" i="26"/>
  <c r="H53" i="21"/>
  <c r="H55" i="27"/>
  <c r="H40" i="21"/>
  <c r="K30" i="20"/>
  <c r="H22" i="22"/>
  <c r="H80" i="20"/>
  <c r="K20" i="22"/>
  <c r="H59" i="20"/>
  <c r="H82" i="20"/>
  <c r="H57" i="20"/>
  <c r="K16" i="23"/>
  <c r="K81" i="20"/>
  <c r="K40" i="20"/>
  <c r="H14" i="25"/>
  <c r="H37" i="20"/>
  <c r="H69" i="20"/>
  <c r="K16" i="22"/>
  <c r="K12" i="21"/>
  <c r="K69" i="21"/>
  <c r="H100" i="21"/>
  <c r="H65" i="20"/>
  <c r="H26" i="22"/>
  <c r="K70" i="20"/>
  <c r="K33" i="28"/>
  <c r="K21" i="20"/>
  <c r="H13" i="23"/>
  <c r="K19" i="26"/>
  <c r="K102" i="21"/>
  <c r="H76" i="20"/>
  <c r="H32" i="21"/>
  <c r="K83" i="21"/>
  <c r="H63" i="20"/>
  <c r="K87" i="21"/>
  <c r="K10" i="23"/>
  <c r="K73" i="20"/>
  <c r="K60" i="20"/>
  <c r="K68" i="21"/>
  <c r="H10" i="22"/>
  <c r="K41" i="28"/>
  <c r="H24" i="22"/>
  <c r="K75" i="20"/>
  <c r="K74" i="20"/>
  <c r="H15" i="22"/>
  <c r="K64" i="26"/>
  <c r="H64" i="20"/>
  <c r="K16" i="25"/>
  <c r="H42" i="20"/>
  <c r="H34" i="27"/>
  <c r="K41" i="27"/>
  <c r="K11" i="29"/>
  <c r="K21" i="27"/>
  <c r="H81" i="21"/>
  <c r="H11" i="22"/>
  <c r="H67" i="20"/>
  <c r="H18" i="23"/>
  <c r="H83" i="20"/>
  <c r="K23" i="20"/>
  <c r="H50" i="28"/>
  <c r="H98" i="21"/>
  <c r="K57" i="21"/>
  <c r="H11" i="30"/>
  <c r="K13" i="22"/>
  <c r="H17" i="23"/>
  <c r="K72" i="20"/>
  <c r="H56" i="20"/>
  <c r="H21" i="22"/>
  <c r="K61" i="20"/>
  <c r="H19" i="27"/>
  <c r="H11" i="23"/>
  <c r="K33" i="27"/>
  <c r="K37" i="26"/>
  <c r="K51" i="28"/>
  <c r="H12" i="22"/>
  <c r="K36" i="26"/>
  <c r="H15" i="27"/>
  <c r="H16" i="21"/>
  <c r="K76" i="21"/>
  <c r="K26" i="27"/>
  <c r="H15" i="25"/>
  <c r="K18" i="25"/>
  <c r="K47" i="27"/>
  <c r="K12" i="23"/>
  <c r="K25" i="22"/>
  <c r="K11" i="26"/>
  <c r="K48" i="28"/>
  <c r="K58" i="26"/>
  <c r="H80" i="21"/>
  <c r="K13" i="26"/>
  <c r="K27" i="26"/>
  <c r="K21" i="23"/>
  <c r="K74" i="21"/>
  <c r="H84" i="21"/>
  <c r="K96" i="21"/>
  <c r="K82" i="21"/>
  <c r="K16" i="26"/>
  <c r="K24" i="21"/>
  <c r="H58" i="20"/>
  <c r="H103" i="21"/>
  <c r="K53" i="28"/>
  <c r="H15" i="23"/>
  <c r="K36" i="27"/>
  <c r="H66" i="21"/>
  <c r="K51" i="27"/>
  <c r="H92" i="21"/>
  <c r="H99" i="21"/>
  <c r="H16" i="20"/>
  <c r="K35" i="26"/>
  <c r="H26" i="20"/>
  <c r="K65" i="26"/>
  <c r="K54" i="26"/>
  <c r="K56" i="21"/>
  <c r="K40" i="28"/>
  <c r="H29" i="21"/>
  <c r="H10" i="30"/>
  <c r="H37" i="28"/>
  <c r="H39" i="27"/>
  <c r="K90" i="21"/>
  <c r="K53" i="25"/>
  <c r="K22" i="21"/>
  <c r="H14" i="22"/>
  <c r="H91" i="21"/>
  <c r="K26" i="28"/>
  <c r="K40" i="27"/>
  <c r="K52" i="27"/>
  <c r="H22" i="20"/>
  <c r="K16" i="29"/>
  <c r="K54" i="27"/>
  <c r="K29" i="27"/>
  <c r="H89" i="21"/>
  <c r="K52" i="28"/>
  <c r="K60" i="21"/>
  <c r="K101" i="21"/>
  <c r="H43" i="21"/>
  <c r="K32" i="28"/>
  <c r="H45" i="27"/>
  <c r="K31" i="27"/>
  <c r="H21" i="21"/>
  <c r="K59" i="26"/>
  <c r="K53" i="27"/>
  <c r="K60" i="26"/>
  <c r="K44" i="27"/>
  <c r="H78" i="21"/>
  <c r="H14" i="21"/>
  <c r="H32" i="27"/>
  <c r="K20" i="26"/>
  <c r="H56" i="27"/>
  <c r="H50" i="21"/>
  <c r="H15" i="29"/>
  <c r="H19" i="23"/>
  <c r="K33" i="26"/>
  <c r="H20" i="23"/>
  <c r="K26" i="26"/>
  <c r="K95" i="21"/>
  <c r="K30" i="27"/>
  <c r="K45" i="25"/>
  <c r="H85" i="21"/>
  <c r="H25" i="25"/>
  <c r="K13" i="27"/>
  <c r="K16" i="27"/>
  <c r="K41" i="26"/>
  <c r="K44" i="28"/>
  <c r="H48" i="25"/>
  <c r="H48" i="27"/>
  <c r="H28" i="27"/>
  <c r="K46" i="26"/>
  <c r="K48" i="26"/>
  <c r="H20" i="27"/>
  <c r="K18" i="26"/>
  <c r="K54" i="28"/>
  <c r="H72" i="21"/>
  <c r="K39" i="25"/>
  <c r="K59" i="21"/>
  <c r="K70" i="21"/>
  <c r="H71" i="21"/>
  <c r="H12" i="29"/>
  <c r="H32" i="33"/>
  <c r="K47" i="28"/>
  <c r="K55" i="28"/>
  <c r="H14" i="28"/>
  <c r="H93" i="21"/>
  <c r="K88" i="21"/>
  <c r="H50" i="27"/>
  <c r="H13" i="21"/>
  <c r="H75" i="21"/>
  <c r="H79" i="21"/>
  <c r="H97" i="21"/>
  <c r="H77" i="21"/>
  <c r="H17" i="33"/>
  <c r="H27" i="28"/>
  <c r="H41" i="25"/>
  <c r="K60" i="25"/>
  <c r="K39" i="26"/>
  <c r="K17" i="28"/>
  <c r="K34" i="26"/>
  <c r="H67" i="21"/>
  <c r="H47" i="25"/>
  <c r="H38" i="28"/>
  <c r="K45" i="28"/>
  <c r="H33" i="33"/>
  <c r="K59" i="25"/>
  <c r="H20" i="33"/>
  <c r="K35" i="28"/>
  <c r="H30" i="21"/>
  <c r="K58" i="25"/>
  <c r="H55" i="25"/>
  <c r="K47" i="26"/>
  <c r="K43" i="26"/>
  <c r="H34" i="33"/>
  <c r="K61" i="26"/>
  <c r="H64" i="25"/>
  <c r="K13" i="28"/>
  <c r="K21" i="28"/>
  <c r="K61" i="25"/>
  <c r="K40" i="25"/>
  <c r="K42" i="28"/>
  <c r="K30" i="25"/>
  <c r="K30" i="28"/>
  <c r="K53" i="26"/>
  <c r="K46" i="20"/>
  <c r="K94" i="21"/>
  <c r="K43" i="28"/>
  <c r="H49" i="27"/>
  <c r="K24" i="25"/>
  <c r="K56" i="25"/>
  <c r="K14" i="29"/>
  <c r="K52" i="26"/>
  <c r="K37" i="27"/>
  <c r="H63" i="25"/>
  <c r="K44" i="26"/>
  <c r="K54" i="25"/>
  <c r="K57" i="25"/>
  <c r="H19" i="33"/>
  <c r="K39" i="28"/>
  <c r="H31" i="33"/>
  <c r="K37" i="25"/>
  <c r="K17" i="25"/>
  <c r="K55" i="26"/>
  <c r="H46" i="27"/>
  <c r="K43" i="25"/>
  <c r="K29" i="26"/>
  <c r="H31" i="25"/>
  <c r="H23" i="33"/>
  <c r="K23" i="25"/>
  <c r="H42" i="25"/>
  <c r="K62" i="26"/>
  <c r="K50" i="25"/>
  <c r="K42" i="26"/>
  <c r="H29" i="33"/>
  <c r="K28" i="26"/>
  <c r="H46" i="25"/>
  <c r="K29" i="28"/>
  <c r="K16" i="28"/>
  <c r="K42" i="27"/>
  <c r="H24" i="33"/>
  <c r="H43" i="27"/>
  <c r="H49" i="25"/>
  <c r="H49" i="28"/>
  <c r="H44" i="25"/>
  <c r="H18" i="33"/>
  <c r="K15" i="26"/>
  <c r="K61" i="21"/>
  <c r="H20" i="25"/>
  <c r="K40" i="26"/>
  <c r="H31" i="28"/>
  <c r="K21" i="25"/>
  <c r="K10" i="29"/>
  <c r="H25" i="33"/>
  <c r="H52" i="25"/>
  <c r="H62" i="25"/>
  <c r="K38" i="27"/>
  <c r="H34" i="28"/>
  <c r="K38" i="25"/>
  <c r="K73" i="21"/>
  <c r="K27" i="27"/>
  <c r="H36" i="28"/>
  <c r="K36" i="25"/>
  <c r="H52" i="21"/>
  <c r="H14" i="33"/>
  <c r="K46" i="28"/>
  <c r="K56" i="26"/>
  <c r="K51" i="25"/>
  <c r="K63" i="26"/>
  <c r="K38" i="26"/>
  <c r="H35" i="25"/>
  <c r="K45" i="26"/>
  <c r="H33" i="25"/>
  <c r="H11" i="28"/>
  <c r="H20" i="28"/>
  <c r="K28" i="28"/>
  <c r="H13" i="29"/>
  <c r="H26" i="33"/>
  <c r="K17" i="27"/>
  <c r="K25" i="26"/>
  <c r="K35" i="27"/>
  <c r="H10" i="33"/>
  <c r="H12" i="30"/>
  <c r="H13" i="33"/>
  <c r="K57" i="26"/>
  <c r="H30" i="33"/>
  <c r="G32" i="25"/>
  <c r="G28" i="28"/>
  <c r="J32" i="25"/>
  <c r="J28" i="28"/>
  <c r="G17" i="25"/>
  <c r="G13" i="29"/>
  <c r="J17" i="25"/>
  <c r="J13" i="29"/>
  <c r="G49" i="27"/>
  <c r="G42" i="25"/>
  <c r="G60" i="25"/>
  <c r="G50" i="25"/>
  <c r="J49" i="27"/>
  <c r="J60" i="25"/>
  <c r="J42" i="25"/>
  <c r="J50" i="25"/>
  <c r="G61" i="25"/>
  <c r="G13" i="28"/>
  <c r="G16" i="27"/>
  <c r="J61" i="25"/>
  <c r="J13" i="28"/>
  <c r="J16" i="27"/>
  <c r="G10" i="33"/>
  <c r="G26" i="33"/>
  <c r="G14" i="33"/>
  <c r="G32" i="33"/>
  <c r="G23" i="33"/>
  <c r="G17" i="33"/>
  <c r="G33" i="33"/>
  <c r="G31" i="33"/>
  <c r="G30" i="33"/>
  <c r="G25" i="33"/>
  <c r="G18" i="33"/>
  <c r="G34" i="33"/>
  <c r="G19" i="33"/>
  <c r="G29" i="33"/>
  <c r="G20" i="33"/>
  <c r="G24" i="33"/>
  <c r="G13" i="33"/>
  <c r="G21" i="33"/>
  <c r="G15" i="33"/>
  <c r="G35" i="33"/>
  <c r="G11" i="33"/>
  <c r="G27" i="33"/>
  <c r="G37" i="33"/>
  <c r="J19" i="33"/>
  <c r="J30" i="33"/>
  <c r="J20" i="33"/>
  <c r="J10" i="33"/>
  <c r="J14" i="33"/>
  <c r="J29" i="33"/>
  <c r="J33" i="33"/>
  <c r="J24" i="33"/>
  <c r="J23" i="33"/>
  <c r="J34" i="33"/>
  <c r="J25" i="33"/>
  <c r="J18" i="33"/>
  <c r="J17" i="33"/>
  <c r="J32" i="33"/>
  <c r="J31" i="33"/>
  <c r="J13" i="33"/>
  <c r="J26" i="33"/>
  <c r="J15" i="33"/>
  <c r="J21" i="33"/>
  <c r="J27" i="33"/>
  <c r="J35" i="33"/>
  <c r="J11" i="33"/>
  <c r="J37" i="33"/>
  <c r="G10" i="22"/>
  <c r="J14" i="22"/>
  <c r="J35" i="22"/>
  <c r="J34" i="22"/>
  <c r="G43" i="27"/>
  <c r="G29" i="28"/>
  <c r="G42" i="27"/>
  <c r="G46" i="27"/>
  <c r="J59" i="28"/>
  <c r="J46" i="27"/>
  <c r="J43" i="27"/>
  <c r="J29" i="28"/>
  <c r="J42" i="27"/>
  <c r="J59" i="27"/>
  <c r="J60" i="27"/>
  <c r="J47" i="27"/>
  <c r="J45" i="27"/>
  <c r="J14" i="29"/>
  <c r="J31" i="28"/>
  <c r="J15" i="27"/>
  <c r="J49" i="28"/>
  <c r="J11" i="27"/>
  <c r="J50" i="27"/>
  <c r="J42" i="28"/>
  <c r="J48" i="27"/>
  <c r="J55" i="28"/>
  <c r="J45" i="28"/>
  <c r="J54" i="28"/>
  <c r="J29" i="27"/>
  <c r="J20" i="27"/>
  <c r="J26" i="28"/>
  <c r="J10" i="29"/>
  <c r="J19" i="27"/>
  <c r="J44" i="28"/>
  <c r="J16" i="28"/>
  <c r="J27" i="27"/>
  <c r="J55" i="27"/>
  <c r="J34" i="28"/>
  <c r="J52" i="28"/>
  <c r="J13" i="27"/>
  <c r="J31" i="27"/>
  <c r="J40" i="27"/>
  <c r="J32" i="27"/>
  <c r="J27" i="28"/>
  <c r="J21" i="27"/>
  <c r="J35" i="27"/>
  <c r="J36" i="28"/>
  <c r="J16" i="29"/>
  <c r="J36" i="27"/>
  <c r="J30" i="27"/>
  <c r="J11" i="28"/>
  <c r="J30" i="28"/>
  <c r="J50" i="28"/>
  <c r="J47" i="28"/>
  <c r="J52" i="27"/>
  <c r="J20" i="28"/>
  <c r="J46" i="28"/>
  <c r="J44" i="27"/>
  <c r="J41" i="28"/>
  <c r="J28" i="27"/>
  <c r="J19" i="28"/>
  <c r="J53" i="27"/>
  <c r="J21" i="28"/>
  <c r="J38" i="28"/>
  <c r="J56" i="27"/>
  <c r="J48" i="28"/>
  <c r="J37" i="27"/>
  <c r="J43" i="28"/>
  <c r="J53" i="28"/>
  <c r="J11" i="29"/>
  <c r="J39" i="28"/>
  <c r="J33" i="27"/>
  <c r="J17" i="27"/>
  <c r="J38" i="27"/>
  <c r="J12" i="30"/>
  <c r="J39" i="27"/>
  <c r="J14" i="28"/>
  <c r="J51" i="27"/>
  <c r="J32" i="28"/>
  <c r="J41" i="27"/>
  <c r="J37" i="28"/>
  <c r="J33" i="28"/>
  <c r="J35" i="28"/>
  <c r="J40" i="28"/>
  <c r="J51" i="28"/>
  <c r="J26" i="27"/>
  <c r="J10" i="30"/>
  <c r="J12" i="29"/>
  <c r="J17" i="28"/>
  <c r="J54" i="27"/>
  <c r="J11" i="30"/>
  <c r="J15" i="29"/>
  <c r="J34" i="27"/>
  <c r="J14" i="27"/>
  <c r="J15" i="28"/>
  <c r="J56" i="28"/>
  <c r="J13" i="30"/>
  <c r="J22" i="27"/>
  <c r="J57" i="27"/>
  <c r="J17" i="29"/>
  <c r="J22" i="28"/>
  <c r="J18" i="28"/>
  <c r="J18" i="27"/>
  <c r="J23" i="28"/>
  <c r="J23" i="27"/>
  <c r="J58" i="28"/>
  <c r="G12" i="27"/>
  <c r="G35" i="28"/>
  <c r="G27" i="27"/>
  <c r="G48" i="27"/>
  <c r="G11" i="29"/>
  <c r="G36" i="27"/>
  <c r="G48" i="28"/>
  <c r="G13" i="27"/>
  <c r="G28" i="27"/>
  <c r="G37" i="27"/>
  <c r="G55" i="27"/>
  <c r="G31" i="27"/>
  <c r="G44" i="27"/>
  <c r="G54" i="27"/>
  <c r="G11" i="30"/>
  <c r="G38" i="27"/>
  <c r="G41" i="28"/>
  <c r="G37" i="28"/>
  <c r="G52" i="28"/>
  <c r="G53" i="27"/>
  <c r="G49" i="28"/>
  <c r="G46" i="28"/>
  <c r="G11" i="28"/>
  <c r="G17" i="28"/>
  <c r="G39" i="27"/>
  <c r="G12" i="29"/>
  <c r="G19" i="27"/>
  <c r="G43" i="28"/>
  <c r="G38" i="28"/>
  <c r="G17" i="27"/>
  <c r="G14" i="29"/>
  <c r="G34" i="28"/>
  <c r="G10" i="30"/>
  <c r="G34" i="27"/>
  <c r="G15" i="29"/>
  <c r="G44" i="28"/>
  <c r="G32" i="27"/>
  <c r="G16" i="28"/>
  <c r="G26" i="27"/>
  <c r="G47" i="27"/>
  <c r="G35" i="27"/>
  <c r="G21" i="27"/>
  <c r="G10" i="29"/>
  <c r="G16" i="29"/>
  <c r="G51" i="27"/>
  <c r="G41" i="27"/>
  <c r="G11" i="27"/>
  <c r="G45" i="28"/>
  <c r="G51" i="28"/>
  <c r="G29" i="27"/>
  <c r="G21" i="28"/>
  <c r="G33" i="27"/>
  <c r="G52" i="27"/>
  <c r="G56" i="27"/>
  <c r="G53" i="28"/>
  <c r="G26" i="28"/>
  <c r="G19" i="28"/>
  <c r="G30" i="27"/>
  <c r="G20" i="27"/>
  <c r="G45" i="27"/>
  <c r="G12" i="30"/>
  <c r="G33" i="28"/>
  <c r="G40" i="27"/>
  <c r="G15" i="27"/>
  <c r="G50" i="27"/>
  <c r="G31" i="28"/>
  <c r="G13" i="30"/>
  <c r="G17" i="29"/>
  <c r="G22" i="27"/>
  <c r="G57" i="27"/>
  <c r="G22" i="28"/>
  <c r="G14" i="27"/>
  <c r="G56" i="28"/>
  <c r="G18" i="27"/>
  <c r="G23" i="27"/>
  <c r="G60" i="27"/>
  <c r="J43" i="2"/>
  <c r="G59" i="27"/>
  <c r="G70" i="26"/>
  <c r="G41" i="26"/>
  <c r="G25" i="26"/>
  <c r="G64" i="26"/>
  <c r="G42" i="26"/>
  <c r="G22" i="26"/>
  <c r="G47" i="26"/>
  <c r="G29" i="26"/>
  <c r="G65" i="26"/>
  <c r="G16" i="26"/>
  <c r="G20" i="26"/>
  <c r="G27" i="26"/>
  <c r="G61" i="26"/>
  <c r="G52" i="26"/>
  <c r="G37" i="26"/>
  <c r="G69" i="26"/>
  <c r="G28" i="26"/>
  <c r="G58" i="26"/>
  <c r="G66" i="26"/>
  <c r="G11" i="26"/>
  <c r="G62" i="26"/>
  <c r="G30" i="26"/>
  <c r="G67" i="26"/>
  <c r="G39" i="26"/>
  <c r="G46" i="26"/>
  <c r="G36" i="26"/>
  <c r="G19" i="26"/>
  <c r="G21" i="26"/>
  <c r="G13" i="26"/>
  <c r="G40" i="26"/>
  <c r="G48" i="26"/>
  <c r="G59" i="26"/>
  <c r="G33" i="26"/>
  <c r="G15" i="26"/>
  <c r="G53" i="26"/>
  <c r="G45" i="26"/>
  <c r="G49" i="26"/>
  <c r="G57" i="26"/>
  <c r="G60" i="26"/>
  <c r="G54" i="26"/>
  <c r="G17" i="26"/>
  <c r="G18" i="26"/>
  <c r="G43" i="26"/>
  <c r="G56" i="26"/>
  <c r="G34" i="26"/>
  <c r="G44" i="26"/>
  <c r="G55" i="26"/>
  <c r="G63" i="26"/>
  <c r="G14" i="26"/>
  <c r="G26" i="26"/>
  <c r="G38" i="26"/>
  <c r="G35" i="26"/>
  <c r="J22" i="26"/>
  <c r="J41" i="26"/>
  <c r="J61" i="26"/>
  <c r="J30" i="26"/>
  <c r="J66" i="26"/>
  <c r="J28" i="26"/>
  <c r="J11" i="26"/>
  <c r="J33" i="26"/>
  <c r="J54" i="26"/>
  <c r="J17" i="26"/>
  <c r="J29" i="26"/>
  <c r="J38" i="26"/>
  <c r="J14" i="26"/>
  <c r="J42" i="26"/>
  <c r="J60" i="26"/>
  <c r="J39" i="26"/>
  <c r="J70" i="26"/>
  <c r="J15" i="26"/>
  <c r="J19" i="26"/>
  <c r="J65" i="26"/>
  <c r="J45" i="26"/>
  <c r="J69" i="26"/>
  <c r="J64" i="26"/>
  <c r="J37" i="26"/>
  <c r="J27" i="26"/>
  <c r="J25" i="26"/>
  <c r="J26" i="26"/>
  <c r="J13" i="26"/>
  <c r="J57" i="26"/>
  <c r="J34" i="26"/>
  <c r="J48" i="26"/>
  <c r="J56" i="26"/>
  <c r="J63" i="26"/>
  <c r="J58" i="26"/>
  <c r="J43" i="26"/>
  <c r="J62" i="26"/>
  <c r="J18" i="26"/>
  <c r="J46" i="26"/>
  <c r="J59" i="26"/>
  <c r="J55" i="26"/>
  <c r="J52" i="26"/>
  <c r="J44" i="26"/>
  <c r="J49" i="26"/>
  <c r="J36" i="26"/>
  <c r="J53" i="26"/>
  <c r="J35" i="26"/>
  <c r="J20" i="26"/>
  <c r="J47" i="26"/>
  <c r="J21" i="26"/>
  <c r="J67" i="26"/>
  <c r="J40" i="26"/>
  <c r="J16" i="26"/>
  <c r="J34" i="2"/>
  <c r="J56" i="25"/>
  <c r="J57" i="25"/>
  <c r="J48" i="25"/>
  <c r="J20" i="25"/>
  <c r="J53" i="25"/>
  <c r="J47" i="25"/>
  <c r="J52" i="25"/>
  <c r="J25" i="25"/>
  <c r="J16" i="25"/>
  <c r="J24" i="25"/>
  <c r="J51" i="25"/>
  <c r="J39" i="25"/>
  <c r="J58" i="25"/>
  <c r="J49" i="25"/>
  <c r="J62" i="25"/>
  <c r="J21" i="25"/>
  <c r="J33" i="25"/>
  <c r="J13" i="25"/>
  <c r="J44" i="25"/>
  <c r="J37" i="25"/>
  <c r="J11" i="25"/>
  <c r="J18" i="25"/>
  <c r="J63" i="25"/>
  <c r="J14" i="25"/>
  <c r="J30" i="25"/>
  <c r="J31" i="25"/>
  <c r="J41" i="25"/>
  <c r="J34" i="25"/>
  <c r="J64" i="25"/>
  <c r="J23" i="25"/>
  <c r="J38" i="25"/>
  <c r="J46" i="25"/>
  <c r="J54" i="25"/>
  <c r="J45" i="25"/>
  <c r="J35" i="25"/>
  <c r="J43" i="25"/>
  <c r="J59" i="25"/>
  <c r="J15" i="25"/>
  <c r="J36" i="25"/>
  <c r="J55" i="25"/>
  <c r="J40" i="25"/>
  <c r="J65" i="25"/>
  <c r="J26" i="25"/>
  <c r="J19" i="25"/>
  <c r="J27" i="25"/>
  <c r="J67" i="25"/>
  <c r="J68" i="25"/>
  <c r="G47" i="2"/>
  <c r="G47" i="25"/>
  <c r="G64" i="25"/>
  <c r="G23" i="25"/>
  <c r="G55" i="25"/>
  <c r="G40" i="25"/>
  <c r="G15" i="25"/>
  <c r="G57" i="25"/>
  <c r="G25" i="25"/>
  <c r="G34" i="25"/>
  <c r="G63" i="25"/>
  <c r="G16" i="25"/>
  <c r="G18" i="25"/>
  <c r="G21" i="25"/>
  <c r="G24" i="25"/>
  <c r="G53" i="25"/>
  <c r="G11" i="25"/>
  <c r="G36" i="25"/>
  <c r="G30" i="25"/>
  <c r="G37" i="25"/>
  <c r="G52" i="25"/>
  <c r="G46" i="25"/>
  <c r="G31" i="25"/>
  <c r="G20" i="25"/>
  <c r="G43" i="25"/>
  <c r="G41" i="25"/>
  <c r="G44" i="25"/>
  <c r="G48" i="25"/>
  <c r="G59" i="25"/>
  <c r="G54" i="25"/>
  <c r="G33" i="25"/>
  <c r="G13" i="25"/>
  <c r="G49" i="25"/>
  <c r="G58" i="25"/>
  <c r="G39" i="25"/>
  <c r="G38" i="25"/>
  <c r="G35" i="25"/>
  <c r="G51" i="25"/>
  <c r="G45" i="25"/>
  <c r="G56" i="25"/>
  <c r="G62" i="25"/>
  <c r="G14" i="25"/>
  <c r="G19" i="25"/>
  <c r="G65" i="25"/>
  <c r="G27" i="25"/>
  <c r="G26" i="25"/>
  <c r="G67" i="25"/>
  <c r="G68" i="25"/>
  <c r="J10" i="22"/>
  <c r="J30" i="2"/>
  <c r="J46" i="2"/>
  <c r="J35" i="2"/>
  <c r="J45" i="2"/>
  <c r="J31" i="2"/>
  <c r="J32" i="2"/>
  <c r="G25" i="2"/>
  <c r="G34" i="2"/>
  <c r="J44" i="2"/>
  <c r="J47" i="2"/>
  <c r="J15" i="2"/>
  <c r="J39" i="2"/>
  <c r="J18" i="2"/>
  <c r="G13" i="22"/>
  <c r="G30" i="2"/>
  <c r="G44" i="2"/>
  <c r="G35" i="2"/>
  <c r="J48" i="2"/>
  <c r="G14" i="22"/>
  <c r="J16" i="22"/>
  <c r="G48" i="2"/>
  <c r="J15" i="22"/>
  <c r="G33" i="2"/>
  <c r="J13" i="22"/>
  <c r="J16" i="2"/>
  <c r="J12" i="22"/>
  <c r="J27" i="22"/>
  <c r="G27" i="22"/>
  <c r="G46" i="2"/>
  <c r="J33" i="2"/>
  <c r="G11" i="22"/>
  <c r="J17" i="2"/>
  <c r="J11" i="22"/>
  <c r="G31" i="2"/>
  <c r="G45" i="2"/>
  <c r="G39" i="2"/>
  <c r="G16" i="22"/>
  <c r="G32" i="2"/>
  <c r="G15" i="2"/>
  <c r="G52" i="2"/>
  <c r="G16" i="2"/>
  <c r="G17" i="2"/>
  <c r="G15" i="22"/>
  <c r="G18" i="2"/>
  <c r="I37" i="22"/>
  <c r="I39" i="22" s="1"/>
  <c r="J39" i="22" s="1"/>
  <c r="J17" i="22"/>
  <c r="G43" i="2"/>
  <c r="G19" i="2"/>
  <c r="J25" i="2"/>
  <c r="G12" i="22"/>
  <c r="F37" i="22"/>
  <c r="G17" i="22"/>
  <c r="J52" i="2"/>
  <c r="J19" i="2"/>
  <c r="F48" i="20"/>
  <c r="F31" i="20"/>
  <c r="I48" i="20"/>
  <c r="F39" i="22" l="1"/>
  <c r="G39" i="22" s="1"/>
  <c r="G44" i="20"/>
  <c r="H41" i="27"/>
  <c r="K62" i="20"/>
  <c r="H68" i="20"/>
  <c r="K15" i="20"/>
  <c r="H25" i="20"/>
  <c r="K13" i="23"/>
  <c r="H23" i="22"/>
  <c r="K22" i="22"/>
  <c r="K13" i="20"/>
  <c r="H81" i="20"/>
  <c r="H16" i="23"/>
  <c r="H68" i="21"/>
  <c r="K56" i="20"/>
  <c r="K63" i="20"/>
  <c r="K71" i="20"/>
  <c r="K26" i="22"/>
  <c r="K50" i="20"/>
  <c r="H12" i="21"/>
  <c r="H76" i="21"/>
  <c r="H33" i="27"/>
  <c r="K45" i="20"/>
  <c r="H20" i="21"/>
  <c r="H26" i="21"/>
  <c r="H15" i="21"/>
  <c r="D52" i="20"/>
  <c r="H52" i="20" s="1"/>
  <c r="K80" i="20"/>
  <c r="K53" i="21"/>
  <c r="H29" i="20"/>
  <c r="K10" i="22"/>
  <c r="H23" i="21"/>
  <c r="H51" i="20"/>
  <c r="K31" i="21"/>
  <c r="H55" i="21"/>
  <c r="K21" i="22"/>
  <c r="H11" i="29"/>
  <c r="K16" i="21"/>
  <c r="H13" i="25"/>
  <c r="K47" i="20"/>
  <c r="K14" i="25"/>
  <c r="G48" i="20"/>
  <c r="H40" i="27"/>
  <c r="K16" i="20"/>
  <c r="H75" i="20"/>
  <c r="H16" i="26"/>
  <c r="H74" i="20"/>
  <c r="K77" i="20"/>
  <c r="H72" i="20"/>
  <c r="H12" i="20"/>
  <c r="K86" i="21"/>
  <c r="G26" i="20"/>
  <c r="G41" i="20"/>
  <c r="J26" i="20"/>
  <c r="J41" i="20"/>
  <c r="H20" i="22"/>
  <c r="H41" i="28"/>
  <c r="K11" i="20"/>
  <c r="H28" i="20"/>
  <c r="K50" i="28"/>
  <c r="H24" i="20"/>
  <c r="H87" i="21"/>
  <c r="K20" i="20"/>
  <c r="H19" i="26"/>
  <c r="H11" i="25"/>
  <c r="H65" i="26"/>
  <c r="K78" i="20"/>
  <c r="K92" i="21"/>
  <c r="H69" i="21"/>
  <c r="H102" i="21"/>
  <c r="H40" i="28"/>
  <c r="H35" i="20"/>
  <c r="H39" i="20"/>
  <c r="H40" i="20"/>
  <c r="H43" i="20"/>
  <c r="H46" i="26"/>
  <c r="E24" i="22"/>
  <c r="K89" i="21"/>
  <c r="D17" i="20"/>
  <c r="K17" i="20" s="1"/>
  <c r="E31" i="22"/>
  <c r="H25" i="22"/>
  <c r="H60" i="20"/>
  <c r="K39" i="27"/>
  <c r="H36" i="20"/>
  <c r="H79" i="20"/>
  <c r="K15" i="23"/>
  <c r="H30" i="22"/>
  <c r="H59" i="21"/>
  <c r="H64" i="26"/>
  <c r="K11" i="30"/>
  <c r="K65" i="20"/>
  <c r="K14" i="23"/>
  <c r="K38" i="28"/>
  <c r="K18" i="23"/>
  <c r="E20" i="22"/>
  <c r="H51" i="28"/>
  <c r="K57" i="20"/>
  <c r="K14" i="22"/>
  <c r="K64" i="20"/>
  <c r="K83" i="20"/>
  <c r="H53" i="27"/>
  <c r="H55" i="28"/>
  <c r="H49" i="20"/>
  <c r="K49" i="20"/>
  <c r="H66" i="26"/>
  <c r="H16" i="25"/>
  <c r="H45" i="25"/>
  <c r="K32" i="21"/>
  <c r="E32" i="22"/>
  <c r="K37" i="20"/>
  <c r="H30" i="20"/>
  <c r="K14" i="20"/>
  <c r="K15" i="22"/>
  <c r="E26" i="22"/>
  <c r="H10" i="23"/>
  <c r="K19" i="27"/>
  <c r="K26" i="20"/>
  <c r="K91" i="21"/>
  <c r="K15" i="27"/>
  <c r="H58" i="25"/>
  <c r="H73" i="20"/>
  <c r="H33" i="28"/>
  <c r="K69" i="20"/>
  <c r="K12" i="22"/>
  <c r="E25" i="22"/>
  <c r="H13" i="22"/>
  <c r="H96" i="21"/>
  <c r="K40" i="21"/>
  <c r="K34" i="27"/>
  <c r="E34" i="22"/>
  <c r="E35" i="22"/>
  <c r="K55" i="27"/>
  <c r="H13" i="26"/>
  <c r="D41" i="21"/>
  <c r="H41" i="21" s="1"/>
  <c r="H36" i="27"/>
  <c r="H82" i="21"/>
  <c r="K59" i="20"/>
  <c r="E22" i="22"/>
  <c r="H35" i="26"/>
  <c r="H14" i="20"/>
  <c r="H70" i="20"/>
  <c r="H26" i="28"/>
  <c r="H83" i="21"/>
  <c r="K28" i="27"/>
  <c r="K82" i="20"/>
  <c r="H23" i="20"/>
  <c r="H61" i="20"/>
  <c r="K15" i="29"/>
  <c r="H36" i="26"/>
  <c r="H21" i="20"/>
  <c r="H16" i="22"/>
  <c r="K17" i="23"/>
  <c r="H51" i="27"/>
  <c r="K42" i="20"/>
  <c r="E23" i="22"/>
  <c r="H101" i="21"/>
  <c r="D27" i="22"/>
  <c r="K24" i="22"/>
  <c r="K67" i="20"/>
  <c r="E36" i="22"/>
  <c r="K76" i="20"/>
  <c r="H57" i="21"/>
  <c r="K66" i="21"/>
  <c r="H27" i="26"/>
  <c r="K100" i="21"/>
  <c r="E33" i="22"/>
  <c r="H12" i="23"/>
  <c r="H48" i="28"/>
  <c r="H26" i="27"/>
  <c r="K29" i="21"/>
  <c r="H58" i="26"/>
  <c r="H18" i="25"/>
  <c r="K15" i="25"/>
  <c r="K39" i="21"/>
  <c r="K84" i="21"/>
  <c r="H31" i="27"/>
  <c r="E21" i="22"/>
  <c r="D17" i="22"/>
  <c r="H39" i="21"/>
  <c r="K98" i="21"/>
  <c r="K56" i="27"/>
  <c r="K11" i="23"/>
  <c r="K10" i="30"/>
  <c r="K20" i="23"/>
  <c r="H41" i="26"/>
  <c r="K81" i="21"/>
  <c r="D27" i="20"/>
  <c r="H27" i="20" s="1"/>
  <c r="K99" i="21"/>
  <c r="K11" i="22"/>
  <c r="K32" i="25"/>
  <c r="H37" i="26"/>
  <c r="H26" i="26"/>
  <c r="H33" i="26"/>
  <c r="H21" i="27"/>
  <c r="H30" i="28"/>
  <c r="H59" i="26"/>
  <c r="H47" i="27"/>
  <c r="K37" i="28"/>
  <c r="K80" i="21"/>
  <c r="H74" i="21"/>
  <c r="D84" i="20"/>
  <c r="H44" i="28"/>
  <c r="H43" i="26"/>
  <c r="H53" i="26"/>
  <c r="H47" i="28"/>
  <c r="H54" i="27"/>
  <c r="K58" i="20"/>
  <c r="H56" i="25"/>
  <c r="H11" i="26"/>
  <c r="H53" i="28"/>
  <c r="K85" i="21"/>
  <c r="K32" i="27"/>
  <c r="K21" i="21"/>
  <c r="D22" i="23"/>
  <c r="D14" i="26"/>
  <c r="K14" i="26" s="1"/>
  <c r="H21" i="23"/>
  <c r="H44" i="27"/>
  <c r="K103" i="21"/>
  <c r="H24" i="21"/>
  <c r="K78" i="21"/>
  <c r="H30" i="27"/>
  <c r="H54" i="28"/>
  <c r="H90" i="21"/>
  <c r="K48" i="27"/>
  <c r="H53" i="25"/>
  <c r="H60" i="26"/>
  <c r="H95" i="21"/>
  <c r="H60" i="25"/>
  <c r="K79" i="21"/>
  <c r="H39" i="25"/>
  <c r="K14" i="28"/>
  <c r="H52" i="28"/>
  <c r="K30" i="21"/>
  <c r="H70" i="21"/>
  <c r="H60" i="21"/>
  <c r="K19" i="23"/>
  <c r="D19" i="25"/>
  <c r="D22" i="25" s="1"/>
  <c r="K22" i="20"/>
  <c r="K48" i="25"/>
  <c r="D21" i="26"/>
  <c r="K21" i="26" s="1"/>
  <c r="H22" i="21"/>
  <c r="K14" i="21"/>
  <c r="H32" i="28"/>
  <c r="K45" i="27"/>
  <c r="H56" i="21"/>
  <c r="H18" i="26"/>
  <c r="D25" i="21"/>
  <c r="E40" i="21" s="1"/>
  <c r="H16" i="29"/>
  <c r="K20" i="27"/>
  <c r="K25" i="25"/>
  <c r="H54" i="26"/>
  <c r="H52" i="27"/>
  <c r="D14" i="27"/>
  <c r="D18" i="27" s="1"/>
  <c r="K12" i="29"/>
  <c r="K77" i="21"/>
  <c r="H13" i="27"/>
  <c r="H20" i="26"/>
  <c r="H30" i="25"/>
  <c r="H29" i="27"/>
  <c r="K50" i="27"/>
  <c r="H88" i="21"/>
  <c r="H16" i="27"/>
  <c r="H48" i="26"/>
  <c r="K93" i="21"/>
  <c r="K50" i="21"/>
  <c r="H59" i="25"/>
  <c r="H42" i="28"/>
  <c r="K43" i="21"/>
  <c r="K62" i="25"/>
  <c r="K41" i="20"/>
  <c r="D44" i="20"/>
  <c r="H44" i="20" s="1"/>
  <c r="H41" i="20"/>
  <c r="H21" i="25"/>
  <c r="K11" i="27"/>
  <c r="K47" i="25"/>
  <c r="H13" i="28"/>
  <c r="H57" i="25"/>
  <c r="H35" i="28"/>
  <c r="H37" i="25"/>
  <c r="D22" i="27"/>
  <c r="K22" i="27" s="1"/>
  <c r="D54" i="21"/>
  <c r="D58" i="21" s="1"/>
  <c r="H11" i="27"/>
  <c r="K75" i="21"/>
  <c r="K72" i="21"/>
  <c r="K67" i="21"/>
  <c r="K71" i="21"/>
  <c r="H55" i="26"/>
  <c r="H15" i="26"/>
  <c r="K41" i="25"/>
  <c r="K13" i="21"/>
  <c r="K63" i="25"/>
  <c r="H61" i="26"/>
  <c r="H61" i="21"/>
  <c r="H39" i="28"/>
  <c r="H46" i="20"/>
  <c r="K27" i="28"/>
  <c r="K42" i="25"/>
  <c r="H39" i="26"/>
  <c r="K55" i="25"/>
  <c r="K97" i="21"/>
  <c r="H56" i="26"/>
  <c r="H34" i="26"/>
  <c r="H17" i="28"/>
  <c r="H43" i="28"/>
  <c r="H46" i="28"/>
  <c r="K49" i="27"/>
  <c r="K34" i="28"/>
  <c r="H45" i="28"/>
  <c r="D22" i="28"/>
  <c r="H22" i="28" s="1"/>
  <c r="H62" i="26"/>
  <c r="H16" i="28"/>
  <c r="H47" i="26"/>
  <c r="K20" i="25"/>
  <c r="K64" i="25"/>
  <c r="H27" i="27"/>
  <c r="H61" i="25"/>
  <c r="H94" i="21"/>
  <c r="K35" i="25"/>
  <c r="H57" i="26"/>
  <c r="H24" i="25"/>
  <c r="H37" i="27"/>
  <c r="H52" i="26"/>
  <c r="H40" i="25"/>
  <c r="H36" i="25"/>
  <c r="H42" i="26"/>
  <c r="H14" i="29"/>
  <c r="H44" i="26"/>
  <c r="H51" i="25"/>
  <c r="D62" i="21"/>
  <c r="K62" i="21" s="1"/>
  <c r="H38" i="27"/>
  <c r="H54" i="25"/>
  <c r="H21" i="28"/>
  <c r="D33" i="21"/>
  <c r="E43" i="21" s="1"/>
  <c r="H43" i="25"/>
  <c r="H42" i="27"/>
  <c r="H40" i="26"/>
  <c r="K46" i="27"/>
  <c r="H38" i="26"/>
  <c r="H38" i="25"/>
  <c r="H63" i="26"/>
  <c r="H50" i="25"/>
  <c r="K31" i="28"/>
  <c r="H17" i="25"/>
  <c r="H45" i="26"/>
  <c r="H29" i="26"/>
  <c r="H34" i="25"/>
  <c r="K52" i="25"/>
  <c r="D27" i="33"/>
  <c r="H10" i="29"/>
  <c r="H29" i="28"/>
  <c r="K44" i="25"/>
  <c r="K52" i="21"/>
  <c r="K36" i="28"/>
  <c r="K33" i="25"/>
  <c r="D11" i="33"/>
  <c r="H28" i="26"/>
  <c r="D26" i="25"/>
  <c r="K26" i="25" s="1"/>
  <c r="K49" i="28"/>
  <c r="D15" i="28"/>
  <c r="K15" i="28" s="1"/>
  <c r="K46" i="25"/>
  <c r="H23" i="25"/>
  <c r="D49" i="26"/>
  <c r="K49" i="25"/>
  <c r="D65" i="25"/>
  <c r="K31" i="25"/>
  <c r="D104" i="21"/>
  <c r="H73" i="21"/>
  <c r="D15" i="33"/>
  <c r="D21" i="33"/>
  <c r="H17" i="27"/>
  <c r="K43" i="27"/>
  <c r="K20" i="28"/>
  <c r="K12" i="30"/>
  <c r="K19" i="28"/>
  <c r="H25" i="26"/>
  <c r="D30" i="26"/>
  <c r="D57" i="27"/>
  <c r="H19" i="28"/>
  <c r="D17" i="29"/>
  <c r="D17" i="21"/>
  <c r="H28" i="28"/>
  <c r="K13" i="29"/>
  <c r="D67" i="26"/>
  <c r="K11" i="28"/>
  <c r="D13" i="30"/>
  <c r="D35" i="33"/>
  <c r="H35" i="27"/>
  <c r="J36" i="20"/>
  <c r="J42" i="20"/>
  <c r="J39" i="20"/>
  <c r="J35" i="20"/>
  <c r="J40" i="20"/>
  <c r="J37" i="20"/>
  <c r="J44" i="20"/>
  <c r="J43" i="20"/>
  <c r="J48" i="20"/>
  <c r="G37" i="20"/>
  <c r="G39" i="20"/>
  <c r="G43" i="20"/>
  <c r="G40" i="20"/>
  <c r="G36" i="20"/>
  <c r="G42" i="20"/>
  <c r="G35" i="20"/>
  <c r="G37" i="22"/>
  <c r="J37" i="22"/>
  <c r="G52" i="20"/>
  <c r="G46" i="20"/>
  <c r="J17" i="20"/>
  <c r="J46" i="20"/>
  <c r="G84" i="20"/>
  <c r="J52" i="20"/>
  <c r="G27" i="20"/>
  <c r="J27" i="20"/>
  <c r="G27" i="2"/>
  <c r="J27" i="2"/>
  <c r="G17" i="20"/>
  <c r="F53" i="20"/>
  <c r="G31" i="20"/>
  <c r="G83" i="20"/>
  <c r="G68" i="20"/>
  <c r="G49" i="20"/>
  <c r="G20" i="20"/>
  <c r="G50" i="20"/>
  <c r="G24" i="20"/>
  <c r="G51" i="20"/>
  <c r="G13" i="20"/>
  <c r="G60" i="20"/>
  <c r="G12" i="20"/>
  <c r="G56" i="20"/>
  <c r="G30" i="20"/>
  <c r="G71" i="20"/>
  <c r="G65" i="20"/>
  <c r="G23" i="20"/>
  <c r="G21" i="20"/>
  <c r="G72" i="20"/>
  <c r="G64" i="20"/>
  <c r="G80" i="20"/>
  <c r="G57" i="20"/>
  <c r="G66" i="20"/>
  <c r="G78" i="20"/>
  <c r="G11" i="20"/>
  <c r="G79" i="20"/>
  <c r="G82" i="20"/>
  <c r="G59" i="20"/>
  <c r="G70" i="20"/>
  <c r="G63" i="20"/>
  <c r="G81" i="20"/>
  <c r="G45" i="20"/>
  <c r="G29" i="20"/>
  <c r="G58" i="20"/>
  <c r="G16" i="20"/>
  <c r="G67" i="20"/>
  <c r="G62" i="20"/>
  <c r="G77" i="20"/>
  <c r="G74" i="20"/>
  <c r="G76" i="20"/>
  <c r="G14" i="20"/>
  <c r="G73" i="20"/>
  <c r="G47" i="20"/>
  <c r="G75" i="20"/>
  <c r="G69" i="20"/>
  <c r="G61" i="20"/>
  <c r="G25" i="20"/>
  <c r="G15" i="20"/>
  <c r="G28" i="20"/>
  <c r="G22" i="20"/>
  <c r="J31" i="20"/>
  <c r="J59" i="20"/>
  <c r="J83" i="20"/>
  <c r="J82" i="20"/>
  <c r="J66" i="20"/>
  <c r="J80" i="20"/>
  <c r="J78" i="20"/>
  <c r="J63" i="20"/>
  <c r="J56" i="20"/>
  <c r="J45" i="20"/>
  <c r="J12" i="20"/>
  <c r="J21" i="20"/>
  <c r="J58" i="20"/>
  <c r="J23" i="20"/>
  <c r="J62" i="20"/>
  <c r="J15" i="20"/>
  <c r="J20" i="20"/>
  <c r="J29" i="20"/>
  <c r="J50" i="20"/>
  <c r="J16" i="20"/>
  <c r="J60" i="20"/>
  <c r="J69" i="20"/>
  <c r="J77" i="20"/>
  <c r="J74" i="20"/>
  <c r="J81" i="20"/>
  <c r="J28" i="20"/>
  <c r="J67" i="20"/>
  <c r="J64" i="20"/>
  <c r="J76" i="20"/>
  <c r="J49" i="20"/>
  <c r="J79" i="20"/>
  <c r="J73" i="20"/>
  <c r="J71" i="20"/>
  <c r="J57" i="20"/>
  <c r="J61" i="20"/>
  <c r="J47" i="20"/>
  <c r="J30" i="20"/>
  <c r="J11" i="20"/>
  <c r="J68" i="20"/>
  <c r="J51" i="20"/>
  <c r="J25" i="20"/>
  <c r="J24" i="20"/>
  <c r="J72" i="20"/>
  <c r="J75" i="20"/>
  <c r="J70" i="20"/>
  <c r="J22" i="20"/>
  <c r="J14" i="20"/>
  <c r="J13" i="20"/>
  <c r="J65" i="20"/>
  <c r="J84" i="20"/>
  <c r="I53" i="20"/>
  <c r="H49" i="26" l="1"/>
  <c r="H84" i="20"/>
  <c r="K30" i="26"/>
  <c r="H67" i="26"/>
  <c r="H27" i="33"/>
  <c r="E20" i="23"/>
  <c r="D24" i="23"/>
  <c r="D37" i="22"/>
  <c r="H17" i="20"/>
  <c r="K52" i="20"/>
  <c r="K41" i="21"/>
  <c r="K33" i="22"/>
  <c r="E12" i="22"/>
  <c r="D27" i="25"/>
  <c r="H32" i="22"/>
  <c r="H21" i="26"/>
  <c r="E30" i="22"/>
  <c r="D44" i="21"/>
  <c r="K84" i="20"/>
  <c r="H27" i="22"/>
  <c r="K30" i="22"/>
  <c r="K32" i="22"/>
  <c r="K31" i="22"/>
  <c r="H33" i="22"/>
  <c r="E14" i="22"/>
  <c r="E17" i="22"/>
  <c r="E10" i="22"/>
  <c r="H35" i="22"/>
  <c r="K27" i="22"/>
  <c r="H36" i="22"/>
  <c r="E15" i="22"/>
  <c r="H31" i="22"/>
  <c r="E27" i="22"/>
  <c r="D31" i="20"/>
  <c r="E11" i="22"/>
  <c r="E13" i="22"/>
  <c r="K22" i="23"/>
  <c r="E21" i="23"/>
  <c r="E15" i="23"/>
  <c r="K34" i="22"/>
  <c r="E19" i="23"/>
  <c r="K35" i="22"/>
  <c r="E10" i="23"/>
  <c r="E22" i="23"/>
  <c r="E17" i="23"/>
  <c r="H34" i="22"/>
  <c r="H104" i="21"/>
  <c r="K36" i="22"/>
  <c r="E16" i="23"/>
  <c r="H19" i="25"/>
  <c r="D48" i="20"/>
  <c r="H48" i="20" s="1"/>
  <c r="K44" i="20"/>
  <c r="K27" i="20"/>
  <c r="E16" i="22"/>
  <c r="K17" i="22"/>
  <c r="H17" i="22"/>
  <c r="K19" i="21"/>
  <c r="K33" i="21"/>
  <c r="K19" i="25"/>
  <c r="H22" i="23"/>
  <c r="E12" i="23"/>
  <c r="E14" i="23"/>
  <c r="H14" i="26"/>
  <c r="E13" i="23"/>
  <c r="E11" i="23"/>
  <c r="D17" i="26"/>
  <c r="K17" i="26" s="1"/>
  <c r="E18" i="23"/>
  <c r="H19" i="21"/>
  <c r="H14" i="27"/>
  <c r="K14" i="27"/>
  <c r="K22" i="28"/>
  <c r="H65" i="25"/>
  <c r="H33" i="21"/>
  <c r="H54" i="21"/>
  <c r="H22" i="27"/>
  <c r="K54" i="21"/>
  <c r="D18" i="28"/>
  <c r="D23" i="28" s="1"/>
  <c r="H62" i="21"/>
  <c r="K56" i="28"/>
  <c r="H56" i="28"/>
  <c r="H30" i="26"/>
  <c r="K65" i="25"/>
  <c r="H11" i="33"/>
  <c r="K67" i="26"/>
  <c r="H21" i="33"/>
  <c r="H26" i="25"/>
  <c r="H15" i="33"/>
  <c r="K49" i="26"/>
  <c r="H57" i="27"/>
  <c r="K104" i="21"/>
  <c r="K57" i="27"/>
  <c r="H17" i="29"/>
  <c r="K17" i="29"/>
  <c r="H11" i="21"/>
  <c r="K11" i="21"/>
  <c r="D69" i="26"/>
  <c r="H35" i="33"/>
  <c r="D37" i="33"/>
  <c r="K13" i="30"/>
  <c r="H13" i="30"/>
  <c r="F86" i="20"/>
  <c r="J53" i="20"/>
  <c r="D27" i="21"/>
  <c r="H27" i="21" s="1"/>
  <c r="E39" i="21"/>
  <c r="H58" i="21"/>
  <c r="K58" i="21"/>
  <c r="D63" i="21"/>
  <c r="K25" i="21"/>
  <c r="H25" i="21"/>
  <c r="K17" i="21"/>
  <c r="H17" i="21"/>
  <c r="K18" i="27"/>
  <c r="H18" i="27"/>
  <c r="D23" i="27"/>
  <c r="K22" i="25"/>
  <c r="H22" i="25"/>
  <c r="J37" i="2"/>
  <c r="G53" i="20"/>
  <c r="G37" i="2"/>
  <c r="I86" i="20"/>
  <c r="C4" i="33"/>
  <c r="D70" i="26" l="1"/>
  <c r="K70" i="26" s="1"/>
  <c r="E42" i="20"/>
  <c r="E24" i="23"/>
  <c r="H37" i="33"/>
  <c r="D39" i="22"/>
  <c r="E39" i="22" s="1"/>
  <c r="K24" i="23"/>
  <c r="H24" i="23"/>
  <c r="E35" i="20"/>
  <c r="E36" i="20"/>
  <c r="K27" i="25"/>
  <c r="H27" i="25"/>
  <c r="D67" i="25"/>
  <c r="E31" i="20"/>
  <c r="E41" i="20"/>
  <c r="E37" i="20"/>
  <c r="E44" i="20"/>
  <c r="E24" i="20"/>
  <c r="E39" i="20"/>
  <c r="K44" i="21"/>
  <c r="E40" i="20"/>
  <c r="H44" i="21"/>
  <c r="E43" i="20"/>
  <c r="E48" i="20"/>
  <c r="E11" i="20"/>
  <c r="E28" i="20"/>
  <c r="E81" i="20"/>
  <c r="E61" i="20"/>
  <c r="E57" i="20"/>
  <c r="E65" i="20"/>
  <c r="E50" i="20"/>
  <c r="E26" i="20"/>
  <c r="E64" i="20"/>
  <c r="E68" i="20"/>
  <c r="E51" i="20"/>
  <c r="E14" i="20"/>
  <c r="E74" i="20"/>
  <c r="E21" i="20"/>
  <c r="E25" i="20"/>
  <c r="E60" i="20"/>
  <c r="E82" i="20"/>
  <c r="E49" i="20"/>
  <c r="E75" i="20"/>
  <c r="E56" i="20"/>
  <c r="E29" i="20"/>
  <c r="E72" i="20"/>
  <c r="E13" i="20"/>
  <c r="E15" i="20"/>
  <c r="H31" i="20"/>
  <c r="E30" i="20"/>
  <c r="E78" i="20"/>
  <c r="E62" i="20"/>
  <c r="E63" i="20"/>
  <c r="K31" i="20"/>
  <c r="E80" i="20"/>
  <c r="E16" i="20"/>
  <c r="E83" i="20"/>
  <c r="E76" i="20"/>
  <c r="E45" i="20"/>
  <c r="E69" i="20"/>
  <c r="E59" i="20"/>
  <c r="E66" i="20"/>
  <c r="E67" i="20"/>
  <c r="E84" i="20"/>
  <c r="E46" i="20"/>
  <c r="E47" i="20"/>
  <c r="E20" i="20"/>
  <c r="E52" i="20"/>
  <c r="E77" i="20"/>
  <c r="E71" i="20"/>
  <c r="E79" i="20"/>
  <c r="E58" i="20"/>
  <c r="E27" i="20"/>
  <c r="E73" i="20"/>
  <c r="E70" i="20"/>
  <c r="E17" i="20"/>
  <c r="E22" i="20"/>
  <c r="E12" i="20"/>
  <c r="E23" i="20"/>
  <c r="D53" i="20"/>
  <c r="H17" i="26"/>
  <c r="K48" i="20"/>
  <c r="D22" i="26"/>
  <c r="K23" i="28"/>
  <c r="K18" i="28"/>
  <c r="D58" i="28"/>
  <c r="K69" i="26"/>
  <c r="H69" i="26"/>
  <c r="F87" i="20"/>
  <c r="G87" i="20" s="1"/>
  <c r="G86" i="20"/>
  <c r="J86" i="20"/>
  <c r="D106" i="21"/>
  <c r="H63" i="21"/>
  <c r="K63" i="21"/>
  <c r="E41" i="21"/>
  <c r="K27" i="21"/>
  <c r="D35" i="21"/>
  <c r="C4" i="30"/>
  <c r="C4" i="29"/>
  <c r="C4" i="28"/>
  <c r="C4" i="27"/>
  <c r="C4" i="26"/>
  <c r="C4" i="25"/>
  <c r="K23" i="27"/>
  <c r="H23" i="27"/>
  <c r="D59" i="27"/>
  <c r="C4" i="23"/>
  <c r="C4" i="22"/>
  <c r="C4" i="21"/>
  <c r="C4" i="20"/>
  <c r="G40" i="2"/>
  <c r="J40" i="2"/>
  <c r="I87" i="20"/>
  <c r="J87" i="20" s="1"/>
  <c r="H39" i="22" l="1"/>
  <c r="K39" i="22"/>
  <c r="H22" i="26"/>
  <c r="H70" i="26"/>
  <c r="H53" i="20"/>
  <c r="E52" i="21"/>
  <c r="D68" i="25"/>
  <c r="K68" i="25" s="1"/>
  <c r="H67" i="25"/>
  <c r="K67" i="25"/>
  <c r="K22" i="26"/>
  <c r="E53" i="20"/>
  <c r="D86" i="20"/>
  <c r="K53" i="20"/>
  <c r="K58" i="28"/>
  <c r="D59" i="28"/>
  <c r="K59" i="28" s="1"/>
  <c r="E26" i="21"/>
  <c r="H106" i="21"/>
  <c r="K106" i="21"/>
  <c r="E27" i="21"/>
  <c r="E95" i="21"/>
  <c r="E94" i="21"/>
  <c r="E82" i="21"/>
  <c r="E70" i="21"/>
  <c r="E56" i="21"/>
  <c r="E33" i="21"/>
  <c r="E23" i="21"/>
  <c r="E102" i="21"/>
  <c r="E50" i="21"/>
  <c r="E101" i="21"/>
  <c r="E63" i="21"/>
  <c r="E14" i="21"/>
  <c r="E106" i="21"/>
  <c r="E93" i="21"/>
  <c r="E81" i="21"/>
  <c r="E69" i="21"/>
  <c r="E55" i="21"/>
  <c r="E32" i="21"/>
  <c r="E24" i="21"/>
  <c r="E100" i="21"/>
  <c r="E88" i="21"/>
  <c r="E76" i="21"/>
  <c r="E62" i="21"/>
  <c r="E44" i="21"/>
  <c r="E15" i="21"/>
  <c r="E99" i="21"/>
  <c r="E87" i="21"/>
  <c r="E75" i="21"/>
  <c r="E61" i="21"/>
  <c r="E16" i="21"/>
  <c r="E98" i="21"/>
  <c r="E86" i="21"/>
  <c r="E74" i="21"/>
  <c r="E60" i="21"/>
  <c r="E19" i="21"/>
  <c r="E17" i="21"/>
  <c r="E104" i="21"/>
  <c r="E92" i="21"/>
  <c r="E80" i="21"/>
  <c r="E68" i="21"/>
  <c r="E54" i="21"/>
  <c r="E31" i="21"/>
  <c r="E11" i="21"/>
  <c r="E78" i="21"/>
  <c r="E66" i="21"/>
  <c r="E13" i="21"/>
  <c r="E89" i="21"/>
  <c r="E77" i="21"/>
  <c r="E25" i="21"/>
  <c r="E103" i="21"/>
  <c r="E91" i="21"/>
  <c r="E79" i="21"/>
  <c r="E67" i="21"/>
  <c r="E53" i="21"/>
  <c r="E30" i="21"/>
  <c r="E12" i="21"/>
  <c r="E90" i="21"/>
  <c r="E29" i="21"/>
  <c r="E97" i="21"/>
  <c r="E85" i="21"/>
  <c r="E73" i="21"/>
  <c r="E59" i="21"/>
  <c r="E20" i="21"/>
  <c r="E96" i="21"/>
  <c r="E84" i="21"/>
  <c r="E72" i="21"/>
  <c r="E58" i="21"/>
  <c r="E21" i="21"/>
  <c r="D46" i="21"/>
  <c r="E83" i="21"/>
  <c r="E71" i="21"/>
  <c r="E57" i="21"/>
  <c r="E35" i="21"/>
  <c r="E22" i="21"/>
  <c r="K35" i="21"/>
  <c r="H35" i="21"/>
  <c r="K59" i="27"/>
  <c r="H59" i="27"/>
  <c r="D60" i="27"/>
  <c r="J50" i="2"/>
  <c r="G50" i="2"/>
  <c r="H86" i="20" l="1"/>
  <c r="H68" i="25"/>
  <c r="E86" i="20"/>
  <c r="D87" i="20"/>
  <c r="E87" i="20" s="1"/>
  <c r="K86" i="20"/>
  <c r="G53" i="2"/>
  <c r="J53" i="2"/>
  <c r="E46" i="21"/>
  <c r="D107" i="21"/>
  <c r="K46" i="21"/>
  <c r="H46" i="21"/>
  <c r="K60" i="27"/>
  <c r="H60" i="27"/>
  <c r="H9" i="2"/>
  <c r="H87" i="20" l="1"/>
  <c r="K87" i="20"/>
  <c r="E107" i="21"/>
  <c r="K107" i="21"/>
  <c r="H107" i="21"/>
  <c r="H24" i="2"/>
  <c r="K24" i="2"/>
  <c r="K31" i="2"/>
  <c r="H31" i="2"/>
  <c r="K34" i="2"/>
  <c r="H34" i="2"/>
  <c r="H30" i="2"/>
  <c r="K30" i="2"/>
  <c r="K33" i="2"/>
  <c r="H33" i="2"/>
  <c r="K22" i="2"/>
  <c r="H22" i="2"/>
  <c r="E22" i="2"/>
  <c r="H46" i="2"/>
  <c r="K46" i="2"/>
  <c r="K9" i="2"/>
  <c r="K10" i="2"/>
  <c r="H10" i="2"/>
  <c r="K32" i="2"/>
  <c r="H32" i="2"/>
  <c r="K23" i="2"/>
  <c r="E23" i="2"/>
  <c r="H23" i="2"/>
  <c r="H44" i="2"/>
  <c r="K44" i="2"/>
  <c r="K16" i="2"/>
  <c r="H16" i="2"/>
  <c r="K18" i="2"/>
  <c r="K15" i="2"/>
  <c r="H15" i="2"/>
  <c r="H17" i="2"/>
  <c r="E32" i="25" l="1"/>
  <c r="E28" i="28"/>
  <c r="E17" i="25"/>
  <c r="E13" i="29"/>
  <c r="E49" i="27"/>
  <c r="E42" i="25"/>
  <c r="E50" i="25"/>
  <c r="E60" i="25"/>
  <c r="E61" i="25"/>
  <c r="E16" i="27"/>
  <c r="E13" i="28"/>
  <c r="E18" i="33"/>
  <c r="E14" i="33"/>
  <c r="E20" i="33"/>
  <c r="E26" i="33"/>
  <c r="E19" i="33"/>
  <c r="E30" i="33"/>
  <c r="E32" i="33"/>
  <c r="E24" i="33"/>
  <c r="E25" i="33"/>
  <c r="E31" i="33"/>
  <c r="E33" i="33"/>
  <c r="E34" i="33"/>
  <c r="E23" i="33"/>
  <c r="E10" i="33"/>
  <c r="E29" i="33"/>
  <c r="E17" i="33"/>
  <c r="E13" i="33"/>
  <c r="E15" i="33"/>
  <c r="E35" i="33"/>
  <c r="E21" i="33"/>
  <c r="E27" i="33"/>
  <c r="E11" i="33"/>
  <c r="E37" i="33"/>
  <c r="E29" i="28"/>
  <c r="E43" i="27"/>
  <c r="E42" i="27"/>
  <c r="E46" i="27"/>
  <c r="E16" i="25"/>
  <c r="E14" i="25"/>
  <c r="E15" i="25"/>
  <c r="E13" i="25"/>
  <c r="E18" i="25"/>
  <c r="E19" i="25"/>
  <c r="E22" i="25"/>
  <c r="E27" i="25"/>
  <c r="E67" i="25"/>
  <c r="E68" i="25"/>
  <c r="E46" i="25"/>
  <c r="E25" i="25"/>
  <c r="E40" i="25"/>
  <c r="E35" i="25"/>
  <c r="E48" i="25"/>
  <c r="E31" i="25"/>
  <c r="E38" i="25"/>
  <c r="E20" i="25"/>
  <c r="E41" i="25"/>
  <c r="E47" i="25"/>
  <c r="E37" i="25"/>
  <c r="E21" i="25"/>
  <c r="E30" i="25"/>
  <c r="E52" i="25"/>
  <c r="E24" i="25"/>
  <c r="E44" i="25"/>
  <c r="E64" i="25"/>
  <c r="E43" i="25"/>
  <c r="E53" i="25"/>
  <c r="E36" i="25"/>
  <c r="E59" i="25"/>
  <c r="E62" i="25"/>
  <c r="E54" i="25"/>
  <c r="E51" i="25"/>
  <c r="E57" i="25"/>
  <c r="E56" i="25"/>
  <c r="E55" i="25"/>
  <c r="E34" i="25"/>
  <c r="E58" i="25"/>
  <c r="E63" i="25"/>
  <c r="E39" i="25"/>
  <c r="E33" i="25"/>
  <c r="E49" i="25"/>
  <c r="E45" i="25"/>
  <c r="E23" i="25"/>
  <c r="E26" i="25"/>
  <c r="E65" i="25"/>
  <c r="E11" i="30"/>
  <c r="E50" i="28"/>
  <c r="G50" i="28" s="1"/>
  <c r="E11" i="29"/>
  <c r="E36" i="28"/>
  <c r="G36" i="28" s="1"/>
  <c r="E34" i="28"/>
  <c r="E17" i="27"/>
  <c r="E26" i="27"/>
  <c r="E55" i="27"/>
  <c r="E21" i="28"/>
  <c r="E44" i="28"/>
  <c r="E46" i="28"/>
  <c r="E10" i="29"/>
  <c r="E44" i="27"/>
  <c r="E36" i="27"/>
  <c r="E13" i="27"/>
  <c r="E20" i="28"/>
  <c r="G20" i="28" s="1"/>
  <c r="E52" i="28"/>
  <c r="E52" i="27"/>
  <c r="E50" i="27"/>
  <c r="E40" i="27"/>
  <c r="E48" i="27"/>
  <c r="E51" i="28"/>
  <c r="E41" i="28"/>
  <c r="E14" i="29"/>
  <c r="E48" i="28"/>
  <c r="E32" i="27"/>
  <c r="E53" i="27"/>
  <c r="E14" i="28"/>
  <c r="G14" i="28" s="1"/>
  <c r="E49" i="28"/>
  <c r="E54" i="28"/>
  <c r="G54" i="28" s="1"/>
  <c r="E15" i="29"/>
  <c r="E42" i="28"/>
  <c r="G42" i="28" s="1"/>
  <c r="E17" i="28"/>
  <c r="E35" i="28"/>
  <c r="E20" i="27"/>
  <c r="E47" i="27"/>
  <c r="E40" i="28"/>
  <c r="G40" i="28" s="1"/>
  <c r="E31" i="27"/>
  <c r="E15" i="27"/>
  <c r="E37" i="28"/>
  <c r="E12" i="29"/>
  <c r="E38" i="27"/>
  <c r="E54" i="27"/>
  <c r="E39" i="27"/>
  <c r="E33" i="28"/>
  <c r="E16" i="28"/>
  <c r="E33" i="27"/>
  <c r="E41" i="27"/>
  <c r="E16" i="29"/>
  <c r="E12" i="30"/>
  <c r="E55" i="28"/>
  <c r="G55" i="28" s="1"/>
  <c r="E30" i="28"/>
  <c r="G30" i="28" s="1"/>
  <c r="E56" i="27"/>
  <c r="E34" i="27"/>
  <c r="E37" i="27"/>
  <c r="E21" i="27"/>
  <c r="E45" i="27"/>
  <c r="E30" i="27"/>
  <c r="E35" i="27"/>
  <c r="E38" i="28"/>
  <c r="E39" i="28"/>
  <c r="G39" i="28" s="1"/>
  <c r="E45" i="28"/>
  <c r="E53" i="28"/>
  <c r="E51" i="27"/>
  <c r="E32" i="28"/>
  <c r="G32" i="28" s="1"/>
  <c r="E27" i="28"/>
  <c r="G27" i="28" s="1"/>
  <c r="E43" i="28"/>
  <c r="E27" i="27"/>
  <c r="E28" i="27"/>
  <c r="E31" i="28"/>
  <c r="E47" i="28"/>
  <c r="G47" i="28" s="1"/>
  <c r="E29" i="27"/>
  <c r="E19" i="28"/>
  <c r="E11" i="27"/>
  <c r="E19" i="27"/>
  <c r="E26" i="28"/>
  <c r="E17" i="29"/>
  <c r="E10" i="30"/>
  <c r="E11" i="28"/>
  <c r="E56" i="28"/>
  <c r="E15" i="28"/>
  <c r="E22" i="27"/>
  <c r="E57" i="27"/>
  <c r="E14" i="27"/>
  <c r="E22" i="28"/>
  <c r="E23" i="28"/>
  <c r="E18" i="28"/>
  <c r="E18" i="27"/>
  <c r="E58" i="28"/>
  <c r="E23" i="27"/>
  <c r="E59" i="28"/>
  <c r="E59" i="27"/>
  <c r="E60" i="27"/>
  <c r="E12" i="27"/>
  <c r="E65" i="26"/>
  <c r="E40" i="26"/>
  <c r="E44" i="26"/>
  <c r="E43" i="26"/>
  <c r="E58" i="26"/>
  <c r="E53" i="26"/>
  <c r="E64" i="26"/>
  <c r="E55" i="26"/>
  <c r="E54" i="26"/>
  <c r="E15" i="26"/>
  <c r="E19" i="26"/>
  <c r="E41" i="26"/>
  <c r="E28" i="26"/>
  <c r="E13" i="26"/>
  <c r="E66" i="26"/>
  <c r="E45" i="26"/>
  <c r="E61" i="26"/>
  <c r="E39" i="26"/>
  <c r="E48" i="26"/>
  <c r="E36" i="26"/>
  <c r="E42" i="26"/>
  <c r="E34" i="26"/>
  <c r="E38" i="26"/>
  <c r="E59" i="26"/>
  <c r="E16" i="26"/>
  <c r="E46" i="26"/>
  <c r="E37" i="26"/>
  <c r="E20" i="26"/>
  <c r="E63" i="26"/>
  <c r="E27" i="26"/>
  <c r="E60" i="26"/>
  <c r="E57" i="26"/>
  <c r="E56" i="26"/>
  <c r="E35" i="26"/>
  <c r="E47" i="26"/>
  <c r="E62" i="26"/>
  <c r="E29" i="26"/>
  <c r="E26" i="26"/>
  <c r="E11" i="26"/>
  <c r="E33" i="26"/>
  <c r="E52" i="26"/>
  <c r="E18" i="26"/>
  <c r="E17" i="26"/>
  <c r="E49" i="26"/>
  <c r="E21" i="26"/>
  <c r="E67" i="26"/>
  <c r="E30" i="26"/>
  <c r="E14" i="26"/>
  <c r="E69" i="26"/>
  <c r="E22" i="26"/>
  <c r="E70" i="26"/>
  <c r="E32" i="2"/>
  <c r="E11" i="25"/>
  <c r="E16" i="2"/>
  <c r="E18" i="2"/>
  <c r="E17" i="2"/>
  <c r="E44" i="2"/>
  <c r="E34" i="2"/>
  <c r="E15" i="2"/>
  <c r="E30" i="2"/>
  <c r="E46" i="2"/>
  <c r="E33" i="2"/>
  <c r="E31" i="2"/>
  <c r="K11" i="2"/>
  <c r="H11" i="2"/>
  <c r="K19" i="2"/>
  <c r="H19" i="2"/>
  <c r="E19" i="2"/>
  <c r="K12" i="2"/>
  <c r="H12" i="2"/>
  <c r="K35" i="2"/>
  <c r="H35" i="2"/>
  <c r="E35" i="2"/>
  <c r="H25" i="2"/>
  <c r="E25" i="2"/>
  <c r="K25" i="2"/>
  <c r="H13" i="2"/>
  <c r="K13" i="2"/>
  <c r="F18" i="28" l="1"/>
  <c r="G15" i="28"/>
  <c r="H15" i="28"/>
  <c r="K39" i="2"/>
  <c r="H39" i="2"/>
  <c r="E39" i="2"/>
  <c r="H27" i="2"/>
  <c r="E27" i="2"/>
  <c r="K27" i="2"/>
  <c r="H40" i="2" l="1"/>
  <c r="G18" i="28"/>
  <c r="F23" i="28"/>
  <c r="H18" i="28"/>
  <c r="H43" i="2"/>
  <c r="E43" i="2"/>
  <c r="K43" i="2"/>
  <c r="K37" i="2"/>
  <c r="H37" i="2"/>
  <c r="E37" i="2"/>
  <c r="K40" i="2" l="1"/>
  <c r="E40" i="2"/>
  <c r="G23" i="28"/>
  <c r="F58" i="28"/>
  <c r="H23" i="28"/>
  <c r="K47" i="2"/>
  <c r="H47" i="2"/>
  <c r="E47" i="2"/>
  <c r="H45" i="2"/>
  <c r="E45" i="2"/>
  <c r="K45" i="2"/>
  <c r="F59" i="28" l="1"/>
  <c r="G58" i="28"/>
  <c r="H58" i="28"/>
  <c r="K48" i="2"/>
  <c r="E48" i="2"/>
  <c r="H48" i="2"/>
  <c r="G59" i="28" l="1"/>
  <c r="H59" i="28"/>
  <c r="K50" i="2"/>
  <c r="H50" i="2"/>
  <c r="E50" i="2"/>
  <c r="K52" i="2" l="1"/>
  <c r="H52" i="2"/>
  <c r="E52" i="2"/>
  <c r="K53" i="2" l="1"/>
  <c r="H53" i="2"/>
  <c r="E53" i="2"/>
  <c r="E37" i="22" l="1"/>
  <c r="H37" i="22"/>
  <c r="K3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Galiardo</author>
  </authors>
  <commentList>
    <comment ref="C53" authorId="0" shapeId="0" xr:uid="{6502FAB6-068D-4A01-9917-20A0228E9B90}">
      <text>
        <r>
          <rPr>
            <b/>
            <sz val="9"/>
            <color indexed="81"/>
            <rFont val="Tahoma"/>
            <family val="2"/>
          </rPr>
          <t>Ellie Galiardo:</t>
        </r>
        <r>
          <rPr>
            <sz val="9"/>
            <color indexed="81"/>
            <rFont val="Tahoma"/>
            <family val="2"/>
          </rPr>
          <t xml:space="preserve">
"Shared Payroll"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Galiardo</author>
  </authors>
  <commentList>
    <comment ref="C14" authorId="0" shapeId="0" xr:uid="{F9D20AAE-9F92-49B9-869A-9AD294EB3F25}">
      <text>
        <r>
          <rPr>
            <b/>
            <sz val="9"/>
            <color indexed="81"/>
            <rFont val="Tahoma"/>
            <family val="2"/>
          </rPr>
          <t>Ellie Galiardo:</t>
        </r>
        <r>
          <rPr>
            <sz val="9"/>
            <color indexed="81"/>
            <rFont val="Tahoma"/>
            <family val="2"/>
          </rPr>
          <t xml:space="preserve">
"Shared Payroll"
</t>
        </r>
      </text>
    </comment>
  </commentList>
</comments>
</file>

<file path=xl/sharedStrings.xml><?xml version="1.0" encoding="utf-8"?>
<sst xmlns="http://schemas.openxmlformats.org/spreadsheetml/2006/main" count="1301" uniqueCount="723">
  <si>
    <t>Jun</t>
  </si>
  <si>
    <t>Total Rooms Available - 100</t>
  </si>
  <si>
    <t>Available Rooms</t>
  </si>
  <si>
    <t>Total Rooms Sold - 100</t>
  </si>
  <si>
    <t>Total Rooms Sold</t>
  </si>
  <si>
    <t>Occupancy</t>
  </si>
  <si>
    <t>Average Daily Rate</t>
  </si>
  <si>
    <t>Revenue per Available Room</t>
  </si>
  <si>
    <t/>
  </si>
  <si>
    <t>Revenues</t>
  </si>
  <si>
    <t>Total Revenue - 100</t>
  </si>
  <si>
    <t xml:space="preserve">    Rooms</t>
  </si>
  <si>
    <t>Total Revenue - 200</t>
  </si>
  <si>
    <t xml:space="preserve">    Food &amp; Beverage</t>
  </si>
  <si>
    <t>Total Revenue - 300</t>
  </si>
  <si>
    <t xml:space="preserve">    Other Operated Departments</t>
  </si>
  <si>
    <t>Total Revenue - 400</t>
  </si>
  <si>
    <t xml:space="preserve">    Miscellaneous Income</t>
  </si>
  <si>
    <t>Total Revenues</t>
  </si>
  <si>
    <t>Departmental Expense</t>
  </si>
  <si>
    <t>Total Departmental Expenses - 100</t>
  </si>
  <si>
    <t>Total Departmental Expenses - 200</t>
  </si>
  <si>
    <t>Total Departmental Expenses - 300</t>
  </si>
  <si>
    <t>Total Departmental Expense</t>
  </si>
  <si>
    <t>Total Departmental Profit</t>
  </si>
  <si>
    <t>Undistributed Expenses</t>
  </si>
  <si>
    <t>Total Departmental Expenses - 500</t>
  </si>
  <si>
    <t>Total Departmental Expenses - 600</t>
  </si>
  <si>
    <t>Total Departmental Expenses - 800</t>
  </si>
  <si>
    <t>Total Utilities Expense - 810</t>
  </si>
  <si>
    <t>Total Undistributed Expenses</t>
  </si>
  <si>
    <t>Gross Operating Profit</t>
  </si>
  <si>
    <t>Base Fee - 920</t>
  </si>
  <si>
    <t xml:space="preserve">    Management Fees</t>
  </si>
  <si>
    <t>Incentive Fee - 920</t>
  </si>
  <si>
    <t>Income before non-operating inc &amp; expense</t>
  </si>
  <si>
    <t>Total Non-Operating Income - 900</t>
  </si>
  <si>
    <t xml:space="preserve">    Income</t>
  </si>
  <si>
    <t>Total Rent - 900</t>
  </si>
  <si>
    <t xml:space="preserve">    Rent</t>
  </si>
  <si>
    <t>Total Taxes - 900</t>
  </si>
  <si>
    <t xml:space="preserve">    Property &amp; Other Taxes</t>
  </si>
  <si>
    <t>Total Insurance - 900</t>
  </si>
  <si>
    <t xml:space="preserve">    Insurance</t>
  </si>
  <si>
    <t>Total Other Expenses - 900</t>
  </si>
  <si>
    <t xml:space="preserve">    Other</t>
  </si>
  <si>
    <t>Total non-operating income &amp; expenses</t>
  </si>
  <si>
    <t>EBITDA</t>
  </si>
  <si>
    <t>FF&amp;E - 930</t>
  </si>
  <si>
    <t>Management Fees</t>
  </si>
  <si>
    <t>Administrative &amp; General - 600</t>
  </si>
  <si>
    <t>Other Expenses</t>
  </si>
  <si>
    <t>Agency Fees - 700</t>
  </si>
  <si>
    <t>Rooms</t>
  </si>
  <si>
    <t>Allowances - 100</t>
  </si>
  <si>
    <t>Other Revenue</t>
  </si>
  <si>
    <t>Health Club/Spa</t>
  </si>
  <si>
    <t>Audit Charges - 500</t>
  </si>
  <si>
    <t>Parking</t>
  </si>
  <si>
    <t>Retail</t>
  </si>
  <si>
    <t>Guest Communications</t>
  </si>
  <si>
    <t>Laundry &amp; Dry Cleaning</t>
  </si>
  <si>
    <t>Bank Charges - 500</t>
  </si>
  <si>
    <t>Beverage Revenue</t>
  </si>
  <si>
    <t>Building Expense - 800</t>
  </si>
  <si>
    <t>Cash Overages &amp; Shortages - 500</t>
  </si>
  <si>
    <t>Centralized Accounting Charges - 500</t>
  </si>
  <si>
    <t>Centralized Information System Charges - 600</t>
  </si>
  <si>
    <t>Utilities</t>
  </si>
  <si>
    <t>Cleaning Supplies - 100</t>
  </si>
  <si>
    <t>Cluster Services - 600</t>
  </si>
  <si>
    <t>Cluster Services - 700</t>
  </si>
  <si>
    <t>Collateral Material - 700</t>
  </si>
  <si>
    <t>Commissions - 100</t>
  </si>
  <si>
    <t>Commissions &amp; Fees - Group - 100</t>
  </si>
  <si>
    <t>Comp F&amp;B Reg S&amp;W - 100</t>
  </si>
  <si>
    <t>Complimentary Food &amp; Beverage - 100</t>
  </si>
  <si>
    <t>Complimentary In-Room/Media Entertainment - 100</t>
  </si>
  <si>
    <t>Complimentary Services &amp; Gifts - 100</t>
  </si>
  <si>
    <t>Complimentary Services &amp; Gifts - 500</t>
  </si>
  <si>
    <t>Complimentary Services &amp; Gifts - 700</t>
  </si>
  <si>
    <t>Food Revenue</t>
  </si>
  <si>
    <t>Contract Rooms Revenue - 100</t>
  </si>
  <si>
    <t>Contract Services - 100</t>
  </si>
  <si>
    <t>Contract Services - 500</t>
  </si>
  <si>
    <t>Contract Services - 600</t>
  </si>
  <si>
    <t>Contract Services - 700</t>
  </si>
  <si>
    <t>Contract Services - 800</t>
  </si>
  <si>
    <t>Contract Services - 810</t>
  </si>
  <si>
    <t>Corporate Office Reimbursables - 100</t>
  </si>
  <si>
    <t>Corporate Office Reimbursables - 500</t>
  </si>
  <si>
    <t>Corporate Office Reimbursables - 600</t>
  </si>
  <si>
    <t>Corporate Office Reimbursables - 700</t>
  </si>
  <si>
    <t>Corporate Office Reimbursables - 800</t>
  </si>
  <si>
    <t>Cost of Cell Phones - 600</t>
  </si>
  <si>
    <t>Cost of Food &amp; Beverage Sales - 200</t>
  </si>
  <si>
    <t>Cost of Internet Services - 600</t>
  </si>
  <si>
    <t>Cost of Local Calls - 600</t>
  </si>
  <si>
    <t>Cost of Long Distance Calls - 600</t>
  </si>
  <si>
    <t>Cost of Other Sales - 200</t>
  </si>
  <si>
    <t>Cost of Services - 600</t>
  </si>
  <si>
    <t>Credit Card Commissions - 500</t>
  </si>
  <si>
    <t>Credit &amp; Collection - 500</t>
  </si>
  <si>
    <t>Decorations - 100</t>
  </si>
  <si>
    <t>Decorations - 500</t>
  </si>
  <si>
    <t>Decorations - 700</t>
  </si>
  <si>
    <t>Dept Profit - 100</t>
  </si>
  <si>
    <t>Dept Profit - 300</t>
  </si>
  <si>
    <t>Donations - 500</t>
  </si>
  <si>
    <t>Dues &amp; Subscriptions - 100</t>
  </si>
  <si>
    <t>Dues &amp; Subscriptions - 500</t>
  </si>
  <si>
    <t>Dues &amp; Subscriptions - 600</t>
  </si>
  <si>
    <t>Dues &amp; Subscriptions - 700</t>
  </si>
  <si>
    <t>Electrical &amp; Mechanical Equipment - 800</t>
  </si>
  <si>
    <t>Electricity - 810</t>
  </si>
  <si>
    <t>Elevators &amp; Escalators - 800</t>
  </si>
  <si>
    <t>Energy Management - 600</t>
  </si>
  <si>
    <t>Engineering Supplies - 800</t>
  </si>
  <si>
    <t>Entertainment- In-House - 100</t>
  </si>
  <si>
    <t>Entertainment - In-House - 500</t>
  </si>
  <si>
    <t>Entertainment- In-House - 600</t>
  </si>
  <si>
    <t>Entertainment - In-House - 700</t>
  </si>
  <si>
    <t>Equipment Rental - 100</t>
  </si>
  <si>
    <t>Equipment Rental - 500</t>
  </si>
  <si>
    <t>Equipment Rental - 600</t>
  </si>
  <si>
    <t>Equipment Rental - 700</t>
  </si>
  <si>
    <t>Equipment Rental - 800</t>
  </si>
  <si>
    <t>Familiarization Trips - 700</t>
  </si>
  <si>
    <t>Floor Covering - 800</t>
  </si>
  <si>
    <t>Food &amp; Beverage - 600</t>
  </si>
  <si>
    <t>Franchise And Affiliation Fees - Royalties - 700</t>
  </si>
  <si>
    <t>Franchise And Affiliation Marketing - 700</t>
  </si>
  <si>
    <t>Front Desk Management Reg S&amp;W - 100</t>
  </si>
  <si>
    <t>Front Desk Reg S&amp;W - 100</t>
  </si>
  <si>
    <t>Furniture &amp; Equipment - 800</t>
  </si>
  <si>
    <t>Gas - 810</t>
  </si>
  <si>
    <t>Gas</t>
  </si>
  <si>
    <t>Golf - 600</t>
  </si>
  <si>
    <t>Grounds Maintenance &amp; Landscaping - 800</t>
  </si>
  <si>
    <t>Group Association/Convention - 100</t>
  </si>
  <si>
    <t>Group Corporate - 100</t>
  </si>
  <si>
    <t>Group Government - 100</t>
  </si>
  <si>
    <t>Group Other - 100</t>
  </si>
  <si>
    <t>Group Rooms Revenue - 100</t>
  </si>
  <si>
    <t>Group SMERF - 100</t>
  </si>
  <si>
    <t>Group Tour/Wholesalers - 100</t>
  </si>
  <si>
    <t>Guest Relocation - 100</t>
  </si>
  <si>
    <t>Guest Supplies - 100</t>
  </si>
  <si>
    <t>Guest Transportation - 100</t>
  </si>
  <si>
    <t>Hardware - 600</t>
  </si>
  <si>
    <t>Health Club/Spa - 600</t>
  </si>
  <si>
    <t>Housekeeping Management Reg S&amp;W - 100</t>
  </si>
  <si>
    <t>Housekeeping Reg S&amp;W - 100</t>
  </si>
  <si>
    <t>Human Resources - 500</t>
  </si>
  <si>
    <t>Human Resources - 600</t>
  </si>
  <si>
    <t>HVAC Equipment - 800</t>
  </si>
  <si>
    <t>Information Security - 600</t>
  </si>
  <si>
    <t>Information Systems - 600</t>
  </si>
  <si>
    <t>Kitchen Equipment - 800</t>
  </si>
  <si>
    <t>Laundry &amp; Dry Cleaning - 100</t>
  </si>
  <si>
    <t>Laundry Equipment - 800</t>
  </si>
  <si>
    <t>Legal Services - 500</t>
  </si>
  <si>
    <t>Licenses &amp; Permits - 100</t>
  </si>
  <si>
    <t>Licenses &amp; Permits - 500</t>
  </si>
  <si>
    <t>Licenses &amp; Permits - 800</t>
  </si>
  <si>
    <t>Life/Safety - 800</t>
  </si>
  <si>
    <t>Light Bulbs - 800</t>
  </si>
  <si>
    <t>Linen - 100</t>
  </si>
  <si>
    <t>Loyalty Programs - 700</t>
  </si>
  <si>
    <t>Media - 700</t>
  </si>
  <si>
    <t>Misc. Attrition Fees - 400</t>
  </si>
  <si>
    <t>Misc. Cancellation Fees - 400</t>
  </si>
  <si>
    <t>Misc. Cash Discounts Earned - 400</t>
  </si>
  <si>
    <t>Misc. Commissions - 400</t>
  </si>
  <si>
    <t>Miscellaneous - 100</t>
  </si>
  <si>
    <t>Miscellaneous - 500</t>
  </si>
  <si>
    <t>Miscellaneous - 600</t>
  </si>
  <si>
    <t>Miscellaneous - 700</t>
  </si>
  <si>
    <t>Miscellaneous - 800</t>
  </si>
  <si>
    <t>Misc. Guest Laundry &amp; Dry Cleaning - 400</t>
  </si>
  <si>
    <t>Misc. Interest Income - 400</t>
  </si>
  <si>
    <t>Misc. Other Breakage - 400</t>
  </si>
  <si>
    <t>Misc. Other Income - 400</t>
  </si>
  <si>
    <t>Misc. Package Breakage - 400</t>
  </si>
  <si>
    <t>Misc. Resort Fees - 400</t>
  </si>
  <si>
    <t>Misc. Space Rental &amp; Concessions - 400</t>
  </si>
  <si>
    <t>Non-Mgmt Accounting Regular S&amp;W - 500</t>
  </si>
  <si>
    <t>Non-Mgmt Executive Regular S&amp;W - 500</t>
  </si>
  <si>
    <t>Non-Mgmt HR Regular S&amp;W - 500</t>
  </si>
  <si>
    <t>Non-Mgmt Security Regular S&amp;W - 500</t>
  </si>
  <si>
    <t>Non-Mgmt Unassigned Regular S&amp;W - 500</t>
  </si>
  <si>
    <t>Operating Supplies - 100</t>
  </si>
  <si>
    <t>Operating Supplies - 500</t>
  </si>
  <si>
    <t>Operating Supplies - 600</t>
  </si>
  <si>
    <t>Operating Supplies - 700</t>
  </si>
  <si>
    <t>Operating Supplies - 800</t>
  </si>
  <si>
    <t>Other - 600</t>
  </si>
  <si>
    <t>Other - Allowances - 200</t>
  </si>
  <si>
    <t>Other - Audiovisual Revenue - 200</t>
  </si>
  <si>
    <t>Other Cost of Services - 600</t>
  </si>
  <si>
    <t>Other Equipment - 600</t>
  </si>
  <si>
    <t>Other Expenses - 600</t>
  </si>
  <si>
    <t>Other Fee - 920</t>
  </si>
  <si>
    <t>Other Fuels - 810</t>
  </si>
  <si>
    <t>Other - Function Room Rental &amp; Setup Charges - 200</t>
  </si>
  <si>
    <t>Other - Other Revenue - 200</t>
  </si>
  <si>
    <t>Other Rooms Revenue - 100</t>
  </si>
  <si>
    <t>Other - Surcharges &amp; Service Charges - 200</t>
  </si>
  <si>
    <t>Outside Services Market Research - 700</t>
  </si>
  <si>
    <t>Painting and Wallcovering - 800</t>
  </si>
  <si>
    <t>Parking - 600</t>
  </si>
  <si>
    <t>Payroll Processing - 500</t>
  </si>
  <si>
    <t>Photography - 700</t>
  </si>
  <si>
    <t>Plumbing - 800</t>
  </si>
  <si>
    <t>Postage &amp; Overnight Delivery - 500</t>
  </si>
  <si>
    <t>Postage &amp; Overnight Delivery - 700</t>
  </si>
  <si>
    <t>Postage &amp; Overnight Delivery Charges - 100</t>
  </si>
  <si>
    <t>Printing &amp; Stationary - 100</t>
  </si>
  <si>
    <t>Printing &amp; Stationary - 700</t>
  </si>
  <si>
    <t>Professional Fees - 500</t>
  </si>
  <si>
    <t>Promotion - 700</t>
  </si>
  <si>
    <t>Property Operations &amp; Maintenance - 600</t>
  </si>
  <si>
    <t>Provision for Doubtful Accounts - 500</t>
  </si>
  <si>
    <t>Reservations - 100</t>
  </si>
  <si>
    <t>Reservations Reg S&amp;W - 100</t>
  </si>
  <si>
    <t>Rooms - 600</t>
  </si>
  <si>
    <t>Room Service Beverage - 200</t>
  </si>
  <si>
    <t>Room Service Food - 200</t>
  </si>
  <si>
    <t>Sales &amp; Marketing - 600</t>
  </si>
  <si>
    <t>Security - 500</t>
  </si>
  <si>
    <t>Settlement Costs - 500</t>
  </si>
  <si>
    <t>Steam - 810</t>
  </si>
  <si>
    <t>Supplemental Pay - 800</t>
  </si>
  <si>
    <t>Swimming Pool - 800</t>
  </si>
  <si>
    <t>S&amp;W Management - 100</t>
  </si>
  <si>
    <t>S&amp;W Management - 700</t>
  </si>
  <si>
    <t>S&amp;W Management Reg - 600</t>
  </si>
  <si>
    <t>S&amp;W Management Reg - 800</t>
  </si>
  <si>
    <t>S&amp;W Non-Management - 100</t>
  </si>
  <si>
    <t>S&amp;W Non-Management - 600</t>
  </si>
  <si>
    <t>S&amp;W Non-Management - 700</t>
  </si>
  <si>
    <t>S&amp;W Non-Management - 800</t>
  </si>
  <si>
    <t>Systems Expenses - 600</t>
  </si>
  <si>
    <t>System Storage &amp; Optimization - 600</t>
  </si>
  <si>
    <t>Telecommunications - 600</t>
  </si>
  <si>
    <t>Total Banquets Beverage- 200</t>
  </si>
  <si>
    <t>Total Banquets Food - 200</t>
  </si>
  <si>
    <t>Total Bonuses &amp; Incentives - 100</t>
  </si>
  <si>
    <t>Total Bonuses &amp; Incentives - 200</t>
  </si>
  <si>
    <t>Total Bonuses &amp; Incentives - 500</t>
  </si>
  <si>
    <t>Total Bonuses &amp; Incentives - 600</t>
  </si>
  <si>
    <t>Total Bonuses &amp; Incentives - 700</t>
  </si>
  <si>
    <t>Total Bonuses &amp; Incentives - 800</t>
  </si>
  <si>
    <t>Total Contracted Leased &amp; Outsourced Labor - 100</t>
  </si>
  <si>
    <t>Total Contracted Leased &amp; Outsourced Labor - 200</t>
  </si>
  <si>
    <t>Total Contracted Leased &amp; Outsourced Labor - 600</t>
  </si>
  <si>
    <t>Total Cost of F&amp;B Division Sales - 200</t>
  </si>
  <si>
    <t>Total Departmental Expenses - 310</t>
  </si>
  <si>
    <t>Total Departmental Expenses - 320</t>
  </si>
  <si>
    <t>Total Departmental Expenses - 340</t>
  </si>
  <si>
    <t>Total Departmental Expenses - 350</t>
  </si>
  <si>
    <t>Total Departmental Expenses - 360</t>
  </si>
  <si>
    <t>Total Departmental Expenses - 370</t>
  </si>
  <si>
    <t>Total Departmental Expenses - 380</t>
  </si>
  <si>
    <t>Total Departmental Expenses - 700</t>
  </si>
  <si>
    <t>Total Employee Benefits - 100</t>
  </si>
  <si>
    <t>Total Employee Benefits - 200</t>
  </si>
  <si>
    <t>Total Employee Benefits - 500</t>
  </si>
  <si>
    <t>Total Employee Benefits - 600</t>
  </si>
  <si>
    <t>Total Employee Benefits - 700</t>
  </si>
  <si>
    <t>Total Employee Benefits - 800</t>
  </si>
  <si>
    <t>Total Guest Communications Revenue - 350</t>
  </si>
  <si>
    <t>Total Health Club/Spa Revenue - 310</t>
  </si>
  <si>
    <t>Total Labor Costs &amp; Related Expenses - 200</t>
  </si>
  <si>
    <t>Total Labor Costs &amp; Related Expenses - 500</t>
  </si>
  <si>
    <t>Total Labor Costs &amp; Related Expenses - 600</t>
  </si>
  <si>
    <t>Total Labor Costs &amp; Related Expenses - 700</t>
  </si>
  <si>
    <t>Total Labor Costs &amp; Related Expenses - 800</t>
  </si>
  <si>
    <t>Total Laundry &amp; Dry Cleaning Revenue - 360</t>
  </si>
  <si>
    <t>Total Management Fees - 920</t>
  </si>
  <si>
    <t>Total Minor Operated Department-3 Revenue - 370</t>
  </si>
  <si>
    <t>Total Minor Operated Department-4 Revenue - 380</t>
  </si>
  <si>
    <t>Total Other Expenses - 100</t>
  </si>
  <si>
    <t>Total Other Expenses - 500</t>
  </si>
  <si>
    <t>Total Other Expenses - 600</t>
  </si>
  <si>
    <t>Total Other Expenses - 700</t>
  </si>
  <si>
    <t>Total Parking Revenue - 320</t>
  </si>
  <si>
    <t>Total Payroll-Related Expenses - 100</t>
  </si>
  <si>
    <t>Total Payroll-Related Expenses - 200</t>
  </si>
  <si>
    <t>Total Payroll-Related Expenses - 500</t>
  </si>
  <si>
    <t>Total Payroll-Related Expenses - 600</t>
  </si>
  <si>
    <t>Total Payroll-Related Expenses - 700</t>
  </si>
  <si>
    <t>Total Payroll-Related Expenses - 800</t>
  </si>
  <si>
    <t>Total Payroll Taxes - 100</t>
  </si>
  <si>
    <t>Total Payroll Taxes - 200</t>
  </si>
  <si>
    <t>Total Payroll Taxes - 500</t>
  </si>
  <si>
    <t>Total Payroll Taxes - 600</t>
  </si>
  <si>
    <t>Total Payroll Taxes - 700</t>
  </si>
  <si>
    <t>Total Payroll Taxes - 800</t>
  </si>
  <si>
    <t>Total Retail Revenue - 340</t>
  </si>
  <si>
    <t>Total Salaries &amp; Wages - 500</t>
  </si>
  <si>
    <t>Total Salaries &amp; Wages - 600</t>
  </si>
  <si>
    <t>Total Salaries &amp; Wages - 700</t>
  </si>
  <si>
    <t>Total Salaries &amp; Wages - 800</t>
  </si>
  <si>
    <t>Total Service Charge Distribution - 200</t>
  </si>
  <si>
    <t>Total Supplemental Pay - 100</t>
  </si>
  <si>
    <t>Total Supplemental Pay - 200</t>
  </si>
  <si>
    <t>Total Supplemental Pay - 500</t>
  </si>
  <si>
    <t>Total Supplemental Pay - 600</t>
  </si>
  <si>
    <t>Total Supplemental Pay - 700</t>
  </si>
  <si>
    <t>Trade Shows - 700</t>
  </si>
  <si>
    <t>Training - 100</t>
  </si>
  <si>
    <t>Training - 500</t>
  </si>
  <si>
    <t>Training - 600</t>
  </si>
  <si>
    <t>Training - 700</t>
  </si>
  <si>
    <t>Training - 800</t>
  </si>
  <si>
    <t>Transient Discount - 100</t>
  </si>
  <si>
    <t>Transient Negotiated - 100</t>
  </si>
  <si>
    <t>Transient Qualified - 100</t>
  </si>
  <si>
    <t>Transient Rebates and Subsidies - 100</t>
  </si>
  <si>
    <t>Transient Retail - 100</t>
  </si>
  <si>
    <t>Transient Rooms Revenue - 100</t>
  </si>
  <si>
    <t>Transient Wholesale - 100</t>
  </si>
  <si>
    <t>Travel - Meals &amp; Entertainment - 100</t>
  </si>
  <si>
    <t>Travel - Meals &amp; Entertainment - 500</t>
  </si>
  <si>
    <t>Travel - Meals &amp; Entertainment - 600</t>
  </si>
  <si>
    <t>Travel - Meals &amp; Entertainment - 700</t>
  </si>
  <si>
    <t>Travel - Meals &amp; Entertainment - 800</t>
  </si>
  <si>
    <t>Travel - Other - 100</t>
  </si>
  <si>
    <t>Travel - Other - 500</t>
  </si>
  <si>
    <t>Travel - Other - 600</t>
  </si>
  <si>
    <t>Travel - Other - 700</t>
  </si>
  <si>
    <t>Travel - Other - 800</t>
  </si>
  <si>
    <t>Unassigned Management Reg S&amp;W - 100</t>
  </si>
  <si>
    <t>Uniform Costs - 100</t>
  </si>
  <si>
    <t>Uniform Costs - 500</t>
  </si>
  <si>
    <t>Uniform Costs - 600</t>
  </si>
  <si>
    <t>Uniform Costs - 800</t>
  </si>
  <si>
    <t>Uniform Laundry - 100</t>
  </si>
  <si>
    <t>Uniform Laundry - 500</t>
  </si>
  <si>
    <t>Uniform Laundry - 600</t>
  </si>
  <si>
    <t>Uniform Laundry - 700</t>
  </si>
  <si>
    <t>Uniform Laundry - 800</t>
  </si>
  <si>
    <t>Vehicle Repairs and Maintenance - 800</t>
  </si>
  <si>
    <t>Venue Beverage - Minibar Revenue - 200</t>
  </si>
  <si>
    <t>Venue Food - Minibar Revenue - 200</t>
  </si>
  <si>
    <t>Venues Beverage - 200</t>
  </si>
  <si>
    <t>Venues Food - 200</t>
  </si>
  <si>
    <t>Waste Removal - 800</t>
  </si>
  <si>
    <t>Water &amp; Sewer - 810</t>
  </si>
  <si>
    <t>Web-Site - 700</t>
  </si>
  <si>
    <t>Rebates</t>
  </si>
  <si>
    <t>Discount</t>
  </si>
  <si>
    <t>Negotiated</t>
  </si>
  <si>
    <t>Qualified</t>
  </si>
  <si>
    <t>Wholesale</t>
  </si>
  <si>
    <t>Corporate</t>
  </si>
  <si>
    <t>Government</t>
  </si>
  <si>
    <t>SMERF</t>
  </si>
  <si>
    <t>Miscellaneous</t>
  </si>
  <si>
    <t>Supplemental Pay</t>
  </si>
  <si>
    <t>Employee Benefits</t>
  </si>
  <si>
    <t>Cleaning Supplies</t>
  </si>
  <si>
    <t>Commissions &amp; Fees - Group</t>
  </si>
  <si>
    <t>Complimentary Services &amp; Gifts</t>
  </si>
  <si>
    <t>Contract Services</t>
  </si>
  <si>
    <t>Decorations</t>
  </si>
  <si>
    <t>Equipment Rental</t>
  </si>
  <si>
    <t>Guest Relocation</t>
  </si>
  <si>
    <t>Guest Supplies</t>
  </si>
  <si>
    <t>Guest Transportation</t>
  </si>
  <si>
    <t>Licenses &amp; Permits</t>
  </si>
  <si>
    <t>Linen</t>
  </si>
  <si>
    <t>Operating Supplies</t>
  </si>
  <si>
    <t>Reservations</t>
  </si>
  <si>
    <t>Training</t>
  </si>
  <si>
    <t>Travel - Meals &amp; Entertainment</t>
  </si>
  <si>
    <t>Travel - Other</t>
  </si>
  <si>
    <t>Uniform Costs</t>
  </si>
  <si>
    <t>Commissions</t>
  </si>
  <si>
    <t>Total Departmental Expenses</t>
  </si>
  <si>
    <t>Food &amp; Beverage</t>
  </si>
  <si>
    <t>Other Operated Departments</t>
  </si>
  <si>
    <t>Administrative &amp; General</t>
  </si>
  <si>
    <t>Information &amp; Telecom Systems</t>
  </si>
  <si>
    <t>Sales &amp; Marketing</t>
  </si>
  <si>
    <t>Property Operation &amp; Maintenance</t>
  </si>
  <si>
    <t>Non-Operating Income &amp; Expenses</t>
  </si>
  <si>
    <t>FF&amp;E ProForma Calculation</t>
  </si>
  <si>
    <t>EBITDA: Less Replacement Reserve</t>
  </si>
  <si>
    <t>VARIANCE</t>
  </si>
  <si>
    <t>Budget</t>
  </si>
  <si>
    <t>%</t>
  </si>
  <si>
    <t>$</t>
  </si>
  <si>
    <t>Actual</t>
  </si>
  <si>
    <t>Transient Rooms Revenue</t>
  </si>
  <si>
    <t>Total Transient Room Rev</t>
  </si>
  <si>
    <t>Group Rooms Revenue</t>
  </si>
  <si>
    <t>Association/Convention</t>
  </si>
  <si>
    <t>Tour/Wholesalers</t>
  </si>
  <si>
    <t>Total Group Room Rev</t>
  </si>
  <si>
    <t>Contract Rooms Revenue</t>
  </si>
  <si>
    <t>Other Rooms Revenue</t>
  </si>
  <si>
    <t>Rooms: Allowances</t>
  </si>
  <si>
    <t>Total Rooms Revenue</t>
  </si>
  <si>
    <t>Labor &amp; Related Expenses</t>
  </si>
  <si>
    <t>Salaries &amp; Wages</t>
  </si>
  <si>
    <t>Management</t>
  </si>
  <si>
    <t>Non-Management</t>
  </si>
  <si>
    <t>Front Office</t>
  </si>
  <si>
    <t>Housekeeping</t>
  </si>
  <si>
    <t>Total Salaries and Wages</t>
  </si>
  <si>
    <t>Contracted &amp; Leased Labor</t>
  </si>
  <si>
    <t>Bonuses &amp; Incentives</t>
  </si>
  <si>
    <t>Total Labor Expense</t>
  </si>
  <si>
    <t>Payroll Taxes</t>
  </si>
  <si>
    <t>Total Payroll Related</t>
  </si>
  <si>
    <t>Total Labor &amp; Related Exp</t>
  </si>
  <si>
    <t>Postage and Overnight Delivery</t>
  </si>
  <si>
    <t>Printing &amp; Stationery</t>
  </si>
  <si>
    <t>Complimentary Food &amp; Beverage</t>
  </si>
  <si>
    <t>Uniforms Laundry</t>
  </si>
  <si>
    <t>Complimentary In Room Media Ent.</t>
  </si>
  <si>
    <t>Corporate Office Reimbursement</t>
  </si>
  <si>
    <t>Total Reservations Fees &amp; Other Exp</t>
  </si>
  <si>
    <t>Total Operations Expense</t>
  </si>
  <si>
    <t>Total Expenses</t>
  </si>
  <si>
    <t>Department Profit (Loss)</t>
  </si>
  <si>
    <t>Other Group</t>
  </si>
  <si>
    <t>Housekeeping Mgmt</t>
  </si>
  <si>
    <t>Front Desk Mgmt</t>
  </si>
  <si>
    <t>Comp F&amp;B</t>
  </si>
  <si>
    <t>Dues and Subscriptions</t>
  </si>
  <si>
    <t>Entertainment - In-House</t>
  </si>
  <si>
    <t>Retail Shop</t>
  </si>
  <si>
    <t>Total Departmental Revenues</t>
  </si>
  <si>
    <t>Departmental Expenses (Incl COS)</t>
  </si>
  <si>
    <t>Misc. Minor Operated Departments</t>
  </si>
  <si>
    <t>Minor Other Operated Departments</t>
  </si>
  <si>
    <t>Space Rent &amp; Concessions</t>
  </si>
  <si>
    <t>Cash Discounts Earned</t>
  </si>
  <si>
    <t>Attrition Penalties</t>
  </si>
  <si>
    <t>Cancellation Penalties</t>
  </si>
  <si>
    <t>Guest Laundry &amp; Dry Cleaning</t>
  </si>
  <si>
    <t>Other Breakage</t>
  </si>
  <si>
    <t>Package Breakage</t>
  </si>
  <si>
    <t>Resort Fees</t>
  </si>
  <si>
    <t>Other</t>
  </si>
  <si>
    <t>Total Revenue</t>
  </si>
  <si>
    <t>Interest Income</t>
  </si>
  <si>
    <t>Accounting</t>
  </si>
  <si>
    <t>Professional Fees</t>
  </si>
  <si>
    <t>Credit Card Commissions</t>
  </si>
  <si>
    <t>Cash Overages &amp; Shortages</t>
  </si>
  <si>
    <t>Provision for Doubtful Accounts</t>
  </si>
  <si>
    <t>Bank Charges</t>
  </si>
  <si>
    <t>Payroll Processing</t>
  </si>
  <si>
    <t>Legal Services</t>
  </si>
  <si>
    <t>Donations</t>
  </si>
  <si>
    <t>Security</t>
  </si>
  <si>
    <t>Human Resources (Consolidated)</t>
  </si>
  <si>
    <t>Executive</t>
  </si>
  <si>
    <t>HR</t>
  </si>
  <si>
    <t>Unassigned</t>
  </si>
  <si>
    <t>Audit Charges</t>
  </si>
  <si>
    <t>Centralized Accounting Charges</t>
  </si>
  <si>
    <t>Credit &amp; Collection</t>
  </si>
  <si>
    <t>Entertainment In-House</t>
  </si>
  <si>
    <t>Human Resources</t>
  </si>
  <si>
    <t>Settlement Costs</t>
  </si>
  <si>
    <t>Cost of Services</t>
  </si>
  <si>
    <t>Cost of Cell Phones</t>
  </si>
  <si>
    <t>Cost of Internet Services</t>
  </si>
  <si>
    <t>Cost of Local Calls</t>
  </si>
  <si>
    <t>Cost of Long Distance Calls</t>
  </si>
  <si>
    <t>Other Cost of Services</t>
  </si>
  <si>
    <t>Total Cost of Services</t>
  </si>
  <si>
    <t>System Expenses</t>
  </si>
  <si>
    <t>Administrative and General</t>
  </si>
  <si>
    <t>Total System Expenses</t>
  </si>
  <si>
    <t>Energy Management</t>
  </si>
  <si>
    <t>Golf</t>
  </si>
  <si>
    <t>Hardware</t>
  </si>
  <si>
    <t>Information Security</t>
  </si>
  <si>
    <t>Information Systems</t>
  </si>
  <si>
    <t>Property Operations &amp; Maintenance</t>
  </si>
  <si>
    <t>Telecommunications</t>
  </si>
  <si>
    <t>Cluster Services</t>
  </si>
  <si>
    <t>Corporate Office Reimbursables</t>
  </si>
  <si>
    <t>Dues &amp; Subscriptions</t>
  </si>
  <si>
    <t>Entertainment- In-House</t>
  </si>
  <si>
    <t>Other Equipment</t>
  </si>
  <si>
    <t>System Storage &amp; Optimization</t>
  </si>
  <si>
    <t>Uniform Laundry</t>
  </si>
  <si>
    <t>Promotion</t>
  </si>
  <si>
    <t>Trade Shows</t>
  </si>
  <si>
    <t>Collateral Materials</t>
  </si>
  <si>
    <t>Website</t>
  </si>
  <si>
    <t>Media</t>
  </si>
  <si>
    <t>Outside Services Market Research</t>
  </si>
  <si>
    <t>Photography</t>
  </si>
  <si>
    <t>Loyalty Programs</t>
  </si>
  <si>
    <t>Agency Fees</t>
  </si>
  <si>
    <t>Non-Mgmt. (Sales &amp; Marketing)</t>
  </si>
  <si>
    <t>Familiarization Trips</t>
  </si>
  <si>
    <t>Franchise and Affiliation Fees - Royalties</t>
  </si>
  <si>
    <t>Franchise and Affiliation Fees - Marketing</t>
  </si>
  <si>
    <t>Non-Mgmt. (PO &amp; M)</t>
  </si>
  <si>
    <t>Life/Safety</t>
  </si>
  <si>
    <t>Electrical &amp; Mechanical Equipment</t>
  </si>
  <si>
    <t>HVAC Equipment</t>
  </si>
  <si>
    <t>Furniture &amp; Equipment</t>
  </si>
  <si>
    <t>Building</t>
  </si>
  <si>
    <t>Plumbing</t>
  </si>
  <si>
    <t>Painting &amp; Wallcovering</t>
  </si>
  <si>
    <t>Elevators &amp; Escalators</t>
  </si>
  <si>
    <t>Grounds Maint &amp; Landscaping</t>
  </si>
  <si>
    <t>Light Bulbs</t>
  </si>
  <si>
    <t>Engineering Supplies</t>
  </si>
  <si>
    <t>Waste Removal</t>
  </si>
  <si>
    <t>Vehicle Repairs and Maintenance</t>
  </si>
  <si>
    <t>Swimming Pool</t>
  </si>
  <si>
    <t>Kitchen Equipment</t>
  </si>
  <si>
    <t>Laundry Equipment</t>
  </si>
  <si>
    <t>Floor Covering</t>
  </si>
  <si>
    <t>Electricity</t>
  </si>
  <si>
    <t>Water / Sewer</t>
  </si>
  <si>
    <t>Steam</t>
  </si>
  <si>
    <t>Other Fuels</t>
  </si>
  <si>
    <t>Base Management Fees</t>
  </si>
  <si>
    <t>Incentive Management Fee</t>
  </si>
  <si>
    <t>Other Management Fee</t>
  </si>
  <si>
    <t>Venues  Food Rev</t>
  </si>
  <si>
    <t>In Room Dining Food Rev</t>
  </si>
  <si>
    <t>Banquet-Catering &amp; CS Food Rev</t>
  </si>
  <si>
    <t>Mini Bar Food Rev</t>
  </si>
  <si>
    <t>Total Food Revenue</t>
  </si>
  <si>
    <t>Venues  Beverage Rev</t>
  </si>
  <si>
    <t>In Room Dining Beverage Rev</t>
  </si>
  <si>
    <t>Banquet-Catering &amp; CS Beverage Rev</t>
  </si>
  <si>
    <t>Mini Bar Beverage Rev</t>
  </si>
  <si>
    <t>Total Beverage Revenue</t>
  </si>
  <si>
    <t>Food &amp; Beverage: Allowances</t>
  </si>
  <si>
    <t>Total Food &amp; Beverage Revenue</t>
  </si>
  <si>
    <t>Audio/Visual Rentals</t>
  </si>
  <si>
    <t>Public Room Rental</t>
  </si>
  <si>
    <t>Surcharges &amp; Services Charges</t>
  </si>
  <si>
    <t>Miscellaneous Other Revenue</t>
  </si>
  <si>
    <t>Total Other Revenue</t>
  </si>
  <si>
    <t>Cost of Sales</t>
  </si>
  <si>
    <t>Cost of Food &amp; Beverage Sales</t>
  </si>
  <si>
    <t>Cost of Food Sales</t>
  </si>
  <si>
    <t>Cost of Beverage Sales</t>
  </si>
  <si>
    <t>Total Cost of Food &amp; Beverage Sales</t>
  </si>
  <si>
    <t>Cost of Other Revenue</t>
  </si>
  <si>
    <t>Total Cost of Other Revenue</t>
  </si>
  <si>
    <t>Total Cost of Sales</t>
  </si>
  <si>
    <t>Gross Profit</t>
  </si>
  <si>
    <t>Service Charge Distribution</t>
  </si>
  <si>
    <t>Dishwashing Supplies</t>
  </si>
  <si>
    <t>Kitchen Smallwares</t>
  </si>
  <si>
    <t>Banquet Expense</t>
  </si>
  <si>
    <t>Paper and Plastics</t>
  </si>
  <si>
    <t>China</t>
  </si>
  <si>
    <t>Glassware</t>
  </si>
  <si>
    <t>Flatware</t>
  </si>
  <si>
    <t>Ice</t>
  </si>
  <si>
    <t>Utensils</t>
  </si>
  <si>
    <t>Menus and Beverage Lists</t>
  </si>
  <si>
    <t>Music and Entertainment</t>
  </si>
  <si>
    <t>Kitchen Fuel</t>
  </si>
  <si>
    <t>China - 200</t>
  </si>
  <si>
    <t>Cleaning Supplies - 200</t>
  </si>
  <si>
    <t>Complimentary Services &amp; Gifts - 200</t>
  </si>
  <si>
    <t>Contract Services - 200</t>
  </si>
  <si>
    <t>Decorations - 200</t>
  </si>
  <si>
    <t>Dishwashing Supplies - 200</t>
  </si>
  <si>
    <t>Equipment Expense - 200</t>
  </si>
  <si>
    <t>Flatware - 200</t>
  </si>
  <si>
    <t>Glassware - 200</t>
  </si>
  <si>
    <t>Ice - 200</t>
  </si>
  <si>
    <t>Kitchen Smallwares - 200</t>
  </si>
  <si>
    <t>Laundry &amp; Dry Cleaning - 200</t>
  </si>
  <si>
    <t>Licenses &amp; Permits - 200</t>
  </si>
  <si>
    <t>Linen - 200</t>
  </si>
  <si>
    <t>Menus &amp; Beverage Lists - 200</t>
  </si>
  <si>
    <t>Miscellaneous - 200</t>
  </si>
  <si>
    <t>Kitchen Fuel - 200</t>
  </si>
  <si>
    <t>Music &amp; Entertainment - 200</t>
  </si>
  <si>
    <t>Operating Supplies - 200</t>
  </si>
  <si>
    <t>Paper &amp; Plastics - 200</t>
  </si>
  <si>
    <t>Printing &amp; Stationary - 200</t>
  </si>
  <si>
    <t>Reservations - 200</t>
  </si>
  <si>
    <t>Training - 200</t>
  </si>
  <si>
    <t>Travel - Meals &amp; Entertainment - 200</t>
  </si>
  <si>
    <t>Travel - Other - 200</t>
  </si>
  <si>
    <t>Uniform Costs - 200</t>
  </si>
  <si>
    <t>Uniform Laundry - 200</t>
  </si>
  <si>
    <t>Utensils - 200</t>
  </si>
  <si>
    <t>Total Other Expenses - 200</t>
  </si>
  <si>
    <t>Commissions - 200</t>
  </si>
  <si>
    <t>Banquet Expenses - 200</t>
  </si>
  <si>
    <t>Cluster Services - 200</t>
  </si>
  <si>
    <t>Corporate Office Reimbursables - 200</t>
  </si>
  <si>
    <t>Entertainment- In-House - 200</t>
  </si>
  <si>
    <t>Dues &amp; Subscriptions - 200</t>
  </si>
  <si>
    <t>Kitchen Allocation - 200</t>
  </si>
  <si>
    <t>Kitchen Allocation</t>
  </si>
  <si>
    <t>Management Fees - 200</t>
  </si>
  <si>
    <t>Postage &amp; Overnight Delivery - 200</t>
  </si>
  <si>
    <t>Postage &amp; Overnight Delivery</t>
  </si>
  <si>
    <t>Royalty Fees - 200</t>
  </si>
  <si>
    <t>Royalty Fees</t>
  </si>
  <si>
    <t>Food Revenue - 205</t>
  </si>
  <si>
    <t>Pool Bar Food Rev</t>
  </si>
  <si>
    <t>Market Bar Food Rev</t>
  </si>
  <si>
    <t>Pool Bar Beverage Rev</t>
  </si>
  <si>
    <t>Market Bar Beverage Rev</t>
  </si>
  <si>
    <t>Beverage Revenue - 205</t>
  </si>
  <si>
    <t>Beverage Revenue - 204</t>
  </si>
  <si>
    <t>Food Revenue - 204</t>
  </si>
  <si>
    <t>Cost of Beverage Sales - 200</t>
  </si>
  <si>
    <t>S&amp;W Management - 200</t>
  </si>
  <si>
    <t>Asset Management fees - 900</t>
  </si>
  <si>
    <t>Insurance</t>
  </si>
  <si>
    <t>Building &amp; Contents - 900</t>
  </si>
  <si>
    <t>Business &amp; Occupation Taxes - 900</t>
  </si>
  <si>
    <t>Cluster Services - 500</t>
  </si>
  <si>
    <t>Cost of Food Sales - 200</t>
  </si>
  <si>
    <t>Credits - 810</t>
  </si>
  <si>
    <t>Deductible - 900</t>
  </si>
  <si>
    <t>Direct Mail - 700</t>
  </si>
  <si>
    <t>Dues &amp; Subscriptions - 800</t>
  </si>
  <si>
    <t>FX Gain Loss - 900</t>
  </si>
  <si>
    <t>Group Rebates and Subsidies - 100</t>
  </si>
  <si>
    <t>In-House Graphics - 700</t>
  </si>
  <si>
    <t>Land &amp; Buildings - 900</t>
  </si>
  <si>
    <t>Rent</t>
  </si>
  <si>
    <t>Legal fees - 900</t>
  </si>
  <si>
    <t>Liability - 900</t>
  </si>
  <si>
    <t>Loss &amp; Damage - 500</t>
  </si>
  <si>
    <t>Misc. Proceeds from Business Interruption Insurance - 400</t>
  </si>
  <si>
    <t>Non-Guest-Related Foreign Currency Gains (Losses) - 500</t>
  </si>
  <si>
    <t>Other Insurance - 900</t>
  </si>
  <si>
    <t>Other Non-Operating Expenses - 900</t>
  </si>
  <si>
    <t>Other Property &amp; Equipment - 900</t>
  </si>
  <si>
    <t>Other Taxes &amp; Assessments - 900</t>
  </si>
  <si>
    <t>Outside Sales Representation - 700</t>
  </si>
  <si>
    <t>Owner Expenses - 900</t>
  </si>
  <si>
    <t>Personal Property Taxes - 900</t>
  </si>
  <si>
    <t>Pre-Opening Expenses - 900</t>
  </si>
  <si>
    <t>Real Estate Taxes - 900</t>
  </si>
  <si>
    <t>Rooms Unassigned Reg S&amp;W - 100</t>
  </si>
  <si>
    <t>Staff Transportation - 500</t>
  </si>
  <si>
    <t>S&amp;W Management - 500</t>
  </si>
  <si>
    <t>S&amp;W Non-Management - 200</t>
  </si>
  <si>
    <t>S&amp;W Other - 200</t>
  </si>
  <si>
    <t>S&amp;W Other - 500</t>
  </si>
  <si>
    <t>S&amp;W Other - 800</t>
  </si>
  <si>
    <t>Total Beverage Revenue - 200</t>
  </si>
  <si>
    <t>Total Contracted Leased &amp; Outsourced Labor - 500</t>
  </si>
  <si>
    <t>Total Contracted Leased &amp; Outsourced Labor - 700</t>
  </si>
  <si>
    <t>Total Contracted Leased &amp; Outsourced Labor - 800</t>
  </si>
  <si>
    <t>Total Departmental Expenses - 000</t>
  </si>
  <si>
    <t>Total F&amp;B Division Revenue - 200</t>
  </si>
  <si>
    <t>Total Food Revenue - 200</t>
  </si>
  <si>
    <t>Total Hotel GOP - 000</t>
  </si>
  <si>
    <t>Total Labor Costs &amp; Related Expenses - 100</t>
  </si>
  <si>
    <t>Total Non-Op - 000</t>
  </si>
  <si>
    <t>Total Other Expenses - 800</t>
  </si>
  <si>
    <t>Total Other F&amp;B Revenue - 200</t>
  </si>
  <si>
    <t>Total Revenue - 000</t>
  </si>
  <si>
    <t>Total Salaries &amp; Wages - 100</t>
  </si>
  <si>
    <t>Total Salaries &amp; Wages - 200</t>
  </si>
  <si>
    <t>Total Salaries Wages &amp; Bonuses - 100</t>
  </si>
  <si>
    <t>Total Salaries Wages &amp; Bonuses - 200</t>
  </si>
  <si>
    <t>Total Service Charge Distribution - 100</t>
  </si>
  <si>
    <t>Total Service Charge Distribution - 700</t>
  </si>
  <si>
    <t>Total Undistributed Expenses - 000</t>
  </si>
  <si>
    <t>Income</t>
  </si>
  <si>
    <t xml:space="preserve">Total Income </t>
  </si>
  <si>
    <t>Land &amp; Buildings</t>
  </si>
  <si>
    <t>Other Property &amp; Equipment</t>
  </si>
  <si>
    <t>Total Rent</t>
  </si>
  <si>
    <t>Property &amp; Other Taxes</t>
  </si>
  <si>
    <t>Real Estate Taxes</t>
  </si>
  <si>
    <t>Personal Property Taxes</t>
  </si>
  <si>
    <t>Business &amp; Occupation Taxes</t>
  </si>
  <si>
    <t>Other Taxes &amp; Assesments</t>
  </si>
  <si>
    <t>Total Property &amp; Other Taxes</t>
  </si>
  <si>
    <t>Property Insurance</t>
  </si>
  <si>
    <t>Liability Insurance</t>
  </si>
  <si>
    <t>Other Insurance</t>
  </si>
  <si>
    <t>Total Insurance</t>
  </si>
  <si>
    <t>Owner's Expense</t>
  </si>
  <si>
    <t>Total Other</t>
  </si>
  <si>
    <t>Total Non-Operating Income &amp; Expense</t>
  </si>
  <si>
    <t>Deductible</t>
  </si>
  <si>
    <t>Asset Management Fee</t>
  </si>
  <si>
    <t>FX Gain Floss</t>
  </si>
  <si>
    <t>Legal Fees</t>
  </si>
  <si>
    <t>Other Non-Operating Expenses</t>
  </si>
  <si>
    <t>Pre-Opening Expenses</t>
  </si>
  <si>
    <t>Proceeds from BI Insurance</t>
  </si>
  <si>
    <t>Direct Mail</t>
  </si>
  <si>
    <t>Outside Sales Representation</t>
  </si>
  <si>
    <t>Group Rebates</t>
  </si>
  <si>
    <t>Loss &amp; Damage</t>
  </si>
  <si>
    <t>Other S&amp;W</t>
  </si>
  <si>
    <t>In-House Graphics</t>
  </si>
  <si>
    <t>Currency Gains (Losses)</t>
  </si>
  <si>
    <t>Staff Transportation</t>
  </si>
  <si>
    <t>Credits</t>
  </si>
  <si>
    <t>Printing &amp; Stationary</t>
  </si>
  <si>
    <t>Printing &amp; Stationary - 500</t>
  </si>
  <si>
    <t>Cleaning Supplies - 800</t>
  </si>
  <si>
    <t>&lt;- Property Code</t>
  </si>
  <si>
    <t>ANG</t>
  </si>
  <si>
    <t>&lt;- Month</t>
  </si>
  <si>
    <t>&lt;- Year</t>
  </si>
  <si>
    <t>Actual - Last Year</t>
  </si>
  <si>
    <t>STATEMENT OF INCOME</t>
  </si>
  <si>
    <t>Angler's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</si>
</sst>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6" formatCode="0.0\ \p\p\t"/>
    <numFmt numFmtId="167" formatCode="#,##0_);\(#,##0\);;"/>
    <numFmt numFmtId="168" formatCode="0.0%;;"/>
    <numFmt numFmtId="169" formatCode="_([$$-409]* #,##0.00_);_([$$-409]* \(#,##0.00\);_([$$-409]* &quot;-&quot;??_);_(@_)"/>
    <numFmt numFmtId="170" formatCode="_(* #,##0_);_(* \(#,##0\);_(* &quot;-&quot;??_);_(@_)"/>
    <numFmt numFmtId="171" formatCode="_(#,##0_);[Red]_(\(#,##0\);_(\ \-\ _);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name val="Arial"/>
      <family val="2"/>
    </font>
    <font>
      <b/>
      <sz val="11"/>
      <color rgb="FF5F554D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FF"/>
      <name val="Arial"/>
      <family val="2"/>
    </font>
    <font>
      <sz val="11"/>
      <color rgb="FF0000F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sz val="11"/>
      <color rgb="FFC63527"/>
      <name val="Aptos Narrow"/>
      <family val="2"/>
      <scheme val="minor"/>
    </font>
    <font>
      <b/>
      <sz val="18"/>
      <color rgb="FF39617A"/>
      <name val="Verdana"/>
      <family val="2"/>
    </font>
    <font>
      <b/>
      <sz val="11"/>
      <color rgb="FF000000"/>
      <name val="Verdana"/>
      <family val="2"/>
    </font>
    <font>
      <sz val="11"/>
      <color theme="5"/>
      <name val="Aptos Narrow"/>
      <family val="2"/>
      <scheme val="minor"/>
    </font>
    <font>
      <b/>
      <i/>
      <sz val="11"/>
      <color theme="5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theme="2" tint="-9.9948118533890809E-2"/>
        <bgColor indexed="65"/>
      </patternFill>
    </fill>
    <fill>
      <patternFill patternType="solid">
        <fgColor rgb="FF39617A"/>
        <bgColor indexed="64"/>
      </patternFill>
    </fill>
    <fill>
      <patternFill patternType="solid">
        <fgColor rgb="FFDFE5E6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indexed="64"/>
      </top>
      <bottom style="double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rgb="FF000000"/>
      </top>
      <bottom style="thin">
        <color rgb="FF000000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indexed="64"/>
      </bottom>
      <diagonal/>
    </border>
    <border>
      <left style="thin">
        <color rgb="FFA5AEB6"/>
      </left>
      <right/>
      <top/>
      <bottom style="thin">
        <color rgb="FFA5AEB6"/>
      </bottom>
      <diagonal/>
    </border>
    <border>
      <left/>
      <right style="thin">
        <color rgb="FFA5AEB6"/>
      </right>
      <top style="thin">
        <color indexed="64"/>
      </top>
      <bottom style="double">
        <color indexed="64"/>
      </bottom>
      <diagonal/>
    </border>
    <border>
      <left/>
      <right style="thin">
        <color rgb="FFA5AEB6"/>
      </right>
      <top style="thin">
        <color indexed="64"/>
      </top>
      <bottom/>
      <diagonal/>
    </border>
    <border>
      <left/>
      <right style="thin">
        <color rgb="FFA5AEB6"/>
      </right>
      <top/>
      <bottom/>
      <diagonal/>
    </border>
    <border>
      <left/>
      <right style="thin">
        <color rgb="FFA5AEB6"/>
      </right>
      <top/>
      <bottom style="thin">
        <color indexed="64"/>
      </bottom>
      <diagonal/>
    </border>
    <border>
      <left/>
      <right style="thin">
        <color rgb="FFA5AEB6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rgb="FFA5AEB6"/>
      </right>
      <top style="thin">
        <color indexed="64"/>
      </top>
      <bottom style="double">
        <color indexed="64"/>
      </bottom>
      <diagonal/>
    </border>
    <border>
      <left/>
      <right style="thin">
        <color rgb="FFA5AEB6"/>
      </right>
      <top style="thin">
        <color theme="4" tint="0.59996337778862885"/>
      </top>
      <bottom/>
      <diagonal/>
    </border>
    <border>
      <left style="thin">
        <color rgb="FFA5AEB6"/>
      </left>
      <right style="thin">
        <color rgb="FFA5AEB6"/>
      </right>
      <top style="thin">
        <color indexed="64"/>
      </top>
      <bottom style="double">
        <color indexed="64"/>
      </bottom>
      <diagonal/>
    </border>
    <border>
      <left style="thin">
        <color rgb="FFA5AEB6"/>
      </left>
      <right/>
      <top/>
      <bottom/>
      <diagonal/>
    </border>
    <border>
      <left style="thin">
        <color rgb="FFA5AEB6"/>
      </left>
      <right/>
      <top/>
      <bottom style="thin">
        <color theme="4" tint="0.59996337778862885"/>
      </bottom>
      <diagonal/>
    </border>
    <border>
      <left style="thin">
        <color rgb="FFA5AEB6"/>
      </left>
      <right/>
      <top style="thin">
        <color theme="4" tint="0.59996337778862885"/>
      </top>
      <bottom/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theme="1"/>
      </bottom>
      <diagonal/>
    </border>
    <border>
      <left style="thin">
        <color rgb="FFA5AEB6"/>
      </left>
      <right style="thin">
        <color rgb="FFA5AEB6"/>
      </right>
      <top style="thin">
        <color theme="1"/>
      </top>
      <bottom style="double">
        <color theme="1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/>
      <diagonal/>
    </border>
    <border>
      <left style="thin">
        <color rgb="FFA5AEB6"/>
      </left>
      <right style="thin">
        <color rgb="FFA5AEB6"/>
      </right>
      <top/>
      <bottom style="thin">
        <color rgb="FFA5AEB6"/>
      </bottom>
      <diagonal/>
    </border>
    <border>
      <left/>
      <right/>
      <top style="thin">
        <color rgb="FFA5AEB6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/>
      <bottom style="double">
        <color indexed="64"/>
      </bottom>
      <diagonal/>
    </border>
    <border>
      <left/>
      <right style="thin">
        <color rgb="FFA5AEB6"/>
      </right>
      <top style="thin">
        <color rgb="FFA5AEB6"/>
      </top>
      <bottom style="thin">
        <color rgb="FFA5AEB6"/>
      </bottom>
      <diagonal/>
    </border>
    <border>
      <left/>
      <right/>
      <top/>
      <bottom style="double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indexed="64"/>
      </top>
      <bottom style="thin">
        <color indexed="64"/>
      </bottom>
      <diagonal/>
    </border>
    <border>
      <left style="thin">
        <color rgb="FFA5AEB6"/>
      </left>
      <right/>
      <top style="thin">
        <color rgb="FFA5AEB6"/>
      </top>
      <bottom style="thin">
        <color indexed="64"/>
      </bottom>
      <diagonal/>
    </border>
    <border>
      <left/>
      <right/>
      <top style="thin">
        <color rgb="FFA5AEB6"/>
      </top>
      <bottom style="thin">
        <color indexed="64"/>
      </bottom>
      <diagonal/>
    </border>
    <border>
      <left/>
      <right style="thin">
        <color rgb="FFA5AEB6"/>
      </right>
      <top style="thin">
        <color rgb="FFA5AEB6"/>
      </top>
      <bottom style="thin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rgb="FFA5AEB6"/>
      </bottom>
      <diagonal/>
    </border>
    <border>
      <left style="thin">
        <color rgb="FFA5AEB6"/>
      </left>
      <right/>
      <top style="thin">
        <color rgb="FFA5AEB6"/>
      </top>
      <bottom style="thin">
        <color rgb="FFA5AEB6"/>
      </bottom>
      <diagonal/>
    </border>
    <border>
      <left style="thin">
        <color rgb="FFA5AEB6"/>
      </left>
      <right/>
      <top style="thin">
        <color rgb="FFA5AEB6"/>
      </top>
      <bottom/>
      <diagonal/>
    </border>
    <border>
      <left/>
      <right/>
      <top style="thin">
        <color rgb="FFA5AEB6"/>
      </top>
      <bottom/>
      <diagonal/>
    </border>
    <border>
      <left/>
      <right style="thin">
        <color rgb="FFA5AEB6"/>
      </right>
      <top style="thin">
        <color rgb="FFA5AEB6"/>
      </top>
      <bottom style="thin">
        <color theme="4" tint="0.59996337778862885"/>
      </bottom>
      <diagonal/>
    </border>
    <border>
      <left/>
      <right style="thin">
        <color rgb="FFA5AEB6"/>
      </right>
      <top style="thin">
        <color rgb="FFA5AEB6"/>
      </top>
      <bottom/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 style="thin">
        <color rgb="FFA5AEB6"/>
      </bottom>
      <diagonal/>
    </border>
    <border>
      <left/>
      <right style="thin">
        <color rgb="FFA5AEB6"/>
      </right>
      <top style="thin">
        <color rgb="FF000000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theme="4" tint="0.59996337778862885"/>
      </bottom>
      <diagonal/>
    </border>
    <border>
      <left style="thin">
        <color rgb="FFA5AEB6"/>
      </left>
      <right style="thin">
        <color rgb="FFA5AEB6"/>
      </right>
      <top/>
      <bottom style="thin">
        <color theme="4" tint="0.59996337778862885"/>
      </bottom>
      <diagonal/>
    </border>
    <border>
      <left style="thin">
        <color rgb="FFA5AEB6"/>
      </left>
      <right style="thin">
        <color rgb="FFA5AEB6"/>
      </right>
      <top style="thin">
        <color rgb="FF000000"/>
      </top>
      <bottom style="thin">
        <color rgb="FFA5AEB6"/>
      </bottom>
      <diagonal/>
    </border>
    <border>
      <left style="thin">
        <color rgb="FFA5AEB6"/>
      </left>
      <right style="thin">
        <color theme="4" tint="0.59996337778862885"/>
      </right>
      <top style="thin">
        <color rgb="FF000000"/>
      </top>
      <bottom style="thin">
        <color rgb="FFA5AEB6"/>
      </bottom>
      <diagonal/>
    </border>
    <border>
      <left style="thin">
        <color theme="4" tint="0.59996337778862885"/>
      </left>
      <right style="thin">
        <color rgb="FFA5AEB6"/>
      </right>
      <top/>
      <bottom style="thin">
        <color theme="4" tint="0.59996337778862885"/>
      </bottom>
      <diagonal/>
    </border>
    <border>
      <left/>
      <right/>
      <top style="double">
        <color indexed="64"/>
      </top>
      <bottom style="thin">
        <color rgb="FFA5AEB6"/>
      </bottom>
      <diagonal/>
    </border>
    <border>
      <left/>
      <right/>
      <top style="double">
        <color theme="1"/>
      </top>
      <bottom style="thin">
        <color rgb="FFA5AEB6"/>
      </bottom>
      <diagonal/>
    </border>
    <border>
      <left/>
      <right style="thin">
        <color rgb="FFA5AEB6"/>
      </right>
      <top/>
      <bottom style="thin">
        <color rgb="FFA5AEB6"/>
      </bottom>
      <diagonal/>
    </border>
    <border>
      <left/>
      <right style="thin">
        <color rgb="FFA5AEB6"/>
      </right>
      <top style="double">
        <color indexed="64"/>
      </top>
      <bottom style="thin">
        <color rgb="FFA5AEB6"/>
      </bottom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B8CCE4"/>
      </top>
      <bottom/>
      <diagonal/>
    </border>
    <border>
      <left style="thin">
        <color rgb="FFA5AEB6"/>
      </left>
      <right style="thin">
        <color rgb="FFA5AEB6"/>
      </right>
      <top/>
      <bottom style="thin">
        <color rgb="FF000000"/>
      </bottom>
      <diagonal/>
    </border>
    <border>
      <left/>
      <right style="thin">
        <color rgb="FFA5AEB6"/>
      </right>
      <top/>
      <bottom style="thin">
        <color rgb="FF000000"/>
      </bottom>
      <diagonal/>
    </border>
    <border>
      <left style="thin">
        <color rgb="FFA5AEB6"/>
      </left>
      <right style="thin">
        <color rgb="FFA5AEB6"/>
      </right>
      <top/>
      <bottom/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theme="4" tint="0.59996337778862885"/>
      </left>
      <right style="thin">
        <color rgb="FFA5AEB6"/>
      </right>
      <top/>
      <bottom/>
      <diagonal/>
    </border>
    <border>
      <left style="thin">
        <color rgb="FFA5AEB6"/>
      </left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A5AEB6"/>
      </top>
      <bottom style="thin">
        <color rgb="FF000000"/>
      </bottom>
      <diagonal/>
    </border>
    <border>
      <left/>
      <right/>
      <top style="thin">
        <color rgb="FFA5AEB6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auto="1"/>
      </top>
      <bottom/>
      <diagonal/>
    </border>
    <border>
      <left style="thin">
        <color theme="4" tint="0.59996337778862885"/>
      </left>
      <right style="thin">
        <color rgb="FFA5AEB6"/>
      </right>
      <top style="thin">
        <color auto="1"/>
      </top>
      <bottom/>
      <diagonal/>
    </border>
    <border>
      <left/>
      <right style="thin">
        <color rgb="FFA5AEB6"/>
      </right>
      <top style="thin">
        <color indexed="64"/>
      </top>
      <bottom style="thin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B8CCE4"/>
      </bottom>
      <diagonal/>
    </border>
    <border>
      <left/>
      <right style="thin">
        <color rgb="FFA5AEB6"/>
      </right>
      <top/>
      <bottom style="thin">
        <color rgb="FFB8CCE4"/>
      </bottom>
      <diagonal/>
    </border>
    <border>
      <left/>
      <right style="thin">
        <color rgb="FFA5AEB6"/>
      </right>
      <top style="thin">
        <color theme="4" tint="0.59996337778862885"/>
      </top>
      <bottom style="thin">
        <color rgb="FFA5AEB6"/>
      </bottom>
      <diagonal/>
    </border>
    <border>
      <left/>
      <right style="thin">
        <color rgb="FFA5AEB6"/>
      </right>
      <top style="thin">
        <color rgb="FFB8CCE4"/>
      </top>
      <bottom/>
      <diagonal/>
    </border>
    <border>
      <left/>
      <right style="thin">
        <color rgb="FFA5AEB6"/>
      </right>
      <top style="thin">
        <color rgb="FFA5AEB6"/>
      </top>
      <bottom style="thin">
        <color rgb="FFB8CCE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5AEB6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A5AEB6"/>
      </bottom>
      <diagonal/>
    </border>
    <border>
      <left style="thin">
        <color rgb="FFA5AEB6"/>
      </left>
      <right/>
      <top style="thin">
        <color rgb="FF000000"/>
      </top>
      <bottom style="thin">
        <color rgb="FFA5AEB6"/>
      </bottom>
      <diagonal/>
    </border>
    <border>
      <left style="thin">
        <color rgb="FFA5AEB6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A5AEB6"/>
      </left>
      <right style="thin">
        <color rgb="FFA5AEB6"/>
      </right>
      <top/>
      <bottom style="thin">
        <color rgb="FFB8CCE4"/>
      </bottom>
      <diagonal/>
    </border>
    <border>
      <left style="thin">
        <color rgb="FFA5AEB6"/>
      </left>
      <right/>
      <top style="thin">
        <color rgb="FF000000"/>
      </top>
      <bottom style="thin">
        <color rgb="FF000000"/>
      </bottom>
      <diagonal/>
    </border>
    <border>
      <left style="thin">
        <color rgb="FFA5AEB6"/>
      </left>
      <right/>
      <top style="thin">
        <color rgb="FFA5AEB6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4">
    <xf numFmtId="0" fontId="0" fillId="0" borderId="0" xfId="0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/>
    <xf numFmtId="0" fontId="15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3" fillId="2" borderId="0" xfId="0" applyFont="1" applyFill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37" fontId="3" fillId="4" borderId="3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 indent="1"/>
    </xf>
    <xf numFmtId="37" fontId="3" fillId="4" borderId="4" xfId="0" applyNumberFormat="1" applyFont="1" applyFill="1" applyBorder="1"/>
    <xf numFmtId="37" fontId="0" fillId="4" borderId="5" xfId="0" applyNumberFormat="1" applyFill="1" applyBorder="1"/>
    <xf numFmtId="37" fontId="3" fillId="4" borderId="6" xfId="0" applyNumberFormat="1" applyFont="1" applyFill="1" applyBorder="1"/>
    <xf numFmtId="37" fontId="3" fillId="4" borderId="8" xfId="0" applyNumberFormat="1" applyFont="1" applyFill="1" applyBorder="1"/>
    <xf numFmtId="0" fontId="13" fillId="0" borderId="0" xfId="0" applyFont="1" applyAlignment="1">
      <alignment horizontal="left"/>
    </xf>
    <xf numFmtId="37" fontId="3" fillId="0" borderId="0" xfId="0" applyNumberFormat="1" applyFont="1"/>
    <xf numFmtId="0" fontId="0" fillId="0" borderId="2" xfId="0" applyBorder="1"/>
    <xf numFmtId="0" fontId="0" fillId="2" borderId="9" xfId="0" applyFill="1" applyBorder="1"/>
    <xf numFmtId="168" fontId="0" fillId="2" borderId="0" xfId="0" applyNumberFormat="1" applyFill="1"/>
    <xf numFmtId="167" fontId="0" fillId="0" borderId="0" xfId="0" applyNumberFormat="1"/>
    <xf numFmtId="168" fontId="3" fillId="0" borderId="0" xfId="2" applyNumberFormat="1" applyFont="1" applyFill="1" applyBorder="1"/>
    <xf numFmtId="168" fontId="0" fillId="0" borderId="0" xfId="0" applyNumberFormat="1"/>
    <xf numFmtId="0" fontId="17" fillId="2" borderId="0" xfId="0" applyFont="1" applyFill="1" applyAlignment="1">
      <alignment horizontal="left"/>
    </xf>
    <xf numFmtId="37" fontId="0" fillId="0" borderId="10" xfId="0" applyNumberFormat="1" applyBorder="1"/>
    <xf numFmtId="165" fontId="0" fillId="0" borderId="10" xfId="2" applyNumberFormat="1" applyFont="1" applyFill="1" applyBorder="1"/>
    <xf numFmtId="44" fontId="0" fillId="0" borderId="10" xfId="3" applyFont="1" applyFill="1" applyBorder="1"/>
    <xf numFmtId="0" fontId="9" fillId="6" borderId="10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2" borderId="16" xfId="0" applyFill="1" applyBorder="1"/>
    <xf numFmtId="168" fontId="14" fillId="2" borderId="15" xfId="0" applyNumberFormat="1" applyFont="1" applyFill="1" applyBorder="1"/>
    <xf numFmtId="168" fontId="11" fillId="0" borderId="15" xfId="2" applyNumberFormat="1" applyFont="1" applyBorder="1" applyAlignment="1">
      <alignment horizontal="right"/>
    </xf>
    <xf numFmtId="168" fontId="3" fillId="0" borderId="18" xfId="2" applyNumberFormat="1" applyFont="1" applyFill="1" applyBorder="1"/>
    <xf numFmtId="167" fontId="16" fillId="2" borderId="21" xfId="1" applyNumberFormat="1" applyFont="1" applyFill="1" applyBorder="1"/>
    <xf numFmtId="167" fontId="11" fillId="0" borderId="21" xfId="1" applyNumberFormat="1" applyFont="1" applyBorder="1" applyAlignment="1">
      <alignment horizontal="right"/>
    </xf>
    <xf numFmtId="165" fontId="0" fillId="6" borderId="10" xfId="2" applyNumberFormat="1" applyFont="1" applyFill="1" applyBorder="1"/>
    <xf numFmtId="0" fontId="0" fillId="2" borderId="21" xfId="0" applyFill="1" applyBorder="1"/>
    <xf numFmtId="0" fontId="0" fillId="2" borderId="15" xfId="0" applyFill="1" applyBorder="1"/>
    <xf numFmtId="167" fontId="0" fillId="0" borderId="10" xfId="0" applyNumberFormat="1" applyBorder="1"/>
    <xf numFmtId="168" fontId="0" fillId="0" borderId="10" xfId="2" applyNumberFormat="1" applyFont="1" applyFill="1" applyBorder="1"/>
    <xf numFmtId="167" fontId="0" fillId="2" borderId="21" xfId="0" applyNumberFormat="1" applyFill="1" applyBorder="1"/>
    <xf numFmtId="168" fontId="0" fillId="2" borderId="15" xfId="0" applyNumberFormat="1" applyFill="1" applyBorder="1"/>
    <xf numFmtId="167" fontId="0" fillId="0" borderId="26" xfId="0" applyNumberFormat="1" applyBorder="1"/>
    <xf numFmtId="37" fontId="0" fillId="0" borderId="26" xfId="0" applyNumberFormat="1" applyBorder="1"/>
    <xf numFmtId="168" fontId="0" fillId="0" borderId="26" xfId="2" applyNumberFormat="1" applyFont="1" applyFill="1" applyBorder="1"/>
    <xf numFmtId="167" fontId="3" fillId="0" borderId="25" xfId="0" applyNumberFormat="1" applyFont="1" applyBorder="1"/>
    <xf numFmtId="168" fontId="3" fillId="0" borderId="25" xfId="2" applyNumberFormat="1" applyFont="1" applyFill="1" applyBorder="1"/>
    <xf numFmtId="167" fontId="3" fillId="0" borderId="27" xfId="0" applyNumberFormat="1" applyFont="1" applyBorder="1"/>
    <xf numFmtId="37" fontId="3" fillId="0" borderId="27" xfId="0" applyNumberFormat="1" applyFont="1" applyBorder="1"/>
    <xf numFmtId="168" fontId="3" fillId="0" borderId="27" xfId="2" applyNumberFormat="1" applyFont="1" applyFill="1" applyBorder="1"/>
    <xf numFmtId="167" fontId="0" fillId="0" borderId="24" xfId="0" applyNumberFormat="1" applyBorder="1"/>
    <xf numFmtId="168" fontId="0" fillId="0" borderId="24" xfId="2" applyNumberFormat="1" applyFont="1" applyFill="1" applyBorder="1"/>
    <xf numFmtId="167" fontId="3" fillId="0" borderId="29" xfId="0" applyNumberFormat="1" applyFont="1" applyBorder="1"/>
    <xf numFmtId="168" fontId="3" fillId="0" borderId="31" xfId="2" applyNumberFormat="1" applyFont="1" applyFill="1" applyBorder="1"/>
    <xf numFmtId="167" fontId="3" fillId="0" borderId="32" xfId="0" applyNumberFormat="1" applyFont="1" applyBorder="1"/>
    <xf numFmtId="37" fontId="3" fillId="0" borderId="32" xfId="0" applyNumberFormat="1" applyFont="1" applyBorder="1"/>
    <xf numFmtId="168" fontId="3" fillId="0" borderId="32" xfId="2" applyNumberFormat="1" applyFont="1" applyFill="1" applyBorder="1"/>
    <xf numFmtId="167" fontId="11" fillId="0" borderId="33" xfId="1" applyNumberFormat="1" applyFont="1" applyBorder="1" applyAlignment="1">
      <alignment horizontal="right"/>
    </xf>
    <xf numFmtId="168" fontId="11" fillId="0" borderId="35" xfId="2" applyNumberFormat="1" applyFont="1" applyBorder="1" applyAlignment="1">
      <alignment horizontal="right"/>
    </xf>
    <xf numFmtId="167" fontId="3" fillId="0" borderId="36" xfId="0" applyNumberFormat="1" applyFont="1" applyBorder="1"/>
    <xf numFmtId="168" fontId="3" fillId="0" borderId="36" xfId="2" applyNumberFormat="1" applyFont="1" applyFill="1" applyBorder="1"/>
    <xf numFmtId="0" fontId="9" fillId="6" borderId="30" xfId="0" applyFont="1" applyFill="1" applyBorder="1" applyAlignment="1">
      <alignment horizontal="center"/>
    </xf>
    <xf numFmtId="0" fontId="0" fillId="0" borderId="15" xfId="0" applyBorder="1"/>
    <xf numFmtId="0" fontId="9" fillId="6" borderId="10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Continuous" wrapText="1"/>
    </xf>
    <xf numFmtId="0" fontId="0" fillId="2" borderId="12" xfId="0" applyFill="1" applyBorder="1"/>
    <xf numFmtId="0" fontId="0" fillId="2" borderId="40" xfId="0" applyFill="1" applyBorder="1"/>
    <xf numFmtId="0" fontId="0" fillId="2" borderId="42" xfId="0" applyFill="1" applyBorder="1"/>
    <xf numFmtId="0" fontId="0" fillId="2" borderId="17" xfId="0" applyFill="1" applyBorder="1"/>
    <xf numFmtId="168" fontId="3" fillId="0" borderId="43" xfId="2" applyNumberFormat="1" applyFont="1" applyFill="1" applyBorder="1"/>
    <xf numFmtId="168" fontId="0" fillId="0" borderId="41" xfId="2" applyNumberFormat="1" applyFont="1" applyFill="1" applyBorder="1"/>
    <xf numFmtId="168" fontId="3" fillId="0" borderId="44" xfId="2" applyNumberFormat="1" applyFont="1" applyFill="1" applyBorder="1"/>
    <xf numFmtId="37" fontId="3" fillId="0" borderId="43" xfId="0" applyNumberFormat="1" applyFont="1" applyBorder="1"/>
    <xf numFmtId="37" fontId="0" fillId="0" borderId="41" xfId="0" applyNumberFormat="1" applyBorder="1"/>
    <xf numFmtId="37" fontId="3" fillId="0" borderId="44" xfId="0" applyNumberFormat="1" applyFont="1" applyBorder="1"/>
    <xf numFmtId="168" fontId="14" fillId="2" borderId="40" xfId="0" applyNumberFormat="1" applyFont="1" applyFill="1" applyBorder="1"/>
    <xf numFmtId="168" fontId="3" fillId="0" borderId="20" xfId="2" applyNumberFormat="1" applyFont="1" applyFill="1" applyBorder="1"/>
    <xf numFmtId="37" fontId="0" fillId="0" borderId="30" xfId="0" applyNumberFormat="1" applyBorder="1"/>
    <xf numFmtId="37" fontId="0" fillId="0" borderId="45" xfId="0" applyNumberFormat="1" applyBorder="1"/>
    <xf numFmtId="37" fontId="3" fillId="0" borderId="47" xfId="0" applyNumberFormat="1" applyFont="1" applyBorder="1"/>
    <xf numFmtId="0" fontId="0" fillId="2" borderId="22" xfId="0" applyFill="1" applyBorder="1"/>
    <xf numFmtId="0" fontId="0" fillId="2" borderId="19" xfId="0" applyFill="1" applyBorder="1"/>
    <xf numFmtId="0" fontId="0" fillId="2" borderId="37" xfId="0" applyFill="1" applyBorder="1"/>
    <xf numFmtId="168" fontId="14" fillId="2" borderId="9" xfId="0" applyNumberFormat="1" applyFont="1" applyFill="1" applyBorder="1"/>
    <xf numFmtId="168" fontId="11" fillId="0" borderId="34" xfId="2" applyNumberFormat="1" applyFont="1" applyBorder="1" applyAlignment="1">
      <alignment horizontal="right"/>
    </xf>
    <xf numFmtId="168" fontId="14" fillId="2" borderId="0" xfId="0" applyNumberFormat="1" applyFont="1" applyFill="1"/>
    <xf numFmtId="168" fontId="14" fillId="2" borderId="50" xfId="0" applyNumberFormat="1" applyFont="1" applyFill="1" applyBorder="1"/>
    <xf numFmtId="168" fontId="0" fillId="2" borderId="37" xfId="0" applyNumberFormat="1" applyFill="1" applyBorder="1"/>
    <xf numFmtId="168" fontId="11" fillId="0" borderId="51" xfId="2" applyNumberFormat="1" applyFont="1" applyBorder="1" applyAlignment="1">
      <alignment horizontal="right"/>
    </xf>
    <xf numFmtId="0" fontId="0" fillId="2" borderId="52" xfId="0" applyFill="1" applyBorder="1"/>
    <xf numFmtId="0" fontId="0" fillId="2" borderId="14" xfId="0" applyFill="1" applyBorder="1"/>
    <xf numFmtId="37" fontId="3" fillId="0" borderId="56" xfId="0" applyNumberFormat="1" applyFont="1" applyBorder="1"/>
    <xf numFmtId="168" fontId="3" fillId="0" borderId="56" xfId="2" applyNumberFormat="1" applyFont="1" applyFill="1" applyBorder="1"/>
    <xf numFmtId="37" fontId="0" fillId="0" borderId="57" xfId="0" applyNumberFormat="1" applyBorder="1"/>
    <xf numFmtId="37" fontId="0" fillId="0" borderId="60" xfId="0" applyNumberFormat="1" applyBorder="1"/>
    <xf numFmtId="168" fontId="0" fillId="0" borderId="60" xfId="2" applyNumberFormat="1" applyFont="1" applyFill="1" applyBorder="1"/>
    <xf numFmtId="168" fontId="0" fillId="0" borderId="30" xfId="2" applyNumberFormat="1" applyFont="1" applyFill="1" applyBorder="1"/>
    <xf numFmtId="167" fontId="0" fillId="0" borderId="62" xfId="0" applyNumberFormat="1" applyBorder="1"/>
    <xf numFmtId="167" fontId="0" fillId="0" borderId="30" xfId="0" applyNumberFormat="1" applyBorder="1"/>
    <xf numFmtId="167" fontId="0" fillId="0" borderId="15" xfId="0" applyNumberFormat="1" applyBorder="1"/>
    <xf numFmtId="167" fontId="3" fillId="0" borderId="63" xfId="0" applyNumberFormat="1" applyFont="1" applyBorder="1"/>
    <xf numFmtId="37" fontId="0" fillId="0" borderId="0" xfId="0" applyNumberFormat="1"/>
    <xf numFmtId="168" fontId="0" fillId="0" borderId="0" xfId="2" applyNumberFormat="1" applyFont="1" applyFill="1" applyBorder="1"/>
    <xf numFmtId="168" fontId="0" fillId="0" borderId="10" xfId="2" applyNumberFormat="1" applyFont="1" applyBorder="1"/>
    <xf numFmtId="167" fontId="0" fillId="0" borderId="42" xfId="0" applyNumberFormat="1" applyBorder="1"/>
    <xf numFmtId="167" fontId="0" fillId="0" borderId="44" xfId="0" applyNumberFormat="1" applyBorder="1"/>
    <xf numFmtId="167" fontId="0" fillId="0" borderId="17" xfId="0" applyNumberFormat="1" applyBorder="1"/>
    <xf numFmtId="167" fontId="3" fillId="0" borderId="62" xfId="0" applyNumberFormat="1" applyFont="1" applyBorder="1"/>
    <xf numFmtId="167" fontId="3" fillId="0" borderId="44" xfId="0" applyNumberFormat="1" applyFont="1" applyBorder="1"/>
    <xf numFmtId="168" fontId="0" fillId="0" borderId="26" xfId="2" applyNumberFormat="1" applyFont="1" applyBorder="1"/>
    <xf numFmtId="168" fontId="0" fillId="0" borderId="47" xfId="2" applyNumberFormat="1" applyFont="1" applyBorder="1"/>
    <xf numFmtId="168" fontId="0" fillId="0" borderId="46" xfId="2" applyNumberFormat="1" applyFont="1" applyBorder="1"/>
    <xf numFmtId="168" fontId="0" fillId="0" borderId="60" xfId="2" applyNumberFormat="1" applyFont="1" applyBorder="1"/>
    <xf numFmtId="168" fontId="3" fillId="0" borderId="65" xfId="2" applyNumberFormat="1" applyFont="1" applyFill="1" applyBorder="1"/>
    <xf numFmtId="168" fontId="3" fillId="0" borderId="47" xfId="2" applyNumberFormat="1" applyFont="1" applyFill="1" applyBorder="1"/>
    <xf numFmtId="168" fontId="0" fillId="0" borderId="45" xfId="2" applyNumberFormat="1" applyFont="1" applyFill="1" applyBorder="1"/>
    <xf numFmtId="167" fontId="0" fillId="2" borderId="67" xfId="0" applyNumberFormat="1" applyFill="1" applyBorder="1"/>
    <xf numFmtId="168" fontId="0" fillId="2" borderId="67" xfId="0" applyNumberFormat="1" applyFill="1" applyBorder="1"/>
    <xf numFmtId="168" fontId="3" fillId="0" borderId="61" xfId="2" applyNumberFormat="1" applyFont="1" applyFill="1" applyBorder="1"/>
    <xf numFmtId="37" fontId="3" fillId="4" borderId="14" xfId="0" applyNumberFormat="1" applyFont="1" applyFill="1" applyBorder="1"/>
    <xf numFmtId="37" fontId="3" fillId="4" borderId="13" xfId="0" applyNumberFormat="1" applyFont="1" applyFill="1" applyBorder="1"/>
    <xf numFmtId="37" fontId="3" fillId="0" borderId="62" xfId="0" applyNumberFormat="1" applyFont="1" applyBorder="1"/>
    <xf numFmtId="37" fontId="3" fillId="0" borderId="13" xfId="0" applyNumberFormat="1" applyFont="1" applyBorder="1"/>
    <xf numFmtId="168" fontId="3" fillId="0" borderId="62" xfId="2" applyNumberFormat="1" applyFont="1" applyFill="1" applyBorder="1"/>
    <xf numFmtId="168" fontId="3" fillId="0" borderId="13" xfId="2" applyNumberFormat="1" applyFont="1" applyFill="1" applyBorder="1"/>
    <xf numFmtId="37" fontId="0" fillId="4" borderId="10" xfId="0" applyNumberFormat="1" applyFill="1" applyBorder="1"/>
    <xf numFmtId="37" fontId="3" fillId="4" borderId="43" xfId="0" applyNumberFormat="1" applyFont="1" applyFill="1" applyBorder="1"/>
    <xf numFmtId="37" fontId="0" fillId="4" borderId="41" xfId="0" applyNumberFormat="1" applyFill="1" applyBorder="1"/>
    <xf numFmtId="37" fontId="3" fillId="4" borderId="44" xfId="0" applyNumberFormat="1" applyFont="1" applyFill="1" applyBorder="1"/>
    <xf numFmtId="37" fontId="0" fillId="4" borderId="17" xfId="0" applyNumberFormat="1" applyFill="1" applyBorder="1"/>
    <xf numFmtId="37" fontId="3" fillId="0" borderId="65" xfId="0" applyNumberFormat="1" applyFont="1" applyBorder="1"/>
    <xf numFmtId="37" fontId="3" fillId="0" borderId="20" xfId="0" applyNumberFormat="1" applyFont="1" applyBorder="1"/>
    <xf numFmtId="37" fontId="0" fillId="4" borderId="30" xfId="0" applyNumberFormat="1" applyFill="1" applyBorder="1"/>
    <xf numFmtId="168" fontId="0" fillId="0" borderId="64" xfId="2" applyNumberFormat="1" applyFont="1" applyFill="1" applyBorder="1"/>
    <xf numFmtId="168" fontId="3" fillId="0" borderId="54" xfId="2" applyNumberFormat="1" applyFont="1" applyFill="1" applyBorder="1"/>
    <xf numFmtId="168" fontId="0" fillId="0" borderId="15" xfId="2" applyNumberFormat="1" applyFont="1" applyFill="1" applyBorder="1"/>
    <xf numFmtId="168" fontId="3" fillId="0" borderId="63" xfId="2" applyNumberFormat="1" applyFont="1" applyFill="1" applyBorder="1"/>
    <xf numFmtId="37" fontId="0" fillId="4" borderId="26" xfId="0" applyNumberFormat="1" applyFill="1" applyBorder="1"/>
    <xf numFmtId="37" fontId="3" fillId="4" borderId="56" xfId="0" applyNumberFormat="1" applyFont="1" applyFill="1" applyBorder="1"/>
    <xf numFmtId="37" fontId="0" fillId="0" borderId="42" xfId="0" applyNumberFormat="1" applyBorder="1"/>
    <xf numFmtId="37" fontId="3" fillId="0" borderId="63" xfId="0" applyNumberFormat="1" applyFont="1" applyBorder="1"/>
    <xf numFmtId="37" fontId="0" fillId="4" borderId="15" xfId="0" applyNumberFormat="1" applyFill="1" applyBorder="1"/>
    <xf numFmtId="37" fontId="3" fillId="4" borderId="63" xfId="0" applyNumberFormat="1" applyFont="1" applyFill="1" applyBorder="1"/>
    <xf numFmtId="168" fontId="0" fillId="0" borderId="42" xfId="2" applyNumberFormat="1" applyFont="1" applyFill="1" applyBorder="1"/>
    <xf numFmtId="168" fontId="0" fillId="0" borderId="17" xfId="2" applyNumberFormat="1" applyFont="1" applyFill="1" applyBorder="1"/>
    <xf numFmtId="37" fontId="0" fillId="0" borderId="15" xfId="0" applyNumberFormat="1" applyBorder="1"/>
    <xf numFmtId="37" fontId="0" fillId="0" borderId="17" xfId="0" applyNumberFormat="1" applyBorder="1"/>
    <xf numFmtId="37" fontId="0" fillId="0" borderId="46" xfId="0" applyNumberFormat="1" applyBorder="1"/>
    <xf numFmtId="168" fontId="0" fillId="0" borderId="30" xfId="2" applyNumberFormat="1" applyFont="1" applyBorder="1"/>
    <xf numFmtId="37" fontId="0" fillId="0" borderId="47" xfId="0" applyNumberFormat="1" applyBorder="1"/>
    <xf numFmtId="168" fontId="0" fillId="0" borderId="42" xfId="2" applyNumberFormat="1" applyFont="1" applyBorder="1"/>
    <xf numFmtId="168" fontId="0" fillId="0" borderId="44" xfId="2" applyNumberFormat="1" applyFont="1" applyBorder="1"/>
    <xf numFmtId="168" fontId="0" fillId="0" borderId="17" xfId="2" applyNumberFormat="1" applyFont="1" applyBorder="1"/>
    <xf numFmtId="168" fontId="0" fillId="0" borderId="15" xfId="2" applyNumberFormat="1" applyFont="1" applyBorder="1"/>
    <xf numFmtId="37" fontId="0" fillId="4" borderId="42" xfId="0" applyNumberFormat="1" applyFill="1" applyBorder="1"/>
    <xf numFmtId="37" fontId="0" fillId="4" borderId="44" xfId="0" applyNumberFormat="1" applyFill="1" applyBorder="1"/>
    <xf numFmtId="37" fontId="3" fillId="4" borderId="62" xfId="0" applyNumberFormat="1" applyFont="1" applyFill="1" applyBorder="1"/>
    <xf numFmtId="37" fontId="0" fillId="0" borderId="44" xfId="0" applyNumberFormat="1" applyBorder="1"/>
    <xf numFmtId="37" fontId="3" fillId="0" borderId="61" xfId="0" applyNumberFormat="1" applyFont="1" applyBorder="1"/>
    <xf numFmtId="165" fontId="3" fillId="0" borderId="44" xfId="2" applyNumberFormat="1" applyFont="1" applyFill="1" applyBorder="1"/>
    <xf numFmtId="165" fontId="3" fillId="0" borderId="18" xfId="2" applyNumberFormat="1" applyFont="1" applyFill="1" applyBorder="1"/>
    <xf numFmtId="37" fontId="0" fillId="0" borderId="66" xfId="0" applyNumberFormat="1" applyBorder="1"/>
    <xf numFmtId="168" fontId="0" fillId="0" borderId="65" xfId="2" applyNumberFormat="1" applyFont="1" applyFill="1" applyBorder="1"/>
    <xf numFmtId="168" fontId="0" fillId="0" borderId="55" xfId="2" applyNumberFormat="1" applyFont="1" applyFill="1" applyBorder="1"/>
    <xf numFmtId="168" fontId="0" fillId="2" borderId="42" xfId="0" applyNumberFormat="1" applyFill="1" applyBorder="1"/>
    <xf numFmtId="0" fontId="0" fillId="0" borderId="39" xfId="0" applyBorder="1"/>
    <xf numFmtId="0" fontId="0" fillId="0" borderId="12" xfId="0" applyBorder="1"/>
    <xf numFmtId="0" fontId="0" fillId="2" borderId="23" xfId="0" applyFill="1" applyBorder="1"/>
    <xf numFmtId="166" fontId="0" fillId="4" borderId="30" xfId="0" applyNumberFormat="1" applyFill="1" applyBorder="1"/>
    <xf numFmtId="169" fontId="0" fillId="4" borderId="30" xfId="0" applyNumberFormat="1" applyFill="1" applyBorder="1"/>
    <xf numFmtId="37" fontId="0" fillId="4" borderId="27" xfId="0" applyNumberFormat="1" applyFill="1" applyBorder="1"/>
    <xf numFmtId="37" fontId="0" fillId="4" borderId="60" xfId="0" applyNumberFormat="1" applyFill="1" applyBorder="1"/>
    <xf numFmtId="0" fontId="0" fillId="0" borderId="37" xfId="0" applyBorder="1"/>
    <xf numFmtId="37" fontId="11" fillId="0" borderId="0" xfId="1" applyNumberFormat="1" applyFont="1" applyFill="1" applyAlignment="1">
      <alignment horizontal="right"/>
    </xf>
    <xf numFmtId="0" fontId="0" fillId="0" borderId="50" xfId="0" applyBorder="1"/>
    <xf numFmtId="0" fontId="0" fillId="0" borderId="9" xfId="0" applyBorder="1"/>
    <xf numFmtId="0" fontId="0" fillId="0" borderId="34" xfId="0" applyBorder="1"/>
    <xf numFmtId="37" fontId="11" fillId="0" borderId="50" xfId="1" applyNumberFormat="1" applyFont="1" applyFill="1" applyBorder="1" applyAlignment="1">
      <alignment horizontal="right"/>
    </xf>
    <xf numFmtId="37" fontId="3" fillId="4" borderId="32" xfId="0" applyNumberFormat="1" applyFont="1" applyFill="1" applyBorder="1"/>
    <xf numFmtId="37" fontId="0" fillId="4" borderId="46" xfId="0" applyNumberFormat="1" applyFill="1" applyBorder="1"/>
    <xf numFmtId="37" fontId="3" fillId="4" borderId="47" xfId="0" applyNumberFormat="1" applyFont="1" applyFill="1" applyBorder="1"/>
    <xf numFmtId="37" fontId="0" fillId="4" borderId="11" xfId="0" applyNumberFormat="1" applyFill="1" applyBorder="1"/>
    <xf numFmtId="37" fontId="3" fillId="4" borderId="20" xfId="0" applyNumberFormat="1" applyFont="1" applyFill="1" applyBorder="1"/>
    <xf numFmtId="37" fontId="0" fillId="4" borderId="45" xfId="0" applyNumberFormat="1" applyFill="1" applyBorder="1"/>
    <xf numFmtId="0" fontId="0" fillId="0" borderId="52" xfId="0" applyBorder="1"/>
    <xf numFmtId="37" fontId="11" fillId="0" borderId="15" xfId="1" applyNumberFormat="1" applyFont="1" applyFill="1" applyBorder="1" applyAlignment="1">
      <alignment horizontal="right"/>
    </xf>
    <xf numFmtId="0" fontId="0" fillId="0" borderId="53" xfId="0" applyBorder="1"/>
    <xf numFmtId="0" fontId="0" fillId="0" borderId="14" xfId="0" applyBorder="1"/>
    <xf numFmtId="0" fontId="0" fillId="0" borderId="35" xfId="0" applyBorder="1"/>
    <xf numFmtId="37" fontId="11" fillId="0" borderId="53" xfId="1" applyNumberFormat="1" applyFont="1" applyFill="1" applyBorder="1" applyAlignment="1">
      <alignment horizontal="right"/>
    </xf>
    <xf numFmtId="167" fontId="16" fillId="2" borderId="33" xfId="1" applyNumberFormat="1" applyFont="1" applyFill="1" applyBorder="1"/>
    <xf numFmtId="168" fontId="14" fillId="2" borderId="35" xfId="0" applyNumberFormat="1" applyFont="1" applyFill="1" applyBorder="1"/>
    <xf numFmtId="167" fontId="16" fillId="2" borderId="12" xfId="1" applyNumberFormat="1" applyFont="1" applyFill="1" applyBorder="1"/>
    <xf numFmtId="168" fontId="0" fillId="0" borderId="38" xfId="2" applyNumberFormat="1" applyFont="1" applyFill="1" applyBorder="1"/>
    <xf numFmtId="37" fontId="0" fillId="4" borderId="48" xfId="0" applyNumberFormat="1" applyFill="1" applyBorder="1"/>
    <xf numFmtId="37" fontId="3" fillId="4" borderId="68" xfId="0" applyNumberFormat="1" applyFont="1" applyFill="1" applyBorder="1"/>
    <xf numFmtId="37" fontId="0" fillId="0" borderId="65" xfId="0" applyNumberFormat="1" applyBorder="1"/>
    <xf numFmtId="37" fontId="0" fillId="0" borderId="55" xfId="0" applyNumberFormat="1" applyBorder="1"/>
    <xf numFmtId="168" fontId="0" fillId="2" borderId="40" xfId="0" applyNumberFormat="1" applyFill="1" applyBorder="1"/>
    <xf numFmtId="0" fontId="0" fillId="0" borderId="42" xfId="0" applyBorder="1"/>
    <xf numFmtId="165" fontId="3" fillId="0" borderId="62" xfId="2" applyNumberFormat="1" applyFont="1" applyFill="1" applyBorder="1"/>
    <xf numFmtId="165" fontId="3" fillId="0" borderId="13" xfId="2" applyNumberFormat="1" applyFont="1" applyFill="1" applyBorder="1"/>
    <xf numFmtId="168" fontId="0" fillId="2" borderId="52" xfId="0" applyNumberFormat="1" applyFill="1" applyBorder="1"/>
    <xf numFmtId="168" fontId="0" fillId="0" borderId="66" xfId="2" applyNumberFormat="1" applyFont="1" applyFill="1" applyBorder="1"/>
    <xf numFmtId="165" fontId="0" fillId="0" borderId="17" xfId="2" applyNumberFormat="1" applyFont="1" applyFill="1" applyBorder="1"/>
    <xf numFmtId="37" fontId="0" fillId="4" borderId="52" xfId="0" applyNumberFormat="1" applyFill="1" applyBorder="1"/>
    <xf numFmtId="37" fontId="3" fillId="4" borderId="69" xfId="0" applyNumberFormat="1" applyFont="1" applyFill="1" applyBorder="1"/>
    <xf numFmtId="37" fontId="3" fillId="4" borderId="18" xfId="0" applyNumberFormat="1" applyFont="1" applyFill="1" applyBorder="1"/>
    <xf numFmtId="168" fontId="0" fillId="0" borderId="37" xfId="0" applyNumberFormat="1" applyBorder="1"/>
    <xf numFmtId="37" fontId="0" fillId="0" borderId="58" xfId="0" applyNumberFormat="1" applyBorder="1"/>
    <xf numFmtId="168" fontId="0" fillId="0" borderId="47" xfId="2" applyNumberFormat="1" applyFont="1" applyFill="1" applyBorder="1"/>
    <xf numFmtId="165" fontId="0" fillId="0" borderId="30" xfId="2" applyNumberFormat="1" applyFont="1" applyFill="1" applyBorder="1"/>
    <xf numFmtId="168" fontId="0" fillId="0" borderId="59" xfId="2" applyNumberFormat="1" applyFont="1" applyFill="1" applyBorder="1"/>
    <xf numFmtId="168" fontId="1" fillId="0" borderId="43" xfId="2" applyNumberFormat="1" applyFont="1" applyFill="1" applyBorder="1"/>
    <xf numFmtId="37" fontId="0" fillId="4" borderId="58" xfId="0" applyNumberFormat="1" applyFill="1" applyBorder="1"/>
    <xf numFmtId="37" fontId="3" fillId="4" borderId="65" xfId="0" applyNumberFormat="1" applyFont="1" applyFill="1" applyBorder="1"/>
    <xf numFmtId="37" fontId="0" fillId="4" borderId="47" xfId="0" applyNumberFormat="1" applyFill="1" applyBorder="1"/>
    <xf numFmtId="168" fontId="3" fillId="0" borderId="70" xfId="2" applyNumberFormat="1" applyFont="1" applyFill="1" applyBorder="1"/>
    <xf numFmtId="37" fontId="0" fillId="0" borderId="71" xfId="0" applyNumberFormat="1" applyBorder="1"/>
    <xf numFmtId="37" fontId="0" fillId="0" borderId="72" xfId="0" applyNumberFormat="1" applyBorder="1"/>
    <xf numFmtId="37" fontId="3" fillId="0" borderId="70" xfId="0" applyNumberFormat="1" applyFont="1" applyBorder="1"/>
    <xf numFmtId="37" fontId="3" fillId="4" borderId="70" xfId="0" applyNumberFormat="1" applyFont="1" applyFill="1" applyBorder="1"/>
    <xf numFmtId="0" fontId="0" fillId="2" borderId="30" xfId="0" applyFill="1" applyBorder="1"/>
    <xf numFmtId="0" fontId="0" fillId="2" borderId="73" xfId="0" applyFill="1" applyBorder="1"/>
    <xf numFmtId="167" fontId="3" fillId="0" borderId="13" xfId="0" applyNumberFormat="1" applyFont="1" applyBorder="1"/>
    <xf numFmtId="37" fontId="0" fillId="4" borderId="74" xfId="0" applyNumberFormat="1" applyFill="1" applyBorder="1"/>
    <xf numFmtId="168" fontId="0" fillId="0" borderId="74" xfId="2" applyNumberFormat="1" applyFont="1" applyFill="1" applyBorder="1"/>
    <xf numFmtId="0" fontId="0" fillId="2" borderId="75" xfId="0" applyFill="1" applyBorder="1"/>
    <xf numFmtId="37" fontId="0" fillId="2" borderId="0" xfId="0" applyNumberFormat="1" applyFill="1"/>
    <xf numFmtId="37" fontId="0" fillId="2" borderId="21" xfId="0" applyNumberFormat="1" applyFill="1" applyBorder="1"/>
    <xf numFmtId="10" fontId="0" fillId="2" borderId="21" xfId="2" applyNumberFormat="1" applyFont="1" applyFill="1" applyBorder="1"/>
    <xf numFmtId="165" fontId="0" fillId="0" borderId="15" xfId="2" applyNumberFormat="1" applyFont="1" applyFill="1" applyBorder="1"/>
    <xf numFmtId="0" fontId="0" fillId="0" borderId="21" xfId="0" applyBorder="1"/>
    <xf numFmtId="0" fontId="0" fillId="0" borderId="77" xfId="0" applyBorder="1"/>
    <xf numFmtId="0" fontId="0" fillId="0" borderId="78" xfId="0" applyBorder="1"/>
    <xf numFmtId="0" fontId="0" fillId="0" borderId="28" xfId="0" applyBorder="1"/>
    <xf numFmtId="165" fontId="1" fillId="0" borderId="64" xfId="2" applyNumberFormat="1" applyFont="1" applyFill="1" applyBorder="1"/>
    <xf numFmtId="37" fontId="0" fillId="0" borderId="79" xfId="0" applyNumberFormat="1" applyBorder="1"/>
    <xf numFmtId="37" fontId="0" fillId="0" borderId="80" xfId="0" applyNumberFormat="1" applyBorder="1"/>
    <xf numFmtId="0" fontId="0" fillId="0" borderId="38" xfId="0" applyBorder="1"/>
    <xf numFmtId="0" fontId="0" fillId="0" borderId="30" xfId="0" applyBorder="1"/>
    <xf numFmtId="168" fontId="0" fillId="0" borderId="49" xfId="2" applyNumberFormat="1" applyFont="1" applyFill="1" applyBorder="1"/>
    <xf numFmtId="168" fontId="0" fillId="0" borderId="44" xfId="2" applyNumberFormat="1" applyFont="1" applyFill="1" applyBorder="1"/>
    <xf numFmtId="168" fontId="1" fillId="0" borderId="64" xfId="2" applyNumberFormat="1" applyFont="1" applyFill="1" applyBorder="1"/>
    <xf numFmtId="168" fontId="0" fillId="2" borderId="15" xfId="2" applyNumberFormat="1" applyFont="1" applyFill="1" applyBorder="1"/>
    <xf numFmtId="168" fontId="0" fillId="0" borderId="28" xfId="0" applyNumberFormat="1" applyBorder="1"/>
    <xf numFmtId="168" fontId="0" fillId="2" borderId="0" xfId="2" applyNumberFormat="1" applyFont="1" applyFill="1" applyBorder="1"/>
    <xf numFmtId="37" fontId="0" fillId="2" borderId="39" xfId="0" applyNumberFormat="1" applyFill="1" applyBorder="1"/>
    <xf numFmtId="37" fontId="0" fillId="2" borderId="81" xfId="0" applyNumberFormat="1" applyFill="1" applyBorder="1"/>
    <xf numFmtId="168" fontId="0" fillId="2" borderId="7" xfId="0" applyNumberFormat="1" applyFill="1" applyBorder="1"/>
    <xf numFmtId="37" fontId="3" fillId="0" borderId="79" xfId="0" applyNumberFormat="1" applyFont="1" applyBorder="1"/>
    <xf numFmtId="168" fontId="0" fillId="0" borderId="63" xfId="2" applyNumberFormat="1" applyFont="1" applyFill="1" applyBorder="1"/>
    <xf numFmtId="37" fontId="0" fillId="0" borderId="76" xfId="0" applyNumberFormat="1" applyBorder="1"/>
    <xf numFmtId="168" fontId="0" fillId="0" borderId="79" xfId="2" applyNumberFormat="1" applyFont="1" applyFill="1" applyBorder="1"/>
    <xf numFmtId="0" fontId="0" fillId="0" borderId="44" xfId="0" applyBorder="1"/>
    <xf numFmtId="0" fontId="0" fillId="6" borderId="0" xfId="0" applyFill="1"/>
    <xf numFmtId="0" fontId="0" fillId="6" borderId="15" xfId="0" applyFill="1" applyBorder="1"/>
    <xf numFmtId="0" fontId="0" fillId="6" borderId="21" xfId="0" applyFill="1" applyBorder="1"/>
    <xf numFmtId="0" fontId="0" fillId="6" borderId="37" xfId="0" applyFill="1" applyBorder="1"/>
    <xf numFmtId="0" fontId="0" fillId="6" borderId="52" xfId="0" applyFill="1" applyBorder="1"/>
    <xf numFmtId="168" fontId="14" fillId="2" borderId="34" xfId="0" applyNumberFormat="1" applyFont="1" applyFill="1" applyBorder="1"/>
    <xf numFmtId="168" fontId="14" fillId="2" borderId="82" xfId="0" applyNumberFormat="1" applyFont="1" applyFill="1" applyBorder="1"/>
    <xf numFmtId="0" fontId="0" fillId="2" borderId="38" xfId="0" applyFill="1" applyBorder="1"/>
    <xf numFmtId="0" fontId="0" fillId="2" borderId="28" xfId="0" applyFill="1" applyBorder="1"/>
    <xf numFmtId="0" fontId="0" fillId="0" borderId="40" xfId="0" applyBorder="1"/>
    <xf numFmtId="0" fontId="0" fillId="2" borderId="39" xfId="0" applyFill="1" applyBorder="1"/>
    <xf numFmtId="0" fontId="18" fillId="2" borderId="0" xfId="0" applyFont="1" applyFill="1" applyAlignment="1">
      <alignment horizontal="left" indent="1"/>
    </xf>
    <xf numFmtId="165" fontId="0" fillId="0" borderId="66" xfId="2" applyNumberFormat="1" applyFont="1" applyFill="1" applyBorder="1"/>
    <xf numFmtId="165" fontId="0" fillId="0" borderId="28" xfId="2" applyNumberFormat="1" applyFont="1" applyFill="1" applyBorder="1"/>
    <xf numFmtId="37" fontId="0" fillId="0" borderId="38" xfId="0" applyNumberFormat="1" applyBorder="1"/>
    <xf numFmtId="37" fontId="0" fillId="0" borderId="28" xfId="0" applyNumberFormat="1" applyBorder="1"/>
    <xf numFmtId="37" fontId="0" fillId="4" borderId="66" xfId="0" applyNumberFormat="1" applyFill="1" applyBorder="1"/>
    <xf numFmtId="165" fontId="3" fillId="0" borderId="52" xfId="2" applyNumberFormat="1" applyFont="1" applyFill="1" applyBorder="1"/>
    <xf numFmtId="37" fontId="3" fillId="4" borderId="52" xfId="0" applyNumberFormat="1" applyFont="1" applyFill="1" applyBorder="1"/>
    <xf numFmtId="37" fontId="3" fillId="0" borderId="52" xfId="0" applyNumberFormat="1" applyFont="1" applyBorder="1"/>
    <xf numFmtId="170" fontId="19" fillId="0" borderId="0" xfId="1" applyNumberFormat="1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left" indent="1"/>
    </xf>
    <xf numFmtId="167" fontId="21" fillId="0" borderId="0" xfId="0" applyNumberFormat="1" applyFont="1"/>
    <xf numFmtId="171" fontId="24" fillId="5" borderId="28" xfId="0" applyNumberFormat="1" applyFont="1" applyFill="1" applyBorder="1" applyAlignment="1">
      <alignment horizontal="centerContinuous"/>
    </xf>
    <xf numFmtId="171" fontId="24" fillId="5" borderId="30" xfId="0" applyNumberFormat="1" applyFont="1" applyFill="1" applyBorder="1" applyAlignment="1">
      <alignment horizontal="centerContinuous"/>
    </xf>
    <xf numFmtId="171" fontId="24" fillId="5" borderId="39" xfId="0" applyNumberFormat="1" applyFont="1" applyFill="1" applyBorder="1" applyAlignment="1">
      <alignment horizontal="centerContinuous"/>
    </xf>
    <xf numFmtId="171" fontId="24" fillId="5" borderId="40" xfId="0" applyNumberFormat="1" applyFont="1" applyFill="1" applyBorder="1" applyAlignment="1">
      <alignment horizontal="centerContinuous"/>
    </xf>
    <xf numFmtId="0" fontId="9" fillId="6" borderId="37" xfId="0" quotePrefix="1" applyFont="1" applyFill="1" applyBorder="1" applyAlignment="1">
      <alignment horizontal="center"/>
    </xf>
    <xf numFmtId="171" fontId="0" fillId="0" borderId="10" xfId="0" applyNumberFormat="1" applyBorder="1"/>
    <xf numFmtId="0" fontId="0" fillId="0" borderId="60" xfId="0" applyBorder="1"/>
    <xf numFmtId="167" fontId="0" fillId="0" borderId="41" xfId="0" applyNumberFormat="1" applyBorder="1"/>
    <xf numFmtId="0" fontId="11" fillId="0" borderId="15" xfId="0" applyFont="1" applyBorder="1"/>
    <xf numFmtId="0" fontId="15" fillId="2" borderId="15" xfId="0" applyFont="1" applyFill="1" applyBorder="1" applyAlignment="1">
      <alignment horizontal="left"/>
    </xf>
    <xf numFmtId="0" fontId="0" fillId="2" borderId="15" xfId="0" applyFill="1" applyBorder="1" applyAlignment="1">
      <alignment horizontal="left" indent="1"/>
    </xf>
    <xf numFmtId="0" fontId="3" fillId="2" borderId="15" xfId="0" applyFont="1" applyFill="1" applyBorder="1" applyAlignment="1">
      <alignment horizontal="left"/>
    </xf>
    <xf numFmtId="0" fontId="16" fillId="2" borderId="15" xfId="0" applyFont="1" applyFill="1" applyBorder="1" applyAlignment="1">
      <alignment horizontal="left"/>
    </xf>
    <xf numFmtId="0" fontId="0" fillId="2" borderId="35" xfId="0" applyFill="1" applyBorder="1"/>
    <xf numFmtId="0" fontId="9" fillId="6" borderId="60" xfId="0" applyFont="1" applyFill="1" applyBorder="1" applyAlignment="1">
      <alignment horizontal="center"/>
    </xf>
    <xf numFmtId="167" fontId="0" fillId="0" borderId="45" xfId="0" applyNumberFormat="1" applyBorder="1"/>
    <xf numFmtId="37" fontId="0" fillId="0" borderId="83" xfId="0" applyNumberFormat="1" applyBorder="1"/>
    <xf numFmtId="37" fontId="3" fillId="0" borderId="80" xfId="0" applyNumberFormat="1" applyFont="1" applyBorder="1"/>
    <xf numFmtId="37" fontId="0" fillId="0" borderId="84" xfId="0" applyNumberFormat="1" applyBorder="1"/>
    <xf numFmtId="37" fontId="3" fillId="0" borderId="21" xfId="0" applyNumberFormat="1" applyFont="1" applyBorder="1"/>
    <xf numFmtId="167" fontId="0" fillId="0" borderId="65" xfId="0" applyNumberFormat="1" applyBorder="1"/>
    <xf numFmtId="167" fontId="0" fillId="0" borderId="60" xfId="0" applyNumberFormat="1" applyBorder="1"/>
    <xf numFmtId="167" fontId="3" fillId="0" borderId="56" xfId="0" applyNumberFormat="1" applyFont="1" applyBorder="1"/>
    <xf numFmtId="37" fontId="0" fillId="0" borderId="21" xfId="0" applyNumberFormat="1" applyBorder="1"/>
    <xf numFmtId="167" fontId="0" fillId="0" borderId="47" xfId="0" applyNumberFormat="1" applyBorder="1"/>
    <xf numFmtId="167" fontId="0" fillId="0" borderId="46" xfId="0" applyNumberFormat="1" applyBorder="1"/>
    <xf numFmtId="167" fontId="3" fillId="0" borderId="65" xfId="0" applyNumberFormat="1" applyFont="1" applyBorder="1"/>
    <xf numFmtId="167" fontId="3" fillId="0" borderId="47" xfId="0" applyNumberFormat="1" applyFont="1" applyBorder="1"/>
    <xf numFmtId="167" fontId="0" fillId="2" borderId="85" xfId="0" applyNumberFormat="1" applyFill="1" applyBorder="1"/>
    <xf numFmtId="167" fontId="3" fillId="0" borderId="20" xfId="0" applyNumberFormat="1" applyFont="1" applyBorder="1"/>
    <xf numFmtId="37" fontId="0" fillId="4" borderId="64" xfId="0" applyNumberFormat="1" applyFill="1" applyBorder="1"/>
    <xf numFmtId="37" fontId="3" fillId="4" borderId="54" xfId="0" applyNumberFormat="1" applyFont="1" applyFill="1" applyBorder="1"/>
    <xf numFmtId="37" fontId="3" fillId="4" borderId="61" xfId="0" applyNumberFormat="1" applyFont="1" applyFill="1" applyBorder="1"/>
    <xf numFmtId="37" fontId="0" fillId="0" borderId="85" xfId="0" applyNumberFormat="1" applyBorder="1"/>
    <xf numFmtId="0" fontId="9" fillId="6" borderId="38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5" fillId="3" borderId="0" xfId="0" applyFont="1" applyFill="1" applyAlignment="1">
      <alignment horizontal="left"/>
    </xf>
    <xf numFmtId="0" fontId="14" fillId="3" borderId="0" xfId="0" applyFont="1" applyFill="1"/>
    <xf numFmtId="14" fontId="2" fillId="3" borderId="0" xfId="0" applyNumberFormat="1" applyFont="1" applyFill="1" applyAlignment="1">
      <alignment horizontal="right"/>
    </xf>
    <xf numFmtId="0" fontId="14" fillId="3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5AEB6"/>
      <color rgb="FFF6FBD5"/>
      <color rgb="FF0000FF"/>
      <color rgb="FFDFE5E6"/>
      <color rgb="FF39617A"/>
      <color rgb="FF828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D567169-E638-4D93-B353-BFAF164DA472}">
  <we:reference id="wa200006083" version="1.0.0.3" store="en-US" storeType="OMEX"/>
  <we:alternateReferences>
    <we:reference id="WA200006083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_xldudf_SP_GET_VERSION</we:customFunctionIds>
        <we:customFunctionIds>_xldudf_SP_PROPERTY_COUNT</we:customFunctionIds>
        <we:customFunctionIds>_xldudf_SP_GET_STAR_ID</we:customFunctionIds>
        <we:customFunctionIds>_xldudf_SP_FILTER</we:customFunctionIds>
        <we:customFunctionIds>_xldudf_SP_FINANCIALS</we:customFunctionIds>
        <we:customFunctionIds>_xldudf_SP_STR</we:customFunctionIds>
        <we:customFunctionIds>_xldudf_SP_OTB</we:customFunctionIds>
        <we:customFunctionIds>_xldudf_SP_FINANCIALS_AGG</we:customFunctionIds>
        <we:customFunctionIds>_xldudf_SP_REV_GOP_EBITDA</we:customFunctionIds>
        <we:customFunctionIds>_xldudf_SP_ACTUALS_WIN_RATE</we:customFunctionIds>
        <we:customFunctionIds>_xldudf_SP_STR_WIN_RATE</we:customFunctionIds>
        <we:customFunctionIds>_xldudf_SP_GET_USALI_REFERENCE</we:customFunctionIds>
        <we:customFunctionIds>_xldudf_SP_GET_HOTEL_REFERENCE</we:customFunctionIds>
        <we:customFunctionIds>_xldudf_SP_FLOW_THROUGH</we:customFunctionIds>
        <we:customFunctionIds>_xldudf_SP_STR_INDEX</we:customFunctionIds>
        <we:customFunctionIds>_xldudf_SP_GUEST_SATISFACTION</we:customFunctionIds>
        <we:customFunctionIds>_xldudf_SP_SENTIMENT</we:customFunctionIds>
        <we:customFunctionIds>_xldudf_SP_RISK_UPSIDE</we:customFunctionIds>
        <we:customFunctionIds>_xldudf_SP_REFORECAST_CHANGES</we:customFunctionIds>
        <we:customFunctionIds>_xldudf_SP_GET_FUTURE_INSIGHTS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58C8250-44B4-4B96-98F7-908580E17DBB}">
  <we:reference id="wa200005876" version="2.0.91.0" store="en-US" storeType="OMEX"/>
  <we:alternateReferences>
    <we:reference id="wa200005876" version="2.0.9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_xldudf_GS_DATASERIES_TABLE</we:customFunctionIds>
        <we:customFunctionIds>_xldudf_GS_DATASERIES_SPILL</we:customFunctionIds>
        <we:customFunctionIds>_xldudf_GS_RDH</we:customFunctionIds>
        <we:customFunctionIds>_xldudf_GS_RDHQ</we:customFunctionIds>
        <we:customFunctionIds>_xldudf_GS_RDHSAN</we:customFunctionIds>
        <we:customFunctionIds>_xldudf_GS_RDHSA</we:customFunctionIds>
        <we:customFunctionIds>_xldudf_GS_RDHSM</we:customFunctionIds>
        <we:customFunctionIds>_xldudf_GS_RDHSE</we:customFunctionIds>
        <we:customFunctionIds>_xldudf_GS_RDHESA</we:customFunctionIds>
        <we:customFunctionIds>_xldudf_GS_RDHESM</we:customFunctionIds>
        <we:customFunctionIds>_xldudf_GS_RDHESE</we:customFunctionIds>
        <we:customFunctionIds>_xldudf_GS_MDC</we:customFunctionIds>
        <we:customFunctionIds>_xldudf_GS_MF</we:customFunctionIds>
        <we:customFunctionIds>_xldudf_GS_RDC</we:customFunctionIds>
        <we:customFunctionIds>_xldudf_GS_RDCE</we:customFunctionIds>
        <we:customFunctionIds>_xldudf_GS_MDCE</we:customFunctionIds>
        <we:customFunctionIds>_xldudf_GS_RDHE</we:customFunctionIds>
        <we:customFunctionIds>_xldudf_GS_MFE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FC17-673C-4C1B-9C81-EA060A96B243}">
  <dimension ref="B1:X54"/>
  <sheetViews>
    <sheetView showGridLines="0" tabSelected="1" zoomScaleNormal="100" workbookViewId="0">
      <pane xSplit="3" ySplit="8" topLeftCell="D9" activePane="bottomRight" state="frozen"/>
      <selection activeCell="F9" sqref="F9:Q9"/>
      <selection pane="topRight" activeCell="F9" sqref="F9:Q9"/>
      <selection pane="bottomLeft" activeCell="F9" sqref="F9:Q9"/>
      <selection pane="bottomRight" activeCell="D18" sqref="D18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4" customWidth="1"/>
    <col min="5" max="5" width="8.7109375" customWidth="1"/>
    <col min="6" max="6" width="9.7109375" bestFit="1" customWidth="1"/>
    <col min="7" max="7" width="8.7109375" customWidth="1"/>
    <col min="8" max="8" width="10.28515625" bestFit="1" customWidth="1"/>
    <col min="9" max="9" width="9.7109375" bestFit="1" customWidth="1"/>
    <col min="10" max="10" width="8.7109375" customWidth="1"/>
    <col min="11" max="11" width="10.28515625" bestFit="1" customWidth="1"/>
    <col min="13" max="13" width="11.28515625" bestFit="1" customWidth="1"/>
    <col min="14" max="14" width="8.7109375" customWidth="1"/>
    <col min="15" max="15" width="11.28515625" bestFit="1" customWidth="1"/>
    <col min="16" max="16" width="8.7109375" customWidth="1"/>
    <col min="17" max="17" width="10.28515625" bestFit="1" customWidth="1"/>
    <col min="18" max="18" width="11.85546875" customWidth="1"/>
    <col min="19" max="19" width="8.7109375" customWidth="1"/>
    <col min="20" max="20" width="11.85546875" customWidth="1"/>
    <col min="22" max="24" width="9.140625" style="331"/>
  </cols>
  <sheetData>
    <row r="1" spans="2:23" x14ac:dyDescent="0.25">
      <c r="V1" s="329" t="s">
        <v>717</v>
      </c>
      <c r="W1" s="330" t="s">
        <v>716</v>
      </c>
    </row>
    <row r="2" spans="2:23" ht="22.5" x14ac:dyDescent="0.3">
      <c r="B2" s="1"/>
      <c r="C2" s="36" t="s">
        <v>722</v>
      </c>
      <c r="D2" s="2"/>
      <c r="I2" s="4"/>
      <c r="M2" s="2"/>
      <c r="R2" s="4"/>
      <c r="V2" s="332" t="s">
        <v>0</v>
      </c>
      <c r="W2" s="330" t="s">
        <v>718</v>
      </c>
    </row>
    <row r="3" spans="2:23" ht="18" x14ac:dyDescent="0.25">
      <c r="B3" s="5"/>
      <c r="C3" s="5" t="s">
        <v>721</v>
      </c>
      <c r="D3" s="5"/>
      <c r="I3" s="4"/>
      <c r="M3" s="5"/>
      <c r="R3" s="4"/>
      <c r="V3" s="329">
        <v>2025</v>
      </c>
      <c r="W3" s="330" t="s">
        <v>719</v>
      </c>
    </row>
    <row r="4" spans="2:23" ht="15.75" x14ac:dyDescent="0.25">
      <c r="B4" s="6"/>
      <c r="C4" s="6" t="str">
        <f>"FOR THE PERIOD ENDING "&amp;UPPER($V$2)&amp;" "&amp;Year</f>
        <v>FOR THE PERIOD ENDING JUN 2025</v>
      </c>
      <c r="D4" s="6"/>
      <c r="I4" s="4"/>
      <c r="M4" s="6"/>
      <c r="R4" s="4"/>
      <c r="V4" s="333" t="str">
        <f>Month&amp;"YTD"</f>
        <v>JunYTD</v>
      </c>
      <c r="W4" s="330"/>
    </row>
    <row r="5" spans="2:23" x14ac:dyDescent="0.25">
      <c r="D5" s="8"/>
      <c r="I5" s="4"/>
      <c r="M5" s="8"/>
      <c r="R5" s="4"/>
    </row>
    <row r="6" spans="2:23" x14ac:dyDescent="0.25">
      <c r="C6" s="75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L6" s="298"/>
      <c r="M6" s="295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3" x14ac:dyDescent="0.25">
      <c r="C7" s="75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L7" s="298"/>
      <c r="M7" s="328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3" ht="22.5" customHeight="1" x14ac:dyDescent="0.25">
      <c r="C8" s="75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L8" s="298"/>
      <c r="M8" s="41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3" x14ac:dyDescent="0.25">
      <c r="B9" s="10" t="s">
        <v>1</v>
      </c>
      <c r="C9" s="300" t="s">
        <v>2</v>
      </c>
      <c r="D9" s="37">
        <v>3960</v>
      </c>
      <c r="E9" s="48"/>
      <c r="F9" s="37">
        <v>3960</v>
      </c>
      <c r="G9" s="48"/>
      <c r="H9" s="145">
        <f>+D9-F9</f>
        <v>0</v>
      </c>
      <c r="I9" s="37">
        <v>3960</v>
      </c>
      <c r="J9" s="48"/>
      <c r="K9" s="145">
        <f>+(D9-I9)</f>
        <v>0</v>
      </c>
      <c r="M9" s="37">
        <v>23892</v>
      </c>
      <c r="N9" s="48"/>
      <c r="O9" s="37">
        <v>23892</v>
      </c>
      <c r="P9" s="48"/>
      <c r="Q9" s="145">
        <f>+M9-O9</f>
        <v>0</v>
      </c>
      <c r="R9" s="37">
        <v>24024</v>
      </c>
      <c r="S9" s="48"/>
      <c r="T9" s="145">
        <f>+(M9-R9)</f>
        <v>-132</v>
      </c>
    </row>
    <row r="10" spans="2:23" x14ac:dyDescent="0.25">
      <c r="B10" s="12" t="s">
        <v>3</v>
      </c>
      <c r="C10" s="300" t="s">
        <v>4</v>
      </c>
      <c r="D10" s="37">
        <v>3207</v>
      </c>
      <c r="E10" s="48"/>
      <c r="F10" s="37">
        <v>3021</v>
      </c>
      <c r="G10" s="48"/>
      <c r="H10" s="145">
        <f>+D10-F10</f>
        <v>186</v>
      </c>
      <c r="I10" s="37">
        <v>3102</v>
      </c>
      <c r="J10" s="48"/>
      <c r="K10" s="145">
        <f>+(D10-I10)</f>
        <v>105</v>
      </c>
      <c r="M10" s="37">
        <v>21087</v>
      </c>
      <c r="N10" s="48"/>
      <c r="O10" s="37">
        <v>21073</v>
      </c>
      <c r="P10" s="48"/>
      <c r="Q10" s="145">
        <f>+M10-O10</f>
        <v>14</v>
      </c>
      <c r="R10" s="37">
        <v>21269</v>
      </c>
      <c r="S10" s="48"/>
      <c r="T10" s="145">
        <f>+(M10-R10)</f>
        <v>-182</v>
      </c>
    </row>
    <row r="11" spans="2:23" x14ac:dyDescent="0.25">
      <c r="B11" s="12"/>
      <c r="C11" s="300" t="s">
        <v>5</v>
      </c>
      <c r="D11" s="38">
        <f>D10/D9</f>
        <v>0.80984848484848482</v>
      </c>
      <c r="E11" s="48"/>
      <c r="F11" s="38">
        <f>F10/F9</f>
        <v>0.76287878787878793</v>
      </c>
      <c r="G11" s="48"/>
      <c r="H11" s="181">
        <f>+(D11-F11)*100</f>
        <v>4.6969696969696884</v>
      </c>
      <c r="I11" s="38">
        <f>I10/I9</f>
        <v>0.78333333333333333</v>
      </c>
      <c r="J11" s="48"/>
      <c r="K11" s="181">
        <f>+(D11-I11)*100</f>
        <v>2.6515151515151492</v>
      </c>
      <c r="M11" s="38">
        <f>M10/M9</f>
        <v>0.88259668508287292</v>
      </c>
      <c r="N11" s="48"/>
      <c r="O11" s="38">
        <f>O10/O9</f>
        <v>0.88201071488364302</v>
      </c>
      <c r="P11" s="48"/>
      <c r="Q11" s="181">
        <f>+(M11-O11)*100</f>
        <v>5.8597019922990157E-2</v>
      </c>
      <c r="R11" s="38">
        <f>R10/R9</f>
        <v>0.88532301032301031</v>
      </c>
      <c r="S11" s="48"/>
      <c r="T11" s="181">
        <f>+(M11-R11)*100</f>
        <v>-0.27263252401373839</v>
      </c>
    </row>
    <row r="12" spans="2:23" x14ac:dyDescent="0.25">
      <c r="B12" s="12"/>
      <c r="C12" s="300" t="s">
        <v>6</v>
      </c>
      <c r="D12" s="39">
        <f>D15/D10</f>
        <v>175.0395821640162</v>
      </c>
      <c r="E12" s="48"/>
      <c r="F12" s="39">
        <f>F15/F10</f>
        <v>178.67684541542536</v>
      </c>
      <c r="G12" s="48"/>
      <c r="H12" s="182">
        <f>+D12-F12</f>
        <v>-3.6372632514091663</v>
      </c>
      <c r="I12" s="39">
        <f>I15/I10</f>
        <v>171.17366215344938</v>
      </c>
      <c r="J12" s="48"/>
      <c r="K12" s="182">
        <f>+(D12-I12)</f>
        <v>3.8659200105668106</v>
      </c>
      <c r="M12" s="39">
        <f>M15/M10</f>
        <v>265.70242756200503</v>
      </c>
      <c r="N12" s="48"/>
      <c r="O12" s="39">
        <f>O15/O10</f>
        <v>275.96170549992883</v>
      </c>
      <c r="P12" s="48"/>
      <c r="Q12" s="182">
        <f>+M12-O12</f>
        <v>-10.259277937923798</v>
      </c>
      <c r="R12" s="39">
        <f>R15/R10</f>
        <v>270.15776670271288</v>
      </c>
      <c r="S12" s="48"/>
      <c r="T12" s="182">
        <f>+(M12-R12)</f>
        <v>-4.4553391407078493</v>
      </c>
    </row>
    <row r="13" spans="2:23" x14ac:dyDescent="0.25">
      <c r="B13" s="12"/>
      <c r="C13" s="300" t="s">
        <v>7</v>
      </c>
      <c r="D13" s="39">
        <f>D11*D12</f>
        <v>141.75554040404037</v>
      </c>
      <c r="E13" s="48"/>
      <c r="F13" s="39">
        <f>F11*F12</f>
        <v>136.30877525252527</v>
      </c>
      <c r="G13" s="48"/>
      <c r="H13" s="182">
        <f>+D13-F13</f>
        <v>5.446765151515109</v>
      </c>
      <c r="I13" s="39">
        <f>I11*I12</f>
        <v>134.08603535353535</v>
      </c>
      <c r="J13" s="48"/>
      <c r="K13" s="182">
        <f>+(D13-I13)</f>
        <v>7.6695050505050233</v>
      </c>
      <c r="M13" s="39">
        <f>M11*M12</f>
        <v>234.50808178469779</v>
      </c>
      <c r="N13" s="48"/>
      <c r="O13" s="39">
        <f>O11*O12</f>
        <v>243.40118114850159</v>
      </c>
      <c r="P13" s="48"/>
      <c r="Q13" s="182">
        <f>+M13-O13</f>
        <v>-8.893099363803799</v>
      </c>
      <c r="R13" s="39">
        <f>R11*R12</f>
        <v>239.17688727938727</v>
      </c>
      <c r="S13" s="48"/>
      <c r="T13" s="182">
        <f>+(M13-R13)</f>
        <v>-4.6688054946894795</v>
      </c>
    </row>
    <row r="14" spans="2:23" x14ac:dyDescent="0.25">
      <c r="B14" s="12"/>
      <c r="C14" s="301" t="s">
        <v>9</v>
      </c>
      <c r="D14" s="270"/>
      <c r="E14" s="269"/>
      <c r="F14" s="270"/>
      <c r="G14" s="268"/>
      <c r="H14" s="271"/>
      <c r="I14" s="270"/>
      <c r="J14" s="268"/>
      <c r="K14" s="272"/>
      <c r="M14" s="270"/>
      <c r="N14" s="269"/>
      <c r="O14" s="270"/>
      <c r="P14" s="268"/>
      <c r="Q14" s="271"/>
      <c r="R14" s="270"/>
      <c r="S14" s="268"/>
      <c r="T14" s="272"/>
    </row>
    <row r="15" spans="2:23" x14ac:dyDescent="0.25">
      <c r="B15" s="12" t="s">
        <v>10</v>
      </c>
      <c r="C15" s="300" t="s">
        <v>11</v>
      </c>
      <c r="D15" s="51">
        <v>561351.93999999994</v>
      </c>
      <c r="E15" s="52">
        <f>+IFERROR(D15/D$19,"")</f>
        <v>0.56501591565874965</v>
      </c>
      <c r="F15" s="51">
        <v>539782.75</v>
      </c>
      <c r="G15" s="52">
        <f t="shared" ref="G15:G19" si="0">+IFERROR(F15/F$19,"")</f>
        <v>0.54077981277981269</v>
      </c>
      <c r="H15" s="145">
        <f>+D15-F15</f>
        <v>21569.189999999944</v>
      </c>
      <c r="I15" s="51">
        <v>530980.69999999995</v>
      </c>
      <c r="J15" s="52">
        <f t="shared" ref="J15:J19" si="1">+IFERROR(I15/I$19,"")</f>
        <v>0.64217354353707257</v>
      </c>
      <c r="K15" s="145">
        <f>+(D15-I15)</f>
        <v>30371.239999999991</v>
      </c>
      <c r="M15" s="51">
        <v>5602867.0899999999</v>
      </c>
      <c r="N15" s="52">
        <f>+IFERROR(M15/M$19,"")</f>
        <v>0.66285037706983763</v>
      </c>
      <c r="O15" s="51">
        <v>5815341.0199999996</v>
      </c>
      <c r="P15" s="52">
        <f t="shared" ref="P15:P19" si="2">+IFERROR(O15/O$19,"")</f>
        <v>0.63613956527732274</v>
      </c>
      <c r="Q15" s="145">
        <f>+M15-O15</f>
        <v>-212473.9299999997</v>
      </c>
      <c r="R15" s="51">
        <v>5745985.54</v>
      </c>
      <c r="S15" s="52">
        <f t="shared" ref="S15:S19" si="3">+IFERROR(R15/R$19,"")</f>
        <v>0.73138567942548516</v>
      </c>
      <c r="T15" s="145">
        <f>+(M15-R15)</f>
        <v>-143118.45000000019</v>
      </c>
    </row>
    <row r="16" spans="2:23" x14ac:dyDescent="0.25">
      <c r="B16" s="12" t="s">
        <v>12</v>
      </c>
      <c r="C16" s="300" t="s">
        <v>13</v>
      </c>
      <c r="D16" s="51">
        <v>321159.56</v>
      </c>
      <c r="E16" s="52">
        <f>+IFERROR(D16/D$19,"")</f>
        <v>0.32325578649636655</v>
      </c>
      <c r="F16" s="51">
        <v>357626.33</v>
      </c>
      <c r="G16" s="52">
        <f t="shared" si="0"/>
        <v>0.35828692151153685</v>
      </c>
      <c r="H16" s="145">
        <f>+D16-F16</f>
        <v>-36466.770000000019</v>
      </c>
      <c r="I16" s="51">
        <v>201588.78</v>
      </c>
      <c r="J16" s="52">
        <f t="shared" si="1"/>
        <v>0.2438035529161707</v>
      </c>
      <c r="K16" s="145">
        <f>+(D16-I16)</f>
        <v>119570.78</v>
      </c>
      <c r="M16" s="51">
        <v>2171031.7200000002</v>
      </c>
      <c r="N16" s="52">
        <f>+IFERROR(M16/M$19,"")</f>
        <v>0.25684514215963283</v>
      </c>
      <c r="O16" s="51">
        <v>2607456.29</v>
      </c>
      <c r="P16" s="52">
        <f t="shared" si="2"/>
        <v>0.285229379514569</v>
      </c>
      <c r="Q16" s="145">
        <f>+M16-O16</f>
        <v>-436424.56999999983</v>
      </c>
      <c r="R16" s="51">
        <v>1394397.03</v>
      </c>
      <c r="S16" s="52">
        <f t="shared" si="3"/>
        <v>0.17748774550090995</v>
      </c>
      <c r="T16" s="145">
        <f>+(M16-R16)</f>
        <v>776634.69000000018</v>
      </c>
    </row>
    <row r="17" spans="2:20" x14ac:dyDescent="0.25">
      <c r="B17" s="12" t="s">
        <v>14</v>
      </c>
      <c r="C17" s="300" t="s">
        <v>15</v>
      </c>
      <c r="D17" s="51">
        <v>1540.21</v>
      </c>
      <c r="E17" s="52">
        <f>+IFERROR(D17/D$19,"")</f>
        <v>1.5502630372253867E-3</v>
      </c>
      <c r="F17" s="51">
        <v>1291.17</v>
      </c>
      <c r="G17" s="52">
        <f t="shared" si="0"/>
        <v>1.2935549920165305E-3</v>
      </c>
      <c r="H17" s="145">
        <f>+D17-F17</f>
        <v>249.03999999999996</v>
      </c>
      <c r="I17" s="51">
        <v>971.47</v>
      </c>
      <c r="J17" s="52">
        <f t="shared" si="1"/>
        <v>1.1749058531505194E-3</v>
      </c>
      <c r="K17" s="145">
        <f>+(D17-I17)</f>
        <v>568.74</v>
      </c>
      <c r="M17" s="51">
        <v>13283.58</v>
      </c>
      <c r="N17" s="52">
        <f>+IFERROR(M17/M$19,"")</f>
        <v>1.5715214854110262E-3</v>
      </c>
      <c r="O17" s="51">
        <v>9006.59</v>
      </c>
      <c r="P17" s="52">
        <f t="shared" si="2"/>
        <v>9.8522996803222427E-4</v>
      </c>
      <c r="Q17" s="145">
        <f>+M17-O17</f>
        <v>4276.99</v>
      </c>
      <c r="R17" s="51">
        <v>8864.61</v>
      </c>
      <c r="S17" s="52">
        <f t="shared" si="3"/>
        <v>1.1283440869382958E-3</v>
      </c>
      <c r="T17" s="145">
        <f>+(M17-R17)</f>
        <v>4418.9699999999993</v>
      </c>
    </row>
    <row r="18" spans="2:20" x14ac:dyDescent="0.25">
      <c r="B18" s="12" t="s">
        <v>16</v>
      </c>
      <c r="C18" s="300" t="s">
        <v>17</v>
      </c>
      <c r="D18" s="63">
        <v>109463.56</v>
      </c>
      <c r="E18" s="64">
        <f>+IFERROR(D18/D$19,"")</f>
        <v>0.11017803480765827</v>
      </c>
      <c r="F18" s="63">
        <v>99456</v>
      </c>
      <c r="G18" s="64">
        <f t="shared" si="0"/>
        <v>9.9639710716633786E-2</v>
      </c>
      <c r="H18" s="145">
        <f>+D18-F18</f>
        <v>10007.559999999998</v>
      </c>
      <c r="I18" s="63">
        <v>93308.28</v>
      </c>
      <c r="J18" s="64">
        <f t="shared" si="1"/>
        <v>0.11284799769360612</v>
      </c>
      <c r="K18" s="145">
        <f>+(D18-I18)</f>
        <v>16155.279999999999</v>
      </c>
      <c r="M18" s="63">
        <v>665505.1</v>
      </c>
      <c r="N18" s="64">
        <f>+IFERROR(M18/M$19,"")</f>
        <v>7.8732959285118434E-2</v>
      </c>
      <c r="O18" s="63">
        <v>709808</v>
      </c>
      <c r="P18" s="64">
        <f t="shared" si="2"/>
        <v>7.7645825240076113E-2</v>
      </c>
      <c r="Q18" s="145">
        <f>+M18-O18</f>
        <v>-44302.900000000023</v>
      </c>
      <c r="R18" s="63">
        <v>707053.13</v>
      </c>
      <c r="S18" s="64">
        <f t="shared" si="3"/>
        <v>8.9998230986666539E-2</v>
      </c>
      <c r="T18" s="145">
        <f>+(M18-R18)</f>
        <v>-41548.030000000028</v>
      </c>
    </row>
    <row r="19" spans="2:20" x14ac:dyDescent="0.25">
      <c r="B19" s="12" t="s">
        <v>671</v>
      </c>
      <c r="C19" s="303" t="s">
        <v>18</v>
      </c>
      <c r="D19" s="60">
        <f t="shared" ref="D19" si="4">+SUM(D15:D18)</f>
        <v>993515.27</v>
      </c>
      <c r="E19" s="62">
        <f>+IFERROR(D19/D$19,"")</f>
        <v>1</v>
      </c>
      <c r="F19" s="60">
        <f t="shared" ref="F19" si="5">+SUM(F15:F18)</f>
        <v>998156.25000000012</v>
      </c>
      <c r="G19" s="62">
        <f t="shared" si="0"/>
        <v>1</v>
      </c>
      <c r="H19" s="139">
        <f>+D19-F19</f>
        <v>-4640.9800000000978</v>
      </c>
      <c r="I19" s="60">
        <f t="shared" ref="I19" si="6">+SUM(I15:I18)</f>
        <v>826849.23</v>
      </c>
      <c r="J19" s="62">
        <f t="shared" si="1"/>
        <v>1</v>
      </c>
      <c r="K19" s="139">
        <f>+(D19-I19)</f>
        <v>166666.04000000004</v>
      </c>
      <c r="M19" s="60">
        <f t="shared" ref="M19" si="7">+SUM(M15:M18)</f>
        <v>8452687.4900000002</v>
      </c>
      <c r="N19" s="62">
        <f>+IFERROR(M19/M$19,"")</f>
        <v>1</v>
      </c>
      <c r="O19" s="60">
        <f t="shared" ref="O19" si="8">+SUM(O15:O18)</f>
        <v>9141611.8999999985</v>
      </c>
      <c r="P19" s="62">
        <f t="shared" si="2"/>
        <v>1</v>
      </c>
      <c r="Q19" s="139">
        <f>+M19-O19</f>
        <v>-688924.40999999829</v>
      </c>
      <c r="R19" s="60">
        <f t="shared" ref="R19" si="9">+SUM(R15:R18)</f>
        <v>7856300.3100000005</v>
      </c>
      <c r="S19" s="62">
        <f t="shared" si="3"/>
        <v>1</v>
      </c>
      <c r="T19" s="139">
        <f>+(M19-R19)</f>
        <v>596387.1799999997</v>
      </c>
    </row>
    <row r="20" spans="2:20" x14ac:dyDescent="0.25">
      <c r="B20" s="12"/>
      <c r="C20" s="300" t="s">
        <v>8</v>
      </c>
      <c r="D20" s="46" t="s">
        <v>8</v>
      </c>
      <c r="E20" s="43" t="b">
        <v>1</v>
      </c>
      <c r="F20" s="46" t="s">
        <v>8</v>
      </c>
      <c r="G20" s="88" t="b">
        <v>1</v>
      </c>
      <c r="H20" s="79"/>
      <c r="I20" s="46" t="s">
        <v>8</v>
      </c>
      <c r="J20" s="88" t="b">
        <v>1</v>
      </c>
      <c r="K20" s="80"/>
      <c r="M20" s="46" t="s">
        <v>8</v>
      </c>
      <c r="N20" s="43" t="b">
        <v>1</v>
      </c>
      <c r="O20" s="46" t="s">
        <v>8</v>
      </c>
      <c r="P20" s="88" t="b">
        <v>1</v>
      </c>
      <c r="Q20" s="79"/>
      <c r="R20" s="46" t="s">
        <v>8</v>
      </c>
      <c r="S20" s="88" t="b">
        <v>1</v>
      </c>
      <c r="T20" s="80"/>
    </row>
    <row r="21" spans="2:20" x14ac:dyDescent="0.25">
      <c r="B21" s="12"/>
      <c r="C21" s="301" t="s">
        <v>19</v>
      </c>
      <c r="D21" s="53"/>
      <c r="E21" s="54"/>
      <c r="F21" s="53"/>
      <c r="G21" s="32"/>
      <c r="H21" s="16"/>
      <c r="I21" s="53"/>
      <c r="J21" s="32"/>
      <c r="K21" s="50"/>
      <c r="M21" s="53"/>
      <c r="N21" s="54"/>
      <c r="O21" s="53"/>
      <c r="P21" s="32"/>
      <c r="Q21" s="16"/>
      <c r="R21" s="53"/>
      <c r="S21" s="32"/>
      <c r="T21" s="50"/>
    </row>
    <row r="22" spans="2:20" x14ac:dyDescent="0.25">
      <c r="B22" s="12" t="s">
        <v>20</v>
      </c>
      <c r="C22" s="302" t="s">
        <v>53</v>
      </c>
      <c r="D22" s="51">
        <v>221830.88</v>
      </c>
      <c r="E22" s="52">
        <f t="shared" ref="E22" si="10">+IFERROR(D22/D15,"")</f>
        <v>0.3951725543159253</v>
      </c>
      <c r="F22" s="51">
        <v>200372.09</v>
      </c>
      <c r="G22" s="52">
        <f t="shared" ref="G22:G24" si="11">+IFERROR(F22/F15,"")</f>
        <v>0.37120876871296832</v>
      </c>
      <c r="H22" s="138">
        <f>+D22-F22</f>
        <v>21458.790000000008</v>
      </c>
      <c r="I22" s="51">
        <v>206882.07</v>
      </c>
      <c r="J22" s="52">
        <f t="shared" ref="J22:J24" si="12">+IFERROR(I22/I15,"")</f>
        <v>0.38962257950241885</v>
      </c>
      <c r="K22" s="138">
        <f>+(D22-I22)</f>
        <v>14948.809999999998</v>
      </c>
      <c r="M22" s="51">
        <v>1516643.51</v>
      </c>
      <c r="N22" s="52">
        <f t="shared" ref="N22:N23" si="13">+IFERROR(M22/M15,"")</f>
        <v>0.27069060993913385</v>
      </c>
      <c r="O22" s="51">
        <v>1454372.19</v>
      </c>
      <c r="P22" s="52">
        <f t="shared" ref="P22:P24" si="14">+IFERROR(O22/O15,"")</f>
        <v>0.25009233078475596</v>
      </c>
      <c r="Q22" s="138">
        <f>+M22-O22</f>
        <v>62271.320000000065</v>
      </c>
      <c r="R22" s="51">
        <v>1505000.26</v>
      </c>
      <c r="S22" s="52">
        <f t="shared" ref="S22:S24" si="15">+IFERROR(R22/R15,"")</f>
        <v>0.26192204096636135</v>
      </c>
      <c r="T22" s="138">
        <f>+(M22-R22)</f>
        <v>11643.25</v>
      </c>
    </row>
    <row r="23" spans="2:20" x14ac:dyDescent="0.25">
      <c r="B23" s="12" t="s">
        <v>21</v>
      </c>
      <c r="C23" s="302" t="s">
        <v>381</v>
      </c>
      <c r="D23" s="51">
        <v>239181.62</v>
      </c>
      <c r="E23" s="52">
        <f t="shared" ref="E23" si="16">+IFERROR(D23/D16,"")</f>
        <v>0.74474388992188179</v>
      </c>
      <c r="F23" s="51">
        <v>245050.99580696301</v>
      </c>
      <c r="G23" s="52">
        <f t="shared" si="11"/>
        <v>0.68521519600350178</v>
      </c>
      <c r="H23" s="138">
        <f>+D23-F23</f>
        <v>-5869.375806963013</v>
      </c>
      <c r="I23" s="51">
        <v>181455.91</v>
      </c>
      <c r="J23" s="52">
        <f t="shared" si="12"/>
        <v>0.90012901511681354</v>
      </c>
      <c r="K23" s="138">
        <f>+(D23-I23)</f>
        <v>57725.709999999992</v>
      </c>
      <c r="M23" s="51">
        <v>1563121.54</v>
      </c>
      <c r="N23" s="52">
        <f t="shared" si="13"/>
        <v>0.71999018973338624</v>
      </c>
      <c r="O23" s="51">
        <v>1790295.09257294</v>
      </c>
      <c r="P23" s="52">
        <f t="shared" si="14"/>
        <v>0.6866059843223451</v>
      </c>
      <c r="Q23" s="138">
        <f>+M23-O23</f>
        <v>-227173.55257294001</v>
      </c>
      <c r="R23" s="51">
        <v>1182904.1100000001</v>
      </c>
      <c r="S23" s="52">
        <f t="shared" si="15"/>
        <v>0.8483266132602133</v>
      </c>
      <c r="T23" s="138">
        <f>+(M23-R23)</f>
        <v>380217.42999999993</v>
      </c>
    </row>
    <row r="24" spans="2:20" x14ac:dyDescent="0.25">
      <c r="B24" s="12" t="s">
        <v>22</v>
      </c>
      <c r="C24" s="302" t="s">
        <v>382</v>
      </c>
      <c r="D24" s="63">
        <v>553.64</v>
      </c>
      <c r="E24" s="64">
        <f>+IFERROR(D24/D17,"")</f>
        <v>0.35945747657786925</v>
      </c>
      <c r="F24" s="63">
        <v>440.42</v>
      </c>
      <c r="G24" s="64">
        <f t="shared" si="11"/>
        <v>0.34110148160195791</v>
      </c>
      <c r="H24" s="192">
        <f>+D24-F24</f>
        <v>113.21999999999997</v>
      </c>
      <c r="I24" s="63">
        <v>206.68</v>
      </c>
      <c r="J24" s="64">
        <f t="shared" si="12"/>
        <v>0.21274975037829269</v>
      </c>
      <c r="K24" s="192">
        <f>+(D24-I24)</f>
        <v>346.96</v>
      </c>
      <c r="M24" s="63">
        <v>6388.13</v>
      </c>
      <c r="N24" s="64">
        <f>+IFERROR(M24/M17,"")</f>
        <v>0.48090424418718447</v>
      </c>
      <c r="O24" s="63">
        <v>3072.11</v>
      </c>
      <c r="P24" s="64">
        <f t="shared" si="14"/>
        <v>0.34109579763262232</v>
      </c>
      <c r="Q24" s="192">
        <f>+M24-O24</f>
        <v>3316.02</v>
      </c>
      <c r="R24" s="63">
        <v>2822.95</v>
      </c>
      <c r="S24" s="64">
        <f t="shared" si="15"/>
        <v>0.3184516859737766</v>
      </c>
      <c r="T24" s="192">
        <f>+(M24-R24)</f>
        <v>3565.1800000000003</v>
      </c>
    </row>
    <row r="25" spans="2:20" x14ac:dyDescent="0.25">
      <c r="B25" s="12" t="s">
        <v>663</v>
      </c>
      <c r="C25" s="303" t="s">
        <v>23</v>
      </c>
      <c r="D25" s="60">
        <f>+SUM(D22:D24)</f>
        <v>461566.14</v>
      </c>
      <c r="E25" s="62">
        <f>+IFERROR(D25/D$19,"")</f>
        <v>0.46457880813447389</v>
      </c>
      <c r="F25" s="60">
        <f>+SUM(F22:F24)</f>
        <v>445863.50580696302</v>
      </c>
      <c r="G25" s="62">
        <f t="shared" ref="G25" si="17">+IFERROR(F25/F$19,"")</f>
        <v>0.44668708512015326</v>
      </c>
      <c r="H25" s="193">
        <f>+D25-F25</f>
        <v>15702.634193036996</v>
      </c>
      <c r="I25" s="60">
        <f>+SUM(I22:I24)</f>
        <v>388544.66</v>
      </c>
      <c r="J25" s="62">
        <f t="shared" ref="J25" si="18">+IFERROR(I25/I$19,"")</f>
        <v>0.4699099254165115</v>
      </c>
      <c r="K25" s="193">
        <f>+(D25-I25)</f>
        <v>73021.48000000004</v>
      </c>
      <c r="M25" s="60">
        <f>+SUM(M22:M24)</f>
        <v>3086153.1799999997</v>
      </c>
      <c r="N25" s="62">
        <f>+IFERROR(M25/M$19,"")</f>
        <v>0.36510910685519732</v>
      </c>
      <c r="O25" s="60">
        <f>+SUM(O22:O24)</f>
        <v>3247739.3925729399</v>
      </c>
      <c r="P25" s="62">
        <f t="shared" ref="P25" si="19">+IFERROR(O25/O$19,"")</f>
        <v>0.35526988326565695</v>
      </c>
      <c r="Q25" s="193">
        <f>+M25-O25</f>
        <v>-161586.21257294016</v>
      </c>
      <c r="R25" s="60">
        <f>+SUM(R22:R24)</f>
        <v>2690727.3200000003</v>
      </c>
      <c r="S25" s="62">
        <f t="shared" ref="S25" si="20">+IFERROR(R25/R$19,"")</f>
        <v>0.34249293100151362</v>
      </c>
      <c r="T25" s="193">
        <f>+(M25-R25)</f>
        <v>395425.8599999994</v>
      </c>
    </row>
    <row r="26" spans="2:20" x14ac:dyDescent="0.25">
      <c r="B26" s="12"/>
      <c r="C26" s="304" t="s">
        <v>8</v>
      </c>
      <c r="D26" s="203"/>
      <c r="E26" s="204"/>
      <c r="F26" s="203"/>
      <c r="G26" s="273"/>
      <c r="I26" s="203"/>
      <c r="J26" s="274"/>
      <c r="K26" s="201"/>
      <c r="M26" s="203"/>
      <c r="N26" s="204"/>
      <c r="O26" s="203"/>
      <c r="P26" s="273"/>
      <c r="R26" s="203"/>
      <c r="S26" s="274"/>
      <c r="T26" s="201"/>
    </row>
    <row r="27" spans="2:20" x14ac:dyDescent="0.25">
      <c r="B27" s="12"/>
      <c r="C27" s="303" t="s">
        <v>24</v>
      </c>
      <c r="D27" s="67">
        <f>+D19-D25</f>
        <v>531949.13</v>
      </c>
      <c r="E27" s="69">
        <f>+IFERROR(D27/D$19,"")</f>
        <v>0.53542119186552617</v>
      </c>
      <c r="F27" s="67">
        <f>+F19-F25</f>
        <v>552292.74419303704</v>
      </c>
      <c r="G27" s="69">
        <f t="shared" ref="G27" si="21">+IFERROR(F27/F$19,"")</f>
        <v>0.55331291487984668</v>
      </c>
      <c r="H27" s="191">
        <f>+D27-F27</f>
        <v>-20343.614193037036</v>
      </c>
      <c r="I27" s="67">
        <f>+I19-I25</f>
        <v>438304.57</v>
      </c>
      <c r="J27" s="69">
        <f t="shared" ref="J27" si="22">+IFERROR(I27/I$19,"")</f>
        <v>0.53009007458348845</v>
      </c>
      <c r="K27" s="191">
        <f>+(D27-I27)</f>
        <v>93644.56</v>
      </c>
      <c r="M27" s="67">
        <f>+M19-M25</f>
        <v>5366534.3100000005</v>
      </c>
      <c r="N27" s="69">
        <f>+IFERROR(M27/M$19,"")</f>
        <v>0.63489089314480263</v>
      </c>
      <c r="O27" s="67">
        <f>+O19-O25</f>
        <v>5893872.5074270591</v>
      </c>
      <c r="P27" s="69">
        <f t="shared" ref="P27" si="23">+IFERROR(O27/O$19,"")</f>
        <v>0.64473011673434311</v>
      </c>
      <c r="Q27" s="191">
        <f>+M27-O27</f>
        <v>-527338.19742705859</v>
      </c>
      <c r="R27" s="67">
        <f>+R19-R25</f>
        <v>5165572.99</v>
      </c>
      <c r="S27" s="69">
        <f t="shared" ref="S27" si="24">+IFERROR(R27/R$19,"")</f>
        <v>0.65750706899848632</v>
      </c>
      <c r="T27" s="191">
        <f>+(M27-R27)</f>
        <v>200961.3200000003</v>
      </c>
    </row>
    <row r="28" spans="2:20" x14ac:dyDescent="0.25">
      <c r="B28" s="12"/>
      <c r="C28" s="304" t="s">
        <v>8</v>
      </c>
      <c r="D28" s="46" t="s">
        <v>8</v>
      </c>
      <c r="E28" s="43" t="b">
        <v>1</v>
      </c>
      <c r="F28" s="46" t="s">
        <v>8</v>
      </c>
      <c r="G28" s="96" t="b">
        <v>1</v>
      </c>
      <c r="I28" s="46" t="s">
        <v>8</v>
      </c>
      <c r="J28" s="96" t="b">
        <v>1</v>
      </c>
      <c r="K28" s="75"/>
      <c r="M28" s="46" t="s">
        <v>8</v>
      </c>
      <c r="N28" s="43" t="b">
        <v>1</v>
      </c>
      <c r="O28" s="46" t="s">
        <v>8</v>
      </c>
      <c r="P28" s="96" t="b">
        <v>1</v>
      </c>
      <c r="R28" s="46" t="s">
        <v>8</v>
      </c>
      <c r="S28" s="96" t="b">
        <v>1</v>
      </c>
      <c r="T28" s="75"/>
    </row>
    <row r="29" spans="2:20" x14ac:dyDescent="0.25">
      <c r="B29" s="12"/>
      <c r="C29" s="301" t="s">
        <v>25</v>
      </c>
      <c r="D29" s="53"/>
      <c r="E29" s="54"/>
      <c r="F29" s="53"/>
      <c r="G29" s="32"/>
      <c r="H29" s="185"/>
      <c r="I29" s="53"/>
      <c r="J29" s="32"/>
      <c r="K29" s="197"/>
      <c r="M29" s="53"/>
      <c r="N29" s="54"/>
      <c r="O29" s="53"/>
      <c r="P29" s="32"/>
      <c r="Q29" s="185"/>
      <c r="R29" s="53"/>
      <c r="S29" s="32"/>
      <c r="T29" s="197"/>
    </row>
    <row r="30" spans="2:20" x14ac:dyDescent="0.25">
      <c r="B30" s="12" t="s">
        <v>26</v>
      </c>
      <c r="C30" s="302" t="s">
        <v>383</v>
      </c>
      <c r="D30" s="51">
        <v>100968.38</v>
      </c>
      <c r="E30" s="52">
        <f t="shared" ref="E30:E35" si="25">+IFERROR(D30/D$19,"")</f>
        <v>0.1016274062903935</v>
      </c>
      <c r="F30" s="51">
        <v>109477.161070581</v>
      </c>
      <c r="G30" s="52">
        <f t="shared" ref="G30:G35" si="26">+IFERROR(F30/F$19,"")</f>
        <v>0.10967938243193988</v>
      </c>
      <c r="H30" s="138">
        <f t="shared" ref="H30:H35" si="27">+D30-F30</f>
        <v>-8508.781070580997</v>
      </c>
      <c r="I30" s="51">
        <v>82539.25</v>
      </c>
      <c r="J30" s="52">
        <f t="shared" ref="J30:J35" si="28">+IFERROR(I30/I$19,"")</f>
        <v>9.982382156901809E-2</v>
      </c>
      <c r="K30" s="138">
        <f t="shared" ref="K30:K35" si="29">+(D30-I30)</f>
        <v>18429.130000000005</v>
      </c>
      <c r="M30" s="51">
        <v>713720.5</v>
      </c>
      <c r="N30" s="52">
        <f t="shared" ref="N30:N35" si="30">+IFERROR(M30/M$19,"")</f>
        <v>8.4437109599091537E-2</v>
      </c>
      <c r="O30" s="51">
        <v>793951.41890596796</v>
      </c>
      <c r="P30" s="52">
        <f t="shared" ref="P30:P35" si="31">+IFERROR(O30/O$19,"")</f>
        <v>8.685026531327239E-2</v>
      </c>
      <c r="Q30" s="138">
        <f t="shared" ref="Q30:Q35" si="32">+M30-O30</f>
        <v>-80230.918905967963</v>
      </c>
      <c r="R30" s="51">
        <v>652083.27</v>
      </c>
      <c r="S30" s="52">
        <f t="shared" ref="S30:S35" si="33">+IFERROR(R30/R$19,"")</f>
        <v>8.3001316684646942E-2</v>
      </c>
      <c r="T30" s="138">
        <f t="shared" ref="T30:T35" si="34">+(M30-R30)</f>
        <v>61637.229999999981</v>
      </c>
    </row>
    <row r="31" spans="2:20" x14ac:dyDescent="0.25">
      <c r="B31" s="13" t="s">
        <v>27</v>
      </c>
      <c r="C31" s="302" t="s">
        <v>384</v>
      </c>
      <c r="D31" s="51">
        <v>13596.28</v>
      </c>
      <c r="E31" s="52">
        <f t="shared" si="25"/>
        <v>1.3685023683631959E-2</v>
      </c>
      <c r="F31" s="51">
        <v>13553.03</v>
      </c>
      <c r="G31" s="52">
        <f t="shared" si="26"/>
        <v>1.3578064556526093E-2</v>
      </c>
      <c r="H31" s="138">
        <f t="shared" si="27"/>
        <v>43.25</v>
      </c>
      <c r="I31" s="51">
        <v>11148.06</v>
      </c>
      <c r="J31" s="52">
        <f t="shared" si="28"/>
        <v>1.3482578921915426E-2</v>
      </c>
      <c r="K31" s="138">
        <f t="shared" si="29"/>
        <v>2448.2200000000012</v>
      </c>
      <c r="M31" s="51">
        <v>105455.03999999999</v>
      </c>
      <c r="N31" s="52">
        <f t="shared" si="30"/>
        <v>1.2475918472646621E-2</v>
      </c>
      <c r="O31" s="51">
        <v>105758.51</v>
      </c>
      <c r="P31" s="52">
        <f t="shared" si="31"/>
        <v>1.156891269908319E-2</v>
      </c>
      <c r="Q31" s="138">
        <f t="shared" si="32"/>
        <v>-303.47000000000116</v>
      </c>
      <c r="R31" s="51">
        <v>104351.26</v>
      </c>
      <c r="S31" s="52">
        <f t="shared" si="33"/>
        <v>1.3282493779823443E-2</v>
      </c>
      <c r="T31" s="138">
        <f t="shared" si="34"/>
        <v>1103.7799999999988</v>
      </c>
    </row>
    <row r="32" spans="2:20" x14ac:dyDescent="0.25">
      <c r="B32" s="12" t="s">
        <v>264</v>
      </c>
      <c r="C32" s="302" t="s">
        <v>385</v>
      </c>
      <c r="D32" s="51">
        <v>81596.5</v>
      </c>
      <c r="E32" s="52">
        <f t="shared" si="25"/>
        <v>8.2129084940989375E-2</v>
      </c>
      <c r="F32" s="51">
        <v>97229.68</v>
      </c>
      <c r="G32" s="52">
        <f t="shared" si="26"/>
        <v>9.7409278356970649E-2</v>
      </c>
      <c r="H32" s="138">
        <f t="shared" si="27"/>
        <v>-15633.179999999993</v>
      </c>
      <c r="I32" s="51">
        <v>96066.240000000005</v>
      </c>
      <c r="J32" s="52">
        <f t="shared" si="28"/>
        <v>0.11618350300695086</v>
      </c>
      <c r="K32" s="138">
        <f t="shared" si="29"/>
        <v>-14469.740000000005</v>
      </c>
      <c r="M32" s="51">
        <v>563834.93999999994</v>
      </c>
      <c r="N32" s="52">
        <f t="shared" si="30"/>
        <v>6.670481319308777E-2</v>
      </c>
      <c r="O32" s="51">
        <v>685963.61</v>
      </c>
      <c r="P32" s="52">
        <f t="shared" si="31"/>
        <v>7.5037489832619139E-2</v>
      </c>
      <c r="Q32" s="138">
        <f t="shared" si="32"/>
        <v>-122128.67000000004</v>
      </c>
      <c r="R32" s="51">
        <v>620068.29</v>
      </c>
      <c r="S32" s="52">
        <f t="shared" si="33"/>
        <v>7.8926245883286505E-2</v>
      </c>
      <c r="T32" s="138">
        <f t="shared" si="34"/>
        <v>-56233.350000000093</v>
      </c>
    </row>
    <row r="33" spans="2:24" x14ac:dyDescent="0.25">
      <c r="B33" s="12" t="s">
        <v>28</v>
      </c>
      <c r="C33" s="302" t="s">
        <v>386</v>
      </c>
      <c r="D33" s="51">
        <v>59916.89</v>
      </c>
      <c r="E33" s="52">
        <f t="shared" si="25"/>
        <v>6.0307970908187451E-2</v>
      </c>
      <c r="F33" s="51">
        <v>65336.383662920001</v>
      </c>
      <c r="G33" s="52">
        <f t="shared" si="26"/>
        <v>6.5457070135983217E-2</v>
      </c>
      <c r="H33" s="138">
        <f t="shared" si="27"/>
        <v>-5419.493662920002</v>
      </c>
      <c r="I33" s="51">
        <v>45389.36</v>
      </c>
      <c r="J33" s="52">
        <f t="shared" si="28"/>
        <v>5.4894360849800879E-2</v>
      </c>
      <c r="K33" s="138">
        <f t="shared" si="29"/>
        <v>14527.529999999999</v>
      </c>
      <c r="M33" s="51">
        <v>337559.69</v>
      </c>
      <c r="N33" s="52">
        <f t="shared" si="30"/>
        <v>3.9935191073768181E-2</v>
      </c>
      <c r="O33" s="51">
        <v>402126.98781886301</v>
      </c>
      <c r="P33" s="52">
        <f t="shared" si="31"/>
        <v>4.3988630475426664E-2</v>
      </c>
      <c r="Q33" s="138">
        <f t="shared" si="32"/>
        <v>-64567.297818863008</v>
      </c>
      <c r="R33" s="51">
        <v>324588.81</v>
      </c>
      <c r="S33" s="52">
        <f t="shared" si="33"/>
        <v>4.1315733512228732E-2</v>
      </c>
      <c r="T33" s="138">
        <f t="shared" si="34"/>
        <v>12970.880000000005</v>
      </c>
    </row>
    <row r="34" spans="2:24" x14ac:dyDescent="0.25">
      <c r="B34" s="12" t="s">
        <v>29</v>
      </c>
      <c r="C34" s="302" t="s">
        <v>68</v>
      </c>
      <c r="D34" s="63">
        <v>26247.02</v>
      </c>
      <c r="E34" s="64">
        <f t="shared" si="25"/>
        <v>2.6418335774547282E-2</v>
      </c>
      <c r="F34" s="63">
        <v>27661.439999999999</v>
      </c>
      <c r="G34" s="64">
        <f t="shared" si="26"/>
        <v>2.7712534986381137E-2</v>
      </c>
      <c r="H34" s="192">
        <f t="shared" si="27"/>
        <v>-1414.4199999999983</v>
      </c>
      <c r="I34" s="63">
        <v>28545.41</v>
      </c>
      <c r="J34" s="64">
        <f t="shared" si="28"/>
        <v>3.4523113724130819E-2</v>
      </c>
      <c r="K34" s="192">
        <f t="shared" si="29"/>
        <v>-2298.3899999999994</v>
      </c>
      <c r="M34" s="63">
        <v>148214.88</v>
      </c>
      <c r="N34" s="64">
        <f t="shared" si="30"/>
        <v>1.7534645658596328E-2</v>
      </c>
      <c r="O34" s="63">
        <v>140492.93</v>
      </c>
      <c r="P34" s="64">
        <f t="shared" si="31"/>
        <v>1.5368507385442607E-2</v>
      </c>
      <c r="Q34" s="192">
        <f t="shared" si="32"/>
        <v>7721.9500000000116</v>
      </c>
      <c r="R34" s="63">
        <v>150950.91</v>
      </c>
      <c r="S34" s="64">
        <f t="shared" si="33"/>
        <v>1.9213994379499475E-2</v>
      </c>
      <c r="T34" s="192">
        <f t="shared" si="34"/>
        <v>-2736.0299999999988</v>
      </c>
    </row>
    <row r="35" spans="2:24" x14ac:dyDescent="0.25">
      <c r="B35" s="12" t="s">
        <v>678</v>
      </c>
      <c r="C35" s="303" t="s">
        <v>30</v>
      </c>
      <c r="D35" s="60">
        <f>+SUM(D30:D34)</f>
        <v>282325.07</v>
      </c>
      <c r="E35" s="62">
        <f t="shared" si="25"/>
        <v>0.28416782159774956</v>
      </c>
      <c r="F35" s="60">
        <f>+SUM(F30:F34)</f>
        <v>313257.694733501</v>
      </c>
      <c r="G35" s="62">
        <f t="shared" si="26"/>
        <v>0.31383633046780096</v>
      </c>
      <c r="H35" s="193">
        <f t="shared" si="27"/>
        <v>-30932.624733500998</v>
      </c>
      <c r="I35" s="60">
        <f>+SUM(I30:I34)</f>
        <v>263688.31999999995</v>
      </c>
      <c r="J35" s="62">
        <f t="shared" si="28"/>
        <v>0.31890737807181602</v>
      </c>
      <c r="K35" s="193">
        <f t="shared" si="29"/>
        <v>18636.750000000058</v>
      </c>
      <c r="M35" s="60">
        <f>+SUM(M30:M34)</f>
        <v>1868785.0499999998</v>
      </c>
      <c r="N35" s="62">
        <f t="shared" si="30"/>
        <v>0.22108767799719042</v>
      </c>
      <c r="O35" s="60">
        <f>+SUM(O30:O34)</f>
        <v>2128293.4567248309</v>
      </c>
      <c r="P35" s="62">
        <f t="shared" si="31"/>
        <v>0.23281380570584398</v>
      </c>
      <c r="Q35" s="193">
        <f t="shared" si="32"/>
        <v>-259508.40672483109</v>
      </c>
      <c r="R35" s="60">
        <f>+SUM(R30:R34)</f>
        <v>1852042.54</v>
      </c>
      <c r="S35" s="62">
        <f t="shared" si="33"/>
        <v>0.23573978423948511</v>
      </c>
      <c r="T35" s="193">
        <f t="shared" si="34"/>
        <v>16742.509999999776</v>
      </c>
    </row>
    <row r="36" spans="2:24" x14ac:dyDescent="0.25">
      <c r="B36" s="12"/>
      <c r="C36" s="304" t="s">
        <v>8</v>
      </c>
      <c r="D36" s="70"/>
      <c r="E36" s="71"/>
      <c r="F36" s="70"/>
      <c r="G36" s="97"/>
      <c r="H36" s="186"/>
      <c r="I36" s="70"/>
      <c r="J36" s="97"/>
      <c r="K36" s="198"/>
      <c r="M36" s="70"/>
      <c r="N36" s="71"/>
      <c r="O36" s="70"/>
      <c r="P36" s="97"/>
      <c r="Q36" s="186"/>
      <c r="R36" s="70"/>
      <c r="S36" s="97"/>
      <c r="T36" s="198"/>
    </row>
    <row r="37" spans="2:24" ht="15.75" thickBot="1" x14ac:dyDescent="0.3">
      <c r="B37" s="12" t="s">
        <v>666</v>
      </c>
      <c r="C37" s="303" t="s">
        <v>31</v>
      </c>
      <c r="D37" s="65">
        <f>+D27-D35</f>
        <v>249624.06</v>
      </c>
      <c r="E37" s="66">
        <f>+IFERROR(D37/D$19,"")</f>
        <v>0.25125337026777655</v>
      </c>
      <c r="F37" s="65">
        <f>+F27-F35</f>
        <v>239035.04945953604</v>
      </c>
      <c r="G37" s="89">
        <f t="shared" ref="G37" si="35">+IFERROR(F37/F$19,"")</f>
        <v>0.23947658441204572</v>
      </c>
      <c r="H37" s="133">
        <f>+D37-F37</f>
        <v>10589.010540463962</v>
      </c>
      <c r="I37" s="65">
        <f>+I27-I35</f>
        <v>174616.25000000006</v>
      </c>
      <c r="J37" s="89">
        <f t="shared" ref="J37" si="36">+IFERROR(I37/I$19,"")</f>
        <v>0.21118269651167246</v>
      </c>
      <c r="K37" s="133">
        <f>+(D37-I37)</f>
        <v>75007.809999999939</v>
      </c>
      <c r="M37" s="65">
        <f>+M27-M35</f>
        <v>3497749.2600000007</v>
      </c>
      <c r="N37" s="66">
        <f>+IFERROR(M37/M$19,"")</f>
        <v>0.41380321514761226</v>
      </c>
      <c r="O37" s="65">
        <f>+O27-O35</f>
        <v>3765579.0507022282</v>
      </c>
      <c r="P37" s="89">
        <f t="shared" ref="P37" si="37">+IFERROR(O37/O$19,"")</f>
        <v>0.41191631102849913</v>
      </c>
      <c r="Q37" s="133">
        <f>+M37-O37</f>
        <v>-267829.7907022275</v>
      </c>
      <c r="R37" s="65">
        <f>+R27-R35</f>
        <v>3313530.45</v>
      </c>
      <c r="S37" s="89">
        <f t="shared" ref="S37" si="38">+IFERROR(R37/R$19,"")</f>
        <v>0.42176728475900127</v>
      </c>
      <c r="T37" s="133">
        <f>+(M37-R37)</f>
        <v>184218.81000000052</v>
      </c>
    </row>
    <row r="38" spans="2:24" ht="15.75" thickTop="1" x14ac:dyDescent="0.25">
      <c r="B38" s="12"/>
      <c r="C38" s="304" t="s">
        <v>8</v>
      </c>
      <c r="D38" s="205"/>
      <c r="E38" s="43"/>
      <c r="F38" s="205"/>
      <c r="G38" s="99"/>
      <c r="H38" s="187"/>
      <c r="I38" s="205"/>
      <c r="J38" s="98"/>
      <c r="K38" s="199"/>
      <c r="M38" s="205"/>
      <c r="N38" s="43"/>
      <c r="O38" s="205"/>
      <c r="P38" s="99"/>
      <c r="Q38" s="187"/>
      <c r="R38" s="205"/>
      <c r="S38" s="98"/>
      <c r="T38" s="199"/>
    </row>
    <row r="39" spans="2:24" x14ac:dyDescent="0.25">
      <c r="B39" s="12" t="s">
        <v>279</v>
      </c>
      <c r="C39" s="302" t="s">
        <v>33</v>
      </c>
      <c r="D39" s="63">
        <v>50038.67</v>
      </c>
      <c r="E39" s="64">
        <f>+IFERROR(D39/D$19,"")</f>
        <v>5.0365275211119803E-2</v>
      </c>
      <c r="F39" s="63">
        <v>51150.41</v>
      </c>
      <c r="G39" s="64">
        <f t="shared" ref="G39:G40" si="39">+IFERROR(F39/F$19,"")</f>
        <v>5.1244892771046616E-2</v>
      </c>
      <c r="H39" s="194">
        <f>+D39-F39</f>
        <v>-1111.7400000000052</v>
      </c>
      <c r="I39" s="63">
        <v>41157.660000000003</v>
      </c>
      <c r="J39" s="64">
        <f t="shared" ref="J39:J40" si="40">+IFERROR(I39/I$19,"")</f>
        <v>4.9776499156926113E-2</v>
      </c>
      <c r="K39" s="194">
        <f>+(D39-I39)</f>
        <v>8881.0099999999948</v>
      </c>
      <c r="M39" s="63">
        <v>379749.17</v>
      </c>
      <c r="N39" s="64">
        <f>+IFERROR(M39/M$19,"")</f>
        <v>4.4926441495591121E-2</v>
      </c>
      <c r="O39" s="63">
        <v>425034.18</v>
      </c>
      <c r="P39" s="64">
        <f t="shared" ref="P39:P40" si="41">+IFERROR(O39/O$19,"")</f>
        <v>4.6494445908385154E-2</v>
      </c>
      <c r="Q39" s="194">
        <f>+M39-O39</f>
        <v>-45285.010000000009</v>
      </c>
      <c r="R39" s="63">
        <v>340348.88</v>
      </c>
      <c r="S39" s="64">
        <f t="shared" ref="S39:S40" si="42">+IFERROR(R39/R$19,"")</f>
        <v>4.3321775717608736E-2</v>
      </c>
      <c r="T39" s="194">
        <f>+(M39-R39)</f>
        <v>39400.289999999979</v>
      </c>
    </row>
    <row r="40" spans="2:24" x14ac:dyDescent="0.25">
      <c r="B40" s="12"/>
      <c r="C40" s="303" t="s">
        <v>35</v>
      </c>
      <c r="D40" s="72">
        <f>+D37-D39</f>
        <v>199585.39</v>
      </c>
      <c r="E40" s="73">
        <f>+IFERROR(D40/D$19,"")</f>
        <v>0.20088809505665675</v>
      </c>
      <c r="F40" s="72">
        <f>+F37-F39</f>
        <v>187884.63945953603</v>
      </c>
      <c r="G40" s="73">
        <f t="shared" si="39"/>
        <v>0.18823169164099909</v>
      </c>
      <c r="H40" s="191">
        <f>+D40-F40</f>
        <v>11700.750540463981</v>
      </c>
      <c r="I40" s="72">
        <f>+I37-I39</f>
        <v>133458.59000000005</v>
      </c>
      <c r="J40" s="73">
        <f t="shared" si="40"/>
        <v>0.16140619735474634</v>
      </c>
      <c r="K40" s="191">
        <f>+(D40-I40)</f>
        <v>66126.799999999959</v>
      </c>
      <c r="M40" s="72">
        <f>+M37-M39</f>
        <v>3118000.0900000008</v>
      </c>
      <c r="N40" s="73">
        <f>+IFERROR(M40/M$19,"")</f>
        <v>0.36887677365202115</v>
      </c>
      <c r="O40" s="72">
        <f>+O37-O39</f>
        <v>3340544.870702228</v>
      </c>
      <c r="P40" s="73">
        <f t="shared" si="41"/>
        <v>0.36542186512011393</v>
      </c>
      <c r="Q40" s="191">
        <f>+M40-O40</f>
        <v>-222544.78070222726</v>
      </c>
      <c r="R40" s="72">
        <f>+R37-R39</f>
        <v>2973181.5700000003</v>
      </c>
      <c r="S40" s="73">
        <f t="shared" si="42"/>
        <v>0.37844550904139257</v>
      </c>
      <c r="T40" s="191">
        <f>+(M40-R40)</f>
        <v>144818.52000000048</v>
      </c>
    </row>
    <row r="41" spans="2:24" x14ac:dyDescent="0.25">
      <c r="B41" s="12"/>
      <c r="C41" s="300" t="s">
        <v>8</v>
      </c>
      <c r="D41" s="46" t="s">
        <v>8</v>
      </c>
      <c r="E41" s="43" t="b">
        <v>1</v>
      </c>
      <c r="F41" s="46" t="s">
        <v>8</v>
      </c>
      <c r="G41" s="98" t="b">
        <v>1</v>
      </c>
      <c r="H41" s="188"/>
      <c r="I41" s="46" t="s">
        <v>8</v>
      </c>
      <c r="J41" s="98" t="b">
        <v>1</v>
      </c>
      <c r="K41" s="200"/>
      <c r="M41" s="46" t="s">
        <v>8</v>
      </c>
      <c r="N41" s="43" t="b">
        <v>1</v>
      </c>
      <c r="O41" s="46" t="s">
        <v>8</v>
      </c>
      <c r="P41" s="98" t="b">
        <v>1</v>
      </c>
      <c r="Q41" s="188"/>
      <c r="R41" s="46" t="s">
        <v>8</v>
      </c>
      <c r="S41" s="98" t="b">
        <v>1</v>
      </c>
      <c r="T41" s="200"/>
    </row>
    <row r="42" spans="2:24" x14ac:dyDescent="0.25">
      <c r="B42" s="12"/>
      <c r="C42" s="301" t="s">
        <v>387</v>
      </c>
      <c r="D42" s="53"/>
      <c r="E42" s="54"/>
      <c r="F42" s="53"/>
      <c r="G42" s="32"/>
      <c r="H42" s="185"/>
      <c r="I42" s="53"/>
      <c r="J42" s="100"/>
      <c r="K42" s="197"/>
      <c r="M42" s="53"/>
      <c r="N42" s="54"/>
      <c r="O42" s="53"/>
      <c r="P42" s="32"/>
      <c r="Q42" s="185"/>
      <c r="R42" s="53"/>
      <c r="S42" s="100"/>
      <c r="T42" s="197"/>
    </row>
    <row r="43" spans="2:24" s="11" customFormat="1" x14ac:dyDescent="0.25">
      <c r="B43" s="12" t="s">
        <v>36</v>
      </c>
      <c r="C43" s="302" t="s">
        <v>37</v>
      </c>
      <c r="D43" s="51">
        <v>1697.83</v>
      </c>
      <c r="E43" s="52">
        <f t="shared" ref="E43:E48" si="43">+IFERROR(D43/D$19,"")</f>
        <v>1.7089118318231787E-3</v>
      </c>
      <c r="F43" s="51">
        <v>2031</v>
      </c>
      <c r="G43" s="52">
        <f t="shared" ref="G43:G48" si="44">+IFERROR(F43/F$19,"")</f>
        <v>2.0347515732131115E-3</v>
      </c>
      <c r="H43" s="138">
        <f t="shared" ref="H43:H48" si="45">+D43-F43</f>
        <v>-333.17000000000007</v>
      </c>
      <c r="I43" s="51">
        <v>2077.4899999999998</v>
      </c>
      <c r="J43" s="52">
        <f t="shared" ref="J43:J48" si="46">+IFERROR(I43/I$19,"")</f>
        <v>2.5125378661838989E-3</v>
      </c>
      <c r="K43" s="138">
        <f t="shared" ref="K43:K48" si="47">+(D43-I43)</f>
        <v>-379.65999999999985</v>
      </c>
      <c r="M43" s="51">
        <v>13317.66</v>
      </c>
      <c r="N43" s="52">
        <f t="shared" ref="N43:N48" si="48">+IFERROR(M43/M$19,"")</f>
        <v>1.5755533391901136E-3</v>
      </c>
      <c r="O43" s="51">
        <v>12186</v>
      </c>
      <c r="P43" s="52">
        <f t="shared" ref="P43:P48" si="49">+IFERROR(O43/O$19,"")</f>
        <v>1.3330253059638205E-3</v>
      </c>
      <c r="Q43" s="138">
        <f t="shared" ref="Q43:Q48" si="50">+M43-O43</f>
        <v>1131.6599999999999</v>
      </c>
      <c r="R43" s="51">
        <v>11941.81</v>
      </c>
      <c r="S43" s="52">
        <f t="shared" ref="S43:S48" si="51">+IFERROR(R43/R$19,"")</f>
        <v>1.5200297250347852E-3</v>
      </c>
      <c r="T43" s="138">
        <f t="shared" ref="T43:T48" si="52">+(M43-R43)</f>
        <v>1375.8500000000004</v>
      </c>
      <c r="V43" s="331"/>
      <c r="W43" s="331"/>
      <c r="X43" s="331"/>
    </row>
    <row r="44" spans="2:24" x14ac:dyDescent="0.25">
      <c r="B44" s="12" t="s">
        <v>38</v>
      </c>
      <c r="C44" s="17" t="s">
        <v>39</v>
      </c>
      <c r="D44" s="51">
        <v>-1.81</v>
      </c>
      <c r="E44" s="52">
        <f t="shared" si="43"/>
        <v>-1.8218139717168112E-6</v>
      </c>
      <c r="F44" s="51">
        <v>1100.5</v>
      </c>
      <c r="G44" s="52">
        <f t="shared" si="44"/>
        <v>1.1025327948404871E-3</v>
      </c>
      <c r="H44" s="138">
        <f t="shared" si="45"/>
        <v>-1102.31</v>
      </c>
      <c r="I44" s="51">
        <v>658.13</v>
      </c>
      <c r="J44" s="52">
        <f t="shared" si="46"/>
        <v>7.9594922039172733E-4</v>
      </c>
      <c r="K44" s="138">
        <f t="shared" si="47"/>
        <v>-659.93999999999994</v>
      </c>
      <c r="M44" s="51">
        <v>4448.92</v>
      </c>
      <c r="N44" s="52">
        <f t="shared" si="48"/>
        <v>5.2633201041246583E-4</v>
      </c>
      <c r="O44" s="51">
        <v>6816</v>
      </c>
      <c r="P44" s="52">
        <f t="shared" si="49"/>
        <v>7.456015497660758E-4</v>
      </c>
      <c r="Q44" s="138">
        <f t="shared" si="50"/>
        <v>-2367.08</v>
      </c>
      <c r="R44" s="51">
        <v>6700.49</v>
      </c>
      <c r="S44" s="52">
        <f t="shared" si="51"/>
        <v>8.5288109359454964E-4</v>
      </c>
      <c r="T44" s="138">
        <f t="shared" si="52"/>
        <v>-2251.5699999999997</v>
      </c>
    </row>
    <row r="45" spans="2:24" x14ac:dyDescent="0.25">
      <c r="B45" s="12" t="s">
        <v>40</v>
      </c>
      <c r="C45" s="17" t="s">
        <v>41</v>
      </c>
      <c r="D45" s="51">
        <v>48368</v>
      </c>
      <c r="E45" s="52">
        <f t="shared" si="43"/>
        <v>4.8683700654142938E-2</v>
      </c>
      <c r="F45" s="51">
        <v>48368</v>
      </c>
      <c r="G45" s="52">
        <f t="shared" si="44"/>
        <v>4.8457343226573989E-2</v>
      </c>
      <c r="H45" s="138">
        <f t="shared" si="45"/>
        <v>0</v>
      </c>
      <c r="I45" s="51">
        <v>45461</v>
      </c>
      <c r="J45" s="52">
        <f t="shared" si="46"/>
        <v>5.4981003005832155E-2</v>
      </c>
      <c r="K45" s="138">
        <f t="shared" si="47"/>
        <v>2907</v>
      </c>
      <c r="M45" s="51">
        <v>275517.12</v>
      </c>
      <c r="N45" s="52">
        <f t="shared" si="48"/>
        <v>3.2595209550329657E-2</v>
      </c>
      <c r="O45" s="51">
        <v>307097</v>
      </c>
      <c r="P45" s="52">
        <f t="shared" si="49"/>
        <v>3.3593309731295859E-2</v>
      </c>
      <c r="Q45" s="138">
        <f t="shared" si="50"/>
        <v>-31579.880000000005</v>
      </c>
      <c r="R45" s="51">
        <v>292821.2</v>
      </c>
      <c r="S45" s="52">
        <f t="shared" si="51"/>
        <v>3.7272149541849681E-2</v>
      </c>
      <c r="T45" s="138">
        <f t="shared" si="52"/>
        <v>-17304.080000000016</v>
      </c>
    </row>
    <row r="46" spans="2:24" x14ac:dyDescent="0.25">
      <c r="B46" s="12" t="s">
        <v>42</v>
      </c>
      <c r="C46" s="17" t="s">
        <v>43</v>
      </c>
      <c r="D46" s="51">
        <v>100858.35</v>
      </c>
      <c r="E46" s="52">
        <f t="shared" si="43"/>
        <v>0.10151665811840013</v>
      </c>
      <c r="F46" s="51">
        <v>124035.32</v>
      </c>
      <c r="G46" s="52">
        <f t="shared" si="44"/>
        <v>0.12426443254750946</v>
      </c>
      <c r="H46" s="138">
        <f t="shared" si="45"/>
        <v>-23176.97</v>
      </c>
      <c r="I46" s="51">
        <v>117470.98</v>
      </c>
      <c r="J46" s="52">
        <f t="shared" si="46"/>
        <v>0.14207061667094978</v>
      </c>
      <c r="K46" s="138">
        <f t="shared" si="47"/>
        <v>-16612.62999999999</v>
      </c>
      <c r="M46" s="51">
        <v>658099.55000000005</v>
      </c>
      <c r="N46" s="52">
        <f t="shared" si="48"/>
        <v>7.7856841481312125E-2</v>
      </c>
      <c r="O46" s="51">
        <v>721645.92</v>
      </c>
      <c r="P46" s="52">
        <f t="shared" si="49"/>
        <v>7.8940774110088846E-2</v>
      </c>
      <c r="Q46" s="138">
        <f t="shared" si="50"/>
        <v>-63546.369999999995</v>
      </c>
      <c r="R46" s="51">
        <v>756558.25</v>
      </c>
      <c r="S46" s="52">
        <f t="shared" si="51"/>
        <v>9.629955833498427E-2</v>
      </c>
      <c r="T46" s="138">
        <f t="shared" si="52"/>
        <v>-98458.699999999953</v>
      </c>
    </row>
    <row r="47" spans="2:24" x14ac:dyDescent="0.25">
      <c r="B47" s="12" t="s">
        <v>44</v>
      </c>
      <c r="C47" s="17" t="s">
        <v>45</v>
      </c>
      <c r="D47" s="63">
        <v>0</v>
      </c>
      <c r="E47" s="64">
        <f t="shared" si="43"/>
        <v>0</v>
      </c>
      <c r="F47" s="63">
        <v>0</v>
      </c>
      <c r="G47" s="64">
        <f t="shared" si="44"/>
        <v>0</v>
      </c>
      <c r="H47" s="192">
        <f t="shared" si="45"/>
        <v>0</v>
      </c>
      <c r="I47" s="63">
        <v>0</v>
      </c>
      <c r="J47" s="64">
        <f t="shared" si="46"/>
        <v>0</v>
      </c>
      <c r="K47" s="192">
        <f t="shared" si="47"/>
        <v>0</v>
      </c>
      <c r="M47" s="63">
        <v>0</v>
      </c>
      <c r="N47" s="64">
        <f t="shared" si="48"/>
        <v>0</v>
      </c>
      <c r="O47" s="63">
        <v>0</v>
      </c>
      <c r="P47" s="64">
        <f t="shared" si="49"/>
        <v>0</v>
      </c>
      <c r="Q47" s="192">
        <f t="shared" si="50"/>
        <v>0</v>
      </c>
      <c r="R47" s="63">
        <v>0</v>
      </c>
      <c r="S47" s="64">
        <f t="shared" si="51"/>
        <v>0</v>
      </c>
      <c r="T47" s="192">
        <f t="shared" si="52"/>
        <v>0</v>
      </c>
    </row>
    <row r="48" spans="2:24" x14ac:dyDescent="0.25">
      <c r="B48" s="12"/>
      <c r="C48" s="18" t="s">
        <v>46</v>
      </c>
      <c r="D48" s="60">
        <f t="shared" ref="D48" si="53">+SUM(D44:D47)-D43</f>
        <v>147526.71000000002</v>
      </c>
      <c r="E48" s="62">
        <f t="shared" si="43"/>
        <v>0.14848962512674821</v>
      </c>
      <c r="F48" s="60">
        <f t="shared" ref="F48" si="54">+SUM(F44:F47)-F43</f>
        <v>171472.82</v>
      </c>
      <c r="G48" s="62">
        <f t="shared" si="44"/>
        <v>0.17178955699571083</v>
      </c>
      <c r="H48" s="193">
        <f t="shared" si="45"/>
        <v>-23946.109999999986</v>
      </c>
      <c r="I48" s="60">
        <f t="shared" ref="I48" si="55">+SUM(I44:I47)-I43</f>
        <v>161512.62</v>
      </c>
      <c r="J48" s="62">
        <f t="shared" si="46"/>
        <v>0.19533503103098976</v>
      </c>
      <c r="K48" s="193">
        <f t="shared" si="47"/>
        <v>-13985.909999999974</v>
      </c>
      <c r="M48" s="60">
        <f t="shared" ref="M48" si="56">+SUM(M44:M47)-M43</f>
        <v>924747.93</v>
      </c>
      <c r="N48" s="62">
        <f t="shared" si="48"/>
        <v>0.10940282970286412</v>
      </c>
      <c r="O48" s="60">
        <f t="shared" ref="O48" si="57">+SUM(O44:O47)-O43</f>
        <v>1023372.92</v>
      </c>
      <c r="P48" s="62">
        <f t="shared" si="49"/>
        <v>0.11194666008518697</v>
      </c>
      <c r="Q48" s="193">
        <f t="shared" si="50"/>
        <v>-98624.989999999991</v>
      </c>
      <c r="R48" s="60">
        <f t="shared" ref="R48" si="58">+SUM(R44:R47)-R43</f>
        <v>1044138.1299999999</v>
      </c>
      <c r="S48" s="62">
        <f t="shared" si="51"/>
        <v>0.13290455924539368</v>
      </c>
      <c r="T48" s="193">
        <f t="shared" si="52"/>
        <v>-119390.19999999984</v>
      </c>
    </row>
    <row r="49" spans="2:20" x14ac:dyDescent="0.25">
      <c r="B49" s="12"/>
      <c r="C49" s="16" t="s">
        <v>8</v>
      </c>
      <c r="D49" s="53"/>
      <c r="E49" s="54"/>
      <c r="F49" s="53"/>
      <c r="G49" s="32"/>
      <c r="H49" s="189"/>
      <c r="I49" s="53"/>
      <c r="J49" s="32"/>
      <c r="K49" s="201"/>
      <c r="M49" s="53"/>
      <c r="N49" s="54"/>
      <c r="O49" s="53"/>
      <c r="P49" s="32"/>
      <c r="Q49" s="189"/>
      <c r="R49" s="53"/>
      <c r="S49" s="32"/>
      <c r="T49" s="201"/>
    </row>
    <row r="50" spans="2:20" ht="15.75" thickBot="1" x14ac:dyDescent="0.3">
      <c r="B50" s="12"/>
      <c r="C50" s="18" t="s">
        <v>47</v>
      </c>
      <c r="D50" s="58">
        <f t="shared" ref="D50" si="59">+D40-D48</f>
        <v>52058.679999999993</v>
      </c>
      <c r="E50" s="59">
        <f>+IFERROR(D50/D$19,"")</f>
        <v>5.239846992990857E-2</v>
      </c>
      <c r="F50" s="58">
        <f t="shared" ref="F50" si="60">+F40-F48</f>
        <v>16411.819459536026</v>
      </c>
      <c r="G50" s="59">
        <f t="shared" ref="G50" si="61">+IFERROR(F50/F$19,"")</f>
        <v>1.6442134645288275E-2</v>
      </c>
      <c r="H50" s="195">
        <f>+D50-F50</f>
        <v>35646.860540463967</v>
      </c>
      <c r="I50" s="58">
        <f t="shared" ref="I50" si="62">+I40-I48</f>
        <v>-28054.029999999941</v>
      </c>
      <c r="J50" s="59">
        <f t="shared" ref="J50" si="63">+IFERROR(I50/I$19,"")</f>
        <v>-3.3928833676243421E-2</v>
      </c>
      <c r="K50" s="195">
        <f>+(D50-I50)</f>
        <v>80112.709999999934</v>
      </c>
      <c r="M50" s="58">
        <f t="shared" ref="M50" si="64">+M40-M48</f>
        <v>2193252.1600000006</v>
      </c>
      <c r="N50" s="59">
        <f>+IFERROR(M50/M$19,"")</f>
        <v>0.25947394394915702</v>
      </c>
      <c r="O50" s="58">
        <f t="shared" ref="O50" si="65">+O40-O48</f>
        <v>2317171.9507022281</v>
      </c>
      <c r="P50" s="59">
        <f t="shared" ref="P50" si="66">+IFERROR(O50/O$19,"")</f>
        <v>0.25347520503492699</v>
      </c>
      <c r="Q50" s="195">
        <f>+M50-O50</f>
        <v>-123919.7907022275</v>
      </c>
      <c r="R50" s="58">
        <f t="shared" ref="R50" si="67">+R40-R48</f>
        <v>1929043.4400000004</v>
      </c>
      <c r="S50" s="59">
        <f t="shared" ref="S50" si="68">+IFERROR(R50/R$19,"")</f>
        <v>0.24554094979599886</v>
      </c>
      <c r="T50" s="195">
        <f>+(M50-R50)</f>
        <v>264208.7200000002</v>
      </c>
    </row>
    <row r="51" spans="2:20" ht="15.75" thickTop="1" x14ac:dyDescent="0.25">
      <c r="B51" s="12"/>
      <c r="C51" s="11" t="s">
        <v>8</v>
      </c>
      <c r="D51" s="47"/>
      <c r="E51" s="44"/>
      <c r="F51" s="47"/>
      <c r="G51" s="101"/>
      <c r="H51" s="190"/>
      <c r="I51" s="47"/>
      <c r="J51" s="101"/>
      <c r="K51" s="202"/>
      <c r="M51" s="47"/>
      <c r="N51" s="44"/>
      <c r="O51" s="47"/>
      <c r="P51" s="101"/>
      <c r="Q51" s="190"/>
      <c r="R51" s="47"/>
      <c r="S51" s="101"/>
      <c r="T51" s="202"/>
    </row>
    <row r="52" spans="2:20" x14ac:dyDescent="0.25">
      <c r="B52" s="12" t="s">
        <v>48</v>
      </c>
      <c r="C52" s="17" t="s">
        <v>388</v>
      </c>
      <c r="D52" s="55">
        <f>D19*0.04</f>
        <v>39740.610800000002</v>
      </c>
      <c r="E52" s="57">
        <f>+IFERROR(D52/D$19,"")</f>
        <v>0.04</v>
      </c>
      <c r="F52" s="55">
        <f>F19*0.04</f>
        <v>39926.250000000007</v>
      </c>
      <c r="G52" s="57">
        <f t="shared" ref="G52:G53" si="69">+IFERROR(F52/F$19,"")</f>
        <v>0.04</v>
      </c>
      <c r="H52" s="196">
        <f>+D52-F52</f>
        <v>-185.63920000000508</v>
      </c>
      <c r="I52" s="55">
        <f>I19*0.04</f>
        <v>33073.9692</v>
      </c>
      <c r="J52" s="57">
        <f t="shared" ref="J52:J53" si="70">+IFERROR(I52/I$19,"")</f>
        <v>0.04</v>
      </c>
      <c r="K52" s="196">
        <f>+(D52-I52)</f>
        <v>6666.6416000000027</v>
      </c>
      <c r="M52" s="55">
        <f>M19*0.04</f>
        <v>338107.49960000004</v>
      </c>
      <c r="N52" s="57">
        <f>+IFERROR(M52/M$19,"")</f>
        <v>0.04</v>
      </c>
      <c r="O52" s="55">
        <f>O19*0.04</f>
        <v>365664.47599999997</v>
      </c>
      <c r="P52" s="57">
        <f t="shared" ref="P52:P53" si="71">+IFERROR(O52/O$19,"")</f>
        <v>0.04</v>
      </c>
      <c r="Q52" s="196">
        <f>+M52-O52</f>
        <v>-27556.976399999927</v>
      </c>
      <c r="R52" s="55">
        <f>R19*0.04</f>
        <v>314252.01240000001</v>
      </c>
      <c r="S52" s="57">
        <f t="shared" ref="S52:S53" si="72">+IFERROR(R52/R$19,"")</f>
        <v>0.04</v>
      </c>
      <c r="T52" s="196">
        <f>+(M52-R52)</f>
        <v>23855.487200000032</v>
      </c>
    </row>
    <row r="53" spans="2:20" ht="15.75" thickBot="1" x14ac:dyDescent="0.3">
      <c r="B53" s="12"/>
      <c r="C53" s="18" t="s">
        <v>389</v>
      </c>
      <c r="D53" s="58">
        <f>+D50-D52</f>
        <v>12318.069199999991</v>
      </c>
      <c r="E53" s="59">
        <f>+IFERROR(D53/D$19,"")</f>
        <v>1.2398469929908567E-2</v>
      </c>
      <c r="F53" s="58">
        <f>+F50-F52</f>
        <v>-23514.430540463982</v>
      </c>
      <c r="G53" s="59">
        <f t="shared" si="69"/>
        <v>-2.3557865354711729E-2</v>
      </c>
      <c r="H53" s="195">
        <f>+D53-F53</f>
        <v>35832.499740463973</v>
      </c>
      <c r="I53" s="58">
        <f>+I50-I52</f>
        <v>-61127.99919999994</v>
      </c>
      <c r="J53" s="59">
        <f t="shared" si="70"/>
        <v>-7.3928833676243422E-2</v>
      </c>
      <c r="K53" s="195">
        <f>+(D53-I53)</f>
        <v>73446.068399999931</v>
      </c>
      <c r="M53" s="58">
        <f>+M50-M52</f>
        <v>1855144.6604000006</v>
      </c>
      <c r="N53" s="59">
        <f>+IFERROR(M53/M$19,"")</f>
        <v>0.21947394394915701</v>
      </c>
      <c r="O53" s="58">
        <f>+O50-O52</f>
        <v>1951507.4747022281</v>
      </c>
      <c r="P53" s="59">
        <f t="shared" si="71"/>
        <v>0.21347520503492698</v>
      </c>
      <c r="Q53" s="195">
        <f>+M53-O53</f>
        <v>-96362.81430222746</v>
      </c>
      <c r="R53" s="58">
        <f>+R50-R52</f>
        <v>1614791.4276000005</v>
      </c>
      <c r="S53" s="59">
        <f t="shared" si="72"/>
        <v>0.20554094979599888</v>
      </c>
      <c r="T53" s="195">
        <f>+(M53-R53)</f>
        <v>240353.23280000011</v>
      </c>
    </row>
    <row r="54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CB00-0981-4247-BFAC-2CEF4A848F8A}">
  <dimension ref="B1:X88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3.85546875" bestFit="1" customWidth="1"/>
    <col min="5" max="5" width="8.7109375" customWidth="1"/>
    <col min="6" max="6" width="8.28515625" bestFit="1" customWidth="1"/>
    <col min="7" max="7" width="8.7109375" customWidth="1"/>
    <col min="8" max="8" width="10.28515625" bestFit="1" customWidth="1"/>
    <col min="9" max="9" width="8.28515625" bestFit="1" customWidth="1"/>
    <col min="10" max="10" width="8.7109375" customWidth="1"/>
    <col min="11" max="11" width="10.28515625" bestFit="1" customWidth="1"/>
    <col min="13" max="13" width="9.85546875" bestFit="1" customWidth="1"/>
    <col min="14" max="14" width="8.7109375" customWidth="1"/>
    <col min="15" max="15" width="9.85546875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L6" s="75"/>
      <c r="M6" s="295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L7" s="75"/>
      <c r="M7" s="328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L8" s="75"/>
      <c r="M8" s="41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/>
      <c r="C9" s="15" t="s">
        <v>9</v>
      </c>
      <c r="D9" s="245"/>
      <c r="K9" s="212"/>
      <c r="L9" s="75"/>
      <c r="T9" s="212"/>
    </row>
    <row r="10" spans="2:22" x14ac:dyDescent="0.25">
      <c r="B10" s="14"/>
      <c r="C10" s="22" t="s">
        <v>395</v>
      </c>
      <c r="D10" s="245"/>
      <c r="K10" s="75"/>
      <c r="L10" s="75"/>
      <c r="T10" s="75"/>
    </row>
    <row r="11" spans="2:22" x14ac:dyDescent="0.25">
      <c r="B11" s="14" t="s">
        <v>320</v>
      </c>
      <c r="C11" s="17" t="s">
        <v>59</v>
      </c>
      <c r="D11" s="37">
        <v>271881.58</v>
      </c>
      <c r="E11" s="52">
        <f t="shared" ref="E11:E17" si="0">IFERROR(D11/D$31,"")</f>
        <v>0.48433355374170434</v>
      </c>
      <c r="F11" s="37">
        <v>196255</v>
      </c>
      <c r="G11" s="52">
        <f t="shared" ref="G11:G17" si="1">IFERROR(F11/F$31,"")</f>
        <v>0.36358145939269088</v>
      </c>
      <c r="H11" s="145">
        <f t="shared" ref="H11:H17" si="2">+D11-F11</f>
        <v>75626.580000000016</v>
      </c>
      <c r="I11" s="37">
        <v>212201.48</v>
      </c>
      <c r="J11" s="52">
        <f t="shared" ref="J11:J17" si="3">IFERROR(I11/I$31,"")</f>
        <v>0.39964066490552297</v>
      </c>
      <c r="K11" s="138">
        <f t="shared" ref="K11:K17" si="4">+D11-I11</f>
        <v>59680.100000000006</v>
      </c>
      <c r="L11" s="75"/>
      <c r="M11" s="90">
        <v>1959297.2</v>
      </c>
      <c r="N11" s="52">
        <f t="shared" ref="N11:N17" si="5">IFERROR(M11/M$31,"")</f>
        <v>0.34969546279206848</v>
      </c>
      <c r="O11" s="37">
        <v>2129530.2200000002</v>
      </c>
      <c r="P11" s="52">
        <f t="shared" ref="P11:P17" si="6">IFERROR(O11/O$31,"")</f>
        <v>0.3661918041738505</v>
      </c>
      <c r="Q11" s="145">
        <f t="shared" ref="Q11:Q17" si="7">+M11-O11</f>
        <v>-170233.02000000025</v>
      </c>
      <c r="R11" s="37">
        <v>2089858.93</v>
      </c>
      <c r="S11" s="52">
        <f t="shared" ref="S11:S17" si="8">IFERROR(R11/R$31,"")</f>
        <v>0.36370765562351204</v>
      </c>
      <c r="T11" s="138">
        <f t="shared" ref="T11:T17" si="9">+M11-R11</f>
        <v>-130561.72999999998</v>
      </c>
    </row>
    <row r="12" spans="2:22" x14ac:dyDescent="0.25">
      <c r="B12" s="14" t="s">
        <v>316</v>
      </c>
      <c r="C12" s="17" t="s">
        <v>352</v>
      </c>
      <c r="D12" s="37">
        <v>215130.95</v>
      </c>
      <c r="E12" s="52">
        <f t="shared" si="0"/>
        <v>0.38323720765977931</v>
      </c>
      <c r="F12" s="37">
        <v>214932.13</v>
      </c>
      <c r="G12" s="109">
        <f t="shared" si="1"/>
        <v>0.39818265774517619</v>
      </c>
      <c r="H12" s="145">
        <f t="shared" si="2"/>
        <v>198.82000000000698</v>
      </c>
      <c r="I12" s="37">
        <v>186257.03</v>
      </c>
      <c r="J12" s="52">
        <f t="shared" si="3"/>
        <v>0.35077928444480189</v>
      </c>
      <c r="K12" s="138">
        <f t="shared" si="4"/>
        <v>28873.920000000013</v>
      </c>
      <c r="M12" s="37">
        <v>2124531.92</v>
      </c>
      <c r="N12" s="52">
        <f t="shared" si="5"/>
        <v>0.3791865639275766</v>
      </c>
      <c r="O12" s="37">
        <v>2057361.71</v>
      </c>
      <c r="P12" s="109">
        <f t="shared" si="6"/>
        <v>0.35378178217311146</v>
      </c>
      <c r="Q12" s="145">
        <f t="shared" si="7"/>
        <v>67170.209999999963</v>
      </c>
      <c r="R12" s="37">
        <v>1997143.97</v>
      </c>
      <c r="S12" s="52">
        <f t="shared" si="8"/>
        <v>0.34757204940686293</v>
      </c>
      <c r="T12" s="138">
        <f t="shared" si="9"/>
        <v>127387.94999999995</v>
      </c>
    </row>
    <row r="13" spans="2:22" x14ac:dyDescent="0.25">
      <c r="B13" s="14" t="s">
        <v>317</v>
      </c>
      <c r="C13" s="17" t="s">
        <v>353</v>
      </c>
      <c r="D13" s="37">
        <v>23472.639999999999</v>
      </c>
      <c r="E13" s="52">
        <f t="shared" si="0"/>
        <v>4.1814480947549582E-2</v>
      </c>
      <c r="F13" s="37">
        <v>20225.71</v>
      </c>
      <c r="G13" s="109">
        <f t="shared" si="1"/>
        <v>3.747009329216245E-2</v>
      </c>
      <c r="H13" s="145">
        <f t="shared" si="2"/>
        <v>3246.9300000000003</v>
      </c>
      <c r="I13" s="37">
        <v>10561.42</v>
      </c>
      <c r="J13" s="52">
        <f t="shared" si="3"/>
        <v>1.9890402796184495E-2</v>
      </c>
      <c r="K13" s="138">
        <f t="shared" si="4"/>
        <v>12911.22</v>
      </c>
      <c r="M13" s="37">
        <v>235467.66</v>
      </c>
      <c r="N13" s="52">
        <f t="shared" si="5"/>
        <v>4.202627979883064E-2</v>
      </c>
      <c r="O13" s="37">
        <v>240765.93</v>
      </c>
      <c r="P13" s="109">
        <f t="shared" si="6"/>
        <v>4.1401859181080317E-2</v>
      </c>
      <c r="Q13" s="145">
        <f t="shared" si="7"/>
        <v>-5298.2699999999895</v>
      </c>
      <c r="R13" s="37">
        <v>306541.65999999997</v>
      </c>
      <c r="S13" s="52">
        <f t="shared" si="8"/>
        <v>5.3348839440344291E-2</v>
      </c>
      <c r="T13" s="138">
        <f t="shared" si="9"/>
        <v>-71073.999999999971</v>
      </c>
    </row>
    <row r="14" spans="2:22" x14ac:dyDescent="0.25">
      <c r="B14" s="14" t="s">
        <v>318</v>
      </c>
      <c r="C14" s="17" t="s">
        <v>354</v>
      </c>
      <c r="D14" s="37">
        <v>6978.15</v>
      </c>
      <c r="E14" s="52">
        <f t="shared" si="0"/>
        <v>1.2430971557700503E-2</v>
      </c>
      <c r="F14" s="37">
        <v>13255.93</v>
      </c>
      <c r="G14" s="109">
        <f t="shared" si="1"/>
        <v>2.455789852491581E-2</v>
      </c>
      <c r="H14" s="145">
        <f t="shared" si="2"/>
        <v>-6277.7800000000007</v>
      </c>
      <c r="I14" s="37">
        <v>13570.57</v>
      </c>
      <c r="J14" s="52">
        <f t="shared" si="3"/>
        <v>2.555755793007166E-2</v>
      </c>
      <c r="K14" s="138">
        <f t="shared" si="4"/>
        <v>-6592.42</v>
      </c>
      <c r="M14" s="37">
        <v>114236.25</v>
      </c>
      <c r="N14" s="52">
        <f t="shared" si="5"/>
        <v>2.0388891645116643E-2</v>
      </c>
      <c r="O14" s="37">
        <v>128655.62</v>
      </c>
      <c r="P14" s="109">
        <f t="shared" si="6"/>
        <v>2.2123486749535452E-2</v>
      </c>
      <c r="Q14" s="145">
        <f t="shared" si="7"/>
        <v>-14419.369999999995</v>
      </c>
      <c r="R14" s="37">
        <v>152886.94</v>
      </c>
      <c r="S14" s="52">
        <f t="shared" si="8"/>
        <v>2.660760959729112E-2</v>
      </c>
      <c r="T14" s="138">
        <f t="shared" si="9"/>
        <v>-38650.69</v>
      </c>
    </row>
    <row r="15" spans="2:22" x14ac:dyDescent="0.25">
      <c r="B15" s="14" t="s">
        <v>322</v>
      </c>
      <c r="C15" s="17" t="s">
        <v>355</v>
      </c>
      <c r="D15" s="37">
        <v>27867.54</v>
      </c>
      <c r="E15" s="52">
        <f t="shared" si="0"/>
        <v>4.9643615732404875E-2</v>
      </c>
      <c r="F15" s="37">
        <v>33364.980000000003</v>
      </c>
      <c r="G15" s="109">
        <f t="shared" si="1"/>
        <v>6.1811867830159455E-2</v>
      </c>
      <c r="H15" s="145">
        <f t="shared" si="2"/>
        <v>-5497.4400000000023</v>
      </c>
      <c r="I15" s="37">
        <v>23617.33</v>
      </c>
      <c r="J15" s="52">
        <f t="shared" si="3"/>
        <v>4.4478697624979593E-2</v>
      </c>
      <c r="K15" s="138">
        <f t="shared" si="4"/>
        <v>4250.2099999999991</v>
      </c>
      <c r="M15" s="37">
        <v>282087.14</v>
      </c>
      <c r="N15" s="52">
        <f t="shared" si="5"/>
        <v>5.0346926933795964E-2</v>
      </c>
      <c r="O15" s="37">
        <v>394589.78</v>
      </c>
      <c r="P15" s="109">
        <f t="shared" si="6"/>
        <v>6.7853248613096814E-2</v>
      </c>
      <c r="Q15" s="145">
        <f t="shared" si="7"/>
        <v>-112502.64000000001</v>
      </c>
      <c r="R15" s="37">
        <v>373161.07</v>
      </c>
      <c r="S15" s="52">
        <f t="shared" si="8"/>
        <v>6.4942918390985024E-2</v>
      </c>
      <c r="T15" s="138">
        <f t="shared" si="9"/>
        <v>-91073.93</v>
      </c>
    </row>
    <row r="16" spans="2:22" x14ac:dyDescent="0.25">
      <c r="B16" s="14" t="s">
        <v>319</v>
      </c>
      <c r="C16" s="17" t="s">
        <v>351</v>
      </c>
      <c r="D16" s="56">
        <v>0</v>
      </c>
      <c r="E16" s="57">
        <f t="shared" si="0"/>
        <v>0</v>
      </c>
      <c r="F16" s="107">
        <v>0</v>
      </c>
      <c r="G16" s="148">
        <f t="shared" si="1"/>
        <v>0</v>
      </c>
      <c r="H16" s="150">
        <f t="shared" si="2"/>
        <v>0</v>
      </c>
      <c r="I16" s="152">
        <v>0</v>
      </c>
      <c r="J16" s="156">
        <f t="shared" si="3"/>
        <v>0</v>
      </c>
      <c r="K16" s="154">
        <f t="shared" si="4"/>
        <v>0</v>
      </c>
      <c r="M16" s="56">
        <v>0</v>
      </c>
      <c r="N16" s="57">
        <f t="shared" si="5"/>
        <v>0</v>
      </c>
      <c r="O16" s="107">
        <v>0</v>
      </c>
      <c r="P16" s="148">
        <f t="shared" si="6"/>
        <v>0</v>
      </c>
      <c r="Q16" s="150">
        <f t="shared" si="7"/>
        <v>0</v>
      </c>
      <c r="R16" s="152">
        <v>0</v>
      </c>
      <c r="S16" s="156">
        <f t="shared" si="8"/>
        <v>0</v>
      </c>
      <c r="T16" s="154">
        <f t="shared" si="9"/>
        <v>0</v>
      </c>
    </row>
    <row r="17" spans="2:20" x14ac:dyDescent="0.25">
      <c r="B17" s="14" t="s">
        <v>321</v>
      </c>
      <c r="C17" s="23" t="s">
        <v>396</v>
      </c>
      <c r="D17" s="104">
        <f t="shared" ref="D17" si="10">SUM(D11:D16)</f>
        <v>545330.8600000001</v>
      </c>
      <c r="E17" s="105">
        <f t="shared" si="0"/>
        <v>0.97145982963913879</v>
      </c>
      <c r="F17" s="104">
        <f t="shared" ref="F17" si="11">SUM(F11:F16)</f>
        <v>478033.75</v>
      </c>
      <c r="G17" s="149">
        <f t="shared" si="1"/>
        <v>0.88560397678510472</v>
      </c>
      <c r="H17" s="151">
        <f t="shared" si="2"/>
        <v>67297.110000000102</v>
      </c>
      <c r="I17" s="153">
        <f t="shared" ref="I17" si="12">SUM(I11:I16)</f>
        <v>446207.83</v>
      </c>
      <c r="J17" s="149">
        <f t="shared" si="3"/>
        <v>0.84034660770156067</v>
      </c>
      <c r="K17" s="155">
        <f t="shared" si="4"/>
        <v>99123.030000000086</v>
      </c>
      <c r="M17" s="104">
        <f t="shared" ref="M17" si="13">SUM(M11:M16)</f>
        <v>4715620.17</v>
      </c>
      <c r="N17" s="105">
        <f t="shared" si="5"/>
        <v>0.84164412509738828</v>
      </c>
      <c r="O17" s="104">
        <f t="shared" ref="O17" si="14">SUM(O11:O16)</f>
        <v>4950903.2600000007</v>
      </c>
      <c r="P17" s="149">
        <f t="shared" si="6"/>
        <v>0.85135218089067466</v>
      </c>
      <c r="Q17" s="151">
        <f t="shared" si="7"/>
        <v>-235283.09000000078</v>
      </c>
      <c r="R17" s="153">
        <f t="shared" ref="R17" si="15">SUM(R11:R16)</f>
        <v>4919592.57</v>
      </c>
      <c r="S17" s="149">
        <f t="shared" si="8"/>
        <v>0.85617907245899549</v>
      </c>
      <c r="T17" s="155">
        <f t="shared" si="9"/>
        <v>-203972.40000000037</v>
      </c>
    </row>
    <row r="18" spans="2:20" x14ac:dyDescent="0.25">
      <c r="B18" s="14"/>
      <c r="C18" s="23"/>
      <c r="D18" s="311"/>
      <c r="E18" s="34"/>
      <c r="F18" s="245"/>
      <c r="G18" s="34"/>
      <c r="J18" s="34"/>
      <c r="K18" s="75"/>
      <c r="L18" s="298"/>
      <c r="M18" s="29"/>
      <c r="N18" s="34"/>
      <c r="O18" s="245"/>
      <c r="P18" s="34"/>
      <c r="S18" s="34"/>
      <c r="T18" s="75"/>
    </row>
    <row r="19" spans="2:20" x14ac:dyDescent="0.25">
      <c r="B19" s="14"/>
      <c r="C19" s="23" t="s">
        <v>397</v>
      </c>
      <c r="D19" s="245"/>
      <c r="E19" s="35"/>
      <c r="F19" s="245"/>
      <c r="G19" s="35"/>
      <c r="J19" s="35"/>
      <c r="K19" s="75"/>
      <c r="L19" s="298"/>
      <c r="N19" s="35"/>
      <c r="O19" s="245"/>
      <c r="P19" s="35"/>
      <c r="S19" s="35"/>
      <c r="T19" s="75"/>
    </row>
    <row r="20" spans="2:20" x14ac:dyDescent="0.25">
      <c r="B20" s="14" t="s">
        <v>140</v>
      </c>
      <c r="C20" s="17" t="s">
        <v>356</v>
      </c>
      <c r="D20" s="37">
        <v>13216</v>
      </c>
      <c r="E20" s="52">
        <f t="shared" ref="E20:E31" si="16">IFERROR(D20/D$31,"")</f>
        <v>2.3543162601344175E-2</v>
      </c>
      <c r="F20" s="37">
        <v>38870</v>
      </c>
      <c r="G20" s="109">
        <f t="shared" ref="G20:G31" si="17">IFERROR(F20/F$31,"")</f>
        <v>7.2010452353284723E-2</v>
      </c>
      <c r="H20" s="145">
        <f t="shared" ref="H20:H31" si="18">+D20-F20</f>
        <v>-25654</v>
      </c>
      <c r="I20" s="90">
        <v>63950.86</v>
      </c>
      <c r="J20" s="109">
        <f t="shared" ref="J20:J31" si="19">IFERROR(I20/I$31,"")</f>
        <v>0.12043914213831125</v>
      </c>
      <c r="K20" s="145">
        <f t="shared" ref="K20:K31" si="20">+D20-I20</f>
        <v>-50734.86</v>
      </c>
      <c r="L20" s="298"/>
      <c r="M20" s="90">
        <v>722179.08</v>
      </c>
      <c r="N20" s="52">
        <f t="shared" ref="N20:N31" si="21">IFERROR(M20/M$31,"")</f>
        <v>0.12889455851789625</v>
      </c>
      <c r="O20" s="37">
        <v>741774.26</v>
      </c>
      <c r="P20" s="109">
        <f t="shared" ref="P20:P31" si="22">IFERROR(O20/O$31,"")</f>
        <v>0.12755473108952775</v>
      </c>
      <c r="Q20" s="145">
        <f t="shared" ref="Q20:Q31" si="23">+M20-O20</f>
        <v>-19595.180000000051</v>
      </c>
      <c r="R20" s="90">
        <v>733385.86</v>
      </c>
      <c r="S20" s="109">
        <f t="shared" ref="S20:S31" si="24">IFERROR(R20/R$31,"")</f>
        <v>0.12763447713096751</v>
      </c>
      <c r="T20" s="145">
        <f t="shared" ref="T20:T31" si="25">+M20-R20</f>
        <v>-11206.780000000028</v>
      </c>
    </row>
    <row r="21" spans="2:20" x14ac:dyDescent="0.25">
      <c r="B21" s="14" t="s">
        <v>139</v>
      </c>
      <c r="C21" s="17" t="s">
        <v>398</v>
      </c>
      <c r="D21" s="37">
        <v>0</v>
      </c>
      <c r="E21" s="52">
        <f t="shared" si="16"/>
        <v>0</v>
      </c>
      <c r="F21" s="37">
        <v>13230</v>
      </c>
      <c r="G21" s="109">
        <f t="shared" si="17"/>
        <v>2.4509860680060634E-2</v>
      </c>
      <c r="H21" s="145">
        <f t="shared" si="18"/>
        <v>-13230</v>
      </c>
      <c r="I21" s="90">
        <v>16526.689999999999</v>
      </c>
      <c r="J21" s="109">
        <f t="shared" si="19"/>
        <v>3.1124841260708722E-2</v>
      </c>
      <c r="K21" s="145">
        <f t="shared" si="20"/>
        <v>-16526.689999999999</v>
      </c>
      <c r="L21" s="298"/>
      <c r="M21" s="90">
        <v>122002.36</v>
      </c>
      <c r="N21" s="52">
        <f t="shared" si="21"/>
        <v>2.1774987348486256E-2</v>
      </c>
      <c r="O21" s="37">
        <v>57240.56</v>
      </c>
      <c r="P21" s="109">
        <f t="shared" si="22"/>
        <v>9.8430272280059673E-3</v>
      </c>
      <c r="Q21" s="145">
        <f t="shared" si="23"/>
        <v>64761.8</v>
      </c>
      <c r="R21" s="90">
        <v>36824.400000000001</v>
      </c>
      <c r="S21" s="109">
        <f t="shared" si="24"/>
        <v>6.4087178332857412E-3</v>
      </c>
      <c r="T21" s="145">
        <f t="shared" si="25"/>
        <v>85177.959999999992</v>
      </c>
    </row>
    <row r="22" spans="2:20" x14ac:dyDescent="0.25">
      <c r="B22" s="14" t="s">
        <v>141</v>
      </c>
      <c r="C22" s="17" t="s">
        <v>357</v>
      </c>
      <c r="D22" s="37">
        <v>0</v>
      </c>
      <c r="E22" s="52">
        <f t="shared" si="16"/>
        <v>0</v>
      </c>
      <c r="F22" s="37">
        <v>0</v>
      </c>
      <c r="G22" s="109">
        <f t="shared" si="17"/>
        <v>0</v>
      </c>
      <c r="H22" s="145">
        <f t="shared" si="18"/>
        <v>0</v>
      </c>
      <c r="I22" s="90">
        <v>0</v>
      </c>
      <c r="J22" s="109">
        <f t="shared" si="19"/>
        <v>0</v>
      </c>
      <c r="K22" s="145">
        <f t="shared" si="20"/>
        <v>0</v>
      </c>
      <c r="L22" s="298"/>
      <c r="M22" s="90">
        <v>0</v>
      </c>
      <c r="N22" s="52">
        <f t="shared" si="21"/>
        <v>0</v>
      </c>
      <c r="O22" s="37">
        <v>0</v>
      </c>
      <c r="P22" s="109">
        <f t="shared" si="22"/>
        <v>0</v>
      </c>
      <c r="Q22" s="145">
        <f t="shared" si="23"/>
        <v>0</v>
      </c>
      <c r="R22" s="90">
        <v>0</v>
      </c>
      <c r="S22" s="109">
        <f t="shared" si="24"/>
        <v>0</v>
      </c>
      <c r="T22" s="145">
        <f t="shared" si="25"/>
        <v>0</v>
      </c>
    </row>
    <row r="23" spans="2:20" x14ac:dyDescent="0.25">
      <c r="B23" s="14" t="s">
        <v>145</v>
      </c>
      <c r="C23" s="17" t="s">
        <v>399</v>
      </c>
      <c r="D23" s="37">
        <v>0</v>
      </c>
      <c r="E23" s="52">
        <f t="shared" si="16"/>
        <v>0</v>
      </c>
      <c r="F23" s="37">
        <v>0</v>
      </c>
      <c r="G23" s="109">
        <f t="shared" si="17"/>
        <v>0</v>
      </c>
      <c r="H23" s="145">
        <f t="shared" si="18"/>
        <v>0</v>
      </c>
      <c r="I23" s="90">
        <v>0</v>
      </c>
      <c r="J23" s="109">
        <f t="shared" si="19"/>
        <v>0</v>
      </c>
      <c r="K23" s="145">
        <f t="shared" si="20"/>
        <v>0</v>
      </c>
      <c r="L23" s="298"/>
      <c r="M23" s="90">
        <v>2640</v>
      </c>
      <c r="N23" s="52">
        <f t="shared" si="21"/>
        <v>4.7118733276965886E-4</v>
      </c>
      <c r="O23" s="37">
        <v>6077.94</v>
      </c>
      <c r="P23" s="109">
        <f t="shared" si="22"/>
        <v>1.0451562477758181E-3</v>
      </c>
      <c r="Q23" s="145">
        <f t="shared" si="23"/>
        <v>-3437.9399999999996</v>
      </c>
      <c r="R23" s="90">
        <v>6229</v>
      </c>
      <c r="S23" s="109">
        <f t="shared" si="24"/>
        <v>1.0840612035372438E-3</v>
      </c>
      <c r="T23" s="145">
        <f t="shared" si="25"/>
        <v>-3589</v>
      </c>
    </row>
    <row r="24" spans="2:20" x14ac:dyDescent="0.25">
      <c r="B24" s="14" t="s">
        <v>144</v>
      </c>
      <c r="C24" s="17" t="s">
        <v>358</v>
      </c>
      <c r="D24" s="37">
        <v>0</v>
      </c>
      <c r="E24" s="52">
        <f t="shared" si="16"/>
        <v>0</v>
      </c>
      <c r="F24" s="37">
        <v>5225</v>
      </c>
      <c r="G24" s="109">
        <f t="shared" si="17"/>
        <v>9.6798202610216804E-3</v>
      </c>
      <c r="H24" s="145">
        <f t="shared" si="18"/>
        <v>-5225</v>
      </c>
      <c r="I24" s="90">
        <v>0</v>
      </c>
      <c r="J24" s="109">
        <f t="shared" si="19"/>
        <v>0</v>
      </c>
      <c r="K24" s="145">
        <f t="shared" si="20"/>
        <v>0</v>
      </c>
      <c r="L24" s="298"/>
      <c r="M24" s="90">
        <v>19434.98</v>
      </c>
      <c r="N24" s="52">
        <f t="shared" si="21"/>
        <v>3.4687562078150242E-3</v>
      </c>
      <c r="O24" s="37">
        <v>19040</v>
      </c>
      <c r="P24" s="109">
        <f t="shared" si="22"/>
        <v>3.2740986185535855E-3</v>
      </c>
      <c r="Q24" s="145">
        <f t="shared" si="23"/>
        <v>394.97999999999956</v>
      </c>
      <c r="R24" s="90">
        <v>10825</v>
      </c>
      <c r="S24" s="109">
        <f t="shared" si="24"/>
        <v>1.883923989129983E-3</v>
      </c>
      <c r="T24" s="145">
        <f t="shared" si="25"/>
        <v>8609.98</v>
      </c>
    </row>
    <row r="25" spans="2:20" x14ac:dyDescent="0.25">
      <c r="B25" s="14" t="s">
        <v>142</v>
      </c>
      <c r="C25" s="17" t="s">
        <v>428</v>
      </c>
      <c r="D25" s="37">
        <v>0</v>
      </c>
      <c r="E25" s="52">
        <f t="shared" si="16"/>
        <v>0</v>
      </c>
      <c r="F25" s="37">
        <v>0</v>
      </c>
      <c r="G25" s="109">
        <f t="shared" si="17"/>
        <v>0</v>
      </c>
      <c r="H25" s="145">
        <f t="shared" si="18"/>
        <v>0</v>
      </c>
      <c r="I25" s="90">
        <v>0</v>
      </c>
      <c r="J25" s="109">
        <f t="shared" si="19"/>
        <v>0</v>
      </c>
      <c r="K25" s="145">
        <f t="shared" si="20"/>
        <v>0</v>
      </c>
      <c r="L25" s="298"/>
      <c r="M25" s="90">
        <v>0</v>
      </c>
      <c r="N25" s="52">
        <f t="shared" si="21"/>
        <v>0</v>
      </c>
      <c r="O25" s="37">
        <v>0</v>
      </c>
      <c r="P25" s="109">
        <f t="shared" si="22"/>
        <v>0</v>
      </c>
      <c r="Q25" s="145">
        <f t="shared" si="23"/>
        <v>0</v>
      </c>
      <c r="R25" s="90">
        <v>0</v>
      </c>
      <c r="S25" s="109">
        <f t="shared" si="24"/>
        <v>0</v>
      </c>
      <c r="T25" s="145">
        <f t="shared" si="25"/>
        <v>0</v>
      </c>
    </row>
    <row r="26" spans="2:20" x14ac:dyDescent="0.25">
      <c r="B26" s="14" t="s">
        <v>634</v>
      </c>
      <c r="C26" s="17" t="s">
        <v>706</v>
      </c>
      <c r="D26" s="107">
        <v>0</v>
      </c>
      <c r="E26" s="108">
        <f t="shared" si="16"/>
        <v>0</v>
      </c>
      <c r="F26" s="107">
        <v>0</v>
      </c>
      <c r="G26" s="148">
        <f t="shared" si="17"/>
        <v>0</v>
      </c>
      <c r="H26" s="154">
        <f t="shared" si="18"/>
        <v>0</v>
      </c>
      <c r="I26" s="158">
        <v>0</v>
      </c>
      <c r="J26" s="148">
        <f t="shared" si="19"/>
        <v>0</v>
      </c>
      <c r="K26" s="154">
        <f t="shared" si="20"/>
        <v>0</v>
      </c>
      <c r="L26" s="298"/>
      <c r="M26" s="158">
        <v>0</v>
      </c>
      <c r="N26" s="108">
        <f t="shared" si="21"/>
        <v>0</v>
      </c>
      <c r="O26" s="107">
        <v>0</v>
      </c>
      <c r="P26" s="148">
        <f t="shared" si="22"/>
        <v>0</v>
      </c>
      <c r="Q26" s="154">
        <f t="shared" si="23"/>
        <v>0</v>
      </c>
      <c r="R26" s="158">
        <v>0</v>
      </c>
      <c r="S26" s="148">
        <f t="shared" si="24"/>
        <v>0</v>
      </c>
      <c r="T26" s="154">
        <f t="shared" si="25"/>
        <v>0</v>
      </c>
    </row>
    <row r="27" spans="2:20" x14ac:dyDescent="0.25">
      <c r="B27" s="14" t="s">
        <v>143</v>
      </c>
      <c r="C27" s="23" t="s">
        <v>400</v>
      </c>
      <c r="D27" s="104">
        <f t="shared" ref="D27" si="26">SUM(D20:D26)</f>
        <v>13216</v>
      </c>
      <c r="E27" s="105">
        <f t="shared" si="16"/>
        <v>2.3543162601344175E-2</v>
      </c>
      <c r="F27" s="104">
        <f>SUM(F20:F26)</f>
        <v>57325</v>
      </c>
      <c r="G27" s="149">
        <f t="shared" si="17"/>
        <v>0.10620013329436703</v>
      </c>
      <c r="H27" s="155">
        <f t="shared" si="18"/>
        <v>-44109</v>
      </c>
      <c r="I27" s="153">
        <f>SUM(I20:I26)</f>
        <v>80477.55</v>
      </c>
      <c r="J27" s="149">
        <f t="shared" si="19"/>
        <v>0.15156398339902</v>
      </c>
      <c r="K27" s="155">
        <f t="shared" si="20"/>
        <v>-67261.55</v>
      </c>
      <c r="L27" s="298"/>
      <c r="M27" s="153">
        <f t="shared" ref="M27" si="27">SUM(M20:M26)</f>
        <v>866256.41999999993</v>
      </c>
      <c r="N27" s="105">
        <f t="shared" si="21"/>
        <v>0.15460948940696717</v>
      </c>
      <c r="O27" s="104">
        <f>SUM(O20:O26)</f>
        <v>824132.76</v>
      </c>
      <c r="P27" s="149">
        <f t="shared" si="22"/>
        <v>0.14171701318386312</v>
      </c>
      <c r="Q27" s="155">
        <f t="shared" si="23"/>
        <v>42123.659999999916</v>
      </c>
      <c r="R27" s="153">
        <f>SUM(R20:R26)</f>
        <v>787264.26</v>
      </c>
      <c r="S27" s="149">
        <f t="shared" si="24"/>
        <v>0.13701118015692049</v>
      </c>
      <c r="T27" s="155">
        <f t="shared" si="25"/>
        <v>78992.159999999916</v>
      </c>
    </row>
    <row r="28" spans="2:20" x14ac:dyDescent="0.25">
      <c r="B28" s="14" t="s">
        <v>82</v>
      </c>
      <c r="C28" s="17" t="s">
        <v>401</v>
      </c>
      <c r="D28" s="312">
        <v>0</v>
      </c>
      <c r="E28" s="52">
        <f t="shared" si="16"/>
        <v>0</v>
      </c>
      <c r="F28" s="107">
        <v>0</v>
      </c>
      <c r="G28" s="148">
        <f t="shared" si="17"/>
        <v>0</v>
      </c>
      <c r="H28" s="154">
        <f t="shared" si="18"/>
        <v>0</v>
      </c>
      <c r="I28" s="158">
        <v>0</v>
      </c>
      <c r="J28" s="148">
        <f t="shared" si="19"/>
        <v>0</v>
      </c>
      <c r="K28" s="154">
        <f t="shared" si="20"/>
        <v>0</v>
      </c>
      <c r="L28" s="298"/>
      <c r="M28" s="110">
        <v>0</v>
      </c>
      <c r="N28" s="52">
        <f t="shared" si="21"/>
        <v>0</v>
      </c>
      <c r="O28" s="107">
        <v>0</v>
      </c>
      <c r="P28" s="148">
        <f t="shared" si="22"/>
        <v>0</v>
      </c>
      <c r="Q28" s="154">
        <f t="shared" si="23"/>
        <v>0</v>
      </c>
      <c r="R28" s="158">
        <v>0</v>
      </c>
      <c r="S28" s="148">
        <f t="shared" si="24"/>
        <v>0</v>
      </c>
      <c r="T28" s="154">
        <f t="shared" si="25"/>
        <v>0</v>
      </c>
    </row>
    <row r="29" spans="2:20" x14ac:dyDescent="0.25">
      <c r="B29" s="14" t="s">
        <v>206</v>
      </c>
      <c r="C29" s="17" t="s">
        <v>402</v>
      </c>
      <c r="D29" s="51">
        <v>2805.08</v>
      </c>
      <c r="E29" s="52">
        <f t="shared" si="16"/>
        <v>4.9970077595171396E-3</v>
      </c>
      <c r="F29" s="37">
        <v>4424</v>
      </c>
      <c r="G29" s="52">
        <f t="shared" si="17"/>
        <v>8.1958899205282123E-3</v>
      </c>
      <c r="H29" s="138">
        <f t="shared" si="18"/>
        <v>-1618.92</v>
      </c>
      <c r="I29" s="37">
        <v>7934.76</v>
      </c>
      <c r="J29" s="52">
        <f t="shared" si="19"/>
        <v>1.4943593995035979E-2</v>
      </c>
      <c r="K29" s="138">
        <f t="shared" si="20"/>
        <v>-5129.68</v>
      </c>
      <c r="L29" s="298"/>
      <c r="M29" s="111">
        <v>20990.5</v>
      </c>
      <c r="N29" s="52">
        <f t="shared" si="21"/>
        <v>3.7463854956445168E-3</v>
      </c>
      <c r="O29" s="37">
        <v>40305</v>
      </c>
      <c r="P29" s="52">
        <f t="shared" si="22"/>
        <v>6.930805925462304E-3</v>
      </c>
      <c r="Q29" s="138">
        <f t="shared" si="23"/>
        <v>-19314.5</v>
      </c>
      <c r="R29" s="37">
        <v>51930.080000000002</v>
      </c>
      <c r="S29" s="52">
        <f t="shared" si="24"/>
        <v>9.0376280341283276E-3</v>
      </c>
      <c r="T29" s="138">
        <f t="shared" si="25"/>
        <v>-30939.58</v>
      </c>
    </row>
    <row r="30" spans="2:20" x14ac:dyDescent="0.25">
      <c r="B30" s="14" t="s">
        <v>54</v>
      </c>
      <c r="C30" s="17" t="s">
        <v>403</v>
      </c>
      <c r="D30" s="313">
        <v>0</v>
      </c>
      <c r="E30" s="57">
        <f t="shared" si="16"/>
        <v>0</v>
      </c>
      <c r="F30" s="107">
        <v>0</v>
      </c>
      <c r="G30" s="148">
        <f t="shared" si="17"/>
        <v>0</v>
      </c>
      <c r="H30" s="154">
        <f t="shared" si="18"/>
        <v>0</v>
      </c>
      <c r="I30" s="158">
        <v>-3639.44</v>
      </c>
      <c r="J30" s="148">
        <f t="shared" si="19"/>
        <v>-6.8541850956164701E-3</v>
      </c>
      <c r="K30" s="154">
        <f t="shared" si="20"/>
        <v>3639.44</v>
      </c>
      <c r="L30" s="298"/>
      <c r="M30" s="112">
        <v>0</v>
      </c>
      <c r="N30" s="57">
        <f t="shared" si="21"/>
        <v>0</v>
      </c>
      <c r="O30" s="107">
        <v>0</v>
      </c>
      <c r="P30" s="148">
        <f t="shared" si="22"/>
        <v>0</v>
      </c>
      <c r="Q30" s="154">
        <f t="shared" si="23"/>
        <v>0</v>
      </c>
      <c r="R30" s="158">
        <v>-12801.37</v>
      </c>
      <c r="S30" s="148">
        <f t="shared" si="24"/>
        <v>-2.2278806500442396E-3</v>
      </c>
      <c r="T30" s="154">
        <f t="shared" si="25"/>
        <v>12801.37</v>
      </c>
    </row>
    <row r="31" spans="2:20" x14ac:dyDescent="0.25">
      <c r="B31" s="14" t="s">
        <v>10</v>
      </c>
      <c r="C31" s="23" t="s">
        <v>404</v>
      </c>
      <c r="D31" s="314">
        <f t="shared" ref="D31" si="28">+D17+D27+SUM(D28:D30)</f>
        <v>561351.94000000006</v>
      </c>
      <c r="E31" s="105">
        <f t="shared" si="16"/>
        <v>1</v>
      </c>
      <c r="F31" s="104">
        <f t="shared" ref="F31" si="29">+F17+F27+SUM(F28:F30)</f>
        <v>539782.75</v>
      </c>
      <c r="G31" s="149">
        <f t="shared" si="17"/>
        <v>1</v>
      </c>
      <c r="H31" s="155">
        <f t="shared" si="18"/>
        <v>21569.190000000061</v>
      </c>
      <c r="I31" s="153">
        <f>+I17+I27+SUM(I28:I30)</f>
        <v>530980.69999999995</v>
      </c>
      <c r="J31" s="149">
        <f t="shared" si="19"/>
        <v>1</v>
      </c>
      <c r="K31" s="155">
        <f t="shared" si="20"/>
        <v>30371.240000000107</v>
      </c>
      <c r="L31" s="298"/>
      <c r="M31" s="113">
        <f t="shared" ref="M31" si="30">+M17+M27+SUM(M28:M30)</f>
        <v>5602867.0899999999</v>
      </c>
      <c r="N31" s="105">
        <f t="shared" si="21"/>
        <v>1</v>
      </c>
      <c r="O31" s="104">
        <f t="shared" ref="O31" si="31">+O17+O27+SUM(O28:O30)</f>
        <v>5815341.0200000005</v>
      </c>
      <c r="P31" s="149">
        <f t="shared" si="22"/>
        <v>1</v>
      </c>
      <c r="Q31" s="155">
        <f t="shared" si="23"/>
        <v>-212473.93000000063</v>
      </c>
      <c r="R31" s="153">
        <f t="shared" ref="R31" si="32">+R17+R27+SUM(R28:R30)</f>
        <v>5745985.54</v>
      </c>
      <c r="S31" s="149">
        <f t="shared" si="24"/>
        <v>1</v>
      </c>
      <c r="T31" s="155">
        <f t="shared" si="25"/>
        <v>-143118.45000000019</v>
      </c>
    </row>
    <row r="32" spans="2:20" x14ac:dyDescent="0.25">
      <c r="D32" s="245"/>
      <c r="F32" s="245"/>
      <c r="K32" s="75"/>
      <c r="L32" s="298"/>
      <c r="O32" s="245"/>
      <c r="T32" s="75"/>
    </row>
    <row r="33" spans="2:20" x14ac:dyDescent="0.25">
      <c r="B33" s="14"/>
      <c r="C33" s="15" t="s">
        <v>405</v>
      </c>
      <c r="D33" s="49"/>
      <c r="E33" s="32"/>
      <c r="F33" s="49"/>
      <c r="G33" s="32"/>
      <c r="H33" s="16"/>
      <c r="I33" s="16"/>
      <c r="J33" s="32"/>
      <c r="K33" s="50"/>
      <c r="L33" s="298"/>
      <c r="M33" s="16"/>
      <c r="N33" s="32"/>
      <c r="O33" s="49"/>
      <c r="P33" s="32"/>
      <c r="Q33" s="16"/>
      <c r="R33" s="16"/>
      <c r="S33" s="32"/>
      <c r="T33" s="50"/>
    </row>
    <row r="34" spans="2:20" x14ac:dyDescent="0.25">
      <c r="B34" s="14" t="s">
        <v>234</v>
      </c>
      <c r="C34" s="22" t="s">
        <v>406</v>
      </c>
      <c r="D34" s="49"/>
      <c r="E34" s="32"/>
      <c r="F34" s="49"/>
      <c r="G34" s="32"/>
      <c r="H34" s="16"/>
      <c r="I34" s="16"/>
      <c r="J34" s="32"/>
      <c r="K34" s="50"/>
      <c r="L34" s="75"/>
      <c r="M34" s="16"/>
      <c r="N34" s="32"/>
      <c r="O34" s="49"/>
      <c r="P34" s="32"/>
      <c r="Q34" s="16"/>
      <c r="R34" s="16"/>
      <c r="S34" s="32"/>
      <c r="T34" s="50"/>
    </row>
    <row r="35" spans="2:20" x14ac:dyDescent="0.25">
      <c r="B35" s="14" t="s">
        <v>151</v>
      </c>
      <c r="C35" s="17" t="s">
        <v>429</v>
      </c>
      <c r="D35" s="37">
        <v>0</v>
      </c>
      <c r="E35" s="52">
        <f t="shared" ref="E35:E37" si="33">IFERROR(D35/D$31,"")</f>
        <v>0</v>
      </c>
      <c r="F35" s="37">
        <v>0</v>
      </c>
      <c r="G35" s="52">
        <f t="shared" ref="G35:G37" si="34">IFERROR(F35/F$31,"")</f>
        <v>0</v>
      </c>
      <c r="H35" s="138">
        <f>+D35-F35</f>
        <v>0</v>
      </c>
      <c r="I35" s="37">
        <v>0</v>
      </c>
      <c r="J35" s="52">
        <f t="shared" ref="J35:J37" si="35">IFERROR(I35/I$31,"")</f>
        <v>0</v>
      </c>
      <c r="K35" s="138">
        <f>+D35-I35</f>
        <v>0</v>
      </c>
      <c r="L35" s="75"/>
      <c r="M35" s="90">
        <v>0</v>
      </c>
      <c r="N35" s="52">
        <f t="shared" ref="N35:N37" si="36">IFERROR(M35/M$31,"")</f>
        <v>0</v>
      </c>
      <c r="O35" s="37">
        <v>0</v>
      </c>
      <c r="P35" s="52">
        <f t="shared" ref="P35:P37" si="37">IFERROR(O35/O$31,"")</f>
        <v>0</v>
      </c>
      <c r="Q35" s="138">
        <f>+M35-O35</f>
        <v>0</v>
      </c>
      <c r="R35" s="37">
        <v>0</v>
      </c>
      <c r="S35" s="52">
        <f t="shared" ref="S35:S37" si="38">IFERROR(R35/R$31,"")</f>
        <v>0</v>
      </c>
      <c r="T35" s="138">
        <f>+M35-R35</f>
        <v>0</v>
      </c>
    </row>
    <row r="36" spans="2:20" x14ac:dyDescent="0.25">
      <c r="B36" s="14" t="s">
        <v>132</v>
      </c>
      <c r="C36" s="17" t="s">
        <v>430</v>
      </c>
      <c r="D36" s="37">
        <v>0</v>
      </c>
      <c r="E36" s="52">
        <f t="shared" si="33"/>
        <v>0</v>
      </c>
      <c r="F36" s="37">
        <v>0</v>
      </c>
      <c r="G36" s="52">
        <f t="shared" si="34"/>
        <v>0</v>
      </c>
      <c r="H36" s="138">
        <f>+D36-F36</f>
        <v>0</v>
      </c>
      <c r="I36" s="37">
        <v>0</v>
      </c>
      <c r="J36" s="52">
        <f t="shared" si="35"/>
        <v>0</v>
      </c>
      <c r="K36" s="138">
        <f>+D36-I36</f>
        <v>0</v>
      </c>
      <c r="L36" s="75"/>
      <c r="M36" s="90">
        <v>0</v>
      </c>
      <c r="N36" s="52">
        <f t="shared" si="36"/>
        <v>0</v>
      </c>
      <c r="O36" s="37">
        <v>0</v>
      </c>
      <c r="P36" s="52">
        <f t="shared" si="37"/>
        <v>0</v>
      </c>
      <c r="Q36" s="138">
        <f>+M36-O36</f>
        <v>0</v>
      </c>
      <c r="R36" s="37">
        <v>0</v>
      </c>
      <c r="S36" s="52">
        <f t="shared" si="38"/>
        <v>0</v>
      </c>
      <c r="T36" s="138">
        <f>+M36-R36</f>
        <v>0</v>
      </c>
    </row>
    <row r="37" spans="2:20" x14ac:dyDescent="0.25">
      <c r="B37" s="14" t="s">
        <v>333</v>
      </c>
      <c r="C37" s="17" t="s">
        <v>407</v>
      </c>
      <c r="D37" s="37">
        <v>6456.47</v>
      </c>
      <c r="E37" s="52">
        <f t="shared" si="33"/>
        <v>1.150164369254696E-2</v>
      </c>
      <c r="F37" s="37">
        <v>12527.78</v>
      </c>
      <c r="G37" s="52">
        <f t="shared" si="34"/>
        <v>2.3208929888922907E-2</v>
      </c>
      <c r="H37" s="138">
        <f>+D37-F37</f>
        <v>-6071.31</v>
      </c>
      <c r="I37" s="37">
        <v>11465.76</v>
      </c>
      <c r="J37" s="52">
        <f t="shared" si="35"/>
        <v>2.1593553212009405E-2</v>
      </c>
      <c r="K37" s="138">
        <f>+D37-I37</f>
        <v>-5009.29</v>
      </c>
      <c r="L37" s="75"/>
      <c r="M37" s="90">
        <v>64182.05</v>
      </c>
      <c r="N37" s="52">
        <f t="shared" si="36"/>
        <v>1.1455215511813971E-2</v>
      </c>
      <c r="O37" s="37">
        <v>72415.22</v>
      </c>
      <c r="P37" s="52">
        <f t="shared" si="37"/>
        <v>1.2452445996021742E-2</v>
      </c>
      <c r="Q37" s="138">
        <f>+M37-O37</f>
        <v>-8233.1699999999983</v>
      </c>
      <c r="R37" s="37">
        <v>58622.6</v>
      </c>
      <c r="S37" s="52">
        <f t="shared" si="38"/>
        <v>1.0202357731655551E-2</v>
      </c>
      <c r="T37" s="138">
        <f>+M37-R37</f>
        <v>5559.4500000000044</v>
      </c>
    </row>
    <row r="38" spans="2:20" x14ac:dyDescent="0.25">
      <c r="B38" s="14" t="s">
        <v>238</v>
      </c>
      <c r="C38" s="18" t="s">
        <v>408</v>
      </c>
      <c r="D38" s="315"/>
      <c r="E38" s="115"/>
      <c r="F38" s="245"/>
      <c r="G38" s="115"/>
      <c r="J38" s="115"/>
      <c r="K38" s="75"/>
      <c r="L38" s="75"/>
      <c r="M38" s="114"/>
      <c r="N38" s="115"/>
      <c r="O38" s="245"/>
      <c r="P38" s="115"/>
      <c r="S38" s="115"/>
      <c r="T38" s="75"/>
    </row>
    <row r="39" spans="2:20" x14ac:dyDescent="0.25">
      <c r="B39" s="14" t="s">
        <v>133</v>
      </c>
      <c r="C39" s="17" t="s">
        <v>409</v>
      </c>
      <c r="D39" s="37">
        <v>16274.54</v>
      </c>
      <c r="E39" s="116">
        <f t="shared" ref="E39:E53" si="39">IFERROR(D39/D$31,"")</f>
        <v>2.8991687460811124E-2</v>
      </c>
      <c r="F39" s="37">
        <v>17168.310000000001</v>
      </c>
      <c r="G39" s="116">
        <f t="shared" ref="G39:G53" si="40">IFERROR(F39/F$31,"")</f>
        <v>3.180596267665093E-2</v>
      </c>
      <c r="H39" s="138">
        <f t="shared" ref="H39:H53" si="41">+D39-F39</f>
        <v>-893.77000000000044</v>
      </c>
      <c r="I39" s="37">
        <v>12352.96</v>
      </c>
      <c r="J39" s="116">
        <f t="shared" ref="J39:J53" si="42">IFERROR(I39/I$31,"")</f>
        <v>2.3264423735175309E-2</v>
      </c>
      <c r="K39" s="138">
        <f t="shared" ref="K39:K53" si="43">+D39-I39</f>
        <v>3921.5800000000017</v>
      </c>
      <c r="L39" s="75"/>
      <c r="M39" s="90">
        <v>87997.92</v>
      </c>
      <c r="N39" s="116">
        <f t="shared" ref="N39:N53" si="44">IFERROR(M39/M$31,"")</f>
        <v>1.5705873187150689E-2</v>
      </c>
      <c r="O39" s="37">
        <v>102325.91</v>
      </c>
      <c r="P39" s="116">
        <f t="shared" ref="P39:P45" si="45">IFERROR(O39/O$31,"")</f>
        <v>1.7595857172964208E-2</v>
      </c>
      <c r="Q39" s="138">
        <f t="shared" ref="Q39:Q53" si="46">+M39-O39</f>
        <v>-14327.990000000005</v>
      </c>
      <c r="R39" s="37">
        <v>65187.14</v>
      </c>
      <c r="S39" s="116">
        <f t="shared" ref="S39:S45" si="47">IFERROR(R39/R$31,"")</f>
        <v>1.1344814487646623E-2</v>
      </c>
      <c r="T39" s="138">
        <f t="shared" ref="T39:T53" si="48">+M39-R39</f>
        <v>22810.78</v>
      </c>
    </row>
    <row r="40" spans="2:20" x14ac:dyDescent="0.25">
      <c r="B40" s="14" t="s">
        <v>152</v>
      </c>
      <c r="C40" s="17" t="s">
        <v>410</v>
      </c>
      <c r="D40" s="37">
        <v>44327.87</v>
      </c>
      <c r="E40" s="116">
        <f t="shared" si="39"/>
        <v>7.8966272032479301E-2</v>
      </c>
      <c r="F40" s="37">
        <v>39658.89</v>
      </c>
      <c r="G40" s="116">
        <f t="shared" si="40"/>
        <v>7.347194774193877E-2</v>
      </c>
      <c r="H40" s="138">
        <f t="shared" si="41"/>
        <v>4668.9800000000032</v>
      </c>
      <c r="I40" s="37">
        <v>29770.43</v>
      </c>
      <c r="J40" s="116">
        <f t="shared" si="42"/>
        <v>5.6066877760340444E-2</v>
      </c>
      <c r="K40" s="138">
        <f t="shared" si="43"/>
        <v>14557.440000000002</v>
      </c>
      <c r="L40" s="75"/>
      <c r="M40" s="90">
        <v>261622.27</v>
      </c>
      <c r="N40" s="116">
        <f t="shared" si="44"/>
        <v>4.6694355906986187E-2</v>
      </c>
      <c r="O40" s="37">
        <v>265089.26</v>
      </c>
      <c r="P40" s="116">
        <f t="shared" si="45"/>
        <v>4.5584473737363039E-2</v>
      </c>
      <c r="Q40" s="138">
        <f t="shared" si="46"/>
        <v>-3466.9900000000198</v>
      </c>
      <c r="R40" s="37">
        <v>216102.18</v>
      </c>
      <c r="S40" s="116">
        <f t="shared" si="47"/>
        <v>3.7609245358455945E-2</v>
      </c>
      <c r="T40" s="138">
        <f t="shared" si="48"/>
        <v>45520.09</v>
      </c>
    </row>
    <row r="41" spans="2:20" x14ac:dyDescent="0.25">
      <c r="B41" s="14" t="s">
        <v>224</v>
      </c>
      <c r="C41" s="17" t="s">
        <v>374</v>
      </c>
      <c r="D41" s="37">
        <v>0</v>
      </c>
      <c r="E41" s="116">
        <f t="shared" ref="E41" si="49">IFERROR(D41/D$31,"")</f>
        <v>0</v>
      </c>
      <c r="F41" s="37">
        <v>0</v>
      </c>
      <c r="G41" s="116">
        <f t="shared" ref="G41" si="50">IFERROR(F41/F$31,"")</f>
        <v>0</v>
      </c>
      <c r="H41" s="138">
        <f t="shared" si="41"/>
        <v>0</v>
      </c>
      <c r="I41" s="37">
        <v>0</v>
      </c>
      <c r="J41" s="116">
        <f t="shared" ref="J41" si="51">IFERROR(I41/I$31,"")</f>
        <v>0</v>
      </c>
      <c r="K41" s="138">
        <f t="shared" si="43"/>
        <v>0</v>
      </c>
      <c r="L41" s="75"/>
      <c r="M41" s="90">
        <v>0</v>
      </c>
      <c r="N41" s="116">
        <f t="shared" si="44"/>
        <v>0</v>
      </c>
      <c r="O41" s="37">
        <v>0</v>
      </c>
      <c r="P41" s="116">
        <f t="shared" si="45"/>
        <v>0</v>
      </c>
      <c r="Q41" s="138">
        <f t="shared" si="46"/>
        <v>0</v>
      </c>
      <c r="R41" s="37">
        <v>0</v>
      </c>
      <c r="S41" s="116">
        <f t="shared" si="47"/>
        <v>0</v>
      </c>
      <c r="T41" s="138">
        <f t="shared" si="48"/>
        <v>0</v>
      </c>
    </row>
    <row r="42" spans="2:20" x14ac:dyDescent="0.25">
      <c r="B42" s="14" t="s">
        <v>75</v>
      </c>
      <c r="C42" s="17" t="s">
        <v>431</v>
      </c>
      <c r="D42" s="37">
        <v>0</v>
      </c>
      <c r="E42" s="116">
        <f t="shared" si="39"/>
        <v>0</v>
      </c>
      <c r="F42" s="37">
        <v>0</v>
      </c>
      <c r="G42" s="116">
        <f t="shared" si="40"/>
        <v>0</v>
      </c>
      <c r="H42" s="138">
        <f t="shared" si="41"/>
        <v>0</v>
      </c>
      <c r="I42" s="37">
        <v>0</v>
      </c>
      <c r="J42" s="116">
        <f t="shared" si="42"/>
        <v>0</v>
      </c>
      <c r="K42" s="138">
        <f t="shared" si="43"/>
        <v>0</v>
      </c>
      <c r="L42" s="75"/>
      <c r="M42" s="90">
        <v>0</v>
      </c>
      <c r="N42" s="116">
        <f t="shared" si="44"/>
        <v>0</v>
      </c>
      <c r="O42" s="37">
        <v>0</v>
      </c>
      <c r="P42" s="116">
        <f t="shared" si="45"/>
        <v>0</v>
      </c>
      <c r="Q42" s="138">
        <f t="shared" si="46"/>
        <v>0</v>
      </c>
      <c r="R42" s="37">
        <v>0</v>
      </c>
      <c r="S42" s="116">
        <f t="shared" si="47"/>
        <v>0</v>
      </c>
      <c r="T42" s="138">
        <f t="shared" si="48"/>
        <v>0</v>
      </c>
    </row>
    <row r="43" spans="2:20" x14ac:dyDescent="0.25">
      <c r="B43" s="14" t="s">
        <v>652</v>
      </c>
      <c r="C43" s="17" t="s">
        <v>463</v>
      </c>
      <c r="D43" s="55">
        <v>0</v>
      </c>
      <c r="E43" s="122">
        <f t="shared" si="39"/>
        <v>0</v>
      </c>
      <c r="F43" s="56">
        <v>0</v>
      </c>
      <c r="G43" s="163">
        <f t="shared" si="40"/>
        <v>0</v>
      </c>
      <c r="H43" s="167">
        <f t="shared" si="41"/>
        <v>0</v>
      </c>
      <c r="I43" s="152">
        <v>0</v>
      </c>
      <c r="J43" s="163">
        <f t="shared" si="42"/>
        <v>0</v>
      </c>
      <c r="K43" s="154">
        <f t="shared" si="43"/>
        <v>0</v>
      </c>
      <c r="L43" s="75"/>
      <c r="M43" s="117">
        <v>0</v>
      </c>
      <c r="N43" s="122">
        <f t="shared" si="44"/>
        <v>0</v>
      </c>
      <c r="O43" s="56">
        <v>0</v>
      </c>
      <c r="P43" s="163">
        <f t="shared" si="45"/>
        <v>0</v>
      </c>
      <c r="Q43" s="167">
        <f t="shared" si="46"/>
        <v>0</v>
      </c>
      <c r="R43" s="152">
        <v>0</v>
      </c>
      <c r="S43" s="163">
        <f t="shared" si="47"/>
        <v>0</v>
      </c>
      <c r="T43" s="154">
        <f t="shared" si="48"/>
        <v>0</v>
      </c>
    </row>
    <row r="44" spans="2:20" x14ac:dyDescent="0.25">
      <c r="B44" s="14" t="s">
        <v>672</v>
      </c>
      <c r="C44" s="23" t="s">
        <v>411</v>
      </c>
      <c r="D44" s="314">
        <f t="shared" ref="D44" si="52">SUM(D35:D43)</f>
        <v>67058.880000000005</v>
      </c>
      <c r="E44" s="105">
        <f t="shared" si="39"/>
        <v>0.11945960318583738</v>
      </c>
      <c r="F44" s="104">
        <f t="shared" ref="F44" si="53">SUM(F35:F43)</f>
        <v>69354.98000000001</v>
      </c>
      <c r="G44" s="149">
        <f t="shared" si="40"/>
        <v>0.12848684030751262</v>
      </c>
      <c r="H44" s="155">
        <f t="shared" si="41"/>
        <v>-2296.1000000000058</v>
      </c>
      <c r="I44" s="153">
        <f>SUM(I35:I43)</f>
        <v>53589.15</v>
      </c>
      <c r="J44" s="149">
        <f t="shared" si="42"/>
        <v>0.10092485470752516</v>
      </c>
      <c r="K44" s="155">
        <f t="shared" si="43"/>
        <v>13469.730000000003</v>
      </c>
      <c r="L44" s="75"/>
      <c r="M44" s="113">
        <f t="shared" ref="M44" si="54">SUM(M35:M43)</f>
        <v>413802.23999999999</v>
      </c>
      <c r="N44" s="105">
        <f t="shared" si="44"/>
        <v>7.3855444605950837E-2</v>
      </c>
      <c r="O44" s="104">
        <f t="shared" ref="O44" si="55">SUM(O35:O43)</f>
        <v>439830.39</v>
      </c>
      <c r="P44" s="149">
        <f t="shared" si="45"/>
        <v>7.5632776906348995E-2</v>
      </c>
      <c r="Q44" s="155">
        <f t="shared" si="46"/>
        <v>-26028.150000000023</v>
      </c>
      <c r="R44" s="153">
        <f>SUM(R35:R43)</f>
        <v>339911.92</v>
      </c>
      <c r="S44" s="149">
        <f t="shared" si="47"/>
        <v>5.9156417577758122E-2</v>
      </c>
      <c r="T44" s="155">
        <f t="shared" si="48"/>
        <v>73890.320000000007</v>
      </c>
    </row>
    <row r="45" spans="2:20" x14ac:dyDescent="0.25">
      <c r="B45" s="14" t="s">
        <v>676</v>
      </c>
      <c r="C45" s="17" t="s">
        <v>558</v>
      </c>
      <c r="D45" s="316">
        <v>0</v>
      </c>
      <c r="E45" s="123">
        <f t="shared" ref="E45:E46" si="56">IFERROR(D45/D$31,"")</f>
        <v>0</v>
      </c>
      <c r="F45" s="162">
        <v>0</v>
      </c>
      <c r="G45" s="164">
        <f t="shared" si="40"/>
        <v>0</v>
      </c>
      <c r="H45" s="168">
        <f t="shared" si="41"/>
        <v>0</v>
      </c>
      <c r="I45" s="170">
        <v>0</v>
      </c>
      <c r="J45" s="164">
        <f t="shared" si="42"/>
        <v>0</v>
      </c>
      <c r="K45" s="168">
        <f t="shared" si="43"/>
        <v>0</v>
      </c>
      <c r="L45" s="75"/>
      <c r="M45" s="118">
        <v>0</v>
      </c>
      <c r="N45" s="123">
        <f t="shared" si="44"/>
        <v>0</v>
      </c>
      <c r="O45" s="162">
        <v>0</v>
      </c>
      <c r="P45" s="164">
        <f t="shared" si="45"/>
        <v>0</v>
      </c>
      <c r="Q45" s="168">
        <f t="shared" si="46"/>
        <v>0</v>
      </c>
      <c r="R45" s="170">
        <v>0</v>
      </c>
      <c r="S45" s="164">
        <f t="shared" si="47"/>
        <v>0</v>
      </c>
      <c r="T45" s="168">
        <f t="shared" si="48"/>
        <v>0</v>
      </c>
    </row>
    <row r="46" spans="2:20" x14ac:dyDescent="0.25">
      <c r="B46" s="14" t="s">
        <v>253</v>
      </c>
      <c r="C46" s="17" t="s">
        <v>412</v>
      </c>
      <c r="D46" s="37">
        <v>30219.69</v>
      </c>
      <c r="E46" s="52">
        <f t="shared" si="56"/>
        <v>5.383376781418088E-2</v>
      </c>
      <c r="F46" s="37">
        <v>32583.439999999999</v>
      </c>
      <c r="G46" s="116">
        <f>IFERROR(F46/F$31,"")</f>
        <v>6.03639890307721E-2</v>
      </c>
      <c r="H46" s="138">
        <f t="shared" si="41"/>
        <v>-2363.75</v>
      </c>
      <c r="I46" s="37">
        <v>48080.91</v>
      </c>
      <c r="J46" s="116">
        <f>IFERROR(I46/I$31,"")</f>
        <v>9.0551144325961397E-2</v>
      </c>
      <c r="K46" s="138">
        <f t="shared" si="43"/>
        <v>-17861.220000000005</v>
      </c>
      <c r="L46" s="75"/>
      <c r="M46" s="90">
        <v>241627.78</v>
      </c>
      <c r="N46" s="52">
        <f t="shared" si="44"/>
        <v>4.3125738326232545E-2</v>
      </c>
      <c r="O46" s="37">
        <v>203817.96</v>
      </c>
      <c r="P46" s="116">
        <f>IFERROR(O46/O$31,"")</f>
        <v>3.5048324646660182E-2</v>
      </c>
      <c r="Q46" s="138">
        <f t="shared" si="46"/>
        <v>37809.820000000007</v>
      </c>
      <c r="R46" s="37">
        <v>347790.83</v>
      </c>
      <c r="S46" s="116">
        <f>IFERROR(R46/R$31,"")</f>
        <v>6.0527620123457533E-2</v>
      </c>
      <c r="T46" s="138">
        <f t="shared" si="48"/>
        <v>-106163.05000000002</v>
      </c>
    </row>
    <row r="47" spans="2:20" x14ac:dyDescent="0.25">
      <c r="B47" s="14" t="s">
        <v>247</v>
      </c>
      <c r="C47" s="17" t="s">
        <v>413</v>
      </c>
      <c r="D47" s="317">
        <v>2372.4499999999998</v>
      </c>
      <c r="E47" s="124">
        <f t="shared" si="39"/>
        <v>4.2263147785683245E-3</v>
      </c>
      <c r="F47" s="107">
        <v>3247.37</v>
      </c>
      <c r="G47" s="165">
        <f t="shared" si="40"/>
        <v>6.0160685016332959E-3</v>
      </c>
      <c r="H47" s="154">
        <f t="shared" si="41"/>
        <v>-874.92000000000007</v>
      </c>
      <c r="I47" s="158">
        <v>1593.82</v>
      </c>
      <c r="J47" s="165">
        <f t="shared" si="42"/>
        <v>3.0016533557622716E-3</v>
      </c>
      <c r="K47" s="154">
        <f t="shared" si="43"/>
        <v>778.62999999999988</v>
      </c>
      <c r="L47" s="75"/>
      <c r="M47" s="119">
        <v>10767.75</v>
      </c>
      <c r="N47" s="124">
        <f t="shared" si="44"/>
        <v>1.9218285615267023E-3</v>
      </c>
      <c r="O47" s="107">
        <v>19319.79</v>
      </c>
      <c r="P47" s="165">
        <f t="shared" ref="P47:P53" si="57">IFERROR(O47/O$31,"")</f>
        <v>3.3222110162681394E-3</v>
      </c>
      <c r="Q47" s="154">
        <f t="shared" si="46"/>
        <v>-8552.0400000000009</v>
      </c>
      <c r="R47" s="158">
        <v>11037.79</v>
      </c>
      <c r="S47" s="165">
        <f t="shared" ref="S47:S53" si="58">IFERROR(R47/R$31,"")</f>
        <v>1.9209568007370935E-3</v>
      </c>
      <c r="T47" s="154">
        <f t="shared" si="48"/>
        <v>-270.04000000000087</v>
      </c>
    </row>
    <row r="48" spans="2:20" x14ac:dyDescent="0.25">
      <c r="B48" s="14" t="s">
        <v>674</v>
      </c>
      <c r="C48" s="23" t="s">
        <v>414</v>
      </c>
      <c r="D48" s="314">
        <f t="shared" ref="D48" si="59">+SUM(D44:D47)</f>
        <v>99651.02</v>
      </c>
      <c r="E48" s="105">
        <f t="shared" si="39"/>
        <v>0.17751968577858659</v>
      </c>
      <c r="F48" s="104">
        <f>+SUM(F44:F47)</f>
        <v>105185.79000000001</v>
      </c>
      <c r="G48" s="149">
        <f t="shared" si="40"/>
        <v>0.19486689783991801</v>
      </c>
      <c r="H48" s="155">
        <f t="shared" si="41"/>
        <v>-5534.7700000000041</v>
      </c>
      <c r="I48" s="153">
        <f>+SUM(I44:I47)</f>
        <v>103263.88</v>
      </c>
      <c r="J48" s="149">
        <f t="shared" si="42"/>
        <v>0.19447765238924883</v>
      </c>
      <c r="K48" s="155">
        <f t="shared" si="43"/>
        <v>-3612.8600000000006</v>
      </c>
      <c r="L48" s="75"/>
      <c r="M48" s="113">
        <f t="shared" ref="M48" si="60">+SUM(M44:M47)</f>
        <v>666197.77</v>
      </c>
      <c r="N48" s="105">
        <f t="shared" si="44"/>
        <v>0.11890301149371009</v>
      </c>
      <c r="O48" s="104">
        <f>+SUM(O44:O47)</f>
        <v>662968.14</v>
      </c>
      <c r="P48" s="149">
        <f t="shared" si="57"/>
        <v>0.11400331256927732</v>
      </c>
      <c r="Q48" s="155">
        <f t="shared" si="46"/>
        <v>3229.6300000000047</v>
      </c>
      <c r="R48" s="153">
        <f>+SUM(R44:R47)</f>
        <v>698740.54</v>
      </c>
      <c r="S48" s="149">
        <f t="shared" si="58"/>
        <v>0.12160499450195275</v>
      </c>
      <c r="T48" s="155">
        <f t="shared" si="48"/>
        <v>-32542.770000000019</v>
      </c>
    </row>
    <row r="49" spans="2:24" x14ac:dyDescent="0.25">
      <c r="B49" s="14" t="s">
        <v>293</v>
      </c>
      <c r="C49" s="17" t="s">
        <v>415</v>
      </c>
      <c r="D49" s="313">
        <v>5179.18</v>
      </c>
      <c r="E49" s="125">
        <f t="shared" si="39"/>
        <v>9.2262618705833636E-3</v>
      </c>
      <c r="F49" s="107">
        <v>6331.04</v>
      </c>
      <c r="G49" s="166">
        <f t="shared" si="40"/>
        <v>1.1728866845040898E-2</v>
      </c>
      <c r="H49" s="154">
        <f t="shared" si="41"/>
        <v>-1151.8599999999997</v>
      </c>
      <c r="I49" s="158">
        <v>4167.83</v>
      </c>
      <c r="J49" s="166">
        <f t="shared" si="42"/>
        <v>7.8493060105574459E-3</v>
      </c>
      <c r="K49" s="154">
        <f t="shared" si="43"/>
        <v>1011.3500000000004</v>
      </c>
      <c r="L49" s="75"/>
      <c r="M49" s="112">
        <v>33643.86</v>
      </c>
      <c r="N49" s="125">
        <f t="shared" si="44"/>
        <v>6.0047578248014445E-3</v>
      </c>
      <c r="O49" s="107">
        <v>42366.93</v>
      </c>
      <c r="P49" s="166">
        <f t="shared" si="57"/>
        <v>7.2853732660376289E-3</v>
      </c>
      <c r="Q49" s="154">
        <f t="shared" si="46"/>
        <v>-8723.07</v>
      </c>
      <c r="R49" s="158">
        <v>28059.22</v>
      </c>
      <c r="S49" s="166">
        <f t="shared" si="58"/>
        <v>4.8832736881548088E-3</v>
      </c>
      <c r="T49" s="154">
        <f t="shared" si="48"/>
        <v>5584.6399999999994</v>
      </c>
    </row>
    <row r="50" spans="2:24" x14ac:dyDescent="0.25">
      <c r="B50" s="14" t="s">
        <v>305</v>
      </c>
      <c r="C50" s="17" t="s">
        <v>360</v>
      </c>
      <c r="D50" s="51">
        <v>5222.6099999999997</v>
      </c>
      <c r="E50" s="116">
        <f t="shared" si="39"/>
        <v>9.3036286647553024E-3</v>
      </c>
      <c r="F50" s="37">
        <v>4137.53</v>
      </c>
      <c r="G50" s="161">
        <f t="shared" si="40"/>
        <v>7.6651764066191438E-3</v>
      </c>
      <c r="H50" s="145">
        <f t="shared" si="41"/>
        <v>1085.08</v>
      </c>
      <c r="I50" s="90">
        <v>3455.26</v>
      </c>
      <c r="J50" s="161">
        <f t="shared" si="42"/>
        <v>6.5073174976039627E-3</v>
      </c>
      <c r="K50" s="145">
        <f t="shared" si="43"/>
        <v>1767.3499999999995</v>
      </c>
      <c r="L50" s="75"/>
      <c r="M50" s="111">
        <v>42872.83</v>
      </c>
      <c r="N50" s="116">
        <f t="shared" si="44"/>
        <v>7.6519448545405355E-3</v>
      </c>
      <c r="O50" s="37">
        <v>35744.51</v>
      </c>
      <c r="P50" s="161">
        <f t="shared" si="57"/>
        <v>6.1465888031446859E-3</v>
      </c>
      <c r="Q50" s="145">
        <f t="shared" si="46"/>
        <v>7128.32</v>
      </c>
      <c r="R50" s="90">
        <v>28884.560000000001</v>
      </c>
      <c r="S50" s="161">
        <f t="shared" si="58"/>
        <v>5.0269113625371221E-3</v>
      </c>
      <c r="T50" s="145">
        <f t="shared" si="48"/>
        <v>13988.27</v>
      </c>
    </row>
    <row r="51" spans="2:24" x14ac:dyDescent="0.25">
      <c r="B51" s="14" t="s">
        <v>265</v>
      </c>
      <c r="C51" s="17" t="s">
        <v>361</v>
      </c>
      <c r="D51" s="317">
        <v>6758.48</v>
      </c>
      <c r="E51" s="124">
        <f t="shared" si="39"/>
        <v>1.2039648424480369E-2</v>
      </c>
      <c r="F51" s="107">
        <v>9680.43</v>
      </c>
      <c r="G51" s="165">
        <f t="shared" si="40"/>
        <v>1.7933937310890356E-2</v>
      </c>
      <c r="H51" s="154">
        <f t="shared" si="41"/>
        <v>-2921.9500000000007</v>
      </c>
      <c r="I51" s="158">
        <v>8358.9500000000007</v>
      </c>
      <c r="J51" s="165">
        <f t="shared" si="42"/>
        <v>1.5742474255655621E-2</v>
      </c>
      <c r="K51" s="154">
        <f t="shared" si="43"/>
        <v>-1600.4700000000012</v>
      </c>
      <c r="L51" s="75"/>
      <c r="M51" s="119">
        <v>49167.97</v>
      </c>
      <c r="N51" s="124">
        <f t="shared" si="44"/>
        <v>8.7755017583328043E-3</v>
      </c>
      <c r="O51" s="107">
        <v>60591.98</v>
      </c>
      <c r="P51" s="165">
        <f t="shared" si="57"/>
        <v>1.0419333929276601E-2</v>
      </c>
      <c r="Q51" s="154">
        <f t="shared" si="46"/>
        <v>-11424.010000000002</v>
      </c>
      <c r="R51" s="158">
        <v>53884.01</v>
      </c>
      <c r="S51" s="165">
        <f t="shared" si="58"/>
        <v>9.3776793597708918E-3</v>
      </c>
      <c r="T51" s="154">
        <f t="shared" si="48"/>
        <v>-4716.0400000000009</v>
      </c>
    </row>
    <row r="52" spans="2:24" s="11" customFormat="1" x14ac:dyDescent="0.25">
      <c r="B52" s="14" t="s">
        <v>287</v>
      </c>
      <c r="C52" s="23" t="s">
        <v>416</v>
      </c>
      <c r="D52" s="318">
        <f t="shared" ref="D52" si="61">SUM(D49:D51)</f>
        <v>17160.27</v>
      </c>
      <c r="E52" s="126">
        <f t="shared" si="39"/>
        <v>3.0569538959819037E-2</v>
      </c>
      <c r="F52" s="143">
        <f t="shared" ref="F52" si="62">SUM(F49:F51)</f>
        <v>20149</v>
      </c>
      <c r="G52" s="136">
        <f t="shared" si="40"/>
        <v>3.7327980562550399E-2</v>
      </c>
      <c r="H52" s="169">
        <f t="shared" si="41"/>
        <v>-2988.7299999999996</v>
      </c>
      <c r="I52" s="134">
        <f t="shared" ref="I52" si="63">SUM(I49:I51)</f>
        <v>15982.04</v>
      </c>
      <c r="J52" s="136">
        <f t="shared" si="42"/>
        <v>3.0099097763817032E-2</v>
      </c>
      <c r="K52" s="169">
        <f t="shared" si="43"/>
        <v>1178.2299999999996</v>
      </c>
      <c r="L52" s="300"/>
      <c r="M52" s="120">
        <f t="shared" ref="M52" si="64">SUM(M49:M51)</f>
        <v>125684.66</v>
      </c>
      <c r="N52" s="126">
        <f t="shared" si="44"/>
        <v>2.2432204437674786E-2</v>
      </c>
      <c r="O52" s="143">
        <f t="shared" ref="O52" si="65">SUM(O49:O51)</f>
        <v>138703.42000000001</v>
      </c>
      <c r="P52" s="136">
        <f t="shared" si="57"/>
        <v>2.3851295998458918E-2</v>
      </c>
      <c r="Q52" s="169">
        <f t="shared" si="46"/>
        <v>-13018.760000000009</v>
      </c>
      <c r="R52" s="134">
        <f t="shared" ref="R52" si="66">SUM(R49:R51)</f>
        <v>110827.79000000001</v>
      </c>
      <c r="S52" s="136">
        <f t="shared" si="58"/>
        <v>1.9287864410462822E-2</v>
      </c>
      <c r="T52" s="169">
        <f t="shared" si="48"/>
        <v>14856.869999999995</v>
      </c>
      <c r="V52" s="331"/>
      <c r="W52" s="331"/>
      <c r="X52" s="331"/>
    </row>
    <row r="53" spans="2:24" x14ac:dyDescent="0.25">
      <c r="B53" s="14" t="s">
        <v>667</v>
      </c>
      <c r="C53" s="23" t="s">
        <v>417</v>
      </c>
      <c r="D53" s="319">
        <f t="shared" ref="D53" si="67">+D52+D48</f>
        <v>116811.29000000001</v>
      </c>
      <c r="E53" s="127">
        <f t="shared" si="39"/>
        <v>0.20808922473840563</v>
      </c>
      <c r="F53" s="92">
        <f t="shared" ref="F53" si="68">+F52+F48</f>
        <v>125334.79000000001</v>
      </c>
      <c r="G53" s="84">
        <f t="shared" si="40"/>
        <v>0.23219487840246841</v>
      </c>
      <c r="H53" s="141">
        <f t="shared" si="41"/>
        <v>-8523.5</v>
      </c>
      <c r="I53" s="87">
        <f t="shared" ref="I53" si="69">+I52+I48</f>
        <v>119245.92000000001</v>
      </c>
      <c r="J53" s="84">
        <f t="shared" si="42"/>
        <v>0.22457675015306586</v>
      </c>
      <c r="K53" s="141">
        <f t="shared" si="43"/>
        <v>-2434.6300000000047</v>
      </c>
      <c r="L53" s="75"/>
      <c r="M53" s="121">
        <f t="shared" ref="M53" si="70">+M52+M48</f>
        <v>791882.43</v>
      </c>
      <c r="N53" s="127">
        <f t="shared" si="44"/>
        <v>0.14133521593138487</v>
      </c>
      <c r="O53" s="92">
        <f t="shared" ref="O53" si="71">+O52+O48</f>
        <v>801671.56</v>
      </c>
      <c r="P53" s="84">
        <f t="shared" si="57"/>
        <v>0.13785460856773624</v>
      </c>
      <c r="Q53" s="141">
        <f t="shared" si="46"/>
        <v>-9789.1300000000047</v>
      </c>
      <c r="R53" s="87">
        <f t="shared" ref="R53" si="72">+R52+R48</f>
        <v>809568.33000000007</v>
      </c>
      <c r="S53" s="84">
        <f t="shared" si="58"/>
        <v>0.1408928589124156</v>
      </c>
      <c r="T53" s="141">
        <f t="shared" si="48"/>
        <v>-17685.900000000023</v>
      </c>
    </row>
    <row r="54" spans="2:24" x14ac:dyDescent="0.25">
      <c r="B54" s="14"/>
      <c r="C54" s="16"/>
      <c r="D54" s="49"/>
      <c r="E54" s="32"/>
      <c r="F54" s="49"/>
      <c r="G54" s="32"/>
      <c r="H54" s="16"/>
      <c r="I54" s="16"/>
      <c r="J54" s="32"/>
      <c r="K54" s="50"/>
      <c r="L54" s="75"/>
      <c r="M54" s="16"/>
      <c r="N54" s="32"/>
      <c r="O54" s="49"/>
      <c r="P54" s="32"/>
      <c r="Q54" s="16"/>
      <c r="R54" s="16"/>
      <c r="S54" s="32"/>
      <c r="T54" s="50"/>
    </row>
    <row r="55" spans="2:24" x14ac:dyDescent="0.25">
      <c r="B55" s="14"/>
      <c r="C55" s="15" t="s">
        <v>51</v>
      </c>
      <c r="D55" s="49"/>
      <c r="E55" s="32"/>
      <c r="F55" s="49"/>
      <c r="G55" s="32"/>
      <c r="H55" s="16"/>
      <c r="I55" s="16"/>
      <c r="J55" s="32"/>
      <c r="K55" s="50"/>
      <c r="L55" s="75"/>
      <c r="M55" s="16"/>
      <c r="N55" s="32"/>
      <c r="O55" s="49"/>
      <c r="P55" s="32"/>
      <c r="Q55" s="16"/>
      <c r="R55" s="16"/>
      <c r="S55" s="32"/>
      <c r="T55" s="50"/>
    </row>
    <row r="56" spans="2:24" x14ac:dyDescent="0.25">
      <c r="B56" s="14" t="s">
        <v>109</v>
      </c>
      <c r="C56" s="17" t="s">
        <v>432</v>
      </c>
      <c r="D56" s="37">
        <v>0</v>
      </c>
      <c r="E56" s="52">
        <f t="shared" ref="E56:E84" si="73">IFERROR(D56/D$31,"")</f>
        <v>0</v>
      </c>
      <c r="F56" s="37">
        <v>0</v>
      </c>
      <c r="G56" s="52">
        <f t="shared" ref="G56:G84" si="74">IFERROR(F56/F$31,"")</f>
        <v>0</v>
      </c>
      <c r="H56" s="138">
        <f t="shared" ref="H56:H84" si="75">+D56-F56</f>
        <v>0</v>
      </c>
      <c r="I56" s="37">
        <v>0</v>
      </c>
      <c r="J56" s="52">
        <f t="shared" ref="J56:J84" si="76">IFERROR(I56/I$31,"")</f>
        <v>0</v>
      </c>
      <c r="K56" s="138">
        <f t="shared" ref="K56:K84" si="77">+D56-I56</f>
        <v>0</v>
      </c>
      <c r="L56" s="75"/>
      <c r="M56" s="90">
        <v>0</v>
      </c>
      <c r="N56" s="52">
        <f t="shared" ref="N56:N84" si="78">IFERROR(M56/M$31,"")</f>
        <v>0</v>
      </c>
      <c r="O56" s="37">
        <v>0</v>
      </c>
      <c r="P56" s="52">
        <f t="shared" ref="P56:P84" si="79">IFERROR(O56/O$31,"")</f>
        <v>0</v>
      </c>
      <c r="Q56" s="138">
        <f t="shared" ref="Q56:Q84" si="80">+M56-O56</f>
        <v>0</v>
      </c>
      <c r="R56" s="37">
        <v>0</v>
      </c>
      <c r="S56" s="52">
        <f t="shared" ref="S56:S84" si="81">IFERROR(R56/R$31,"")</f>
        <v>0</v>
      </c>
      <c r="T56" s="138">
        <f t="shared" ref="T56:T84" si="82">+M56-R56</f>
        <v>0</v>
      </c>
    </row>
    <row r="57" spans="2:24" x14ac:dyDescent="0.25">
      <c r="B57" s="14" t="s">
        <v>162</v>
      </c>
      <c r="C57" s="17" t="s">
        <v>371</v>
      </c>
      <c r="D57" s="37">
        <v>0</v>
      </c>
      <c r="E57" s="52">
        <f t="shared" si="73"/>
        <v>0</v>
      </c>
      <c r="F57" s="37">
        <v>0</v>
      </c>
      <c r="G57" s="52">
        <f t="shared" si="74"/>
        <v>0</v>
      </c>
      <c r="H57" s="138">
        <f t="shared" si="75"/>
        <v>0</v>
      </c>
      <c r="I57" s="37">
        <v>0</v>
      </c>
      <c r="J57" s="52">
        <f t="shared" si="76"/>
        <v>0</v>
      </c>
      <c r="K57" s="138">
        <f t="shared" si="77"/>
        <v>0</v>
      </c>
      <c r="L57" s="75"/>
      <c r="M57" s="90">
        <v>0</v>
      </c>
      <c r="N57" s="52">
        <f t="shared" si="78"/>
        <v>0</v>
      </c>
      <c r="O57" s="37">
        <v>0</v>
      </c>
      <c r="P57" s="52">
        <f t="shared" si="79"/>
        <v>0</v>
      </c>
      <c r="Q57" s="138">
        <f t="shared" si="80"/>
        <v>0</v>
      </c>
      <c r="R57" s="37">
        <v>0</v>
      </c>
      <c r="S57" s="52">
        <f t="shared" si="81"/>
        <v>0</v>
      </c>
      <c r="T57" s="138">
        <f t="shared" si="82"/>
        <v>0</v>
      </c>
    </row>
    <row r="58" spans="2:24" x14ac:dyDescent="0.25">
      <c r="B58" s="14" t="s">
        <v>216</v>
      </c>
      <c r="C58" s="17" t="s">
        <v>418</v>
      </c>
      <c r="D58" s="37">
        <v>0</v>
      </c>
      <c r="E58" s="52">
        <f t="shared" si="73"/>
        <v>0</v>
      </c>
      <c r="F58" s="37">
        <v>0</v>
      </c>
      <c r="G58" s="52">
        <f t="shared" si="74"/>
        <v>0</v>
      </c>
      <c r="H58" s="138">
        <f t="shared" si="75"/>
        <v>0</v>
      </c>
      <c r="I58" s="37">
        <v>0</v>
      </c>
      <c r="J58" s="52">
        <f t="shared" si="76"/>
        <v>0</v>
      </c>
      <c r="K58" s="138">
        <f t="shared" si="77"/>
        <v>0</v>
      </c>
      <c r="L58" s="75"/>
      <c r="M58" s="90">
        <v>0</v>
      </c>
      <c r="N58" s="52">
        <f t="shared" si="78"/>
        <v>0</v>
      </c>
      <c r="O58" s="37">
        <v>0</v>
      </c>
      <c r="P58" s="52">
        <f t="shared" si="79"/>
        <v>0</v>
      </c>
      <c r="Q58" s="138">
        <f t="shared" si="80"/>
        <v>0</v>
      </c>
      <c r="R58" s="37">
        <v>0</v>
      </c>
      <c r="S58" s="52">
        <f t="shared" si="81"/>
        <v>0</v>
      </c>
      <c r="T58" s="138">
        <f t="shared" si="82"/>
        <v>0</v>
      </c>
    </row>
    <row r="59" spans="2:24" x14ac:dyDescent="0.25">
      <c r="B59" s="14" t="s">
        <v>217</v>
      </c>
      <c r="C59" s="17" t="s">
        <v>419</v>
      </c>
      <c r="D59" s="37">
        <v>592.96</v>
      </c>
      <c r="E59" s="52">
        <f t="shared" si="73"/>
        <v>1.0563070290627301E-3</v>
      </c>
      <c r="F59" s="37">
        <v>483.36</v>
      </c>
      <c r="G59" s="52">
        <f t="shared" si="74"/>
        <v>8.9547137251051463E-4</v>
      </c>
      <c r="H59" s="138">
        <f t="shared" si="75"/>
        <v>109.60000000000002</v>
      </c>
      <c r="I59" s="37">
        <v>926.1</v>
      </c>
      <c r="J59" s="52">
        <f t="shared" si="76"/>
        <v>1.7441311897023754E-3</v>
      </c>
      <c r="K59" s="138">
        <f t="shared" si="77"/>
        <v>-333.14</v>
      </c>
      <c r="L59" s="75"/>
      <c r="M59" s="90">
        <v>2962.94</v>
      </c>
      <c r="N59" s="52">
        <f t="shared" si="78"/>
        <v>5.2882568021080795E-4</v>
      </c>
      <c r="O59" s="37">
        <v>3371.68</v>
      </c>
      <c r="P59" s="52">
        <f t="shared" si="79"/>
        <v>5.7979058982167821E-4</v>
      </c>
      <c r="Q59" s="138">
        <f t="shared" si="80"/>
        <v>-408.73999999999978</v>
      </c>
      <c r="R59" s="37">
        <v>3347.44</v>
      </c>
      <c r="S59" s="52">
        <f t="shared" si="81"/>
        <v>5.8257020953101811E-4</v>
      </c>
      <c r="T59" s="138">
        <f t="shared" si="82"/>
        <v>-384.5</v>
      </c>
    </row>
    <row r="60" spans="2:24" x14ac:dyDescent="0.25">
      <c r="B60" s="14" t="s">
        <v>191</v>
      </c>
      <c r="C60" s="17" t="s">
        <v>373</v>
      </c>
      <c r="D60" s="37">
        <v>4943.32</v>
      </c>
      <c r="E60" s="52">
        <f t="shared" si="73"/>
        <v>8.806097650611128E-3</v>
      </c>
      <c r="F60" s="37">
        <v>3262.68</v>
      </c>
      <c r="G60" s="52">
        <f t="shared" si="74"/>
        <v>6.0444317644459738E-3</v>
      </c>
      <c r="H60" s="138">
        <f t="shared" si="75"/>
        <v>1680.6399999999999</v>
      </c>
      <c r="I60" s="37">
        <v>3892.35</v>
      </c>
      <c r="J60" s="52">
        <f t="shared" si="76"/>
        <v>7.3304924265608909E-3</v>
      </c>
      <c r="K60" s="138">
        <f t="shared" si="77"/>
        <v>1050.9699999999998</v>
      </c>
      <c r="L60" s="75"/>
      <c r="M60" s="90">
        <v>23485.09</v>
      </c>
      <c r="N60" s="52">
        <f t="shared" si="78"/>
        <v>4.1916200443012832E-3</v>
      </c>
      <c r="O60" s="37">
        <v>22758.84</v>
      </c>
      <c r="P60" s="52">
        <f t="shared" si="79"/>
        <v>3.9135864812963276E-3</v>
      </c>
      <c r="Q60" s="138">
        <f t="shared" si="80"/>
        <v>726.25</v>
      </c>
      <c r="R60" s="37">
        <v>25146.32</v>
      </c>
      <c r="S60" s="52">
        <f t="shared" si="81"/>
        <v>4.3763284513939097E-3</v>
      </c>
      <c r="T60" s="138">
        <f t="shared" si="82"/>
        <v>-1661.2299999999996</v>
      </c>
    </row>
    <row r="61" spans="2:24" x14ac:dyDescent="0.25">
      <c r="B61" s="14" t="s">
        <v>69</v>
      </c>
      <c r="C61" s="17" t="s">
        <v>362</v>
      </c>
      <c r="D61" s="37">
        <v>1311.82</v>
      </c>
      <c r="E61" s="52">
        <f t="shared" si="73"/>
        <v>2.3368940347832409E-3</v>
      </c>
      <c r="F61" s="37">
        <v>1359.45</v>
      </c>
      <c r="G61" s="52">
        <f t="shared" si="74"/>
        <v>2.5185132351858226E-3</v>
      </c>
      <c r="H61" s="138">
        <f t="shared" si="75"/>
        <v>-47.630000000000109</v>
      </c>
      <c r="I61" s="37">
        <v>1969.57</v>
      </c>
      <c r="J61" s="52">
        <f t="shared" si="76"/>
        <v>3.7093061951215932E-3</v>
      </c>
      <c r="K61" s="138">
        <f t="shared" si="77"/>
        <v>-657.75</v>
      </c>
      <c r="L61" s="75"/>
      <c r="M61" s="90">
        <v>8574.8700000000008</v>
      </c>
      <c r="N61" s="52">
        <f t="shared" si="78"/>
        <v>1.5304432288433959E-3</v>
      </c>
      <c r="O61" s="37">
        <v>9482.85</v>
      </c>
      <c r="P61" s="52">
        <f t="shared" si="79"/>
        <v>1.63066103387347E-3</v>
      </c>
      <c r="Q61" s="138">
        <f t="shared" si="80"/>
        <v>-907.97999999999956</v>
      </c>
      <c r="R61" s="37">
        <v>9638.84</v>
      </c>
      <c r="S61" s="52">
        <f t="shared" si="81"/>
        <v>1.6774911689039858E-3</v>
      </c>
      <c r="T61" s="138">
        <f t="shared" si="82"/>
        <v>-1063.9699999999993</v>
      </c>
    </row>
    <row r="62" spans="2:24" x14ac:dyDescent="0.25">
      <c r="B62" s="14" t="s">
        <v>147</v>
      </c>
      <c r="C62" s="17" t="s">
        <v>369</v>
      </c>
      <c r="D62" s="37">
        <v>3950.11</v>
      </c>
      <c r="E62" s="52">
        <f t="shared" si="73"/>
        <v>7.0367798141037861E-3</v>
      </c>
      <c r="F62" s="37">
        <v>2900.16</v>
      </c>
      <c r="G62" s="52">
        <f t="shared" si="74"/>
        <v>5.3728282350630875E-3</v>
      </c>
      <c r="H62" s="138">
        <f t="shared" si="75"/>
        <v>1049.9500000000003</v>
      </c>
      <c r="I62" s="37">
        <v>3600.43</v>
      </c>
      <c r="J62" s="52">
        <f t="shared" si="76"/>
        <v>6.780717265241468E-3</v>
      </c>
      <c r="K62" s="138">
        <f t="shared" si="77"/>
        <v>349.68000000000029</v>
      </c>
      <c r="L62" s="75"/>
      <c r="M62" s="90">
        <v>20397.88</v>
      </c>
      <c r="N62" s="52">
        <f t="shared" si="78"/>
        <v>3.6406146482407457E-3</v>
      </c>
      <c r="O62" s="37">
        <v>20230.080000000002</v>
      </c>
      <c r="P62" s="52">
        <f t="shared" si="79"/>
        <v>3.4787435389300697E-3</v>
      </c>
      <c r="Q62" s="138">
        <f t="shared" si="80"/>
        <v>167.79999999999927</v>
      </c>
      <c r="R62" s="37">
        <v>21637.03</v>
      </c>
      <c r="S62" s="52">
        <f t="shared" si="81"/>
        <v>3.7655907501639831E-3</v>
      </c>
      <c r="T62" s="138">
        <f t="shared" si="82"/>
        <v>-1239.1499999999978</v>
      </c>
    </row>
    <row r="63" spans="2:24" x14ac:dyDescent="0.25">
      <c r="B63" s="14" t="s">
        <v>103</v>
      </c>
      <c r="C63" s="17" t="s">
        <v>366</v>
      </c>
      <c r="D63" s="37">
        <v>0</v>
      </c>
      <c r="E63" s="52">
        <f t="shared" si="73"/>
        <v>0</v>
      </c>
      <c r="F63" s="37">
        <v>0</v>
      </c>
      <c r="G63" s="52">
        <f t="shared" si="74"/>
        <v>0</v>
      </c>
      <c r="H63" s="138">
        <f t="shared" si="75"/>
        <v>0</v>
      </c>
      <c r="I63" s="37">
        <v>0</v>
      </c>
      <c r="J63" s="52">
        <f t="shared" si="76"/>
        <v>0</v>
      </c>
      <c r="K63" s="138">
        <f t="shared" si="77"/>
        <v>0</v>
      </c>
      <c r="L63" s="75"/>
      <c r="M63" s="90">
        <v>0</v>
      </c>
      <c r="N63" s="52">
        <f t="shared" si="78"/>
        <v>0</v>
      </c>
      <c r="O63" s="37">
        <v>0</v>
      </c>
      <c r="P63" s="52">
        <f t="shared" si="79"/>
        <v>0</v>
      </c>
      <c r="Q63" s="138">
        <f t="shared" si="80"/>
        <v>0</v>
      </c>
      <c r="R63" s="37">
        <v>-3600</v>
      </c>
      <c r="S63" s="52">
        <f t="shared" si="81"/>
        <v>-6.265243751379159E-4</v>
      </c>
      <c r="T63" s="138">
        <f t="shared" si="82"/>
        <v>3600</v>
      </c>
    </row>
    <row r="64" spans="2:24" x14ac:dyDescent="0.25">
      <c r="B64" s="14" t="s">
        <v>118</v>
      </c>
      <c r="C64" s="17" t="s">
        <v>433</v>
      </c>
      <c r="D64" s="37">
        <v>0</v>
      </c>
      <c r="E64" s="52">
        <f t="shared" si="73"/>
        <v>0</v>
      </c>
      <c r="F64" s="37">
        <v>0</v>
      </c>
      <c r="G64" s="52">
        <f t="shared" si="74"/>
        <v>0</v>
      </c>
      <c r="H64" s="138">
        <f t="shared" si="75"/>
        <v>0</v>
      </c>
      <c r="I64" s="37">
        <v>0</v>
      </c>
      <c r="J64" s="52">
        <f t="shared" si="76"/>
        <v>0</v>
      </c>
      <c r="K64" s="138">
        <f t="shared" si="77"/>
        <v>0</v>
      </c>
      <c r="L64" s="75"/>
      <c r="M64" s="90">
        <v>0</v>
      </c>
      <c r="N64" s="52">
        <f t="shared" si="78"/>
        <v>0</v>
      </c>
      <c r="O64" s="37">
        <v>0</v>
      </c>
      <c r="P64" s="52">
        <f t="shared" si="79"/>
        <v>0</v>
      </c>
      <c r="Q64" s="138">
        <f t="shared" si="80"/>
        <v>0</v>
      </c>
      <c r="R64" s="37">
        <v>0</v>
      </c>
      <c r="S64" s="52">
        <f t="shared" si="81"/>
        <v>0</v>
      </c>
      <c r="T64" s="138">
        <f t="shared" si="82"/>
        <v>0</v>
      </c>
    </row>
    <row r="65" spans="2:20" x14ac:dyDescent="0.25">
      <c r="B65" s="14" t="s">
        <v>122</v>
      </c>
      <c r="C65" s="17" t="s">
        <v>367</v>
      </c>
      <c r="D65" s="37">
        <v>0</v>
      </c>
      <c r="E65" s="52">
        <f t="shared" si="73"/>
        <v>0</v>
      </c>
      <c r="F65" s="37">
        <v>0</v>
      </c>
      <c r="G65" s="52">
        <f t="shared" si="74"/>
        <v>0</v>
      </c>
      <c r="H65" s="138">
        <f t="shared" si="75"/>
        <v>0</v>
      </c>
      <c r="I65" s="37">
        <v>0</v>
      </c>
      <c r="J65" s="52">
        <f t="shared" si="76"/>
        <v>0</v>
      </c>
      <c r="K65" s="138">
        <f t="shared" si="77"/>
        <v>0</v>
      </c>
      <c r="L65" s="75"/>
      <c r="M65" s="90">
        <v>0</v>
      </c>
      <c r="N65" s="52">
        <f t="shared" si="78"/>
        <v>0</v>
      </c>
      <c r="O65" s="37">
        <v>0</v>
      </c>
      <c r="P65" s="52">
        <f t="shared" si="79"/>
        <v>0</v>
      </c>
      <c r="Q65" s="138">
        <f t="shared" si="80"/>
        <v>0</v>
      </c>
      <c r="R65" s="37">
        <v>0</v>
      </c>
      <c r="S65" s="52">
        <f t="shared" si="81"/>
        <v>0</v>
      </c>
      <c r="T65" s="138">
        <f t="shared" si="82"/>
        <v>0</v>
      </c>
    </row>
    <row r="66" spans="2:20" x14ac:dyDescent="0.25">
      <c r="B66" s="14" t="s">
        <v>159</v>
      </c>
      <c r="C66" s="17" t="s">
        <v>61</v>
      </c>
      <c r="D66" s="37">
        <v>20386.29</v>
      </c>
      <c r="E66" s="52">
        <f t="shared" si="73"/>
        <v>3.6316414974890791E-2</v>
      </c>
      <c r="F66" s="37">
        <v>19002.09</v>
      </c>
      <c r="G66" s="52">
        <f t="shared" si="74"/>
        <v>3.5203218331819608E-2</v>
      </c>
      <c r="H66" s="138">
        <f t="shared" si="75"/>
        <v>1384.2000000000007</v>
      </c>
      <c r="I66" s="37">
        <v>20947.59</v>
      </c>
      <c r="J66" s="52">
        <f t="shared" si="76"/>
        <v>3.9450755931430277E-2</v>
      </c>
      <c r="K66" s="138">
        <f t="shared" si="77"/>
        <v>-561.29999999999927</v>
      </c>
      <c r="L66" s="75"/>
      <c r="M66" s="90">
        <v>122454.13</v>
      </c>
      <c r="N66" s="52">
        <f t="shared" si="78"/>
        <v>2.1855619280806465E-2</v>
      </c>
      <c r="O66" s="37">
        <v>132549.17000000001</v>
      </c>
      <c r="P66" s="52">
        <f t="shared" si="79"/>
        <v>2.2793017562364726E-2</v>
      </c>
      <c r="Q66" s="138">
        <f t="shared" si="80"/>
        <v>-10095.040000000008</v>
      </c>
      <c r="R66" s="37">
        <v>136142.07999999999</v>
      </c>
      <c r="S66" s="52">
        <f t="shared" si="81"/>
        <v>2.3693425444993373E-2</v>
      </c>
      <c r="T66" s="138">
        <f t="shared" si="82"/>
        <v>-13687.949999999983</v>
      </c>
    </row>
    <row r="67" spans="2:20" x14ac:dyDescent="0.25">
      <c r="B67" s="14" t="s">
        <v>83</v>
      </c>
      <c r="C67" s="17" t="s">
        <v>365</v>
      </c>
      <c r="D67" s="37">
        <v>6325.43</v>
      </c>
      <c r="E67" s="52">
        <f t="shared" si="73"/>
        <v>1.1268207249804818E-2</v>
      </c>
      <c r="F67" s="37">
        <v>2388</v>
      </c>
      <c r="G67" s="52">
        <f t="shared" si="74"/>
        <v>4.4240020637932578E-3</v>
      </c>
      <c r="H67" s="138">
        <f t="shared" si="75"/>
        <v>3937.4300000000003</v>
      </c>
      <c r="I67" s="37">
        <v>3490.65</v>
      </c>
      <c r="J67" s="52">
        <f t="shared" si="76"/>
        <v>6.5739677543835409E-3</v>
      </c>
      <c r="K67" s="138">
        <f t="shared" si="77"/>
        <v>2834.78</v>
      </c>
      <c r="L67" s="75"/>
      <c r="M67" s="90">
        <v>23241.68</v>
      </c>
      <c r="N67" s="52">
        <f t="shared" si="78"/>
        <v>4.1481762152598203E-3</v>
      </c>
      <c r="O67" s="37">
        <v>21128</v>
      </c>
      <c r="P67" s="52">
        <f t="shared" si="79"/>
        <v>3.6331489292437055E-3</v>
      </c>
      <c r="Q67" s="138">
        <f t="shared" si="80"/>
        <v>2113.6800000000003</v>
      </c>
      <c r="R67" s="37">
        <v>17605.14</v>
      </c>
      <c r="S67" s="52">
        <f t="shared" si="81"/>
        <v>3.0639025938098688E-3</v>
      </c>
      <c r="T67" s="138">
        <f t="shared" si="82"/>
        <v>5636.5400000000009</v>
      </c>
    </row>
    <row r="68" spans="2:20" x14ac:dyDescent="0.25">
      <c r="B68" s="28" t="s">
        <v>328</v>
      </c>
      <c r="C68" s="17" t="s">
        <v>377</v>
      </c>
      <c r="D68" s="37">
        <v>4.9000000000000004</v>
      </c>
      <c r="E68" s="52">
        <f t="shared" si="73"/>
        <v>8.7289268119390473E-6</v>
      </c>
      <c r="F68" s="37">
        <v>0</v>
      </c>
      <c r="G68" s="52">
        <f t="shared" si="74"/>
        <v>0</v>
      </c>
      <c r="H68" s="138">
        <f t="shared" si="75"/>
        <v>4.9000000000000004</v>
      </c>
      <c r="I68" s="37">
        <v>2.73</v>
      </c>
      <c r="J68" s="52">
        <f t="shared" si="76"/>
        <v>5.1414298109140315E-6</v>
      </c>
      <c r="K68" s="138">
        <f t="shared" si="77"/>
        <v>2.1700000000000004</v>
      </c>
      <c r="L68" s="75"/>
      <c r="M68" s="90">
        <v>4.9000000000000004</v>
      </c>
      <c r="N68" s="52">
        <f t="shared" si="78"/>
        <v>8.745522464285335E-7</v>
      </c>
      <c r="O68" s="37">
        <v>0</v>
      </c>
      <c r="P68" s="52">
        <f t="shared" si="79"/>
        <v>0</v>
      </c>
      <c r="Q68" s="138">
        <f t="shared" si="80"/>
        <v>4.9000000000000004</v>
      </c>
      <c r="R68" s="37">
        <v>3995.86</v>
      </c>
      <c r="S68" s="52">
        <f t="shared" si="81"/>
        <v>6.9541769156627575E-4</v>
      </c>
      <c r="T68" s="138">
        <f t="shared" si="82"/>
        <v>-3990.96</v>
      </c>
    </row>
    <row r="69" spans="2:20" x14ac:dyDescent="0.25">
      <c r="B69" s="28" t="s">
        <v>323</v>
      </c>
      <c r="C69" s="17" t="s">
        <v>376</v>
      </c>
      <c r="D69" s="37">
        <v>0</v>
      </c>
      <c r="E69" s="52">
        <f t="shared" si="73"/>
        <v>0</v>
      </c>
      <c r="F69" s="37">
        <v>0</v>
      </c>
      <c r="G69" s="52">
        <f t="shared" si="74"/>
        <v>0</v>
      </c>
      <c r="H69" s="138">
        <f t="shared" si="75"/>
        <v>0</v>
      </c>
      <c r="I69" s="37">
        <v>0</v>
      </c>
      <c r="J69" s="52">
        <f t="shared" si="76"/>
        <v>0</v>
      </c>
      <c r="K69" s="138">
        <f t="shared" si="77"/>
        <v>0</v>
      </c>
      <c r="L69" s="75"/>
      <c r="M69" s="90">
        <v>0</v>
      </c>
      <c r="N69" s="52">
        <f t="shared" si="78"/>
        <v>0</v>
      </c>
      <c r="O69" s="37">
        <v>0</v>
      </c>
      <c r="P69" s="52">
        <f t="shared" si="79"/>
        <v>0</v>
      </c>
      <c r="Q69" s="138">
        <f t="shared" si="80"/>
        <v>0</v>
      </c>
      <c r="R69" s="37">
        <v>4651.3900000000003</v>
      </c>
      <c r="S69" s="52">
        <f t="shared" si="81"/>
        <v>8.0950255924243071E-4</v>
      </c>
      <c r="T69" s="138">
        <f t="shared" si="82"/>
        <v>-4651.3900000000003</v>
      </c>
    </row>
    <row r="70" spans="2:20" x14ac:dyDescent="0.25">
      <c r="B70" s="28" t="s">
        <v>76</v>
      </c>
      <c r="C70" s="17" t="s">
        <v>420</v>
      </c>
      <c r="D70" s="37">
        <v>4246.09</v>
      </c>
      <c r="E70" s="52">
        <f t="shared" si="73"/>
        <v>7.5640426218176061E-3</v>
      </c>
      <c r="F70" s="37">
        <v>4168.9799999999996</v>
      </c>
      <c r="G70" s="52">
        <f t="shared" si="74"/>
        <v>7.7234405879031878E-3</v>
      </c>
      <c r="H70" s="138">
        <f t="shared" si="75"/>
        <v>77.110000000000582</v>
      </c>
      <c r="I70" s="37">
        <v>6333.16</v>
      </c>
      <c r="J70" s="52">
        <f t="shared" si="76"/>
        <v>1.1927288505966414E-2</v>
      </c>
      <c r="K70" s="138">
        <f t="shared" si="77"/>
        <v>-2087.0699999999997</v>
      </c>
      <c r="L70" s="75"/>
      <c r="M70" s="90">
        <v>24374.2</v>
      </c>
      <c r="N70" s="52">
        <f t="shared" si="78"/>
        <v>4.3503084418159924E-3</v>
      </c>
      <c r="O70" s="37">
        <v>29080.74</v>
      </c>
      <c r="P70" s="52">
        <f t="shared" si="79"/>
        <v>5.0006938372119747E-3</v>
      </c>
      <c r="Q70" s="138">
        <f t="shared" si="80"/>
        <v>-4706.5400000000009</v>
      </c>
      <c r="R70" s="37">
        <v>36689.97</v>
      </c>
      <c r="S70" s="52">
        <f t="shared" si="81"/>
        <v>6.3853223689108E-3</v>
      </c>
      <c r="T70" s="138">
        <f t="shared" si="82"/>
        <v>-12315.77</v>
      </c>
    </row>
    <row r="71" spans="2:20" x14ac:dyDescent="0.25">
      <c r="B71" s="10" t="s">
        <v>78</v>
      </c>
      <c r="C71" s="17" t="s">
        <v>364</v>
      </c>
      <c r="D71" s="37">
        <v>12368.78</v>
      </c>
      <c r="E71" s="52">
        <f t="shared" si="73"/>
        <v>2.2033913341423562E-2</v>
      </c>
      <c r="F71" s="37">
        <v>4742.97</v>
      </c>
      <c r="G71" s="52">
        <f t="shared" si="74"/>
        <v>8.7868128427594262E-3</v>
      </c>
      <c r="H71" s="138">
        <f t="shared" si="75"/>
        <v>7625.81</v>
      </c>
      <c r="I71" s="37">
        <v>7239.19</v>
      </c>
      <c r="J71" s="52">
        <f t="shared" si="76"/>
        <v>1.3633621711674267E-2</v>
      </c>
      <c r="K71" s="138">
        <f t="shared" si="77"/>
        <v>5129.5900000000011</v>
      </c>
      <c r="L71" s="75"/>
      <c r="M71" s="90">
        <v>61439.13</v>
      </c>
      <c r="N71" s="52">
        <f t="shared" si="78"/>
        <v>1.0965659012268307E-2</v>
      </c>
      <c r="O71" s="37">
        <v>33084.61</v>
      </c>
      <c r="P71" s="52">
        <f t="shared" si="79"/>
        <v>5.6891951626252173E-3</v>
      </c>
      <c r="Q71" s="138">
        <f t="shared" si="80"/>
        <v>28354.519999999997</v>
      </c>
      <c r="R71" s="37">
        <v>33913.370000000003</v>
      </c>
      <c r="S71" s="52">
        <f t="shared" si="81"/>
        <v>5.9020980411308172E-3</v>
      </c>
      <c r="T71" s="138">
        <f t="shared" si="82"/>
        <v>27525.759999999995</v>
      </c>
    </row>
    <row r="72" spans="2:20" x14ac:dyDescent="0.25">
      <c r="B72" s="28" t="s">
        <v>311</v>
      </c>
      <c r="C72" s="17" t="s">
        <v>375</v>
      </c>
      <c r="D72" s="37">
        <v>0</v>
      </c>
      <c r="E72" s="52">
        <f t="shared" si="73"/>
        <v>0</v>
      </c>
      <c r="F72" s="37">
        <v>0</v>
      </c>
      <c r="G72" s="52">
        <f t="shared" si="74"/>
        <v>0</v>
      </c>
      <c r="H72" s="138">
        <f t="shared" si="75"/>
        <v>0</v>
      </c>
      <c r="I72" s="37">
        <v>0</v>
      </c>
      <c r="J72" s="52">
        <f t="shared" si="76"/>
        <v>0</v>
      </c>
      <c r="K72" s="138">
        <f t="shared" si="77"/>
        <v>0</v>
      </c>
      <c r="L72" s="75"/>
      <c r="M72" s="90">
        <v>0</v>
      </c>
      <c r="N72" s="52">
        <f t="shared" si="78"/>
        <v>0</v>
      </c>
      <c r="O72" s="37">
        <v>1200</v>
      </c>
      <c r="P72" s="52">
        <f t="shared" si="79"/>
        <v>2.0635075327018397E-4</v>
      </c>
      <c r="Q72" s="138">
        <f t="shared" si="80"/>
        <v>-1200</v>
      </c>
      <c r="R72" s="37">
        <v>0</v>
      </c>
      <c r="S72" s="52">
        <f t="shared" si="81"/>
        <v>0</v>
      </c>
      <c r="T72" s="138">
        <f t="shared" si="82"/>
        <v>0</v>
      </c>
    </row>
    <row r="73" spans="2:20" x14ac:dyDescent="0.25">
      <c r="B73" s="28" t="s">
        <v>334</v>
      </c>
      <c r="C73" s="17" t="s">
        <v>378</v>
      </c>
      <c r="D73" s="37">
        <v>0</v>
      </c>
      <c r="E73" s="52">
        <f t="shared" si="73"/>
        <v>0</v>
      </c>
      <c r="F73" s="37">
        <v>0</v>
      </c>
      <c r="G73" s="52">
        <f t="shared" si="74"/>
        <v>0</v>
      </c>
      <c r="H73" s="138">
        <f t="shared" si="75"/>
        <v>0</v>
      </c>
      <c r="I73" s="37">
        <v>0</v>
      </c>
      <c r="J73" s="52">
        <f t="shared" si="76"/>
        <v>0</v>
      </c>
      <c r="K73" s="138">
        <f t="shared" si="77"/>
        <v>0</v>
      </c>
      <c r="L73" s="75"/>
      <c r="M73" s="90">
        <v>-1000</v>
      </c>
      <c r="N73" s="52">
        <f t="shared" si="78"/>
        <v>-1.7848005029153744E-4</v>
      </c>
      <c r="O73" s="37">
        <v>1000</v>
      </c>
      <c r="P73" s="52">
        <f t="shared" si="79"/>
        <v>1.7195896105848664E-4</v>
      </c>
      <c r="Q73" s="138">
        <f t="shared" si="80"/>
        <v>-2000</v>
      </c>
      <c r="R73" s="37">
        <v>0</v>
      </c>
      <c r="S73" s="52">
        <f t="shared" si="81"/>
        <v>0</v>
      </c>
      <c r="T73" s="138">
        <f t="shared" si="82"/>
        <v>-1000</v>
      </c>
    </row>
    <row r="74" spans="2:20" x14ac:dyDescent="0.25">
      <c r="B74" s="28" t="s">
        <v>338</v>
      </c>
      <c r="C74" s="17" t="s">
        <v>421</v>
      </c>
      <c r="D74" s="37">
        <v>0</v>
      </c>
      <c r="E74" s="52">
        <f t="shared" si="73"/>
        <v>0</v>
      </c>
      <c r="F74" s="37">
        <v>0</v>
      </c>
      <c r="G74" s="52">
        <f t="shared" si="74"/>
        <v>0</v>
      </c>
      <c r="H74" s="138">
        <f t="shared" si="75"/>
        <v>0</v>
      </c>
      <c r="I74" s="37">
        <v>0</v>
      </c>
      <c r="J74" s="52">
        <f t="shared" si="76"/>
        <v>0</v>
      </c>
      <c r="K74" s="138">
        <f t="shared" si="77"/>
        <v>0</v>
      </c>
      <c r="L74" s="75"/>
      <c r="M74" s="90">
        <v>0</v>
      </c>
      <c r="N74" s="52">
        <f t="shared" si="78"/>
        <v>0</v>
      </c>
      <c r="O74" s="37">
        <v>0</v>
      </c>
      <c r="P74" s="52">
        <f t="shared" si="79"/>
        <v>0</v>
      </c>
      <c r="Q74" s="138">
        <f t="shared" si="80"/>
        <v>0</v>
      </c>
      <c r="R74" s="37">
        <v>0</v>
      </c>
      <c r="S74" s="52">
        <f t="shared" si="81"/>
        <v>0</v>
      </c>
      <c r="T74" s="138">
        <f t="shared" si="82"/>
        <v>0</v>
      </c>
    </row>
    <row r="75" spans="2:20" x14ac:dyDescent="0.25">
      <c r="B75" s="28" t="s">
        <v>167</v>
      </c>
      <c r="C75" s="17" t="s">
        <v>372</v>
      </c>
      <c r="D75" s="37">
        <v>5476.7</v>
      </c>
      <c r="E75" s="52">
        <f t="shared" si="73"/>
        <v>9.75626805529522E-3</v>
      </c>
      <c r="F75" s="37">
        <v>2841</v>
      </c>
      <c r="G75" s="52">
        <f t="shared" si="74"/>
        <v>5.2632285859449939E-3</v>
      </c>
      <c r="H75" s="138">
        <f t="shared" si="75"/>
        <v>2635.7</v>
      </c>
      <c r="I75" s="37">
        <v>4563.7700000000004</v>
      </c>
      <c r="J75" s="52">
        <f t="shared" si="76"/>
        <v>8.5949828308260565E-3</v>
      </c>
      <c r="K75" s="138">
        <f t="shared" si="77"/>
        <v>912.92999999999938</v>
      </c>
      <c r="L75" s="75"/>
      <c r="M75" s="90">
        <v>32072.45</v>
      </c>
      <c r="N75" s="52">
        <f t="shared" si="78"/>
        <v>5.7242924889728203E-3</v>
      </c>
      <c r="O75" s="37">
        <v>30381</v>
      </c>
      <c r="P75" s="52">
        <f t="shared" si="79"/>
        <v>5.2242851959178821E-3</v>
      </c>
      <c r="Q75" s="138">
        <f t="shared" si="80"/>
        <v>1691.4500000000007</v>
      </c>
      <c r="R75" s="37">
        <v>32362.28</v>
      </c>
      <c r="S75" s="52">
        <f t="shared" si="81"/>
        <v>5.632154793066186E-3</v>
      </c>
      <c r="T75" s="138">
        <f t="shared" si="82"/>
        <v>-289.82999999999811</v>
      </c>
    </row>
    <row r="76" spans="2:20" x14ac:dyDescent="0.25">
      <c r="B76" s="10" t="s">
        <v>77</v>
      </c>
      <c r="C76" s="17" t="s">
        <v>422</v>
      </c>
      <c r="D76" s="37">
        <v>2543.58</v>
      </c>
      <c r="E76" s="52">
        <f t="shared" si="73"/>
        <v>4.5311680939412085E-3</v>
      </c>
      <c r="F76" s="37">
        <v>2446.67</v>
      </c>
      <c r="G76" s="52">
        <f t="shared" si="74"/>
        <v>4.5326939402935721E-3</v>
      </c>
      <c r="H76" s="138">
        <f t="shared" si="75"/>
        <v>96.909999999999854</v>
      </c>
      <c r="I76" s="37">
        <v>2423.69</v>
      </c>
      <c r="J76" s="52">
        <f t="shared" si="76"/>
        <v>4.5645538528989857E-3</v>
      </c>
      <c r="K76" s="138">
        <f t="shared" si="77"/>
        <v>119.88999999999987</v>
      </c>
      <c r="L76" s="75"/>
      <c r="M76" s="90">
        <v>15018.96</v>
      </c>
      <c r="N76" s="52">
        <f t="shared" si="78"/>
        <v>2.6805847361265891E-3</v>
      </c>
      <c r="O76" s="37">
        <v>14680.02</v>
      </c>
      <c r="P76" s="52">
        <f t="shared" si="79"/>
        <v>2.5243609875178052E-3</v>
      </c>
      <c r="Q76" s="138">
        <f t="shared" si="80"/>
        <v>338.93999999999869</v>
      </c>
      <c r="R76" s="37">
        <v>14542.14</v>
      </c>
      <c r="S76" s="52">
        <f t="shared" si="81"/>
        <v>2.5308347712966919E-3</v>
      </c>
      <c r="T76" s="138">
        <f t="shared" si="82"/>
        <v>476.81999999999971</v>
      </c>
    </row>
    <row r="77" spans="2:20" x14ac:dyDescent="0.25">
      <c r="B77" s="28" t="s">
        <v>73</v>
      </c>
      <c r="C77" s="17" t="s">
        <v>379</v>
      </c>
      <c r="D77" s="37">
        <v>34136.379999999997</v>
      </c>
      <c r="E77" s="52">
        <f t="shared" si="73"/>
        <v>6.0811012784599966E-2</v>
      </c>
      <c r="F77" s="37">
        <v>23901.69</v>
      </c>
      <c r="G77" s="52">
        <f t="shared" si="74"/>
        <v>4.4280203470748181E-2</v>
      </c>
      <c r="H77" s="138">
        <f t="shared" si="75"/>
        <v>10234.689999999999</v>
      </c>
      <c r="I77" s="37">
        <v>25909.65</v>
      </c>
      <c r="J77" s="52">
        <f t="shared" si="76"/>
        <v>4.8795841355439101E-2</v>
      </c>
      <c r="K77" s="138">
        <f t="shared" si="77"/>
        <v>8226.7299999999959</v>
      </c>
      <c r="L77" s="75"/>
      <c r="M77" s="90">
        <v>290397.87</v>
      </c>
      <c r="N77" s="52">
        <f t="shared" si="78"/>
        <v>5.1830226442155354E-2</v>
      </c>
      <c r="O77" s="37">
        <v>247545.15</v>
      </c>
      <c r="P77" s="52">
        <f t="shared" si="79"/>
        <v>4.2567606809067231E-2</v>
      </c>
      <c r="Q77" s="138">
        <f t="shared" si="80"/>
        <v>42852.72</v>
      </c>
      <c r="R77" s="37">
        <v>248402.01</v>
      </c>
      <c r="S77" s="52">
        <f t="shared" si="81"/>
        <v>4.3230531693958983E-2</v>
      </c>
      <c r="T77" s="138">
        <f t="shared" si="82"/>
        <v>41995.859999999986</v>
      </c>
    </row>
    <row r="78" spans="2:20" x14ac:dyDescent="0.25">
      <c r="B78" s="28" t="s">
        <v>74</v>
      </c>
      <c r="C78" s="17" t="s">
        <v>363</v>
      </c>
      <c r="D78" s="37">
        <v>2863.71</v>
      </c>
      <c r="E78" s="52">
        <f t="shared" si="73"/>
        <v>5.1014520409424433E-3</v>
      </c>
      <c r="F78" s="37">
        <v>1719.75</v>
      </c>
      <c r="G78" s="52">
        <f t="shared" si="74"/>
        <v>3.1860039988310111E-3</v>
      </c>
      <c r="H78" s="138">
        <f t="shared" si="75"/>
        <v>1143.96</v>
      </c>
      <c r="I78" s="37">
        <v>751.76</v>
      </c>
      <c r="J78" s="52">
        <f t="shared" si="76"/>
        <v>1.4157953387006347E-3</v>
      </c>
      <c r="K78" s="138">
        <f t="shared" si="77"/>
        <v>2111.9499999999998</v>
      </c>
      <c r="L78" s="75"/>
      <c r="M78" s="90">
        <v>41046.86</v>
      </c>
      <c r="N78" s="52">
        <f t="shared" si="78"/>
        <v>7.3260456371096964E-3</v>
      </c>
      <c r="O78" s="37">
        <v>24723.98</v>
      </c>
      <c r="P78" s="52">
        <f t="shared" si="79"/>
        <v>4.2515099140308021E-3</v>
      </c>
      <c r="Q78" s="138">
        <f t="shared" si="80"/>
        <v>16322.880000000001</v>
      </c>
      <c r="R78" s="37">
        <v>47996.3</v>
      </c>
      <c r="S78" s="52">
        <f t="shared" si="81"/>
        <v>8.3530144073422092E-3</v>
      </c>
      <c r="T78" s="138">
        <f t="shared" si="82"/>
        <v>-6949.4400000000023</v>
      </c>
    </row>
    <row r="79" spans="2:20" x14ac:dyDescent="0.25">
      <c r="B79" s="28" t="s">
        <v>146</v>
      </c>
      <c r="C79" s="17" t="s">
        <v>368</v>
      </c>
      <c r="D79" s="37">
        <v>0</v>
      </c>
      <c r="E79" s="52">
        <f t="shared" si="73"/>
        <v>0</v>
      </c>
      <c r="F79" s="37">
        <v>211.47</v>
      </c>
      <c r="G79" s="52">
        <f t="shared" si="74"/>
        <v>3.9176872547335014E-4</v>
      </c>
      <c r="H79" s="138">
        <f t="shared" si="75"/>
        <v>-211.47</v>
      </c>
      <c r="I79" s="37">
        <v>0</v>
      </c>
      <c r="J79" s="52">
        <f t="shared" si="76"/>
        <v>0</v>
      </c>
      <c r="K79" s="138">
        <f t="shared" si="77"/>
        <v>0</v>
      </c>
      <c r="L79" s="75"/>
      <c r="M79" s="90">
        <v>1558.34</v>
      </c>
      <c r="N79" s="52">
        <f t="shared" si="78"/>
        <v>2.7813260157131446E-4</v>
      </c>
      <c r="O79" s="37">
        <v>1475.11</v>
      </c>
      <c r="P79" s="52">
        <f t="shared" si="79"/>
        <v>2.5365838304698419E-4</v>
      </c>
      <c r="Q79" s="138">
        <f t="shared" si="80"/>
        <v>83.230000000000018</v>
      </c>
      <c r="R79" s="37">
        <v>3838.2</v>
      </c>
      <c r="S79" s="52">
        <f t="shared" si="81"/>
        <v>6.6797940462620794E-4</v>
      </c>
      <c r="T79" s="138">
        <f t="shared" si="82"/>
        <v>-2279.8599999999997</v>
      </c>
    </row>
    <row r="80" spans="2:20" x14ac:dyDescent="0.25">
      <c r="B80" s="28" t="s">
        <v>148</v>
      </c>
      <c r="C80" s="17" t="s">
        <v>370</v>
      </c>
      <c r="D80" s="37">
        <v>0</v>
      </c>
      <c r="E80" s="52">
        <f t="shared" si="73"/>
        <v>0</v>
      </c>
      <c r="F80" s="37">
        <v>0</v>
      </c>
      <c r="G80" s="52">
        <f t="shared" si="74"/>
        <v>0</v>
      </c>
      <c r="H80" s="138">
        <f t="shared" si="75"/>
        <v>0</v>
      </c>
      <c r="I80" s="37">
        <v>0</v>
      </c>
      <c r="J80" s="52">
        <f t="shared" si="76"/>
        <v>0</v>
      </c>
      <c r="K80" s="138">
        <f t="shared" si="77"/>
        <v>0</v>
      </c>
      <c r="L80" s="75"/>
      <c r="M80" s="90">
        <v>35.25</v>
      </c>
      <c r="N80" s="52">
        <f t="shared" si="78"/>
        <v>6.2914217727766947E-6</v>
      </c>
      <c r="O80" s="37">
        <v>0</v>
      </c>
      <c r="P80" s="52">
        <f t="shared" si="79"/>
        <v>0</v>
      </c>
      <c r="Q80" s="138">
        <f t="shared" si="80"/>
        <v>35.25</v>
      </c>
      <c r="R80" s="37">
        <v>0</v>
      </c>
      <c r="S80" s="52">
        <f t="shared" si="81"/>
        <v>0</v>
      </c>
      <c r="T80" s="138">
        <f t="shared" si="82"/>
        <v>35.25</v>
      </c>
    </row>
    <row r="81" spans="2:20" x14ac:dyDescent="0.25">
      <c r="B81" s="28" t="s">
        <v>174</v>
      </c>
      <c r="C81" s="17" t="s">
        <v>359</v>
      </c>
      <c r="D81" s="37">
        <v>0</v>
      </c>
      <c r="E81" s="52">
        <f t="shared" si="73"/>
        <v>0</v>
      </c>
      <c r="F81" s="37">
        <v>0</v>
      </c>
      <c r="G81" s="52">
        <f t="shared" si="74"/>
        <v>0</v>
      </c>
      <c r="H81" s="138">
        <f t="shared" si="75"/>
        <v>0</v>
      </c>
      <c r="I81" s="37">
        <v>0</v>
      </c>
      <c r="J81" s="52">
        <f t="shared" si="76"/>
        <v>0</v>
      </c>
      <c r="K81" s="138">
        <f t="shared" si="77"/>
        <v>0</v>
      </c>
      <c r="L81" s="75"/>
      <c r="M81" s="90">
        <v>0</v>
      </c>
      <c r="N81" s="52">
        <f t="shared" si="78"/>
        <v>0</v>
      </c>
      <c r="O81" s="37">
        <v>0</v>
      </c>
      <c r="P81" s="52">
        <f t="shared" si="79"/>
        <v>0</v>
      </c>
      <c r="Q81" s="138">
        <f t="shared" si="80"/>
        <v>0</v>
      </c>
      <c r="R81" s="37">
        <v>0</v>
      </c>
      <c r="S81" s="52">
        <f t="shared" si="81"/>
        <v>0</v>
      </c>
      <c r="T81" s="138">
        <f t="shared" si="82"/>
        <v>0</v>
      </c>
    </row>
    <row r="82" spans="2:20" x14ac:dyDescent="0.25">
      <c r="B82" s="28" t="s">
        <v>89</v>
      </c>
      <c r="C82" s="17" t="s">
        <v>423</v>
      </c>
      <c r="D82" s="37">
        <v>5613.52</v>
      </c>
      <c r="E82" s="52">
        <f t="shared" si="73"/>
        <v>1.000000106884818E-2</v>
      </c>
      <c r="F82" s="37">
        <v>5397.83</v>
      </c>
      <c r="G82" s="52">
        <f t="shared" si="74"/>
        <v>1.0000004631492948E-2</v>
      </c>
      <c r="H82" s="138">
        <f t="shared" si="75"/>
        <v>215.69000000000051</v>
      </c>
      <c r="I82" s="37">
        <v>5310.31</v>
      </c>
      <c r="J82" s="52">
        <f t="shared" si="76"/>
        <v>1.0000947303734393E-2</v>
      </c>
      <c r="K82" s="138">
        <f t="shared" si="77"/>
        <v>303.21000000000004</v>
      </c>
      <c r="L82" s="75"/>
      <c r="M82" s="90">
        <v>56034.13</v>
      </c>
      <c r="N82" s="52">
        <f t="shared" si="78"/>
        <v>1.0000974340442547E-2</v>
      </c>
      <c r="O82" s="37">
        <v>58153.4</v>
      </c>
      <c r="P82" s="52">
        <f t="shared" si="79"/>
        <v>9.9999982460185974E-3</v>
      </c>
      <c r="Q82" s="138">
        <f t="shared" si="80"/>
        <v>-2119.2700000000041</v>
      </c>
      <c r="R82" s="37">
        <v>57460.36</v>
      </c>
      <c r="S82" s="52">
        <f t="shared" si="81"/>
        <v>1.0000087817833249E-2</v>
      </c>
      <c r="T82" s="138">
        <f t="shared" si="82"/>
        <v>-1426.2300000000032</v>
      </c>
    </row>
    <row r="83" spans="2:20" x14ac:dyDescent="0.25">
      <c r="B83" s="28" t="s">
        <v>223</v>
      </c>
      <c r="C83" s="17" t="s">
        <v>424</v>
      </c>
      <c r="D83" s="307">
        <v>256</v>
      </c>
      <c r="E83" s="128">
        <f t="shared" si="73"/>
        <v>4.5604189058293798E-4</v>
      </c>
      <c r="F83" s="91">
        <v>211.2</v>
      </c>
      <c r="G83" s="128">
        <f t="shared" si="74"/>
        <v>3.9126852423498155E-4</v>
      </c>
      <c r="H83" s="140">
        <f t="shared" si="75"/>
        <v>44.800000000000011</v>
      </c>
      <c r="I83" s="86">
        <v>275.2</v>
      </c>
      <c r="J83" s="83">
        <f t="shared" si="76"/>
        <v>5.1828625786210316E-4</v>
      </c>
      <c r="K83" s="142">
        <f t="shared" si="77"/>
        <v>-19.199999999999989</v>
      </c>
      <c r="L83" s="75"/>
      <c r="M83" s="299">
        <v>2662.4</v>
      </c>
      <c r="N83" s="128">
        <f t="shared" si="78"/>
        <v>4.751852858961893E-4</v>
      </c>
      <c r="O83" s="91">
        <v>1856</v>
      </c>
      <c r="P83" s="128">
        <f t="shared" si="79"/>
        <v>3.1915583172455116E-4</v>
      </c>
      <c r="Q83" s="140">
        <f t="shared" si="80"/>
        <v>806.40000000000009</v>
      </c>
      <c r="R83" s="86">
        <v>1663.2</v>
      </c>
      <c r="S83" s="83">
        <f t="shared" si="81"/>
        <v>2.8945426131371711E-4</v>
      </c>
      <c r="T83" s="142">
        <f t="shared" si="82"/>
        <v>999.2</v>
      </c>
    </row>
    <row r="84" spans="2:20" x14ac:dyDescent="0.25">
      <c r="B84" s="14" t="s">
        <v>282</v>
      </c>
      <c r="C84" s="18" t="s">
        <v>425</v>
      </c>
      <c r="D84" s="319">
        <f t="shared" ref="D84" si="83">SUM(D56:D83)</f>
        <v>105019.59</v>
      </c>
      <c r="E84" s="127">
        <f t="shared" si="73"/>
        <v>0.18708332957751955</v>
      </c>
      <c r="F84" s="92">
        <f>SUM(F56:F83)</f>
        <v>75037.3</v>
      </c>
      <c r="G84" s="127">
        <f t="shared" si="74"/>
        <v>0.13901389031049993</v>
      </c>
      <c r="H84" s="141">
        <f t="shared" si="75"/>
        <v>29982.289999999994</v>
      </c>
      <c r="I84" s="87">
        <f>SUM(I56:I83)</f>
        <v>87636.15</v>
      </c>
      <c r="J84" s="84">
        <f t="shared" si="76"/>
        <v>0.165045829349353</v>
      </c>
      <c r="K84" s="141">
        <f t="shared" si="77"/>
        <v>17383.440000000002</v>
      </c>
      <c r="L84" s="75"/>
      <c r="M84" s="121">
        <f t="shared" ref="M84" si="84">SUM(M56:M83)</f>
        <v>724761.08000000007</v>
      </c>
      <c r="N84" s="127">
        <f t="shared" si="78"/>
        <v>0.12935539400774901</v>
      </c>
      <c r="O84" s="92">
        <f>SUM(O56:O83)</f>
        <v>652700.63</v>
      </c>
      <c r="P84" s="127">
        <f t="shared" si="79"/>
        <v>0.11223772221701969</v>
      </c>
      <c r="Q84" s="141">
        <f t="shared" si="80"/>
        <v>72060.45000000007</v>
      </c>
      <c r="R84" s="87">
        <f>SUM(R56:R83)</f>
        <v>695431.92999999993</v>
      </c>
      <c r="S84" s="84">
        <f t="shared" si="81"/>
        <v>0.12102918205394578</v>
      </c>
      <c r="T84" s="141">
        <f t="shared" si="82"/>
        <v>29329.15000000014</v>
      </c>
    </row>
    <row r="85" spans="2:20" x14ac:dyDescent="0.25">
      <c r="B85" s="28"/>
      <c r="C85" s="16"/>
      <c r="D85" s="320"/>
      <c r="E85" s="130"/>
      <c r="F85" s="16"/>
      <c r="G85" s="32"/>
      <c r="H85" s="16"/>
      <c r="I85" s="16"/>
      <c r="J85" s="32"/>
      <c r="K85" s="80"/>
      <c r="L85" s="75"/>
      <c r="M85" s="129"/>
      <c r="N85" s="130"/>
      <c r="O85" s="16"/>
      <c r="P85" s="32"/>
      <c r="Q85" s="16"/>
      <c r="R85" s="16"/>
      <c r="S85" s="32"/>
      <c r="T85" s="80"/>
    </row>
    <row r="86" spans="2:20" x14ac:dyDescent="0.25">
      <c r="B86" s="14" t="s">
        <v>20</v>
      </c>
      <c r="C86" s="18" t="s">
        <v>426</v>
      </c>
      <c r="D86" s="318">
        <f t="shared" ref="D86" si="85">+D53+D84</f>
        <v>221830.88</v>
      </c>
      <c r="E86" s="126">
        <f t="shared" ref="E86:E87" si="86">IFERROR(D86/D$31,"")</f>
        <v>0.39517255431592518</v>
      </c>
      <c r="F86" s="143">
        <f t="shared" ref="F86" si="87">+F53+F84</f>
        <v>200372.09000000003</v>
      </c>
      <c r="G86" s="136">
        <f t="shared" ref="G86:G87" si="88">IFERROR(F86/F$31,"")</f>
        <v>0.37120876871296837</v>
      </c>
      <c r="H86" s="132">
        <f>+D86-F86</f>
        <v>21458.789999999979</v>
      </c>
      <c r="I86" s="134">
        <f t="shared" ref="I86" si="89">+I53+I84</f>
        <v>206882.07</v>
      </c>
      <c r="J86" s="136">
        <f t="shared" ref="J86:J87" si="90">IFERROR(I86/I$31,"")</f>
        <v>0.38962257950241885</v>
      </c>
      <c r="K86" s="234">
        <f>+D86-I86</f>
        <v>14948.809999999998</v>
      </c>
      <c r="L86" s="75"/>
      <c r="M86" s="120">
        <f t="shared" ref="M86" si="91">+M53+M84</f>
        <v>1516643.5100000002</v>
      </c>
      <c r="N86" s="126">
        <f t="shared" ref="N86:N87" si="92">IFERROR(M86/M$31,"")</f>
        <v>0.27069060993913391</v>
      </c>
      <c r="O86" s="143">
        <f t="shared" ref="O86" si="93">+O53+O84</f>
        <v>1454372.19</v>
      </c>
      <c r="P86" s="136">
        <f t="shared" ref="P86:P87" si="94">IFERROR(O86/O$31,"")</f>
        <v>0.2500923307847559</v>
      </c>
      <c r="Q86" s="132">
        <f>+M86-O86</f>
        <v>62271.320000000298</v>
      </c>
      <c r="R86" s="134">
        <f t="shared" ref="R86" si="95">+R53+R84</f>
        <v>1505000.26</v>
      </c>
      <c r="S86" s="136">
        <f t="shared" ref="S86:S87" si="96">IFERROR(R86/R$31,"")</f>
        <v>0.26192204096636135</v>
      </c>
      <c r="T86" s="234">
        <f>+M86-R86</f>
        <v>11643.250000000233</v>
      </c>
    </row>
    <row r="87" spans="2:20" ht="15.75" thickBot="1" x14ac:dyDescent="0.3">
      <c r="B87" s="14" t="s">
        <v>106</v>
      </c>
      <c r="C87" s="18" t="s">
        <v>427</v>
      </c>
      <c r="D87" s="321">
        <f t="shared" ref="D87" si="97">+D31-D86</f>
        <v>339521.06000000006</v>
      </c>
      <c r="E87" s="89">
        <f t="shared" si="86"/>
        <v>0.60482744568407476</v>
      </c>
      <c r="F87" s="144">
        <f>+F31-F86</f>
        <v>339410.66</v>
      </c>
      <c r="G87" s="137">
        <f t="shared" si="88"/>
        <v>0.62879123128703163</v>
      </c>
      <c r="H87" s="133">
        <f>+D87-F87</f>
        <v>110.40000000008149</v>
      </c>
      <c r="I87" s="135">
        <f>+I31-I86</f>
        <v>324098.62999999995</v>
      </c>
      <c r="J87" s="137">
        <f t="shared" si="90"/>
        <v>0.61037742049758115</v>
      </c>
      <c r="K87" s="133">
        <f>+D87-I87</f>
        <v>15422.430000000109</v>
      </c>
      <c r="L87" s="298"/>
      <c r="M87" s="237">
        <f t="shared" ref="M87" si="98">+M31-M86</f>
        <v>4086223.5799999996</v>
      </c>
      <c r="N87" s="89">
        <f t="shared" si="92"/>
        <v>0.72930939006086604</v>
      </c>
      <c r="O87" s="144">
        <f>+O31-O86</f>
        <v>4360968.83</v>
      </c>
      <c r="P87" s="137">
        <f t="shared" si="94"/>
        <v>0.74990766921524399</v>
      </c>
      <c r="Q87" s="133">
        <f>+M87-O87</f>
        <v>-274745.25000000047</v>
      </c>
      <c r="R87" s="135">
        <f>+R31-R86</f>
        <v>4240985.28</v>
      </c>
      <c r="S87" s="137">
        <f t="shared" si="96"/>
        <v>0.73807795903363871</v>
      </c>
      <c r="T87" s="133">
        <f>+M87-R87</f>
        <v>-154761.70000000065</v>
      </c>
    </row>
    <row r="88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130F-2ADD-47E2-981A-EA39968965B8}">
  <dimension ref="B1:X112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24.140625" style="9" hidden="1" customWidth="1" outlineLevel="1"/>
    <col min="3" max="3" width="44.140625" bestFit="1" customWidth="1" collapsed="1"/>
    <col min="4" max="4" width="12.28515625" bestFit="1" customWidth="1"/>
    <col min="6" max="6" width="8.28515625" bestFit="1" customWidth="1"/>
    <col min="7" max="7" width="9" customWidth="1"/>
    <col min="8" max="8" width="10.28515625" bestFit="1" customWidth="1"/>
    <col min="9" max="9" width="8.28515625" bestFit="1" customWidth="1"/>
    <col min="10" max="10" width="9" customWidth="1"/>
    <col min="11" max="11" width="10.28515625" bestFit="1" customWidth="1"/>
    <col min="13" max="13" width="9.85546875" bestFit="1" customWidth="1"/>
    <col min="15" max="15" width="9.85546875" bestFit="1" customWidth="1"/>
    <col min="16" max="16" width="9" customWidth="1"/>
    <col min="17" max="17" width="10.28515625" bestFit="1" customWidth="1"/>
    <col min="18" max="18" width="13.140625" customWidth="1"/>
    <col min="19" max="19" width="9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L6" s="298"/>
      <c r="M6" s="295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L7" s="298"/>
      <c r="M7" s="328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L8" s="298"/>
      <c r="M8" s="41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9</v>
      </c>
      <c r="D9" s="180"/>
      <c r="E9" s="94"/>
      <c r="F9" s="180"/>
      <c r="G9" s="30"/>
      <c r="H9" s="80"/>
      <c r="I9" s="20"/>
      <c r="J9" s="20"/>
      <c r="K9" s="94"/>
      <c r="L9" s="75"/>
      <c r="M9" s="20"/>
      <c r="N9" s="94"/>
      <c r="O9" s="180"/>
      <c r="P9" s="30"/>
      <c r="Q9" s="80"/>
      <c r="R9" s="20"/>
      <c r="S9" s="20"/>
      <c r="T9" s="94"/>
    </row>
    <row r="10" spans="2:22" x14ac:dyDescent="0.25">
      <c r="C10" s="22" t="s">
        <v>81</v>
      </c>
      <c r="D10" s="49"/>
      <c r="E10" s="50"/>
      <c r="F10" s="49"/>
      <c r="H10" s="50"/>
      <c r="I10" s="16"/>
      <c r="J10" s="16"/>
      <c r="K10" s="50"/>
      <c r="L10" s="75"/>
      <c r="M10" s="16"/>
      <c r="N10" s="50"/>
      <c r="O10" s="49"/>
      <c r="Q10" s="50"/>
      <c r="R10" s="16"/>
      <c r="S10" s="16"/>
      <c r="T10" s="50"/>
    </row>
    <row r="11" spans="2:22" x14ac:dyDescent="0.25">
      <c r="B11" s="28" t="s">
        <v>347</v>
      </c>
      <c r="C11" s="17" t="s">
        <v>532</v>
      </c>
      <c r="D11" s="297">
        <v>206023.94</v>
      </c>
      <c r="E11" s="52">
        <f t="shared" ref="E11:E17" si="0">IFERROR(D11/D$35,"")</f>
        <v>0.64150025613436512</v>
      </c>
      <c r="F11" s="37">
        <v>179025</v>
      </c>
      <c r="G11" s="52">
        <f t="shared" ref="G11:G17" si="1">IFERROR(F11/F$35,"")</f>
        <v>0.5005923361403507</v>
      </c>
      <c r="H11" s="138">
        <f t="shared" ref="H11:H17" si="2">+D11-F11</f>
        <v>26998.940000000002</v>
      </c>
      <c r="I11" s="37">
        <v>120205.48</v>
      </c>
      <c r="J11" s="52">
        <f t="shared" ref="J11:J17" si="3">IFERROR(I11/I$35,"")</f>
        <v>0.59661377064750387</v>
      </c>
      <c r="K11" s="138">
        <f t="shared" ref="K11:K17" si="4">+D11-I11</f>
        <v>85818.46</v>
      </c>
      <c r="L11" s="75"/>
      <c r="M11" s="90">
        <v>1306363.3999999999</v>
      </c>
      <c r="N11" s="52">
        <f t="shared" ref="N11:N17" si="5">IFERROR(M11/M$35,"")</f>
        <v>0.60172469520620353</v>
      </c>
      <c r="O11" s="37">
        <v>1310835</v>
      </c>
      <c r="P11" s="52">
        <f t="shared" ref="P11:P17" si="6">IFERROR(O11/O$35,"")</f>
        <v>0.50272558931371381</v>
      </c>
      <c r="Q11" s="138">
        <f t="shared" ref="Q11:Q17" si="7">+M11-O11</f>
        <v>-4471.6000000000931</v>
      </c>
      <c r="R11" s="37">
        <v>773965.28</v>
      </c>
      <c r="S11" s="52">
        <f t="shared" ref="S11:S17" si="8">IFERROR(R11/R$35,"")</f>
        <v>0.55505373530521662</v>
      </c>
      <c r="T11" s="138">
        <f t="shared" ref="T11:T17" si="9">+M11-R11</f>
        <v>532398.11999999988</v>
      </c>
    </row>
    <row r="12" spans="2:22" x14ac:dyDescent="0.25">
      <c r="B12" s="28" t="s">
        <v>345</v>
      </c>
      <c r="C12" s="17" t="s">
        <v>535</v>
      </c>
      <c r="D12" s="37">
        <v>2294</v>
      </c>
      <c r="E12" s="52">
        <f t="shared" si="0"/>
        <v>7.1428669288250363E-3</v>
      </c>
      <c r="F12" s="37">
        <v>2144.91</v>
      </c>
      <c r="G12" s="52">
        <f t="shared" si="1"/>
        <v>5.9976288658611905E-3</v>
      </c>
      <c r="H12" s="138">
        <f t="shared" si="2"/>
        <v>149.09000000000015</v>
      </c>
      <c r="I12" s="37">
        <v>2187</v>
      </c>
      <c r="J12" s="52">
        <f t="shared" si="3"/>
        <v>1.0854699106946631E-2</v>
      </c>
      <c r="K12" s="138">
        <f t="shared" si="4"/>
        <v>107</v>
      </c>
      <c r="L12" s="75"/>
      <c r="M12" s="90">
        <v>17162.25</v>
      </c>
      <c r="N12" s="52">
        <f t="shared" si="5"/>
        <v>7.9051125056800176E-3</v>
      </c>
      <c r="O12" s="37">
        <v>14961.83</v>
      </c>
      <c r="P12" s="52">
        <f t="shared" si="6"/>
        <v>5.7380942711795181E-3</v>
      </c>
      <c r="Q12" s="138">
        <f t="shared" si="7"/>
        <v>2200.42</v>
      </c>
      <c r="R12" s="37">
        <v>14571.48</v>
      </c>
      <c r="S12" s="52">
        <f t="shared" si="8"/>
        <v>1.0450022258007823E-2</v>
      </c>
      <c r="T12" s="138">
        <f t="shared" si="9"/>
        <v>2590.7700000000004</v>
      </c>
    </row>
    <row r="13" spans="2:22" x14ac:dyDescent="0.25">
      <c r="B13" s="28" t="s">
        <v>613</v>
      </c>
      <c r="C13" s="17" t="s">
        <v>614</v>
      </c>
      <c r="D13" s="37">
        <v>0</v>
      </c>
      <c r="E13" s="52">
        <f t="shared" si="0"/>
        <v>0</v>
      </c>
      <c r="F13" s="37">
        <v>0</v>
      </c>
      <c r="G13" s="52">
        <f t="shared" si="1"/>
        <v>0</v>
      </c>
      <c r="H13" s="138">
        <f t="shared" si="2"/>
        <v>0</v>
      </c>
      <c r="I13" s="37">
        <v>0</v>
      </c>
      <c r="J13" s="52">
        <f t="shared" si="3"/>
        <v>0</v>
      </c>
      <c r="K13" s="138">
        <f t="shared" si="4"/>
        <v>0</v>
      </c>
      <c r="L13" s="75"/>
      <c r="M13" s="90">
        <v>0</v>
      </c>
      <c r="N13" s="52">
        <f t="shared" si="5"/>
        <v>0</v>
      </c>
      <c r="O13" s="37">
        <v>0</v>
      </c>
      <c r="P13" s="52">
        <f t="shared" si="6"/>
        <v>0</v>
      </c>
      <c r="Q13" s="138">
        <f t="shared" si="7"/>
        <v>0</v>
      </c>
      <c r="R13" s="37">
        <v>0</v>
      </c>
      <c r="S13" s="52">
        <f t="shared" si="8"/>
        <v>0</v>
      </c>
      <c r="T13" s="138">
        <f t="shared" si="9"/>
        <v>0</v>
      </c>
    </row>
    <row r="14" spans="2:22" x14ac:dyDescent="0.25">
      <c r="B14" s="28" t="s">
        <v>620</v>
      </c>
      <c r="C14" s="17" t="s">
        <v>615</v>
      </c>
      <c r="D14" s="37">
        <v>0</v>
      </c>
      <c r="E14" s="52">
        <f t="shared" si="0"/>
        <v>0</v>
      </c>
      <c r="F14" s="37">
        <v>0</v>
      </c>
      <c r="G14" s="52">
        <f t="shared" si="1"/>
        <v>0</v>
      </c>
      <c r="H14" s="138">
        <f t="shared" si="2"/>
        <v>0</v>
      </c>
      <c r="I14" s="37">
        <v>0</v>
      </c>
      <c r="J14" s="52">
        <f t="shared" si="3"/>
        <v>0</v>
      </c>
      <c r="K14" s="138">
        <f t="shared" si="4"/>
        <v>0</v>
      </c>
      <c r="L14" s="75"/>
      <c r="M14" s="90">
        <v>0</v>
      </c>
      <c r="N14" s="52">
        <f t="shared" si="5"/>
        <v>0</v>
      </c>
      <c r="O14" s="37">
        <v>0</v>
      </c>
      <c r="P14" s="52">
        <f t="shared" si="6"/>
        <v>0</v>
      </c>
      <c r="Q14" s="138">
        <f t="shared" si="7"/>
        <v>0</v>
      </c>
      <c r="R14" s="37">
        <v>0</v>
      </c>
      <c r="S14" s="52">
        <f t="shared" si="8"/>
        <v>0</v>
      </c>
      <c r="T14" s="138">
        <f t="shared" si="9"/>
        <v>0</v>
      </c>
    </row>
    <row r="15" spans="2:22" x14ac:dyDescent="0.25">
      <c r="B15" s="28" t="s">
        <v>227</v>
      </c>
      <c r="C15" s="17" t="s">
        <v>533</v>
      </c>
      <c r="D15" s="37">
        <v>0</v>
      </c>
      <c r="E15" s="52">
        <f t="shared" si="0"/>
        <v>0</v>
      </c>
      <c r="F15" s="37">
        <v>0</v>
      </c>
      <c r="G15" s="52">
        <f t="shared" si="1"/>
        <v>0</v>
      </c>
      <c r="H15" s="138">
        <f t="shared" si="2"/>
        <v>0</v>
      </c>
      <c r="I15" s="37">
        <v>0</v>
      </c>
      <c r="J15" s="52">
        <f t="shared" si="3"/>
        <v>0</v>
      </c>
      <c r="K15" s="138">
        <f t="shared" si="4"/>
        <v>0</v>
      </c>
      <c r="L15" s="75"/>
      <c r="M15" s="90">
        <v>0</v>
      </c>
      <c r="N15" s="52">
        <f t="shared" si="5"/>
        <v>0</v>
      </c>
      <c r="O15" s="37">
        <v>0</v>
      </c>
      <c r="P15" s="52">
        <f t="shared" si="6"/>
        <v>0</v>
      </c>
      <c r="Q15" s="138">
        <f t="shared" si="7"/>
        <v>0</v>
      </c>
      <c r="R15" s="37">
        <v>0</v>
      </c>
      <c r="S15" s="52">
        <f t="shared" si="8"/>
        <v>0</v>
      </c>
      <c r="T15" s="138">
        <f t="shared" si="9"/>
        <v>0</v>
      </c>
    </row>
    <row r="16" spans="2:22" x14ac:dyDescent="0.25">
      <c r="B16" s="28" t="s">
        <v>246</v>
      </c>
      <c r="C16" s="17" t="s">
        <v>534</v>
      </c>
      <c r="D16" s="91">
        <v>0</v>
      </c>
      <c r="E16" s="254">
        <f t="shared" si="0"/>
        <v>0</v>
      </c>
      <c r="F16" s="160">
        <v>0</v>
      </c>
      <c r="G16" s="254">
        <f t="shared" si="1"/>
        <v>0</v>
      </c>
      <c r="H16" s="142">
        <f t="shared" si="2"/>
        <v>0</v>
      </c>
      <c r="I16" s="37">
        <v>0</v>
      </c>
      <c r="J16" s="254">
        <f t="shared" si="3"/>
        <v>0</v>
      </c>
      <c r="K16" s="142">
        <f t="shared" si="4"/>
        <v>0</v>
      </c>
      <c r="L16" s="75"/>
      <c r="M16" s="86">
        <v>0</v>
      </c>
      <c r="N16" s="254">
        <f t="shared" si="5"/>
        <v>0</v>
      </c>
      <c r="O16" s="160">
        <v>0</v>
      </c>
      <c r="P16" s="254">
        <f t="shared" si="6"/>
        <v>0</v>
      </c>
      <c r="Q16" s="142">
        <f t="shared" si="7"/>
        <v>0</v>
      </c>
      <c r="R16" s="37">
        <v>8277.2099999999991</v>
      </c>
      <c r="S16" s="254">
        <f t="shared" si="8"/>
        <v>5.9360496486427546E-3</v>
      </c>
      <c r="T16" s="142">
        <f t="shared" si="9"/>
        <v>-8277.2099999999991</v>
      </c>
    </row>
    <row r="17" spans="2:20" x14ac:dyDescent="0.25">
      <c r="B17" s="28" t="s">
        <v>665</v>
      </c>
      <c r="C17" s="22" t="s">
        <v>536</v>
      </c>
      <c r="D17" s="104">
        <f t="shared" ref="D17" si="10">SUM(D11:D16)</f>
        <v>208317.94</v>
      </c>
      <c r="E17" s="147">
        <f t="shared" si="0"/>
        <v>0.64864312306319016</v>
      </c>
      <c r="F17" s="104">
        <f t="shared" ref="F17" si="11">SUM(F11:F16)</f>
        <v>181169.91</v>
      </c>
      <c r="G17" s="147">
        <f t="shared" si="1"/>
        <v>0.5065899650062119</v>
      </c>
      <c r="H17" s="155">
        <f t="shared" si="2"/>
        <v>27148.03</v>
      </c>
      <c r="I17" s="104">
        <f t="shared" ref="I17" si="12">SUM(I11:I16)</f>
        <v>122392.48</v>
      </c>
      <c r="J17" s="147">
        <f t="shared" si="3"/>
        <v>0.60746846975445046</v>
      </c>
      <c r="K17" s="155">
        <f t="shared" si="4"/>
        <v>85925.46</v>
      </c>
      <c r="L17" s="75"/>
      <c r="M17" s="153">
        <f t="shared" ref="M17" si="13">SUM(M11:M16)</f>
        <v>1323525.6499999999</v>
      </c>
      <c r="N17" s="147">
        <f t="shared" si="5"/>
        <v>0.60962980771188358</v>
      </c>
      <c r="O17" s="104">
        <f t="shared" ref="O17" si="14">SUM(O11:O16)</f>
        <v>1325796.83</v>
      </c>
      <c r="P17" s="147">
        <f t="shared" si="6"/>
        <v>0.50846368358489336</v>
      </c>
      <c r="Q17" s="155">
        <f t="shared" si="7"/>
        <v>-2271.1800000001676</v>
      </c>
      <c r="R17" s="104">
        <f t="shared" ref="R17" si="15">SUM(R11:R16)</f>
        <v>796813.97</v>
      </c>
      <c r="S17" s="147">
        <f t="shared" si="8"/>
        <v>0.57143980721186716</v>
      </c>
      <c r="T17" s="155">
        <f t="shared" si="9"/>
        <v>526711.67999999993</v>
      </c>
    </row>
    <row r="18" spans="2:20" x14ac:dyDescent="0.25">
      <c r="B18" s="28"/>
      <c r="C18" s="22" t="s">
        <v>63</v>
      </c>
      <c r="D18" s="251"/>
      <c r="E18" s="148"/>
      <c r="F18" s="251"/>
      <c r="G18" s="115"/>
      <c r="H18" s="267"/>
      <c r="I18" s="251"/>
      <c r="K18" s="170"/>
      <c r="L18" s="298"/>
      <c r="M18" s="250"/>
      <c r="N18" s="148"/>
      <c r="O18" s="251"/>
      <c r="P18" s="115"/>
      <c r="Q18" s="267"/>
      <c r="R18" s="251"/>
      <c r="T18" s="170"/>
    </row>
    <row r="19" spans="2:20" x14ac:dyDescent="0.25">
      <c r="B19" s="28" t="s">
        <v>346</v>
      </c>
      <c r="C19" s="17" t="s">
        <v>537</v>
      </c>
      <c r="D19" s="37">
        <v>70900.02</v>
      </c>
      <c r="E19" s="52">
        <f t="shared" ref="E19:E24" si="16">IFERROR(D19/D$35,"")</f>
        <v>0.22076260161771302</v>
      </c>
      <c r="F19" s="37">
        <v>109725</v>
      </c>
      <c r="G19" s="52">
        <f t="shared" ref="G19:G35" si="17">IFERROR(F19/F$35,"")</f>
        <v>0.30681465763440852</v>
      </c>
      <c r="H19" s="138">
        <f t="shared" ref="H19:H27" si="18">+D19-F19</f>
        <v>-38824.979999999996</v>
      </c>
      <c r="I19" s="37">
        <v>47606</v>
      </c>
      <c r="J19" s="52">
        <f t="shared" ref="J19:J35" si="19">IFERROR(I19/I$35,"")</f>
        <v>0.23628203277791554</v>
      </c>
      <c r="K19" s="138">
        <f t="shared" ref="K19:K27" si="20">+D19-I19</f>
        <v>23294.020000000004</v>
      </c>
      <c r="L19" s="75"/>
      <c r="M19" s="90">
        <v>492440.53</v>
      </c>
      <c r="N19" s="52">
        <f t="shared" ref="N19:N27" si="21">IFERROR(M19/M$35,"")</f>
        <v>0.2268232773678682</v>
      </c>
      <c r="O19" s="37">
        <v>803415</v>
      </c>
      <c r="P19" s="52">
        <f t="shared" ref="P19:P27" si="22">IFERROR(O19/O$35,"")</f>
        <v>0.30812213538582461</v>
      </c>
      <c r="Q19" s="138">
        <f t="shared" ref="Q19:Q27" si="23">+M19-O19</f>
        <v>-310974.46999999997</v>
      </c>
      <c r="R19" s="37">
        <v>357835.68</v>
      </c>
      <c r="S19" s="52">
        <f t="shared" ref="S19:S27" si="24">IFERROR(R19/R$35,"")</f>
        <v>0.25662395451315617</v>
      </c>
      <c r="T19" s="138">
        <f t="shared" ref="T19:T27" si="25">+M19-R19</f>
        <v>134604.85000000003</v>
      </c>
    </row>
    <row r="20" spans="2:20" x14ac:dyDescent="0.25">
      <c r="B20" s="28" t="s">
        <v>344</v>
      </c>
      <c r="C20" s="17" t="s">
        <v>540</v>
      </c>
      <c r="D20" s="37">
        <v>2411.12</v>
      </c>
      <c r="E20" s="52">
        <f t="shared" si="16"/>
        <v>7.5075454705442989E-3</v>
      </c>
      <c r="F20" s="37">
        <v>2386.59</v>
      </c>
      <c r="G20" s="52">
        <f t="shared" si="17"/>
        <v>6.6734180338455509E-3</v>
      </c>
      <c r="H20" s="138">
        <f t="shared" si="18"/>
        <v>24.529999999999745</v>
      </c>
      <c r="I20" s="37">
        <v>2257</v>
      </c>
      <c r="J20" s="52">
        <f t="shared" si="19"/>
        <v>1.1202128890890967E-2</v>
      </c>
      <c r="K20" s="138">
        <f t="shared" si="20"/>
        <v>154.11999999999989</v>
      </c>
      <c r="L20" s="75"/>
      <c r="M20" s="90">
        <v>16589.63</v>
      </c>
      <c r="N20" s="52">
        <f t="shared" si="21"/>
        <v>7.6413577227697066E-3</v>
      </c>
      <c r="O20" s="37">
        <v>16647.669999999998</v>
      </c>
      <c r="P20" s="52">
        <f t="shared" si="22"/>
        <v>6.3846401045518572E-3</v>
      </c>
      <c r="Q20" s="138">
        <f t="shared" si="23"/>
        <v>-58.039999999997235</v>
      </c>
      <c r="R20" s="37">
        <v>16492.669999999998</v>
      </c>
      <c r="S20" s="52">
        <f t="shared" si="24"/>
        <v>1.1827814922985028E-2</v>
      </c>
      <c r="T20" s="138">
        <f t="shared" si="25"/>
        <v>96.960000000002765</v>
      </c>
    </row>
    <row r="21" spans="2:20" x14ac:dyDescent="0.25">
      <c r="B21" s="28" t="s">
        <v>618</v>
      </c>
      <c r="C21" s="17" t="s">
        <v>616</v>
      </c>
      <c r="D21" s="37">
        <v>0</v>
      </c>
      <c r="E21" s="52">
        <f t="shared" si="16"/>
        <v>0</v>
      </c>
      <c r="F21" s="37">
        <v>0</v>
      </c>
      <c r="G21" s="52">
        <f t="shared" si="17"/>
        <v>0</v>
      </c>
      <c r="H21" s="138">
        <f t="shared" si="18"/>
        <v>0</v>
      </c>
      <c r="I21" s="37">
        <v>0</v>
      </c>
      <c r="J21" s="52">
        <f t="shared" si="19"/>
        <v>0</v>
      </c>
      <c r="K21" s="138">
        <f t="shared" si="20"/>
        <v>0</v>
      </c>
      <c r="L21" s="75"/>
      <c r="M21" s="90">
        <v>0</v>
      </c>
      <c r="N21" s="52">
        <f t="shared" si="21"/>
        <v>0</v>
      </c>
      <c r="O21" s="37">
        <v>0</v>
      </c>
      <c r="P21" s="52">
        <f t="shared" si="22"/>
        <v>0</v>
      </c>
      <c r="Q21" s="138">
        <f t="shared" si="23"/>
        <v>0</v>
      </c>
      <c r="R21" s="37">
        <v>0</v>
      </c>
      <c r="S21" s="52">
        <f t="shared" si="24"/>
        <v>0</v>
      </c>
      <c r="T21" s="138">
        <f t="shared" si="25"/>
        <v>0</v>
      </c>
    </row>
    <row r="22" spans="2:20" x14ac:dyDescent="0.25">
      <c r="B22" s="28" t="s">
        <v>619</v>
      </c>
      <c r="C22" s="17" t="s">
        <v>617</v>
      </c>
      <c r="D22" s="37">
        <v>0</v>
      </c>
      <c r="E22" s="52">
        <f t="shared" si="16"/>
        <v>0</v>
      </c>
      <c r="F22" s="37">
        <v>0</v>
      </c>
      <c r="G22" s="52">
        <f t="shared" si="17"/>
        <v>0</v>
      </c>
      <c r="H22" s="138">
        <f t="shared" si="18"/>
        <v>0</v>
      </c>
      <c r="I22" s="37">
        <v>0</v>
      </c>
      <c r="J22" s="52">
        <f t="shared" si="19"/>
        <v>0</v>
      </c>
      <c r="K22" s="138">
        <f t="shared" si="20"/>
        <v>0</v>
      </c>
      <c r="L22" s="75"/>
      <c r="M22" s="90">
        <v>0</v>
      </c>
      <c r="N22" s="52">
        <f t="shared" si="21"/>
        <v>0</v>
      </c>
      <c r="O22" s="37">
        <v>0</v>
      </c>
      <c r="P22" s="52">
        <f t="shared" si="22"/>
        <v>0</v>
      </c>
      <c r="Q22" s="138">
        <f t="shared" si="23"/>
        <v>0</v>
      </c>
      <c r="R22" s="37">
        <v>0</v>
      </c>
      <c r="S22" s="52">
        <f t="shared" si="24"/>
        <v>0</v>
      </c>
      <c r="T22" s="138">
        <f t="shared" si="25"/>
        <v>0</v>
      </c>
    </row>
    <row r="23" spans="2:20" x14ac:dyDescent="0.25">
      <c r="B23" s="28" t="s">
        <v>226</v>
      </c>
      <c r="C23" s="17" t="s">
        <v>538</v>
      </c>
      <c r="D23" s="37">
        <v>0</v>
      </c>
      <c r="E23" s="52">
        <f t="shared" si="16"/>
        <v>0</v>
      </c>
      <c r="F23" s="37">
        <v>0</v>
      </c>
      <c r="G23" s="52">
        <f t="shared" si="17"/>
        <v>0</v>
      </c>
      <c r="H23" s="138">
        <f t="shared" si="18"/>
        <v>0</v>
      </c>
      <c r="I23" s="37">
        <v>0</v>
      </c>
      <c r="J23" s="52">
        <f t="shared" si="19"/>
        <v>0</v>
      </c>
      <c r="K23" s="138">
        <f t="shared" si="20"/>
        <v>0</v>
      </c>
      <c r="L23" s="75"/>
      <c r="M23" s="90">
        <v>0</v>
      </c>
      <c r="N23" s="52">
        <f t="shared" si="21"/>
        <v>0</v>
      </c>
      <c r="O23" s="37">
        <v>0</v>
      </c>
      <c r="P23" s="52">
        <f t="shared" si="22"/>
        <v>0</v>
      </c>
      <c r="Q23" s="138">
        <f t="shared" si="23"/>
        <v>0</v>
      </c>
      <c r="R23" s="37">
        <v>0</v>
      </c>
      <c r="S23" s="52">
        <f t="shared" si="24"/>
        <v>0</v>
      </c>
      <c r="T23" s="138">
        <f t="shared" si="25"/>
        <v>0</v>
      </c>
    </row>
    <row r="24" spans="2:20" x14ac:dyDescent="0.25">
      <c r="B24" s="28" t="s">
        <v>245</v>
      </c>
      <c r="C24" s="17" t="s">
        <v>539</v>
      </c>
      <c r="D24" s="160">
        <v>0</v>
      </c>
      <c r="E24" s="254">
        <f t="shared" si="16"/>
        <v>0</v>
      </c>
      <c r="F24" s="160">
        <v>0</v>
      </c>
      <c r="G24" s="254">
        <f t="shared" si="17"/>
        <v>0</v>
      </c>
      <c r="H24" s="142">
        <f t="shared" si="18"/>
        <v>0</v>
      </c>
      <c r="I24" s="37">
        <v>0</v>
      </c>
      <c r="J24" s="254">
        <f t="shared" si="19"/>
        <v>0</v>
      </c>
      <c r="K24" s="142">
        <f t="shared" si="20"/>
        <v>0</v>
      </c>
      <c r="L24" s="75"/>
      <c r="M24" s="159">
        <v>0</v>
      </c>
      <c r="N24" s="254">
        <f t="shared" si="21"/>
        <v>0</v>
      </c>
      <c r="O24" s="160">
        <v>0</v>
      </c>
      <c r="P24" s="254">
        <f t="shared" si="22"/>
        <v>0</v>
      </c>
      <c r="Q24" s="142">
        <f t="shared" si="23"/>
        <v>0</v>
      </c>
      <c r="R24" s="37">
        <v>0</v>
      </c>
      <c r="S24" s="254">
        <f t="shared" si="24"/>
        <v>0</v>
      </c>
      <c r="T24" s="142">
        <f t="shared" si="25"/>
        <v>0</v>
      </c>
    </row>
    <row r="25" spans="2:20" x14ac:dyDescent="0.25">
      <c r="B25" s="28" t="s">
        <v>659</v>
      </c>
      <c r="C25" s="22" t="s">
        <v>541</v>
      </c>
      <c r="D25" s="104">
        <f t="shared" ref="D25" si="26">SUM(D19:D24)</f>
        <v>73311.14</v>
      </c>
      <c r="E25" s="147">
        <f t="shared" ref="E25:E35" si="27">IFERROR(D25/D$35,"")</f>
        <v>0.22827014708825732</v>
      </c>
      <c r="F25" s="104">
        <f t="shared" ref="F25" si="28">SUM(F19:F24)</f>
        <v>112111.59</v>
      </c>
      <c r="G25" s="147">
        <f t="shared" si="17"/>
        <v>0.31348807566825404</v>
      </c>
      <c r="H25" s="155">
        <f t="shared" si="18"/>
        <v>-38800.449999999997</v>
      </c>
      <c r="I25" s="104">
        <f t="shared" ref="I25" si="29">SUM(I19:I24)</f>
        <v>49863</v>
      </c>
      <c r="J25" s="147">
        <f t="shared" si="19"/>
        <v>0.24748416166880652</v>
      </c>
      <c r="K25" s="155">
        <f t="shared" si="20"/>
        <v>23448.14</v>
      </c>
      <c r="L25" s="75"/>
      <c r="M25" s="153">
        <f t="shared" ref="M25" si="30">SUM(M19:M24)</f>
        <v>509030.16000000003</v>
      </c>
      <c r="N25" s="147">
        <f t="shared" si="21"/>
        <v>0.23446463509063792</v>
      </c>
      <c r="O25" s="104">
        <f t="shared" ref="O25" si="31">SUM(O19:O24)</f>
        <v>820062.67</v>
      </c>
      <c r="P25" s="147">
        <f t="shared" si="22"/>
        <v>0.31450677549037648</v>
      </c>
      <c r="Q25" s="155">
        <f t="shared" si="23"/>
        <v>-311032.51</v>
      </c>
      <c r="R25" s="104">
        <f t="shared" ref="R25" si="32">SUM(R19:R24)</f>
        <v>374328.35</v>
      </c>
      <c r="S25" s="147">
        <f t="shared" si="24"/>
        <v>0.26845176943614119</v>
      </c>
      <c r="T25" s="155">
        <f t="shared" si="25"/>
        <v>134701.81000000006</v>
      </c>
    </row>
    <row r="26" spans="2:20" x14ac:dyDescent="0.25">
      <c r="B26" s="28" t="s">
        <v>197</v>
      </c>
      <c r="C26" s="17" t="s">
        <v>542</v>
      </c>
      <c r="D26" s="160">
        <v>-90</v>
      </c>
      <c r="E26" s="254">
        <f t="shared" si="27"/>
        <v>-2.8023453513263002E-4</v>
      </c>
      <c r="F26" s="160">
        <v>0</v>
      </c>
      <c r="G26" s="254">
        <f t="shared" si="17"/>
        <v>0</v>
      </c>
      <c r="H26" s="142">
        <f t="shared" si="18"/>
        <v>-90</v>
      </c>
      <c r="I26" s="37">
        <v>-518.9</v>
      </c>
      <c r="J26" s="254">
        <f t="shared" si="19"/>
        <v>-2.5754473555530894E-3</v>
      </c>
      <c r="K26" s="142">
        <f t="shared" si="20"/>
        <v>428.9</v>
      </c>
      <c r="L26" s="75"/>
      <c r="M26" s="159">
        <v>-867.2</v>
      </c>
      <c r="N26" s="254">
        <f t="shared" si="21"/>
        <v>-3.9944142317736381E-4</v>
      </c>
      <c r="O26" s="160">
        <v>0</v>
      </c>
      <c r="P26" s="254">
        <f t="shared" si="22"/>
        <v>0</v>
      </c>
      <c r="Q26" s="142">
        <f t="shared" si="23"/>
        <v>-867.2</v>
      </c>
      <c r="R26" s="37">
        <v>-562.08000000000004</v>
      </c>
      <c r="S26" s="254">
        <f t="shared" si="24"/>
        <v>-4.0309896529254664E-4</v>
      </c>
      <c r="T26" s="142">
        <f t="shared" si="25"/>
        <v>-305.12</v>
      </c>
    </row>
    <row r="27" spans="2:20" x14ac:dyDescent="0.25">
      <c r="B27" s="28" t="s">
        <v>664</v>
      </c>
      <c r="C27" s="22" t="s">
        <v>543</v>
      </c>
      <c r="D27" s="104">
        <f t="shared" ref="D27" si="33">+D17+D25+D26</f>
        <v>281539.08</v>
      </c>
      <c r="E27" s="147">
        <f t="shared" si="27"/>
        <v>0.87663303561631489</v>
      </c>
      <c r="F27" s="104">
        <f>F17+F25+F26</f>
        <v>293281.5</v>
      </c>
      <c r="G27" s="147">
        <f t="shared" si="17"/>
        <v>0.82007804067446599</v>
      </c>
      <c r="H27" s="155">
        <f t="shared" si="18"/>
        <v>-11742.419999999984</v>
      </c>
      <c r="I27" s="104">
        <f>I17+I25+I26</f>
        <v>171736.58</v>
      </c>
      <c r="J27" s="147">
        <f t="shared" si="19"/>
        <v>0.85237718406770391</v>
      </c>
      <c r="K27" s="155">
        <f t="shared" si="20"/>
        <v>109802.50000000003</v>
      </c>
      <c r="L27" s="75"/>
      <c r="M27" s="153">
        <f t="shared" ref="M27" si="34">+M17+M25+M26</f>
        <v>1831688.61</v>
      </c>
      <c r="N27" s="147">
        <f t="shared" si="21"/>
        <v>0.84369500137934417</v>
      </c>
      <c r="O27" s="104">
        <f>O17+O25+O26</f>
        <v>2145859.5</v>
      </c>
      <c r="P27" s="147">
        <f t="shared" si="22"/>
        <v>0.82297045907526989</v>
      </c>
      <c r="Q27" s="155">
        <f t="shared" si="23"/>
        <v>-314170.8899999999</v>
      </c>
      <c r="R27" s="104">
        <f>R17+R25+R26</f>
        <v>1170580.2399999998</v>
      </c>
      <c r="S27" s="147">
        <f t="shared" si="24"/>
        <v>0.83948847768271562</v>
      </c>
      <c r="T27" s="155">
        <f t="shared" si="25"/>
        <v>661108.37000000034</v>
      </c>
    </row>
    <row r="28" spans="2:20" x14ac:dyDescent="0.25">
      <c r="B28" s="28"/>
      <c r="C28" s="18" t="s">
        <v>55</v>
      </c>
      <c r="D28" s="309"/>
      <c r="E28" s="84"/>
      <c r="F28" s="251"/>
      <c r="G28" s="115"/>
      <c r="H28" s="267"/>
      <c r="I28" s="251"/>
      <c r="K28" s="170"/>
      <c r="L28" s="75"/>
      <c r="M28" s="263"/>
      <c r="N28" s="84"/>
      <c r="O28" s="251"/>
      <c r="P28" s="115"/>
      <c r="Q28" s="267"/>
      <c r="R28" s="251"/>
      <c r="T28" s="170"/>
    </row>
    <row r="29" spans="2:20" x14ac:dyDescent="0.25">
      <c r="B29" s="28" t="s">
        <v>198</v>
      </c>
      <c r="C29" s="17" t="s">
        <v>544</v>
      </c>
      <c r="D29" s="37">
        <v>1025</v>
      </c>
      <c r="E29" s="52">
        <f t="shared" si="27"/>
        <v>3.191559983454953E-3</v>
      </c>
      <c r="F29" s="37">
        <v>6000</v>
      </c>
      <c r="G29" s="52">
        <f t="shared" si="17"/>
        <v>1.6777288182332661E-2</v>
      </c>
      <c r="H29" s="138">
        <f>+D29-F29</f>
        <v>-4975</v>
      </c>
      <c r="I29" s="37">
        <v>4849</v>
      </c>
      <c r="J29" s="52">
        <f t="shared" si="19"/>
        <v>2.4066957462086973E-2</v>
      </c>
      <c r="K29" s="138">
        <f>+D29-I29</f>
        <v>-3824</v>
      </c>
      <c r="L29" s="75"/>
      <c r="M29" s="90">
        <v>43004</v>
      </c>
      <c r="N29" s="52">
        <f t="shared" ref="N29:N33" si="35">IFERROR(M29/M$35,"")</f>
        <v>1.9808093821862719E-2</v>
      </c>
      <c r="O29" s="37">
        <v>36000</v>
      </c>
      <c r="P29" s="52">
        <f t="shared" ref="P29:P33" si="36">IFERROR(O29/O$35,"")</f>
        <v>1.3806559342170219E-2</v>
      </c>
      <c r="Q29" s="138">
        <f>+M29-O29</f>
        <v>7004</v>
      </c>
      <c r="R29" s="37">
        <v>35353</v>
      </c>
      <c r="S29" s="52">
        <f t="shared" ref="S29:S33" si="37">IFERROR(R29/R$35,"")</f>
        <v>2.5353611087367278E-2</v>
      </c>
      <c r="T29" s="138">
        <f>+M29-R29</f>
        <v>7651</v>
      </c>
    </row>
    <row r="30" spans="2:20" x14ac:dyDescent="0.25">
      <c r="B30" s="28" t="s">
        <v>204</v>
      </c>
      <c r="C30" s="17" t="s">
        <v>545</v>
      </c>
      <c r="D30" s="37">
        <v>0</v>
      </c>
      <c r="E30" s="52">
        <f t="shared" si="27"/>
        <v>0</v>
      </c>
      <c r="F30" s="37">
        <v>0</v>
      </c>
      <c r="G30" s="52">
        <f t="shared" si="17"/>
        <v>0</v>
      </c>
      <c r="H30" s="138">
        <f>+D30-F30</f>
        <v>0</v>
      </c>
      <c r="I30" s="37">
        <v>0</v>
      </c>
      <c r="J30" s="52">
        <f t="shared" si="19"/>
        <v>0</v>
      </c>
      <c r="K30" s="138">
        <f>+D30-I30</f>
        <v>0</v>
      </c>
      <c r="L30" s="75"/>
      <c r="M30" s="90">
        <v>0</v>
      </c>
      <c r="N30" s="52">
        <f t="shared" si="35"/>
        <v>0</v>
      </c>
      <c r="O30" s="37">
        <v>0</v>
      </c>
      <c r="P30" s="52">
        <f t="shared" si="36"/>
        <v>0</v>
      </c>
      <c r="Q30" s="138">
        <f>+M30-O30</f>
        <v>0</v>
      </c>
      <c r="R30" s="37">
        <v>1000</v>
      </c>
      <c r="S30" s="52">
        <f t="shared" si="37"/>
        <v>7.1715585911711255E-4</v>
      </c>
      <c r="T30" s="138">
        <f>+M30-R30</f>
        <v>-1000</v>
      </c>
    </row>
    <row r="31" spans="2:20" x14ac:dyDescent="0.25">
      <c r="B31" s="28" t="s">
        <v>207</v>
      </c>
      <c r="C31" s="17" t="s">
        <v>546</v>
      </c>
      <c r="D31" s="37">
        <v>45999.42</v>
      </c>
      <c r="E31" s="52">
        <f t="shared" si="27"/>
        <v>0.14322917866745116</v>
      </c>
      <c r="F31" s="37">
        <v>57750</v>
      </c>
      <c r="G31" s="52">
        <f t="shared" si="17"/>
        <v>0.16148139875495185</v>
      </c>
      <c r="H31" s="138">
        <f>+D31-F31</f>
        <v>-11750.580000000002</v>
      </c>
      <c r="I31" s="37">
        <v>31498.23</v>
      </c>
      <c r="J31" s="52">
        <f t="shared" si="19"/>
        <v>0.15633461776470031</v>
      </c>
      <c r="K31" s="138">
        <f>+D31-I31</f>
        <v>14501.189999999999</v>
      </c>
      <c r="L31" s="75"/>
      <c r="M31" s="90">
        <v>341528.9</v>
      </c>
      <c r="N31" s="52">
        <f t="shared" si="35"/>
        <v>0.15731179643934451</v>
      </c>
      <c r="O31" s="37">
        <v>422850</v>
      </c>
      <c r="P31" s="52">
        <f t="shared" si="36"/>
        <v>0.16216954493990771</v>
      </c>
      <c r="Q31" s="138">
        <f>+M31-O31</f>
        <v>-81321.099999999977</v>
      </c>
      <c r="R31" s="37">
        <v>204207.27</v>
      </c>
      <c r="S31" s="52">
        <f t="shared" si="37"/>
        <v>0.14644844015481015</v>
      </c>
      <c r="T31" s="138">
        <f>+M31-R31</f>
        <v>137321.63000000003</v>
      </c>
    </row>
    <row r="32" spans="2:20" x14ac:dyDescent="0.25">
      <c r="B32" s="28" t="s">
        <v>205</v>
      </c>
      <c r="C32" s="17" t="s">
        <v>547</v>
      </c>
      <c r="D32" s="160">
        <v>-7403.94</v>
      </c>
      <c r="E32" s="254">
        <f t="shared" si="27"/>
        <v>-2.3053774267220939E-2</v>
      </c>
      <c r="F32" s="160">
        <v>594.83000000000004</v>
      </c>
      <c r="G32" s="254">
        <f t="shared" si="17"/>
        <v>1.6632723882494893E-3</v>
      </c>
      <c r="H32" s="142">
        <f>+D32-F32</f>
        <v>-7998.7699999999995</v>
      </c>
      <c r="I32" s="37">
        <v>-6604.25</v>
      </c>
      <c r="J32" s="254">
        <f t="shared" si="19"/>
        <v>-3.2778759294491214E-2</v>
      </c>
      <c r="K32" s="142">
        <f>+D32-I32</f>
        <v>-799.6899999999996</v>
      </c>
      <c r="L32" s="75"/>
      <c r="M32" s="159">
        <v>-45189.79</v>
      </c>
      <c r="N32" s="254">
        <f t="shared" si="35"/>
        <v>-2.0814891640551433E-2</v>
      </c>
      <c r="O32" s="160">
        <v>2746.79</v>
      </c>
      <c r="P32" s="254">
        <f t="shared" si="36"/>
        <v>1.0534366426522149E-3</v>
      </c>
      <c r="Q32" s="142">
        <f>+M32-O32</f>
        <v>-47936.58</v>
      </c>
      <c r="R32" s="37">
        <v>-16743.48</v>
      </c>
      <c r="S32" s="254">
        <f t="shared" si="37"/>
        <v>-1.2007684784010191E-2</v>
      </c>
      <c r="T32" s="142">
        <f>+M32-R32</f>
        <v>-28446.31</v>
      </c>
    </row>
    <row r="33" spans="2:20" x14ac:dyDescent="0.25">
      <c r="B33" s="28" t="s">
        <v>670</v>
      </c>
      <c r="C33" s="22" t="s">
        <v>548</v>
      </c>
      <c r="D33" s="104">
        <f t="shared" ref="D33" si="38">SUM(D29:D32)</f>
        <v>39620.479999999996</v>
      </c>
      <c r="E33" s="147">
        <f t="shared" si="27"/>
        <v>0.12336696438368516</v>
      </c>
      <c r="F33" s="104">
        <f t="shared" ref="F33" si="39">SUM(F29:F32)</f>
        <v>64344.83</v>
      </c>
      <c r="G33" s="147">
        <f t="shared" si="17"/>
        <v>0.17992195932553401</v>
      </c>
      <c r="H33" s="155">
        <f>+D33-F33</f>
        <v>-24724.350000000006</v>
      </c>
      <c r="I33" s="104">
        <f t="shared" ref="I33" si="40">SUM(I29:I32)</f>
        <v>29742.979999999996</v>
      </c>
      <c r="J33" s="147">
        <f t="shared" si="19"/>
        <v>0.14762281593229604</v>
      </c>
      <c r="K33" s="155">
        <f>+D33-I33</f>
        <v>9877.5</v>
      </c>
      <c r="L33" s="75"/>
      <c r="M33" s="153">
        <f t="shared" ref="M33" si="41">SUM(M29:M32)</f>
        <v>339343.11000000004</v>
      </c>
      <c r="N33" s="147">
        <f t="shared" si="35"/>
        <v>0.15630499862065581</v>
      </c>
      <c r="O33" s="104">
        <f t="shared" ref="O33" si="42">SUM(O29:O32)</f>
        <v>461596.79</v>
      </c>
      <c r="P33" s="147">
        <f t="shared" si="36"/>
        <v>0.17702954092473011</v>
      </c>
      <c r="Q33" s="155">
        <f>+M33-O33</f>
        <v>-122253.67999999993</v>
      </c>
      <c r="R33" s="104">
        <f t="shared" ref="R33" si="43">SUM(R29:R32)</f>
        <v>223816.78999999998</v>
      </c>
      <c r="S33" s="147">
        <f t="shared" si="37"/>
        <v>0.16051152231728436</v>
      </c>
      <c r="T33" s="155">
        <f>+M33-R33</f>
        <v>115526.32000000007</v>
      </c>
    </row>
    <row r="34" spans="2:20" x14ac:dyDescent="0.25">
      <c r="B34" s="28"/>
      <c r="C34" s="17"/>
      <c r="D34" s="310"/>
      <c r="E34" s="264"/>
      <c r="F34" s="251"/>
      <c r="G34" s="115"/>
      <c r="H34" s="267"/>
      <c r="I34" s="251"/>
      <c r="K34" s="170"/>
      <c r="L34" s="75"/>
      <c r="M34" s="265"/>
      <c r="N34" s="264"/>
      <c r="O34" s="251"/>
      <c r="P34" s="115"/>
      <c r="Q34" s="267"/>
      <c r="R34" s="251"/>
      <c r="T34" s="170"/>
    </row>
    <row r="35" spans="2:20" x14ac:dyDescent="0.25">
      <c r="B35" s="28" t="s">
        <v>12</v>
      </c>
      <c r="C35" s="22" t="s">
        <v>448</v>
      </c>
      <c r="D35" s="104">
        <f t="shared" ref="D35" si="44">+D27+D33</f>
        <v>321159.56</v>
      </c>
      <c r="E35" s="147">
        <f t="shared" si="27"/>
        <v>1</v>
      </c>
      <c r="F35" s="104">
        <f t="shared" ref="F35" si="45">+F27+F33</f>
        <v>357626.33</v>
      </c>
      <c r="G35" s="147">
        <f t="shared" si="17"/>
        <v>1</v>
      </c>
      <c r="H35" s="155">
        <f>+D35-F35</f>
        <v>-36466.770000000019</v>
      </c>
      <c r="I35" s="104">
        <f t="shared" ref="I35" si="46">+I27+I33</f>
        <v>201479.56</v>
      </c>
      <c r="J35" s="147">
        <f t="shared" si="19"/>
        <v>1</v>
      </c>
      <c r="K35" s="155">
        <f>+D35-I35</f>
        <v>119680</v>
      </c>
      <c r="L35" s="75"/>
      <c r="M35" s="153">
        <f t="shared" ref="M35" si="47">+M27+M33</f>
        <v>2171031.7200000002</v>
      </c>
      <c r="N35" s="147">
        <f t="shared" ref="N35" si="48">IFERROR(M35/M$35,"")</f>
        <v>1</v>
      </c>
      <c r="O35" s="104">
        <f t="shared" ref="O35" si="49">+O27+O33</f>
        <v>2607456.29</v>
      </c>
      <c r="P35" s="147">
        <f t="shared" ref="P35" si="50">IFERROR(O35/O$35,"")</f>
        <v>1</v>
      </c>
      <c r="Q35" s="155">
        <f>+M35-O35</f>
        <v>-436424.56999999983</v>
      </c>
      <c r="R35" s="104">
        <f t="shared" ref="R35" si="51">+R27+R33</f>
        <v>1394397.0299999998</v>
      </c>
      <c r="S35" s="147">
        <f t="shared" ref="S35" si="52">IFERROR(R35/R$35,"")</f>
        <v>1</v>
      </c>
      <c r="T35" s="155">
        <f>+M35-R35</f>
        <v>776634.69000000041</v>
      </c>
    </row>
    <row r="36" spans="2:20" x14ac:dyDescent="0.25">
      <c r="B36" s="28"/>
      <c r="C36" s="16"/>
      <c r="D36" s="242"/>
      <c r="E36" s="54"/>
      <c r="F36" s="261"/>
      <c r="G36" s="262"/>
      <c r="H36" s="50"/>
      <c r="I36" s="261"/>
      <c r="J36" s="262"/>
      <c r="K36" s="50"/>
      <c r="L36" s="75"/>
      <c r="M36" s="241"/>
      <c r="N36" s="54"/>
      <c r="O36" s="261"/>
      <c r="P36" s="262"/>
      <c r="Q36" s="50"/>
      <c r="R36" s="261"/>
      <c r="S36" s="262"/>
      <c r="T36" s="50"/>
    </row>
    <row r="37" spans="2:20" x14ac:dyDescent="0.25">
      <c r="B37" s="28"/>
      <c r="C37" s="15" t="s">
        <v>549</v>
      </c>
      <c r="D37" s="49"/>
      <c r="E37" s="54"/>
      <c r="F37" s="49"/>
      <c r="G37" s="32"/>
      <c r="H37" s="50"/>
      <c r="I37" s="49"/>
      <c r="J37" s="32"/>
      <c r="K37" s="50"/>
      <c r="L37" s="75"/>
      <c r="M37" s="16"/>
      <c r="N37" s="54"/>
      <c r="O37" s="49"/>
      <c r="P37" s="32"/>
      <c r="Q37" s="50"/>
      <c r="R37" s="49"/>
      <c r="S37" s="32"/>
      <c r="T37" s="50"/>
    </row>
    <row r="38" spans="2:20" x14ac:dyDescent="0.25">
      <c r="B38" s="28"/>
      <c r="C38" s="22" t="s">
        <v>550</v>
      </c>
      <c r="D38" s="49"/>
      <c r="E38" s="54"/>
      <c r="F38" s="78"/>
      <c r="G38" s="100"/>
      <c r="H38" s="50"/>
      <c r="I38" s="78"/>
      <c r="J38" s="100"/>
      <c r="K38" s="50"/>
      <c r="L38" s="75"/>
      <c r="M38" s="16"/>
      <c r="N38" s="54"/>
      <c r="O38" s="78"/>
      <c r="P38" s="100"/>
      <c r="Q38" s="50"/>
      <c r="R38" s="78"/>
      <c r="S38" s="100"/>
      <c r="T38" s="50"/>
    </row>
    <row r="39" spans="2:20" x14ac:dyDescent="0.25">
      <c r="B39" s="28" t="s">
        <v>628</v>
      </c>
      <c r="C39" s="17" t="s">
        <v>551</v>
      </c>
      <c r="D39" s="37">
        <v>68767.350000000006</v>
      </c>
      <c r="E39" s="52">
        <f>IFERROR(D39/D$17,"")</f>
        <v>0.33010767099559457</v>
      </c>
      <c r="F39" s="37">
        <v>54290.92</v>
      </c>
      <c r="G39" s="52">
        <f>IFERROR(F39/F$17,"")</f>
        <v>0.29966852663336863</v>
      </c>
      <c r="H39" s="138">
        <f>+D39-F39</f>
        <v>14476.430000000008</v>
      </c>
      <c r="I39" s="37">
        <v>41581.65</v>
      </c>
      <c r="J39" s="52">
        <f>IFERROR(I39/I$17,"")</f>
        <v>0.33974023567461009</v>
      </c>
      <c r="K39" s="138">
        <f>+D39-I39</f>
        <v>27185.700000000004</v>
      </c>
      <c r="L39" s="75"/>
      <c r="M39" s="90">
        <v>398218.56</v>
      </c>
      <c r="N39" s="52">
        <f>IFERROR(M39/M$17,"")</f>
        <v>0.30087710049291455</v>
      </c>
      <c r="O39" s="37">
        <v>397320.12</v>
      </c>
      <c r="P39" s="52">
        <f>IFERROR(O39/O$17,"")</f>
        <v>0.29968401719590776</v>
      </c>
      <c r="Q39" s="138">
        <f>+M39-O39</f>
        <v>898.44000000000233</v>
      </c>
      <c r="R39" s="37">
        <v>284079.56</v>
      </c>
      <c r="S39" s="52">
        <f>IFERROR(R39/R$17,"")</f>
        <v>0.35651930148764838</v>
      </c>
      <c r="T39" s="138">
        <f>+M39-R39</f>
        <v>114139</v>
      </c>
    </row>
    <row r="40" spans="2:20" x14ac:dyDescent="0.25">
      <c r="B40" s="28" t="s">
        <v>621</v>
      </c>
      <c r="C40" s="17" t="s">
        <v>552</v>
      </c>
      <c r="D40" s="107">
        <v>11871.81</v>
      </c>
      <c r="E40" s="146">
        <f>+IFERROR(D40/D$25,"")</f>
        <v>0.16193732630538824</v>
      </c>
      <c r="F40" s="107">
        <v>20341.43</v>
      </c>
      <c r="G40" s="146">
        <f>+IFERROR(F40/F$25,"")</f>
        <v>0.1814391357753467</v>
      </c>
      <c r="H40" s="154">
        <f>+D40-F40</f>
        <v>-8469.6200000000008</v>
      </c>
      <c r="I40" s="37">
        <v>6632.19</v>
      </c>
      <c r="J40" s="146">
        <f>+IFERROR(I40/I$25,"")</f>
        <v>0.13300824258468202</v>
      </c>
      <c r="K40" s="154">
        <f>+D40-I40</f>
        <v>5239.62</v>
      </c>
      <c r="L40" s="75"/>
      <c r="M40" s="158">
        <v>92026.84</v>
      </c>
      <c r="N40" s="146">
        <f>+IFERROR(M40/M$25,"")</f>
        <v>0.18078858038588516</v>
      </c>
      <c r="O40" s="107">
        <v>148696.72</v>
      </c>
      <c r="P40" s="146">
        <f>+IFERROR(O40/O$25,"")</f>
        <v>0.18132360542639991</v>
      </c>
      <c r="Q40" s="154">
        <f>+M40-O40</f>
        <v>-56669.880000000005</v>
      </c>
      <c r="R40" s="37">
        <v>78679.77</v>
      </c>
      <c r="S40" s="146">
        <f>+IFERROR(R40/R$25,"")</f>
        <v>0.210189182839077</v>
      </c>
      <c r="T40" s="154">
        <f>+M40-R40</f>
        <v>13347.069999999992</v>
      </c>
    </row>
    <row r="41" spans="2:20" x14ac:dyDescent="0.25">
      <c r="B41" s="28" t="s">
        <v>95</v>
      </c>
      <c r="C41" s="23" t="s">
        <v>553</v>
      </c>
      <c r="D41" s="104">
        <f t="shared" ref="D41" si="53">+SUM(D39:D40)</f>
        <v>80639.16</v>
      </c>
      <c r="E41" s="147">
        <f>+IFERROR(D41/D$27,"")</f>
        <v>0.28642261671097313</v>
      </c>
      <c r="F41" s="104">
        <f t="shared" ref="F41" si="54">+SUM(F39:F40)</f>
        <v>74632.350000000006</v>
      </c>
      <c r="G41" s="147">
        <f>+IFERROR(F41/F$27,"")</f>
        <v>0.25447343252131488</v>
      </c>
      <c r="H41" s="155">
        <f>+D41-F41</f>
        <v>6006.8099999999977</v>
      </c>
      <c r="I41" s="104">
        <f t="shared" ref="I41" si="55">+SUM(I39:I40)</f>
        <v>48213.840000000004</v>
      </c>
      <c r="J41" s="147">
        <f>+IFERROR(I41/I$27,"")</f>
        <v>0.28074298440087725</v>
      </c>
      <c r="K41" s="155">
        <f>+D41-I41</f>
        <v>32425.32</v>
      </c>
      <c r="L41" s="75"/>
      <c r="M41" s="153">
        <f t="shared" ref="M41" si="56">+SUM(M39:M40)</f>
        <v>490245.4</v>
      </c>
      <c r="N41" s="147">
        <f>+IFERROR(M41/M$27,"")</f>
        <v>0.26764669350649073</v>
      </c>
      <c r="O41" s="104">
        <f t="shared" ref="O41" si="57">+SUM(O39:O40)</f>
        <v>546016.84</v>
      </c>
      <c r="P41" s="147">
        <f>+IFERROR(O41/O$27,"")</f>
        <v>0.25445134688454674</v>
      </c>
      <c r="Q41" s="155">
        <f>+M41-O41</f>
        <v>-55771.439999999944</v>
      </c>
      <c r="R41" s="104">
        <f t="shared" ref="R41" si="58">+SUM(R39:R40)</f>
        <v>362759.33</v>
      </c>
      <c r="S41" s="147">
        <f>+IFERROR(R41/R$27,"")</f>
        <v>0.30989702166850186</v>
      </c>
      <c r="T41" s="155">
        <f>+M41-R41</f>
        <v>127486.07</v>
      </c>
    </row>
    <row r="42" spans="2:20" x14ac:dyDescent="0.25">
      <c r="B42" s="28"/>
      <c r="C42" s="23" t="s">
        <v>554</v>
      </c>
      <c r="D42" s="251"/>
      <c r="E42" s="255"/>
      <c r="F42" s="251"/>
      <c r="G42" s="266"/>
      <c r="H42" s="170"/>
      <c r="I42" s="251"/>
      <c r="J42" s="266"/>
      <c r="K42" s="170"/>
      <c r="L42" s="298"/>
      <c r="M42" s="250"/>
      <c r="N42" s="255"/>
      <c r="O42" s="251"/>
      <c r="P42" s="266"/>
      <c r="Q42" s="170"/>
      <c r="R42" s="251"/>
      <c r="S42" s="266"/>
      <c r="T42" s="170"/>
    </row>
    <row r="43" spans="2:20" x14ac:dyDescent="0.25">
      <c r="B43" s="28" t="s">
        <v>99</v>
      </c>
      <c r="C43" s="17" t="s">
        <v>555</v>
      </c>
      <c r="D43" s="107">
        <v>3359.81</v>
      </c>
      <c r="E43" s="256">
        <f>+IFERROR(D43/D$33,"")</f>
        <v>8.4799830794578979E-2</v>
      </c>
      <c r="F43" s="107">
        <v>393.27</v>
      </c>
      <c r="G43" s="249">
        <f>+IFERROR(F43/F$33,"")</f>
        <v>6.1119129540011218E-3</v>
      </c>
      <c r="H43" s="154">
        <f>+D43-F43</f>
        <v>2966.54</v>
      </c>
      <c r="I43" s="37">
        <v>1371.86</v>
      </c>
      <c r="J43" s="256">
        <f>+IFERROR(I43/I$33,"")</f>
        <v>4.6123824848754227E-2</v>
      </c>
      <c r="K43" s="154">
        <f>+D43-I43</f>
        <v>1987.95</v>
      </c>
      <c r="L43" s="75"/>
      <c r="M43" s="158">
        <v>17396.95</v>
      </c>
      <c r="N43" s="256">
        <f>+IFERROR(M43/M$33,"")</f>
        <v>5.1266548479502051E-2</v>
      </c>
      <c r="O43" s="107">
        <v>2743.29</v>
      </c>
      <c r="P43" s="249">
        <f>+IFERROR(O43/O$33,"")</f>
        <v>5.9430439280134511E-3</v>
      </c>
      <c r="Q43" s="154">
        <f>+M43-O43</f>
        <v>14653.66</v>
      </c>
      <c r="R43" s="37">
        <v>11439.7</v>
      </c>
      <c r="S43" s="256">
        <f>+IFERROR(R43/R$33,"")</f>
        <v>5.1111893794920399E-2</v>
      </c>
      <c r="T43" s="154">
        <f>+M43-R43</f>
        <v>5957.25</v>
      </c>
    </row>
    <row r="44" spans="2:20" x14ac:dyDescent="0.25">
      <c r="B44" s="28" t="s">
        <v>256</v>
      </c>
      <c r="C44" s="23" t="s">
        <v>556</v>
      </c>
      <c r="D44" s="104">
        <f t="shared" ref="D44" si="59">+D41+D43</f>
        <v>83998.97</v>
      </c>
      <c r="E44" s="147">
        <f>IFERROR(D44/D$35,"")</f>
        <v>0.26154902566188598</v>
      </c>
      <c r="F44" s="104">
        <f t="shared" ref="F44" si="60">+F41+F43</f>
        <v>75025.62000000001</v>
      </c>
      <c r="G44" s="147">
        <f>IFERROR(F44/F$35,"")</f>
        <v>0.20978774129969682</v>
      </c>
      <c r="H44" s="155">
        <f>+D44-F44</f>
        <v>8973.3499999999913</v>
      </c>
      <c r="I44" s="104">
        <f t="shared" ref="I44" si="61">+I41+I43</f>
        <v>49585.700000000004</v>
      </c>
      <c r="J44" s="147">
        <f>IFERROR(I44/I$35,"")</f>
        <v>0.24610784339612418</v>
      </c>
      <c r="K44" s="155">
        <f>+D44-I44</f>
        <v>34413.269999999997</v>
      </c>
      <c r="L44" s="75"/>
      <c r="M44" s="153">
        <f t="shared" ref="M44" si="62">+M41+M43</f>
        <v>507642.35000000003</v>
      </c>
      <c r="N44" s="147">
        <f>IFERROR(M44/M$35,"")</f>
        <v>0.23382539523650994</v>
      </c>
      <c r="O44" s="104">
        <f t="shared" ref="O44" si="63">+O41+O43</f>
        <v>548760.13</v>
      </c>
      <c r="P44" s="147">
        <f>IFERROR(O44/O$35,"")</f>
        <v>0.21045803609616789</v>
      </c>
      <c r="Q44" s="155">
        <f>+M44-O44</f>
        <v>-41117.77999999997</v>
      </c>
      <c r="R44" s="104">
        <f t="shared" ref="R44" si="64">+R41+R43</f>
        <v>374199.03</v>
      </c>
      <c r="S44" s="147">
        <f>IFERROR(R44/R$35,"")</f>
        <v>0.26835902684044016</v>
      </c>
      <c r="T44" s="155">
        <f>+M44-R44</f>
        <v>133443.32</v>
      </c>
    </row>
    <row r="45" spans="2:20" x14ac:dyDescent="0.25">
      <c r="B45" s="14"/>
      <c r="D45" s="245"/>
      <c r="E45" s="35"/>
      <c r="F45" s="245"/>
      <c r="G45" s="35"/>
      <c r="H45" s="247"/>
      <c r="I45" s="245"/>
      <c r="J45" s="35"/>
      <c r="K45" s="246"/>
      <c r="L45" s="75"/>
      <c r="N45" s="35"/>
      <c r="O45" s="245"/>
      <c r="P45" s="35"/>
      <c r="Q45" s="247"/>
      <c r="R45" s="245"/>
      <c r="S45" s="35"/>
      <c r="T45" s="246"/>
    </row>
    <row r="46" spans="2:20" x14ac:dyDescent="0.25">
      <c r="B46" s="28"/>
      <c r="C46" s="18" t="s">
        <v>557</v>
      </c>
      <c r="D46" s="68">
        <f t="shared" ref="D46" si="65">+D35-D44</f>
        <v>237160.59</v>
      </c>
      <c r="E46" s="147">
        <f>IFERROR(D46/D$35,"")</f>
        <v>0.73845097433811402</v>
      </c>
      <c r="F46" s="68">
        <f t="shared" ref="F46" si="66">+F35-F44</f>
        <v>282600.71000000002</v>
      </c>
      <c r="G46" s="147">
        <f>IFERROR(F46/F$35,"")</f>
        <v>0.79021225870030321</v>
      </c>
      <c r="H46" s="234">
        <f>+D46-F46</f>
        <v>-45440.120000000024</v>
      </c>
      <c r="I46" s="68">
        <f t="shared" ref="I46" si="67">+I35-I44</f>
        <v>151893.85999999999</v>
      </c>
      <c r="J46" s="147">
        <f>IFERROR(I46/I$35,"")</f>
        <v>0.75389215660387576</v>
      </c>
      <c r="K46" s="234">
        <f>+D46-I46</f>
        <v>85266.73000000001</v>
      </c>
      <c r="L46" s="75"/>
      <c r="M46" s="233">
        <f t="shared" ref="M46" si="68">+M35-M44</f>
        <v>1663389.37</v>
      </c>
      <c r="N46" s="147">
        <f>IFERROR(M46/M$35,"")</f>
        <v>0.76617460476349009</v>
      </c>
      <c r="O46" s="68">
        <f t="shared" ref="O46" si="69">+O35-O44</f>
        <v>2058696.1600000001</v>
      </c>
      <c r="P46" s="147">
        <f>IFERROR(O46/O$35,"")</f>
        <v>0.78954196390383213</v>
      </c>
      <c r="Q46" s="234">
        <f>+M46-O46</f>
        <v>-395306.79000000004</v>
      </c>
      <c r="R46" s="68">
        <f t="shared" ref="R46" si="70">+R35-R44</f>
        <v>1020197.9999999998</v>
      </c>
      <c r="S46" s="147">
        <f>IFERROR(R46/R$35,"")</f>
        <v>0.73164097315955978</v>
      </c>
      <c r="T46" s="234">
        <f>+M46-R46</f>
        <v>643191.37000000034</v>
      </c>
    </row>
    <row r="47" spans="2:20" x14ac:dyDescent="0.25">
      <c r="B47" s="28"/>
      <c r="C47" s="16"/>
      <c r="D47" s="242"/>
      <c r="E47" s="54"/>
      <c r="F47" s="242"/>
      <c r="G47" s="32"/>
      <c r="H47" s="103"/>
      <c r="I47" s="242"/>
      <c r="J47" s="32"/>
      <c r="K47" s="103"/>
      <c r="L47" s="75"/>
      <c r="M47" s="241"/>
      <c r="N47" s="54"/>
      <c r="O47" s="242"/>
      <c r="P47" s="32"/>
      <c r="Q47" s="103"/>
      <c r="R47" s="242"/>
      <c r="S47" s="32"/>
      <c r="T47" s="103"/>
    </row>
    <row r="48" spans="2:20" x14ac:dyDescent="0.25">
      <c r="B48" s="28"/>
      <c r="C48" s="15" t="s">
        <v>405</v>
      </c>
      <c r="D48" s="49"/>
      <c r="E48" s="257"/>
      <c r="F48" s="243"/>
      <c r="G48" s="259"/>
      <c r="H48" s="50"/>
      <c r="I48" s="243"/>
      <c r="J48" s="259"/>
      <c r="K48" s="50"/>
      <c r="L48" s="75"/>
      <c r="M48" s="16"/>
      <c r="N48" s="257"/>
      <c r="O48" s="243"/>
      <c r="P48" s="259"/>
      <c r="Q48" s="50"/>
      <c r="R48" s="243"/>
      <c r="S48" s="259"/>
      <c r="T48" s="50"/>
    </row>
    <row r="49" spans="2:20" x14ac:dyDescent="0.25">
      <c r="B49" s="28"/>
      <c r="C49" s="22" t="s">
        <v>406</v>
      </c>
      <c r="D49" s="49"/>
      <c r="E49" s="54"/>
      <c r="F49" s="78"/>
      <c r="G49" s="32"/>
      <c r="H49" s="102"/>
      <c r="I49" s="78"/>
      <c r="J49" s="32"/>
      <c r="K49" s="102"/>
      <c r="L49" s="75"/>
      <c r="M49" s="16"/>
      <c r="N49" s="54"/>
      <c r="O49" s="78"/>
      <c r="P49" s="32"/>
      <c r="Q49" s="102"/>
      <c r="R49" s="78"/>
      <c r="S49" s="32"/>
      <c r="T49" s="102"/>
    </row>
    <row r="50" spans="2:20" x14ac:dyDescent="0.25">
      <c r="B50" s="28" t="s">
        <v>622</v>
      </c>
      <c r="C50" s="17" t="s">
        <v>407</v>
      </c>
      <c r="D50" s="37">
        <v>0</v>
      </c>
      <c r="E50" s="52">
        <f>IFERROR(D50/D$35,"")</f>
        <v>0</v>
      </c>
      <c r="F50" s="37">
        <v>0</v>
      </c>
      <c r="G50" s="52">
        <f>IFERROR(F50/F$35,"")</f>
        <v>0</v>
      </c>
      <c r="H50" s="138">
        <f>+D50-F50</f>
        <v>0</v>
      </c>
      <c r="I50" s="37">
        <v>0</v>
      </c>
      <c r="J50" s="52">
        <f>IFERROR(I50/I$35,"")</f>
        <v>0</v>
      </c>
      <c r="K50" s="138">
        <f>+D50-I50</f>
        <v>0</v>
      </c>
      <c r="L50" s="75"/>
      <c r="M50" s="90">
        <v>0</v>
      </c>
      <c r="N50" s="52">
        <f>IFERROR(M50/M$35,"")</f>
        <v>0</v>
      </c>
      <c r="O50" s="37">
        <v>0</v>
      </c>
      <c r="P50" s="52">
        <f>IFERROR(O50/O$35,"")</f>
        <v>0</v>
      </c>
      <c r="Q50" s="138">
        <f>+M50-O50</f>
        <v>0</v>
      </c>
      <c r="R50" s="37">
        <v>0</v>
      </c>
      <c r="S50" s="52">
        <f>IFERROR(R50/R$35,"")</f>
        <v>0</v>
      </c>
      <c r="T50" s="138">
        <f>+M50-R50</f>
        <v>0</v>
      </c>
    </row>
    <row r="51" spans="2:20" x14ac:dyDescent="0.25">
      <c r="B51" s="28"/>
      <c r="C51" s="18" t="s">
        <v>408</v>
      </c>
      <c r="D51" s="252"/>
      <c r="E51" s="258"/>
      <c r="F51" s="252"/>
      <c r="G51" s="258"/>
      <c r="H51" s="248"/>
      <c r="I51" s="252"/>
      <c r="J51" s="258"/>
      <c r="K51" s="253"/>
      <c r="L51" s="75"/>
      <c r="M51" s="248"/>
      <c r="N51" s="258"/>
      <c r="O51" s="252"/>
      <c r="P51" s="258"/>
      <c r="Q51" s="248"/>
      <c r="R51" s="252"/>
      <c r="S51" s="258"/>
      <c r="T51" s="253"/>
    </row>
    <row r="52" spans="2:20" x14ac:dyDescent="0.25">
      <c r="B52" s="28" t="s">
        <v>655</v>
      </c>
      <c r="C52" s="17" t="s">
        <v>408</v>
      </c>
      <c r="D52" s="37">
        <v>100082.68</v>
      </c>
      <c r="E52" s="52">
        <f t="shared" ref="E52" si="71">IFERROR(D52/D$35,"")</f>
        <v>0.31162914782919743</v>
      </c>
      <c r="F52" s="37">
        <v>66296.25</v>
      </c>
      <c r="G52" s="52">
        <f t="shared" ref="G52" si="72">IFERROR(F52/F$35,"")</f>
        <v>0.18537854860966194</v>
      </c>
      <c r="H52" s="138">
        <f t="shared" ref="H52:H63" si="73">+D52-F52</f>
        <v>33786.429999999993</v>
      </c>
      <c r="I52" s="37">
        <v>53859.53</v>
      </c>
      <c r="J52" s="52">
        <f t="shared" ref="J52" si="74">IFERROR(I52/I$35,"")</f>
        <v>0.26732006958919308</v>
      </c>
      <c r="K52" s="138">
        <f t="shared" ref="K52:K63" si="75">+D52-I52</f>
        <v>46223.149999999994</v>
      </c>
      <c r="L52" s="75"/>
      <c r="M52" s="90">
        <v>650355.82999999996</v>
      </c>
      <c r="N52" s="52">
        <f t="shared" ref="N52:N63" si="76">IFERROR(M52/M$35,"")</f>
        <v>0.29956072221736119</v>
      </c>
      <c r="O52" s="37">
        <v>483333.75</v>
      </c>
      <c r="P52" s="52">
        <f t="shared" ref="P52:P63" si="77">IFERROR(O52/O$35,"")</f>
        <v>0.18536600281801846</v>
      </c>
      <c r="Q52" s="138">
        <f t="shared" ref="Q52:Q63" si="78">+M52-O52</f>
        <v>167022.07999999996</v>
      </c>
      <c r="R52" s="37">
        <v>334123.65000000002</v>
      </c>
      <c r="S52" s="52">
        <f t="shared" ref="S52:S63" si="79">IFERROR(R52/R$35,"")</f>
        <v>0.23961873326709543</v>
      </c>
      <c r="T52" s="138">
        <f t="shared" ref="T52:T63" si="80">+M52-R52</f>
        <v>316232.17999999993</v>
      </c>
    </row>
    <row r="53" spans="2:20" x14ac:dyDescent="0.25">
      <c r="B53" s="28" t="s">
        <v>656</v>
      </c>
      <c r="C53" s="17" t="s">
        <v>708</v>
      </c>
      <c r="D53" s="107">
        <v>0</v>
      </c>
      <c r="E53" s="146">
        <f t="shared" ref="E53:E63" si="81">IFERROR(D53/D$35,"")</f>
        <v>0</v>
      </c>
      <c r="F53" s="107">
        <v>0</v>
      </c>
      <c r="G53" s="146">
        <f t="shared" ref="G53:G63" si="82">IFERROR(F53/F$35,"")</f>
        <v>0</v>
      </c>
      <c r="H53" s="154">
        <f t="shared" si="73"/>
        <v>0</v>
      </c>
      <c r="I53" s="37">
        <v>0</v>
      </c>
      <c r="J53" s="146">
        <f t="shared" ref="J53:J63" si="83">IFERROR(I53/I$35,"")</f>
        <v>0</v>
      </c>
      <c r="K53" s="154">
        <f t="shared" si="75"/>
        <v>0</v>
      </c>
      <c r="L53" s="75"/>
      <c r="M53" s="158">
        <v>0</v>
      </c>
      <c r="N53" s="146">
        <f t="shared" si="76"/>
        <v>0</v>
      </c>
      <c r="O53" s="107">
        <v>0</v>
      </c>
      <c r="P53" s="146">
        <f t="shared" si="77"/>
        <v>0</v>
      </c>
      <c r="Q53" s="154">
        <f t="shared" si="78"/>
        <v>0</v>
      </c>
      <c r="R53" s="37">
        <v>0</v>
      </c>
      <c r="S53" s="146">
        <f t="shared" si="79"/>
        <v>0</v>
      </c>
      <c r="T53" s="154">
        <f t="shared" si="80"/>
        <v>0</v>
      </c>
    </row>
    <row r="54" spans="2:20" x14ac:dyDescent="0.25">
      <c r="B54" s="28" t="s">
        <v>673</v>
      </c>
      <c r="C54" s="23" t="s">
        <v>411</v>
      </c>
      <c r="D54" s="104">
        <f t="shared" ref="D54" si="84">+D50+D52+D53</f>
        <v>100082.68</v>
      </c>
      <c r="E54" s="147">
        <f t="shared" si="81"/>
        <v>0.31162914782919743</v>
      </c>
      <c r="F54" s="104">
        <f t="shared" ref="F54" si="85">+F50+F52+F53</f>
        <v>66296.25</v>
      </c>
      <c r="G54" s="147">
        <f t="shared" si="82"/>
        <v>0.18537854860966194</v>
      </c>
      <c r="H54" s="155">
        <f t="shared" si="73"/>
        <v>33786.429999999993</v>
      </c>
      <c r="I54" s="104">
        <f t="shared" ref="I54" si="86">+I50+I52+I53</f>
        <v>53859.53</v>
      </c>
      <c r="J54" s="147">
        <f t="shared" si="83"/>
        <v>0.26732006958919308</v>
      </c>
      <c r="K54" s="155">
        <f t="shared" si="75"/>
        <v>46223.149999999994</v>
      </c>
      <c r="L54" s="75"/>
      <c r="M54" s="153">
        <f t="shared" ref="M54" si="87">+M50+M52+M53</f>
        <v>650355.82999999996</v>
      </c>
      <c r="N54" s="147">
        <f t="shared" si="76"/>
        <v>0.29956072221736119</v>
      </c>
      <c r="O54" s="104">
        <f t="shared" ref="O54" si="88">+O50+O52+O53</f>
        <v>483333.75</v>
      </c>
      <c r="P54" s="147">
        <f t="shared" si="77"/>
        <v>0.18536600281801846</v>
      </c>
      <c r="Q54" s="155">
        <f t="shared" si="78"/>
        <v>167022.07999999996</v>
      </c>
      <c r="R54" s="104">
        <f t="shared" ref="R54" si="89">+R50+R52+R53</f>
        <v>334123.65000000002</v>
      </c>
      <c r="S54" s="147">
        <f t="shared" si="79"/>
        <v>0.23961873326709543</v>
      </c>
      <c r="T54" s="155">
        <f t="shared" si="80"/>
        <v>316232.17999999993</v>
      </c>
    </row>
    <row r="55" spans="2:20" x14ac:dyDescent="0.25">
      <c r="B55" s="28" t="s">
        <v>304</v>
      </c>
      <c r="C55" s="17" t="s">
        <v>558</v>
      </c>
      <c r="D55" s="107">
        <v>34079.57</v>
      </c>
      <c r="E55" s="146">
        <f t="shared" si="81"/>
        <v>0.10611413840522138</v>
      </c>
      <c r="F55" s="107">
        <v>49087.5</v>
      </c>
      <c r="G55" s="146">
        <f t="shared" si="82"/>
        <v>0.13725918894170908</v>
      </c>
      <c r="H55" s="154">
        <f t="shared" si="73"/>
        <v>-15007.93</v>
      </c>
      <c r="I55" s="37">
        <v>26009.11</v>
      </c>
      <c r="J55" s="146">
        <f t="shared" si="83"/>
        <v>0.12909056382692122</v>
      </c>
      <c r="K55" s="154">
        <f t="shared" si="75"/>
        <v>8070.4599999999991</v>
      </c>
      <c r="L55" s="75"/>
      <c r="M55" s="158">
        <v>247688.01</v>
      </c>
      <c r="N55" s="146">
        <f t="shared" si="76"/>
        <v>0.11408769743815626</v>
      </c>
      <c r="O55" s="107">
        <v>359422.5</v>
      </c>
      <c r="P55" s="146">
        <f t="shared" si="77"/>
        <v>0.13784411319892154</v>
      </c>
      <c r="Q55" s="154">
        <f t="shared" si="78"/>
        <v>-111734.48999999999</v>
      </c>
      <c r="R55" s="37">
        <v>165751.72</v>
      </c>
      <c r="S55" s="146">
        <f t="shared" si="79"/>
        <v>0.11886981715673908</v>
      </c>
      <c r="T55" s="154">
        <f t="shared" si="80"/>
        <v>81936.290000000008</v>
      </c>
    </row>
    <row r="56" spans="2:20" x14ac:dyDescent="0.25">
      <c r="B56" s="28" t="s">
        <v>254</v>
      </c>
      <c r="C56" s="17" t="s">
        <v>412</v>
      </c>
      <c r="D56" s="37">
        <v>0</v>
      </c>
      <c r="E56" s="52">
        <f t="shared" si="81"/>
        <v>0</v>
      </c>
      <c r="F56" s="37">
        <v>23572</v>
      </c>
      <c r="G56" s="52">
        <f t="shared" si="82"/>
        <v>6.5912372838990901E-2</v>
      </c>
      <c r="H56" s="138">
        <f t="shared" si="73"/>
        <v>-23572</v>
      </c>
      <c r="I56" s="37">
        <v>36335.410000000003</v>
      </c>
      <c r="J56" s="52">
        <f t="shared" si="83"/>
        <v>0.18034290922612697</v>
      </c>
      <c r="K56" s="138">
        <f t="shared" si="75"/>
        <v>-36335.410000000003</v>
      </c>
      <c r="L56" s="75"/>
      <c r="M56" s="90">
        <v>0</v>
      </c>
      <c r="N56" s="52">
        <f t="shared" si="76"/>
        <v>0</v>
      </c>
      <c r="O56" s="37">
        <v>171852</v>
      </c>
      <c r="P56" s="52">
        <f t="shared" si="77"/>
        <v>6.590791211307323E-2</v>
      </c>
      <c r="Q56" s="138">
        <f t="shared" si="78"/>
        <v>-171852</v>
      </c>
      <c r="R56" s="37">
        <v>186373.61</v>
      </c>
      <c r="S56" s="52">
        <f t="shared" si="79"/>
        <v>0.13365892639630766</v>
      </c>
      <c r="T56" s="138">
        <f t="shared" si="80"/>
        <v>-186373.61</v>
      </c>
    </row>
    <row r="57" spans="2:20" x14ac:dyDescent="0.25">
      <c r="B57" s="28" t="s">
        <v>248</v>
      </c>
      <c r="C57" s="17" t="s">
        <v>413</v>
      </c>
      <c r="D57" s="107">
        <v>0</v>
      </c>
      <c r="E57" s="146">
        <f t="shared" si="81"/>
        <v>0</v>
      </c>
      <c r="F57" s="107">
        <v>0</v>
      </c>
      <c r="G57" s="146">
        <f t="shared" si="82"/>
        <v>0</v>
      </c>
      <c r="H57" s="154">
        <f t="shared" si="73"/>
        <v>0</v>
      </c>
      <c r="I57" s="37">
        <v>0</v>
      </c>
      <c r="J57" s="146">
        <f t="shared" si="83"/>
        <v>0</v>
      </c>
      <c r="K57" s="154">
        <f t="shared" si="75"/>
        <v>0</v>
      </c>
      <c r="L57" s="75"/>
      <c r="M57" s="158">
        <v>0</v>
      </c>
      <c r="N57" s="146">
        <f t="shared" si="76"/>
        <v>0</v>
      </c>
      <c r="O57" s="107">
        <v>0</v>
      </c>
      <c r="P57" s="146">
        <f t="shared" si="77"/>
        <v>0</v>
      </c>
      <c r="Q57" s="154">
        <f t="shared" si="78"/>
        <v>0</v>
      </c>
      <c r="R57" s="37">
        <v>0</v>
      </c>
      <c r="S57" s="146">
        <f t="shared" si="79"/>
        <v>0</v>
      </c>
      <c r="T57" s="154">
        <f t="shared" si="80"/>
        <v>0</v>
      </c>
    </row>
    <row r="58" spans="2:20" x14ac:dyDescent="0.25">
      <c r="B58" s="28" t="s">
        <v>675</v>
      </c>
      <c r="C58" s="23" t="s">
        <v>414</v>
      </c>
      <c r="D58" s="104">
        <f t="shared" ref="D58" si="90">+D54+SUM(D55:D57)</f>
        <v>134162.25</v>
      </c>
      <c r="E58" s="147">
        <f t="shared" si="81"/>
        <v>0.41774328623441881</v>
      </c>
      <c r="F58" s="104">
        <f t="shared" ref="F58" si="91">+F54+SUM(F55:F57)</f>
        <v>138955.75</v>
      </c>
      <c r="G58" s="147">
        <f t="shared" si="82"/>
        <v>0.38855011039036191</v>
      </c>
      <c r="H58" s="155">
        <f t="shared" si="73"/>
        <v>-4793.5</v>
      </c>
      <c r="I58" s="104">
        <f t="shared" ref="I58" si="92">+I54+SUM(I55:I57)</f>
        <v>116204.05</v>
      </c>
      <c r="J58" s="147">
        <f t="shared" si="83"/>
        <v>0.57675354264224121</v>
      </c>
      <c r="K58" s="155">
        <f t="shared" si="75"/>
        <v>17958.199999999997</v>
      </c>
      <c r="L58" s="75"/>
      <c r="M58" s="153">
        <f t="shared" ref="M58" si="93">+M54+SUM(M55:M57)</f>
        <v>898043.84</v>
      </c>
      <c r="N58" s="147">
        <f t="shared" si="76"/>
        <v>0.41364841965551746</v>
      </c>
      <c r="O58" s="104">
        <f t="shared" ref="O58" si="94">+O54+SUM(O55:O57)</f>
        <v>1014608.25</v>
      </c>
      <c r="P58" s="147">
        <f t="shared" si="77"/>
        <v>0.38911802813001323</v>
      </c>
      <c r="Q58" s="155">
        <f t="shared" si="78"/>
        <v>-116564.41000000003</v>
      </c>
      <c r="R58" s="104">
        <f t="shared" ref="R58" si="95">+R54+SUM(R55:R57)</f>
        <v>686248.98</v>
      </c>
      <c r="S58" s="147">
        <f t="shared" si="79"/>
        <v>0.49214747682014215</v>
      </c>
      <c r="T58" s="155">
        <f t="shared" si="80"/>
        <v>211794.86</v>
      </c>
    </row>
    <row r="59" spans="2:20" x14ac:dyDescent="0.25">
      <c r="B59" s="28" t="s">
        <v>294</v>
      </c>
      <c r="C59" s="17" t="s">
        <v>415</v>
      </c>
      <c r="D59" s="107">
        <v>3009.42</v>
      </c>
      <c r="E59" s="146">
        <f t="shared" si="81"/>
        <v>9.370482385764883E-3</v>
      </c>
      <c r="F59" s="107">
        <v>9870.7749999999996</v>
      </c>
      <c r="G59" s="146">
        <f t="shared" si="82"/>
        <v>2.760080612632744E-2</v>
      </c>
      <c r="H59" s="154">
        <f t="shared" si="73"/>
        <v>-6861.3549999999996</v>
      </c>
      <c r="I59" s="37">
        <v>5417.08</v>
      </c>
      <c r="J59" s="146">
        <f t="shared" si="83"/>
        <v>2.6886499057274096E-2</v>
      </c>
      <c r="K59" s="154">
        <f t="shared" si="75"/>
        <v>-2407.66</v>
      </c>
      <c r="L59" s="75"/>
      <c r="M59" s="158">
        <v>34745.24</v>
      </c>
      <c r="N59" s="146">
        <f t="shared" si="76"/>
        <v>1.6004022271954643E-2</v>
      </c>
      <c r="O59" s="107">
        <v>71963.024999999994</v>
      </c>
      <c r="P59" s="146">
        <f t="shared" si="77"/>
        <v>2.7598938197349415E-2</v>
      </c>
      <c r="Q59" s="154">
        <f t="shared" si="78"/>
        <v>-37217.784999999996</v>
      </c>
      <c r="R59" s="37">
        <v>41718.81</v>
      </c>
      <c r="S59" s="146">
        <f t="shared" si="79"/>
        <v>2.9918889026893585E-2</v>
      </c>
      <c r="T59" s="154">
        <f t="shared" si="80"/>
        <v>-6973.57</v>
      </c>
    </row>
    <row r="60" spans="2:20" x14ac:dyDescent="0.25">
      <c r="B60" s="28" t="s">
        <v>306</v>
      </c>
      <c r="C60" s="17" t="s">
        <v>360</v>
      </c>
      <c r="D60" s="37">
        <v>0</v>
      </c>
      <c r="E60" s="52">
        <f t="shared" si="81"/>
        <v>0</v>
      </c>
      <c r="F60" s="37">
        <v>0</v>
      </c>
      <c r="G60" s="52">
        <f t="shared" si="82"/>
        <v>0</v>
      </c>
      <c r="H60" s="138">
        <f t="shared" si="73"/>
        <v>0</v>
      </c>
      <c r="I60" s="37">
        <v>0</v>
      </c>
      <c r="J60" s="52">
        <f t="shared" si="83"/>
        <v>0</v>
      </c>
      <c r="K60" s="138">
        <f t="shared" si="75"/>
        <v>0</v>
      </c>
      <c r="L60" s="75"/>
      <c r="M60" s="90">
        <v>0</v>
      </c>
      <c r="N60" s="52">
        <f t="shared" si="76"/>
        <v>0</v>
      </c>
      <c r="O60" s="37">
        <v>0</v>
      </c>
      <c r="P60" s="52">
        <f t="shared" si="77"/>
        <v>0</v>
      </c>
      <c r="Q60" s="138">
        <f t="shared" si="78"/>
        <v>0</v>
      </c>
      <c r="R60" s="37">
        <v>2493.94</v>
      </c>
      <c r="S60" s="52">
        <f t="shared" si="79"/>
        <v>1.7885436832865316E-3</v>
      </c>
      <c r="T60" s="138">
        <f t="shared" si="80"/>
        <v>-2493.94</v>
      </c>
    </row>
    <row r="61" spans="2:20" x14ac:dyDescent="0.25">
      <c r="B61" s="28" t="s">
        <v>266</v>
      </c>
      <c r="C61" s="17" t="s">
        <v>361</v>
      </c>
      <c r="D61" s="107">
        <v>736.14</v>
      </c>
      <c r="E61" s="146">
        <f t="shared" si="81"/>
        <v>2.2921316743614918E-3</v>
      </c>
      <c r="F61" s="107">
        <v>1762</v>
      </c>
      <c r="G61" s="146">
        <f t="shared" si="82"/>
        <v>4.926930296211691E-3</v>
      </c>
      <c r="H61" s="154">
        <f t="shared" si="73"/>
        <v>-1025.8600000000001</v>
      </c>
      <c r="I61" s="37">
        <v>766.98</v>
      </c>
      <c r="J61" s="146">
        <f t="shared" si="83"/>
        <v>3.8067385098518184E-3</v>
      </c>
      <c r="K61" s="154">
        <f t="shared" si="75"/>
        <v>-30.840000000000032</v>
      </c>
      <c r="L61" s="75"/>
      <c r="M61" s="158">
        <v>4806.54</v>
      </c>
      <c r="N61" s="146">
        <f t="shared" si="76"/>
        <v>2.2139427792423039E-3</v>
      </c>
      <c r="O61" s="107">
        <v>12855</v>
      </c>
      <c r="P61" s="146">
        <f t="shared" si="77"/>
        <v>4.9300922317666159E-3</v>
      </c>
      <c r="Q61" s="154">
        <f t="shared" si="78"/>
        <v>-8048.46</v>
      </c>
      <c r="R61" s="37">
        <v>8456.36</v>
      </c>
      <c r="S61" s="146">
        <f t="shared" si="79"/>
        <v>6.0645281208035863E-3</v>
      </c>
      <c r="T61" s="154">
        <f t="shared" si="80"/>
        <v>-3649.8200000000006</v>
      </c>
    </row>
    <row r="62" spans="2:20" x14ac:dyDescent="0.25">
      <c r="B62" s="28" t="s">
        <v>288</v>
      </c>
      <c r="C62" s="23" t="s">
        <v>416</v>
      </c>
      <c r="D62" s="143">
        <f t="shared" ref="D62" si="96">SUM(D59:D61)</f>
        <v>3745.56</v>
      </c>
      <c r="E62" s="131">
        <f t="shared" si="81"/>
        <v>1.1662614060126374E-2</v>
      </c>
      <c r="F62" s="143">
        <f t="shared" ref="F62" si="97">SUM(F59:F61)</f>
        <v>11632.775</v>
      </c>
      <c r="G62" s="131">
        <f t="shared" si="82"/>
        <v>3.252773642253913E-2</v>
      </c>
      <c r="H62" s="169">
        <f t="shared" si="73"/>
        <v>-7887.2150000000001</v>
      </c>
      <c r="I62" s="143">
        <f t="shared" ref="I62" si="98">SUM(I59:I61)</f>
        <v>6184.0599999999995</v>
      </c>
      <c r="J62" s="131">
        <f t="shared" si="83"/>
        <v>3.0693237567125914E-2</v>
      </c>
      <c r="K62" s="169">
        <f t="shared" si="75"/>
        <v>-2438.4999999999995</v>
      </c>
      <c r="L62" s="75"/>
      <c r="M62" s="134">
        <f t="shared" ref="M62" si="99">SUM(M59:M61)</f>
        <v>39551.78</v>
      </c>
      <c r="N62" s="131">
        <f t="shared" si="76"/>
        <v>1.8217965051196945E-2</v>
      </c>
      <c r="O62" s="143">
        <f t="shared" ref="O62" si="100">SUM(O59:O61)</f>
        <v>84818.024999999994</v>
      </c>
      <c r="P62" s="131">
        <f t="shared" si="77"/>
        <v>3.2529030429116028E-2</v>
      </c>
      <c r="Q62" s="169">
        <f t="shared" si="78"/>
        <v>-45266.244999999995</v>
      </c>
      <c r="R62" s="143">
        <f t="shared" ref="R62" si="101">SUM(R59:R61)</f>
        <v>52669.11</v>
      </c>
      <c r="S62" s="131">
        <f t="shared" si="79"/>
        <v>3.7771960830983706E-2</v>
      </c>
      <c r="T62" s="169">
        <f t="shared" si="80"/>
        <v>-13117.330000000002</v>
      </c>
    </row>
    <row r="63" spans="2:20" x14ac:dyDescent="0.25">
      <c r="B63" s="28" t="s">
        <v>273</v>
      </c>
      <c r="C63" s="23" t="s">
        <v>417</v>
      </c>
      <c r="D63" s="92">
        <f t="shared" ref="D63" si="102">+D58+D62</f>
        <v>137907.81</v>
      </c>
      <c r="E63" s="82">
        <f t="shared" si="81"/>
        <v>0.42940590029454517</v>
      </c>
      <c r="F63" s="92">
        <f t="shared" ref="F63" si="103">+F58+F62</f>
        <v>150588.52499999999</v>
      </c>
      <c r="G63" s="82">
        <f t="shared" si="82"/>
        <v>0.421077846812901</v>
      </c>
      <c r="H63" s="141">
        <f t="shared" si="73"/>
        <v>-12680.714999999997</v>
      </c>
      <c r="I63" s="92">
        <f t="shared" ref="I63" si="104">+I58+I62</f>
        <v>122388.11</v>
      </c>
      <c r="J63" s="82">
        <f t="shared" si="83"/>
        <v>0.60744678020936715</v>
      </c>
      <c r="K63" s="141">
        <f t="shared" si="75"/>
        <v>15519.699999999997</v>
      </c>
      <c r="L63" s="75"/>
      <c r="M63" s="87">
        <f t="shared" ref="M63" si="105">+M58+M62</f>
        <v>937595.62</v>
      </c>
      <c r="N63" s="82">
        <f t="shared" si="76"/>
        <v>0.4318663847067144</v>
      </c>
      <c r="O63" s="92">
        <f t="shared" ref="O63" si="106">+O58+O62</f>
        <v>1099426.2749999999</v>
      </c>
      <c r="P63" s="82">
        <f t="shared" si="77"/>
        <v>0.42164705855912926</v>
      </c>
      <c r="Q63" s="141">
        <f t="shared" si="78"/>
        <v>-161830.65499999991</v>
      </c>
      <c r="R63" s="92">
        <f t="shared" ref="R63" si="107">+R58+R62</f>
        <v>738918.09</v>
      </c>
      <c r="S63" s="82">
        <f t="shared" si="79"/>
        <v>0.52991943765112581</v>
      </c>
      <c r="T63" s="141">
        <f t="shared" si="80"/>
        <v>198677.53000000003</v>
      </c>
    </row>
    <row r="64" spans="2:20" x14ac:dyDescent="0.25">
      <c r="B64" s="28"/>
      <c r="C64" s="16"/>
      <c r="D64" s="242"/>
      <c r="E64" s="54"/>
      <c r="F64" s="260"/>
      <c r="G64" s="211"/>
      <c r="H64" s="50"/>
      <c r="I64" s="260"/>
      <c r="J64" s="211"/>
      <c r="K64" s="50"/>
      <c r="L64" s="75"/>
      <c r="M64" s="241"/>
      <c r="N64" s="54"/>
      <c r="O64" s="260"/>
      <c r="P64" s="211"/>
      <c r="Q64" s="50"/>
      <c r="R64" s="260"/>
      <c r="S64" s="211"/>
      <c r="T64" s="50"/>
    </row>
    <row r="65" spans="2:20" x14ac:dyDescent="0.25">
      <c r="B65" s="28"/>
      <c r="C65" s="15" t="s">
        <v>51</v>
      </c>
      <c r="D65" s="49"/>
      <c r="E65" s="54"/>
      <c r="F65" s="78"/>
      <c r="G65" s="100"/>
      <c r="H65" s="50"/>
      <c r="I65" s="78"/>
      <c r="J65" s="100"/>
      <c r="K65" s="50"/>
      <c r="L65" s="75"/>
      <c r="M65" s="16"/>
      <c r="N65" s="54"/>
      <c r="O65" s="78"/>
      <c r="P65" s="100"/>
      <c r="Q65" s="50"/>
      <c r="R65" s="78"/>
      <c r="S65" s="100"/>
      <c r="T65" s="50"/>
    </row>
    <row r="66" spans="2:20" x14ac:dyDescent="0.25">
      <c r="B66" s="28" t="s">
        <v>591</v>
      </c>
      <c r="C66" s="17" t="s">
        <v>419</v>
      </c>
      <c r="D66" s="37">
        <v>0</v>
      </c>
      <c r="E66" s="109">
        <f t="shared" ref="E66:E104" si="108">IFERROR(D66/D$35,"")</f>
        <v>0</v>
      </c>
      <c r="F66" s="37">
        <v>0</v>
      </c>
      <c r="G66" s="109">
        <f t="shared" ref="G66:G104" si="109">IFERROR(F66/F$35,"")</f>
        <v>0</v>
      </c>
      <c r="H66" s="138">
        <f t="shared" ref="H66:H104" si="110">+D66-F66</f>
        <v>0</v>
      </c>
      <c r="I66" s="37">
        <v>0</v>
      </c>
      <c r="J66" s="109">
        <f t="shared" ref="J66:J104" si="111">IFERROR(I66/I$35,"")</f>
        <v>0</v>
      </c>
      <c r="K66" s="138">
        <f t="shared" ref="K66:K104" si="112">+D66-I66</f>
        <v>0</v>
      </c>
      <c r="L66" s="75"/>
      <c r="M66" s="90">
        <v>0</v>
      </c>
      <c r="N66" s="109">
        <f t="shared" ref="N66:N104" si="113">IFERROR(M66/M$35,"")</f>
        <v>0</v>
      </c>
      <c r="O66" s="37">
        <v>0</v>
      </c>
      <c r="P66" s="109">
        <f t="shared" ref="P66:P104" si="114">IFERROR(O66/O$35,"")</f>
        <v>0</v>
      </c>
      <c r="Q66" s="138">
        <f t="shared" ref="Q66:Q104" si="115">+M66-O66</f>
        <v>0</v>
      </c>
      <c r="R66" s="37">
        <v>0</v>
      </c>
      <c r="S66" s="109">
        <f t="shared" ref="S66:S104" si="116">IFERROR(R66/R$35,"")</f>
        <v>0</v>
      </c>
      <c r="T66" s="138">
        <f t="shared" ref="T66:T104" si="117">+M66-R66</f>
        <v>0</v>
      </c>
    </row>
    <row r="67" spans="2:20" x14ac:dyDescent="0.25">
      <c r="B67" s="28" t="s">
        <v>589</v>
      </c>
      <c r="C67" s="17" t="s">
        <v>373</v>
      </c>
      <c r="D67" s="37">
        <v>4011.34</v>
      </c>
      <c r="E67" s="109">
        <f t="shared" si="108"/>
        <v>1.2490177779543601E-2</v>
      </c>
      <c r="F67" s="37">
        <v>1141.0964239469999</v>
      </c>
      <c r="G67" s="109">
        <f t="shared" si="109"/>
        <v>3.19075059139801E-3</v>
      </c>
      <c r="H67" s="138">
        <f t="shared" si="110"/>
        <v>2870.2435760530002</v>
      </c>
      <c r="I67" s="37">
        <v>430.94</v>
      </c>
      <c r="J67" s="109">
        <f t="shared" si="111"/>
        <v>2.1388770156138917E-3</v>
      </c>
      <c r="K67" s="138">
        <f t="shared" si="112"/>
        <v>3580.4</v>
      </c>
      <c r="L67" s="75"/>
      <c r="M67" s="90">
        <v>25158.080000000002</v>
      </c>
      <c r="N67" s="109">
        <f t="shared" si="113"/>
        <v>1.1588075737557626E-2</v>
      </c>
      <c r="O67" s="37">
        <v>8634.0820260140008</v>
      </c>
      <c r="P67" s="109">
        <f t="shared" si="114"/>
        <v>3.3113046071479883E-3</v>
      </c>
      <c r="Q67" s="138">
        <f t="shared" si="115"/>
        <v>16523.997973985999</v>
      </c>
      <c r="R67" s="37">
        <v>6236.71</v>
      </c>
      <c r="S67" s="109">
        <f t="shared" si="116"/>
        <v>4.4726931181142873E-3</v>
      </c>
      <c r="T67" s="138">
        <f t="shared" si="117"/>
        <v>18921.370000000003</v>
      </c>
    </row>
    <row r="68" spans="2:20" x14ac:dyDescent="0.25">
      <c r="B68" s="28" t="s">
        <v>572</v>
      </c>
      <c r="C68" s="17" t="s">
        <v>362</v>
      </c>
      <c r="D68" s="37">
        <v>1997.86</v>
      </c>
      <c r="E68" s="109">
        <f t="shared" si="108"/>
        <v>6.2207707595564017E-3</v>
      </c>
      <c r="F68" s="37">
        <v>1419.9320481899999</v>
      </c>
      <c r="G68" s="109">
        <f t="shared" si="109"/>
        <v>3.9704348619689156E-3</v>
      </c>
      <c r="H68" s="138">
        <f t="shared" si="110"/>
        <v>577.92795180999997</v>
      </c>
      <c r="I68" s="37">
        <v>1412.75</v>
      </c>
      <c r="J68" s="109">
        <f t="shared" si="111"/>
        <v>7.0118775323908785E-3</v>
      </c>
      <c r="K68" s="138">
        <f t="shared" si="112"/>
        <v>585.1099999999999</v>
      </c>
      <c r="L68" s="75"/>
      <c r="M68" s="90">
        <v>14130.95</v>
      </c>
      <c r="N68" s="109">
        <f t="shared" si="113"/>
        <v>6.5088639054983492E-3</v>
      </c>
      <c r="O68" s="37">
        <v>10359.379386764</v>
      </c>
      <c r="P68" s="109">
        <f t="shared" si="114"/>
        <v>3.9729829514281133E-3</v>
      </c>
      <c r="Q68" s="138">
        <f t="shared" si="115"/>
        <v>3771.570613236001</v>
      </c>
      <c r="R68" s="37">
        <v>9337.08</v>
      </c>
      <c r="S68" s="109">
        <f t="shared" si="116"/>
        <v>6.6961416290452092E-3</v>
      </c>
      <c r="T68" s="138">
        <f t="shared" si="117"/>
        <v>4793.8700000000008</v>
      </c>
    </row>
    <row r="69" spans="2:20" x14ac:dyDescent="0.25">
      <c r="B69" s="28" t="s">
        <v>576</v>
      </c>
      <c r="C69" s="17" t="s">
        <v>559</v>
      </c>
      <c r="D69" s="37">
        <v>0</v>
      </c>
      <c r="E69" s="109">
        <f t="shared" si="108"/>
        <v>0</v>
      </c>
      <c r="F69" s="37">
        <v>0</v>
      </c>
      <c r="G69" s="109">
        <f t="shared" si="109"/>
        <v>0</v>
      </c>
      <c r="H69" s="138">
        <f t="shared" si="110"/>
        <v>0</v>
      </c>
      <c r="I69" s="37">
        <v>0</v>
      </c>
      <c r="J69" s="109">
        <f t="shared" si="111"/>
        <v>0</v>
      </c>
      <c r="K69" s="138">
        <f t="shared" si="112"/>
        <v>0</v>
      </c>
      <c r="L69" s="75"/>
      <c r="M69" s="90">
        <v>0</v>
      </c>
      <c r="N69" s="109">
        <f t="shared" si="113"/>
        <v>0</v>
      </c>
      <c r="O69" s="37">
        <v>0</v>
      </c>
      <c r="P69" s="109">
        <f t="shared" si="114"/>
        <v>0</v>
      </c>
      <c r="Q69" s="138">
        <f t="shared" si="115"/>
        <v>0</v>
      </c>
      <c r="R69" s="37">
        <v>0</v>
      </c>
      <c r="S69" s="109">
        <f t="shared" si="116"/>
        <v>0</v>
      </c>
      <c r="T69" s="138">
        <f t="shared" si="117"/>
        <v>0</v>
      </c>
    </row>
    <row r="70" spans="2:20" x14ac:dyDescent="0.25">
      <c r="B70" s="28" t="s">
        <v>581</v>
      </c>
      <c r="C70" s="17" t="s">
        <v>560</v>
      </c>
      <c r="D70" s="37">
        <v>253.19</v>
      </c>
      <c r="E70" s="109">
        <f t="shared" si="108"/>
        <v>7.8836202166922883E-4</v>
      </c>
      <c r="F70" s="37">
        <v>1846.3656590539999</v>
      </c>
      <c r="G70" s="109">
        <f t="shared" si="109"/>
        <v>5.1628347919852541E-3</v>
      </c>
      <c r="H70" s="138">
        <f t="shared" si="110"/>
        <v>-1593.1756590539999</v>
      </c>
      <c r="I70" s="37">
        <v>1164.5</v>
      </c>
      <c r="J70" s="109">
        <f t="shared" si="111"/>
        <v>5.7797426200454282E-3</v>
      </c>
      <c r="K70" s="138">
        <f t="shared" si="112"/>
        <v>-911.31</v>
      </c>
      <c r="L70" s="75"/>
      <c r="M70" s="90">
        <v>4217.5600000000004</v>
      </c>
      <c r="N70" s="109">
        <f t="shared" si="113"/>
        <v>1.9426524085976965E-3</v>
      </c>
      <c r="O70" s="37">
        <v>13470.505418356999</v>
      </c>
      <c r="P70" s="109">
        <f t="shared" si="114"/>
        <v>5.1661481229880943E-3</v>
      </c>
      <c r="Q70" s="138">
        <f t="shared" si="115"/>
        <v>-9252.9454183569978</v>
      </c>
      <c r="R70" s="37">
        <v>8463.18</v>
      </c>
      <c r="S70" s="109">
        <f t="shared" si="116"/>
        <v>6.0694191237627643E-3</v>
      </c>
      <c r="T70" s="138">
        <f t="shared" si="117"/>
        <v>-4245.62</v>
      </c>
    </row>
    <row r="71" spans="2:20" x14ac:dyDescent="0.25">
      <c r="B71" s="28" t="s">
        <v>606</v>
      </c>
      <c r="C71" s="17" t="s">
        <v>607</v>
      </c>
      <c r="D71" s="37">
        <v>0</v>
      </c>
      <c r="E71" s="109">
        <f t="shared" si="108"/>
        <v>0</v>
      </c>
      <c r="F71" s="37">
        <v>0</v>
      </c>
      <c r="G71" s="109">
        <f t="shared" si="109"/>
        <v>0</v>
      </c>
      <c r="H71" s="138">
        <f t="shared" si="110"/>
        <v>0</v>
      </c>
      <c r="I71" s="37">
        <v>0</v>
      </c>
      <c r="J71" s="109">
        <f t="shared" si="111"/>
        <v>0</v>
      </c>
      <c r="K71" s="138">
        <f t="shared" si="112"/>
        <v>0</v>
      </c>
      <c r="L71" s="75"/>
      <c r="M71" s="90">
        <v>0</v>
      </c>
      <c r="N71" s="109">
        <f t="shared" si="113"/>
        <v>0</v>
      </c>
      <c r="O71" s="37">
        <v>0</v>
      </c>
      <c r="P71" s="109">
        <f t="shared" si="114"/>
        <v>0</v>
      </c>
      <c r="Q71" s="138">
        <f t="shared" si="115"/>
        <v>0</v>
      </c>
      <c r="R71" s="37">
        <v>0</v>
      </c>
      <c r="S71" s="109">
        <f t="shared" si="116"/>
        <v>0</v>
      </c>
      <c r="T71" s="138">
        <f t="shared" si="117"/>
        <v>0</v>
      </c>
    </row>
    <row r="72" spans="2:20" x14ac:dyDescent="0.25">
      <c r="B72" s="28" t="s">
        <v>587</v>
      </c>
      <c r="C72" s="17" t="s">
        <v>570</v>
      </c>
      <c r="D72" s="37">
        <v>0</v>
      </c>
      <c r="E72" s="109">
        <f t="shared" si="108"/>
        <v>0</v>
      </c>
      <c r="F72" s="37">
        <v>0</v>
      </c>
      <c r="G72" s="109">
        <f t="shared" si="109"/>
        <v>0</v>
      </c>
      <c r="H72" s="138">
        <f t="shared" si="110"/>
        <v>0</v>
      </c>
      <c r="I72" s="37">
        <v>0</v>
      </c>
      <c r="J72" s="109">
        <f t="shared" si="111"/>
        <v>0</v>
      </c>
      <c r="K72" s="138">
        <f t="shared" si="112"/>
        <v>0</v>
      </c>
      <c r="L72" s="75"/>
      <c r="M72" s="90">
        <v>0</v>
      </c>
      <c r="N72" s="109">
        <f t="shared" si="113"/>
        <v>0</v>
      </c>
      <c r="O72" s="37">
        <v>0</v>
      </c>
      <c r="P72" s="109">
        <f t="shared" si="114"/>
        <v>0</v>
      </c>
      <c r="Q72" s="138">
        <f t="shared" si="115"/>
        <v>0</v>
      </c>
      <c r="R72" s="37">
        <v>0</v>
      </c>
      <c r="S72" s="109">
        <f t="shared" si="116"/>
        <v>0</v>
      </c>
      <c r="T72" s="138">
        <f t="shared" si="117"/>
        <v>0</v>
      </c>
    </row>
    <row r="73" spans="2:20" x14ac:dyDescent="0.25">
      <c r="B73" s="28" t="s">
        <v>601</v>
      </c>
      <c r="C73" s="17" t="s">
        <v>561</v>
      </c>
      <c r="D73" s="37">
        <v>1366.05</v>
      </c>
      <c r="E73" s="109">
        <f t="shared" si="108"/>
        <v>4.2534931857547689E-3</v>
      </c>
      <c r="F73" s="37">
        <v>3171.6</v>
      </c>
      <c r="G73" s="109">
        <f t="shared" si="109"/>
        <v>8.8684745331810439E-3</v>
      </c>
      <c r="H73" s="138">
        <f t="shared" si="110"/>
        <v>-1805.55</v>
      </c>
      <c r="I73" s="37">
        <v>0</v>
      </c>
      <c r="J73" s="109">
        <f t="shared" si="111"/>
        <v>0</v>
      </c>
      <c r="K73" s="138">
        <f t="shared" si="112"/>
        <v>1366.05</v>
      </c>
      <c r="L73" s="75"/>
      <c r="M73" s="90">
        <v>13991.15</v>
      </c>
      <c r="N73" s="109">
        <f t="shared" si="113"/>
        <v>6.4444705579888989E-3</v>
      </c>
      <c r="O73" s="37">
        <v>23139</v>
      </c>
      <c r="P73" s="109">
        <f t="shared" si="114"/>
        <v>8.8741660171799078E-3</v>
      </c>
      <c r="Q73" s="138">
        <f t="shared" si="115"/>
        <v>-9147.85</v>
      </c>
      <c r="R73" s="37">
        <v>1928.42</v>
      </c>
      <c r="S73" s="109">
        <f t="shared" si="116"/>
        <v>1.3829777018386222E-3</v>
      </c>
      <c r="T73" s="138">
        <f t="shared" si="117"/>
        <v>12062.73</v>
      </c>
    </row>
    <row r="74" spans="2:20" x14ac:dyDescent="0.25">
      <c r="B74" s="28" t="s">
        <v>590</v>
      </c>
      <c r="C74" s="17" t="s">
        <v>562</v>
      </c>
      <c r="D74" s="37">
        <v>0</v>
      </c>
      <c r="E74" s="109">
        <f t="shared" si="108"/>
        <v>0</v>
      </c>
      <c r="F74" s="37">
        <v>1409.6</v>
      </c>
      <c r="G74" s="109">
        <f t="shared" si="109"/>
        <v>3.9415442369693521E-3</v>
      </c>
      <c r="H74" s="138">
        <f t="shared" si="110"/>
        <v>-1409.6</v>
      </c>
      <c r="I74" s="37">
        <v>724.8</v>
      </c>
      <c r="J74" s="109">
        <f t="shared" si="111"/>
        <v>3.5973872486122164E-3</v>
      </c>
      <c r="K74" s="138">
        <f t="shared" si="112"/>
        <v>-724.8</v>
      </c>
      <c r="L74" s="75"/>
      <c r="M74" s="90">
        <v>0</v>
      </c>
      <c r="N74" s="109">
        <f t="shared" si="113"/>
        <v>0</v>
      </c>
      <c r="O74" s="37">
        <v>10284</v>
      </c>
      <c r="P74" s="109">
        <f t="shared" si="114"/>
        <v>3.9440737854132928E-3</v>
      </c>
      <c r="Q74" s="138">
        <f t="shared" si="115"/>
        <v>-10284</v>
      </c>
      <c r="R74" s="37">
        <v>1546.28</v>
      </c>
      <c r="S74" s="109">
        <f t="shared" si="116"/>
        <v>1.1089237618356089E-3</v>
      </c>
      <c r="T74" s="138">
        <f t="shared" si="117"/>
        <v>-1546.28</v>
      </c>
    </row>
    <row r="75" spans="2:20" x14ac:dyDescent="0.25">
      <c r="B75" s="28" t="s">
        <v>609</v>
      </c>
      <c r="C75" s="17" t="s">
        <v>610</v>
      </c>
      <c r="D75" s="37">
        <v>0</v>
      </c>
      <c r="E75" s="109">
        <f t="shared" si="108"/>
        <v>0</v>
      </c>
      <c r="F75" s="37">
        <v>0</v>
      </c>
      <c r="G75" s="109">
        <f t="shared" si="109"/>
        <v>0</v>
      </c>
      <c r="H75" s="138">
        <f t="shared" si="110"/>
        <v>0</v>
      </c>
      <c r="I75" s="37">
        <v>0</v>
      </c>
      <c r="J75" s="109">
        <f t="shared" si="111"/>
        <v>0</v>
      </c>
      <c r="K75" s="138">
        <f t="shared" si="112"/>
        <v>0</v>
      </c>
      <c r="L75" s="75"/>
      <c r="M75" s="90">
        <v>0</v>
      </c>
      <c r="N75" s="109">
        <f t="shared" si="113"/>
        <v>0</v>
      </c>
      <c r="O75" s="37">
        <v>0</v>
      </c>
      <c r="P75" s="109">
        <f t="shared" si="114"/>
        <v>0</v>
      </c>
      <c r="Q75" s="138">
        <f t="shared" si="115"/>
        <v>0</v>
      </c>
      <c r="R75" s="37">
        <v>0</v>
      </c>
      <c r="S75" s="109">
        <f t="shared" si="116"/>
        <v>0</v>
      </c>
      <c r="T75" s="138">
        <f t="shared" si="117"/>
        <v>0</v>
      </c>
    </row>
    <row r="76" spans="2:20" x14ac:dyDescent="0.25">
      <c r="B76" s="28" t="s">
        <v>575</v>
      </c>
      <c r="C76" s="17" t="s">
        <v>366</v>
      </c>
      <c r="D76" s="37">
        <v>0</v>
      </c>
      <c r="E76" s="109">
        <f t="shared" si="108"/>
        <v>0</v>
      </c>
      <c r="F76" s="37">
        <v>101.806049499</v>
      </c>
      <c r="G76" s="109">
        <f t="shared" si="109"/>
        <v>2.8467157185825775E-4</v>
      </c>
      <c r="H76" s="138">
        <f t="shared" si="110"/>
        <v>-101.806049499</v>
      </c>
      <c r="I76" s="37">
        <v>0</v>
      </c>
      <c r="J76" s="109">
        <f t="shared" si="111"/>
        <v>0</v>
      </c>
      <c r="K76" s="138">
        <f t="shared" si="112"/>
        <v>0</v>
      </c>
      <c r="L76" s="75"/>
      <c r="M76" s="90">
        <v>0</v>
      </c>
      <c r="N76" s="109">
        <f t="shared" si="113"/>
        <v>0</v>
      </c>
      <c r="O76" s="37">
        <v>742.74504331100002</v>
      </c>
      <c r="P76" s="109">
        <f t="shared" si="114"/>
        <v>2.8485426434933644E-4</v>
      </c>
      <c r="Q76" s="138">
        <f t="shared" si="115"/>
        <v>-742.74504331100002</v>
      </c>
      <c r="R76" s="37">
        <v>0</v>
      </c>
      <c r="S76" s="109">
        <f t="shared" si="116"/>
        <v>0</v>
      </c>
      <c r="T76" s="138">
        <f t="shared" si="117"/>
        <v>0</v>
      </c>
    </row>
    <row r="77" spans="2:20" x14ac:dyDescent="0.25">
      <c r="B77" s="28" t="s">
        <v>592</v>
      </c>
      <c r="C77" s="17" t="s">
        <v>374</v>
      </c>
      <c r="D77" s="37">
        <v>0</v>
      </c>
      <c r="E77" s="109">
        <f t="shared" si="108"/>
        <v>0</v>
      </c>
      <c r="F77" s="37">
        <v>0</v>
      </c>
      <c r="G77" s="109">
        <f t="shared" si="109"/>
        <v>0</v>
      </c>
      <c r="H77" s="138">
        <f t="shared" si="110"/>
        <v>0</v>
      </c>
      <c r="I77" s="37">
        <v>0</v>
      </c>
      <c r="J77" s="109">
        <f t="shared" si="111"/>
        <v>0</v>
      </c>
      <c r="K77" s="138">
        <f t="shared" si="112"/>
        <v>0</v>
      </c>
      <c r="L77" s="75"/>
      <c r="M77" s="90">
        <v>0</v>
      </c>
      <c r="N77" s="109">
        <f t="shared" si="113"/>
        <v>0</v>
      </c>
      <c r="O77" s="37">
        <v>0</v>
      </c>
      <c r="P77" s="109">
        <f t="shared" si="114"/>
        <v>0</v>
      </c>
      <c r="Q77" s="138">
        <f t="shared" si="115"/>
        <v>0</v>
      </c>
      <c r="R77" s="37">
        <v>20</v>
      </c>
      <c r="S77" s="109">
        <f t="shared" si="116"/>
        <v>1.4343117182342251E-5</v>
      </c>
      <c r="T77" s="138">
        <f t="shared" si="117"/>
        <v>-20</v>
      </c>
    </row>
    <row r="78" spans="2:20" x14ac:dyDescent="0.25">
      <c r="B78" s="28" t="s">
        <v>574</v>
      </c>
      <c r="C78" s="17" t="s">
        <v>365</v>
      </c>
      <c r="D78" s="37">
        <v>0</v>
      </c>
      <c r="E78" s="109">
        <f t="shared" si="108"/>
        <v>0</v>
      </c>
      <c r="F78" s="37">
        <v>0</v>
      </c>
      <c r="G78" s="109">
        <f t="shared" si="109"/>
        <v>0</v>
      </c>
      <c r="H78" s="138">
        <f t="shared" si="110"/>
        <v>0</v>
      </c>
      <c r="I78" s="37">
        <v>0</v>
      </c>
      <c r="J78" s="109">
        <f t="shared" si="111"/>
        <v>0</v>
      </c>
      <c r="K78" s="138">
        <f t="shared" si="112"/>
        <v>0</v>
      </c>
      <c r="L78" s="75"/>
      <c r="M78" s="90">
        <v>0</v>
      </c>
      <c r="N78" s="109">
        <f t="shared" si="113"/>
        <v>0</v>
      </c>
      <c r="O78" s="37">
        <v>0</v>
      </c>
      <c r="P78" s="109">
        <f t="shared" si="114"/>
        <v>0</v>
      </c>
      <c r="Q78" s="138">
        <f t="shared" si="115"/>
        <v>0</v>
      </c>
      <c r="R78" s="37">
        <v>724.84</v>
      </c>
      <c r="S78" s="109">
        <f t="shared" si="116"/>
        <v>5.1982325292244784E-4</v>
      </c>
      <c r="T78" s="138">
        <f t="shared" si="117"/>
        <v>-724.84</v>
      </c>
    </row>
    <row r="79" spans="2:20" x14ac:dyDescent="0.25">
      <c r="B79" s="28" t="s">
        <v>595</v>
      </c>
      <c r="C79" s="17" t="s">
        <v>377</v>
      </c>
      <c r="D79" s="37">
        <v>0</v>
      </c>
      <c r="E79" s="109">
        <f t="shared" si="108"/>
        <v>0</v>
      </c>
      <c r="F79" s="37">
        <v>0</v>
      </c>
      <c r="G79" s="109">
        <f t="shared" si="109"/>
        <v>0</v>
      </c>
      <c r="H79" s="138">
        <f t="shared" si="110"/>
        <v>0</v>
      </c>
      <c r="I79" s="37">
        <v>0</v>
      </c>
      <c r="J79" s="109">
        <f t="shared" si="111"/>
        <v>0</v>
      </c>
      <c r="K79" s="138">
        <f t="shared" si="112"/>
        <v>0</v>
      </c>
      <c r="L79" s="75"/>
      <c r="M79" s="90">
        <v>0</v>
      </c>
      <c r="N79" s="109">
        <f t="shared" si="113"/>
        <v>0</v>
      </c>
      <c r="O79" s="37">
        <v>0</v>
      </c>
      <c r="P79" s="109">
        <f t="shared" si="114"/>
        <v>0</v>
      </c>
      <c r="Q79" s="138">
        <f t="shared" si="115"/>
        <v>0</v>
      </c>
      <c r="R79" s="37">
        <v>0</v>
      </c>
      <c r="S79" s="109">
        <f t="shared" si="116"/>
        <v>0</v>
      </c>
      <c r="T79" s="138">
        <f t="shared" si="117"/>
        <v>0</v>
      </c>
    </row>
    <row r="80" spans="2:20" x14ac:dyDescent="0.25">
      <c r="B80" s="28" t="s">
        <v>594</v>
      </c>
      <c r="C80" s="17" t="s">
        <v>376</v>
      </c>
      <c r="D80" s="37">
        <v>0</v>
      </c>
      <c r="E80" s="109">
        <f t="shared" si="108"/>
        <v>0</v>
      </c>
      <c r="F80" s="37">
        <v>0</v>
      </c>
      <c r="G80" s="109">
        <f t="shared" si="109"/>
        <v>0</v>
      </c>
      <c r="H80" s="138">
        <f t="shared" si="110"/>
        <v>0</v>
      </c>
      <c r="I80" s="37">
        <v>0</v>
      </c>
      <c r="J80" s="109">
        <f t="shared" si="111"/>
        <v>0</v>
      </c>
      <c r="K80" s="138">
        <f t="shared" si="112"/>
        <v>0</v>
      </c>
      <c r="L80" s="75"/>
      <c r="M80" s="90">
        <v>0</v>
      </c>
      <c r="N80" s="109">
        <f t="shared" si="113"/>
        <v>0</v>
      </c>
      <c r="O80" s="37">
        <v>0</v>
      </c>
      <c r="P80" s="109">
        <f t="shared" si="114"/>
        <v>0</v>
      </c>
      <c r="Q80" s="138">
        <f t="shared" si="115"/>
        <v>0</v>
      </c>
      <c r="R80" s="37">
        <v>-43.94</v>
      </c>
      <c r="S80" s="109">
        <f t="shared" si="116"/>
        <v>-3.1511828449605924E-5</v>
      </c>
      <c r="T80" s="138">
        <f t="shared" si="117"/>
        <v>43.94</v>
      </c>
    </row>
    <row r="81" spans="2:20" x14ac:dyDescent="0.25">
      <c r="B81" s="28" t="s">
        <v>602</v>
      </c>
      <c r="C81" s="17" t="s">
        <v>487</v>
      </c>
      <c r="D81" s="37">
        <v>0</v>
      </c>
      <c r="E81" s="109">
        <f t="shared" si="108"/>
        <v>0</v>
      </c>
      <c r="F81" s="37">
        <v>0</v>
      </c>
      <c r="G81" s="109">
        <f t="shared" si="109"/>
        <v>0</v>
      </c>
      <c r="H81" s="138">
        <f t="shared" si="110"/>
        <v>0</v>
      </c>
      <c r="I81" s="37">
        <v>0</v>
      </c>
      <c r="J81" s="109">
        <f t="shared" si="111"/>
        <v>0</v>
      </c>
      <c r="K81" s="138">
        <f t="shared" si="112"/>
        <v>0</v>
      </c>
      <c r="L81" s="75"/>
      <c r="M81" s="90">
        <v>0</v>
      </c>
      <c r="N81" s="109">
        <f t="shared" si="113"/>
        <v>0</v>
      </c>
      <c r="O81" s="37">
        <v>0</v>
      </c>
      <c r="P81" s="109">
        <f t="shared" si="114"/>
        <v>0</v>
      </c>
      <c r="Q81" s="138">
        <f t="shared" si="115"/>
        <v>0</v>
      </c>
      <c r="R81" s="37">
        <v>0</v>
      </c>
      <c r="S81" s="109">
        <f t="shared" si="116"/>
        <v>0</v>
      </c>
      <c r="T81" s="138">
        <f t="shared" si="117"/>
        <v>0</v>
      </c>
    </row>
    <row r="82" spans="2:20" x14ac:dyDescent="0.25">
      <c r="B82" s="28" t="s">
        <v>573</v>
      </c>
      <c r="C82" s="17" t="s">
        <v>364</v>
      </c>
      <c r="D82" s="37">
        <v>1640.42</v>
      </c>
      <c r="E82" s="109">
        <f t="shared" si="108"/>
        <v>5.1078037346918778E-3</v>
      </c>
      <c r="F82" s="37">
        <v>2995.4</v>
      </c>
      <c r="G82" s="109">
        <f t="shared" si="109"/>
        <v>8.3757815035598749E-3</v>
      </c>
      <c r="H82" s="138">
        <f t="shared" si="110"/>
        <v>-1354.98</v>
      </c>
      <c r="I82" s="37">
        <v>2420.35</v>
      </c>
      <c r="J82" s="109">
        <f t="shared" si="111"/>
        <v>1.2012881108138215E-2</v>
      </c>
      <c r="K82" s="138">
        <f t="shared" si="112"/>
        <v>-779.92999999999984</v>
      </c>
      <c r="L82" s="75"/>
      <c r="M82" s="90">
        <v>11817.38</v>
      </c>
      <c r="N82" s="109">
        <f t="shared" si="113"/>
        <v>5.4432092774766086E-3</v>
      </c>
      <c r="O82" s="37">
        <v>21853.5</v>
      </c>
      <c r="P82" s="109">
        <f t="shared" si="114"/>
        <v>8.3811567940032458E-3</v>
      </c>
      <c r="Q82" s="138">
        <f t="shared" si="115"/>
        <v>-10036.120000000001</v>
      </c>
      <c r="R82" s="37">
        <v>12438.21</v>
      </c>
      <c r="S82" s="109">
        <f t="shared" si="116"/>
        <v>8.9201351784290589E-3</v>
      </c>
      <c r="T82" s="138">
        <f t="shared" si="117"/>
        <v>-620.82999999999993</v>
      </c>
    </row>
    <row r="83" spans="2:20" x14ac:dyDescent="0.25">
      <c r="B83" s="28" t="s">
        <v>603</v>
      </c>
      <c r="C83" s="17" t="s">
        <v>488</v>
      </c>
      <c r="D83" s="37">
        <v>0</v>
      </c>
      <c r="E83" s="109">
        <f t="shared" si="108"/>
        <v>0</v>
      </c>
      <c r="F83" s="37">
        <v>0</v>
      </c>
      <c r="G83" s="109">
        <f t="shared" si="109"/>
        <v>0</v>
      </c>
      <c r="H83" s="138">
        <f t="shared" si="110"/>
        <v>0</v>
      </c>
      <c r="I83" s="37">
        <v>0</v>
      </c>
      <c r="J83" s="109">
        <f t="shared" si="111"/>
        <v>0</v>
      </c>
      <c r="K83" s="138">
        <f t="shared" si="112"/>
        <v>0</v>
      </c>
      <c r="L83" s="75"/>
      <c r="M83" s="90">
        <v>0</v>
      </c>
      <c r="N83" s="109">
        <f t="shared" si="113"/>
        <v>0</v>
      </c>
      <c r="O83" s="37">
        <v>0</v>
      </c>
      <c r="P83" s="109">
        <f t="shared" si="114"/>
        <v>0</v>
      </c>
      <c r="Q83" s="138">
        <f t="shared" si="115"/>
        <v>0</v>
      </c>
      <c r="R83" s="37">
        <v>0</v>
      </c>
      <c r="S83" s="109">
        <f t="shared" si="116"/>
        <v>0</v>
      </c>
      <c r="T83" s="138">
        <f t="shared" si="117"/>
        <v>0</v>
      </c>
    </row>
    <row r="84" spans="2:20" x14ac:dyDescent="0.25">
      <c r="B84" s="28" t="s">
        <v>593</v>
      </c>
      <c r="C84" s="17" t="s">
        <v>375</v>
      </c>
      <c r="D84" s="37">
        <v>0</v>
      </c>
      <c r="E84" s="109">
        <f t="shared" si="108"/>
        <v>0</v>
      </c>
      <c r="F84" s="37">
        <v>0</v>
      </c>
      <c r="G84" s="109">
        <f t="shared" si="109"/>
        <v>0</v>
      </c>
      <c r="H84" s="138">
        <f t="shared" si="110"/>
        <v>0</v>
      </c>
      <c r="I84" s="37">
        <v>0</v>
      </c>
      <c r="J84" s="109">
        <f t="shared" si="111"/>
        <v>0</v>
      </c>
      <c r="K84" s="138">
        <f t="shared" si="112"/>
        <v>0</v>
      </c>
      <c r="L84" s="75"/>
      <c r="M84" s="90">
        <v>0</v>
      </c>
      <c r="N84" s="109">
        <f t="shared" si="113"/>
        <v>0</v>
      </c>
      <c r="O84" s="37">
        <v>0</v>
      </c>
      <c r="P84" s="109">
        <f t="shared" si="114"/>
        <v>0</v>
      </c>
      <c r="Q84" s="138">
        <f t="shared" si="115"/>
        <v>0</v>
      </c>
      <c r="R84" s="37">
        <v>0</v>
      </c>
      <c r="S84" s="109">
        <f t="shared" si="116"/>
        <v>0</v>
      </c>
      <c r="T84" s="138">
        <f t="shared" si="117"/>
        <v>0</v>
      </c>
    </row>
    <row r="85" spans="2:20" x14ac:dyDescent="0.25">
      <c r="B85" s="28" t="s">
        <v>596</v>
      </c>
      <c r="C85" s="17" t="s">
        <v>378</v>
      </c>
      <c r="D85" s="37">
        <v>836.82</v>
      </c>
      <c r="E85" s="109">
        <f t="shared" si="108"/>
        <v>2.605620707663194E-3</v>
      </c>
      <c r="F85" s="37">
        <v>162.18972515799999</v>
      </c>
      <c r="G85" s="109">
        <f t="shared" si="109"/>
        <v>4.5351729319818254E-4</v>
      </c>
      <c r="H85" s="138">
        <f t="shared" si="110"/>
        <v>674.63027484200006</v>
      </c>
      <c r="I85" s="37">
        <v>0</v>
      </c>
      <c r="J85" s="109">
        <f t="shared" si="111"/>
        <v>0</v>
      </c>
      <c r="K85" s="138">
        <f t="shared" si="112"/>
        <v>836.82</v>
      </c>
      <c r="L85" s="75"/>
      <c r="M85" s="90">
        <v>1660.94</v>
      </c>
      <c r="N85" s="109">
        <f t="shared" si="113"/>
        <v>7.6504639922994762E-4</v>
      </c>
      <c r="O85" s="37">
        <v>1183.2854238949999</v>
      </c>
      <c r="P85" s="109">
        <f t="shared" si="114"/>
        <v>4.5380834510364883E-4</v>
      </c>
      <c r="Q85" s="138">
        <f t="shared" si="115"/>
        <v>477.65457610500016</v>
      </c>
      <c r="R85" s="37">
        <v>1210.02</v>
      </c>
      <c r="S85" s="109">
        <f t="shared" si="116"/>
        <v>8.6777293264888851E-4</v>
      </c>
      <c r="T85" s="138">
        <f t="shared" si="117"/>
        <v>450.92000000000007</v>
      </c>
    </row>
    <row r="86" spans="2:20" x14ac:dyDescent="0.25">
      <c r="B86" s="28" t="s">
        <v>597</v>
      </c>
      <c r="C86" s="17" t="s">
        <v>421</v>
      </c>
      <c r="D86" s="37">
        <v>0</v>
      </c>
      <c r="E86" s="109">
        <f t="shared" si="108"/>
        <v>0</v>
      </c>
      <c r="F86" s="37">
        <v>0</v>
      </c>
      <c r="G86" s="109">
        <f t="shared" si="109"/>
        <v>0</v>
      </c>
      <c r="H86" s="138">
        <f t="shared" si="110"/>
        <v>0</v>
      </c>
      <c r="I86" s="37">
        <v>0</v>
      </c>
      <c r="J86" s="109">
        <f t="shared" si="111"/>
        <v>0</v>
      </c>
      <c r="K86" s="138">
        <f t="shared" si="112"/>
        <v>0</v>
      </c>
      <c r="L86" s="75"/>
      <c r="M86" s="90">
        <v>0</v>
      </c>
      <c r="N86" s="109">
        <f t="shared" si="113"/>
        <v>0</v>
      </c>
      <c r="O86" s="37">
        <v>0</v>
      </c>
      <c r="P86" s="109">
        <f t="shared" si="114"/>
        <v>0</v>
      </c>
      <c r="Q86" s="138">
        <f t="shared" si="115"/>
        <v>0</v>
      </c>
      <c r="R86" s="37">
        <v>0</v>
      </c>
      <c r="S86" s="109">
        <f t="shared" si="116"/>
        <v>0</v>
      </c>
      <c r="T86" s="138">
        <f t="shared" si="117"/>
        <v>0</v>
      </c>
    </row>
    <row r="87" spans="2:20" x14ac:dyDescent="0.25">
      <c r="B87" s="28" t="s">
        <v>582</v>
      </c>
      <c r="C87" s="17" t="s">
        <v>61</v>
      </c>
      <c r="D87" s="37">
        <v>0</v>
      </c>
      <c r="E87" s="109">
        <f t="shared" si="108"/>
        <v>0</v>
      </c>
      <c r="F87" s="37">
        <v>0</v>
      </c>
      <c r="G87" s="109">
        <f t="shared" si="109"/>
        <v>0</v>
      </c>
      <c r="H87" s="138">
        <f t="shared" si="110"/>
        <v>0</v>
      </c>
      <c r="I87" s="37">
        <v>0</v>
      </c>
      <c r="J87" s="109">
        <f t="shared" si="111"/>
        <v>0</v>
      </c>
      <c r="K87" s="138">
        <f t="shared" si="112"/>
        <v>0</v>
      </c>
      <c r="L87" s="75"/>
      <c r="M87" s="90">
        <v>0</v>
      </c>
      <c r="N87" s="109">
        <f t="shared" si="113"/>
        <v>0</v>
      </c>
      <c r="O87" s="37">
        <v>0</v>
      </c>
      <c r="P87" s="109">
        <f t="shared" si="114"/>
        <v>0</v>
      </c>
      <c r="Q87" s="138">
        <f t="shared" si="115"/>
        <v>0</v>
      </c>
      <c r="R87" s="37">
        <v>92.89</v>
      </c>
      <c r="S87" s="109">
        <f t="shared" si="116"/>
        <v>6.6616607753388591E-5</v>
      </c>
      <c r="T87" s="138">
        <f t="shared" si="117"/>
        <v>-92.89</v>
      </c>
    </row>
    <row r="88" spans="2:20" x14ac:dyDescent="0.25">
      <c r="B88" s="28" t="s">
        <v>584</v>
      </c>
      <c r="C88" s="17" t="s">
        <v>372</v>
      </c>
      <c r="D88" s="37">
        <v>2024.91</v>
      </c>
      <c r="E88" s="109">
        <f t="shared" si="108"/>
        <v>6.304996805949043E-3</v>
      </c>
      <c r="F88" s="37">
        <v>3524</v>
      </c>
      <c r="G88" s="109">
        <f t="shared" si="109"/>
        <v>9.8538605924233819E-3</v>
      </c>
      <c r="H88" s="138">
        <f t="shared" si="110"/>
        <v>-1499.09</v>
      </c>
      <c r="I88" s="37">
        <v>1865.96</v>
      </c>
      <c r="J88" s="109">
        <f t="shared" si="111"/>
        <v>9.2612868521253482E-3</v>
      </c>
      <c r="K88" s="138">
        <f t="shared" si="112"/>
        <v>158.95000000000005</v>
      </c>
      <c r="L88" s="75"/>
      <c r="M88" s="90">
        <v>15148.83</v>
      </c>
      <c r="N88" s="109">
        <f t="shared" si="113"/>
        <v>6.9777101183947686E-3</v>
      </c>
      <c r="O88" s="37">
        <v>25710</v>
      </c>
      <c r="P88" s="109">
        <f t="shared" si="114"/>
        <v>9.8601844635332319E-3</v>
      </c>
      <c r="Q88" s="138">
        <f t="shared" si="115"/>
        <v>-10561.17</v>
      </c>
      <c r="R88" s="37">
        <v>9215.2199999999993</v>
      </c>
      <c r="S88" s="109">
        <f t="shared" si="116"/>
        <v>6.6087490160531975E-3</v>
      </c>
      <c r="T88" s="138">
        <f t="shared" si="117"/>
        <v>5933.6100000000006</v>
      </c>
    </row>
    <row r="89" spans="2:20" x14ac:dyDescent="0.25">
      <c r="B89" s="28" t="s">
        <v>571</v>
      </c>
      <c r="C89" s="17" t="s">
        <v>563</v>
      </c>
      <c r="D89" s="37">
        <v>0</v>
      </c>
      <c r="E89" s="109">
        <f t="shared" si="108"/>
        <v>0</v>
      </c>
      <c r="F89" s="37">
        <v>1166.8213266109999</v>
      </c>
      <c r="G89" s="109">
        <f t="shared" si="109"/>
        <v>3.2626829423074073E-3</v>
      </c>
      <c r="H89" s="138">
        <f t="shared" si="110"/>
        <v>-1166.8213266109999</v>
      </c>
      <c r="I89" s="37">
        <v>0</v>
      </c>
      <c r="J89" s="109">
        <f t="shared" si="111"/>
        <v>0</v>
      </c>
      <c r="K89" s="138">
        <f t="shared" si="112"/>
        <v>0</v>
      </c>
      <c r="L89" s="75"/>
      <c r="M89" s="90">
        <v>0</v>
      </c>
      <c r="N89" s="109">
        <f t="shared" si="113"/>
        <v>0</v>
      </c>
      <c r="O89" s="37">
        <v>8512.7628567409993</v>
      </c>
      <c r="P89" s="109">
        <f t="shared" si="114"/>
        <v>3.2647768207615855E-3</v>
      </c>
      <c r="Q89" s="138">
        <f t="shared" si="115"/>
        <v>-8512.7628567409993</v>
      </c>
      <c r="R89" s="37">
        <v>1324</v>
      </c>
      <c r="S89" s="109">
        <f t="shared" si="116"/>
        <v>9.4951435747105703E-4</v>
      </c>
      <c r="T89" s="138">
        <f t="shared" si="117"/>
        <v>-1324</v>
      </c>
    </row>
    <row r="90" spans="2:20" x14ac:dyDescent="0.25">
      <c r="B90" s="28" t="s">
        <v>579</v>
      </c>
      <c r="C90" s="17" t="s">
        <v>564</v>
      </c>
      <c r="D90" s="37">
        <v>0</v>
      </c>
      <c r="E90" s="109">
        <f t="shared" si="108"/>
        <v>0</v>
      </c>
      <c r="F90" s="37">
        <v>0</v>
      </c>
      <c r="G90" s="109">
        <f t="shared" si="109"/>
        <v>0</v>
      </c>
      <c r="H90" s="138">
        <f t="shared" si="110"/>
        <v>0</v>
      </c>
      <c r="I90" s="37">
        <v>0</v>
      </c>
      <c r="J90" s="109">
        <f t="shared" si="111"/>
        <v>0</v>
      </c>
      <c r="K90" s="138">
        <f t="shared" si="112"/>
        <v>0</v>
      </c>
      <c r="L90" s="75"/>
      <c r="M90" s="90">
        <v>0</v>
      </c>
      <c r="N90" s="109">
        <f t="shared" si="113"/>
        <v>0</v>
      </c>
      <c r="O90" s="37">
        <v>0</v>
      </c>
      <c r="P90" s="109">
        <f t="shared" si="114"/>
        <v>0</v>
      </c>
      <c r="Q90" s="138">
        <f t="shared" si="115"/>
        <v>0</v>
      </c>
      <c r="R90" s="37">
        <v>0</v>
      </c>
      <c r="S90" s="109">
        <f t="shared" si="116"/>
        <v>0</v>
      </c>
      <c r="T90" s="138">
        <f t="shared" si="117"/>
        <v>0</v>
      </c>
    </row>
    <row r="91" spans="2:20" x14ac:dyDescent="0.25">
      <c r="B91" s="28" t="s">
        <v>578</v>
      </c>
      <c r="C91" s="17" t="s">
        <v>565</v>
      </c>
      <c r="D91" s="37">
        <v>0</v>
      </c>
      <c r="E91" s="109">
        <f t="shared" si="108"/>
        <v>0</v>
      </c>
      <c r="F91" s="37">
        <v>0</v>
      </c>
      <c r="G91" s="109">
        <f t="shared" si="109"/>
        <v>0</v>
      </c>
      <c r="H91" s="138">
        <f t="shared" si="110"/>
        <v>0</v>
      </c>
      <c r="I91" s="37">
        <v>0</v>
      </c>
      <c r="J91" s="109">
        <f t="shared" si="111"/>
        <v>0</v>
      </c>
      <c r="K91" s="138">
        <f t="shared" si="112"/>
        <v>0</v>
      </c>
      <c r="L91" s="75"/>
      <c r="M91" s="90">
        <v>0</v>
      </c>
      <c r="N91" s="109">
        <f t="shared" si="113"/>
        <v>0</v>
      </c>
      <c r="O91" s="37">
        <v>0</v>
      </c>
      <c r="P91" s="109">
        <f t="shared" si="114"/>
        <v>0</v>
      </c>
      <c r="Q91" s="138">
        <f t="shared" si="115"/>
        <v>0</v>
      </c>
      <c r="R91" s="37">
        <v>0</v>
      </c>
      <c r="S91" s="109">
        <f t="shared" si="116"/>
        <v>0</v>
      </c>
      <c r="T91" s="138">
        <f t="shared" si="117"/>
        <v>0</v>
      </c>
    </row>
    <row r="92" spans="2:20" x14ac:dyDescent="0.25">
      <c r="B92" s="28" t="s">
        <v>580</v>
      </c>
      <c r="C92" s="17" t="s">
        <v>566</v>
      </c>
      <c r="D92" s="37">
        <v>0</v>
      </c>
      <c r="E92" s="109">
        <f t="shared" si="108"/>
        <v>0</v>
      </c>
      <c r="F92" s="37">
        <v>0</v>
      </c>
      <c r="G92" s="109">
        <f t="shared" si="109"/>
        <v>0</v>
      </c>
      <c r="H92" s="138">
        <f t="shared" si="110"/>
        <v>0</v>
      </c>
      <c r="I92" s="37">
        <v>0</v>
      </c>
      <c r="J92" s="109">
        <f t="shared" si="111"/>
        <v>0</v>
      </c>
      <c r="K92" s="138">
        <f t="shared" si="112"/>
        <v>0</v>
      </c>
      <c r="L92" s="75"/>
      <c r="M92" s="90">
        <v>0</v>
      </c>
      <c r="N92" s="109">
        <f t="shared" si="113"/>
        <v>0</v>
      </c>
      <c r="O92" s="37">
        <v>0</v>
      </c>
      <c r="P92" s="109">
        <f t="shared" si="114"/>
        <v>0</v>
      </c>
      <c r="Q92" s="138">
        <f t="shared" si="115"/>
        <v>0</v>
      </c>
      <c r="R92" s="37">
        <v>0</v>
      </c>
      <c r="S92" s="109">
        <f t="shared" si="116"/>
        <v>0</v>
      </c>
      <c r="T92" s="138">
        <f t="shared" si="117"/>
        <v>0</v>
      </c>
    </row>
    <row r="93" spans="2:20" x14ac:dyDescent="0.25">
      <c r="B93" s="28" t="s">
        <v>598</v>
      </c>
      <c r="C93" s="17" t="s">
        <v>567</v>
      </c>
      <c r="D93" s="37">
        <v>0</v>
      </c>
      <c r="E93" s="109">
        <f t="shared" si="108"/>
        <v>0</v>
      </c>
      <c r="F93" s="37">
        <v>0</v>
      </c>
      <c r="G93" s="109">
        <f t="shared" si="109"/>
        <v>0</v>
      </c>
      <c r="H93" s="138">
        <f t="shared" si="110"/>
        <v>0</v>
      </c>
      <c r="I93" s="37">
        <v>0</v>
      </c>
      <c r="J93" s="109">
        <f t="shared" si="111"/>
        <v>0</v>
      </c>
      <c r="K93" s="138">
        <f t="shared" si="112"/>
        <v>0</v>
      </c>
      <c r="L93" s="75"/>
      <c r="M93" s="90">
        <v>0</v>
      </c>
      <c r="N93" s="109">
        <f t="shared" si="113"/>
        <v>0</v>
      </c>
      <c r="O93" s="37">
        <v>0</v>
      </c>
      <c r="P93" s="109">
        <f t="shared" si="114"/>
        <v>0</v>
      </c>
      <c r="Q93" s="138">
        <f t="shared" si="115"/>
        <v>0</v>
      </c>
      <c r="R93" s="37">
        <v>0</v>
      </c>
      <c r="S93" s="109">
        <f t="shared" si="116"/>
        <v>0</v>
      </c>
      <c r="T93" s="138">
        <f t="shared" si="117"/>
        <v>0</v>
      </c>
    </row>
    <row r="94" spans="2:20" x14ac:dyDescent="0.25">
      <c r="B94" s="28" t="s">
        <v>585</v>
      </c>
      <c r="C94" s="17" t="s">
        <v>568</v>
      </c>
      <c r="D94" s="37">
        <v>0</v>
      </c>
      <c r="E94" s="109">
        <f t="shared" si="108"/>
        <v>0</v>
      </c>
      <c r="F94" s="37">
        <v>0</v>
      </c>
      <c r="G94" s="109">
        <f t="shared" si="109"/>
        <v>0</v>
      </c>
      <c r="H94" s="138">
        <f t="shared" si="110"/>
        <v>0</v>
      </c>
      <c r="I94" s="37">
        <v>0</v>
      </c>
      <c r="J94" s="109">
        <f t="shared" si="111"/>
        <v>0</v>
      </c>
      <c r="K94" s="138">
        <f t="shared" si="112"/>
        <v>0</v>
      </c>
      <c r="L94" s="75"/>
      <c r="M94" s="90">
        <v>0</v>
      </c>
      <c r="N94" s="109">
        <f t="shared" si="113"/>
        <v>0</v>
      </c>
      <c r="O94" s="37">
        <v>0</v>
      </c>
      <c r="P94" s="109">
        <f t="shared" si="114"/>
        <v>0</v>
      </c>
      <c r="Q94" s="138">
        <f t="shared" si="115"/>
        <v>0</v>
      </c>
      <c r="R94" s="37">
        <v>35.159999999999997</v>
      </c>
      <c r="S94" s="109">
        <f t="shared" si="116"/>
        <v>2.5215200006557674E-5</v>
      </c>
      <c r="T94" s="138">
        <f t="shared" si="117"/>
        <v>-35.159999999999997</v>
      </c>
    </row>
    <row r="95" spans="2:20" x14ac:dyDescent="0.25">
      <c r="B95" s="28" t="s">
        <v>577</v>
      </c>
      <c r="C95" s="17" t="s">
        <v>367</v>
      </c>
      <c r="D95" s="37">
        <v>804.86</v>
      </c>
      <c r="E95" s="109">
        <f t="shared" si="108"/>
        <v>2.50610631052054E-3</v>
      </c>
      <c r="F95" s="37">
        <v>380.09957450500002</v>
      </c>
      <c r="G95" s="109">
        <f t="shared" si="109"/>
        <v>1.0628400165754014E-3</v>
      </c>
      <c r="H95" s="138">
        <f t="shared" si="110"/>
        <v>424.76042549499999</v>
      </c>
      <c r="I95" s="37">
        <v>0</v>
      </c>
      <c r="J95" s="109">
        <f t="shared" si="111"/>
        <v>0</v>
      </c>
      <c r="K95" s="138">
        <f t="shared" si="112"/>
        <v>804.86</v>
      </c>
      <c r="L95" s="75"/>
      <c r="M95" s="90">
        <v>7940.61</v>
      </c>
      <c r="N95" s="109">
        <f t="shared" si="113"/>
        <v>3.6575283202218709E-3</v>
      </c>
      <c r="O95" s="37">
        <v>2773.0874178549998</v>
      </c>
      <c r="P95" s="109">
        <f t="shared" si="114"/>
        <v>1.0635221109900176E-3</v>
      </c>
      <c r="Q95" s="138">
        <f t="shared" si="115"/>
        <v>5167.5225821450003</v>
      </c>
      <c r="R95" s="37">
        <v>5825.41</v>
      </c>
      <c r="S95" s="109">
        <f t="shared" si="116"/>
        <v>4.1777269132594183E-3</v>
      </c>
      <c r="T95" s="138">
        <f t="shared" si="117"/>
        <v>2115.1999999999998</v>
      </c>
    </row>
    <row r="96" spans="2:20" x14ac:dyDescent="0.25">
      <c r="B96" s="28" t="s">
        <v>588</v>
      </c>
      <c r="C96" s="17" t="s">
        <v>569</v>
      </c>
      <c r="D96" s="37">
        <v>3750</v>
      </c>
      <c r="E96" s="109">
        <f t="shared" si="108"/>
        <v>1.1676438963859585E-2</v>
      </c>
      <c r="F96" s="37">
        <v>1057.2</v>
      </c>
      <c r="G96" s="109">
        <f t="shared" si="109"/>
        <v>2.9561581777270145E-3</v>
      </c>
      <c r="H96" s="138">
        <f t="shared" si="110"/>
        <v>2692.8</v>
      </c>
      <c r="I96" s="37">
        <v>1250</v>
      </c>
      <c r="J96" s="109">
        <f t="shared" si="111"/>
        <v>6.2041032847202967E-3</v>
      </c>
      <c r="K96" s="138">
        <f t="shared" si="112"/>
        <v>2500</v>
      </c>
      <c r="L96" s="75"/>
      <c r="M96" s="90">
        <v>19420</v>
      </c>
      <c r="N96" s="109">
        <f t="shared" si="113"/>
        <v>8.9450558557476988E-3</v>
      </c>
      <c r="O96" s="37">
        <v>7713</v>
      </c>
      <c r="P96" s="109">
        <f t="shared" si="114"/>
        <v>2.9580553390599696E-3</v>
      </c>
      <c r="Q96" s="138">
        <f t="shared" si="115"/>
        <v>11707</v>
      </c>
      <c r="R96" s="37">
        <v>8950</v>
      </c>
      <c r="S96" s="109">
        <f t="shared" si="116"/>
        <v>6.4185449390981569E-3</v>
      </c>
      <c r="T96" s="138">
        <f t="shared" si="117"/>
        <v>10470</v>
      </c>
    </row>
    <row r="97" spans="2:20" x14ac:dyDescent="0.25">
      <c r="B97" s="28" t="s">
        <v>604</v>
      </c>
      <c r="C97" s="17" t="s">
        <v>467</v>
      </c>
      <c r="D97" s="37">
        <v>0</v>
      </c>
      <c r="E97" s="109">
        <f t="shared" si="108"/>
        <v>0</v>
      </c>
      <c r="F97" s="37">
        <v>0</v>
      </c>
      <c r="G97" s="109">
        <f t="shared" si="109"/>
        <v>0</v>
      </c>
      <c r="H97" s="138">
        <f t="shared" si="110"/>
        <v>0</v>
      </c>
      <c r="I97" s="37">
        <v>0</v>
      </c>
      <c r="J97" s="109">
        <f t="shared" si="111"/>
        <v>0</v>
      </c>
      <c r="K97" s="138">
        <f t="shared" si="112"/>
        <v>0</v>
      </c>
      <c r="L97" s="75"/>
      <c r="M97" s="90">
        <v>0</v>
      </c>
      <c r="N97" s="109">
        <f t="shared" si="113"/>
        <v>0</v>
      </c>
      <c r="O97" s="37">
        <v>0</v>
      </c>
      <c r="P97" s="109">
        <f t="shared" si="114"/>
        <v>0</v>
      </c>
      <c r="Q97" s="138">
        <f t="shared" si="115"/>
        <v>0</v>
      </c>
      <c r="R97" s="37">
        <v>0</v>
      </c>
      <c r="S97" s="109">
        <f t="shared" si="116"/>
        <v>0</v>
      </c>
      <c r="T97" s="138">
        <f t="shared" si="117"/>
        <v>0</v>
      </c>
    </row>
    <row r="98" spans="2:20" x14ac:dyDescent="0.25">
      <c r="B98" s="28" t="s">
        <v>605</v>
      </c>
      <c r="C98" s="17" t="s">
        <v>489</v>
      </c>
      <c r="D98" s="37">
        <v>0</v>
      </c>
      <c r="E98" s="109">
        <f t="shared" si="108"/>
        <v>0</v>
      </c>
      <c r="F98" s="37">
        <v>0</v>
      </c>
      <c r="G98" s="109">
        <f t="shared" si="109"/>
        <v>0</v>
      </c>
      <c r="H98" s="138">
        <f t="shared" si="110"/>
        <v>0</v>
      </c>
      <c r="I98" s="37">
        <v>0</v>
      </c>
      <c r="J98" s="109">
        <f t="shared" si="111"/>
        <v>0</v>
      </c>
      <c r="K98" s="138">
        <f t="shared" si="112"/>
        <v>0</v>
      </c>
      <c r="L98" s="75"/>
      <c r="M98" s="90">
        <v>0</v>
      </c>
      <c r="N98" s="109">
        <f t="shared" si="113"/>
        <v>0</v>
      </c>
      <c r="O98" s="37">
        <v>0</v>
      </c>
      <c r="P98" s="109">
        <f t="shared" si="114"/>
        <v>0</v>
      </c>
      <c r="Q98" s="138">
        <f t="shared" si="115"/>
        <v>0</v>
      </c>
      <c r="R98" s="37">
        <v>0</v>
      </c>
      <c r="S98" s="109">
        <f t="shared" si="116"/>
        <v>0</v>
      </c>
      <c r="T98" s="138">
        <f t="shared" si="117"/>
        <v>0</v>
      </c>
    </row>
    <row r="99" spans="2:20" x14ac:dyDescent="0.25">
      <c r="B99" s="28" t="s">
        <v>600</v>
      </c>
      <c r="C99" s="17" t="s">
        <v>379</v>
      </c>
      <c r="D99" s="37">
        <v>0</v>
      </c>
      <c r="E99" s="109">
        <f t="shared" si="108"/>
        <v>0</v>
      </c>
      <c r="F99" s="37">
        <v>0</v>
      </c>
      <c r="G99" s="109">
        <f t="shared" si="109"/>
        <v>0</v>
      </c>
      <c r="H99" s="138">
        <f t="shared" si="110"/>
        <v>0</v>
      </c>
      <c r="I99" s="37">
        <v>0</v>
      </c>
      <c r="J99" s="109">
        <f t="shared" si="111"/>
        <v>0</v>
      </c>
      <c r="K99" s="138">
        <f t="shared" si="112"/>
        <v>0</v>
      </c>
      <c r="L99" s="75"/>
      <c r="M99" s="90">
        <v>0</v>
      </c>
      <c r="N99" s="109">
        <f t="shared" si="113"/>
        <v>0</v>
      </c>
      <c r="O99" s="37">
        <v>0</v>
      </c>
      <c r="P99" s="109">
        <f t="shared" si="114"/>
        <v>0</v>
      </c>
      <c r="Q99" s="138">
        <f t="shared" si="115"/>
        <v>0</v>
      </c>
      <c r="R99" s="37">
        <v>0</v>
      </c>
      <c r="S99" s="109">
        <f t="shared" si="116"/>
        <v>0</v>
      </c>
      <c r="T99" s="138">
        <f t="shared" si="117"/>
        <v>0</v>
      </c>
    </row>
    <row r="100" spans="2:20" x14ac:dyDescent="0.25">
      <c r="B100" s="28" t="s">
        <v>583</v>
      </c>
      <c r="C100" s="17" t="s">
        <v>371</v>
      </c>
      <c r="D100" s="37">
        <v>0</v>
      </c>
      <c r="E100" s="109">
        <f t="shared" si="108"/>
        <v>0</v>
      </c>
      <c r="F100" s="37">
        <v>0</v>
      </c>
      <c r="G100" s="109">
        <f t="shared" si="109"/>
        <v>0</v>
      </c>
      <c r="H100" s="138">
        <f t="shared" si="110"/>
        <v>0</v>
      </c>
      <c r="I100" s="37">
        <v>0</v>
      </c>
      <c r="J100" s="109">
        <f t="shared" si="111"/>
        <v>0</v>
      </c>
      <c r="K100" s="138">
        <f t="shared" si="112"/>
        <v>0</v>
      </c>
      <c r="L100" s="75"/>
      <c r="M100" s="90">
        <v>0</v>
      </c>
      <c r="N100" s="109">
        <f t="shared" si="113"/>
        <v>0</v>
      </c>
      <c r="O100" s="37">
        <v>0</v>
      </c>
      <c r="P100" s="109">
        <f t="shared" si="114"/>
        <v>0</v>
      </c>
      <c r="Q100" s="138">
        <f t="shared" si="115"/>
        <v>0</v>
      </c>
      <c r="R100" s="37">
        <v>0</v>
      </c>
      <c r="S100" s="109">
        <f t="shared" si="116"/>
        <v>0</v>
      </c>
      <c r="T100" s="138">
        <f t="shared" si="117"/>
        <v>0</v>
      </c>
    </row>
    <row r="101" spans="2:20" x14ac:dyDescent="0.25">
      <c r="B101" s="28" t="s">
        <v>586</v>
      </c>
      <c r="C101" s="17" t="s">
        <v>359</v>
      </c>
      <c r="D101" s="37">
        <v>589.39</v>
      </c>
      <c r="E101" s="109">
        <f t="shared" si="108"/>
        <v>1.8351936962424534E-3</v>
      </c>
      <c r="F101" s="37">
        <v>1060.74</v>
      </c>
      <c r="G101" s="109">
        <f t="shared" si="109"/>
        <v>2.9660567777545907E-3</v>
      </c>
      <c r="H101" s="138">
        <f t="shared" si="110"/>
        <v>-471.35</v>
      </c>
      <c r="I101" s="37">
        <v>103.58</v>
      </c>
      <c r="J101" s="109">
        <f t="shared" si="111"/>
        <v>5.1409681458506262E-4</v>
      </c>
      <c r="K101" s="138">
        <f t="shared" si="112"/>
        <v>485.81</v>
      </c>
      <c r="L101" s="75"/>
      <c r="M101" s="90">
        <v>4398.07</v>
      </c>
      <c r="N101" s="109">
        <f t="shared" si="113"/>
        <v>2.025797209448418E-3</v>
      </c>
      <c r="O101" s="37">
        <v>7733.34</v>
      </c>
      <c r="P101" s="109">
        <f t="shared" si="114"/>
        <v>2.9658560450882957E-3</v>
      </c>
      <c r="Q101" s="138">
        <f t="shared" si="115"/>
        <v>-3335.2700000000004</v>
      </c>
      <c r="R101" s="37">
        <v>2483.5100000000002</v>
      </c>
      <c r="S101" s="109">
        <f t="shared" si="116"/>
        <v>1.7810637476759403E-3</v>
      </c>
      <c r="T101" s="138">
        <f t="shared" si="117"/>
        <v>1914.5599999999995</v>
      </c>
    </row>
    <row r="102" spans="2:20" x14ac:dyDescent="0.25">
      <c r="B102" s="28" t="s">
        <v>611</v>
      </c>
      <c r="C102" s="17" t="s">
        <v>612</v>
      </c>
      <c r="D102" s="37">
        <v>0</v>
      </c>
      <c r="E102" s="109">
        <f t="shared" si="108"/>
        <v>0</v>
      </c>
      <c r="F102" s="37">
        <v>0</v>
      </c>
      <c r="G102" s="109">
        <f t="shared" si="109"/>
        <v>0</v>
      </c>
      <c r="H102" s="145">
        <f t="shared" si="110"/>
        <v>0</v>
      </c>
      <c r="I102" s="37">
        <v>0</v>
      </c>
      <c r="J102" s="109">
        <f t="shared" si="111"/>
        <v>0</v>
      </c>
      <c r="K102" s="145">
        <f t="shared" si="112"/>
        <v>0</v>
      </c>
      <c r="L102" s="75"/>
      <c r="M102" s="90">
        <v>0</v>
      </c>
      <c r="N102" s="109">
        <f t="shared" si="113"/>
        <v>0</v>
      </c>
      <c r="O102" s="37">
        <v>0</v>
      </c>
      <c r="P102" s="109">
        <f t="shared" si="114"/>
        <v>0</v>
      </c>
      <c r="Q102" s="145">
        <f t="shared" si="115"/>
        <v>0</v>
      </c>
      <c r="R102" s="37">
        <v>0</v>
      </c>
      <c r="S102" s="109">
        <f t="shared" si="116"/>
        <v>0</v>
      </c>
      <c r="T102" s="145">
        <f t="shared" si="117"/>
        <v>0</v>
      </c>
    </row>
    <row r="103" spans="2:20" x14ac:dyDescent="0.25">
      <c r="B103" s="28" t="s">
        <v>608</v>
      </c>
      <c r="C103" s="17" t="s">
        <v>49</v>
      </c>
      <c r="D103" s="308">
        <v>0</v>
      </c>
      <c r="E103" s="157">
        <f t="shared" si="108"/>
        <v>0</v>
      </c>
      <c r="F103" s="160">
        <v>0</v>
      </c>
      <c r="G103" s="157">
        <f t="shared" si="109"/>
        <v>0</v>
      </c>
      <c r="H103" s="142">
        <f t="shared" si="110"/>
        <v>0</v>
      </c>
      <c r="I103" s="37">
        <v>0</v>
      </c>
      <c r="J103" s="157">
        <f t="shared" si="111"/>
        <v>0</v>
      </c>
      <c r="K103" s="142">
        <f t="shared" si="112"/>
        <v>0</v>
      </c>
      <c r="L103" s="75"/>
      <c r="M103" s="232">
        <v>0</v>
      </c>
      <c r="N103" s="157">
        <f t="shared" si="113"/>
        <v>0</v>
      </c>
      <c r="O103" s="160">
        <v>0</v>
      </c>
      <c r="P103" s="157">
        <f t="shared" si="114"/>
        <v>0</v>
      </c>
      <c r="Q103" s="142">
        <f t="shared" si="115"/>
        <v>0</v>
      </c>
      <c r="R103" s="37">
        <v>0</v>
      </c>
      <c r="S103" s="157">
        <f t="shared" si="116"/>
        <v>0</v>
      </c>
      <c r="T103" s="142">
        <f t="shared" si="117"/>
        <v>0</v>
      </c>
    </row>
    <row r="104" spans="2:20" x14ac:dyDescent="0.25">
      <c r="B104" s="28" t="s">
        <v>599</v>
      </c>
      <c r="C104" s="18" t="s">
        <v>425</v>
      </c>
      <c r="D104" s="92">
        <f t="shared" ref="D104" si="118">+SUM(D66:D103)</f>
        <v>17274.84</v>
      </c>
      <c r="E104" s="84">
        <f t="shared" si="108"/>
        <v>5.3788963965450694E-2</v>
      </c>
      <c r="F104" s="92">
        <f t="shared" ref="F104" si="119">+SUM(F66:F103)</f>
        <v>19436.850806964001</v>
      </c>
      <c r="G104" s="84">
        <f t="shared" si="109"/>
        <v>5.434960789090669E-2</v>
      </c>
      <c r="H104" s="141">
        <f t="shared" si="110"/>
        <v>-2162.0108069640009</v>
      </c>
      <c r="I104" s="92">
        <f t="shared" ref="I104" si="120">+SUM(I66:I103)</f>
        <v>9372.8799999999992</v>
      </c>
      <c r="J104" s="84">
        <f t="shared" si="111"/>
        <v>4.652025247623133E-2</v>
      </c>
      <c r="K104" s="141">
        <f t="shared" si="112"/>
        <v>7901.9600000000009</v>
      </c>
      <c r="L104" s="75"/>
      <c r="M104" s="87">
        <f t="shared" ref="M104" si="121">+SUM(M66:M103)</f>
        <v>117883.57</v>
      </c>
      <c r="N104" s="84">
        <f t="shared" si="113"/>
        <v>5.4298409790161886E-2</v>
      </c>
      <c r="O104" s="92">
        <f t="shared" ref="O104" si="122">+SUM(O66:O103)</f>
        <v>142108.68757293699</v>
      </c>
      <c r="P104" s="84">
        <f t="shared" si="114"/>
        <v>5.4500889667046727E-2</v>
      </c>
      <c r="Q104" s="141">
        <f t="shared" si="115"/>
        <v>-24225.117572936986</v>
      </c>
      <c r="R104" s="92">
        <f t="shared" ref="R104" si="123">+SUM(R66:R103)</f>
        <v>69786.989999999991</v>
      </c>
      <c r="S104" s="84">
        <f t="shared" si="116"/>
        <v>5.0048148768647334E-2</v>
      </c>
      <c r="T104" s="141">
        <f t="shared" si="117"/>
        <v>48096.580000000016</v>
      </c>
    </row>
    <row r="105" spans="2:20" x14ac:dyDescent="0.25">
      <c r="B105" s="28"/>
      <c r="C105" s="16"/>
      <c r="D105" s="242"/>
      <c r="E105" s="32"/>
      <c r="F105" s="241"/>
      <c r="G105" s="32"/>
      <c r="H105" s="16"/>
      <c r="I105" s="241"/>
      <c r="J105" s="32"/>
      <c r="K105" s="305"/>
      <c r="L105" s="75"/>
      <c r="M105" s="241"/>
      <c r="N105" s="32"/>
      <c r="O105" s="241"/>
      <c r="P105" s="32"/>
      <c r="Q105" s="16"/>
      <c r="R105" s="241"/>
      <c r="S105" s="32"/>
      <c r="T105" s="80"/>
    </row>
    <row r="106" spans="2:20" x14ac:dyDescent="0.25">
      <c r="B106" s="14" t="s">
        <v>21</v>
      </c>
      <c r="C106" s="18" t="s">
        <v>426</v>
      </c>
      <c r="D106" s="143">
        <f t="shared" ref="D106" si="124">+D63+D104+D44</f>
        <v>239181.62</v>
      </c>
      <c r="E106" s="136">
        <f t="shared" ref="E106:E107" si="125">IFERROR(D106/D$35,"")</f>
        <v>0.74474388992188179</v>
      </c>
      <c r="F106" s="143">
        <f>F44+F63+F104</f>
        <v>245050.99580696403</v>
      </c>
      <c r="G106" s="136">
        <f t="shared" ref="G106:G107" si="126">IFERROR(F106/F$35,"")</f>
        <v>0.68521519600350456</v>
      </c>
      <c r="H106" s="132">
        <f>+D106-F106</f>
        <v>-5869.3758069640317</v>
      </c>
      <c r="I106" s="143">
        <f>I44+I63+I104</f>
        <v>181346.69</v>
      </c>
      <c r="J106" s="136">
        <f t="shared" ref="J106:J107" si="127">IFERROR(I106/I$35,"")</f>
        <v>0.90007487608172265</v>
      </c>
      <c r="K106" s="132">
        <f>+D106-I106</f>
        <v>57834.929999999993</v>
      </c>
      <c r="L106" s="75"/>
      <c r="M106" s="134">
        <f t="shared" ref="M106" si="128">+M63+M104+M44</f>
        <v>1563121.54</v>
      </c>
      <c r="N106" s="136">
        <f t="shared" ref="N106:N107" si="129">IFERROR(M106/M$35,"")</f>
        <v>0.71999018973338624</v>
      </c>
      <c r="O106" s="143">
        <f>O44+O63+O104</f>
        <v>1790295.0925729368</v>
      </c>
      <c r="P106" s="136">
        <f t="shared" ref="P106:P107" si="130">IFERROR(O106/O$35,"")</f>
        <v>0.68660598432234377</v>
      </c>
      <c r="Q106" s="132">
        <f>+M106-O106</f>
        <v>-227173.55257293675</v>
      </c>
      <c r="R106" s="143">
        <f>R44+R63+R104</f>
        <v>1182904.1100000001</v>
      </c>
      <c r="S106" s="136">
        <f t="shared" ref="S106:S107" si="131">IFERROR(R106/R$35,"")</f>
        <v>0.84832661326021341</v>
      </c>
      <c r="T106" s="234">
        <f>+M106-R106</f>
        <v>380217.42999999993</v>
      </c>
    </row>
    <row r="107" spans="2:20" ht="15.75" thickBot="1" x14ac:dyDescent="0.3">
      <c r="B107" s="28"/>
      <c r="C107" s="18" t="s">
        <v>427</v>
      </c>
      <c r="D107" s="144">
        <f t="shared" ref="D107" si="132">+D46-D106</f>
        <v>-2021.0299999999988</v>
      </c>
      <c r="E107" s="137">
        <f t="shared" si="125"/>
        <v>-6.2929155837677655E-3</v>
      </c>
      <c r="F107" s="144">
        <f t="shared" ref="F107" si="133">+F46-F106</f>
        <v>37549.714193035994</v>
      </c>
      <c r="G107" s="137">
        <f t="shared" si="126"/>
        <v>0.10499706269679862</v>
      </c>
      <c r="H107" s="133">
        <f>+D107-F107</f>
        <v>-39570.744193035993</v>
      </c>
      <c r="I107" s="144">
        <f t="shared" ref="I107" si="134">+I46-I106</f>
        <v>-29452.830000000016</v>
      </c>
      <c r="J107" s="137">
        <f t="shared" si="127"/>
        <v>-0.14618271947784686</v>
      </c>
      <c r="K107" s="133">
        <f>+D107-I107</f>
        <v>27431.800000000017</v>
      </c>
      <c r="L107" s="75"/>
      <c r="M107" s="135">
        <f t="shared" ref="M107" si="135">+M46-M106</f>
        <v>100267.83000000007</v>
      </c>
      <c r="N107" s="137">
        <f t="shared" si="129"/>
        <v>4.618441503010378E-2</v>
      </c>
      <c r="O107" s="144">
        <f t="shared" ref="O107" si="136">+O46-O106</f>
        <v>268401.06742706336</v>
      </c>
      <c r="P107" s="137">
        <f t="shared" si="130"/>
        <v>0.10293597958148834</v>
      </c>
      <c r="Q107" s="133">
        <f>+M107-O107</f>
        <v>-168133.23742706329</v>
      </c>
      <c r="R107" s="144">
        <f t="shared" ref="R107" si="137">+R46-R106</f>
        <v>-162706.11000000034</v>
      </c>
      <c r="S107" s="137">
        <f t="shared" si="131"/>
        <v>-0.11668564010065366</v>
      </c>
      <c r="T107" s="133">
        <f>+M107-R107</f>
        <v>262973.94000000041</v>
      </c>
    </row>
    <row r="108" spans="2:20" ht="15.75" thickTop="1" x14ac:dyDescent="0.25">
      <c r="B108" s="28"/>
    </row>
    <row r="109" spans="2:20" x14ac:dyDescent="0.25">
      <c r="B109" s="28"/>
    </row>
    <row r="110" spans="2:20" x14ac:dyDescent="0.25">
      <c r="B110" s="28"/>
    </row>
    <row r="112" spans="2:20" x14ac:dyDescent="0.25">
      <c r="D112" s="291"/>
      <c r="M112" s="291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4D44-DDB6-4E29-ACB2-67F954F124A0}">
  <dimension ref="B1:X52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6.28515625" bestFit="1" customWidth="1"/>
    <col min="7" max="7" width="8.7109375" customWidth="1"/>
    <col min="8" max="8" width="10.28515625" bestFit="1" customWidth="1"/>
    <col min="9" max="9" width="6.5703125" bestFit="1" customWidth="1"/>
    <col min="10" max="10" width="8.7109375" customWidth="1"/>
    <col min="11" max="11" width="10.28515625" bestFit="1" customWidth="1"/>
    <col min="13" max="13" width="7.28515625" bestFit="1" customWidth="1"/>
    <col min="14" max="14" width="8.7109375" customWidth="1"/>
    <col min="15" max="15" width="6.28515625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9</v>
      </c>
      <c r="D9" s="180"/>
      <c r="E9" s="236"/>
      <c r="F9" s="275"/>
      <c r="G9" s="276"/>
      <c r="H9" s="276"/>
      <c r="I9" s="276"/>
      <c r="J9" s="95"/>
      <c r="K9" s="235"/>
      <c r="M9" s="180"/>
      <c r="N9" s="236"/>
      <c r="O9" s="275"/>
      <c r="P9" s="276"/>
      <c r="Q9" s="276"/>
      <c r="R9" s="276"/>
      <c r="S9" s="95"/>
      <c r="T9" s="235"/>
    </row>
    <row r="10" spans="2:22" x14ac:dyDescent="0.25">
      <c r="B10" s="14" t="s">
        <v>271</v>
      </c>
      <c r="C10" s="17" t="s">
        <v>60</v>
      </c>
      <c r="D10" s="37">
        <v>58.56</v>
      </c>
      <c r="E10" s="109">
        <f t="shared" ref="E10:E17" si="0">+IFERROR(D10/D$17,"")</f>
        <v>3.8020789372877728E-2</v>
      </c>
      <c r="F10" s="37">
        <v>73.709999999999994</v>
      </c>
      <c r="G10" s="109">
        <f t="shared" ref="G10:G17" si="1">+IFERROR(F10/F$17,"")</f>
        <v>5.7087757615186217E-2</v>
      </c>
      <c r="H10" s="145">
        <f t="shared" ref="H10:H17" si="2">+D10-F10</f>
        <v>-15.149999999999991</v>
      </c>
      <c r="I10" s="37">
        <v>125.94</v>
      </c>
      <c r="J10" s="109">
        <f t="shared" ref="J10:J17" si="3">+IFERROR(I10/I$17,"")</f>
        <v>0.12963858894253039</v>
      </c>
      <c r="K10" s="145">
        <f t="shared" ref="K10:K17" si="4">+D10-I10</f>
        <v>-67.38</v>
      </c>
      <c r="M10" s="37">
        <v>450.8</v>
      </c>
      <c r="N10" s="109">
        <f t="shared" ref="N10:N17" si="5">+IFERROR(M10/M$17,"")</f>
        <v>3.3936634551830158E-2</v>
      </c>
      <c r="O10" s="37">
        <v>514.16999999999996</v>
      </c>
      <c r="P10" s="109">
        <f t="shared" ref="P10:P17" si="6">+IFERROR(O10/O$17,"")</f>
        <v>5.7088198752246959E-2</v>
      </c>
      <c r="Q10" s="145">
        <f t="shared" ref="Q10:Q17" si="7">+M10-O10</f>
        <v>-63.369999999999948</v>
      </c>
      <c r="R10" s="37">
        <v>311.99</v>
      </c>
      <c r="S10" s="109">
        <f t="shared" ref="S10:S17" si="8">+IFERROR(R10/R$17,"")</f>
        <v>3.5195005758854592E-2</v>
      </c>
      <c r="T10" s="145">
        <f t="shared" ref="T10:T17" si="9">+M10-R10</f>
        <v>138.81</v>
      </c>
    </row>
    <row r="11" spans="2:22" x14ac:dyDescent="0.25">
      <c r="B11" s="14" t="s">
        <v>272</v>
      </c>
      <c r="C11" s="17" t="s">
        <v>56</v>
      </c>
      <c r="D11" s="37">
        <v>0</v>
      </c>
      <c r="E11" s="109">
        <f t="shared" si="0"/>
        <v>0</v>
      </c>
      <c r="F11" s="37">
        <v>0</v>
      </c>
      <c r="G11" s="109">
        <f t="shared" si="1"/>
        <v>0</v>
      </c>
      <c r="H11" s="145">
        <f t="shared" si="2"/>
        <v>0</v>
      </c>
      <c r="I11" s="37">
        <v>0</v>
      </c>
      <c r="J11" s="109">
        <f t="shared" si="3"/>
        <v>0</v>
      </c>
      <c r="K11" s="145">
        <f t="shared" si="4"/>
        <v>0</v>
      </c>
      <c r="M11" s="37">
        <v>0</v>
      </c>
      <c r="N11" s="109">
        <f t="shared" si="5"/>
        <v>0</v>
      </c>
      <c r="O11" s="37">
        <v>0</v>
      </c>
      <c r="P11" s="109">
        <f t="shared" si="6"/>
        <v>0</v>
      </c>
      <c r="Q11" s="145">
        <f t="shared" si="7"/>
        <v>0</v>
      </c>
      <c r="R11" s="37">
        <v>0</v>
      </c>
      <c r="S11" s="109">
        <f t="shared" si="8"/>
        <v>0</v>
      </c>
      <c r="T11" s="145">
        <f t="shared" si="9"/>
        <v>0</v>
      </c>
    </row>
    <row r="12" spans="2:22" x14ac:dyDescent="0.25">
      <c r="B12" s="14" t="s">
        <v>286</v>
      </c>
      <c r="C12" s="17" t="s">
        <v>58</v>
      </c>
      <c r="D12" s="37">
        <v>0</v>
      </c>
      <c r="E12" s="109">
        <f t="shared" si="0"/>
        <v>0</v>
      </c>
      <c r="F12" s="37">
        <v>0</v>
      </c>
      <c r="G12" s="109">
        <f t="shared" si="1"/>
        <v>0</v>
      </c>
      <c r="H12" s="145">
        <f t="shared" si="2"/>
        <v>0</v>
      </c>
      <c r="I12" s="37">
        <v>0</v>
      </c>
      <c r="J12" s="109">
        <f t="shared" si="3"/>
        <v>0</v>
      </c>
      <c r="K12" s="145">
        <f t="shared" si="4"/>
        <v>0</v>
      </c>
      <c r="M12" s="37">
        <v>0</v>
      </c>
      <c r="N12" s="109">
        <f t="shared" si="5"/>
        <v>0</v>
      </c>
      <c r="O12" s="37">
        <v>0</v>
      </c>
      <c r="P12" s="109">
        <f t="shared" si="6"/>
        <v>0</v>
      </c>
      <c r="Q12" s="145">
        <f t="shared" si="7"/>
        <v>0</v>
      </c>
      <c r="R12" s="37">
        <v>0</v>
      </c>
      <c r="S12" s="109">
        <f t="shared" si="8"/>
        <v>0</v>
      </c>
      <c r="T12" s="145">
        <f t="shared" si="9"/>
        <v>0</v>
      </c>
    </row>
    <row r="13" spans="2:22" x14ac:dyDescent="0.25">
      <c r="B13" s="14" t="s">
        <v>278</v>
      </c>
      <c r="C13" s="17" t="s">
        <v>61</v>
      </c>
      <c r="D13" s="37">
        <v>697.65</v>
      </c>
      <c r="E13" s="109">
        <f t="shared" si="0"/>
        <v>0.4529577135585407</v>
      </c>
      <c r="F13" s="37">
        <v>483.36</v>
      </c>
      <c r="G13" s="109">
        <f t="shared" si="1"/>
        <v>0.37435814029136366</v>
      </c>
      <c r="H13" s="145">
        <f t="shared" si="2"/>
        <v>214.28999999999996</v>
      </c>
      <c r="I13" s="37">
        <v>191.53</v>
      </c>
      <c r="J13" s="109">
        <f t="shared" si="3"/>
        <v>0.19715482722060382</v>
      </c>
      <c r="K13" s="145">
        <f t="shared" si="4"/>
        <v>506.12</v>
      </c>
      <c r="M13" s="37">
        <v>7892.78</v>
      </c>
      <c r="N13" s="109">
        <f t="shared" si="5"/>
        <v>0.59417566649954301</v>
      </c>
      <c r="O13" s="37">
        <v>3371.68</v>
      </c>
      <c r="P13" s="109">
        <f t="shared" si="6"/>
        <v>0.37435699859769345</v>
      </c>
      <c r="Q13" s="145">
        <f t="shared" si="7"/>
        <v>4521.1000000000004</v>
      </c>
      <c r="R13" s="37">
        <v>3233.87</v>
      </c>
      <c r="S13" s="109">
        <f t="shared" si="8"/>
        <v>0.36480679917108588</v>
      </c>
      <c r="T13" s="145">
        <f t="shared" si="9"/>
        <v>4658.91</v>
      </c>
    </row>
    <row r="14" spans="2:22" x14ac:dyDescent="0.25">
      <c r="B14" s="14" t="s">
        <v>299</v>
      </c>
      <c r="C14" s="17" t="s">
        <v>434</v>
      </c>
      <c r="D14" s="37">
        <v>0</v>
      </c>
      <c r="E14" s="109">
        <f t="shared" si="0"/>
        <v>0</v>
      </c>
      <c r="F14" s="37">
        <v>0</v>
      </c>
      <c r="G14" s="109">
        <f t="shared" si="1"/>
        <v>0</v>
      </c>
      <c r="H14" s="145">
        <f t="shared" si="2"/>
        <v>0</v>
      </c>
      <c r="I14" s="37">
        <v>0</v>
      </c>
      <c r="J14" s="109">
        <f t="shared" si="3"/>
        <v>0</v>
      </c>
      <c r="K14" s="145">
        <f t="shared" si="4"/>
        <v>0</v>
      </c>
      <c r="M14" s="37">
        <v>0</v>
      </c>
      <c r="N14" s="109">
        <f t="shared" si="5"/>
        <v>0</v>
      </c>
      <c r="O14" s="37">
        <v>0</v>
      </c>
      <c r="P14" s="109">
        <f t="shared" si="6"/>
        <v>0</v>
      </c>
      <c r="Q14" s="145">
        <f t="shared" si="7"/>
        <v>0</v>
      </c>
      <c r="R14" s="37">
        <v>0</v>
      </c>
      <c r="S14" s="109">
        <f t="shared" si="8"/>
        <v>0</v>
      </c>
      <c r="T14" s="145">
        <f t="shared" si="9"/>
        <v>0</v>
      </c>
    </row>
    <row r="15" spans="2:22" x14ac:dyDescent="0.25">
      <c r="B15" s="14" t="s">
        <v>280</v>
      </c>
      <c r="C15" s="17" t="s">
        <v>437</v>
      </c>
      <c r="D15" s="37">
        <v>0</v>
      </c>
      <c r="E15" s="109">
        <f t="shared" si="0"/>
        <v>0</v>
      </c>
      <c r="F15" s="37">
        <v>0</v>
      </c>
      <c r="G15" s="109">
        <f t="shared" si="1"/>
        <v>0</v>
      </c>
      <c r="H15" s="145">
        <f t="shared" si="2"/>
        <v>0</v>
      </c>
      <c r="I15" s="37">
        <v>0</v>
      </c>
      <c r="J15" s="109">
        <f t="shared" si="3"/>
        <v>0</v>
      </c>
      <c r="K15" s="145">
        <f t="shared" si="4"/>
        <v>0</v>
      </c>
      <c r="M15" s="37">
        <v>0</v>
      </c>
      <c r="N15" s="109">
        <f t="shared" si="5"/>
        <v>0</v>
      </c>
      <c r="O15" s="37">
        <v>0</v>
      </c>
      <c r="P15" s="109">
        <f t="shared" si="6"/>
        <v>0</v>
      </c>
      <c r="Q15" s="145">
        <f t="shared" si="7"/>
        <v>0</v>
      </c>
      <c r="R15" s="37">
        <v>0</v>
      </c>
      <c r="S15" s="109">
        <f t="shared" si="8"/>
        <v>0</v>
      </c>
      <c r="T15" s="145">
        <f t="shared" si="9"/>
        <v>0</v>
      </c>
    </row>
    <row r="16" spans="2:22" x14ac:dyDescent="0.25">
      <c r="B16" s="14" t="s">
        <v>281</v>
      </c>
      <c r="C16" s="17" t="s">
        <v>438</v>
      </c>
      <c r="D16" s="231">
        <v>784</v>
      </c>
      <c r="E16" s="157">
        <f t="shared" si="0"/>
        <v>0.50902149706858157</v>
      </c>
      <c r="F16" s="160">
        <v>734.1</v>
      </c>
      <c r="G16" s="157">
        <f t="shared" si="1"/>
        <v>0.56855410209345014</v>
      </c>
      <c r="H16" s="142">
        <f t="shared" si="2"/>
        <v>49.899999999999977</v>
      </c>
      <c r="I16" s="37">
        <v>654</v>
      </c>
      <c r="J16" s="157">
        <f t="shared" si="3"/>
        <v>0.67320658383686571</v>
      </c>
      <c r="K16" s="142">
        <f t="shared" si="4"/>
        <v>130</v>
      </c>
      <c r="M16" s="231">
        <v>4940</v>
      </c>
      <c r="N16" s="157">
        <f t="shared" si="5"/>
        <v>0.37188769894862678</v>
      </c>
      <c r="O16" s="160">
        <v>5120.74</v>
      </c>
      <c r="P16" s="157">
        <f t="shared" si="6"/>
        <v>0.56855480265005953</v>
      </c>
      <c r="Q16" s="142">
        <f t="shared" si="7"/>
        <v>-180.73999999999978</v>
      </c>
      <c r="R16" s="37">
        <v>5318.75</v>
      </c>
      <c r="S16" s="157">
        <f t="shared" si="8"/>
        <v>0.59999819507005947</v>
      </c>
      <c r="T16" s="142">
        <f t="shared" si="9"/>
        <v>-378.75</v>
      </c>
    </row>
    <row r="17" spans="2:20" x14ac:dyDescent="0.25">
      <c r="B17" s="14" t="s">
        <v>14</v>
      </c>
      <c r="C17" s="18" t="s">
        <v>435</v>
      </c>
      <c r="D17" s="68">
        <f t="shared" ref="D17" si="10">SUM(D10:D16)</f>
        <v>1540.21</v>
      </c>
      <c r="E17" s="230">
        <f t="shared" si="0"/>
        <v>1</v>
      </c>
      <c r="F17" s="68">
        <f>SUM(F10:F16)</f>
        <v>1291.17</v>
      </c>
      <c r="G17" s="230">
        <f t="shared" si="1"/>
        <v>1</v>
      </c>
      <c r="H17" s="234">
        <f t="shared" si="2"/>
        <v>249.03999999999996</v>
      </c>
      <c r="I17" s="233">
        <f>SUM(I10:I16)</f>
        <v>971.47</v>
      </c>
      <c r="J17" s="230">
        <f t="shared" si="3"/>
        <v>1</v>
      </c>
      <c r="K17" s="234">
        <f t="shared" si="4"/>
        <v>568.74</v>
      </c>
      <c r="M17" s="68">
        <f t="shared" ref="M17" si="11">SUM(M10:M16)</f>
        <v>13283.58</v>
      </c>
      <c r="N17" s="230">
        <f t="shared" si="5"/>
        <v>1</v>
      </c>
      <c r="O17" s="68">
        <f>SUM(O10:O16)</f>
        <v>9006.59</v>
      </c>
      <c r="P17" s="230">
        <f t="shared" si="6"/>
        <v>1</v>
      </c>
      <c r="Q17" s="234">
        <f t="shared" si="7"/>
        <v>4276.99</v>
      </c>
      <c r="R17" s="233">
        <f>SUM(R10:R16)</f>
        <v>8864.61</v>
      </c>
      <c r="S17" s="230">
        <f t="shared" si="8"/>
        <v>1</v>
      </c>
      <c r="T17" s="234">
        <f t="shared" si="9"/>
        <v>4418.9699999999993</v>
      </c>
    </row>
    <row r="18" spans="2:20" x14ac:dyDescent="0.25">
      <c r="B18" s="14"/>
      <c r="C18" s="18"/>
      <c r="D18" s="49"/>
      <c r="E18" s="16"/>
      <c r="F18" s="31"/>
      <c r="G18" s="16"/>
      <c r="H18" s="31"/>
      <c r="I18" s="16"/>
      <c r="J18" s="16"/>
      <c r="K18" s="103"/>
      <c r="M18" s="49"/>
      <c r="N18" s="16"/>
      <c r="O18" s="31"/>
      <c r="P18" s="16"/>
      <c r="Q18" s="31"/>
      <c r="R18" s="16"/>
      <c r="S18" s="16"/>
      <c r="T18" s="103"/>
    </row>
    <row r="19" spans="2:20" x14ac:dyDescent="0.25">
      <c r="B19" s="14"/>
      <c r="C19" s="15" t="s">
        <v>436</v>
      </c>
      <c r="D19" s="49"/>
      <c r="E19" s="16"/>
      <c r="F19" s="16"/>
      <c r="G19" s="16"/>
      <c r="H19" s="16"/>
      <c r="I19" s="16"/>
      <c r="J19" s="16"/>
      <c r="K19" s="102"/>
      <c r="M19" s="49"/>
      <c r="N19" s="16"/>
      <c r="O19" s="16"/>
      <c r="P19" s="16"/>
      <c r="Q19" s="16"/>
      <c r="R19" s="16"/>
      <c r="S19" s="16"/>
      <c r="T19" s="102"/>
    </row>
    <row r="20" spans="2:20" x14ac:dyDescent="0.25">
      <c r="B20" s="14" t="s">
        <v>260</v>
      </c>
      <c r="C20" s="17" t="s">
        <v>60</v>
      </c>
      <c r="D20" s="37">
        <v>27</v>
      </c>
      <c r="E20" s="52">
        <f t="shared" ref="E20:E27" si="12">+IFERROR(D20/D10,"")</f>
        <v>0.46106557377049179</v>
      </c>
      <c r="F20" s="37">
        <v>33.909999999999997</v>
      </c>
      <c r="G20" s="109">
        <f t="shared" ref="G20:G27" si="13">+IFERROR(F20/F10,"")</f>
        <v>0.46004612671279338</v>
      </c>
      <c r="H20" s="145">
        <f t="shared" ref="H20:H27" si="14">+D20-F20</f>
        <v>-6.9099999999999966</v>
      </c>
      <c r="I20" s="37">
        <v>57.68</v>
      </c>
      <c r="J20" s="109">
        <f t="shared" ref="J20:J27" si="15">+IFERROR(I20/I10,"")</f>
        <v>0.45799587104970624</v>
      </c>
      <c r="K20" s="145">
        <f t="shared" ref="K20:K27" si="16">+D20-I20</f>
        <v>-30.68</v>
      </c>
      <c r="M20" s="37">
        <v>207</v>
      </c>
      <c r="N20" s="52">
        <f t="shared" ref="N20:N27" si="17">+IFERROR(M20/M10,"")</f>
        <v>0.45918367346938777</v>
      </c>
      <c r="O20" s="37">
        <v>236.52</v>
      </c>
      <c r="P20" s="109">
        <f t="shared" ref="P20:P27" si="18">+IFERROR(O20/O10,"")</f>
        <v>0.46000350078767727</v>
      </c>
      <c r="Q20" s="145">
        <f t="shared" ref="Q20:Q27" si="19">+M20-O20</f>
        <v>-29.52000000000001</v>
      </c>
      <c r="R20" s="37">
        <v>145.68</v>
      </c>
      <c r="S20" s="109">
        <f t="shared" ref="S20:S24" si="20">+IFERROR(R20/R10,"")</f>
        <v>0.46693804288598995</v>
      </c>
      <c r="T20" s="145">
        <f t="shared" ref="T20:T27" si="21">+M20-R20</f>
        <v>61.319999999999993</v>
      </c>
    </row>
    <row r="21" spans="2:20" x14ac:dyDescent="0.25">
      <c r="B21" s="14" t="s">
        <v>257</v>
      </c>
      <c r="C21" s="17" t="s">
        <v>56</v>
      </c>
      <c r="D21" s="37">
        <v>0</v>
      </c>
      <c r="E21" s="52" t="str">
        <f t="shared" si="12"/>
        <v/>
      </c>
      <c r="F21" s="37">
        <v>0</v>
      </c>
      <c r="G21" s="109" t="str">
        <f t="shared" si="13"/>
        <v/>
      </c>
      <c r="H21" s="145">
        <f t="shared" si="14"/>
        <v>0</v>
      </c>
      <c r="I21" s="37">
        <v>0</v>
      </c>
      <c r="J21" s="109" t="str">
        <f t="shared" si="15"/>
        <v/>
      </c>
      <c r="K21" s="145">
        <f t="shared" si="16"/>
        <v>0</v>
      </c>
      <c r="M21" s="37">
        <v>0</v>
      </c>
      <c r="N21" s="52" t="str">
        <f t="shared" si="17"/>
        <v/>
      </c>
      <c r="O21" s="37">
        <v>0</v>
      </c>
      <c r="P21" s="109" t="str">
        <f t="shared" si="18"/>
        <v/>
      </c>
      <c r="Q21" s="145">
        <f t="shared" si="19"/>
        <v>0</v>
      </c>
      <c r="R21" s="37">
        <v>0</v>
      </c>
      <c r="S21" s="109" t="str">
        <f t="shared" si="20"/>
        <v/>
      </c>
      <c r="T21" s="145">
        <f t="shared" si="21"/>
        <v>0</v>
      </c>
    </row>
    <row r="22" spans="2:20" x14ac:dyDescent="0.25">
      <c r="B22" s="14" t="s">
        <v>258</v>
      </c>
      <c r="C22" s="17" t="s">
        <v>58</v>
      </c>
      <c r="D22" s="37">
        <v>0</v>
      </c>
      <c r="E22" s="52" t="str">
        <f t="shared" si="12"/>
        <v/>
      </c>
      <c r="F22" s="37">
        <v>0</v>
      </c>
      <c r="G22" s="109" t="str">
        <f t="shared" si="13"/>
        <v/>
      </c>
      <c r="H22" s="145">
        <f t="shared" si="14"/>
        <v>0</v>
      </c>
      <c r="I22" s="37">
        <v>0</v>
      </c>
      <c r="J22" s="109" t="str">
        <f t="shared" si="15"/>
        <v/>
      </c>
      <c r="K22" s="145">
        <f t="shared" si="16"/>
        <v>0</v>
      </c>
      <c r="M22" s="37">
        <v>0</v>
      </c>
      <c r="N22" s="52" t="str">
        <f t="shared" si="17"/>
        <v/>
      </c>
      <c r="O22" s="37">
        <v>0</v>
      </c>
      <c r="P22" s="109" t="str">
        <f t="shared" si="18"/>
        <v/>
      </c>
      <c r="Q22" s="145">
        <f t="shared" si="19"/>
        <v>0</v>
      </c>
      <c r="R22" s="37">
        <v>0</v>
      </c>
      <c r="S22" s="109" t="str">
        <f t="shared" si="20"/>
        <v/>
      </c>
      <c r="T22" s="145">
        <f t="shared" si="21"/>
        <v>0</v>
      </c>
    </row>
    <row r="23" spans="2:20" x14ac:dyDescent="0.25">
      <c r="B23" s="14" t="s">
        <v>261</v>
      </c>
      <c r="C23" s="17" t="s">
        <v>61</v>
      </c>
      <c r="D23" s="37">
        <v>526.64</v>
      </c>
      <c r="E23" s="52">
        <f t="shared" si="12"/>
        <v>0.75487708736472448</v>
      </c>
      <c r="F23" s="37">
        <v>406.51</v>
      </c>
      <c r="G23" s="109">
        <f t="shared" si="13"/>
        <v>0.84100877192982448</v>
      </c>
      <c r="H23" s="145">
        <f t="shared" si="14"/>
        <v>120.13</v>
      </c>
      <c r="I23" s="37">
        <v>149</v>
      </c>
      <c r="J23" s="109">
        <f t="shared" si="15"/>
        <v>0.77794601367931915</v>
      </c>
      <c r="K23" s="145">
        <f t="shared" si="16"/>
        <v>377.64</v>
      </c>
      <c r="M23" s="37">
        <v>6181.13</v>
      </c>
      <c r="N23" s="52">
        <f t="shared" si="17"/>
        <v>0.78313724695227793</v>
      </c>
      <c r="O23" s="37">
        <v>2835.59</v>
      </c>
      <c r="P23" s="109">
        <f t="shared" si="18"/>
        <v>0.84100211170692363</v>
      </c>
      <c r="Q23" s="145">
        <f t="shared" si="19"/>
        <v>3345.54</v>
      </c>
      <c r="R23" s="37">
        <v>2677.27</v>
      </c>
      <c r="S23" s="109">
        <f t="shared" si="20"/>
        <v>0.82788423777084419</v>
      </c>
      <c r="T23" s="145">
        <f t="shared" si="21"/>
        <v>3503.86</v>
      </c>
    </row>
    <row r="24" spans="2:20" x14ac:dyDescent="0.25">
      <c r="B24" s="14" t="s">
        <v>259</v>
      </c>
      <c r="C24" s="17" t="s">
        <v>434</v>
      </c>
      <c r="D24" s="37">
        <v>0</v>
      </c>
      <c r="E24" s="52" t="str">
        <f t="shared" si="12"/>
        <v/>
      </c>
      <c r="F24" s="37">
        <v>0</v>
      </c>
      <c r="G24" s="109" t="str">
        <f t="shared" si="13"/>
        <v/>
      </c>
      <c r="H24" s="145">
        <f t="shared" si="14"/>
        <v>0</v>
      </c>
      <c r="I24" s="37">
        <v>0</v>
      </c>
      <c r="J24" s="109" t="str">
        <f t="shared" si="15"/>
        <v/>
      </c>
      <c r="K24" s="145">
        <f t="shared" si="16"/>
        <v>0</v>
      </c>
      <c r="M24" s="37">
        <v>0</v>
      </c>
      <c r="N24" s="52" t="str">
        <f t="shared" si="17"/>
        <v/>
      </c>
      <c r="O24" s="37">
        <v>0</v>
      </c>
      <c r="P24" s="109" t="str">
        <f t="shared" si="18"/>
        <v/>
      </c>
      <c r="Q24" s="145">
        <f t="shared" si="19"/>
        <v>0</v>
      </c>
      <c r="R24" s="37">
        <v>0</v>
      </c>
      <c r="S24" s="109" t="str">
        <f t="shared" si="20"/>
        <v/>
      </c>
      <c r="T24" s="145">
        <f t="shared" si="21"/>
        <v>0</v>
      </c>
    </row>
    <row r="25" spans="2:20" x14ac:dyDescent="0.25">
      <c r="B25" s="14" t="s">
        <v>262</v>
      </c>
      <c r="C25" s="17" t="s">
        <v>437</v>
      </c>
      <c r="D25" s="37">
        <v>0</v>
      </c>
      <c r="E25" s="52" t="str">
        <f t="shared" si="12"/>
        <v/>
      </c>
      <c r="F25" s="37">
        <v>0</v>
      </c>
      <c r="G25" s="109" t="str">
        <f t="shared" si="13"/>
        <v/>
      </c>
      <c r="H25" s="145">
        <f t="shared" si="14"/>
        <v>0</v>
      </c>
      <c r="I25" s="37">
        <v>0</v>
      </c>
      <c r="J25" s="109" t="str">
        <f>+IFERROR(I25/I15,"")</f>
        <v/>
      </c>
      <c r="K25" s="145">
        <f t="shared" si="16"/>
        <v>0</v>
      </c>
      <c r="M25" s="37">
        <v>0</v>
      </c>
      <c r="N25" s="52" t="str">
        <f t="shared" si="17"/>
        <v/>
      </c>
      <c r="O25" s="37">
        <v>0</v>
      </c>
      <c r="P25" s="109" t="str">
        <f t="shared" si="18"/>
        <v/>
      </c>
      <c r="Q25" s="145">
        <f t="shared" si="19"/>
        <v>0</v>
      </c>
      <c r="R25" s="37">
        <v>0</v>
      </c>
      <c r="S25" s="109" t="str">
        <f>+IFERROR(R25/R15,"")</f>
        <v/>
      </c>
      <c r="T25" s="145">
        <f t="shared" si="21"/>
        <v>0</v>
      </c>
    </row>
    <row r="26" spans="2:20" x14ac:dyDescent="0.25">
      <c r="B26" s="14" t="s">
        <v>263</v>
      </c>
      <c r="C26" s="17" t="s">
        <v>438</v>
      </c>
      <c r="D26" s="307">
        <v>0</v>
      </c>
      <c r="E26" s="128">
        <f t="shared" si="12"/>
        <v>0</v>
      </c>
      <c r="F26" s="160">
        <v>0</v>
      </c>
      <c r="G26" s="157">
        <f t="shared" si="13"/>
        <v>0</v>
      </c>
      <c r="H26" s="142">
        <f t="shared" si="14"/>
        <v>0</v>
      </c>
      <c r="I26" s="37">
        <v>0</v>
      </c>
      <c r="J26" s="157">
        <f t="shared" si="15"/>
        <v>0</v>
      </c>
      <c r="K26" s="142">
        <f t="shared" si="16"/>
        <v>0</v>
      </c>
      <c r="M26" s="307">
        <v>0</v>
      </c>
      <c r="N26" s="128">
        <f t="shared" si="17"/>
        <v>0</v>
      </c>
      <c r="O26" s="160">
        <v>0</v>
      </c>
      <c r="P26" s="157">
        <f t="shared" si="18"/>
        <v>0</v>
      </c>
      <c r="Q26" s="142">
        <f t="shared" si="19"/>
        <v>0</v>
      </c>
      <c r="R26" s="37">
        <v>0</v>
      </c>
      <c r="S26" s="157">
        <f t="shared" ref="S26:S27" si="22">+IFERROR(R26/R16,"")</f>
        <v>0</v>
      </c>
      <c r="T26" s="142">
        <f t="shared" si="21"/>
        <v>0</v>
      </c>
    </row>
    <row r="27" spans="2:20" x14ac:dyDescent="0.25">
      <c r="B27" s="14" t="s">
        <v>22</v>
      </c>
      <c r="C27" s="18" t="s">
        <v>380</v>
      </c>
      <c r="D27" s="67">
        <f t="shared" ref="D27" si="23">SUM(D20:D26)</f>
        <v>553.64</v>
      </c>
      <c r="E27" s="69">
        <f t="shared" si="12"/>
        <v>0.35945747657786925</v>
      </c>
      <c r="F27" s="68">
        <f>SUM(F20:F26)</f>
        <v>440.41999999999996</v>
      </c>
      <c r="G27" s="230">
        <f t="shared" si="13"/>
        <v>0.34110148160195786</v>
      </c>
      <c r="H27" s="234">
        <f t="shared" si="14"/>
        <v>113.22000000000003</v>
      </c>
      <c r="I27" s="233">
        <f>SUM(I20:I26)</f>
        <v>206.68</v>
      </c>
      <c r="J27" s="230">
        <f t="shared" si="15"/>
        <v>0.21274975037829269</v>
      </c>
      <c r="K27" s="234">
        <f t="shared" si="16"/>
        <v>346.96</v>
      </c>
      <c r="M27" s="67">
        <f t="shared" ref="M27" si="24">SUM(M20:M26)</f>
        <v>6388.13</v>
      </c>
      <c r="N27" s="69">
        <f t="shared" si="17"/>
        <v>0.48090424418718447</v>
      </c>
      <c r="O27" s="68">
        <f>SUM(O20:O26)</f>
        <v>3072.11</v>
      </c>
      <c r="P27" s="230">
        <f t="shared" si="18"/>
        <v>0.34109579763262232</v>
      </c>
      <c r="Q27" s="234">
        <f t="shared" si="19"/>
        <v>3316.02</v>
      </c>
      <c r="R27" s="233">
        <f>SUM(R20:R26)</f>
        <v>2822.95</v>
      </c>
      <c r="S27" s="230">
        <f t="shared" si="22"/>
        <v>0.3184516859737766</v>
      </c>
      <c r="T27" s="234">
        <f t="shared" si="21"/>
        <v>3565.1800000000003</v>
      </c>
    </row>
    <row r="28" spans="2:20" x14ac:dyDescent="0.25">
      <c r="B28" s="14"/>
      <c r="C28" s="18"/>
      <c r="D28" s="49"/>
      <c r="E28" s="32"/>
      <c r="F28" s="31"/>
      <c r="G28" s="32"/>
      <c r="H28" s="16"/>
      <c r="I28" s="31"/>
      <c r="J28" s="32"/>
      <c r="K28" s="50"/>
      <c r="M28" s="49"/>
      <c r="N28" s="32"/>
      <c r="O28" s="31"/>
      <c r="P28" s="32"/>
      <c r="Q28" s="16"/>
      <c r="R28" s="31"/>
      <c r="S28" s="32"/>
      <c r="T28" s="50"/>
    </row>
    <row r="29" spans="2:20" x14ac:dyDescent="0.25">
      <c r="B29" s="14"/>
      <c r="C29" s="15" t="s">
        <v>427</v>
      </c>
      <c r="D29" s="49"/>
      <c r="E29" s="32"/>
      <c r="F29" s="16"/>
      <c r="G29" s="32"/>
      <c r="H29" s="16"/>
      <c r="I29" s="16"/>
      <c r="J29" s="32"/>
      <c r="K29" s="50"/>
      <c r="M29" s="49"/>
      <c r="N29" s="32"/>
      <c r="O29" s="16"/>
      <c r="P29" s="32"/>
      <c r="Q29" s="16"/>
      <c r="R29" s="16"/>
      <c r="S29" s="32"/>
      <c r="T29" s="50"/>
    </row>
    <row r="30" spans="2:20" x14ac:dyDescent="0.25">
      <c r="B30" s="14"/>
      <c r="C30" s="17" t="s">
        <v>60</v>
      </c>
      <c r="D30" s="37">
        <v>0</v>
      </c>
      <c r="E30" s="109">
        <f t="shared" ref="E30:E37" si="25">+IFERROR(D30/D10,"")</f>
        <v>0</v>
      </c>
      <c r="F30" s="37">
        <v>0</v>
      </c>
      <c r="G30" s="109">
        <f t="shared" ref="G30:G37" si="26">+IFERROR(F30/F10,"")</f>
        <v>0</v>
      </c>
      <c r="H30" s="145">
        <f t="shared" ref="H30:H37" si="27">+D30-F30</f>
        <v>0</v>
      </c>
      <c r="I30" s="37">
        <v>0</v>
      </c>
      <c r="J30" s="109">
        <f t="shared" ref="J30:J37" si="28">+IFERROR(I30/I10,"")</f>
        <v>0</v>
      </c>
      <c r="K30" s="145">
        <f t="shared" ref="K30:K37" si="29">+D30-I30</f>
        <v>0</v>
      </c>
      <c r="M30" s="37">
        <v>0</v>
      </c>
      <c r="N30" s="109">
        <f t="shared" ref="N30:N37" si="30">+IFERROR(M30/M10,"")</f>
        <v>0</v>
      </c>
      <c r="O30" s="37">
        <v>0</v>
      </c>
      <c r="P30" s="109">
        <f t="shared" ref="P30:P37" si="31">+IFERROR(O30/O10,"")</f>
        <v>0</v>
      </c>
      <c r="Q30" s="145">
        <f t="shared" ref="Q30:Q37" si="32">+M30-O30</f>
        <v>0</v>
      </c>
      <c r="R30" s="37">
        <v>0</v>
      </c>
      <c r="S30" s="109">
        <f t="shared" ref="S30:S37" si="33">+IFERROR(R30/R10,"")</f>
        <v>0</v>
      </c>
      <c r="T30" s="145">
        <f t="shared" ref="T30:T37" si="34">+M30-R30</f>
        <v>0</v>
      </c>
    </row>
    <row r="31" spans="2:20" x14ac:dyDescent="0.25">
      <c r="B31" s="14"/>
      <c r="C31" s="17" t="s">
        <v>56</v>
      </c>
      <c r="D31" s="37">
        <v>0</v>
      </c>
      <c r="E31" s="109" t="str">
        <f t="shared" si="25"/>
        <v/>
      </c>
      <c r="F31" s="37">
        <v>0</v>
      </c>
      <c r="G31" s="109" t="str">
        <f t="shared" si="26"/>
        <v/>
      </c>
      <c r="H31" s="145">
        <f t="shared" si="27"/>
        <v>0</v>
      </c>
      <c r="I31" s="37">
        <v>0</v>
      </c>
      <c r="J31" s="109" t="str">
        <f t="shared" si="28"/>
        <v/>
      </c>
      <c r="K31" s="145">
        <f t="shared" si="29"/>
        <v>0</v>
      </c>
      <c r="M31" s="37">
        <v>0</v>
      </c>
      <c r="N31" s="109" t="str">
        <f t="shared" si="30"/>
        <v/>
      </c>
      <c r="O31" s="37">
        <v>0</v>
      </c>
      <c r="P31" s="109" t="str">
        <f t="shared" si="31"/>
        <v/>
      </c>
      <c r="Q31" s="145">
        <f t="shared" si="32"/>
        <v>0</v>
      </c>
      <c r="R31" s="37">
        <v>0</v>
      </c>
      <c r="S31" s="109" t="str">
        <f t="shared" si="33"/>
        <v/>
      </c>
      <c r="T31" s="145">
        <f t="shared" si="34"/>
        <v>0</v>
      </c>
    </row>
    <row r="32" spans="2:20" x14ac:dyDescent="0.25">
      <c r="B32" s="14"/>
      <c r="C32" s="17" t="s">
        <v>58</v>
      </c>
      <c r="D32" s="37">
        <v>0</v>
      </c>
      <c r="E32" s="109" t="str">
        <f t="shared" si="25"/>
        <v/>
      </c>
      <c r="F32" s="37">
        <v>0</v>
      </c>
      <c r="G32" s="109" t="str">
        <f t="shared" si="26"/>
        <v/>
      </c>
      <c r="H32" s="145">
        <f t="shared" si="27"/>
        <v>0</v>
      </c>
      <c r="I32" s="37">
        <v>0</v>
      </c>
      <c r="J32" s="109" t="str">
        <f t="shared" si="28"/>
        <v/>
      </c>
      <c r="K32" s="145">
        <f t="shared" si="29"/>
        <v>0</v>
      </c>
      <c r="M32" s="37">
        <v>0</v>
      </c>
      <c r="N32" s="109" t="str">
        <f t="shared" si="30"/>
        <v/>
      </c>
      <c r="O32" s="37">
        <v>0</v>
      </c>
      <c r="P32" s="109" t="str">
        <f t="shared" si="31"/>
        <v/>
      </c>
      <c r="Q32" s="145">
        <f t="shared" si="32"/>
        <v>0</v>
      </c>
      <c r="R32" s="37">
        <v>0</v>
      </c>
      <c r="S32" s="109" t="str">
        <f t="shared" si="33"/>
        <v/>
      </c>
      <c r="T32" s="145">
        <f t="shared" si="34"/>
        <v>0</v>
      </c>
    </row>
    <row r="33" spans="2:20" x14ac:dyDescent="0.25">
      <c r="B33" s="14"/>
      <c r="C33" s="17" t="s">
        <v>61</v>
      </c>
      <c r="D33" s="37">
        <v>0</v>
      </c>
      <c r="E33" s="109">
        <f t="shared" si="25"/>
        <v>0</v>
      </c>
      <c r="F33" s="37">
        <v>0</v>
      </c>
      <c r="G33" s="109">
        <f t="shared" si="26"/>
        <v>0</v>
      </c>
      <c r="H33" s="145">
        <f t="shared" si="27"/>
        <v>0</v>
      </c>
      <c r="I33" s="37">
        <v>0</v>
      </c>
      <c r="J33" s="109">
        <f t="shared" si="28"/>
        <v>0</v>
      </c>
      <c r="K33" s="145">
        <f t="shared" si="29"/>
        <v>0</v>
      </c>
      <c r="M33" s="37">
        <v>0</v>
      </c>
      <c r="N33" s="109">
        <f t="shared" si="30"/>
        <v>0</v>
      </c>
      <c r="O33" s="37">
        <v>0</v>
      </c>
      <c r="P33" s="109">
        <f t="shared" si="31"/>
        <v>0</v>
      </c>
      <c r="Q33" s="145">
        <f t="shared" si="32"/>
        <v>0</v>
      </c>
      <c r="R33" s="37">
        <v>0</v>
      </c>
      <c r="S33" s="109">
        <f t="shared" si="33"/>
        <v>0</v>
      </c>
      <c r="T33" s="145">
        <f t="shared" si="34"/>
        <v>0</v>
      </c>
    </row>
    <row r="34" spans="2:20" x14ac:dyDescent="0.25">
      <c r="B34" s="14"/>
      <c r="C34" s="17" t="s">
        <v>434</v>
      </c>
      <c r="D34" s="37">
        <v>0</v>
      </c>
      <c r="E34" s="109" t="str">
        <f t="shared" si="25"/>
        <v/>
      </c>
      <c r="F34" s="37">
        <v>0</v>
      </c>
      <c r="G34" s="109" t="str">
        <f t="shared" si="26"/>
        <v/>
      </c>
      <c r="H34" s="145">
        <f t="shared" si="27"/>
        <v>0</v>
      </c>
      <c r="I34" s="37">
        <v>0</v>
      </c>
      <c r="J34" s="109" t="str">
        <f t="shared" si="28"/>
        <v/>
      </c>
      <c r="K34" s="145">
        <f t="shared" si="29"/>
        <v>0</v>
      </c>
      <c r="M34" s="37">
        <v>0</v>
      </c>
      <c r="N34" s="109" t="str">
        <f t="shared" si="30"/>
        <v/>
      </c>
      <c r="O34" s="37">
        <v>0</v>
      </c>
      <c r="P34" s="109" t="str">
        <f t="shared" si="31"/>
        <v/>
      </c>
      <c r="Q34" s="145">
        <f t="shared" si="32"/>
        <v>0</v>
      </c>
      <c r="R34" s="37">
        <v>0</v>
      </c>
      <c r="S34" s="109" t="str">
        <f t="shared" si="33"/>
        <v/>
      </c>
      <c r="T34" s="145">
        <f t="shared" si="34"/>
        <v>0</v>
      </c>
    </row>
    <row r="35" spans="2:20" x14ac:dyDescent="0.25">
      <c r="B35" s="14"/>
      <c r="C35" s="17" t="s">
        <v>437</v>
      </c>
      <c r="D35" s="37">
        <v>0</v>
      </c>
      <c r="E35" s="109" t="str">
        <f t="shared" si="25"/>
        <v/>
      </c>
      <c r="F35" s="37">
        <v>0</v>
      </c>
      <c r="G35" s="109" t="str">
        <f t="shared" si="26"/>
        <v/>
      </c>
      <c r="H35" s="145">
        <f t="shared" si="27"/>
        <v>0</v>
      </c>
      <c r="I35" s="37">
        <v>0</v>
      </c>
      <c r="J35" s="109" t="str">
        <f t="shared" si="28"/>
        <v/>
      </c>
      <c r="K35" s="145">
        <f t="shared" si="29"/>
        <v>0</v>
      </c>
      <c r="M35" s="37">
        <v>0</v>
      </c>
      <c r="N35" s="109" t="str">
        <f t="shared" si="30"/>
        <v/>
      </c>
      <c r="O35" s="37">
        <v>0</v>
      </c>
      <c r="P35" s="109" t="str">
        <f t="shared" si="31"/>
        <v/>
      </c>
      <c r="Q35" s="145">
        <f t="shared" si="32"/>
        <v>0</v>
      </c>
      <c r="R35" s="37">
        <v>0</v>
      </c>
      <c r="S35" s="109" t="str">
        <f t="shared" si="33"/>
        <v/>
      </c>
      <c r="T35" s="145">
        <f t="shared" si="34"/>
        <v>0</v>
      </c>
    </row>
    <row r="36" spans="2:20" x14ac:dyDescent="0.25">
      <c r="B36" s="14"/>
      <c r="C36" s="17" t="s">
        <v>438</v>
      </c>
      <c r="D36" s="308">
        <v>0</v>
      </c>
      <c r="E36" s="157">
        <f t="shared" si="25"/>
        <v>0</v>
      </c>
      <c r="F36" s="91">
        <v>0</v>
      </c>
      <c r="G36" s="157">
        <f t="shared" si="26"/>
        <v>0</v>
      </c>
      <c r="H36" s="142">
        <f t="shared" si="27"/>
        <v>0</v>
      </c>
      <c r="I36" s="37">
        <v>0</v>
      </c>
      <c r="J36" s="157">
        <f t="shared" si="28"/>
        <v>0</v>
      </c>
      <c r="K36" s="142">
        <f t="shared" si="29"/>
        <v>0</v>
      </c>
      <c r="M36" s="308">
        <v>0</v>
      </c>
      <c r="N36" s="157">
        <f t="shared" si="30"/>
        <v>0</v>
      </c>
      <c r="O36" s="91">
        <v>0</v>
      </c>
      <c r="P36" s="157">
        <f t="shared" si="31"/>
        <v>0</v>
      </c>
      <c r="Q36" s="142">
        <f t="shared" si="32"/>
        <v>0</v>
      </c>
      <c r="R36" s="37">
        <v>0</v>
      </c>
      <c r="S36" s="157">
        <f t="shared" si="33"/>
        <v>0</v>
      </c>
      <c r="T36" s="142">
        <f t="shared" si="34"/>
        <v>0</v>
      </c>
    </row>
    <row r="37" spans="2:20" x14ac:dyDescent="0.25">
      <c r="B37" s="14"/>
      <c r="C37" s="18" t="s">
        <v>24</v>
      </c>
      <c r="D37" s="68">
        <f t="shared" ref="D37:F37" si="35">+D17-D27</f>
        <v>986.57</v>
      </c>
      <c r="E37" s="230">
        <f t="shared" si="25"/>
        <v>0.64054252342213081</v>
      </c>
      <c r="F37" s="68">
        <f t="shared" si="35"/>
        <v>850.75000000000011</v>
      </c>
      <c r="G37" s="230">
        <f t="shared" si="26"/>
        <v>0.65889851839804214</v>
      </c>
      <c r="H37" s="234">
        <f t="shared" si="27"/>
        <v>135.81999999999994</v>
      </c>
      <c r="I37" s="233">
        <f t="shared" ref="I37" si="36">+I17-I27</f>
        <v>764.79</v>
      </c>
      <c r="J37" s="230">
        <f t="shared" si="28"/>
        <v>0.7872502496217072</v>
      </c>
      <c r="K37" s="234">
        <f t="shared" si="29"/>
        <v>221.78000000000009</v>
      </c>
      <c r="M37" s="68">
        <f t="shared" ref="M37" si="37">+M17-M27</f>
        <v>6895.45</v>
      </c>
      <c r="N37" s="230">
        <f t="shared" si="30"/>
        <v>0.51909575581281553</v>
      </c>
      <c r="O37" s="68">
        <f t="shared" ref="O37" si="38">+O17-O27</f>
        <v>5934.48</v>
      </c>
      <c r="P37" s="230">
        <f t="shared" si="31"/>
        <v>0.65890420236737757</v>
      </c>
      <c r="Q37" s="234">
        <f t="shared" si="32"/>
        <v>960.97000000000025</v>
      </c>
      <c r="R37" s="233">
        <f t="shared" ref="R37" si="39">+R17-R27</f>
        <v>6041.6600000000008</v>
      </c>
      <c r="S37" s="230">
        <f t="shared" si="33"/>
        <v>0.6815483140262234</v>
      </c>
      <c r="T37" s="234">
        <f t="shared" si="34"/>
        <v>853.78999999999905</v>
      </c>
    </row>
    <row r="38" spans="2:20" x14ac:dyDescent="0.25">
      <c r="B38" s="14"/>
      <c r="C38" s="16"/>
      <c r="D38" s="49"/>
      <c r="E38" s="32"/>
      <c r="F38" s="16"/>
      <c r="G38" s="32"/>
      <c r="H38" s="16"/>
      <c r="I38" s="16"/>
      <c r="J38" s="32"/>
      <c r="K38" s="50"/>
      <c r="M38" s="49"/>
      <c r="N38" s="32"/>
      <c r="O38" s="16"/>
      <c r="P38" s="32"/>
      <c r="Q38" s="16"/>
      <c r="R38" s="16"/>
      <c r="S38" s="32"/>
      <c r="T38" s="50"/>
    </row>
    <row r="39" spans="2:20" ht="15.75" thickBot="1" x14ac:dyDescent="0.3">
      <c r="B39" s="14" t="s">
        <v>107</v>
      </c>
      <c r="C39" s="18" t="s">
        <v>427</v>
      </c>
      <c r="D39" s="144">
        <f>D37</f>
        <v>986.57</v>
      </c>
      <c r="E39" s="137">
        <f>+IFERROR(D39/D17,"")</f>
        <v>0.64054252342213081</v>
      </c>
      <c r="F39" s="135">
        <f>F37</f>
        <v>850.75000000000011</v>
      </c>
      <c r="G39" s="137">
        <f>+IFERROR(F39/F17,"")</f>
        <v>0.65889851839804214</v>
      </c>
      <c r="H39" s="133">
        <f>+D39-F39</f>
        <v>135.81999999999994</v>
      </c>
      <c r="I39" s="135">
        <f>I37</f>
        <v>764.79</v>
      </c>
      <c r="J39" s="137">
        <f>+IFERROR(I39/I17,"")</f>
        <v>0.7872502496217072</v>
      </c>
      <c r="K39" s="133">
        <f>+D39-I39</f>
        <v>221.78000000000009</v>
      </c>
      <c r="M39" s="144">
        <f>M37</f>
        <v>6895.45</v>
      </c>
      <c r="N39" s="137">
        <f>+IFERROR(M39/M17,"")</f>
        <v>0.51909575581281553</v>
      </c>
      <c r="O39" s="135">
        <f>O37</f>
        <v>5934.48</v>
      </c>
      <c r="P39" s="137">
        <f>+IFERROR(O39/O17,"")</f>
        <v>0.65890420236737757</v>
      </c>
      <c r="Q39" s="133">
        <f>+M39-O39</f>
        <v>960.97000000000025</v>
      </c>
      <c r="R39" s="135">
        <f>R37</f>
        <v>6041.6600000000008</v>
      </c>
      <c r="S39" s="137">
        <f>+IFERROR(R39/R17,"")</f>
        <v>0.6815483140262234</v>
      </c>
      <c r="T39" s="133">
        <f>+M39-R39</f>
        <v>853.78999999999905</v>
      </c>
    </row>
    <row r="40" spans="2:20" ht="15.75" thickTop="1" x14ac:dyDescent="0.25"/>
    <row r="52" spans="4:4" x14ac:dyDescent="0.25">
      <c r="D52" s="114">
        <v>-986.57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D7F-8392-4A30-8565-96ED3FB7458D}">
  <dimension ref="B1:X54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7.28515625" bestFit="1" customWidth="1"/>
    <col min="7" max="7" width="8.7109375" customWidth="1"/>
    <col min="8" max="8" width="10.28515625" bestFit="1" customWidth="1"/>
    <col min="9" max="9" width="8.28515625" bestFit="1" customWidth="1"/>
    <col min="10" max="10" width="8.7109375" customWidth="1"/>
    <col min="11" max="11" width="10.28515625" bestFit="1" customWidth="1"/>
    <col min="13" max="13" width="8.28515625" bestFit="1" customWidth="1"/>
    <col min="14" max="14" width="8.7109375" customWidth="1"/>
    <col min="15" max="15" width="8.28515625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9</v>
      </c>
      <c r="D9" s="180"/>
      <c r="E9" s="236"/>
      <c r="F9" s="180"/>
      <c r="G9" s="20"/>
      <c r="H9" s="240"/>
      <c r="I9" s="20"/>
      <c r="J9" s="20"/>
      <c r="K9" s="94"/>
      <c r="M9" s="180"/>
      <c r="N9" s="236"/>
      <c r="O9" s="180"/>
      <c r="P9" s="20"/>
      <c r="Q9" s="240"/>
      <c r="R9" s="20"/>
      <c r="S9" s="20"/>
      <c r="T9" s="94"/>
    </row>
    <row r="10" spans="2:22" x14ac:dyDescent="0.25">
      <c r="B10" s="14" t="s">
        <v>185</v>
      </c>
      <c r="C10" s="17" t="s">
        <v>439</v>
      </c>
      <c r="D10" s="37">
        <v>0</v>
      </c>
      <c r="E10" s="109">
        <f t="shared" ref="E10:E22" si="0">IFERROR(D10/D$22,"")</f>
        <v>0</v>
      </c>
      <c r="F10" s="106">
        <v>0</v>
      </c>
      <c r="G10" s="239">
        <f t="shared" ref="G10:G22" si="1">IFERROR(F10/F$22,"")</f>
        <v>0</v>
      </c>
      <c r="H10" s="238">
        <f t="shared" ref="H10:H22" si="2">D10-F10</f>
        <v>0</v>
      </c>
      <c r="I10" s="37">
        <v>0</v>
      </c>
      <c r="J10" s="239">
        <f t="shared" ref="J10:J22" si="3">IFERROR(I10/I$22,"")</f>
        <v>0</v>
      </c>
      <c r="K10" s="238">
        <f t="shared" ref="K10:K22" si="4">D10-I10</f>
        <v>0</v>
      </c>
      <c r="M10" s="37">
        <v>0</v>
      </c>
      <c r="N10" s="109">
        <f t="shared" ref="N10:N22" si="5">IFERROR(M10/M$22,"")</f>
        <v>0</v>
      </c>
      <c r="O10" s="106">
        <v>0</v>
      </c>
      <c r="P10" s="239">
        <f t="shared" ref="P10:P22" si="6">IFERROR(O10/O$22,"")</f>
        <v>0</v>
      </c>
      <c r="Q10" s="238">
        <f t="shared" ref="Q10:Q22" si="7">M10-O10</f>
        <v>0</v>
      </c>
      <c r="R10" s="37">
        <v>0</v>
      </c>
      <c r="S10" s="239">
        <f t="shared" ref="S10:S22" si="8">IFERROR(R10/R$22,"")</f>
        <v>0</v>
      </c>
      <c r="T10" s="238">
        <f t="shared" ref="T10:T22" si="9">M10-R10</f>
        <v>0</v>
      </c>
    </row>
    <row r="11" spans="2:22" x14ac:dyDescent="0.25">
      <c r="B11" s="14" t="s">
        <v>173</v>
      </c>
      <c r="C11" s="17" t="s">
        <v>379</v>
      </c>
      <c r="D11" s="37">
        <v>9912</v>
      </c>
      <c r="E11" s="109">
        <f t="shared" si="0"/>
        <v>9.0550681889023169E-2</v>
      </c>
      <c r="F11" s="106">
        <v>7700</v>
      </c>
      <c r="G11" s="239">
        <f t="shared" si="1"/>
        <v>7.7421171171171171E-2</v>
      </c>
      <c r="H11" s="238">
        <f t="shared" si="2"/>
        <v>2212</v>
      </c>
      <c r="I11" s="37">
        <v>3316.38</v>
      </c>
      <c r="J11" s="239">
        <f t="shared" si="3"/>
        <v>3.2496290448272978E-2</v>
      </c>
      <c r="K11" s="238">
        <f t="shared" si="4"/>
        <v>6595.62</v>
      </c>
      <c r="M11" s="37">
        <v>36956.699999999997</v>
      </c>
      <c r="N11" s="109">
        <f t="shared" si="5"/>
        <v>5.553180584190865E-2</v>
      </c>
      <c r="O11" s="106">
        <v>46200</v>
      </c>
      <c r="P11" s="239">
        <f t="shared" si="6"/>
        <v>6.5088023803620138E-2</v>
      </c>
      <c r="Q11" s="238">
        <f t="shared" si="7"/>
        <v>-9243.3000000000029</v>
      </c>
      <c r="R11" s="37">
        <v>5324.17</v>
      </c>
      <c r="S11" s="239">
        <f t="shared" si="8"/>
        <v>8.0778692657114473E-3</v>
      </c>
      <c r="T11" s="238">
        <f t="shared" si="9"/>
        <v>31632.53</v>
      </c>
    </row>
    <row r="12" spans="2:22" x14ac:dyDescent="0.25">
      <c r="B12" s="14" t="s">
        <v>172</v>
      </c>
      <c r="C12" s="17" t="s">
        <v>440</v>
      </c>
      <c r="D12" s="37">
        <v>2407.9699999999998</v>
      </c>
      <c r="E12" s="109">
        <f t="shared" si="0"/>
        <v>2.1997914191718228E-2</v>
      </c>
      <c r="F12" s="106">
        <v>2657</v>
      </c>
      <c r="G12" s="239">
        <f t="shared" si="1"/>
        <v>2.6715331402831402E-2</v>
      </c>
      <c r="H12" s="238">
        <f t="shared" si="2"/>
        <v>-249.0300000000002</v>
      </c>
      <c r="I12" s="37">
        <v>2656.64</v>
      </c>
      <c r="J12" s="239">
        <f t="shared" si="3"/>
        <v>2.6031680644708968E-2</v>
      </c>
      <c r="K12" s="238">
        <f t="shared" si="4"/>
        <v>-248.67000000000007</v>
      </c>
      <c r="M12" s="37">
        <v>2407.9699999999998</v>
      </c>
      <c r="N12" s="109">
        <f t="shared" si="5"/>
        <v>3.6182592740461343E-3</v>
      </c>
      <c r="O12" s="106">
        <v>2657</v>
      </c>
      <c r="P12" s="239">
        <f t="shared" si="6"/>
        <v>3.7432657845501882E-3</v>
      </c>
      <c r="Q12" s="238">
        <f t="shared" si="7"/>
        <v>-249.0300000000002</v>
      </c>
      <c r="R12" s="37">
        <v>2656.64</v>
      </c>
      <c r="S12" s="239">
        <f t="shared" si="8"/>
        <v>4.0306734394393228E-3</v>
      </c>
      <c r="T12" s="238">
        <f t="shared" si="9"/>
        <v>-248.67000000000007</v>
      </c>
    </row>
    <row r="13" spans="2:22" x14ac:dyDescent="0.25">
      <c r="B13" s="14" t="s">
        <v>170</v>
      </c>
      <c r="C13" s="17" t="s">
        <v>441</v>
      </c>
      <c r="D13" s="37">
        <v>0</v>
      </c>
      <c r="E13" s="109">
        <f t="shared" si="0"/>
        <v>0</v>
      </c>
      <c r="F13" s="106">
        <v>300</v>
      </c>
      <c r="G13" s="239">
        <f t="shared" si="1"/>
        <v>3.0164092664092665E-3</v>
      </c>
      <c r="H13" s="238">
        <f t="shared" si="2"/>
        <v>-300</v>
      </c>
      <c r="I13" s="37">
        <v>229</v>
      </c>
      <c r="J13" s="239">
        <f t="shared" si="3"/>
        <v>2.2439076681968029E-3</v>
      </c>
      <c r="K13" s="238">
        <f t="shared" si="4"/>
        <v>-229</v>
      </c>
      <c r="M13" s="37">
        <v>32135.3</v>
      </c>
      <c r="N13" s="109">
        <f t="shared" si="5"/>
        <v>4.8287082999063417E-2</v>
      </c>
      <c r="O13" s="106">
        <v>2850</v>
      </c>
      <c r="P13" s="239">
        <f t="shared" si="6"/>
        <v>4.0151702995739691E-3</v>
      </c>
      <c r="Q13" s="238">
        <f t="shared" si="7"/>
        <v>29285.3</v>
      </c>
      <c r="R13" s="37">
        <v>2766.6</v>
      </c>
      <c r="S13" s="239">
        <f t="shared" si="8"/>
        <v>4.1975055474406881E-3</v>
      </c>
      <c r="T13" s="238">
        <f t="shared" si="9"/>
        <v>29368.7</v>
      </c>
    </row>
    <row r="14" spans="2:22" x14ac:dyDescent="0.25">
      <c r="B14" s="14" t="s">
        <v>171</v>
      </c>
      <c r="C14" s="17" t="s">
        <v>442</v>
      </c>
      <c r="D14" s="37">
        <v>926.56</v>
      </c>
      <c r="E14" s="109">
        <f t="shared" si="0"/>
        <v>8.4645520390529954E-3</v>
      </c>
      <c r="F14" s="106">
        <v>953</v>
      </c>
      <c r="G14" s="239">
        <f t="shared" si="1"/>
        <v>9.5821267696267701E-3</v>
      </c>
      <c r="H14" s="238">
        <f t="shared" si="2"/>
        <v>-26.440000000000055</v>
      </c>
      <c r="I14" s="37">
        <v>953.31</v>
      </c>
      <c r="J14" s="239">
        <f t="shared" si="3"/>
        <v>9.341221044404777E-3</v>
      </c>
      <c r="K14" s="238">
        <f t="shared" si="4"/>
        <v>-26.75</v>
      </c>
      <c r="M14" s="37">
        <v>9675.65</v>
      </c>
      <c r="N14" s="109">
        <f t="shared" si="5"/>
        <v>1.4538806689836035E-2</v>
      </c>
      <c r="O14" s="106">
        <v>45330</v>
      </c>
      <c r="P14" s="239">
        <f t="shared" si="6"/>
        <v>6.3862340238487025E-2</v>
      </c>
      <c r="Q14" s="238">
        <f t="shared" si="7"/>
        <v>-35654.35</v>
      </c>
      <c r="R14" s="37">
        <v>45330.1</v>
      </c>
      <c r="S14" s="239">
        <f t="shared" si="8"/>
        <v>6.8775155864975471E-2</v>
      </c>
      <c r="T14" s="238">
        <f t="shared" si="9"/>
        <v>-35654.449999999997</v>
      </c>
    </row>
    <row r="15" spans="2:22" x14ac:dyDescent="0.25">
      <c r="B15" s="14" t="s">
        <v>179</v>
      </c>
      <c r="C15" s="17" t="s">
        <v>443</v>
      </c>
      <c r="D15" s="37">
        <v>0</v>
      </c>
      <c r="E15" s="109">
        <f t="shared" si="0"/>
        <v>0</v>
      </c>
      <c r="F15" s="106">
        <v>0</v>
      </c>
      <c r="G15" s="239">
        <f t="shared" si="1"/>
        <v>0</v>
      </c>
      <c r="H15" s="238">
        <f t="shared" si="2"/>
        <v>0</v>
      </c>
      <c r="I15" s="37">
        <v>0</v>
      </c>
      <c r="J15" s="239">
        <f t="shared" si="3"/>
        <v>0</v>
      </c>
      <c r="K15" s="238">
        <f t="shared" si="4"/>
        <v>0</v>
      </c>
      <c r="M15" s="37">
        <v>0</v>
      </c>
      <c r="N15" s="109">
        <f t="shared" si="5"/>
        <v>0</v>
      </c>
      <c r="O15" s="106">
        <v>0</v>
      </c>
      <c r="P15" s="239">
        <f t="shared" si="6"/>
        <v>0</v>
      </c>
      <c r="Q15" s="238">
        <f t="shared" si="7"/>
        <v>0</v>
      </c>
      <c r="R15" s="37">
        <v>0</v>
      </c>
      <c r="S15" s="239">
        <f t="shared" si="8"/>
        <v>0</v>
      </c>
      <c r="T15" s="238">
        <f t="shared" si="9"/>
        <v>0</v>
      </c>
    </row>
    <row r="16" spans="2:22" x14ac:dyDescent="0.25">
      <c r="B16" s="14" t="s">
        <v>180</v>
      </c>
      <c r="C16" s="17" t="s">
        <v>449</v>
      </c>
      <c r="D16" s="37">
        <v>0</v>
      </c>
      <c r="E16" s="109">
        <f t="shared" si="0"/>
        <v>0</v>
      </c>
      <c r="F16" s="106">
        <v>0</v>
      </c>
      <c r="G16" s="239">
        <f t="shared" si="1"/>
        <v>0</v>
      </c>
      <c r="H16" s="238">
        <f t="shared" si="2"/>
        <v>0</v>
      </c>
      <c r="I16" s="37">
        <v>8745.83</v>
      </c>
      <c r="J16" s="239">
        <f t="shared" si="3"/>
        <v>8.5697969439937308E-2</v>
      </c>
      <c r="K16" s="238">
        <f t="shared" si="4"/>
        <v>-8745.83</v>
      </c>
      <c r="M16" s="37">
        <v>0</v>
      </c>
      <c r="N16" s="109">
        <f t="shared" si="5"/>
        <v>0</v>
      </c>
      <c r="O16" s="106">
        <v>0</v>
      </c>
      <c r="P16" s="239">
        <f t="shared" si="6"/>
        <v>0</v>
      </c>
      <c r="Q16" s="238">
        <f t="shared" si="7"/>
        <v>0</v>
      </c>
      <c r="R16" s="37">
        <v>52052.61</v>
      </c>
      <c r="S16" s="239">
        <f t="shared" si="8"/>
        <v>7.8974596701281957E-2</v>
      </c>
      <c r="T16" s="238">
        <f t="shared" si="9"/>
        <v>-52052.61</v>
      </c>
    </row>
    <row r="17" spans="2:20" x14ac:dyDescent="0.25">
      <c r="B17" s="14" t="s">
        <v>181</v>
      </c>
      <c r="C17" s="17" t="s">
        <v>444</v>
      </c>
      <c r="D17" s="37">
        <v>0</v>
      </c>
      <c r="E17" s="109">
        <f t="shared" si="0"/>
        <v>0</v>
      </c>
      <c r="F17" s="106">
        <v>0</v>
      </c>
      <c r="G17" s="239">
        <f t="shared" si="1"/>
        <v>0</v>
      </c>
      <c r="H17" s="238">
        <f t="shared" si="2"/>
        <v>0</v>
      </c>
      <c r="I17" s="37">
        <v>0</v>
      </c>
      <c r="J17" s="239">
        <f t="shared" si="3"/>
        <v>0</v>
      </c>
      <c r="K17" s="238">
        <f t="shared" si="4"/>
        <v>0</v>
      </c>
      <c r="M17" s="37">
        <v>0</v>
      </c>
      <c r="N17" s="109">
        <f t="shared" si="5"/>
        <v>0</v>
      </c>
      <c r="O17" s="106">
        <v>0</v>
      </c>
      <c r="P17" s="239">
        <f t="shared" si="6"/>
        <v>0</v>
      </c>
      <c r="Q17" s="238">
        <f t="shared" si="7"/>
        <v>0</v>
      </c>
      <c r="R17" s="37">
        <v>0</v>
      </c>
      <c r="S17" s="239">
        <f t="shared" si="8"/>
        <v>0</v>
      </c>
      <c r="T17" s="238">
        <f t="shared" si="9"/>
        <v>0</v>
      </c>
    </row>
    <row r="18" spans="2:20" x14ac:dyDescent="0.25">
      <c r="B18" s="14" t="s">
        <v>183</v>
      </c>
      <c r="C18" s="17" t="s">
        <v>445</v>
      </c>
      <c r="D18" s="37">
        <v>0</v>
      </c>
      <c r="E18" s="109">
        <f t="shared" si="0"/>
        <v>0</v>
      </c>
      <c r="F18" s="106">
        <v>0</v>
      </c>
      <c r="G18" s="239">
        <f t="shared" si="1"/>
        <v>0</v>
      </c>
      <c r="H18" s="238">
        <f t="shared" si="2"/>
        <v>0</v>
      </c>
      <c r="I18" s="37">
        <v>0</v>
      </c>
      <c r="J18" s="239">
        <f t="shared" si="3"/>
        <v>0</v>
      </c>
      <c r="K18" s="238">
        <f t="shared" si="4"/>
        <v>0</v>
      </c>
      <c r="M18" s="37">
        <v>0</v>
      </c>
      <c r="N18" s="109">
        <f t="shared" si="5"/>
        <v>0</v>
      </c>
      <c r="O18" s="106">
        <v>0</v>
      </c>
      <c r="P18" s="239">
        <f t="shared" si="6"/>
        <v>0</v>
      </c>
      <c r="Q18" s="238">
        <f t="shared" si="7"/>
        <v>0</v>
      </c>
      <c r="R18" s="37">
        <v>0</v>
      </c>
      <c r="S18" s="239">
        <f t="shared" si="8"/>
        <v>0</v>
      </c>
      <c r="T18" s="238">
        <f t="shared" si="9"/>
        <v>0</v>
      </c>
    </row>
    <row r="19" spans="2:20" x14ac:dyDescent="0.25">
      <c r="B19" s="14" t="s">
        <v>184</v>
      </c>
      <c r="C19" s="17" t="s">
        <v>446</v>
      </c>
      <c r="D19" s="37">
        <v>96014.59</v>
      </c>
      <c r="E19" s="109">
        <f t="shared" si="0"/>
        <v>0.87713746930942127</v>
      </c>
      <c r="F19" s="106">
        <v>87846</v>
      </c>
      <c r="G19" s="239">
        <f t="shared" si="1"/>
        <v>0.88326496138996136</v>
      </c>
      <c r="H19" s="238">
        <f t="shared" si="2"/>
        <v>8168.5899999999965</v>
      </c>
      <c r="I19" s="37">
        <v>86152.95</v>
      </c>
      <c r="J19" s="239">
        <f t="shared" si="3"/>
        <v>0.84418893075447909</v>
      </c>
      <c r="K19" s="238">
        <f t="shared" si="4"/>
        <v>9861.64</v>
      </c>
      <c r="M19" s="37">
        <v>583588.5</v>
      </c>
      <c r="N19" s="109">
        <f t="shared" si="5"/>
        <v>0.87691063524531976</v>
      </c>
      <c r="O19" s="106">
        <v>612771</v>
      </c>
      <c r="P19" s="239">
        <f t="shared" si="6"/>
        <v>0.86329119987376868</v>
      </c>
      <c r="Q19" s="238">
        <f t="shared" si="7"/>
        <v>-29182.5</v>
      </c>
      <c r="R19" s="37">
        <v>550975.62</v>
      </c>
      <c r="S19" s="239">
        <f t="shared" si="8"/>
        <v>0.83594419918115115</v>
      </c>
      <c r="T19" s="238">
        <f t="shared" si="9"/>
        <v>32612.880000000005</v>
      </c>
    </row>
    <row r="20" spans="2:20" x14ac:dyDescent="0.25">
      <c r="B20" s="14" t="s">
        <v>641</v>
      </c>
      <c r="C20" s="17" t="s">
        <v>703</v>
      </c>
      <c r="D20" s="37">
        <v>0</v>
      </c>
      <c r="E20" s="109">
        <f t="shared" si="0"/>
        <v>0</v>
      </c>
      <c r="F20" s="106">
        <v>0</v>
      </c>
      <c r="G20" s="239">
        <f t="shared" si="1"/>
        <v>0</v>
      </c>
      <c r="H20" s="238">
        <f t="shared" si="2"/>
        <v>0</v>
      </c>
      <c r="I20" s="37">
        <v>0</v>
      </c>
      <c r="J20" s="239">
        <f t="shared" si="3"/>
        <v>0</v>
      </c>
      <c r="K20" s="238">
        <f t="shared" si="4"/>
        <v>0</v>
      </c>
      <c r="M20" s="37">
        <v>0</v>
      </c>
      <c r="N20" s="109">
        <f t="shared" si="5"/>
        <v>0</v>
      </c>
      <c r="O20" s="106">
        <v>0</v>
      </c>
      <c r="P20" s="239">
        <f t="shared" si="6"/>
        <v>0</v>
      </c>
      <c r="Q20" s="238">
        <f t="shared" si="7"/>
        <v>0</v>
      </c>
      <c r="R20" s="37">
        <v>0</v>
      </c>
      <c r="S20" s="239">
        <f t="shared" si="8"/>
        <v>0</v>
      </c>
      <c r="T20" s="238">
        <f t="shared" si="9"/>
        <v>0</v>
      </c>
    </row>
    <row r="21" spans="2:20" x14ac:dyDescent="0.25">
      <c r="B21" s="14" t="s">
        <v>182</v>
      </c>
      <c r="C21" s="17" t="s">
        <v>447</v>
      </c>
      <c r="D21" s="107">
        <v>202.44</v>
      </c>
      <c r="E21" s="148">
        <f t="shared" si="0"/>
        <v>1.8493825707842865E-3</v>
      </c>
      <c r="F21" s="106">
        <v>0</v>
      </c>
      <c r="G21" s="239">
        <f t="shared" si="1"/>
        <v>0</v>
      </c>
      <c r="H21" s="238">
        <f t="shared" si="2"/>
        <v>202.44</v>
      </c>
      <c r="I21" s="37">
        <v>0</v>
      </c>
      <c r="J21" s="239">
        <f t="shared" si="3"/>
        <v>0</v>
      </c>
      <c r="K21" s="238">
        <f t="shared" si="4"/>
        <v>202.44</v>
      </c>
      <c r="M21" s="107">
        <v>740.98</v>
      </c>
      <c r="N21" s="148">
        <f t="shared" si="5"/>
        <v>1.1134099498260794E-3</v>
      </c>
      <c r="O21" s="106">
        <v>0</v>
      </c>
      <c r="P21" s="239">
        <f t="shared" si="6"/>
        <v>0</v>
      </c>
      <c r="Q21" s="238">
        <f t="shared" si="7"/>
        <v>740.98</v>
      </c>
      <c r="R21" s="37">
        <v>0</v>
      </c>
      <c r="S21" s="239">
        <f t="shared" si="8"/>
        <v>0</v>
      </c>
      <c r="T21" s="238">
        <f t="shared" si="9"/>
        <v>740.98</v>
      </c>
    </row>
    <row r="22" spans="2:20" x14ac:dyDescent="0.25">
      <c r="B22" s="14" t="s">
        <v>16</v>
      </c>
      <c r="C22" s="23" t="s">
        <v>448</v>
      </c>
      <c r="D22" s="104">
        <f t="shared" ref="D22" si="10">SUM(D10:D21)</f>
        <v>109463.56</v>
      </c>
      <c r="E22" s="149">
        <f t="shared" si="0"/>
        <v>1</v>
      </c>
      <c r="F22" s="104">
        <f>SUM(F10:F21)</f>
        <v>99456</v>
      </c>
      <c r="G22" s="149">
        <f t="shared" si="1"/>
        <v>1</v>
      </c>
      <c r="H22" s="155">
        <f t="shared" si="2"/>
        <v>10007.559999999998</v>
      </c>
      <c r="I22" s="104">
        <f>SUM(I10:I21)</f>
        <v>102054.11</v>
      </c>
      <c r="J22" s="149">
        <f t="shared" si="3"/>
        <v>1</v>
      </c>
      <c r="K22" s="155">
        <f t="shared" si="4"/>
        <v>7409.4499999999971</v>
      </c>
      <c r="M22" s="104">
        <f t="shared" ref="M22" si="11">SUM(M10:M21)</f>
        <v>665505.1</v>
      </c>
      <c r="N22" s="149">
        <f t="shared" si="5"/>
        <v>1</v>
      </c>
      <c r="O22" s="104">
        <f>SUM(O10:O21)</f>
        <v>709808</v>
      </c>
      <c r="P22" s="149">
        <f t="shared" si="6"/>
        <v>1</v>
      </c>
      <c r="Q22" s="155">
        <f t="shared" si="7"/>
        <v>-44302.900000000023</v>
      </c>
      <c r="R22" s="104">
        <f>SUM(R10:R21)</f>
        <v>659105.74</v>
      </c>
      <c r="S22" s="149">
        <f t="shared" si="8"/>
        <v>1</v>
      </c>
      <c r="T22" s="155">
        <f t="shared" si="9"/>
        <v>6399.359999999986</v>
      </c>
    </row>
    <row r="23" spans="2:20" x14ac:dyDescent="0.25">
      <c r="B23" s="14"/>
      <c r="C23" s="16"/>
      <c r="D23" s="49"/>
      <c r="E23" s="32"/>
      <c r="F23" s="16"/>
      <c r="G23" s="32"/>
      <c r="H23" s="16"/>
      <c r="I23" s="16"/>
      <c r="J23" s="32"/>
      <c r="K23" s="50"/>
      <c r="M23" s="49"/>
      <c r="N23" s="32"/>
      <c r="O23" s="16"/>
      <c r="P23" s="32"/>
      <c r="Q23" s="16"/>
      <c r="R23" s="16"/>
      <c r="S23" s="32"/>
      <c r="T23" s="50"/>
    </row>
    <row r="24" spans="2:20" ht="15.75" thickBot="1" x14ac:dyDescent="0.3">
      <c r="B24" s="14" t="s">
        <v>16</v>
      </c>
      <c r="C24" s="18" t="s">
        <v>427</v>
      </c>
      <c r="D24" s="321">
        <f>D22</f>
        <v>109463.56</v>
      </c>
      <c r="E24" s="45">
        <f>IFERROR(D24/D$22,"")</f>
        <v>1</v>
      </c>
      <c r="F24" s="144">
        <f>F22</f>
        <v>99456</v>
      </c>
      <c r="G24" s="137">
        <f>IFERROR(F24/F$22,"")</f>
        <v>1</v>
      </c>
      <c r="H24" s="133">
        <f>D24-F24</f>
        <v>10007.559999999998</v>
      </c>
      <c r="I24" s="135">
        <f>I22</f>
        <v>102054.11</v>
      </c>
      <c r="J24" s="137">
        <f>IFERROR(I24/I$22,"")</f>
        <v>1</v>
      </c>
      <c r="K24" s="133">
        <f>D24-I24</f>
        <v>7409.4499999999971</v>
      </c>
      <c r="M24" s="321">
        <f>M22</f>
        <v>665505.1</v>
      </c>
      <c r="N24" s="45">
        <f>IFERROR(M24/M$22,"")</f>
        <v>1</v>
      </c>
      <c r="O24" s="144">
        <f>O22</f>
        <v>709808</v>
      </c>
      <c r="P24" s="137">
        <f>IFERROR(O24/O$22,"")</f>
        <v>1</v>
      </c>
      <c r="Q24" s="133">
        <f>M24-O24</f>
        <v>-44302.900000000023</v>
      </c>
      <c r="R24" s="135">
        <f>R22</f>
        <v>659105.74</v>
      </c>
      <c r="S24" s="137">
        <f>IFERROR(R24/R$22,"")</f>
        <v>1</v>
      </c>
      <c r="T24" s="133">
        <f>M24-R24</f>
        <v>6399.359999999986</v>
      </c>
    </row>
    <row r="25" spans="2:20" ht="15.75" thickTop="1" x14ac:dyDescent="0.25"/>
    <row r="28" spans="2:20" x14ac:dyDescent="0.25">
      <c r="C28" s="289"/>
      <c r="D28" s="288"/>
      <c r="M28" s="288"/>
    </row>
    <row r="54" spans="4:4" x14ac:dyDescent="0.25">
      <c r="D54">
        <v>0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EA3F-59A7-4A70-9DEE-D4D62B6553D8}">
  <dimension ref="B1:X72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9" bestFit="1" customWidth="1"/>
    <col min="7" max="7" width="8.7109375" customWidth="1"/>
    <col min="8" max="8" width="10.28515625" bestFit="1" customWidth="1"/>
    <col min="9" max="9" width="8" bestFit="1" customWidth="1"/>
    <col min="10" max="10" width="8.7109375" customWidth="1"/>
    <col min="11" max="11" width="10.28515625" bestFit="1" customWidth="1"/>
    <col min="13" max="13" width="9" bestFit="1" customWidth="1"/>
    <col min="14" max="14" width="8.7109375" customWidth="1"/>
    <col min="15" max="15" width="9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405</v>
      </c>
      <c r="D9" s="49"/>
      <c r="E9" s="50"/>
      <c r="F9" s="180"/>
      <c r="G9" s="16"/>
      <c r="H9" s="80"/>
      <c r="I9" s="16"/>
      <c r="J9" s="16"/>
      <c r="K9" s="80"/>
      <c r="M9" s="49"/>
      <c r="N9" s="50"/>
      <c r="O9" s="180"/>
      <c r="P9" s="16"/>
      <c r="Q9" s="80"/>
      <c r="R9" s="16"/>
      <c r="S9" s="16"/>
      <c r="T9" s="80"/>
    </row>
    <row r="10" spans="2:22" x14ac:dyDescent="0.25">
      <c r="B10" s="14"/>
      <c r="C10" s="22" t="s">
        <v>406</v>
      </c>
      <c r="D10" s="49"/>
      <c r="E10" s="102"/>
      <c r="F10" s="78"/>
      <c r="G10" s="19"/>
      <c r="H10" s="50"/>
      <c r="I10" s="19"/>
      <c r="J10" s="19"/>
      <c r="K10" s="102"/>
      <c r="M10" s="49"/>
      <c r="N10" s="102"/>
      <c r="O10" s="78"/>
      <c r="P10" s="19"/>
      <c r="Q10" s="50"/>
      <c r="R10" s="19"/>
      <c r="S10" s="19"/>
      <c r="T10" s="102"/>
    </row>
    <row r="11" spans="2:22" x14ac:dyDescent="0.25">
      <c r="B11" s="14" t="s">
        <v>654</v>
      </c>
      <c r="C11" s="17" t="s">
        <v>407</v>
      </c>
      <c r="D11" s="37">
        <v>31330.04</v>
      </c>
      <c r="E11" s="52">
        <f>+D11/Summary!$D$19</f>
        <v>3.1534532931738433E-2</v>
      </c>
      <c r="F11" s="37">
        <v>27750.3</v>
      </c>
      <c r="G11" s="206">
        <f>F11/Summary!F$19</f>
        <v>2.7801559124636045E-2</v>
      </c>
      <c r="H11" s="138">
        <f>+D11-F11</f>
        <v>3579.7400000000016</v>
      </c>
      <c r="I11" s="37">
        <v>25814.400000000001</v>
      </c>
      <c r="J11" s="206">
        <f>I11/Summary!I$19</f>
        <v>3.1220202019175858E-2</v>
      </c>
      <c r="K11" s="138">
        <f>+D11-I11</f>
        <v>5515.6399999999994</v>
      </c>
      <c r="M11" s="37">
        <v>192630.77</v>
      </c>
      <c r="N11" s="52">
        <f>+M11/Summary!$D$19</f>
        <v>0.19388808186108702</v>
      </c>
      <c r="O11" s="37">
        <v>160938.18</v>
      </c>
      <c r="P11" s="206">
        <f>O11/Summary!O$19</f>
        <v>1.7605011212519318E-2</v>
      </c>
      <c r="Q11" s="138">
        <f>+M11-O11</f>
        <v>31692.589999999997</v>
      </c>
      <c r="R11" s="37">
        <v>157348.32999999999</v>
      </c>
      <c r="S11" s="206">
        <f>R11/Summary!R$19</f>
        <v>2.0028298790935598E-2</v>
      </c>
      <c r="T11" s="138">
        <f>+M11-R11</f>
        <v>35282.44</v>
      </c>
    </row>
    <row r="12" spans="2:22" x14ac:dyDescent="0.25">
      <c r="B12" s="14"/>
      <c r="C12" s="22" t="s">
        <v>408</v>
      </c>
      <c r="D12" s="245"/>
      <c r="E12" s="35"/>
      <c r="F12" s="179"/>
      <c r="G12" s="35"/>
      <c r="H12" s="197"/>
      <c r="I12" s="179"/>
      <c r="J12" s="35"/>
      <c r="K12" s="197"/>
      <c r="M12" s="245"/>
      <c r="N12" s="35"/>
      <c r="O12" s="179"/>
      <c r="P12" s="35"/>
      <c r="Q12" s="197"/>
      <c r="R12" s="179"/>
      <c r="S12" s="35"/>
      <c r="T12" s="197"/>
    </row>
    <row r="13" spans="2:22" x14ac:dyDescent="0.25">
      <c r="B13" s="14" t="s">
        <v>186</v>
      </c>
      <c r="C13" s="17" t="s">
        <v>450</v>
      </c>
      <c r="D13" s="37">
        <v>4393.13</v>
      </c>
      <c r="E13" s="52">
        <f>+D13/Summary!$D$19</f>
        <v>4.4218042063913117E-3</v>
      </c>
      <c r="F13" s="37">
        <v>9242.2999999999993</v>
      </c>
      <c r="G13" s="206">
        <f>F13/Summary!F$19</f>
        <v>9.259371967064273E-3</v>
      </c>
      <c r="H13" s="138">
        <f t="shared" ref="H13:H27" si="0">+D13-F13</f>
        <v>-4849.1699999999992</v>
      </c>
      <c r="I13" s="37">
        <v>8408.17</v>
      </c>
      <c r="J13" s="206">
        <f>I13/Summary!I$19</f>
        <v>1.0168927653231291E-2</v>
      </c>
      <c r="K13" s="183">
        <f t="shared" ref="K13:K27" si="1">+D13-I13</f>
        <v>-4015.04</v>
      </c>
      <c r="M13" s="37">
        <v>26113.67</v>
      </c>
      <c r="N13" s="52">
        <f>+M13/Summary!$D$19</f>
        <v>2.6284115391603389E-2</v>
      </c>
      <c r="O13" s="37">
        <v>53366.3</v>
      </c>
      <c r="P13" s="206">
        <f>O13/Summary!O$19</f>
        <v>5.8377341527701488E-3</v>
      </c>
      <c r="Q13" s="138">
        <f t="shared" ref="Q13:Q27" si="2">+M13-O13</f>
        <v>-27252.630000000005</v>
      </c>
      <c r="R13" s="37">
        <v>55059.72</v>
      </c>
      <c r="S13" s="206">
        <f>R13/Summary!R$19</f>
        <v>7.0083522558215443E-3</v>
      </c>
      <c r="T13" s="183">
        <f t="shared" ref="T13:T27" si="3">+M13-R13</f>
        <v>-28946.050000000003</v>
      </c>
      <c r="U13" s="114"/>
    </row>
    <row r="14" spans="2:22" x14ac:dyDescent="0.25">
      <c r="B14" s="14" t="s">
        <v>189</v>
      </c>
      <c r="C14" s="17" t="s">
        <v>459</v>
      </c>
      <c r="D14" s="37">
        <v>0</v>
      </c>
      <c r="E14" s="52">
        <f>+D14/Summary!$D$19</f>
        <v>0</v>
      </c>
      <c r="F14" s="37">
        <v>0</v>
      </c>
      <c r="G14" s="206">
        <f>F14/Summary!F$19</f>
        <v>0</v>
      </c>
      <c r="H14" s="138">
        <f t="shared" si="0"/>
        <v>0</v>
      </c>
      <c r="I14" s="37">
        <v>0</v>
      </c>
      <c r="J14" s="206">
        <f>I14/Summary!I$19</f>
        <v>0</v>
      </c>
      <c r="K14" s="138">
        <f t="shared" si="1"/>
        <v>0</v>
      </c>
      <c r="M14" s="37">
        <v>0</v>
      </c>
      <c r="N14" s="52">
        <f>+M14/Summary!$D$19</f>
        <v>0</v>
      </c>
      <c r="O14" s="37">
        <v>0</v>
      </c>
      <c r="P14" s="206">
        <f>O14/Summary!O$19</f>
        <v>0</v>
      </c>
      <c r="Q14" s="138">
        <f t="shared" si="2"/>
        <v>0</v>
      </c>
      <c r="R14" s="37">
        <v>0</v>
      </c>
      <c r="S14" s="206">
        <f>R14/Summary!R$19</f>
        <v>0</v>
      </c>
      <c r="T14" s="138">
        <f t="shared" si="3"/>
        <v>0</v>
      </c>
    </row>
    <row r="15" spans="2:22" x14ac:dyDescent="0.25">
      <c r="B15" s="14" t="s">
        <v>187</v>
      </c>
      <c r="C15" s="17" t="s">
        <v>461</v>
      </c>
      <c r="D15" s="37">
        <v>0</v>
      </c>
      <c r="E15" s="52">
        <f>+D15/Summary!$D$19</f>
        <v>0</v>
      </c>
      <c r="F15" s="37">
        <v>0</v>
      </c>
      <c r="G15" s="206">
        <f>F15/Summary!F$19</f>
        <v>0</v>
      </c>
      <c r="H15" s="138">
        <f t="shared" si="0"/>
        <v>0</v>
      </c>
      <c r="I15" s="37">
        <v>0</v>
      </c>
      <c r="J15" s="206">
        <f>I15/Summary!I$19</f>
        <v>0</v>
      </c>
      <c r="K15" s="138">
        <f t="shared" si="1"/>
        <v>0</v>
      </c>
      <c r="M15" s="37">
        <v>0</v>
      </c>
      <c r="N15" s="52">
        <f>+M15/Summary!$D$19</f>
        <v>0</v>
      </c>
      <c r="O15" s="37">
        <v>0</v>
      </c>
      <c r="P15" s="206">
        <f>O15/Summary!O$19</f>
        <v>0</v>
      </c>
      <c r="Q15" s="138">
        <f t="shared" si="2"/>
        <v>0</v>
      </c>
      <c r="R15" s="37">
        <v>0</v>
      </c>
      <c r="S15" s="206">
        <f>R15/Summary!R$19</f>
        <v>0</v>
      </c>
      <c r="T15" s="138">
        <f t="shared" si="3"/>
        <v>0</v>
      </c>
    </row>
    <row r="16" spans="2:22" x14ac:dyDescent="0.25">
      <c r="B16" s="14" t="s">
        <v>188</v>
      </c>
      <c r="C16" s="17" t="s">
        <v>462</v>
      </c>
      <c r="D16" s="37">
        <v>2378.5700000000002</v>
      </c>
      <c r="E16" s="52">
        <f>+D16/Summary!$D$19</f>
        <v>2.3940950600588153E-3</v>
      </c>
      <c r="F16" s="37">
        <v>2445.94</v>
      </c>
      <c r="G16" s="206">
        <f>F16/Summary!F$19</f>
        <v>2.4504580319964931E-3</v>
      </c>
      <c r="H16" s="138">
        <f t="shared" si="0"/>
        <v>-67.369999999999891</v>
      </c>
      <c r="I16" s="37">
        <v>2073.12</v>
      </c>
      <c r="J16" s="206">
        <f>I16/Summary!I$19</f>
        <v>2.5072527430424043E-3</v>
      </c>
      <c r="K16" s="138">
        <f t="shared" si="1"/>
        <v>305.45000000000027</v>
      </c>
      <c r="M16" s="37">
        <v>13585.5</v>
      </c>
      <c r="N16" s="52">
        <f>+M16/Summary!$D$19</f>
        <v>1.3674173321966153E-2</v>
      </c>
      <c r="O16" s="37">
        <v>14578.21</v>
      </c>
      <c r="P16" s="206">
        <f>O16/Summary!O$19</f>
        <v>1.5947089156125738E-3</v>
      </c>
      <c r="Q16" s="138">
        <f t="shared" si="2"/>
        <v>-992.70999999999913</v>
      </c>
      <c r="R16" s="37">
        <v>13168.36</v>
      </c>
      <c r="S16" s="206">
        <f>R16/Summary!R$19</f>
        <v>1.6761528302626711E-3</v>
      </c>
      <c r="T16" s="138">
        <f t="shared" si="3"/>
        <v>417.13999999999942</v>
      </c>
    </row>
    <row r="17" spans="2:20" x14ac:dyDescent="0.25">
      <c r="B17" s="14" t="s">
        <v>190</v>
      </c>
      <c r="C17" s="17" t="s">
        <v>463</v>
      </c>
      <c r="D17" s="56">
        <v>0</v>
      </c>
      <c r="E17" s="57">
        <f>+D17/Summary!$D$19</f>
        <v>0</v>
      </c>
      <c r="F17" s="56">
        <v>0</v>
      </c>
      <c r="G17" s="57">
        <f>F17/Summary!F$19</f>
        <v>0</v>
      </c>
      <c r="H17" s="25">
        <f t="shared" si="0"/>
        <v>0</v>
      </c>
      <c r="I17" s="37">
        <v>0</v>
      </c>
      <c r="J17" s="57">
        <f>I17/Summary!I$19</f>
        <v>0</v>
      </c>
      <c r="K17" s="322">
        <f t="shared" si="1"/>
        <v>0</v>
      </c>
      <c r="M17" s="56">
        <v>0</v>
      </c>
      <c r="N17" s="57">
        <f>+M17/Summary!$D$19</f>
        <v>0</v>
      </c>
      <c r="O17" s="56">
        <v>0</v>
      </c>
      <c r="P17" s="57">
        <f>O17/Summary!O$19</f>
        <v>0</v>
      </c>
      <c r="Q17" s="25">
        <f t="shared" si="2"/>
        <v>0</v>
      </c>
      <c r="R17" s="37">
        <v>0</v>
      </c>
      <c r="S17" s="57">
        <f>R17/Summary!R$19</f>
        <v>0</v>
      </c>
      <c r="T17" s="322">
        <f t="shared" si="3"/>
        <v>0</v>
      </c>
    </row>
    <row r="18" spans="2:20" x14ac:dyDescent="0.25">
      <c r="B18" s="14" t="s">
        <v>657</v>
      </c>
      <c r="C18" s="17" t="s">
        <v>708</v>
      </c>
      <c r="D18" s="56">
        <v>0</v>
      </c>
      <c r="E18" s="57">
        <f>+D18/Summary!$D$19</f>
        <v>0</v>
      </c>
      <c r="F18" s="56">
        <v>0</v>
      </c>
      <c r="G18" s="57">
        <f>F18/Summary!F$19</f>
        <v>0</v>
      </c>
      <c r="H18" s="25">
        <f t="shared" si="0"/>
        <v>0</v>
      </c>
      <c r="I18" s="37">
        <v>0</v>
      </c>
      <c r="J18" s="57">
        <f>I18/Summary!I$19</f>
        <v>0</v>
      </c>
      <c r="K18" s="322">
        <f t="shared" si="1"/>
        <v>0</v>
      </c>
      <c r="M18" s="56">
        <v>0</v>
      </c>
      <c r="N18" s="57">
        <f>+M18/Summary!$D$19</f>
        <v>0</v>
      </c>
      <c r="O18" s="56">
        <v>0</v>
      </c>
      <c r="P18" s="57">
        <f>O18/Summary!O$19</f>
        <v>0</v>
      </c>
      <c r="Q18" s="25">
        <f t="shared" si="2"/>
        <v>0</v>
      </c>
      <c r="R18" s="37">
        <v>0</v>
      </c>
      <c r="S18" s="57">
        <f>R18/Summary!R$19</f>
        <v>0</v>
      </c>
      <c r="T18" s="322">
        <f t="shared" si="3"/>
        <v>0</v>
      </c>
    </row>
    <row r="19" spans="2:20" x14ac:dyDescent="0.25">
      <c r="B19" s="14" t="s">
        <v>300</v>
      </c>
      <c r="C19" s="23" t="s">
        <v>411</v>
      </c>
      <c r="D19" s="104">
        <f t="shared" ref="D19" si="4">SUM(D13:D18)+D11</f>
        <v>38101.740000000005</v>
      </c>
      <c r="E19" s="105">
        <f>+D19/Summary!$D$19</f>
        <v>3.8350432198188567E-2</v>
      </c>
      <c r="F19" s="104">
        <f>SUM(F13:F18)</f>
        <v>11688.24</v>
      </c>
      <c r="G19" s="105">
        <f>F19/Summary!F$19</f>
        <v>1.1709829999060766E-2</v>
      </c>
      <c r="H19" s="24">
        <f t="shared" si="0"/>
        <v>26413.500000000007</v>
      </c>
      <c r="I19" s="104">
        <f>SUM(I13:I18)</f>
        <v>10481.290000000001</v>
      </c>
      <c r="J19" s="105">
        <f>I19/Summary!I$19</f>
        <v>1.2676180396273697E-2</v>
      </c>
      <c r="K19" s="323">
        <f t="shared" si="1"/>
        <v>27620.450000000004</v>
      </c>
      <c r="M19" s="104">
        <f t="shared" ref="M19" si="5">SUM(M13:M18)+M11</f>
        <v>232329.94</v>
      </c>
      <c r="N19" s="105">
        <f>+M19/Summary!$D$19</f>
        <v>0.2338463705746566</v>
      </c>
      <c r="O19" s="104">
        <f>SUM(O13:O18)</f>
        <v>67944.510000000009</v>
      </c>
      <c r="P19" s="105">
        <f>O19/Summary!O$19</f>
        <v>7.4324430683827235E-3</v>
      </c>
      <c r="Q19" s="24">
        <f t="shared" si="2"/>
        <v>164385.43</v>
      </c>
      <c r="R19" s="104">
        <f>SUM(R13:R18)</f>
        <v>68228.08</v>
      </c>
      <c r="S19" s="105">
        <f>R19/Summary!R$19</f>
        <v>8.6845050860842148E-3</v>
      </c>
      <c r="T19" s="323">
        <f t="shared" si="3"/>
        <v>164101.85999999999</v>
      </c>
    </row>
    <row r="20" spans="2:20" x14ac:dyDescent="0.25">
      <c r="B20" s="14" t="s">
        <v>660</v>
      </c>
      <c r="C20" s="17" t="s">
        <v>412</v>
      </c>
      <c r="D20" s="209">
        <v>0</v>
      </c>
      <c r="E20" s="175">
        <f>+D20/Summary!$D$19</f>
        <v>0</v>
      </c>
      <c r="F20" s="209">
        <v>0</v>
      </c>
      <c r="G20" s="175">
        <f>F20/Summary!F$19</f>
        <v>0</v>
      </c>
      <c r="H20" s="207">
        <f t="shared" si="0"/>
        <v>0</v>
      </c>
      <c r="I20" s="37">
        <v>0</v>
      </c>
      <c r="J20" s="175">
        <f>I20/Summary!I$19</f>
        <v>0</v>
      </c>
      <c r="K20" s="229">
        <f t="shared" si="1"/>
        <v>0</v>
      </c>
      <c r="M20" s="209">
        <v>7086.8</v>
      </c>
      <c r="N20" s="175">
        <f>+M20/Summary!$D$19</f>
        <v>7.1330559418578436E-3</v>
      </c>
      <c r="O20" s="209">
        <v>0</v>
      </c>
      <c r="P20" s="175">
        <f>O20/Summary!O$19</f>
        <v>0</v>
      </c>
      <c r="Q20" s="207">
        <f t="shared" si="2"/>
        <v>7086.8</v>
      </c>
      <c r="R20" s="37">
        <v>0</v>
      </c>
      <c r="S20" s="175">
        <f>R20/Summary!R$19</f>
        <v>0</v>
      </c>
      <c r="T20" s="229">
        <f t="shared" si="3"/>
        <v>7086.8</v>
      </c>
    </row>
    <row r="21" spans="2:20" x14ac:dyDescent="0.25">
      <c r="B21" s="14" t="s">
        <v>249</v>
      </c>
      <c r="C21" s="17" t="s">
        <v>413</v>
      </c>
      <c r="D21" s="210">
        <v>3662.49</v>
      </c>
      <c r="E21" s="176">
        <f>+D21/Summary!$D$19</f>
        <v>3.6863952780514381E-3</v>
      </c>
      <c r="F21" s="210">
        <v>7027.77</v>
      </c>
      <c r="G21" s="176">
        <f>F21/Summary!F$19</f>
        <v>7.0407513853667694E-3</v>
      </c>
      <c r="H21" s="25">
        <f t="shared" si="0"/>
        <v>-3365.2800000000007</v>
      </c>
      <c r="I21" s="37">
        <v>-2073.9299999999998</v>
      </c>
      <c r="J21" s="176">
        <f>I21/Summary!I$19</f>
        <v>-2.5082323654095923E-3</v>
      </c>
      <c r="K21" s="322">
        <f t="shared" si="1"/>
        <v>5736.42</v>
      </c>
      <c r="M21" s="210">
        <v>23732.9</v>
      </c>
      <c r="N21" s="176">
        <f>+M21/Summary!$D$19</f>
        <v>2.3887805972020944E-2</v>
      </c>
      <c r="O21" s="210">
        <v>41652.36</v>
      </c>
      <c r="P21" s="176">
        <f>O21/Summary!O$19</f>
        <v>4.5563474424023635E-3</v>
      </c>
      <c r="Q21" s="25">
        <f t="shared" si="2"/>
        <v>-17919.46</v>
      </c>
      <c r="R21" s="37">
        <v>17762.509999999998</v>
      </c>
      <c r="S21" s="176">
        <f>R21/Summary!R$19</f>
        <v>2.2609255373538537E-3</v>
      </c>
      <c r="T21" s="322">
        <f t="shared" si="3"/>
        <v>5970.3900000000031</v>
      </c>
    </row>
    <row r="22" spans="2:20" x14ac:dyDescent="0.25">
      <c r="B22" s="14"/>
      <c r="C22" s="23" t="s">
        <v>414</v>
      </c>
      <c r="D22" s="104">
        <f t="shared" ref="D22" si="6">+D19+SUM(D20:D21)</f>
        <v>41764.230000000003</v>
      </c>
      <c r="E22" s="105">
        <f>+D22/Summary!$D$19</f>
        <v>4.2036827476239998E-2</v>
      </c>
      <c r="F22" s="104">
        <f>+F11+F19+SUM(F20:F21)</f>
        <v>46466.31</v>
      </c>
      <c r="G22" s="105"/>
      <c r="H22" s="24">
        <f t="shared" si="0"/>
        <v>-4702.0799999999945</v>
      </c>
      <c r="I22" s="104">
        <f>+I11+I19+SUM(I20:I21)</f>
        <v>34221.760000000002</v>
      </c>
      <c r="J22" s="105"/>
      <c r="K22" s="323">
        <f t="shared" si="1"/>
        <v>7542.4700000000012</v>
      </c>
      <c r="M22" s="104">
        <f t="shared" ref="M22" si="7">+M19+SUM(M20:M21)</f>
        <v>263149.64</v>
      </c>
      <c r="N22" s="105">
        <f>+M22/Summary!$D$19</f>
        <v>0.26486723248853539</v>
      </c>
      <c r="O22" s="104">
        <f>+O11+O19+SUM(O20:O21)</f>
        <v>270535.05</v>
      </c>
      <c r="P22" s="105"/>
      <c r="Q22" s="24">
        <f t="shared" si="2"/>
        <v>-7385.4099999999744</v>
      </c>
      <c r="R22" s="104">
        <f>+R11+R19+SUM(R20:R21)</f>
        <v>243338.91999999998</v>
      </c>
      <c r="S22" s="105"/>
      <c r="T22" s="323">
        <f t="shared" si="3"/>
        <v>19810.72000000003</v>
      </c>
    </row>
    <row r="23" spans="2:20" x14ac:dyDescent="0.25">
      <c r="B23" s="14" t="s">
        <v>295</v>
      </c>
      <c r="C23" s="17" t="s">
        <v>415</v>
      </c>
      <c r="D23" s="107">
        <v>4904.8100000000004</v>
      </c>
      <c r="E23" s="108">
        <f>+D23/Summary!$D$19</f>
        <v>4.9368239705062612E-3</v>
      </c>
      <c r="F23" s="107">
        <v>3531.33</v>
      </c>
      <c r="G23" s="108">
        <f>F23/Summary!F$19</f>
        <v>3.5378529163144542E-3</v>
      </c>
      <c r="H23" s="25">
        <f t="shared" si="0"/>
        <v>1373.4800000000005</v>
      </c>
      <c r="I23" s="37">
        <v>2565.71</v>
      </c>
      <c r="J23" s="108">
        <f>I23/Summary!I$19</f>
        <v>3.1029961774288648E-3</v>
      </c>
      <c r="K23" s="322">
        <f t="shared" si="1"/>
        <v>2339.1000000000004</v>
      </c>
      <c r="M23" s="107">
        <v>25698.59</v>
      </c>
      <c r="N23" s="108">
        <f>+M23/Summary!$D$19</f>
        <v>2.5866326141117085E-2</v>
      </c>
      <c r="O23" s="107">
        <v>21361</v>
      </c>
      <c r="P23" s="108">
        <f>O23/Summary!O$19</f>
        <v>2.3366776268417175E-3</v>
      </c>
      <c r="Q23" s="25">
        <f t="shared" si="2"/>
        <v>4337.59</v>
      </c>
      <c r="R23" s="37">
        <v>20236.13</v>
      </c>
      <c r="S23" s="108">
        <f>R23/Summary!R$19</f>
        <v>2.5757836642576102E-3</v>
      </c>
      <c r="T23" s="322">
        <f t="shared" si="3"/>
        <v>5462.4599999999991</v>
      </c>
    </row>
    <row r="24" spans="2:20" x14ac:dyDescent="0.25">
      <c r="B24" s="14" t="s">
        <v>307</v>
      </c>
      <c r="C24" s="17" t="s">
        <v>360</v>
      </c>
      <c r="D24" s="37">
        <v>2107.42</v>
      </c>
      <c r="E24" s="52">
        <f>+D24/Summary!$D$19</f>
        <v>2.1211752487709625E-3</v>
      </c>
      <c r="F24" s="37">
        <v>3299.82</v>
      </c>
      <c r="G24" s="52">
        <f>F24/Summary!F$19</f>
        <v>3.3059152812998966E-3</v>
      </c>
      <c r="H24" s="138">
        <f t="shared" si="0"/>
        <v>-1192.4000000000001</v>
      </c>
      <c r="I24" s="37">
        <v>3869.59</v>
      </c>
      <c r="J24" s="52">
        <f>I24/Summary!I$19</f>
        <v>4.6799221183286346E-3</v>
      </c>
      <c r="K24" s="138">
        <f t="shared" si="1"/>
        <v>-1762.17</v>
      </c>
      <c r="M24" s="37">
        <v>27826.2</v>
      </c>
      <c r="N24" s="52">
        <f>+M24/Summary!$D$19</f>
        <v>2.800782317115267E-2</v>
      </c>
      <c r="O24" s="37">
        <v>24937.31</v>
      </c>
      <c r="P24" s="52">
        <f>O24/Summary!O$19</f>
        <v>2.7278898155805547E-3</v>
      </c>
      <c r="Q24" s="138">
        <f t="shared" si="2"/>
        <v>2888.8899999999994</v>
      </c>
      <c r="R24" s="37">
        <v>25425.64</v>
      </c>
      <c r="S24" s="52">
        <f>R24/Summary!R$19</f>
        <v>3.2363375885258129E-3</v>
      </c>
      <c r="T24" s="138">
        <f t="shared" si="3"/>
        <v>2400.5600000000013</v>
      </c>
    </row>
    <row r="25" spans="2:20" x14ac:dyDescent="0.25">
      <c r="B25" s="14" t="s">
        <v>267</v>
      </c>
      <c r="C25" s="17" t="s">
        <v>361</v>
      </c>
      <c r="D25" s="107">
        <v>7004.71</v>
      </c>
      <c r="E25" s="108">
        <f>+D25/Summary!$D$19</f>
        <v>7.0504301358146207E-3</v>
      </c>
      <c r="F25" s="107">
        <v>6617.07</v>
      </c>
      <c r="G25" s="108">
        <f>F25/Summary!F$19</f>
        <v>6.6292927585235263E-3</v>
      </c>
      <c r="H25" s="25">
        <f t="shared" si="0"/>
        <v>387.64000000000033</v>
      </c>
      <c r="I25" s="37">
        <v>5172.75</v>
      </c>
      <c r="J25" s="108">
        <f>I25/Summary!I$19</f>
        <v>6.2559772837909033E-3</v>
      </c>
      <c r="K25" s="322">
        <f t="shared" si="1"/>
        <v>1831.96</v>
      </c>
      <c r="M25" s="107">
        <v>37174.379999999997</v>
      </c>
      <c r="N25" s="108">
        <f>+M25/Summary!$D$19</f>
        <v>3.741701926735358E-2</v>
      </c>
      <c r="O25" s="107">
        <v>39385.94</v>
      </c>
      <c r="P25" s="108">
        <f>O25/Summary!O$19</f>
        <v>4.3084239881152698E-3</v>
      </c>
      <c r="Q25" s="25">
        <f t="shared" si="2"/>
        <v>-2211.5600000000049</v>
      </c>
      <c r="R25" s="37">
        <v>36977.75</v>
      </c>
      <c r="S25" s="108">
        <f>R25/Summary!R$19</f>
        <v>4.7067638125966697E-3</v>
      </c>
      <c r="T25" s="322">
        <f t="shared" si="3"/>
        <v>196.62999999999738</v>
      </c>
    </row>
    <row r="26" spans="2:20" x14ac:dyDescent="0.25">
      <c r="B26" s="14" t="s">
        <v>289</v>
      </c>
      <c r="C26" s="23" t="s">
        <v>416</v>
      </c>
      <c r="D26" s="143">
        <f t="shared" ref="D26" si="8">SUM(D23:D25)</f>
        <v>14016.94</v>
      </c>
      <c r="E26" s="126">
        <f>+D26/Summary!$D$19</f>
        <v>1.4108429355091845E-2</v>
      </c>
      <c r="F26" s="143">
        <f t="shared" ref="F26" si="9">SUM(F23:F25)</f>
        <v>13448.22</v>
      </c>
      <c r="G26" s="126">
        <f>F26/Summary!F$19</f>
        <v>1.3473060956137877E-2</v>
      </c>
      <c r="H26" s="26">
        <f t="shared" si="0"/>
        <v>568.72000000000116</v>
      </c>
      <c r="I26" s="143">
        <f t="shared" ref="I26" si="10">SUM(I23:I25)</f>
        <v>11608.05</v>
      </c>
      <c r="J26" s="126">
        <f>I26/Summary!I$19</f>
        <v>1.4038895579548401E-2</v>
      </c>
      <c r="K26" s="324">
        <f t="shared" si="1"/>
        <v>2408.8900000000012</v>
      </c>
      <c r="M26" s="143">
        <f t="shared" ref="M26" si="11">SUM(M23:M25)</f>
        <v>90699.17</v>
      </c>
      <c r="N26" s="126">
        <f>+M26/Summary!$D$19</f>
        <v>9.1291168579623341E-2</v>
      </c>
      <c r="O26" s="143">
        <f t="shared" ref="O26" si="12">SUM(O23:O25)</f>
        <v>85684.25</v>
      </c>
      <c r="P26" s="126">
        <f>O26/Summary!O$19</f>
        <v>9.372991430537542E-3</v>
      </c>
      <c r="Q26" s="26">
        <f t="shared" si="2"/>
        <v>5014.9199999999983</v>
      </c>
      <c r="R26" s="143">
        <f t="shared" ref="R26" si="13">SUM(R23:R25)</f>
        <v>82639.520000000004</v>
      </c>
      <c r="S26" s="126">
        <f>R26/Summary!R$19</f>
        <v>1.0518885065380094E-2</v>
      </c>
      <c r="T26" s="324">
        <f t="shared" si="3"/>
        <v>8059.6499999999942</v>
      </c>
    </row>
    <row r="27" spans="2:20" x14ac:dyDescent="0.25">
      <c r="B27" s="14" t="s">
        <v>274</v>
      </c>
      <c r="C27" s="23" t="s">
        <v>417</v>
      </c>
      <c r="D27" s="92">
        <f t="shared" ref="D27" si="14">+D22+D26</f>
        <v>55781.170000000006</v>
      </c>
      <c r="E27" s="127">
        <f>+D27/Summary!$D$19</f>
        <v>5.6145256831331848E-2</v>
      </c>
      <c r="F27" s="92">
        <f t="shared" ref="F27" si="15">+F22+F26</f>
        <v>59914.53</v>
      </c>
      <c r="G27" s="127">
        <f>F27/Summary!F$19</f>
        <v>6.0025201465201454E-2</v>
      </c>
      <c r="H27" s="26">
        <f t="shared" si="0"/>
        <v>-4133.3599999999933</v>
      </c>
      <c r="I27" s="92">
        <f t="shared" ref="I27" si="16">+I22+I26</f>
        <v>45829.81</v>
      </c>
      <c r="J27" s="127">
        <f>I27/Summary!I$19</f>
        <v>5.5427045629588355E-2</v>
      </c>
      <c r="K27" s="324">
        <f t="shared" si="1"/>
        <v>9951.3600000000079</v>
      </c>
      <c r="M27" s="92">
        <f t="shared" ref="M27" si="17">+M22+M26</f>
        <v>353848.81</v>
      </c>
      <c r="N27" s="127">
        <f>+M27/Summary!$D$19</f>
        <v>0.35615840106815871</v>
      </c>
      <c r="O27" s="92">
        <f t="shared" ref="O27" si="18">+O22+O26</f>
        <v>356219.3</v>
      </c>
      <c r="P27" s="127">
        <f>O27/Summary!O$19</f>
        <v>3.8966793153841946E-2</v>
      </c>
      <c r="Q27" s="26">
        <f t="shared" si="2"/>
        <v>-2370.4899999999907</v>
      </c>
      <c r="R27" s="92">
        <f t="shared" ref="R27" si="19">+R22+R26</f>
        <v>325978.44</v>
      </c>
      <c r="S27" s="127">
        <f>R27/Summary!R$19</f>
        <v>4.1492614479753762E-2</v>
      </c>
      <c r="T27" s="324">
        <f t="shared" si="3"/>
        <v>27870.369999999995</v>
      </c>
    </row>
    <row r="28" spans="2:20" x14ac:dyDescent="0.25">
      <c r="B28" s="14"/>
      <c r="C28" s="18"/>
      <c r="D28" s="49"/>
      <c r="E28" s="177"/>
      <c r="F28" s="49"/>
      <c r="G28" s="211"/>
      <c r="H28" s="80"/>
      <c r="I28" s="49"/>
      <c r="J28" s="211"/>
      <c r="K28" s="80"/>
      <c r="M28" s="49"/>
      <c r="N28" s="177"/>
      <c r="O28" s="49"/>
      <c r="P28" s="211"/>
      <c r="Q28" s="80"/>
      <c r="R28" s="49"/>
      <c r="S28" s="211"/>
      <c r="T28" s="80"/>
    </row>
    <row r="29" spans="2:20" x14ac:dyDescent="0.25">
      <c r="B29" s="14"/>
      <c r="C29" s="15" t="s">
        <v>51</v>
      </c>
      <c r="D29" s="49"/>
      <c r="E29" s="54"/>
      <c r="F29" s="49"/>
      <c r="G29" s="32"/>
      <c r="H29" s="102"/>
      <c r="I29" s="49"/>
      <c r="J29" s="32"/>
      <c r="K29" s="102"/>
      <c r="M29" s="49"/>
      <c r="N29" s="54"/>
      <c r="O29" s="49"/>
      <c r="P29" s="32"/>
      <c r="Q29" s="102"/>
      <c r="R29" s="49"/>
      <c r="S29" s="32"/>
      <c r="T29" s="102"/>
    </row>
    <row r="30" spans="2:20" x14ac:dyDescent="0.25">
      <c r="B30" s="14" t="s">
        <v>110</v>
      </c>
      <c r="C30" s="17" t="s">
        <v>432</v>
      </c>
      <c r="D30" s="37">
        <v>2870.6</v>
      </c>
      <c r="E30" s="52">
        <f>+D30/Summary!$D$19</f>
        <v>2.8893365675194903E-3</v>
      </c>
      <c r="F30" s="37">
        <v>1655</v>
      </c>
      <c r="G30" s="52">
        <f>F30/Summary!F$19</f>
        <v>1.6580570426724271E-3</v>
      </c>
      <c r="H30" s="138">
        <f t="shared" ref="H30:H65" si="20">+D30-F30</f>
        <v>1215.5999999999999</v>
      </c>
      <c r="I30" s="37">
        <v>1396.25</v>
      </c>
      <c r="J30" s="52">
        <f>I30/Summary!I$19</f>
        <v>1.6886391730690734E-3</v>
      </c>
      <c r="K30" s="138">
        <f t="shared" ref="K30:K65" si="21">+D30-I30</f>
        <v>1474.35</v>
      </c>
      <c r="M30" s="37">
        <v>16520.47</v>
      </c>
      <c r="N30" s="52">
        <f>+M30/Summary!$D$19</f>
        <v>1.6628300036093054E-2</v>
      </c>
      <c r="O30" s="37">
        <v>10243</v>
      </c>
      <c r="P30" s="52">
        <f>O30/Summary!O$19</f>
        <v>1.1204807327250461E-3</v>
      </c>
      <c r="Q30" s="138">
        <f t="shared" ref="Q30:Q65" si="22">+M30-O30</f>
        <v>6277.4700000000012</v>
      </c>
      <c r="R30" s="37">
        <v>4117.3100000000004</v>
      </c>
      <c r="S30" s="52">
        <f>R30/Summary!R$19</f>
        <v>5.240774712696796E-4</v>
      </c>
      <c r="T30" s="138">
        <f t="shared" ref="T30:T65" si="23">+M30-R30</f>
        <v>12403.16</v>
      </c>
    </row>
    <row r="31" spans="2:20" x14ac:dyDescent="0.25">
      <c r="B31" s="14" t="s">
        <v>214</v>
      </c>
      <c r="C31" s="17" t="s">
        <v>418</v>
      </c>
      <c r="D31" s="37">
        <v>126.1</v>
      </c>
      <c r="E31" s="52">
        <f>+D31/Summary!$D$19</f>
        <v>1.269230617864585E-4</v>
      </c>
      <c r="F31" s="37">
        <v>280.5</v>
      </c>
      <c r="G31" s="52">
        <f>F31/Summary!F$19</f>
        <v>2.8101812717197327E-4</v>
      </c>
      <c r="H31" s="138">
        <f t="shared" si="20"/>
        <v>-154.4</v>
      </c>
      <c r="I31" s="37">
        <v>148.87</v>
      </c>
      <c r="J31" s="52">
        <f>I31/Summary!I$19</f>
        <v>1.8004491580647661E-4</v>
      </c>
      <c r="K31" s="138">
        <f t="shared" si="21"/>
        <v>-22.77000000000001</v>
      </c>
      <c r="M31" s="37">
        <v>551.17999999999995</v>
      </c>
      <c r="N31" s="52">
        <f>+M31/Summary!$D$19</f>
        <v>5.5477758283473588E-4</v>
      </c>
      <c r="O31" s="37">
        <v>1683</v>
      </c>
      <c r="P31" s="52">
        <f>O31/Summary!O$19</f>
        <v>1.8410319956811995E-4</v>
      </c>
      <c r="Q31" s="138">
        <f t="shared" si="22"/>
        <v>-1131.8200000000002</v>
      </c>
      <c r="R31" s="37">
        <v>721.24</v>
      </c>
      <c r="S31" s="52">
        <f>R31/Summary!R$19</f>
        <v>9.1804026264367679E-5</v>
      </c>
      <c r="T31" s="138">
        <f t="shared" si="23"/>
        <v>-170.06000000000006</v>
      </c>
    </row>
    <row r="32" spans="2:20" x14ac:dyDescent="0.25">
      <c r="B32" s="14" t="s">
        <v>714</v>
      </c>
      <c r="C32" s="290" t="s">
        <v>713</v>
      </c>
      <c r="D32" s="37">
        <v>0</v>
      </c>
      <c r="E32" s="52">
        <f>+D32/Summary!$D$19</f>
        <v>0</v>
      </c>
      <c r="F32" s="37">
        <v>0</v>
      </c>
      <c r="G32" s="52">
        <f>F32/Summary!F$19</f>
        <v>0</v>
      </c>
      <c r="H32" s="138">
        <f t="shared" si="20"/>
        <v>0</v>
      </c>
      <c r="I32" s="37">
        <v>0</v>
      </c>
      <c r="J32" s="52">
        <f>I32/Summary!I$19</f>
        <v>0</v>
      </c>
      <c r="K32" s="138">
        <f t="shared" si="21"/>
        <v>0</v>
      </c>
      <c r="M32" s="37">
        <v>0</v>
      </c>
      <c r="N32" s="52">
        <f>+M32/Summary!$D$19</f>
        <v>0</v>
      </c>
      <c r="O32" s="37">
        <v>0</v>
      </c>
      <c r="P32" s="52">
        <f>O32/Summary!O$19</f>
        <v>0</v>
      </c>
      <c r="Q32" s="138">
        <f t="shared" si="22"/>
        <v>0</v>
      </c>
      <c r="R32" s="37">
        <v>0</v>
      </c>
      <c r="S32" s="52">
        <f>R32/Summary!R$19</f>
        <v>0</v>
      </c>
      <c r="T32" s="138">
        <f t="shared" si="23"/>
        <v>0</v>
      </c>
    </row>
    <row r="33" spans="2:20" x14ac:dyDescent="0.25">
      <c r="B33" s="14" t="s">
        <v>219</v>
      </c>
      <c r="C33" s="17" t="s">
        <v>451</v>
      </c>
      <c r="D33" s="37">
        <v>638.75</v>
      </c>
      <c r="E33" s="52">
        <f>+D33/Summary!$D$19</f>
        <v>6.4291915714591882E-4</v>
      </c>
      <c r="F33" s="37">
        <v>1233.4000000000001</v>
      </c>
      <c r="G33" s="52">
        <f>F33/Summary!F$19</f>
        <v>1.235678281832128E-3</v>
      </c>
      <c r="H33" s="138">
        <f t="shared" si="20"/>
        <v>-594.65000000000009</v>
      </c>
      <c r="I33" s="37">
        <v>0</v>
      </c>
      <c r="J33" s="52">
        <f>I33/Summary!I$19</f>
        <v>0</v>
      </c>
      <c r="K33" s="138">
        <f t="shared" si="21"/>
        <v>638.75</v>
      </c>
      <c r="M33" s="37">
        <v>13939.75</v>
      </c>
      <c r="N33" s="52">
        <f>+M33/Summary!$D$19</f>
        <v>1.4030735531623987E-2</v>
      </c>
      <c r="O33" s="37">
        <v>21903.5</v>
      </c>
      <c r="P33" s="52">
        <f>O33/Summary!O$19</f>
        <v>2.3960216469045251E-3</v>
      </c>
      <c r="Q33" s="138">
        <f t="shared" si="22"/>
        <v>-7963.75</v>
      </c>
      <c r="R33" s="37">
        <v>13525</v>
      </c>
      <c r="S33" s="52">
        <f>R33/Summary!R$19</f>
        <v>1.7215482436159571E-3</v>
      </c>
      <c r="T33" s="138">
        <f t="shared" si="23"/>
        <v>414.75</v>
      </c>
    </row>
    <row r="34" spans="2:20" x14ac:dyDescent="0.25">
      <c r="B34" s="14" t="s">
        <v>192</v>
      </c>
      <c r="C34" s="17" t="s">
        <v>373</v>
      </c>
      <c r="D34" s="37">
        <v>1200.82</v>
      </c>
      <c r="E34" s="52">
        <f>+D34/Summary!$D$19</f>
        <v>1.2086578196226414E-3</v>
      </c>
      <c r="F34" s="37">
        <v>4398.9020200860004</v>
      </c>
      <c r="G34" s="52">
        <f>F34/Summary!F$19</f>
        <v>4.407027476996713E-3</v>
      </c>
      <c r="H34" s="138">
        <f t="shared" si="20"/>
        <v>-3198.0820200860007</v>
      </c>
      <c r="I34" s="37">
        <v>1864.2</v>
      </c>
      <c r="J34" s="52">
        <f>I34/Summary!I$19</f>
        <v>2.2545827369277469E-3</v>
      </c>
      <c r="K34" s="138">
        <f t="shared" si="21"/>
        <v>-663.38000000000011</v>
      </c>
      <c r="M34" s="37">
        <v>8791.9599999999991</v>
      </c>
      <c r="N34" s="52">
        <f>+M34/Summary!$D$19</f>
        <v>8.8493456170029468E-3</v>
      </c>
      <c r="O34" s="37">
        <v>32188.571775370001</v>
      </c>
      <c r="P34" s="52">
        <f>O34/Summary!O$19</f>
        <v>3.521104606876825E-3</v>
      </c>
      <c r="Q34" s="138">
        <f t="shared" si="22"/>
        <v>-23396.611775370002</v>
      </c>
      <c r="R34" s="37">
        <v>9590.31</v>
      </c>
      <c r="S34" s="52">
        <f>R34/Summary!R$19</f>
        <v>1.2207158104423326E-3</v>
      </c>
      <c r="T34" s="138">
        <f t="shared" si="23"/>
        <v>-798.35000000000036</v>
      </c>
    </row>
    <row r="35" spans="2:20" x14ac:dyDescent="0.25">
      <c r="B35" s="14" t="s">
        <v>79</v>
      </c>
      <c r="C35" s="17" t="s">
        <v>364</v>
      </c>
      <c r="D35" s="37">
        <v>0</v>
      </c>
      <c r="E35" s="52">
        <f>+D35/Summary!$D$19</f>
        <v>0</v>
      </c>
      <c r="F35" s="37">
        <v>0</v>
      </c>
      <c r="G35" s="52">
        <f>F35/Summary!F$19</f>
        <v>0</v>
      </c>
      <c r="H35" s="138">
        <f t="shared" si="20"/>
        <v>0</v>
      </c>
      <c r="I35" s="37">
        <v>0</v>
      </c>
      <c r="J35" s="52">
        <f>I35/Summary!I$19</f>
        <v>0</v>
      </c>
      <c r="K35" s="138">
        <f t="shared" si="21"/>
        <v>0</v>
      </c>
      <c r="M35" s="37">
        <v>0</v>
      </c>
      <c r="N35" s="52">
        <f>+M35/Summary!$D$19</f>
        <v>0</v>
      </c>
      <c r="O35" s="37">
        <v>0</v>
      </c>
      <c r="P35" s="52">
        <f>O35/Summary!O$19</f>
        <v>0</v>
      </c>
      <c r="Q35" s="138">
        <f t="shared" si="22"/>
        <v>0</v>
      </c>
      <c r="R35" s="37">
        <v>0</v>
      </c>
      <c r="S35" s="52">
        <f>R35/Summary!R$19</f>
        <v>0</v>
      </c>
      <c r="T35" s="138">
        <f t="shared" si="23"/>
        <v>0</v>
      </c>
    </row>
    <row r="36" spans="2:20" x14ac:dyDescent="0.25">
      <c r="B36" s="14" t="s">
        <v>84</v>
      </c>
      <c r="C36" s="17" t="s">
        <v>365</v>
      </c>
      <c r="D36" s="37">
        <v>476.19</v>
      </c>
      <c r="E36" s="52">
        <f>+D36/Summary!$D$19</f>
        <v>4.7929811889051285E-4</v>
      </c>
      <c r="F36" s="37">
        <v>451.5</v>
      </c>
      <c r="G36" s="52">
        <f>F36/Summary!F$19</f>
        <v>4.5233399079552919E-4</v>
      </c>
      <c r="H36" s="138">
        <f t="shared" si="20"/>
        <v>24.689999999999998</v>
      </c>
      <c r="I36" s="37">
        <v>396.56</v>
      </c>
      <c r="J36" s="52">
        <f>I36/Summary!I$19</f>
        <v>4.7960376040986338E-4</v>
      </c>
      <c r="K36" s="138">
        <f t="shared" si="21"/>
        <v>79.63</v>
      </c>
      <c r="M36" s="37">
        <v>3003.14</v>
      </c>
      <c r="N36" s="52">
        <f>+M36/Summary!$D$19</f>
        <v>3.0227416635478584E-3</v>
      </c>
      <c r="O36" s="37">
        <v>3684</v>
      </c>
      <c r="P36" s="52">
        <f>O36/Summary!O$19</f>
        <v>4.0299238693342477E-4</v>
      </c>
      <c r="Q36" s="138">
        <f t="shared" si="22"/>
        <v>-680.86000000000013</v>
      </c>
      <c r="R36" s="37">
        <v>3229.36</v>
      </c>
      <c r="S36" s="52">
        <f>R36/Summary!R$19</f>
        <v>4.1105353316108151E-4</v>
      </c>
      <c r="T36" s="138">
        <f t="shared" si="23"/>
        <v>-226.22000000000025</v>
      </c>
    </row>
    <row r="37" spans="2:20" x14ac:dyDescent="0.25">
      <c r="B37" s="14" t="s">
        <v>104</v>
      </c>
      <c r="C37" s="17" t="s">
        <v>366</v>
      </c>
      <c r="D37" s="37">
        <v>0</v>
      </c>
      <c r="E37" s="52">
        <f>+D37/Summary!$D$19</f>
        <v>0</v>
      </c>
      <c r="F37" s="37">
        <v>0</v>
      </c>
      <c r="G37" s="52">
        <f>F37/Summary!F$19</f>
        <v>0</v>
      </c>
      <c r="H37" s="138">
        <f t="shared" si="20"/>
        <v>0</v>
      </c>
      <c r="I37" s="37">
        <v>0</v>
      </c>
      <c r="J37" s="52">
        <f>I37/Summary!I$19</f>
        <v>0</v>
      </c>
      <c r="K37" s="138">
        <f t="shared" si="21"/>
        <v>0</v>
      </c>
      <c r="M37" s="37">
        <v>0</v>
      </c>
      <c r="N37" s="52">
        <f>+M37/Summary!$D$19</f>
        <v>0</v>
      </c>
      <c r="O37" s="37">
        <v>0</v>
      </c>
      <c r="P37" s="52">
        <f>O37/Summary!O$19</f>
        <v>0</v>
      </c>
      <c r="Q37" s="138">
        <f t="shared" si="22"/>
        <v>0</v>
      </c>
      <c r="R37" s="37">
        <v>0</v>
      </c>
      <c r="S37" s="52">
        <f>R37/Summary!R$19</f>
        <v>0</v>
      </c>
      <c r="T37" s="138">
        <f t="shared" si="23"/>
        <v>0</v>
      </c>
    </row>
    <row r="38" spans="2:20" x14ac:dyDescent="0.25">
      <c r="B38" s="14" t="s">
        <v>119</v>
      </c>
      <c r="C38" s="17" t="s">
        <v>467</v>
      </c>
      <c r="D38" s="37">
        <v>0</v>
      </c>
      <c r="E38" s="52">
        <f>+D38/Summary!$D$19</f>
        <v>0</v>
      </c>
      <c r="F38" s="37">
        <v>0</v>
      </c>
      <c r="G38" s="52">
        <f>F38/Summary!F$19</f>
        <v>0</v>
      </c>
      <c r="H38" s="138">
        <f t="shared" si="20"/>
        <v>0</v>
      </c>
      <c r="I38" s="37">
        <v>0</v>
      </c>
      <c r="J38" s="52">
        <f>I38/Summary!I$19</f>
        <v>0</v>
      </c>
      <c r="K38" s="138">
        <f t="shared" si="21"/>
        <v>0</v>
      </c>
      <c r="M38" s="37">
        <v>0</v>
      </c>
      <c r="N38" s="52">
        <f>+M38/Summary!$D$19</f>
        <v>0</v>
      </c>
      <c r="O38" s="37">
        <v>0</v>
      </c>
      <c r="P38" s="52">
        <f>O38/Summary!O$19</f>
        <v>0</v>
      </c>
      <c r="Q38" s="138">
        <f t="shared" si="22"/>
        <v>0</v>
      </c>
      <c r="R38" s="37">
        <v>0</v>
      </c>
      <c r="S38" s="52">
        <f>R38/Summary!R$19</f>
        <v>0</v>
      </c>
      <c r="T38" s="138">
        <f t="shared" si="23"/>
        <v>0</v>
      </c>
    </row>
    <row r="39" spans="2:20" x14ac:dyDescent="0.25">
      <c r="B39" s="14" t="s">
        <v>123</v>
      </c>
      <c r="C39" s="17" t="s">
        <v>367</v>
      </c>
      <c r="D39" s="37">
        <v>0</v>
      </c>
      <c r="E39" s="52">
        <f>+D39/Summary!$D$19</f>
        <v>0</v>
      </c>
      <c r="F39" s="37">
        <v>0</v>
      </c>
      <c r="G39" s="52">
        <f>F39/Summary!F$19</f>
        <v>0</v>
      </c>
      <c r="H39" s="138">
        <f t="shared" si="20"/>
        <v>0</v>
      </c>
      <c r="I39" s="37">
        <v>0</v>
      </c>
      <c r="J39" s="52">
        <f>I39/Summary!I$19</f>
        <v>0</v>
      </c>
      <c r="K39" s="138">
        <f t="shared" si="21"/>
        <v>0</v>
      </c>
      <c r="M39" s="37">
        <v>0</v>
      </c>
      <c r="N39" s="52">
        <f>+M39/Summary!$D$19</f>
        <v>0</v>
      </c>
      <c r="O39" s="37">
        <v>0</v>
      </c>
      <c r="P39" s="52">
        <f>O39/Summary!O$19</f>
        <v>0</v>
      </c>
      <c r="Q39" s="138">
        <f t="shared" si="22"/>
        <v>0</v>
      </c>
      <c r="R39" s="37">
        <v>0</v>
      </c>
      <c r="S39" s="52">
        <f>R39/Summary!R$19</f>
        <v>0</v>
      </c>
      <c r="T39" s="138">
        <f t="shared" si="23"/>
        <v>0</v>
      </c>
    </row>
    <row r="40" spans="2:20" x14ac:dyDescent="0.25">
      <c r="B40" s="14" t="s">
        <v>329</v>
      </c>
      <c r="C40" s="17" t="s">
        <v>377</v>
      </c>
      <c r="D40" s="37">
        <v>6.96</v>
      </c>
      <c r="E40" s="52">
        <f>+D40/Summary!$D$19</f>
        <v>7.0054283111320471E-6</v>
      </c>
      <c r="F40" s="37">
        <v>120</v>
      </c>
      <c r="G40" s="52">
        <f>F40/Summary!F$19</f>
        <v>1.2022165868319714E-4</v>
      </c>
      <c r="H40" s="138">
        <f t="shared" si="20"/>
        <v>-113.04</v>
      </c>
      <c r="I40" s="37">
        <v>67.8</v>
      </c>
      <c r="J40" s="52">
        <f>I40/Summary!I$19</f>
        <v>8.1998020364607458E-5</v>
      </c>
      <c r="K40" s="138">
        <f t="shared" si="21"/>
        <v>-60.839999999999996</v>
      </c>
      <c r="M40" s="37">
        <v>845.49</v>
      </c>
      <c r="N40" s="52">
        <f>+M40/Summary!$D$19</f>
        <v>8.5100856074411422E-4</v>
      </c>
      <c r="O40" s="37">
        <v>777</v>
      </c>
      <c r="P40" s="52">
        <f>O40/Summary!O$19</f>
        <v>8.4995951315763044E-5</v>
      </c>
      <c r="Q40" s="138">
        <f t="shared" si="22"/>
        <v>68.490000000000009</v>
      </c>
      <c r="R40" s="37">
        <v>275.05</v>
      </c>
      <c r="S40" s="52">
        <f>R40/Summary!R$19</f>
        <v>3.5010117885883108E-5</v>
      </c>
      <c r="T40" s="138">
        <f t="shared" si="23"/>
        <v>570.44000000000005</v>
      </c>
    </row>
    <row r="41" spans="2:20" x14ac:dyDescent="0.25">
      <c r="B41" s="14" t="s">
        <v>324</v>
      </c>
      <c r="C41" s="17" t="s">
        <v>376</v>
      </c>
      <c r="D41" s="37">
        <v>0</v>
      </c>
      <c r="E41" s="52">
        <f>+D41/Summary!$D$19</f>
        <v>0</v>
      </c>
      <c r="F41" s="37">
        <v>80</v>
      </c>
      <c r="G41" s="52">
        <f>F41/Summary!F$19</f>
        <v>8.0147772455464749E-5</v>
      </c>
      <c r="H41" s="138">
        <f t="shared" si="20"/>
        <v>-80</v>
      </c>
      <c r="I41" s="37">
        <v>447.03</v>
      </c>
      <c r="J41" s="52">
        <f>I41/Summary!I$19</f>
        <v>5.4064269975797154E-4</v>
      </c>
      <c r="K41" s="138">
        <f t="shared" si="21"/>
        <v>-447.03</v>
      </c>
      <c r="M41" s="37">
        <v>1130.31</v>
      </c>
      <c r="N41" s="52">
        <f>+M41/Summary!$D$19</f>
        <v>1.1376875968901817E-3</v>
      </c>
      <c r="O41" s="37">
        <v>980</v>
      </c>
      <c r="P41" s="52">
        <f>O41/Summary!O$19</f>
        <v>1.0720210075862006E-4</v>
      </c>
      <c r="Q41" s="138">
        <f t="shared" si="22"/>
        <v>150.30999999999995</v>
      </c>
      <c r="R41" s="37">
        <v>505.98</v>
      </c>
      <c r="S41" s="52">
        <f>R41/Summary!R$19</f>
        <v>6.4404360835844875E-5</v>
      </c>
      <c r="T41" s="138">
        <f t="shared" si="23"/>
        <v>624.32999999999993</v>
      </c>
    </row>
    <row r="42" spans="2:20" x14ac:dyDescent="0.25">
      <c r="B42" s="14" t="s">
        <v>653</v>
      </c>
      <c r="C42" s="17" t="s">
        <v>711</v>
      </c>
      <c r="D42" s="37">
        <v>0</v>
      </c>
      <c r="E42" s="52">
        <f>+D42/Summary!$D$19</f>
        <v>0</v>
      </c>
      <c r="F42" s="37">
        <v>0</v>
      </c>
      <c r="G42" s="52">
        <f>F42/Summary!F$19</f>
        <v>0</v>
      </c>
      <c r="H42" s="138">
        <f t="shared" si="20"/>
        <v>0</v>
      </c>
      <c r="I42" s="37">
        <v>0</v>
      </c>
      <c r="J42" s="52">
        <f>I42/Summary!I$19</f>
        <v>0</v>
      </c>
      <c r="K42" s="138">
        <f t="shared" si="21"/>
        <v>0</v>
      </c>
      <c r="M42" s="37">
        <v>0</v>
      </c>
      <c r="N42" s="52">
        <f>+M42/Summary!$D$19</f>
        <v>0</v>
      </c>
      <c r="O42" s="37">
        <v>0</v>
      </c>
      <c r="P42" s="52">
        <f>O42/Summary!O$19</f>
        <v>0</v>
      </c>
      <c r="Q42" s="138">
        <f t="shared" si="22"/>
        <v>0</v>
      </c>
      <c r="R42" s="37">
        <v>0</v>
      </c>
      <c r="S42" s="52">
        <f>R42/Summary!R$19</f>
        <v>0</v>
      </c>
      <c r="T42" s="138">
        <f t="shared" si="23"/>
        <v>0</v>
      </c>
    </row>
    <row r="43" spans="2:20" x14ac:dyDescent="0.25">
      <c r="B43" s="14" t="s">
        <v>312</v>
      </c>
      <c r="C43" s="17" t="s">
        <v>375</v>
      </c>
      <c r="D43" s="37">
        <v>111</v>
      </c>
      <c r="E43" s="52">
        <f>+D43/Summary!$D$19</f>
        <v>1.1172450323788179E-4</v>
      </c>
      <c r="F43" s="37">
        <v>255</v>
      </c>
      <c r="G43" s="52">
        <f>F43/Summary!F$19</f>
        <v>2.5547102470179389E-4</v>
      </c>
      <c r="H43" s="138">
        <f t="shared" si="20"/>
        <v>-144</v>
      </c>
      <c r="I43" s="37">
        <v>0</v>
      </c>
      <c r="J43" s="52">
        <f>I43/Summary!I$19</f>
        <v>0</v>
      </c>
      <c r="K43" s="138">
        <f t="shared" si="21"/>
        <v>111</v>
      </c>
      <c r="M43" s="37">
        <v>462.5</v>
      </c>
      <c r="N43" s="52">
        <f>+M43/Summary!$D$19</f>
        <v>4.6551876349117409E-4</v>
      </c>
      <c r="O43" s="37">
        <v>1605</v>
      </c>
      <c r="P43" s="52">
        <f>O43/Summary!O$19</f>
        <v>1.7557078746692367E-4</v>
      </c>
      <c r="Q43" s="138">
        <f t="shared" si="22"/>
        <v>-1142.5</v>
      </c>
      <c r="R43" s="37">
        <v>0</v>
      </c>
      <c r="S43" s="52">
        <f>R43/Summary!R$19</f>
        <v>0</v>
      </c>
      <c r="T43" s="138">
        <f t="shared" si="23"/>
        <v>462.5</v>
      </c>
    </row>
    <row r="44" spans="2:20" x14ac:dyDescent="0.25">
      <c r="B44" s="14" t="s">
        <v>335</v>
      </c>
      <c r="C44" s="17" t="s">
        <v>378</v>
      </c>
      <c r="D44" s="37">
        <v>0</v>
      </c>
      <c r="E44" s="52">
        <f>+D44/Summary!$D$19</f>
        <v>0</v>
      </c>
      <c r="F44" s="37">
        <v>0</v>
      </c>
      <c r="G44" s="52">
        <f>F44/Summary!F$19</f>
        <v>0</v>
      </c>
      <c r="H44" s="138">
        <f t="shared" si="20"/>
        <v>0</v>
      </c>
      <c r="I44" s="37">
        <v>0</v>
      </c>
      <c r="J44" s="52">
        <f>I44/Summary!I$19</f>
        <v>0</v>
      </c>
      <c r="K44" s="138">
        <f t="shared" si="21"/>
        <v>0</v>
      </c>
      <c r="M44" s="37">
        <v>0</v>
      </c>
      <c r="N44" s="52">
        <f>+M44/Summary!$D$19</f>
        <v>0</v>
      </c>
      <c r="O44" s="37">
        <v>0</v>
      </c>
      <c r="P44" s="52">
        <f>O44/Summary!O$19</f>
        <v>0</v>
      </c>
      <c r="Q44" s="138">
        <f t="shared" si="22"/>
        <v>0</v>
      </c>
      <c r="R44" s="37">
        <v>0</v>
      </c>
      <c r="S44" s="52">
        <f>R44/Summary!R$19</f>
        <v>0</v>
      </c>
      <c r="T44" s="138">
        <f t="shared" si="23"/>
        <v>0</v>
      </c>
    </row>
    <row r="45" spans="2:20" x14ac:dyDescent="0.25">
      <c r="B45" s="14" t="s">
        <v>339</v>
      </c>
      <c r="C45" s="17" t="s">
        <v>421</v>
      </c>
      <c r="D45" s="37">
        <v>46.85</v>
      </c>
      <c r="E45" s="52">
        <f>+D45/Summary!$D$19</f>
        <v>4.7155792582835692E-5</v>
      </c>
      <c r="F45" s="37">
        <v>0</v>
      </c>
      <c r="G45" s="52">
        <f>F45/Summary!F$19</f>
        <v>0</v>
      </c>
      <c r="H45" s="138">
        <f t="shared" si="20"/>
        <v>46.85</v>
      </c>
      <c r="I45" s="37">
        <v>64.14</v>
      </c>
      <c r="J45" s="52">
        <f>I45/Summary!I$19</f>
        <v>7.757157855731449E-5</v>
      </c>
      <c r="K45" s="138">
        <f t="shared" si="21"/>
        <v>-17.29</v>
      </c>
      <c r="M45" s="37">
        <v>185.42</v>
      </c>
      <c r="N45" s="52">
        <f>+M45/Summary!$D$19</f>
        <v>1.8663024676007244E-4</v>
      </c>
      <c r="O45" s="37">
        <v>0</v>
      </c>
      <c r="P45" s="52">
        <f>O45/Summary!O$19</f>
        <v>0</v>
      </c>
      <c r="Q45" s="138">
        <f t="shared" si="22"/>
        <v>185.42</v>
      </c>
      <c r="R45" s="37">
        <v>124.84</v>
      </c>
      <c r="S45" s="52">
        <f>R45/Summary!R$19</f>
        <v>1.5890431255675866E-5</v>
      </c>
      <c r="T45" s="138">
        <f t="shared" si="23"/>
        <v>60.579999999999984</v>
      </c>
    </row>
    <row r="46" spans="2:20" x14ac:dyDescent="0.25">
      <c r="B46" s="14" t="s">
        <v>102</v>
      </c>
      <c r="C46" s="17" t="s">
        <v>466</v>
      </c>
      <c r="D46" s="37">
        <v>0</v>
      </c>
      <c r="E46" s="52">
        <f>+D46/Summary!$D$19</f>
        <v>0</v>
      </c>
      <c r="F46" s="37">
        <v>0</v>
      </c>
      <c r="G46" s="52">
        <f>F46/Summary!F$19</f>
        <v>0</v>
      </c>
      <c r="H46" s="138">
        <f t="shared" si="20"/>
        <v>0</v>
      </c>
      <c r="I46" s="37">
        <v>0</v>
      </c>
      <c r="J46" s="52">
        <f>I46/Summary!I$19</f>
        <v>0</v>
      </c>
      <c r="K46" s="138">
        <f t="shared" si="21"/>
        <v>0</v>
      </c>
      <c r="M46" s="37">
        <v>0</v>
      </c>
      <c r="N46" s="52">
        <f>+M46/Summary!$D$19</f>
        <v>0</v>
      </c>
      <c r="O46" s="37">
        <v>0</v>
      </c>
      <c r="P46" s="52">
        <f>O46/Summary!O$19</f>
        <v>0</v>
      </c>
      <c r="Q46" s="138">
        <f t="shared" si="22"/>
        <v>0</v>
      </c>
      <c r="R46" s="37">
        <v>0</v>
      </c>
      <c r="S46" s="52">
        <f>R46/Summary!R$19</f>
        <v>0</v>
      </c>
      <c r="T46" s="138">
        <f t="shared" si="23"/>
        <v>0</v>
      </c>
    </row>
    <row r="47" spans="2:20" x14ac:dyDescent="0.25">
      <c r="B47" s="14" t="s">
        <v>101</v>
      </c>
      <c r="C47" s="17" t="s">
        <v>452</v>
      </c>
      <c r="D47" s="37">
        <v>29861.97</v>
      </c>
      <c r="E47" s="52">
        <f>+D47/Summary!$D$19</f>
        <v>3.0056880756347108E-2</v>
      </c>
      <c r="F47" s="37">
        <v>30286.02</v>
      </c>
      <c r="G47" s="52">
        <f>F47/Summary!F$19</f>
        <v>3.0341962994270683E-2</v>
      </c>
      <c r="H47" s="138">
        <f t="shared" si="20"/>
        <v>-424.04999999999927</v>
      </c>
      <c r="I47" s="37">
        <v>24371.8</v>
      </c>
      <c r="J47" s="52">
        <f>I47/Summary!I$19</f>
        <v>2.94755066773177E-2</v>
      </c>
      <c r="K47" s="138">
        <f t="shared" si="21"/>
        <v>5490.1700000000019</v>
      </c>
      <c r="M47" s="37">
        <v>247978.92</v>
      </c>
      <c r="N47" s="52">
        <f>+M47/Summary!$D$19</f>
        <v>0.24959749234654441</v>
      </c>
      <c r="O47" s="37">
        <v>272648.01</v>
      </c>
      <c r="P47" s="52">
        <f>O47/Summary!O$19</f>
        <v>2.9824938203731888E-2</v>
      </c>
      <c r="Q47" s="138">
        <f t="shared" si="22"/>
        <v>-24669.089999999997</v>
      </c>
      <c r="R47" s="37">
        <v>219428.7</v>
      </c>
      <c r="S47" s="52">
        <f>R47/Summary!R$19</f>
        <v>2.7930284146686343E-2</v>
      </c>
      <c r="T47" s="138">
        <f t="shared" si="23"/>
        <v>28550.22</v>
      </c>
    </row>
    <row r="48" spans="2:20" x14ac:dyDescent="0.25">
      <c r="B48" s="14" t="s">
        <v>65</v>
      </c>
      <c r="C48" s="17" t="s">
        <v>453</v>
      </c>
      <c r="D48" s="37">
        <v>49.5</v>
      </c>
      <c r="E48" s="52">
        <f>+D48/Summary!$D$19</f>
        <v>4.9823089281758094E-5</v>
      </c>
      <c r="F48" s="37">
        <v>176.2</v>
      </c>
      <c r="G48" s="52">
        <f>F48/Summary!F$19</f>
        <v>1.7652546883316112E-4</v>
      </c>
      <c r="H48" s="138">
        <f t="shared" si="20"/>
        <v>-126.69999999999999</v>
      </c>
      <c r="I48" s="37">
        <v>59.87</v>
      </c>
      <c r="J48" s="52">
        <f>I48/Summary!I$19</f>
        <v>7.2407396448806034E-5</v>
      </c>
      <c r="K48" s="138">
        <f t="shared" si="21"/>
        <v>-10.369999999999997</v>
      </c>
      <c r="M48" s="37">
        <v>374.56</v>
      </c>
      <c r="N48" s="52">
        <f>+M48/Summary!$D$19</f>
        <v>3.7700477416919821E-4</v>
      </c>
      <c r="O48" s="37">
        <v>1285.5</v>
      </c>
      <c r="P48" s="52">
        <f>O48/Summary!O$19</f>
        <v>1.4062071482163886E-4</v>
      </c>
      <c r="Q48" s="138">
        <f t="shared" si="22"/>
        <v>-910.94</v>
      </c>
      <c r="R48" s="37">
        <v>1765.53</v>
      </c>
      <c r="S48" s="52">
        <f>R48/Summary!R$19</f>
        <v>2.2472791649177676E-4</v>
      </c>
      <c r="T48" s="138">
        <f t="shared" si="23"/>
        <v>-1390.97</v>
      </c>
    </row>
    <row r="49" spans="2:24" x14ac:dyDescent="0.25">
      <c r="B49" s="14" t="s">
        <v>66</v>
      </c>
      <c r="C49" s="17" t="s">
        <v>465</v>
      </c>
      <c r="D49" s="37">
        <v>4398.09</v>
      </c>
      <c r="E49" s="52">
        <f>+D49/Summary!$D$19</f>
        <v>4.4267965805900502E-3</v>
      </c>
      <c r="F49" s="37">
        <v>4195.95</v>
      </c>
      <c r="G49" s="52">
        <f>F49/Summary!F$19</f>
        <v>4.2037005729313416E-3</v>
      </c>
      <c r="H49" s="138">
        <f t="shared" si="20"/>
        <v>202.14000000000033</v>
      </c>
      <c r="I49" s="37">
        <v>4165.3900000000003</v>
      </c>
      <c r="J49" s="52">
        <f>I49/Summary!I$19</f>
        <v>5.0376656939016568E-3</v>
      </c>
      <c r="K49" s="138">
        <f t="shared" si="21"/>
        <v>232.69999999999982</v>
      </c>
      <c r="M49" s="37">
        <v>41033.800000000003</v>
      </c>
      <c r="N49" s="52">
        <f>+M49/Summary!$D$19</f>
        <v>4.1301629918581925E-2</v>
      </c>
      <c r="O49" s="37">
        <v>42694.03</v>
      </c>
      <c r="P49" s="52">
        <f>O49/Summary!O$19</f>
        <v>4.6702956182158644E-3</v>
      </c>
      <c r="Q49" s="138">
        <f t="shared" si="22"/>
        <v>-1660.2299999999959</v>
      </c>
      <c r="R49" s="37">
        <v>41791.51</v>
      </c>
      <c r="S49" s="52">
        <f>R49/Summary!R$19</f>
        <v>5.3194898808546177E-3</v>
      </c>
      <c r="T49" s="138">
        <f t="shared" si="23"/>
        <v>-757.70999999999913</v>
      </c>
    </row>
    <row r="50" spans="2:24" x14ac:dyDescent="0.25">
      <c r="B50" s="14" t="s">
        <v>627</v>
      </c>
      <c r="C50" s="17" t="s">
        <v>487</v>
      </c>
      <c r="D50" s="37">
        <v>0</v>
      </c>
      <c r="E50" s="52">
        <f>+D50/Summary!$D$19</f>
        <v>0</v>
      </c>
      <c r="F50" s="37">
        <v>0</v>
      </c>
      <c r="G50" s="52">
        <f>F50/Summary!F$19</f>
        <v>0</v>
      </c>
      <c r="H50" s="138">
        <f t="shared" si="20"/>
        <v>0</v>
      </c>
      <c r="I50" s="37">
        <v>0</v>
      </c>
      <c r="J50" s="52">
        <f>I50/Summary!I$19</f>
        <v>0</v>
      </c>
      <c r="K50" s="138">
        <f t="shared" si="21"/>
        <v>0</v>
      </c>
      <c r="M50" s="37">
        <v>0</v>
      </c>
      <c r="N50" s="52">
        <f>+M50/Summary!$D$19</f>
        <v>0</v>
      </c>
      <c r="O50" s="37">
        <v>0</v>
      </c>
      <c r="P50" s="52">
        <f>O50/Summary!O$19</f>
        <v>0</v>
      </c>
      <c r="Q50" s="138">
        <f t="shared" si="22"/>
        <v>0</v>
      </c>
      <c r="R50" s="37">
        <v>0</v>
      </c>
      <c r="S50" s="52">
        <f>R50/Summary!R$19</f>
        <v>0</v>
      </c>
      <c r="T50" s="138">
        <f t="shared" si="23"/>
        <v>0</v>
      </c>
    </row>
    <row r="51" spans="2:24" x14ac:dyDescent="0.25">
      <c r="B51" s="14" t="s">
        <v>222</v>
      </c>
      <c r="C51" s="17" t="s">
        <v>454</v>
      </c>
      <c r="D51" s="37">
        <v>588.04999999999995</v>
      </c>
      <c r="E51" s="52">
        <f>+D51/Summary!$D$19</f>
        <v>5.9188823539672419E-4</v>
      </c>
      <c r="F51" s="37">
        <v>226.01</v>
      </c>
      <c r="G51" s="52">
        <f>F51/Summary!F$19</f>
        <v>2.2642747565824485E-4</v>
      </c>
      <c r="H51" s="138">
        <f t="shared" si="20"/>
        <v>362.03999999999996</v>
      </c>
      <c r="I51" s="37">
        <v>-790.05</v>
      </c>
      <c r="J51" s="52">
        <f>I51/Summary!I$19</f>
        <v>-9.5549463110705202E-4</v>
      </c>
      <c r="K51" s="138">
        <f t="shared" si="21"/>
        <v>1378.1</v>
      </c>
      <c r="M51" s="37">
        <v>1891.54</v>
      </c>
      <c r="N51" s="52">
        <f>+M51/Summary!$D$19</f>
        <v>1.9038861878791253E-3</v>
      </c>
      <c r="O51" s="37">
        <v>2299.71</v>
      </c>
      <c r="P51" s="52">
        <f>O51/Summary!O$19</f>
        <v>2.5156504401592462E-4</v>
      </c>
      <c r="Q51" s="138">
        <f t="shared" si="22"/>
        <v>-408.17000000000007</v>
      </c>
      <c r="R51" s="37">
        <v>4111.95</v>
      </c>
      <c r="S51" s="52">
        <f>R51/Summary!R$19</f>
        <v>5.2339521629106358E-4</v>
      </c>
      <c r="T51" s="138">
        <f t="shared" si="23"/>
        <v>-2220.41</v>
      </c>
    </row>
    <row r="52" spans="2:24" x14ac:dyDescent="0.25">
      <c r="B52" s="14" t="s">
        <v>57</v>
      </c>
      <c r="C52" s="17" t="s">
        <v>464</v>
      </c>
      <c r="D52" s="37">
        <v>0</v>
      </c>
      <c r="E52" s="52">
        <f>+D52/Summary!$D$19</f>
        <v>0</v>
      </c>
      <c r="F52" s="37">
        <v>0</v>
      </c>
      <c r="G52" s="52">
        <f>F52/Summary!F$19</f>
        <v>0</v>
      </c>
      <c r="H52" s="138">
        <f t="shared" si="20"/>
        <v>0</v>
      </c>
      <c r="I52" s="37">
        <v>0</v>
      </c>
      <c r="J52" s="52">
        <f>I52/Summary!I$19</f>
        <v>0</v>
      </c>
      <c r="K52" s="138">
        <f t="shared" si="21"/>
        <v>0</v>
      </c>
      <c r="M52" s="37">
        <v>0</v>
      </c>
      <c r="N52" s="52">
        <f>+M52/Summary!$D$19</f>
        <v>0</v>
      </c>
      <c r="O52" s="37">
        <v>0</v>
      </c>
      <c r="P52" s="52">
        <f>O52/Summary!O$19</f>
        <v>0</v>
      </c>
      <c r="Q52" s="138">
        <f t="shared" si="22"/>
        <v>0</v>
      </c>
      <c r="R52" s="37">
        <v>0</v>
      </c>
      <c r="S52" s="52">
        <f>R52/Summary!R$19</f>
        <v>0</v>
      </c>
      <c r="T52" s="138">
        <f t="shared" si="23"/>
        <v>0</v>
      </c>
    </row>
    <row r="53" spans="2:24" x14ac:dyDescent="0.25">
      <c r="B53" s="14" t="s">
        <v>62</v>
      </c>
      <c r="C53" s="17" t="s">
        <v>455</v>
      </c>
      <c r="D53" s="37">
        <v>2008.78</v>
      </c>
      <c r="E53" s="52">
        <f>+D53/Summary!$D$19</f>
        <v>2.0218914199476774E-3</v>
      </c>
      <c r="F53" s="37">
        <v>1500.17</v>
      </c>
      <c r="G53" s="52">
        <f>F53/Summary!F$19</f>
        <v>1.5029410475564321E-3</v>
      </c>
      <c r="H53" s="138">
        <f t="shared" si="20"/>
        <v>508.6099999999999</v>
      </c>
      <c r="I53" s="37">
        <v>1507.39</v>
      </c>
      <c r="J53" s="52">
        <f>I53/Summary!I$19</f>
        <v>1.8230530371298769E-3</v>
      </c>
      <c r="K53" s="138">
        <f t="shared" si="21"/>
        <v>501.38999999999987</v>
      </c>
      <c r="M53" s="37">
        <v>12991.19</v>
      </c>
      <c r="N53" s="52">
        <f>+M53/Summary!$D$19</f>
        <v>1.3075984227197636E-2</v>
      </c>
      <c r="O53" s="37">
        <v>9001.02</v>
      </c>
      <c r="P53" s="52">
        <f>O53/Summary!O$19</f>
        <v>9.8462066629627994E-4</v>
      </c>
      <c r="Q53" s="138">
        <f t="shared" si="22"/>
        <v>3990.17</v>
      </c>
      <c r="R53" s="37">
        <v>9563.15</v>
      </c>
      <c r="S53" s="52">
        <f>R53/Summary!R$19</f>
        <v>1.2172587124536739E-3</v>
      </c>
      <c r="T53" s="138">
        <f t="shared" si="23"/>
        <v>3428.0400000000009</v>
      </c>
    </row>
    <row r="54" spans="2:24" x14ac:dyDescent="0.25">
      <c r="B54" s="14" t="s">
        <v>211</v>
      </c>
      <c r="C54" s="17" t="s">
        <v>456</v>
      </c>
      <c r="D54" s="37">
        <v>239.61</v>
      </c>
      <c r="E54" s="52">
        <f>+D54/Summary!$D$19</f>
        <v>2.411739479353951E-4</v>
      </c>
      <c r="F54" s="37">
        <v>248</v>
      </c>
      <c r="G54" s="52">
        <f>F54/Summary!F$19</f>
        <v>2.4845809461194074E-4</v>
      </c>
      <c r="H54" s="138">
        <f t="shared" si="20"/>
        <v>-8.3899999999999864</v>
      </c>
      <c r="I54" s="37">
        <v>259.07</v>
      </c>
      <c r="J54" s="52">
        <f>I54/Summary!I$19</f>
        <v>3.1332193415721028E-4</v>
      </c>
      <c r="K54" s="138">
        <f t="shared" si="21"/>
        <v>-19.45999999999998</v>
      </c>
      <c r="M54" s="37">
        <v>1350.91</v>
      </c>
      <c r="N54" s="52">
        <f>+M54/Summary!$D$19</f>
        <v>1.3597274654872694E-3</v>
      </c>
      <c r="O54" s="37">
        <v>1488</v>
      </c>
      <c r="P54" s="52">
        <f>O54/Summary!O$19</f>
        <v>1.6277216931512924E-4</v>
      </c>
      <c r="Q54" s="138">
        <f t="shared" si="22"/>
        <v>-137.08999999999992</v>
      </c>
      <c r="R54" s="37">
        <v>1274.3</v>
      </c>
      <c r="S54" s="52">
        <f>R54/Summary!R$19</f>
        <v>1.6220102971089198E-4</v>
      </c>
      <c r="T54" s="138">
        <f t="shared" si="23"/>
        <v>76.610000000000127</v>
      </c>
    </row>
    <row r="55" spans="2:24" x14ac:dyDescent="0.25">
      <c r="B55" s="14" t="s">
        <v>161</v>
      </c>
      <c r="C55" s="17" t="s">
        <v>457</v>
      </c>
      <c r="D55" s="37">
        <v>0</v>
      </c>
      <c r="E55" s="52">
        <f>+D55/Summary!$D$19</f>
        <v>0</v>
      </c>
      <c r="F55" s="37">
        <v>0</v>
      </c>
      <c r="G55" s="52">
        <f>F55/Summary!F$19</f>
        <v>0</v>
      </c>
      <c r="H55" s="138">
        <f t="shared" si="20"/>
        <v>0</v>
      </c>
      <c r="I55" s="37">
        <v>0</v>
      </c>
      <c r="J55" s="52">
        <f>I55/Summary!I$19</f>
        <v>0</v>
      </c>
      <c r="K55" s="138">
        <f t="shared" si="21"/>
        <v>0</v>
      </c>
      <c r="M55" s="37">
        <v>0</v>
      </c>
      <c r="N55" s="52">
        <f>+M55/Summary!$D$19</f>
        <v>0</v>
      </c>
      <c r="O55" s="37">
        <v>0</v>
      </c>
      <c r="P55" s="52">
        <f>O55/Summary!O$19</f>
        <v>0</v>
      </c>
      <c r="Q55" s="138">
        <f t="shared" si="22"/>
        <v>0</v>
      </c>
      <c r="R55" s="37">
        <v>0</v>
      </c>
      <c r="S55" s="52">
        <f>R55/Summary!R$19</f>
        <v>0</v>
      </c>
      <c r="T55" s="138">
        <f t="shared" si="23"/>
        <v>0</v>
      </c>
    </row>
    <row r="56" spans="2:24" x14ac:dyDescent="0.25">
      <c r="B56" s="14" t="s">
        <v>230</v>
      </c>
      <c r="C56" s="17" t="s">
        <v>469</v>
      </c>
      <c r="D56" s="37">
        <v>0</v>
      </c>
      <c r="E56" s="52">
        <f>+D56/Summary!$D$19</f>
        <v>0</v>
      </c>
      <c r="F56" s="37">
        <v>0</v>
      </c>
      <c r="G56" s="52">
        <f>F56/Summary!F$19</f>
        <v>0</v>
      </c>
      <c r="H56" s="138">
        <f t="shared" si="20"/>
        <v>0</v>
      </c>
      <c r="I56" s="37">
        <v>0</v>
      </c>
      <c r="J56" s="52">
        <f>I56/Summary!I$19</f>
        <v>0</v>
      </c>
      <c r="K56" s="138">
        <f t="shared" si="21"/>
        <v>0</v>
      </c>
      <c r="M56" s="37">
        <v>0</v>
      </c>
      <c r="N56" s="52">
        <f>+M56/Summary!$D$19</f>
        <v>0</v>
      </c>
      <c r="O56" s="37">
        <v>0</v>
      </c>
      <c r="P56" s="52">
        <f>O56/Summary!O$19</f>
        <v>0</v>
      </c>
      <c r="Q56" s="138">
        <f t="shared" si="22"/>
        <v>0</v>
      </c>
      <c r="R56" s="37">
        <v>0</v>
      </c>
      <c r="S56" s="52">
        <f>R56/Summary!R$19</f>
        <v>0</v>
      </c>
      <c r="T56" s="138">
        <f t="shared" si="23"/>
        <v>0</v>
      </c>
    </row>
    <row r="57" spans="2:24" x14ac:dyDescent="0.25">
      <c r="B57" s="14" t="s">
        <v>163</v>
      </c>
      <c r="C57" s="17" t="s">
        <v>371</v>
      </c>
      <c r="D57" s="37">
        <v>1274.05</v>
      </c>
      <c r="E57" s="52">
        <f>+D57/Summary!$D$19</f>
        <v>1.2823657959479574E-3</v>
      </c>
      <c r="F57" s="37">
        <v>2024.8</v>
      </c>
      <c r="G57" s="52">
        <f>F57/Summary!F$19</f>
        <v>2.0285401208478128E-3</v>
      </c>
      <c r="H57" s="138">
        <f t="shared" si="20"/>
        <v>-750.75</v>
      </c>
      <c r="I57" s="37">
        <v>198.63</v>
      </c>
      <c r="J57" s="52">
        <f>I57/Summary!I$19</f>
        <v>2.4022517382038319E-4</v>
      </c>
      <c r="K57" s="138">
        <f t="shared" si="21"/>
        <v>1075.42</v>
      </c>
      <c r="M57" s="37">
        <v>4252.08</v>
      </c>
      <c r="N57" s="52">
        <f>+M57/Summary!$D$19</f>
        <v>4.2798335651147061E-3</v>
      </c>
      <c r="O57" s="37">
        <v>9182</v>
      </c>
      <c r="P57" s="52">
        <f>O57/Summary!O$19</f>
        <v>1.0044180501690299E-3</v>
      </c>
      <c r="Q57" s="138">
        <f t="shared" si="22"/>
        <v>-4929.92</v>
      </c>
      <c r="R57" s="37">
        <v>3732.04</v>
      </c>
      <c r="S57" s="52">
        <f>R57/Summary!R$19</f>
        <v>4.7503784895412172E-4</v>
      </c>
      <c r="T57" s="138">
        <f t="shared" si="23"/>
        <v>520.04</v>
      </c>
    </row>
    <row r="58" spans="2:24" x14ac:dyDescent="0.25">
      <c r="B58" s="14" t="s">
        <v>108</v>
      </c>
      <c r="C58" s="17" t="s">
        <v>458</v>
      </c>
      <c r="D58" s="37">
        <v>0</v>
      </c>
      <c r="E58" s="52">
        <f>+D58/Summary!$D$19</f>
        <v>0</v>
      </c>
      <c r="F58" s="37">
        <v>0</v>
      </c>
      <c r="G58" s="52">
        <f>F58/Summary!F$19</f>
        <v>0</v>
      </c>
      <c r="H58" s="138">
        <f t="shared" si="20"/>
        <v>0</v>
      </c>
      <c r="I58" s="37">
        <v>0</v>
      </c>
      <c r="J58" s="52">
        <f>I58/Summary!I$19</f>
        <v>0</v>
      </c>
      <c r="K58" s="138">
        <f t="shared" si="21"/>
        <v>0</v>
      </c>
      <c r="M58" s="37">
        <v>0</v>
      </c>
      <c r="N58" s="52">
        <f>+M58/Summary!$D$19</f>
        <v>0</v>
      </c>
      <c r="O58" s="37">
        <v>0</v>
      </c>
      <c r="P58" s="52">
        <f>O58/Summary!O$19</f>
        <v>0</v>
      </c>
      <c r="Q58" s="138">
        <f t="shared" si="22"/>
        <v>0</v>
      </c>
      <c r="R58" s="37">
        <v>0</v>
      </c>
      <c r="S58" s="52">
        <f>R58/Summary!R$19</f>
        <v>0</v>
      </c>
      <c r="T58" s="138">
        <f t="shared" si="23"/>
        <v>0</v>
      </c>
    </row>
    <row r="59" spans="2:24" x14ac:dyDescent="0.25">
      <c r="B59" s="14" t="s">
        <v>229</v>
      </c>
      <c r="C59" s="17" t="s">
        <v>459</v>
      </c>
      <c r="D59" s="37">
        <v>0</v>
      </c>
      <c r="E59" s="52">
        <f>+D59/Summary!$D$19</f>
        <v>0</v>
      </c>
      <c r="F59" s="37">
        <v>409</v>
      </c>
      <c r="G59" s="52">
        <f>F59/Summary!F$19</f>
        <v>4.0975548667856353E-4</v>
      </c>
      <c r="H59" s="138">
        <f t="shared" si="20"/>
        <v>-409</v>
      </c>
      <c r="I59" s="37">
        <v>410.71</v>
      </c>
      <c r="J59" s="52">
        <f>I59/Summary!I$19</f>
        <v>4.9671691657740308E-4</v>
      </c>
      <c r="K59" s="138">
        <f t="shared" si="21"/>
        <v>-410.71</v>
      </c>
      <c r="M59" s="37">
        <v>2477.4699999999998</v>
      </c>
      <c r="N59" s="52">
        <f>+M59/Summary!$D$19</f>
        <v>2.4936405859167115E-3</v>
      </c>
      <c r="O59" s="37">
        <v>2454</v>
      </c>
      <c r="P59" s="52">
        <f>O59/Summary!O$19</f>
        <v>2.6844281149148331E-4</v>
      </c>
      <c r="Q59" s="138">
        <f t="shared" si="22"/>
        <v>23.4699999999998</v>
      </c>
      <c r="R59" s="37">
        <v>2464.06</v>
      </c>
      <c r="S59" s="52">
        <f>R59/Summary!R$19</f>
        <v>3.1364126914338892E-4</v>
      </c>
      <c r="T59" s="138">
        <f t="shared" si="23"/>
        <v>13.409999999999854</v>
      </c>
    </row>
    <row r="60" spans="2:24" s="11" customFormat="1" x14ac:dyDescent="0.25">
      <c r="B60" s="14" t="s">
        <v>642</v>
      </c>
      <c r="C60" s="17" t="s">
        <v>710</v>
      </c>
      <c r="D60" s="37">
        <v>0</v>
      </c>
      <c r="E60" s="52">
        <f>+D60/Summary!$D$19</f>
        <v>0</v>
      </c>
      <c r="F60" s="37">
        <v>0</v>
      </c>
      <c r="G60" s="52">
        <f>F60/Summary!F$19</f>
        <v>0</v>
      </c>
      <c r="H60" s="138">
        <f t="shared" si="20"/>
        <v>0</v>
      </c>
      <c r="I60" s="37">
        <v>0</v>
      </c>
      <c r="J60" s="52">
        <f>I60/Summary!I$19</f>
        <v>0</v>
      </c>
      <c r="K60" s="138">
        <f t="shared" si="21"/>
        <v>0</v>
      </c>
      <c r="M60" s="37">
        <v>0</v>
      </c>
      <c r="N60" s="52">
        <f>+M60/Summary!$D$19</f>
        <v>0</v>
      </c>
      <c r="O60" s="37">
        <v>0</v>
      </c>
      <c r="P60" s="52">
        <f>O60/Summary!O$19</f>
        <v>0</v>
      </c>
      <c r="Q60" s="138">
        <f t="shared" si="22"/>
        <v>0</v>
      </c>
      <c r="R60" s="37">
        <v>0</v>
      </c>
      <c r="S60" s="52">
        <f>R60/Summary!R$19</f>
        <v>0</v>
      </c>
      <c r="T60" s="138">
        <f t="shared" si="23"/>
        <v>0</v>
      </c>
      <c r="V60" s="331"/>
      <c r="W60" s="331"/>
      <c r="X60" s="331"/>
    </row>
    <row r="61" spans="2:24" s="11" customFormat="1" x14ac:dyDescent="0.25">
      <c r="B61" s="14" t="s">
        <v>640</v>
      </c>
      <c r="C61" s="17" t="s">
        <v>707</v>
      </c>
      <c r="D61" s="37">
        <v>0</v>
      </c>
      <c r="E61" s="52">
        <f>+D61/Summary!$D$19</f>
        <v>0</v>
      </c>
      <c r="F61" s="37">
        <v>0</v>
      </c>
      <c r="G61" s="52">
        <f>F61/Summary!F$19</f>
        <v>0</v>
      </c>
      <c r="H61" s="138">
        <f t="shared" si="20"/>
        <v>0</v>
      </c>
      <c r="I61" s="37">
        <v>0</v>
      </c>
      <c r="J61" s="52">
        <f>I61/Summary!I$19</f>
        <v>0</v>
      </c>
      <c r="K61" s="138">
        <f t="shared" si="21"/>
        <v>0</v>
      </c>
      <c r="M61" s="37">
        <v>0</v>
      </c>
      <c r="N61" s="52">
        <f>+M61/Summary!$D$19</f>
        <v>0</v>
      </c>
      <c r="O61" s="37">
        <v>0</v>
      </c>
      <c r="P61" s="52">
        <f>O61/Summary!O$19</f>
        <v>0</v>
      </c>
      <c r="Q61" s="138">
        <f t="shared" si="22"/>
        <v>0</v>
      </c>
      <c r="R61" s="37">
        <v>0</v>
      </c>
      <c r="S61" s="52">
        <f>R61/Summary!R$19</f>
        <v>0</v>
      </c>
      <c r="T61" s="138">
        <f t="shared" si="23"/>
        <v>0</v>
      </c>
      <c r="V61" s="331"/>
      <c r="W61" s="331"/>
      <c r="X61" s="331"/>
    </row>
    <row r="62" spans="2:24" s="11" customFormat="1" x14ac:dyDescent="0.25">
      <c r="B62" s="14" t="s">
        <v>175</v>
      </c>
      <c r="C62" s="17" t="s">
        <v>359</v>
      </c>
      <c r="D62" s="37">
        <v>0</v>
      </c>
      <c r="E62" s="52">
        <f>+D62/Summary!$D$19</f>
        <v>0</v>
      </c>
      <c r="F62" s="37">
        <v>834.84905049500003</v>
      </c>
      <c r="G62" s="52">
        <f>F62/Summary!F$19</f>
        <v>8.363911466716758E-4</v>
      </c>
      <c r="H62" s="138">
        <f t="shared" si="20"/>
        <v>-834.84905049500003</v>
      </c>
      <c r="I62" s="37">
        <v>0</v>
      </c>
      <c r="J62" s="52">
        <f>I62/Summary!I$19</f>
        <v>0</v>
      </c>
      <c r="K62" s="138">
        <f t="shared" si="21"/>
        <v>0</v>
      </c>
      <c r="M62" s="37">
        <v>-20.05</v>
      </c>
      <c r="N62" s="52">
        <f>+M62/Summary!$D$19</f>
        <v>-2.0180867476752523E-5</v>
      </c>
      <c r="O62" s="37">
        <v>6090.7971305990004</v>
      </c>
      <c r="P62" s="52">
        <f>O62/Summary!O$19</f>
        <v>6.6627168132121219E-4</v>
      </c>
      <c r="Q62" s="138">
        <f t="shared" si="22"/>
        <v>-6110.8471305990006</v>
      </c>
      <c r="R62" s="37">
        <v>549.19000000000005</v>
      </c>
      <c r="S62" s="52">
        <f>R62/Summary!R$19</f>
        <v>6.9904405169053419E-5</v>
      </c>
      <c r="T62" s="138">
        <f t="shared" si="23"/>
        <v>-569.24</v>
      </c>
      <c r="V62" s="331"/>
      <c r="W62" s="331"/>
      <c r="X62" s="331"/>
    </row>
    <row r="63" spans="2:24" x14ac:dyDescent="0.25">
      <c r="B63" s="14" t="s">
        <v>90</v>
      </c>
      <c r="C63" s="17" t="s">
        <v>423</v>
      </c>
      <c r="D63" s="37">
        <v>0</v>
      </c>
      <c r="E63" s="52">
        <f>+D63/Summary!$D$19</f>
        <v>0</v>
      </c>
      <c r="F63" s="37">
        <v>0</v>
      </c>
      <c r="G63" s="52">
        <f>F63/Summary!F$19</f>
        <v>0</v>
      </c>
      <c r="H63" s="138">
        <f t="shared" si="20"/>
        <v>0</v>
      </c>
      <c r="I63" s="37">
        <v>0</v>
      </c>
      <c r="J63" s="52">
        <f>I63/Summary!I$19</f>
        <v>0</v>
      </c>
      <c r="K63" s="138">
        <f t="shared" si="21"/>
        <v>0</v>
      </c>
      <c r="M63" s="37">
        <v>0</v>
      </c>
      <c r="N63" s="52">
        <f>+M63/Summary!$D$19</f>
        <v>0</v>
      </c>
      <c r="O63" s="37">
        <v>0</v>
      </c>
      <c r="P63" s="52">
        <f>O63/Summary!O$19</f>
        <v>0</v>
      </c>
      <c r="Q63" s="138">
        <f t="shared" si="22"/>
        <v>0</v>
      </c>
      <c r="R63" s="37">
        <v>0</v>
      </c>
      <c r="S63" s="52">
        <f>R63/Summary!R$19</f>
        <v>0</v>
      </c>
      <c r="T63" s="138">
        <f t="shared" si="23"/>
        <v>0</v>
      </c>
    </row>
    <row r="64" spans="2:24" x14ac:dyDescent="0.25">
      <c r="B64" s="14" t="s">
        <v>153</v>
      </c>
      <c r="C64" s="17" t="s">
        <v>460</v>
      </c>
      <c r="D64" s="91">
        <v>1567.39</v>
      </c>
      <c r="E64" s="83">
        <f>+D64/Summary!$D$19</f>
        <v>1.5776204426128247E-3</v>
      </c>
      <c r="F64" s="91">
        <v>1187.33</v>
      </c>
      <c r="G64" s="83">
        <f>F64/Summary!F$19</f>
        <v>1.1895231833693369E-3</v>
      </c>
      <c r="H64" s="196">
        <f t="shared" si="20"/>
        <v>380.06000000000017</v>
      </c>
      <c r="I64" s="37">
        <v>1693.78</v>
      </c>
      <c r="J64" s="83">
        <f>I64/Summary!I$19</f>
        <v>2.0484750285127556E-3</v>
      </c>
      <c r="K64" s="196">
        <f t="shared" si="21"/>
        <v>-126.38999999999987</v>
      </c>
      <c r="M64" s="91">
        <v>13408.55</v>
      </c>
      <c r="N64" s="83">
        <f>+M64/Summary!$D$19</f>
        <v>1.349606835937207E-2</v>
      </c>
      <c r="O64" s="91">
        <v>17524.98</v>
      </c>
      <c r="P64" s="83">
        <f>O64/Summary!O$19</f>
        <v>1.9170557875028585E-3</v>
      </c>
      <c r="Q64" s="196">
        <f t="shared" si="22"/>
        <v>-4116.43</v>
      </c>
      <c r="R64" s="37">
        <v>20055.310000000001</v>
      </c>
      <c r="S64" s="83">
        <f>R64/Summary!R$19</f>
        <v>2.5527677416394487E-3</v>
      </c>
      <c r="T64" s="196">
        <f t="shared" si="23"/>
        <v>-6646.760000000002</v>
      </c>
    </row>
    <row r="65" spans="2:20" x14ac:dyDescent="0.25">
      <c r="B65" s="14" t="s">
        <v>283</v>
      </c>
      <c r="C65" s="18" t="s">
        <v>425</v>
      </c>
      <c r="D65" s="92">
        <f t="shared" ref="D65" si="24">SUM(D30:D64)</f>
        <v>45464.710000000006</v>
      </c>
      <c r="E65" s="84">
        <f>+D65/Summary!$D$19</f>
        <v>4.5761460717156373E-2</v>
      </c>
      <c r="F65" s="92">
        <f>SUM(F30:F64)</f>
        <v>49562.631070581003</v>
      </c>
      <c r="G65" s="84">
        <f>F65/Summary!F$19</f>
        <v>4.9654180966738418E-2</v>
      </c>
      <c r="H65" s="193">
        <f t="shared" si="20"/>
        <v>-4097.9210705809965</v>
      </c>
      <c r="I65" s="92">
        <f>SUM(I30:I64)</f>
        <v>36261.440000000002</v>
      </c>
      <c r="J65" s="84">
        <f>I65/Summary!I$19</f>
        <v>4.3854960111651797E-2</v>
      </c>
      <c r="K65" s="193">
        <f t="shared" si="21"/>
        <v>9203.2700000000041</v>
      </c>
      <c r="M65" s="92">
        <f t="shared" ref="M65" si="25">SUM(M30:M64)</f>
        <v>371169.18999999994</v>
      </c>
      <c r="N65" s="84">
        <f>+M65/Summary!$D$19</f>
        <v>0.37359183216177438</v>
      </c>
      <c r="O65" s="92">
        <f>SUM(O30:O64)</f>
        <v>437732.11890596896</v>
      </c>
      <c r="P65" s="84">
        <f>O65/Summary!O$19</f>
        <v>4.7883472159430555E-2</v>
      </c>
      <c r="Q65" s="193">
        <f t="shared" si="22"/>
        <v>-66562.92890596902</v>
      </c>
      <c r="R65" s="92">
        <f>SUM(R30:R64)</f>
        <v>336824.83</v>
      </c>
      <c r="S65" s="84">
        <f>R65/Summary!R$19</f>
        <v>4.2873212162125203E-2</v>
      </c>
      <c r="T65" s="193">
        <f t="shared" si="23"/>
        <v>34344.359999999928</v>
      </c>
    </row>
    <row r="66" spans="2:20" x14ac:dyDescent="0.25">
      <c r="B66" s="14"/>
      <c r="C66" s="16"/>
      <c r="D66" s="49"/>
      <c r="E66" s="32"/>
      <c r="F66" s="49"/>
      <c r="G66" s="32"/>
      <c r="H66" s="16"/>
      <c r="I66" s="49"/>
      <c r="J66" s="32"/>
      <c r="K66" s="50"/>
      <c r="M66" s="49"/>
      <c r="N66" s="32"/>
      <c r="O66" s="49"/>
      <c r="P66" s="32"/>
      <c r="Q66" s="16"/>
      <c r="R66" s="49"/>
      <c r="S66" s="32"/>
      <c r="T66" s="50"/>
    </row>
    <row r="67" spans="2:20" x14ac:dyDescent="0.25">
      <c r="B67" s="14" t="s">
        <v>26</v>
      </c>
      <c r="C67" s="18" t="s">
        <v>426</v>
      </c>
      <c r="D67" s="143">
        <f t="shared" ref="D67" si="26">+D27+D65</f>
        <v>101245.88</v>
      </c>
      <c r="E67" s="131">
        <f>+D67/Summary!$D$19</f>
        <v>0.10190671754848821</v>
      </c>
      <c r="F67" s="143">
        <f>+F27+F65</f>
        <v>109477.161070581</v>
      </c>
      <c r="G67" s="131">
        <f>F67/Summary!F$19</f>
        <v>0.10967938243193988</v>
      </c>
      <c r="H67" s="208">
        <f>+D67-F67</f>
        <v>-8231.281070580997</v>
      </c>
      <c r="I67" s="143">
        <f>+I27+I65</f>
        <v>82091.25</v>
      </c>
      <c r="J67" s="131">
        <f>I67/Summary!I$19</f>
        <v>9.9282005741240159E-2</v>
      </c>
      <c r="K67" s="208">
        <f>+D67-I67</f>
        <v>19154.630000000005</v>
      </c>
      <c r="M67" s="143">
        <f t="shared" ref="M67" si="27">+M27+M65</f>
        <v>725018</v>
      </c>
      <c r="N67" s="131">
        <f>+M67/Summary!$D$19</f>
        <v>0.72975023322993315</v>
      </c>
      <c r="O67" s="143">
        <f>+O27+O65</f>
        <v>793951.41890596901</v>
      </c>
      <c r="P67" s="131">
        <f>O67/Summary!O$19</f>
        <v>8.6850265313272501E-2</v>
      </c>
      <c r="Q67" s="208">
        <f>+M67-O67</f>
        <v>-68933.418905969011</v>
      </c>
      <c r="R67" s="143">
        <f>+R27+R65</f>
        <v>662803.27</v>
      </c>
      <c r="S67" s="131">
        <f>R67/Summary!R$19</f>
        <v>8.4365826641878972E-2</v>
      </c>
      <c r="T67" s="208">
        <f>+M67-R67</f>
        <v>62214.729999999981</v>
      </c>
    </row>
    <row r="68" spans="2:20" ht="15.75" thickBot="1" x14ac:dyDescent="0.3">
      <c r="B68" s="14"/>
      <c r="C68" s="18" t="s">
        <v>427</v>
      </c>
      <c r="D68" s="144">
        <f t="shared" ref="D68" si="28">0-D67</f>
        <v>-101245.88</v>
      </c>
      <c r="E68" s="173">
        <f>+D68/Summary!$D$19</f>
        <v>-0.10190671754848821</v>
      </c>
      <c r="F68" s="144">
        <f t="shared" ref="F68" si="29">0-F67</f>
        <v>-109477.161070581</v>
      </c>
      <c r="G68" s="173">
        <f>F68/Summary!F$19</f>
        <v>-0.10967938243193988</v>
      </c>
      <c r="H68" s="195">
        <f>+D68-F68</f>
        <v>8231.281070580997</v>
      </c>
      <c r="I68" s="144">
        <f t="shared" ref="I68" si="30">0-I67</f>
        <v>-82091.25</v>
      </c>
      <c r="J68" s="173">
        <f>I68/Summary!I$19</f>
        <v>-9.9282005741240159E-2</v>
      </c>
      <c r="K68" s="195">
        <f>+D68-I68</f>
        <v>-19154.630000000005</v>
      </c>
      <c r="M68" s="144">
        <f t="shared" ref="M68" si="31">0-M67</f>
        <v>-725018</v>
      </c>
      <c r="N68" s="173">
        <f>+M68/Summary!$D$19</f>
        <v>-0.72975023322993315</v>
      </c>
      <c r="O68" s="144">
        <f t="shared" ref="O68" si="32">0-O67</f>
        <v>-793951.41890596901</v>
      </c>
      <c r="P68" s="173">
        <f>O68/Summary!O$19</f>
        <v>-8.6850265313272501E-2</v>
      </c>
      <c r="Q68" s="195">
        <f>+M68-O68</f>
        <v>68933.418905969011</v>
      </c>
      <c r="R68" s="144">
        <f t="shared" ref="R68" si="33">0-R67</f>
        <v>-662803.27</v>
      </c>
      <c r="S68" s="173">
        <f>R68/Summary!R$19</f>
        <v>-8.4365826641878972E-2</v>
      </c>
      <c r="T68" s="195">
        <f>+M68-R68</f>
        <v>-62214.729999999981</v>
      </c>
    </row>
    <row r="69" spans="2:20" ht="15.75" thickTop="1" x14ac:dyDescent="0.25"/>
    <row r="72" spans="2:20" x14ac:dyDescent="0.25">
      <c r="D72" s="33"/>
      <c r="M72" s="33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63AD-F441-4358-A878-B80B27B9DAE2}">
  <dimension ref="B1:X71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2" x14ac:dyDescent="0.25"/>
  <cols>
    <col min="1" max="1" width="3.28515625" customWidth="1"/>
    <col min="2" max="2" width="11.28515625" style="9" hidden="1" customWidth="1" outlineLevel="2"/>
    <col min="3" max="3" width="44.140625" bestFit="1" customWidth="1" collapsed="1"/>
    <col min="4" max="4" width="12.28515625" bestFit="1" customWidth="1"/>
    <col min="5" max="5" width="8.7109375" customWidth="1"/>
    <col min="6" max="6" width="8" bestFit="1" customWidth="1"/>
    <col min="7" max="7" width="8.7109375" customWidth="1"/>
    <col min="8" max="8" width="10.28515625" bestFit="1" customWidth="1"/>
    <col min="9" max="9" width="8" bestFit="1" customWidth="1"/>
    <col min="10" max="10" width="8.7109375" customWidth="1"/>
    <col min="11" max="11" width="10.28515625" bestFit="1" customWidth="1"/>
    <col min="13" max="13" width="9" bestFit="1" customWidth="1"/>
    <col min="14" max="14" width="8.7109375" customWidth="1"/>
    <col min="15" max="15" width="9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405</v>
      </c>
      <c r="D9" s="49"/>
      <c r="E9" s="50"/>
      <c r="F9" s="180"/>
      <c r="G9" s="20"/>
      <c r="H9" s="50"/>
      <c r="I9" s="50"/>
      <c r="J9" s="16"/>
      <c r="K9" s="50"/>
      <c r="M9" s="49"/>
      <c r="N9" s="50"/>
      <c r="O9" s="180"/>
      <c r="P9" s="20"/>
      <c r="Q9" s="50"/>
      <c r="R9" s="50"/>
      <c r="S9" s="16"/>
      <c r="T9" s="50"/>
    </row>
    <row r="10" spans="2:22" x14ac:dyDescent="0.25">
      <c r="B10" s="14"/>
      <c r="C10" s="22" t="s">
        <v>406</v>
      </c>
      <c r="D10" s="93"/>
      <c r="E10" s="102"/>
      <c r="F10" s="93"/>
      <c r="G10" s="95"/>
      <c r="H10" s="81"/>
      <c r="I10" s="81"/>
      <c r="J10" s="19"/>
      <c r="K10" s="81"/>
      <c r="M10" s="93"/>
      <c r="N10" s="102"/>
      <c r="O10" s="93"/>
      <c r="P10" s="95"/>
      <c r="Q10" s="81"/>
      <c r="R10" s="81"/>
      <c r="S10" s="19"/>
      <c r="T10" s="81"/>
    </row>
    <row r="11" spans="2:22" x14ac:dyDescent="0.25">
      <c r="B11" s="14" t="s">
        <v>236</v>
      </c>
      <c r="C11" s="17" t="s">
        <v>407</v>
      </c>
      <c r="D11" s="37">
        <v>0</v>
      </c>
      <c r="E11" s="52">
        <f>+IFERROR(D11/Summary!D$19,"")</f>
        <v>0</v>
      </c>
      <c r="F11" s="37">
        <v>0</v>
      </c>
      <c r="G11" s="52">
        <f>+IFERROR(F11/Summary!F$19,"")</f>
        <v>0</v>
      </c>
      <c r="H11" s="145">
        <f>+D11-F11</f>
        <v>0</v>
      </c>
      <c r="I11" s="37">
        <v>0</v>
      </c>
      <c r="J11" s="52">
        <f>+IFERROR(I11/Summary!I$19,"")</f>
        <v>0</v>
      </c>
      <c r="K11" s="145">
        <f>+D11-I11</f>
        <v>0</v>
      </c>
      <c r="M11" s="37">
        <v>0</v>
      </c>
      <c r="N11" s="52">
        <f>+IFERROR(M11/Summary!M$19,"")</f>
        <v>0</v>
      </c>
      <c r="O11" s="37">
        <v>0</v>
      </c>
      <c r="P11" s="52">
        <f>+IFERROR(O11/Summary!O$19,"")</f>
        <v>0</v>
      </c>
      <c r="Q11" s="145">
        <f>+M11-O11</f>
        <v>0</v>
      </c>
      <c r="R11" s="37">
        <v>0</v>
      </c>
      <c r="S11" s="52">
        <f>+IFERROR(R11/Summary!R$19,"")</f>
        <v>0</v>
      </c>
      <c r="T11" s="145">
        <f>+M11-R11</f>
        <v>0</v>
      </c>
    </row>
    <row r="12" spans="2:22" x14ac:dyDescent="0.25">
      <c r="B12" s="14"/>
      <c r="C12" s="22" t="s">
        <v>408</v>
      </c>
      <c r="D12" s="245"/>
      <c r="E12" s="35"/>
      <c r="F12" s="179"/>
      <c r="G12" s="221"/>
      <c r="H12" s="197"/>
      <c r="I12" s="179"/>
      <c r="J12" s="221"/>
      <c r="K12" s="197"/>
      <c r="M12" s="245"/>
      <c r="N12" s="35"/>
      <c r="O12" s="179"/>
      <c r="P12" s="221"/>
      <c r="Q12" s="197"/>
      <c r="R12" s="179"/>
      <c r="S12" s="221"/>
      <c r="T12" s="197"/>
    </row>
    <row r="13" spans="2:22" x14ac:dyDescent="0.25">
      <c r="B13" s="14" t="s">
        <v>239</v>
      </c>
      <c r="C13" s="17" t="s">
        <v>450</v>
      </c>
      <c r="D13" s="37">
        <v>0</v>
      </c>
      <c r="E13" s="52">
        <f>+IFERROR(D13/Summary!D$19,"")</f>
        <v>0</v>
      </c>
      <c r="F13" s="37">
        <v>0</v>
      </c>
      <c r="G13" s="52">
        <f>+IFERROR(F13/Summary!F$19,"")</f>
        <v>0</v>
      </c>
      <c r="H13" s="145">
        <f t="shared" ref="H13:H22" si="0">+D13-F13</f>
        <v>0</v>
      </c>
      <c r="I13" s="37">
        <v>0</v>
      </c>
      <c r="J13" s="52">
        <f>+IFERROR(I13/Summary!I$19,"")</f>
        <v>0</v>
      </c>
      <c r="K13" s="145">
        <f t="shared" ref="K13:K22" si="1">+D13-I13</f>
        <v>0</v>
      </c>
      <c r="M13" s="37">
        <v>0</v>
      </c>
      <c r="N13" s="52">
        <f>+IFERROR(M13/Summary!M$19,"")</f>
        <v>0</v>
      </c>
      <c r="O13" s="37">
        <v>0</v>
      </c>
      <c r="P13" s="52">
        <f>+IFERROR(O13/Summary!O$19,"")</f>
        <v>0</v>
      </c>
      <c r="Q13" s="145">
        <f t="shared" ref="Q13:Q22" si="2">+M13-O13</f>
        <v>0</v>
      </c>
      <c r="R13" s="37">
        <v>0</v>
      </c>
      <c r="S13" s="52">
        <f>+IFERROR(R13/Summary!R$19,"")</f>
        <v>0</v>
      </c>
      <c r="T13" s="145">
        <f t="shared" ref="T13:T22" si="3">+M13-R13</f>
        <v>0</v>
      </c>
    </row>
    <row r="14" spans="2:22" x14ac:dyDescent="0.25">
      <c r="B14" s="14" t="s">
        <v>301</v>
      </c>
      <c r="C14" s="23" t="s">
        <v>411</v>
      </c>
      <c r="D14" s="104">
        <f t="shared" ref="D14:F14" si="4">+D11+D13</f>
        <v>0</v>
      </c>
      <c r="E14" s="105">
        <f>+IFERROR(D14/Summary!D$19,"")</f>
        <v>0</v>
      </c>
      <c r="F14" s="153">
        <f t="shared" si="4"/>
        <v>0</v>
      </c>
      <c r="G14" s="105">
        <f>+IFERROR(F14/Summary!F$19,"")</f>
        <v>0</v>
      </c>
      <c r="H14" s="155">
        <f t="shared" si="0"/>
        <v>0</v>
      </c>
      <c r="I14" s="153">
        <f t="shared" ref="I14" si="5">+I11+I13</f>
        <v>0</v>
      </c>
      <c r="J14" s="105">
        <f>+IFERROR(I14/Summary!I$19,"")</f>
        <v>0</v>
      </c>
      <c r="K14" s="155">
        <f t="shared" si="1"/>
        <v>0</v>
      </c>
      <c r="M14" s="104">
        <f t="shared" ref="M14" si="6">+M11+M13</f>
        <v>0</v>
      </c>
      <c r="N14" s="105">
        <f>+IFERROR(M14/Summary!M$19,"")</f>
        <v>0</v>
      </c>
      <c r="O14" s="153">
        <f t="shared" ref="O14" si="7">+O11+O13</f>
        <v>0</v>
      </c>
      <c r="P14" s="105">
        <f>+IFERROR(O14/Summary!O$19,"")</f>
        <v>0</v>
      </c>
      <c r="Q14" s="155">
        <f t="shared" si="2"/>
        <v>0</v>
      </c>
      <c r="R14" s="153">
        <f t="shared" ref="R14" si="8">+R11+R13</f>
        <v>0</v>
      </c>
      <c r="S14" s="105">
        <f>+IFERROR(R14/Summary!R$19,"")</f>
        <v>0</v>
      </c>
      <c r="T14" s="155">
        <f t="shared" si="3"/>
        <v>0</v>
      </c>
    </row>
    <row r="15" spans="2:22" x14ac:dyDescent="0.25">
      <c r="B15" s="14" t="s">
        <v>255</v>
      </c>
      <c r="C15" s="17" t="s">
        <v>412</v>
      </c>
      <c r="D15" s="209">
        <v>0</v>
      </c>
      <c r="E15" s="175">
        <f>+IFERROR(D15/Summary!D$19,"")</f>
        <v>0</v>
      </c>
      <c r="F15" s="209">
        <v>0</v>
      </c>
      <c r="G15" s="175">
        <f>+IFERROR(F15/Summary!F$19,"")</f>
        <v>0</v>
      </c>
      <c r="H15" s="168">
        <f t="shared" si="0"/>
        <v>0</v>
      </c>
      <c r="I15" s="37">
        <v>0</v>
      </c>
      <c r="J15" s="175">
        <f>+IFERROR(I15/Summary!I$19,"")</f>
        <v>0</v>
      </c>
      <c r="K15" s="168">
        <f t="shared" si="1"/>
        <v>0</v>
      </c>
      <c r="M15" s="209">
        <v>0</v>
      </c>
      <c r="N15" s="175">
        <f>+IFERROR(M15/Summary!M$19,"")</f>
        <v>0</v>
      </c>
      <c r="O15" s="209">
        <v>0</v>
      </c>
      <c r="P15" s="175">
        <f>+IFERROR(O15/Summary!O$19,"")</f>
        <v>0</v>
      </c>
      <c r="Q15" s="168">
        <f t="shared" si="2"/>
        <v>0</v>
      </c>
      <c r="R15" s="37">
        <v>0</v>
      </c>
      <c r="S15" s="175">
        <f>+IFERROR(R15/Summary!R$19,"")</f>
        <v>0</v>
      </c>
      <c r="T15" s="168">
        <f t="shared" si="3"/>
        <v>0</v>
      </c>
    </row>
    <row r="16" spans="2:22" x14ac:dyDescent="0.25">
      <c r="B16" s="14" t="s">
        <v>250</v>
      </c>
      <c r="C16" s="17" t="s">
        <v>413</v>
      </c>
      <c r="D16" s="210">
        <v>0</v>
      </c>
      <c r="E16" s="176">
        <f>+IFERROR(D16/Summary!D$19,"")</f>
        <v>0</v>
      </c>
      <c r="F16" s="210">
        <v>0</v>
      </c>
      <c r="G16" s="176">
        <f>+IFERROR(F16/Summary!F$19,"")</f>
        <v>0</v>
      </c>
      <c r="H16" s="154">
        <f t="shared" si="0"/>
        <v>0</v>
      </c>
      <c r="I16" s="37">
        <v>0</v>
      </c>
      <c r="J16" s="176">
        <f>+IFERROR(I16/Summary!I$19,"")</f>
        <v>0</v>
      </c>
      <c r="K16" s="154">
        <f t="shared" si="1"/>
        <v>0</v>
      </c>
      <c r="M16" s="210">
        <v>0</v>
      </c>
      <c r="N16" s="176">
        <f>+IFERROR(M16/Summary!M$19,"")</f>
        <v>0</v>
      </c>
      <c r="O16" s="210">
        <v>0</v>
      </c>
      <c r="P16" s="176">
        <f>+IFERROR(O16/Summary!O$19,"")</f>
        <v>0</v>
      </c>
      <c r="Q16" s="154">
        <f t="shared" si="2"/>
        <v>0</v>
      </c>
      <c r="R16" s="37">
        <v>0</v>
      </c>
      <c r="S16" s="176">
        <f>+IFERROR(R16/Summary!R$19,"")</f>
        <v>0</v>
      </c>
      <c r="T16" s="154">
        <f t="shared" si="3"/>
        <v>0</v>
      </c>
    </row>
    <row r="17" spans="2:20" x14ac:dyDescent="0.25">
      <c r="B17" s="14"/>
      <c r="C17" s="23" t="s">
        <v>414</v>
      </c>
      <c r="D17" s="104">
        <f t="shared" ref="D17" si="9">SUM(D14:D16)</f>
        <v>0</v>
      </c>
      <c r="E17" s="105">
        <f>+IFERROR(D17/Summary!D$19,"")</f>
        <v>0</v>
      </c>
      <c r="F17" s="104">
        <f t="shared" ref="F17" si="10">SUM(F14:F16)</f>
        <v>0</v>
      </c>
      <c r="G17" s="105">
        <f>+IFERROR(F17/Summary!F$19,"")</f>
        <v>0</v>
      </c>
      <c r="H17" s="155">
        <f t="shared" si="0"/>
        <v>0</v>
      </c>
      <c r="I17" s="104">
        <f t="shared" ref="I17" si="11">SUM(I14:I16)</f>
        <v>0</v>
      </c>
      <c r="J17" s="105">
        <f>+IFERROR(I17/Summary!I$19,"")</f>
        <v>0</v>
      </c>
      <c r="K17" s="155">
        <f t="shared" si="1"/>
        <v>0</v>
      </c>
      <c r="M17" s="104">
        <f t="shared" ref="M17" si="12">SUM(M14:M16)</f>
        <v>0</v>
      </c>
      <c r="N17" s="105">
        <f>+IFERROR(M17/Summary!M$19,"")</f>
        <v>0</v>
      </c>
      <c r="O17" s="104">
        <f t="shared" ref="O17" si="13">SUM(O14:O16)</f>
        <v>0</v>
      </c>
      <c r="P17" s="105">
        <f>+IFERROR(O17/Summary!O$19,"")</f>
        <v>0</v>
      </c>
      <c r="Q17" s="155">
        <f t="shared" si="2"/>
        <v>0</v>
      </c>
      <c r="R17" s="104">
        <f t="shared" ref="R17" si="14">SUM(R14:R16)</f>
        <v>0</v>
      </c>
      <c r="S17" s="105">
        <f>+IFERROR(R17/Summary!R$19,"")</f>
        <v>0</v>
      </c>
      <c r="T17" s="155">
        <f t="shared" si="3"/>
        <v>0</v>
      </c>
    </row>
    <row r="18" spans="2:20" x14ac:dyDescent="0.25">
      <c r="B18" s="14" t="s">
        <v>296</v>
      </c>
      <c r="C18" s="17" t="s">
        <v>415</v>
      </c>
      <c r="D18" s="107">
        <v>0</v>
      </c>
      <c r="E18" s="108">
        <f>+IFERROR(D18/Summary!D$19,"")</f>
        <v>0</v>
      </c>
      <c r="F18" s="107">
        <v>0</v>
      </c>
      <c r="G18" s="108">
        <f>+IFERROR(F18/Summary!F$19,"")</f>
        <v>0</v>
      </c>
      <c r="H18" s="154">
        <f t="shared" si="0"/>
        <v>0</v>
      </c>
      <c r="I18" s="37">
        <v>0</v>
      </c>
      <c r="J18" s="108">
        <f>+IFERROR(I18/Summary!I$19,"")</f>
        <v>0</v>
      </c>
      <c r="K18" s="154">
        <f t="shared" si="1"/>
        <v>0</v>
      </c>
      <c r="M18" s="107">
        <v>0</v>
      </c>
      <c r="N18" s="108">
        <f>+IFERROR(M18/Summary!M$19,"")</f>
        <v>0</v>
      </c>
      <c r="O18" s="107">
        <v>0</v>
      </c>
      <c r="P18" s="108">
        <f>+IFERROR(O18/Summary!O$19,"")</f>
        <v>0</v>
      </c>
      <c r="Q18" s="154">
        <f t="shared" si="2"/>
        <v>0</v>
      </c>
      <c r="R18" s="37">
        <v>0</v>
      </c>
      <c r="S18" s="108">
        <f>+IFERROR(R18/Summary!R$19,"")</f>
        <v>0</v>
      </c>
      <c r="T18" s="154">
        <f t="shared" si="3"/>
        <v>0</v>
      </c>
    </row>
    <row r="19" spans="2:20" x14ac:dyDescent="0.25">
      <c r="B19" s="14" t="s">
        <v>308</v>
      </c>
      <c r="C19" s="17" t="s">
        <v>360</v>
      </c>
      <c r="D19" s="37">
        <v>0</v>
      </c>
      <c r="E19" s="52">
        <f>+IFERROR(D19/Summary!D$19,"")</f>
        <v>0</v>
      </c>
      <c r="F19" s="37">
        <v>0</v>
      </c>
      <c r="G19" s="52">
        <f>+IFERROR(F19/Summary!F$19,"")</f>
        <v>0</v>
      </c>
      <c r="H19" s="145">
        <f t="shared" si="0"/>
        <v>0</v>
      </c>
      <c r="I19" s="37">
        <v>0</v>
      </c>
      <c r="J19" s="52">
        <f>+IFERROR(I19/Summary!I$19,"")</f>
        <v>0</v>
      </c>
      <c r="K19" s="145">
        <f t="shared" si="1"/>
        <v>0</v>
      </c>
      <c r="M19" s="37">
        <v>0</v>
      </c>
      <c r="N19" s="52">
        <f>+IFERROR(M19/Summary!M$19,"")</f>
        <v>0</v>
      </c>
      <c r="O19" s="37">
        <v>0</v>
      </c>
      <c r="P19" s="52">
        <f>+IFERROR(O19/Summary!O$19,"")</f>
        <v>0</v>
      </c>
      <c r="Q19" s="145">
        <f t="shared" si="2"/>
        <v>0</v>
      </c>
      <c r="R19" s="37">
        <v>0</v>
      </c>
      <c r="S19" s="52">
        <f>+IFERROR(R19/Summary!R$19,"")</f>
        <v>0</v>
      </c>
      <c r="T19" s="145">
        <f t="shared" si="3"/>
        <v>0</v>
      </c>
    </row>
    <row r="20" spans="2:20" x14ac:dyDescent="0.25">
      <c r="B20" s="14" t="s">
        <v>268</v>
      </c>
      <c r="C20" s="17" t="s">
        <v>361</v>
      </c>
      <c r="D20" s="107">
        <v>0</v>
      </c>
      <c r="E20" s="108">
        <f>+IFERROR(D20/Summary!D$19,"")</f>
        <v>0</v>
      </c>
      <c r="F20" s="107">
        <v>0</v>
      </c>
      <c r="G20" s="108">
        <f>+IFERROR(F20/Summary!F$19,"")</f>
        <v>0</v>
      </c>
      <c r="H20" s="154">
        <f t="shared" si="0"/>
        <v>0</v>
      </c>
      <c r="I20" s="37">
        <v>0</v>
      </c>
      <c r="J20" s="108">
        <f>+IFERROR(I20/Summary!I$19,"")</f>
        <v>0</v>
      </c>
      <c r="K20" s="154">
        <f t="shared" si="1"/>
        <v>0</v>
      </c>
      <c r="M20" s="107">
        <v>0</v>
      </c>
      <c r="N20" s="108">
        <f>+IFERROR(M20/Summary!M$19,"")</f>
        <v>0</v>
      </c>
      <c r="O20" s="107">
        <v>0</v>
      </c>
      <c r="P20" s="108">
        <f>+IFERROR(O20/Summary!O$19,"")</f>
        <v>0</v>
      </c>
      <c r="Q20" s="154">
        <f t="shared" si="2"/>
        <v>0</v>
      </c>
      <c r="R20" s="37">
        <v>0</v>
      </c>
      <c r="S20" s="108">
        <f>+IFERROR(R20/Summary!R$19,"")</f>
        <v>0</v>
      </c>
      <c r="T20" s="154">
        <f t="shared" si="3"/>
        <v>0</v>
      </c>
    </row>
    <row r="21" spans="2:20" x14ac:dyDescent="0.25">
      <c r="B21" s="14" t="s">
        <v>290</v>
      </c>
      <c r="C21" s="23" t="s">
        <v>416</v>
      </c>
      <c r="D21" s="143">
        <f t="shared" ref="D21:F21" si="15">SUM(D18:D20)</f>
        <v>0</v>
      </c>
      <c r="E21" s="126">
        <f>+IFERROR(D21/Summary!D$19,"")</f>
        <v>0</v>
      </c>
      <c r="F21" s="134">
        <f t="shared" si="15"/>
        <v>0</v>
      </c>
      <c r="G21" s="126">
        <f>+IFERROR(F21/Summary!F$19,"")</f>
        <v>0</v>
      </c>
      <c r="H21" s="169">
        <f t="shared" si="0"/>
        <v>0</v>
      </c>
      <c r="I21" s="134">
        <f t="shared" ref="I21" si="16">SUM(I18:I20)</f>
        <v>0</v>
      </c>
      <c r="J21" s="126">
        <f>+IFERROR(I21/Summary!I$19,"")</f>
        <v>0</v>
      </c>
      <c r="K21" s="169">
        <f t="shared" si="1"/>
        <v>0</v>
      </c>
      <c r="M21" s="143">
        <f t="shared" ref="M21" si="17">SUM(M18:M20)</f>
        <v>0</v>
      </c>
      <c r="N21" s="126">
        <f>+IFERROR(M21/Summary!M$19,"")</f>
        <v>0</v>
      </c>
      <c r="O21" s="134">
        <f t="shared" ref="O21" si="18">SUM(O18:O20)</f>
        <v>0</v>
      </c>
      <c r="P21" s="126">
        <f>+IFERROR(O21/Summary!O$19,"")</f>
        <v>0</v>
      </c>
      <c r="Q21" s="169">
        <f t="shared" si="2"/>
        <v>0</v>
      </c>
      <c r="R21" s="134">
        <f t="shared" ref="R21" si="19">SUM(R18:R20)</f>
        <v>0</v>
      </c>
      <c r="S21" s="126">
        <f>+IFERROR(R21/Summary!R$19,"")</f>
        <v>0</v>
      </c>
      <c r="T21" s="169">
        <f t="shared" si="3"/>
        <v>0</v>
      </c>
    </row>
    <row r="22" spans="2:20" x14ac:dyDescent="0.25">
      <c r="B22" s="14" t="s">
        <v>275</v>
      </c>
      <c r="C22" s="23" t="s">
        <v>417</v>
      </c>
      <c r="D22" s="92">
        <f t="shared" ref="D22:F22" si="20">+D17+D21</f>
        <v>0</v>
      </c>
      <c r="E22" s="127">
        <f>+IFERROR(D22/Summary!D$19,"")</f>
        <v>0</v>
      </c>
      <c r="F22" s="87">
        <f t="shared" si="20"/>
        <v>0</v>
      </c>
      <c r="G22" s="127">
        <f>+IFERROR(F22/Summary!F$19,"")</f>
        <v>0</v>
      </c>
      <c r="H22" s="169">
        <f t="shared" si="0"/>
        <v>0</v>
      </c>
      <c r="I22" s="87">
        <f t="shared" ref="I22" si="21">+I17+I21</f>
        <v>0</v>
      </c>
      <c r="J22" s="127">
        <f>+IFERROR(I22/Summary!I$19,"")</f>
        <v>0</v>
      </c>
      <c r="K22" s="169">
        <f t="shared" si="1"/>
        <v>0</v>
      </c>
      <c r="M22" s="92">
        <f t="shared" ref="M22" si="22">+M17+M21</f>
        <v>0</v>
      </c>
      <c r="N22" s="127">
        <f>+IFERROR(M22/Summary!M$19,"")</f>
        <v>0</v>
      </c>
      <c r="O22" s="87">
        <f t="shared" ref="O22" si="23">+O17+O21</f>
        <v>0</v>
      </c>
      <c r="P22" s="127">
        <f>+IFERROR(O22/Summary!O$19,"")</f>
        <v>0</v>
      </c>
      <c r="Q22" s="169">
        <f t="shared" si="2"/>
        <v>0</v>
      </c>
      <c r="R22" s="87">
        <f t="shared" ref="R22" si="24">+R17+R21</f>
        <v>0</v>
      </c>
      <c r="S22" s="127">
        <f>+IFERROR(R22/Summary!R$19,"")</f>
        <v>0</v>
      </c>
      <c r="T22" s="169">
        <f t="shared" si="3"/>
        <v>0</v>
      </c>
    </row>
    <row r="23" spans="2:20" x14ac:dyDescent="0.25">
      <c r="B23" s="14"/>
      <c r="C23" s="18"/>
      <c r="D23" s="49"/>
      <c r="E23" s="177"/>
      <c r="F23" s="49"/>
      <c r="G23" s="16"/>
      <c r="H23" s="50"/>
      <c r="I23" s="49"/>
      <c r="J23" s="16"/>
      <c r="K23" s="50"/>
      <c r="M23" s="49"/>
      <c r="N23" s="177"/>
      <c r="O23" s="49"/>
      <c r="P23" s="16"/>
      <c r="Q23" s="50"/>
      <c r="R23" s="49"/>
      <c r="S23" s="16"/>
      <c r="T23" s="50"/>
    </row>
    <row r="24" spans="2:20" x14ac:dyDescent="0.25">
      <c r="B24" s="14"/>
      <c r="C24" s="15" t="s">
        <v>470</v>
      </c>
      <c r="D24" s="49"/>
      <c r="E24" s="215"/>
      <c r="F24" s="49"/>
      <c r="G24" s="16"/>
      <c r="H24" s="50"/>
      <c r="I24" s="49"/>
      <c r="J24" s="16"/>
      <c r="K24" s="50"/>
      <c r="M24" s="49"/>
      <c r="N24" s="215"/>
      <c r="O24" s="49"/>
      <c r="P24" s="16"/>
      <c r="Q24" s="50"/>
      <c r="R24" s="49"/>
      <c r="S24" s="16"/>
      <c r="T24" s="50"/>
    </row>
    <row r="25" spans="2:20" x14ac:dyDescent="0.25">
      <c r="B25" s="14" t="s">
        <v>94</v>
      </c>
      <c r="C25" s="17" t="s">
        <v>471</v>
      </c>
      <c r="D25" s="37">
        <v>460.2</v>
      </c>
      <c r="E25" s="52">
        <f>+IFERROR(D25/Summary!D$19,"")</f>
        <v>4.632037512619207E-4</v>
      </c>
      <c r="F25" s="37">
        <v>657</v>
      </c>
      <c r="G25" s="52">
        <f>+IFERROR(F25/Summary!F$19,"")</f>
        <v>6.5821358129050428E-4</v>
      </c>
      <c r="H25" s="138">
        <f t="shared" ref="H25:H30" si="25">+D25-F25</f>
        <v>-196.8</v>
      </c>
      <c r="I25" s="37">
        <v>361.98</v>
      </c>
      <c r="J25" s="52">
        <f>+IFERROR(I25/Summary!I$19,"")</f>
        <v>4.3778235120325387E-4</v>
      </c>
      <c r="K25" s="138">
        <f t="shared" ref="K25:K30" si="26">+D25-I25</f>
        <v>98.21999999999997</v>
      </c>
      <c r="M25" s="37">
        <v>3316.34</v>
      </c>
      <c r="N25" s="52">
        <f>+IFERROR(M25/Summary!M$19,"")</f>
        <v>3.9234148948762333E-4</v>
      </c>
      <c r="O25" s="37">
        <v>3942</v>
      </c>
      <c r="P25" s="52">
        <f>+IFERROR(O25/Summary!O$19,"")</f>
        <v>4.3121498080661254E-4</v>
      </c>
      <c r="Q25" s="138">
        <f t="shared" ref="Q25:Q30" si="27">+M25-O25</f>
        <v>-625.65999999999985</v>
      </c>
      <c r="R25" s="37">
        <v>3655.74</v>
      </c>
      <c r="S25" s="52">
        <f>+IFERROR(R25/Summary!R$19,"")</f>
        <v>4.6532589841897219E-4</v>
      </c>
      <c r="T25" s="138">
        <f t="shared" ref="T25:T30" si="28">+M25-R25</f>
        <v>-339.39999999999964</v>
      </c>
    </row>
    <row r="26" spans="2:20" x14ac:dyDescent="0.25">
      <c r="B26" s="14" t="s">
        <v>96</v>
      </c>
      <c r="C26" s="17" t="s">
        <v>472</v>
      </c>
      <c r="D26" s="37">
        <v>4168.8599999999997</v>
      </c>
      <c r="E26" s="52">
        <f>+IFERROR(D26/Summary!D$19,"")</f>
        <v>4.1960703834979804E-3</v>
      </c>
      <c r="F26" s="37">
        <v>4027</v>
      </c>
      <c r="G26" s="52">
        <f>+IFERROR(F26/Summary!F$19,"")</f>
        <v>4.034438495976957E-3</v>
      </c>
      <c r="H26" s="138">
        <f t="shared" si="25"/>
        <v>141.85999999999967</v>
      </c>
      <c r="I26" s="37">
        <v>3637.61</v>
      </c>
      <c r="J26" s="52">
        <f>+IFERROR(I26/Summary!I$19,"")</f>
        <v>4.3993631100073712E-3</v>
      </c>
      <c r="K26" s="138">
        <f t="shared" si="26"/>
        <v>531.24999999999955</v>
      </c>
      <c r="M26" s="37">
        <v>25754.31</v>
      </c>
      <c r="N26" s="52">
        <f>+IFERROR(M26/Summary!M$19,"")</f>
        <v>3.0468782893569393E-3</v>
      </c>
      <c r="O26" s="37">
        <v>24162</v>
      </c>
      <c r="P26" s="52">
        <f>+IFERROR(O26/Summary!O$19,"")</f>
        <v>2.6430787331936509E-3</v>
      </c>
      <c r="Q26" s="138">
        <f t="shared" si="27"/>
        <v>1592.3100000000013</v>
      </c>
      <c r="R26" s="37">
        <v>21622.35</v>
      </c>
      <c r="S26" s="52">
        <f>+IFERROR(R26/Summary!R$19,"")</f>
        <v>2.7522305852384094E-3</v>
      </c>
      <c r="T26" s="138">
        <f t="shared" si="28"/>
        <v>4131.9600000000028</v>
      </c>
    </row>
    <row r="27" spans="2:20" x14ac:dyDescent="0.25">
      <c r="B27" s="14" t="s">
        <v>97</v>
      </c>
      <c r="C27" s="17" t="s">
        <v>473</v>
      </c>
      <c r="D27" s="37">
        <v>0</v>
      </c>
      <c r="E27" s="52">
        <f>+IFERROR(D27/Summary!D$19,"")</f>
        <v>0</v>
      </c>
      <c r="F27" s="37">
        <v>0</v>
      </c>
      <c r="G27" s="52">
        <f>+IFERROR(F27/Summary!F$19,"")</f>
        <v>0</v>
      </c>
      <c r="H27" s="138">
        <f t="shared" si="25"/>
        <v>0</v>
      </c>
      <c r="I27" s="37">
        <v>0</v>
      </c>
      <c r="J27" s="52">
        <f>+IFERROR(I27/Summary!I$19,"")</f>
        <v>0</v>
      </c>
      <c r="K27" s="138">
        <f t="shared" si="26"/>
        <v>0</v>
      </c>
      <c r="M27" s="37">
        <v>0</v>
      </c>
      <c r="N27" s="52">
        <f>+IFERROR(M27/Summary!M$19,"")</f>
        <v>0</v>
      </c>
      <c r="O27" s="37">
        <v>0</v>
      </c>
      <c r="P27" s="52">
        <f>+IFERROR(O27/Summary!O$19,"")</f>
        <v>0</v>
      </c>
      <c r="Q27" s="138">
        <f t="shared" si="27"/>
        <v>0</v>
      </c>
      <c r="R27" s="37">
        <v>0</v>
      </c>
      <c r="S27" s="52">
        <f>+IFERROR(R27/Summary!R$19,"")</f>
        <v>0</v>
      </c>
      <c r="T27" s="138">
        <f t="shared" si="28"/>
        <v>0</v>
      </c>
    </row>
    <row r="28" spans="2:20" x14ac:dyDescent="0.25">
      <c r="B28" s="14" t="s">
        <v>98</v>
      </c>
      <c r="C28" s="17" t="s">
        <v>474</v>
      </c>
      <c r="D28" s="37">
        <v>0</v>
      </c>
      <c r="E28" s="52">
        <f>+IFERROR(D28/Summary!D$19,"")</f>
        <v>0</v>
      </c>
      <c r="F28" s="37">
        <v>0</v>
      </c>
      <c r="G28" s="52">
        <f>+IFERROR(F28/Summary!F$19,"")</f>
        <v>0</v>
      </c>
      <c r="H28" s="138">
        <f t="shared" si="25"/>
        <v>0</v>
      </c>
      <c r="I28" s="37">
        <v>0</v>
      </c>
      <c r="J28" s="52">
        <f>+IFERROR(I28/Summary!I$19,"")</f>
        <v>0</v>
      </c>
      <c r="K28" s="138">
        <f t="shared" si="26"/>
        <v>0</v>
      </c>
      <c r="M28" s="37">
        <v>0</v>
      </c>
      <c r="N28" s="52">
        <f>+IFERROR(M28/Summary!M$19,"")</f>
        <v>0</v>
      </c>
      <c r="O28" s="37">
        <v>0</v>
      </c>
      <c r="P28" s="52">
        <f>+IFERROR(O28/Summary!O$19,"")</f>
        <v>0</v>
      </c>
      <c r="Q28" s="138">
        <f t="shared" si="27"/>
        <v>0</v>
      </c>
      <c r="R28" s="37">
        <v>0</v>
      </c>
      <c r="S28" s="52">
        <f>+IFERROR(R28/Summary!R$19,"")</f>
        <v>0</v>
      </c>
      <c r="T28" s="138">
        <f t="shared" si="28"/>
        <v>0</v>
      </c>
    </row>
    <row r="29" spans="2:20" x14ac:dyDescent="0.25">
      <c r="B29" s="14" t="s">
        <v>199</v>
      </c>
      <c r="C29" s="17" t="s">
        <v>475</v>
      </c>
      <c r="D29" s="91">
        <v>0</v>
      </c>
      <c r="E29" s="128">
        <f>+IFERROR(D29/Summary!D$19,"")</f>
        <v>0</v>
      </c>
      <c r="F29" s="91">
        <v>0</v>
      </c>
      <c r="G29" s="157">
        <f>+IFERROR(F29/Summary!F$19,"")</f>
        <v>0</v>
      </c>
      <c r="H29" s="142">
        <f t="shared" si="25"/>
        <v>0</v>
      </c>
      <c r="I29" s="37">
        <v>0</v>
      </c>
      <c r="J29" s="157">
        <f>+IFERROR(I29/Summary!I$19,"")</f>
        <v>0</v>
      </c>
      <c r="K29" s="142">
        <f t="shared" si="26"/>
        <v>0</v>
      </c>
      <c r="M29" s="91">
        <v>0</v>
      </c>
      <c r="N29" s="128">
        <f>+IFERROR(M29/Summary!M$19,"")</f>
        <v>0</v>
      </c>
      <c r="O29" s="91">
        <v>0</v>
      </c>
      <c r="P29" s="157">
        <f>+IFERROR(O29/Summary!O$19,"")</f>
        <v>0</v>
      </c>
      <c r="Q29" s="142">
        <f t="shared" si="27"/>
        <v>0</v>
      </c>
      <c r="R29" s="37">
        <v>0</v>
      </c>
      <c r="S29" s="157">
        <f>+IFERROR(R29/Summary!R$19,"")</f>
        <v>0</v>
      </c>
      <c r="T29" s="142">
        <f t="shared" si="28"/>
        <v>0</v>
      </c>
    </row>
    <row r="30" spans="2:20" x14ac:dyDescent="0.25">
      <c r="B30" s="14" t="s">
        <v>100</v>
      </c>
      <c r="C30" s="18" t="s">
        <v>476</v>
      </c>
      <c r="D30" s="92">
        <f t="shared" ref="D30:F30" si="29">SUM(D25:D29)</f>
        <v>4629.0599999999995</v>
      </c>
      <c r="E30" s="127">
        <f>+IFERROR(D30/Summary!D$19,"")</f>
        <v>4.6592741347599009E-3</v>
      </c>
      <c r="F30" s="85">
        <f t="shared" si="29"/>
        <v>4684</v>
      </c>
      <c r="G30" s="84">
        <f>+IFERROR(F30/Summary!F$19,"")</f>
        <v>4.6926520772674609E-3</v>
      </c>
      <c r="H30" s="141">
        <f t="shared" si="25"/>
        <v>-54.940000000000509</v>
      </c>
      <c r="I30" s="85">
        <f t="shared" ref="I30" si="30">SUM(I25:I29)</f>
        <v>3999.59</v>
      </c>
      <c r="J30" s="84">
        <f>+IFERROR(I30/Summary!I$19,"")</f>
        <v>4.8371454612106254E-3</v>
      </c>
      <c r="K30" s="141">
        <f t="shared" si="26"/>
        <v>629.46999999999935</v>
      </c>
      <c r="M30" s="92">
        <f t="shared" ref="M30" si="31">SUM(M25:M29)</f>
        <v>29070.65</v>
      </c>
      <c r="N30" s="127">
        <f>+IFERROR(M30/Summary!M$19,"")</f>
        <v>3.4392197788445625E-3</v>
      </c>
      <c r="O30" s="85">
        <f t="shared" ref="O30" si="32">SUM(O25:O29)</f>
        <v>28104</v>
      </c>
      <c r="P30" s="84">
        <f>+IFERROR(O30/Summary!O$19,"")</f>
        <v>3.0742937140002635E-3</v>
      </c>
      <c r="Q30" s="141">
        <f t="shared" si="27"/>
        <v>966.65000000000146</v>
      </c>
      <c r="R30" s="85">
        <f t="shared" ref="R30" si="33">SUM(R25:R29)</f>
        <v>25278.089999999997</v>
      </c>
      <c r="S30" s="84">
        <f>+IFERROR(R30/Summary!R$19,"")</f>
        <v>3.2175564836573814E-3</v>
      </c>
      <c r="T30" s="141">
        <f t="shared" si="28"/>
        <v>3792.5600000000049</v>
      </c>
    </row>
    <row r="31" spans="2:20" x14ac:dyDescent="0.25">
      <c r="D31" s="245"/>
      <c r="E31" s="212"/>
      <c r="F31" s="178"/>
      <c r="G31" s="277"/>
      <c r="H31" s="212"/>
      <c r="I31" s="277"/>
      <c r="J31" s="277"/>
      <c r="K31" s="212"/>
      <c r="M31" s="245"/>
      <c r="N31" s="212"/>
      <c r="O31" s="178"/>
      <c r="P31" s="277"/>
      <c r="Q31" s="212"/>
      <c r="R31" s="277"/>
      <c r="S31" s="277"/>
      <c r="T31" s="212"/>
    </row>
    <row r="32" spans="2:20" x14ac:dyDescent="0.25">
      <c r="B32" s="14"/>
      <c r="C32" s="15" t="s">
        <v>477</v>
      </c>
      <c r="D32" s="49"/>
      <c r="E32" s="54"/>
      <c r="F32" s="49"/>
      <c r="G32" s="32"/>
      <c r="H32" s="50"/>
      <c r="I32" s="49"/>
      <c r="J32" s="32"/>
      <c r="K32" s="50"/>
      <c r="M32" s="49"/>
      <c r="N32" s="54"/>
      <c r="O32" s="49"/>
      <c r="P32" s="32"/>
      <c r="Q32" s="50"/>
      <c r="R32" s="49"/>
      <c r="S32" s="32"/>
      <c r="T32" s="50"/>
    </row>
    <row r="33" spans="2:20" x14ac:dyDescent="0.25">
      <c r="B33" s="14" t="s">
        <v>50</v>
      </c>
      <c r="C33" s="17" t="s">
        <v>478</v>
      </c>
      <c r="D33" s="37">
        <v>504.33</v>
      </c>
      <c r="E33" s="52">
        <f>+IFERROR(D33/Summary!D$19,"")</f>
        <v>5.0762179025190014E-4</v>
      </c>
      <c r="F33" s="37">
        <v>460</v>
      </c>
      <c r="G33" s="52">
        <f>+IFERROR(F33/Summary!F$19,"")</f>
        <v>4.6084969161892233E-4</v>
      </c>
      <c r="H33" s="138">
        <f t="shared" ref="H33:H49" si="34">+D33-F33</f>
        <v>44.329999999999984</v>
      </c>
      <c r="I33" s="37">
        <v>255</v>
      </c>
      <c r="J33" s="52">
        <f>+IFERROR(I33/Summary!I$19,"")</f>
        <v>3.0839963411467407E-4</v>
      </c>
      <c r="K33" s="138">
        <f t="shared" ref="K33:K49" si="35">+D33-I33</f>
        <v>249.32999999999998</v>
      </c>
      <c r="M33" s="37">
        <v>3154.33</v>
      </c>
      <c r="N33" s="52">
        <f>+IFERROR(M33/Summary!M$19,"")</f>
        <v>3.731748043130363E-4</v>
      </c>
      <c r="O33" s="37">
        <v>2760</v>
      </c>
      <c r="P33" s="52">
        <f>+IFERROR(O33/Summary!O$19,"")</f>
        <v>3.0191612050386871E-4</v>
      </c>
      <c r="Q33" s="138">
        <f t="shared" ref="Q33:Q49" si="36">+M33-O33</f>
        <v>394.32999999999993</v>
      </c>
      <c r="R33" s="37">
        <v>1530</v>
      </c>
      <c r="S33" s="52">
        <f>+IFERROR(R33/Summary!R$19,"")</f>
        <v>1.9474815620942066E-4</v>
      </c>
      <c r="T33" s="138">
        <f t="shared" ref="T33:T49" si="37">+M33-R33</f>
        <v>1624.33</v>
      </c>
    </row>
    <row r="34" spans="2:20" x14ac:dyDescent="0.25">
      <c r="B34" s="14" t="s">
        <v>67</v>
      </c>
      <c r="C34" s="17" t="s">
        <v>468</v>
      </c>
      <c r="D34" s="37">
        <v>0</v>
      </c>
      <c r="E34" s="52">
        <f>+IFERROR(D34/Summary!D$19,"")</f>
        <v>0</v>
      </c>
      <c r="F34" s="37">
        <v>0</v>
      </c>
      <c r="G34" s="52">
        <f>+IFERROR(F34/Summary!F$19,"")</f>
        <v>0</v>
      </c>
      <c r="H34" s="138">
        <f t="shared" si="34"/>
        <v>0</v>
      </c>
      <c r="I34" s="37">
        <v>0</v>
      </c>
      <c r="J34" s="52">
        <f>+IFERROR(I34/Summary!I$19,"")</f>
        <v>0</v>
      </c>
      <c r="K34" s="138">
        <f t="shared" si="35"/>
        <v>0</v>
      </c>
      <c r="M34" s="37">
        <v>0</v>
      </c>
      <c r="N34" s="52">
        <f>+IFERROR(M34/Summary!M$19,"")</f>
        <v>0</v>
      </c>
      <c r="O34" s="37">
        <v>0</v>
      </c>
      <c r="P34" s="52">
        <f>+IFERROR(O34/Summary!O$19,"")</f>
        <v>0</v>
      </c>
      <c r="Q34" s="138">
        <f t="shared" si="36"/>
        <v>0</v>
      </c>
      <c r="R34" s="37">
        <v>0</v>
      </c>
      <c r="S34" s="52">
        <f>+IFERROR(R34/Summary!R$19,"")</f>
        <v>0</v>
      </c>
      <c r="T34" s="138">
        <f t="shared" si="37"/>
        <v>0</v>
      </c>
    </row>
    <row r="35" spans="2:20" x14ac:dyDescent="0.25">
      <c r="B35" s="14" t="s">
        <v>116</v>
      </c>
      <c r="C35" s="17" t="s">
        <v>480</v>
      </c>
      <c r="D35" s="37">
        <v>0</v>
      </c>
      <c r="E35" s="52">
        <f>+IFERROR(D35/Summary!D$19,"")</f>
        <v>0</v>
      </c>
      <c r="F35" s="37">
        <v>0</v>
      </c>
      <c r="G35" s="52">
        <f>+IFERROR(F35/Summary!F$19,"")</f>
        <v>0</v>
      </c>
      <c r="H35" s="138">
        <f t="shared" si="34"/>
        <v>0</v>
      </c>
      <c r="I35" s="37">
        <v>0</v>
      </c>
      <c r="J35" s="52">
        <f>+IFERROR(I35/Summary!I$19,"")</f>
        <v>0</v>
      </c>
      <c r="K35" s="138">
        <f t="shared" si="35"/>
        <v>0</v>
      </c>
      <c r="M35" s="37">
        <v>0</v>
      </c>
      <c r="N35" s="52">
        <f>+IFERROR(M35/Summary!M$19,"")</f>
        <v>0</v>
      </c>
      <c r="O35" s="37">
        <v>0</v>
      </c>
      <c r="P35" s="52">
        <f>+IFERROR(O35/Summary!O$19,"")</f>
        <v>0</v>
      </c>
      <c r="Q35" s="138">
        <f t="shared" si="36"/>
        <v>0</v>
      </c>
      <c r="R35" s="37">
        <v>0</v>
      </c>
      <c r="S35" s="52">
        <f>+IFERROR(R35/Summary!R$19,"")</f>
        <v>0</v>
      </c>
      <c r="T35" s="138">
        <f t="shared" si="37"/>
        <v>0</v>
      </c>
    </row>
    <row r="36" spans="2:20" x14ac:dyDescent="0.25">
      <c r="B36" s="14" t="s">
        <v>129</v>
      </c>
      <c r="C36" s="17" t="s">
        <v>381</v>
      </c>
      <c r="D36" s="37">
        <v>0</v>
      </c>
      <c r="E36" s="52">
        <f>+IFERROR(D36/Summary!D$19,"")</f>
        <v>0</v>
      </c>
      <c r="F36" s="37">
        <v>0</v>
      </c>
      <c r="G36" s="52">
        <f>+IFERROR(F36/Summary!F$19,"")</f>
        <v>0</v>
      </c>
      <c r="H36" s="138">
        <f t="shared" si="34"/>
        <v>0</v>
      </c>
      <c r="I36" s="37">
        <v>0</v>
      </c>
      <c r="J36" s="52">
        <f>+IFERROR(I36/Summary!I$19,"")</f>
        <v>0</v>
      </c>
      <c r="K36" s="138">
        <f t="shared" si="35"/>
        <v>0</v>
      </c>
      <c r="M36" s="37">
        <v>0</v>
      </c>
      <c r="N36" s="52">
        <f>+IFERROR(M36/Summary!M$19,"")</f>
        <v>0</v>
      </c>
      <c r="O36" s="37">
        <v>0</v>
      </c>
      <c r="P36" s="52">
        <f>+IFERROR(O36/Summary!O$19,"")</f>
        <v>0</v>
      </c>
      <c r="Q36" s="138">
        <f t="shared" si="36"/>
        <v>0</v>
      </c>
      <c r="R36" s="37">
        <v>168.53</v>
      </c>
      <c r="S36" s="52">
        <f>+IFERROR(R36/Summary!R$19,"")</f>
        <v>2.1451573049655988E-5</v>
      </c>
      <c r="T36" s="138">
        <f t="shared" si="37"/>
        <v>-168.53</v>
      </c>
    </row>
    <row r="37" spans="2:20" x14ac:dyDescent="0.25">
      <c r="B37" s="14" t="s">
        <v>137</v>
      </c>
      <c r="C37" s="17" t="s">
        <v>481</v>
      </c>
      <c r="D37" s="37">
        <v>0</v>
      </c>
      <c r="E37" s="52">
        <f>+IFERROR(D37/Summary!D$19,"")</f>
        <v>0</v>
      </c>
      <c r="F37" s="37">
        <v>0</v>
      </c>
      <c r="G37" s="52">
        <f>+IFERROR(F37/Summary!F$19,"")</f>
        <v>0</v>
      </c>
      <c r="H37" s="138">
        <f t="shared" si="34"/>
        <v>0</v>
      </c>
      <c r="I37" s="37">
        <v>0</v>
      </c>
      <c r="J37" s="52">
        <f>+IFERROR(I37/Summary!I$19,"")</f>
        <v>0</v>
      </c>
      <c r="K37" s="138">
        <f t="shared" si="35"/>
        <v>0</v>
      </c>
      <c r="M37" s="37">
        <v>0</v>
      </c>
      <c r="N37" s="52">
        <f>+IFERROR(M37/Summary!M$19,"")</f>
        <v>0</v>
      </c>
      <c r="O37" s="37">
        <v>0</v>
      </c>
      <c r="P37" s="52">
        <f>+IFERROR(O37/Summary!O$19,"")</f>
        <v>0</v>
      </c>
      <c r="Q37" s="138">
        <f t="shared" si="36"/>
        <v>0</v>
      </c>
      <c r="R37" s="37">
        <v>0</v>
      </c>
      <c r="S37" s="52">
        <f>+IFERROR(R37/Summary!R$19,"")</f>
        <v>0</v>
      </c>
      <c r="T37" s="138">
        <f t="shared" si="37"/>
        <v>0</v>
      </c>
    </row>
    <row r="38" spans="2:20" x14ac:dyDescent="0.25">
      <c r="B38" s="14" t="s">
        <v>149</v>
      </c>
      <c r="C38" s="17" t="s">
        <v>482</v>
      </c>
      <c r="D38" s="37">
        <v>1701.5</v>
      </c>
      <c r="E38" s="52">
        <f>+IFERROR(D38/Summary!D$19,"")</f>
        <v>1.7126057861194222E-3</v>
      </c>
      <c r="F38" s="37">
        <v>1600</v>
      </c>
      <c r="G38" s="52">
        <f>+IFERROR(F38/Summary!F$19,"")</f>
        <v>1.602955449109295E-3</v>
      </c>
      <c r="H38" s="138">
        <f t="shared" si="34"/>
        <v>101.5</v>
      </c>
      <c r="I38" s="37">
        <v>2943.89</v>
      </c>
      <c r="J38" s="52">
        <f>+IFERROR(I38/Summary!I$19,"")</f>
        <v>3.5603709759758741E-3</v>
      </c>
      <c r="K38" s="138">
        <f t="shared" si="35"/>
        <v>-1242.3899999999999</v>
      </c>
      <c r="M38" s="37">
        <v>4103</v>
      </c>
      <c r="N38" s="52">
        <f>+IFERROR(M38/Summary!M$19,"")</f>
        <v>4.8540774811018121E-4</v>
      </c>
      <c r="O38" s="37">
        <v>3200</v>
      </c>
      <c r="P38" s="52">
        <f>+IFERROR(O38/Summary!O$19,"")</f>
        <v>3.500476759465145E-4</v>
      </c>
      <c r="Q38" s="138">
        <f t="shared" si="36"/>
        <v>903</v>
      </c>
      <c r="R38" s="37">
        <v>4613.04</v>
      </c>
      <c r="S38" s="52">
        <f>+IFERROR(R38/Summary!R$19,"")</f>
        <v>5.8717714674529791E-4</v>
      </c>
      <c r="T38" s="138">
        <f t="shared" si="37"/>
        <v>-510.03999999999996</v>
      </c>
    </row>
    <row r="39" spans="2:20" x14ac:dyDescent="0.25">
      <c r="B39" s="14" t="s">
        <v>150</v>
      </c>
      <c r="C39" s="17" t="s">
        <v>56</v>
      </c>
      <c r="D39" s="37">
        <v>0</v>
      </c>
      <c r="E39" s="52">
        <f>+IFERROR(D39/Summary!D$19,"")</f>
        <v>0</v>
      </c>
      <c r="F39" s="37">
        <v>0</v>
      </c>
      <c r="G39" s="52">
        <f>+IFERROR(F39/Summary!F$19,"")</f>
        <v>0</v>
      </c>
      <c r="H39" s="138">
        <f t="shared" si="34"/>
        <v>0</v>
      </c>
      <c r="I39" s="37">
        <v>0</v>
      </c>
      <c r="J39" s="52">
        <f>+IFERROR(I39/Summary!I$19,"")</f>
        <v>0</v>
      </c>
      <c r="K39" s="138">
        <f t="shared" si="35"/>
        <v>0</v>
      </c>
      <c r="M39" s="37">
        <v>0</v>
      </c>
      <c r="N39" s="52">
        <f>+IFERROR(M39/Summary!M$19,"")</f>
        <v>0</v>
      </c>
      <c r="O39" s="37">
        <v>0</v>
      </c>
      <c r="P39" s="52">
        <f>+IFERROR(O39/Summary!O$19,"")</f>
        <v>0</v>
      </c>
      <c r="Q39" s="138">
        <f t="shared" si="36"/>
        <v>0</v>
      </c>
      <c r="R39" s="37">
        <v>0</v>
      </c>
      <c r="S39" s="52">
        <f>+IFERROR(R39/Summary!R$19,"")</f>
        <v>0</v>
      </c>
      <c r="T39" s="138">
        <f t="shared" si="37"/>
        <v>0</v>
      </c>
    </row>
    <row r="40" spans="2:20" x14ac:dyDescent="0.25">
      <c r="B40" s="14" t="s">
        <v>154</v>
      </c>
      <c r="C40" s="17" t="s">
        <v>468</v>
      </c>
      <c r="D40" s="37">
        <v>538.08000000000004</v>
      </c>
      <c r="E40" s="52">
        <f>+IFERROR(D40/Summary!D$19,"")</f>
        <v>5.4159207839855352E-4</v>
      </c>
      <c r="F40" s="37">
        <v>613.5</v>
      </c>
      <c r="G40" s="52">
        <f>+IFERROR(F40/Summary!F$19,"")</f>
        <v>6.1463323001784533E-4</v>
      </c>
      <c r="H40" s="138">
        <f t="shared" si="34"/>
        <v>-75.419999999999959</v>
      </c>
      <c r="I40" s="37">
        <v>586</v>
      </c>
      <c r="J40" s="52">
        <f>+IFERROR(I40/Summary!I$19,"")</f>
        <v>7.0871445329881964E-4</v>
      </c>
      <c r="K40" s="138">
        <f t="shared" si="35"/>
        <v>-47.919999999999959</v>
      </c>
      <c r="M40" s="37">
        <v>3837.36</v>
      </c>
      <c r="N40" s="52">
        <f>+IFERROR(M40/Summary!M$19,"")</f>
        <v>4.5398105685792955E-4</v>
      </c>
      <c r="O40" s="37">
        <v>3681</v>
      </c>
      <c r="P40" s="52">
        <f>+IFERROR(O40/Summary!O$19,"")</f>
        <v>4.0266421723722496E-4</v>
      </c>
      <c r="Q40" s="138">
        <f t="shared" si="36"/>
        <v>156.36000000000013</v>
      </c>
      <c r="R40" s="37">
        <v>7029.75</v>
      </c>
      <c r="S40" s="52">
        <f>+IFERROR(R40/Summary!R$19,"")</f>
        <v>8.9479140595632339E-4</v>
      </c>
      <c r="T40" s="138">
        <f t="shared" si="37"/>
        <v>-3192.39</v>
      </c>
    </row>
    <row r="41" spans="2:20" x14ac:dyDescent="0.25">
      <c r="B41" s="14" t="s">
        <v>156</v>
      </c>
      <c r="C41" s="17" t="s">
        <v>483</v>
      </c>
      <c r="D41" s="37">
        <v>0</v>
      </c>
      <c r="E41" s="52">
        <f>+IFERROR(D41/Summary!D$19,"")</f>
        <v>0</v>
      </c>
      <c r="F41" s="37">
        <v>0</v>
      </c>
      <c r="G41" s="52">
        <f>+IFERROR(F41/Summary!F$19,"")</f>
        <v>0</v>
      </c>
      <c r="H41" s="138">
        <f t="shared" si="34"/>
        <v>0</v>
      </c>
      <c r="I41" s="37">
        <v>0</v>
      </c>
      <c r="J41" s="52">
        <f>+IFERROR(I41/Summary!I$19,"")</f>
        <v>0</v>
      </c>
      <c r="K41" s="138">
        <f t="shared" si="35"/>
        <v>0</v>
      </c>
      <c r="M41" s="37">
        <v>0</v>
      </c>
      <c r="N41" s="52">
        <f>+IFERROR(M41/Summary!M$19,"")</f>
        <v>0</v>
      </c>
      <c r="O41" s="37">
        <v>0</v>
      </c>
      <c r="P41" s="52">
        <f>+IFERROR(O41/Summary!O$19,"")</f>
        <v>0</v>
      </c>
      <c r="Q41" s="138">
        <f t="shared" si="36"/>
        <v>0</v>
      </c>
      <c r="R41" s="37">
        <v>0</v>
      </c>
      <c r="S41" s="52">
        <f>+IFERROR(R41/Summary!R$19,"")</f>
        <v>0</v>
      </c>
      <c r="T41" s="138">
        <f t="shared" si="37"/>
        <v>0</v>
      </c>
    </row>
    <row r="42" spans="2:20" x14ac:dyDescent="0.25">
      <c r="B42" s="14" t="s">
        <v>157</v>
      </c>
      <c r="C42" s="17" t="s">
        <v>484</v>
      </c>
      <c r="D42" s="37">
        <v>0</v>
      </c>
      <c r="E42" s="52">
        <f>+IFERROR(D42/Summary!D$19,"")</f>
        <v>0</v>
      </c>
      <c r="F42" s="37">
        <v>0</v>
      </c>
      <c r="G42" s="52">
        <f>+IFERROR(F42/Summary!F$19,"")</f>
        <v>0</v>
      </c>
      <c r="H42" s="138">
        <f t="shared" si="34"/>
        <v>0</v>
      </c>
      <c r="I42" s="37">
        <v>0</v>
      </c>
      <c r="J42" s="52">
        <f>+IFERROR(I42/Summary!I$19,"")</f>
        <v>0</v>
      </c>
      <c r="K42" s="138">
        <f t="shared" si="35"/>
        <v>0</v>
      </c>
      <c r="M42" s="37">
        <v>0</v>
      </c>
      <c r="N42" s="52">
        <f>+IFERROR(M42/Summary!M$19,"")</f>
        <v>0</v>
      </c>
      <c r="O42" s="37">
        <v>0</v>
      </c>
      <c r="P42" s="52">
        <f>+IFERROR(O42/Summary!O$19,"")</f>
        <v>0</v>
      </c>
      <c r="Q42" s="138">
        <f t="shared" si="36"/>
        <v>0</v>
      </c>
      <c r="R42" s="37">
        <v>-1287.51</v>
      </c>
      <c r="S42" s="52">
        <f>+IFERROR(R42/Summary!R$19,"")</f>
        <v>-1.638824827458766E-4</v>
      </c>
      <c r="T42" s="138">
        <f t="shared" si="37"/>
        <v>1287.51</v>
      </c>
    </row>
    <row r="43" spans="2:20" x14ac:dyDescent="0.25">
      <c r="B43" s="14" t="s">
        <v>196</v>
      </c>
      <c r="C43" s="17" t="s">
        <v>447</v>
      </c>
      <c r="D43" s="37">
        <v>0</v>
      </c>
      <c r="E43" s="52">
        <f>+IFERROR(D43/Summary!D$19,"")</f>
        <v>0</v>
      </c>
      <c r="F43" s="37">
        <v>523.83000000000004</v>
      </c>
      <c r="G43" s="52">
        <f>+IFERROR(F43/Summary!F$19,"")</f>
        <v>5.2479759556682635E-4</v>
      </c>
      <c r="H43" s="138">
        <f t="shared" si="34"/>
        <v>-523.83000000000004</v>
      </c>
      <c r="I43" s="37">
        <v>-1673.84</v>
      </c>
      <c r="J43" s="52">
        <f>+IFERROR(I43/Summary!I$19,"")</f>
        <v>-2.024359386535318E-3</v>
      </c>
      <c r="K43" s="138">
        <f t="shared" si="35"/>
        <v>1673.84</v>
      </c>
      <c r="M43" s="37">
        <v>1691.32</v>
      </c>
      <c r="N43" s="52">
        <f>+IFERROR(M43/Summary!M$19,"")</f>
        <v>2.0009257434406815E-4</v>
      </c>
      <c r="O43" s="37">
        <v>3642.98</v>
      </c>
      <c r="P43" s="52">
        <f>+IFERROR(O43/Summary!O$19,"")</f>
        <v>3.9850521328738543E-4</v>
      </c>
      <c r="Q43" s="138">
        <f t="shared" si="36"/>
        <v>-1951.66</v>
      </c>
      <c r="R43" s="37">
        <v>3726</v>
      </c>
      <c r="S43" s="52">
        <f>+IFERROR(R43/Summary!R$19,"")</f>
        <v>4.7426903923941264E-4</v>
      </c>
      <c r="T43" s="138">
        <f t="shared" si="37"/>
        <v>-2034.68</v>
      </c>
    </row>
    <row r="44" spans="2:20" x14ac:dyDescent="0.25">
      <c r="B44" s="14" t="s">
        <v>210</v>
      </c>
      <c r="C44" s="17" t="s">
        <v>58</v>
      </c>
      <c r="D44" s="37">
        <v>0</v>
      </c>
      <c r="E44" s="52">
        <f>+IFERROR(D44/Summary!D$19,"")</f>
        <v>0</v>
      </c>
      <c r="F44" s="37">
        <v>0</v>
      </c>
      <c r="G44" s="52">
        <f>+IFERROR(F44/Summary!F$19,"")</f>
        <v>0</v>
      </c>
      <c r="H44" s="138">
        <f t="shared" si="34"/>
        <v>0</v>
      </c>
      <c r="I44" s="37">
        <v>0</v>
      </c>
      <c r="J44" s="52">
        <f>+IFERROR(I44/Summary!I$19,"")</f>
        <v>0</v>
      </c>
      <c r="K44" s="138">
        <f t="shared" si="35"/>
        <v>0</v>
      </c>
      <c r="M44" s="37">
        <v>0</v>
      </c>
      <c r="N44" s="52">
        <f>+IFERROR(M44/Summary!M$19,"")</f>
        <v>0</v>
      </c>
      <c r="O44" s="37">
        <v>0</v>
      </c>
      <c r="P44" s="52">
        <f>+IFERROR(O44/Summary!O$19,"")</f>
        <v>0</v>
      </c>
      <c r="Q44" s="138">
        <f t="shared" si="36"/>
        <v>0</v>
      </c>
      <c r="R44" s="37">
        <v>0</v>
      </c>
      <c r="S44" s="52">
        <f>+IFERROR(R44/Summary!R$19,"")</f>
        <v>0</v>
      </c>
      <c r="T44" s="138">
        <f t="shared" si="37"/>
        <v>0</v>
      </c>
    </row>
    <row r="45" spans="2:20" x14ac:dyDescent="0.25">
      <c r="B45" s="14" t="s">
        <v>221</v>
      </c>
      <c r="C45" s="17" t="s">
        <v>485</v>
      </c>
      <c r="D45" s="37">
        <v>0</v>
      </c>
      <c r="E45" s="52">
        <f>+IFERROR(D45/Summary!D$19,"")</f>
        <v>0</v>
      </c>
      <c r="F45" s="37">
        <v>0</v>
      </c>
      <c r="G45" s="52">
        <f>+IFERROR(F45/Summary!F$19,"")</f>
        <v>0</v>
      </c>
      <c r="H45" s="138">
        <f t="shared" si="34"/>
        <v>0</v>
      </c>
      <c r="I45" s="37">
        <v>0</v>
      </c>
      <c r="J45" s="52">
        <f>+IFERROR(I45/Summary!I$19,"")</f>
        <v>0</v>
      </c>
      <c r="K45" s="138">
        <f t="shared" si="35"/>
        <v>0</v>
      </c>
      <c r="M45" s="37">
        <v>0</v>
      </c>
      <c r="N45" s="52">
        <f>+IFERROR(M45/Summary!M$19,"")</f>
        <v>0</v>
      </c>
      <c r="O45" s="37">
        <v>0</v>
      </c>
      <c r="P45" s="52">
        <f>+IFERROR(O45/Summary!O$19,"")</f>
        <v>0</v>
      </c>
      <c r="Q45" s="138">
        <f t="shared" si="36"/>
        <v>0</v>
      </c>
      <c r="R45" s="37">
        <v>0</v>
      </c>
      <c r="S45" s="52">
        <f>+IFERROR(R45/Summary!R$19,"")</f>
        <v>0</v>
      </c>
      <c r="T45" s="138">
        <f t="shared" si="37"/>
        <v>0</v>
      </c>
    </row>
    <row r="46" spans="2:20" x14ac:dyDescent="0.25">
      <c r="B46" s="14" t="s">
        <v>225</v>
      </c>
      <c r="C46" s="17" t="s">
        <v>53</v>
      </c>
      <c r="D46" s="37">
        <v>494.8</v>
      </c>
      <c r="E46" s="52">
        <f>+IFERROR(D46/Summary!D$19,"")</f>
        <v>4.9802958740634154E-4</v>
      </c>
      <c r="F46" s="37">
        <v>140</v>
      </c>
      <c r="G46" s="52">
        <f>+IFERROR(F46/Summary!F$19,"")</f>
        <v>1.4025860179706331E-4</v>
      </c>
      <c r="H46" s="138">
        <f t="shared" si="34"/>
        <v>354.8</v>
      </c>
      <c r="I46" s="37">
        <v>0</v>
      </c>
      <c r="J46" s="52">
        <f>+IFERROR(I46/Summary!I$19,"")</f>
        <v>0</v>
      </c>
      <c r="K46" s="138">
        <f t="shared" si="35"/>
        <v>494.8</v>
      </c>
      <c r="M46" s="37">
        <v>8757.74</v>
      </c>
      <c r="N46" s="52">
        <f>+IFERROR(M46/Summary!M$19,"")</f>
        <v>1.0360894106591417E-3</v>
      </c>
      <c r="O46" s="37">
        <v>8313</v>
      </c>
      <c r="P46" s="52">
        <f>+IFERROR(O46/Summary!O$19,"")</f>
        <v>9.0935822816980464E-4</v>
      </c>
      <c r="Q46" s="138">
        <f t="shared" si="36"/>
        <v>444.73999999999978</v>
      </c>
      <c r="R46" s="37">
        <v>7399</v>
      </c>
      <c r="S46" s="52">
        <f>+IFERROR(R46/Summary!R$19,"")</f>
        <v>9.417919005186297E-4</v>
      </c>
      <c r="T46" s="138">
        <f t="shared" si="37"/>
        <v>1358.7399999999998</v>
      </c>
    </row>
    <row r="47" spans="2:20" x14ac:dyDescent="0.25">
      <c r="B47" s="14" t="s">
        <v>228</v>
      </c>
      <c r="C47" s="17" t="s">
        <v>385</v>
      </c>
      <c r="D47" s="37">
        <v>1285.6199999999999</v>
      </c>
      <c r="E47" s="52">
        <f>+IFERROR(D47/Summary!D$19,"")</f>
        <v>1.2940113139881582E-3</v>
      </c>
      <c r="F47" s="37">
        <v>1217</v>
      </c>
      <c r="G47" s="52">
        <f>+IFERROR(F47/Summary!F$19,"")</f>
        <v>1.2192479884787575E-3</v>
      </c>
      <c r="H47" s="138">
        <f t="shared" si="34"/>
        <v>68.619999999999891</v>
      </c>
      <c r="I47" s="37">
        <v>743</v>
      </c>
      <c r="J47" s="52">
        <f>+IFERROR(I47/Summary!I$19,"")</f>
        <v>8.9859187508706999E-4</v>
      </c>
      <c r="K47" s="138">
        <f t="shared" si="35"/>
        <v>542.61999999999989</v>
      </c>
      <c r="M47" s="37">
        <v>13443.98</v>
      </c>
      <c r="N47" s="52">
        <f>+IFERROR(M47/Summary!M$19,"")</f>
        <v>1.5904976986201105E-3</v>
      </c>
      <c r="O47" s="37">
        <v>12651</v>
      </c>
      <c r="P47" s="52">
        <f>+IFERROR(O47/Summary!O$19,"")</f>
        <v>1.3838916088747984E-3</v>
      </c>
      <c r="Q47" s="138">
        <f t="shared" si="36"/>
        <v>792.97999999999956</v>
      </c>
      <c r="R47" s="37">
        <v>13448.27</v>
      </c>
      <c r="S47" s="52">
        <f>+IFERROR(R47/Summary!R$19,"")</f>
        <v>1.7117815599388664E-3</v>
      </c>
      <c r="T47" s="138">
        <f t="shared" si="37"/>
        <v>-4.2900000000008731</v>
      </c>
    </row>
    <row r="48" spans="2:20" x14ac:dyDescent="0.25">
      <c r="B48" s="14" t="s">
        <v>244</v>
      </c>
      <c r="C48" s="17" t="s">
        <v>486</v>
      </c>
      <c r="D48" s="91">
        <v>0</v>
      </c>
      <c r="E48" s="83">
        <f>+IFERROR(D48/Summary!D$19,"")</f>
        <v>0</v>
      </c>
      <c r="F48" s="91">
        <v>0</v>
      </c>
      <c r="G48" s="157">
        <f>+IFERROR(F48/Summary!F$19,"")</f>
        <v>0</v>
      </c>
      <c r="H48" s="142">
        <f t="shared" si="34"/>
        <v>0</v>
      </c>
      <c r="I48" s="37">
        <v>0</v>
      </c>
      <c r="J48" s="157">
        <f>+IFERROR(I48/Summary!I$19,"")</f>
        <v>0</v>
      </c>
      <c r="K48" s="142">
        <f t="shared" si="35"/>
        <v>0</v>
      </c>
      <c r="M48" s="91">
        <v>0</v>
      </c>
      <c r="N48" s="83">
        <f>+IFERROR(M48/Summary!M$19,"")</f>
        <v>0</v>
      </c>
      <c r="O48" s="91">
        <v>0</v>
      </c>
      <c r="P48" s="157">
        <f>+IFERROR(O48/Summary!O$19,"")</f>
        <v>0</v>
      </c>
      <c r="Q48" s="142">
        <f t="shared" si="36"/>
        <v>0</v>
      </c>
      <c r="R48" s="37">
        <v>0</v>
      </c>
      <c r="S48" s="157">
        <f>+IFERROR(R48/Summary!R$19,"")</f>
        <v>0</v>
      </c>
      <c r="T48" s="142">
        <f t="shared" si="37"/>
        <v>0</v>
      </c>
    </row>
    <row r="49" spans="2:20" x14ac:dyDescent="0.25">
      <c r="B49" s="14" t="s">
        <v>242</v>
      </c>
      <c r="C49" s="18" t="s">
        <v>479</v>
      </c>
      <c r="D49" s="92">
        <f t="shared" ref="D49:F49" si="38">SUM(D33:D48)</f>
        <v>4524.33</v>
      </c>
      <c r="E49" s="84">
        <f>+IFERROR(D49/Summary!D$19,"")</f>
        <v>4.5538605561643757E-3</v>
      </c>
      <c r="F49" s="87">
        <f t="shared" si="38"/>
        <v>4554.33</v>
      </c>
      <c r="G49" s="84">
        <f>+IFERROR(F49/Summary!F$19,"")</f>
        <v>4.5627425565887099E-3</v>
      </c>
      <c r="H49" s="141">
        <f t="shared" si="34"/>
        <v>-30</v>
      </c>
      <c r="I49" s="87">
        <f t="shared" ref="I49" si="39">SUM(I33:I48)</f>
        <v>2854.05</v>
      </c>
      <c r="J49" s="84">
        <f>+IFERROR(I49/Summary!I$19,"")</f>
        <v>3.4517175519411204E-3</v>
      </c>
      <c r="K49" s="141">
        <f t="shared" si="35"/>
        <v>1670.2799999999997</v>
      </c>
      <c r="M49" s="92">
        <f t="shared" ref="M49" si="40">SUM(M33:M48)</f>
        <v>34987.729999999996</v>
      </c>
      <c r="N49" s="84">
        <f>+IFERROR(M49/Summary!M$19,"")</f>
        <v>4.1392432929044671E-3</v>
      </c>
      <c r="O49" s="87">
        <f t="shared" ref="O49" si="41">SUM(O33:O48)</f>
        <v>34247.979999999996</v>
      </c>
      <c r="P49" s="84">
        <f>+IFERROR(O49/Summary!O$19,"")</f>
        <v>3.7463830640195963E-3</v>
      </c>
      <c r="Q49" s="141">
        <f t="shared" si="36"/>
        <v>739.75</v>
      </c>
      <c r="R49" s="87">
        <f t="shared" ref="R49" si="42">SUM(R33:R48)</f>
        <v>36627.08</v>
      </c>
      <c r="S49" s="84">
        <f>+IFERROR(R49/Summary!R$19,"")</f>
        <v>4.6621282989117302E-3</v>
      </c>
      <c r="T49" s="141">
        <f t="shared" si="37"/>
        <v>-1639.3500000000058</v>
      </c>
    </row>
    <row r="50" spans="2:20" x14ac:dyDescent="0.25">
      <c r="B50" s="14"/>
      <c r="C50" s="18"/>
      <c r="D50" s="49"/>
      <c r="F50" s="49"/>
      <c r="G50" s="32"/>
      <c r="H50" s="50"/>
      <c r="I50" s="49"/>
      <c r="J50" s="32"/>
      <c r="K50" s="50"/>
      <c r="M50" s="49"/>
      <c r="O50" s="49"/>
      <c r="P50" s="32"/>
      <c r="Q50" s="50"/>
      <c r="R50" s="49"/>
      <c r="S50" s="32"/>
      <c r="T50" s="50"/>
    </row>
    <row r="51" spans="2:20" x14ac:dyDescent="0.25">
      <c r="B51" s="14"/>
      <c r="C51" s="15" t="s">
        <v>51</v>
      </c>
      <c r="D51" s="245"/>
      <c r="F51" s="49"/>
      <c r="G51" s="32"/>
      <c r="H51" s="50"/>
      <c r="I51" s="49"/>
      <c r="J51" s="32"/>
      <c r="K51" s="50"/>
      <c r="M51" s="245"/>
      <c r="O51" s="49"/>
      <c r="P51" s="32"/>
      <c r="Q51" s="50"/>
      <c r="R51" s="49"/>
      <c r="S51" s="32"/>
      <c r="T51" s="50"/>
    </row>
    <row r="52" spans="2:20" x14ac:dyDescent="0.25">
      <c r="B52" s="14" t="s">
        <v>70</v>
      </c>
      <c r="C52" s="17" t="s">
        <v>487</v>
      </c>
      <c r="D52" s="37">
        <v>0</v>
      </c>
      <c r="E52" s="52">
        <f>+IFERROR(D52/Summary!D$19,"")</f>
        <v>0</v>
      </c>
      <c r="F52" s="37">
        <v>0</v>
      </c>
      <c r="G52" s="52">
        <f>+IFERROR(F52/Summary!F$19,"")</f>
        <v>0</v>
      </c>
      <c r="H52" s="138">
        <f t="shared" ref="H52:H67" si="43">+D52-F52</f>
        <v>0</v>
      </c>
      <c r="I52" s="37">
        <v>0</v>
      </c>
      <c r="J52" s="52">
        <f>+IFERROR(I52/Summary!I$19,"")</f>
        <v>0</v>
      </c>
      <c r="K52" s="138">
        <f t="shared" ref="K52:K67" si="44">+D52-I52</f>
        <v>0</v>
      </c>
      <c r="M52" s="37">
        <v>0</v>
      </c>
      <c r="N52" s="52">
        <f>+IFERROR(M52/Summary!M$19,"")</f>
        <v>0</v>
      </c>
      <c r="O52" s="37">
        <v>0</v>
      </c>
      <c r="P52" s="52">
        <f>+IFERROR(O52/Summary!O$19,"")</f>
        <v>0</v>
      </c>
      <c r="Q52" s="138">
        <f t="shared" ref="Q52:Q67" si="45">+M52-O52</f>
        <v>0</v>
      </c>
      <c r="R52" s="37">
        <v>0</v>
      </c>
      <c r="S52" s="52">
        <f>+IFERROR(R52/Summary!R$19,"")</f>
        <v>0</v>
      </c>
      <c r="T52" s="138">
        <f t="shared" ref="T52:T67" si="46">+M52-R52</f>
        <v>0</v>
      </c>
    </row>
    <row r="53" spans="2:20" x14ac:dyDescent="0.25">
      <c r="B53" s="14" t="s">
        <v>85</v>
      </c>
      <c r="C53" s="17" t="s">
        <v>365</v>
      </c>
      <c r="D53" s="37">
        <v>44.8</v>
      </c>
      <c r="E53" s="52">
        <f>+IFERROR(D53/Summary!D$19,"")</f>
        <v>4.5092412117631567E-5</v>
      </c>
      <c r="F53" s="37">
        <v>118.75</v>
      </c>
      <c r="G53" s="52">
        <f>+IFERROR(F53/Summary!F$19,"")</f>
        <v>1.189693497385805E-4</v>
      </c>
      <c r="H53" s="138">
        <f t="shared" si="43"/>
        <v>-73.95</v>
      </c>
      <c r="I53" s="37">
        <v>126.03</v>
      </c>
      <c r="J53" s="52">
        <f>+IFERROR(I53/Summary!I$19,"")</f>
        <v>1.5242198387244068E-4</v>
      </c>
      <c r="K53" s="138">
        <f t="shared" si="44"/>
        <v>-81.23</v>
      </c>
      <c r="M53" s="37">
        <v>362.86</v>
      </c>
      <c r="N53" s="52">
        <f>+IFERROR(M53/Summary!M$19,"")</f>
        <v>4.292835863496475E-5</v>
      </c>
      <c r="O53" s="37">
        <v>712.5</v>
      </c>
      <c r="P53" s="52">
        <f>+IFERROR(O53/Summary!O$19,"")</f>
        <v>7.7940302847466115E-5</v>
      </c>
      <c r="Q53" s="138">
        <f t="shared" si="45"/>
        <v>-349.64</v>
      </c>
      <c r="R53" s="37">
        <v>587.91999999999996</v>
      </c>
      <c r="S53" s="52">
        <f>+IFERROR(R53/Summary!R$19,"")</f>
        <v>7.4834206535060507E-5</v>
      </c>
      <c r="T53" s="138">
        <f t="shared" si="46"/>
        <v>-225.05999999999995</v>
      </c>
    </row>
    <row r="54" spans="2:20" x14ac:dyDescent="0.25">
      <c r="B54" s="14" t="s">
        <v>91</v>
      </c>
      <c r="C54" s="17" t="s">
        <v>488</v>
      </c>
      <c r="D54" s="37">
        <v>4398.09</v>
      </c>
      <c r="E54" s="52">
        <f>+IFERROR(D54/Summary!D$19,"")</f>
        <v>4.4267965805900502E-3</v>
      </c>
      <c r="F54" s="37">
        <v>4195.95</v>
      </c>
      <c r="G54" s="52">
        <f>+IFERROR(F54/Summary!F$19,"")</f>
        <v>4.2037005729313416E-3</v>
      </c>
      <c r="H54" s="138">
        <f t="shared" si="43"/>
        <v>202.14000000000033</v>
      </c>
      <c r="I54" s="37">
        <v>4165.3900000000003</v>
      </c>
      <c r="J54" s="52">
        <f>+IFERROR(I54/Summary!I$19,"")</f>
        <v>5.0376656939016568E-3</v>
      </c>
      <c r="K54" s="138">
        <f t="shared" si="44"/>
        <v>232.69999999999982</v>
      </c>
      <c r="M54" s="37">
        <v>41033.800000000003</v>
      </c>
      <c r="N54" s="52">
        <f>+IFERROR(M54/Summary!M$19,"")</f>
        <v>4.8545270422626265E-3</v>
      </c>
      <c r="O54" s="37">
        <v>42694.03</v>
      </c>
      <c r="P54" s="52">
        <f>+IFERROR(O54/Summary!O$19,"")</f>
        <v>4.6702956182158644E-3</v>
      </c>
      <c r="Q54" s="138">
        <f t="shared" si="45"/>
        <v>-1660.2299999999959</v>
      </c>
      <c r="R54" s="37">
        <v>41791.51</v>
      </c>
      <c r="S54" s="52">
        <f>+IFERROR(R54/Summary!R$19,"")</f>
        <v>5.3194898808546177E-3</v>
      </c>
      <c r="T54" s="138">
        <f t="shared" si="46"/>
        <v>-757.70999999999913</v>
      </c>
    </row>
    <row r="55" spans="2:20" x14ac:dyDescent="0.25">
      <c r="B55" s="14" t="s">
        <v>111</v>
      </c>
      <c r="C55" s="17" t="s">
        <v>489</v>
      </c>
      <c r="D55" s="37">
        <v>0</v>
      </c>
      <c r="E55" s="52">
        <f>+IFERROR(D55/Summary!D$19,"")</f>
        <v>0</v>
      </c>
      <c r="F55" s="37">
        <v>0</v>
      </c>
      <c r="G55" s="52">
        <f>+IFERROR(F55/Summary!F$19,"")</f>
        <v>0</v>
      </c>
      <c r="H55" s="138">
        <f t="shared" si="43"/>
        <v>0</v>
      </c>
      <c r="I55" s="37">
        <v>0</v>
      </c>
      <c r="J55" s="52">
        <f>+IFERROR(I55/Summary!I$19,"")</f>
        <v>0</v>
      </c>
      <c r="K55" s="138">
        <f t="shared" si="44"/>
        <v>0</v>
      </c>
      <c r="M55" s="37">
        <v>0</v>
      </c>
      <c r="N55" s="52">
        <f>+IFERROR(M55/Summary!M$19,"")</f>
        <v>0</v>
      </c>
      <c r="O55" s="37">
        <v>0</v>
      </c>
      <c r="P55" s="52">
        <f>+IFERROR(O55/Summary!O$19,"")</f>
        <v>0</v>
      </c>
      <c r="Q55" s="138">
        <f t="shared" si="45"/>
        <v>0</v>
      </c>
      <c r="R55" s="37">
        <v>0</v>
      </c>
      <c r="S55" s="52">
        <f>+IFERROR(R55/Summary!R$19,"")</f>
        <v>0</v>
      </c>
      <c r="T55" s="138">
        <f t="shared" si="46"/>
        <v>0</v>
      </c>
    </row>
    <row r="56" spans="2:20" x14ac:dyDescent="0.25">
      <c r="B56" s="14" t="s">
        <v>120</v>
      </c>
      <c r="C56" s="17" t="s">
        <v>490</v>
      </c>
      <c r="D56" s="37">
        <v>0</v>
      </c>
      <c r="E56" s="52">
        <f>+IFERROR(D56/Summary!D$19,"")</f>
        <v>0</v>
      </c>
      <c r="F56" s="37">
        <v>0</v>
      </c>
      <c r="G56" s="52">
        <f>+IFERROR(F56/Summary!F$19,"")</f>
        <v>0</v>
      </c>
      <c r="H56" s="138">
        <f t="shared" si="43"/>
        <v>0</v>
      </c>
      <c r="I56" s="37">
        <v>0</v>
      </c>
      <c r="J56" s="52">
        <f>+IFERROR(I56/Summary!I$19,"")</f>
        <v>0</v>
      </c>
      <c r="K56" s="138">
        <f t="shared" si="44"/>
        <v>0</v>
      </c>
      <c r="M56" s="37">
        <v>0</v>
      </c>
      <c r="N56" s="52">
        <f>+IFERROR(M56/Summary!M$19,"")</f>
        <v>0</v>
      </c>
      <c r="O56" s="37">
        <v>0</v>
      </c>
      <c r="P56" s="52">
        <f>+IFERROR(O56/Summary!O$19,"")</f>
        <v>0</v>
      </c>
      <c r="Q56" s="138">
        <f t="shared" si="45"/>
        <v>0</v>
      </c>
      <c r="R56" s="37">
        <v>0</v>
      </c>
      <c r="S56" s="52">
        <f>+IFERROR(R56/Summary!R$19,"")</f>
        <v>0</v>
      </c>
      <c r="T56" s="138">
        <f t="shared" si="46"/>
        <v>0</v>
      </c>
    </row>
    <row r="57" spans="2:20" x14ac:dyDescent="0.25">
      <c r="B57" s="14" t="s">
        <v>124</v>
      </c>
      <c r="C57" s="17" t="s">
        <v>367</v>
      </c>
      <c r="D57" s="37">
        <v>0</v>
      </c>
      <c r="E57" s="52">
        <f>+IFERROR(D57/Summary!D$19,"")</f>
        <v>0</v>
      </c>
      <c r="F57" s="37">
        <v>0</v>
      </c>
      <c r="G57" s="52">
        <f>+IFERROR(F57/Summary!F$19,"")</f>
        <v>0</v>
      </c>
      <c r="H57" s="138">
        <f t="shared" si="43"/>
        <v>0</v>
      </c>
      <c r="I57" s="37">
        <v>0</v>
      </c>
      <c r="J57" s="52">
        <f>+IFERROR(I57/Summary!I$19,"")</f>
        <v>0</v>
      </c>
      <c r="K57" s="138">
        <f t="shared" si="44"/>
        <v>0</v>
      </c>
      <c r="M57" s="37">
        <v>0</v>
      </c>
      <c r="N57" s="52">
        <f>+IFERROR(M57/Summary!M$19,"")</f>
        <v>0</v>
      </c>
      <c r="O57" s="37">
        <v>0</v>
      </c>
      <c r="P57" s="52">
        <f>+IFERROR(O57/Summary!O$19,"")</f>
        <v>0</v>
      </c>
      <c r="Q57" s="138">
        <f t="shared" si="45"/>
        <v>0</v>
      </c>
      <c r="R57" s="37">
        <v>0</v>
      </c>
      <c r="S57" s="52">
        <f>+IFERROR(R57/Summary!R$19,"")</f>
        <v>0</v>
      </c>
      <c r="T57" s="138">
        <f t="shared" si="46"/>
        <v>0</v>
      </c>
    </row>
    <row r="58" spans="2:20" x14ac:dyDescent="0.25">
      <c r="B58" s="14" t="s">
        <v>176</v>
      </c>
      <c r="C58" s="17" t="s">
        <v>359</v>
      </c>
      <c r="D58" s="37">
        <v>0</v>
      </c>
      <c r="E58" s="52">
        <f>+IFERROR(D58/Summary!D$19,"")</f>
        <v>0</v>
      </c>
      <c r="F58" s="37">
        <v>0</v>
      </c>
      <c r="G58" s="52">
        <f>+IFERROR(F58/Summary!F$19,"")</f>
        <v>0</v>
      </c>
      <c r="H58" s="138">
        <f t="shared" si="43"/>
        <v>0</v>
      </c>
      <c r="I58" s="37">
        <v>0</v>
      </c>
      <c r="J58" s="52">
        <f>+IFERROR(I58/Summary!I$19,"")</f>
        <v>0</v>
      </c>
      <c r="K58" s="138">
        <f t="shared" si="44"/>
        <v>0</v>
      </c>
      <c r="M58" s="37">
        <v>0</v>
      </c>
      <c r="N58" s="52">
        <f>+IFERROR(M58/Summary!M$19,"")</f>
        <v>0</v>
      </c>
      <c r="O58" s="37">
        <v>0</v>
      </c>
      <c r="P58" s="52">
        <f>+IFERROR(O58/Summary!O$19,"")</f>
        <v>0</v>
      </c>
      <c r="Q58" s="138">
        <f t="shared" si="45"/>
        <v>0</v>
      </c>
      <c r="R58" s="37">
        <v>0</v>
      </c>
      <c r="S58" s="52">
        <f>+IFERROR(R58/Summary!R$19,"")</f>
        <v>0</v>
      </c>
      <c r="T58" s="138">
        <f t="shared" si="46"/>
        <v>0</v>
      </c>
    </row>
    <row r="59" spans="2:20" x14ac:dyDescent="0.25">
      <c r="B59" s="14" t="s">
        <v>193</v>
      </c>
      <c r="C59" s="17" t="s">
        <v>373</v>
      </c>
      <c r="D59" s="37">
        <v>0</v>
      </c>
      <c r="E59" s="52">
        <f>+IFERROR(D59/Summary!D$19,"")</f>
        <v>0</v>
      </c>
      <c r="F59" s="37">
        <v>0</v>
      </c>
      <c r="G59" s="52">
        <f>+IFERROR(F59/Summary!F$19,"")</f>
        <v>0</v>
      </c>
      <c r="H59" s="138">
        <f t="shared" si="43"/>
        <v>0</v>
      </c>
      <c r="I59" s="37">
        <v>0</v>
      </c>
      <c r="J59" s="52">
        <f>+IFERROR(I59/Summary!I$19,"")</f>
        <v>0</v>
      </c>
      <c r="K59" s="138">
        <f t="shared" si="44"/>
        <v>0</v>
      </c>
      <c r="M59" s="37">
        <v>0</v>
      </c>
      <c r="N59" s="52">
        <f>+IFERROR(M59/Summary!M$19,"")</f>
        <v>0</v>
      </c>
      <c r="O59" s="37">
        <v>0</v>
      </c>
      <c r="P59" s="52">
        <f>+IFERROR(O59/Summary!O$19,"")</f>
        <v>0</v>
      </c>
      <c r="Q59" s="138">
        <f t="shared" si="45"/>
        <v>0</v>
      </c>
      <c r="R59" s="37">
        <v>0</v>
      </c>
      <c r="S59" s="52">
        <f>+IFERROR(R59/Summary!R$19,"")</f>
        <v>0</v>
      </c>
      <c r="T59" s="138">
        <f t="shared" si="46"/>
        <v>0</v>
      </c>
    </row>
    <row r="60" spans="2:20" x14ac:dyDescent="0.25">
      <c r="B60" s="14" t="s">
        <v>200</v>
      </c>
      <c r="C60" s="17" t="s">
        <v>491</v>
      </c>
      <c r="D60" s="37">
        <v>0</v>
      </c>
      <c r="E60" s="52">
        <f>+IFERROR(D60/Summary!D$19,"")</f>
        <v>0</v>
      </c>
      <c r="F60" s="37">
        <v>0</v>
      </c>
      <c r="G60" s="52">
        <f>+IFERROR(F60/Summary!F$19,"")</f>
        <v>0</v>
      </c>
      <c r="H60" s="138">
        <f t="shared" si="43"/>
        <v>0</v>
      </c>
      <c r="I60" s="37">
        <v>0</v>
      </c>
      <c r="J60" s="52">
        <f>+IFERROR(I60/Summary!I$19,"")</f>
        <v>0</v>
      </c>
      <c r="K60" s="138">
        <f t="shared" si="44"/>
        <v>0</v>
      </c>
      <c r="M60" s="37">
        <v>0</v>
      </c>
      <c r="N60" s="52">
        <f>+IFERROR(M60/Summary!M$19,"")</f>
        <v>0</v>
      </c>
      <c r="O60" s="37">
        <v>0</v>
      </c>
      <c r="P60" s="52">
        <f>+IFERROR(O60/Summary!O$19,"")</f>
        <v>0</v>
      </c>
      <c r="Q60" s="138">
        <f t="shared" si="45"/>
        <v>0</v>
      </c>
      <c r="R60" s="37">
        <v>0</v>
      </c>
      <c r="S60" s="52">
        <f>+IFERROR(R60/Summary!R$19,"")</f>
        <v>0</v>
      </c>
      <c r="T60" s="138">
        <f t="shared" si="46"/>
        <v>0</v>
      </c>
    </row>
    <row r="61" spans="2:20" x14ac:dyDescent="0.25">
      <c r="B61" s="14" t="s">
        <v>243</v>
      </c>
      <c r="C61" s="17" t="s">
        <v>492</v>
      </c>
      <c r="D61" s="37">
        <v>0</v>
      </c>
      <c r="E61" s="52">
        <f>+IFERROR(D61/Summary!D$19,"")</f>
        <v>0</v>
      </c>
      <c r="F61" s="37">
        <v>0</v>
      </c>
      <c r="G61" s="52">
        <f>+IFERROR(F61/Summary!F$19,"")</f>
        <v>0</v>
      </c>
      <c r="H61" s="138">
        <f t="shared" si="43"/>
        <v>0</v>
      </c>
      <c r="I61" s="37">
        <v>0</v>
      </c>
      <c r="J61" s="52">
        <f>+IFERROR(I61/Summary!I$19,"")</f>
        <v>0</v>
      </c>
      <c r="K61" s="138">
        <f t="shared" si="44"/>
        <v>0</v>
      </c>
      <c r="M61" s="37">
        <v>0</v>
      </c>
      <c r="N61" s="52">
        <f>+IFERROR(M61/Summary!M$19,"")</f>
        <v>0</v>
      </c>
      <c r="O61" s="37">
        <v>0</v>
      </c>
      <c r="P61" s="52">
        <f>+IFERROR(O61/Summary!O$19,"")</f>
        <v>0</v>
      </c>
      <c r="Q61" s="138">
        <f t="shared" si="45"/>
        <v>0</v>
      </c>
      <c r="R61" s="37">
        <v>0</v>
      </c>
      <c r="S61" s="52">
        <f>+IFERROR(R61/Summary!R$19,"")</f>
        <v>0</v>
      </c>
      <c r="T61" s="138">
        <f t="shared" si="46"/>
        <v>0</v>
      </c>
    </row>
    <row r="62" spans="2:20" x14ac:dyDescent="0.25">
      <c r="B62" s="14" t="s">
        <v>313</v>
      </c>
      <c r="C62" s="17" t="s">
        <v>375</v>
      </c>
      <c r="D62" s="37">
        <v>0</v>
      </c>
      <c r="E62" s="52">
        <f>+IFERROR(D62/Summary!D$19,"")</f>
        <v>0</v>
      </c>
      <c r="F62" s="37">
        <v>0</v>
      </c>
      <c r="G62" s="52">
        <f>+IFERROR(F62/Summary!F$19,"")</f>
        <v>0</v>
      </c>
      <c r="H62" s="138">
        <f t="shared" si="43"/>
        <v>0</v>
      </c>
      <c r="I62" s="37">
        <v>0</v>
      </c>
      <c r="J62" s="52">
        <f>+IFERROR(I62/Summary!I$19,"")</f>
        <v>0</v>
      </c>
      <c r="K62" s="138">
        <f t="shared" si="44"/>
        <v>0</v>
      </c>
      <c r="M62" s="37">
        <v>0</v>
      </c>
      <c r="N62" s="52">
        <f>+IFERROR(M62/Summary!M$19,"")</f>
        <v>0</v>
      </c>
      <c r="O62" s="37">
        <v>0</v>
      </c>
      <c r="P62" s="52">
        <f>+IFERROR(O62/Summary!O$19,"")</f>
        <v>0</v>
      </c>
      <c r="Q62" s="138">
        <f t="shared" si="45"/>
        <v>0</v>
      </c>
      <c r="R62" s="37">
        <v>0</v>
      </c>
      <c r="S62" s="52">
        <f>+IFERROR(R62/Summary!R$19,"")</f>
        <v>0</v>
      </c>
      <c r="T62" s="138">
        <f t="shared" si="46"/>
        <v>0</v>
      </c>
    </row>
    <row r="63" spans="2:20" x14ac:dyDescent="0.25">
      <c r="B63" s="14" t="s">
        <v>325</v>
      </c>
      <c r="C63" s="17" t="s">
        <v>376</v>
      </c>
      <c r="D63" s="37">
        <v>0</v>
      </c>
      <c r="E63" s="52">
        <f>+IFERROR(D63/Summary!D$19,"")</f>
        <v>0</v>
      </c>
      <c r="F63" s="37">
        <v>0</v>
      </c>
      <c r="G63" s="52">
        <f>+IFERROR(F63/Summary!F$19,"")</f>
        <v>0</v>
      </c>
      <c r="H63" s="138">
        <f t="shared" si="43"/>
        <v>0</v>
      </c>
      <c r="I63" s="37">
        <v>0</v>
      </c>
      <c r="J63" s="52">
        <f>+IFERROR(I63/Summary!I$19,"")</f>
        <v>0</v>
      </c>
      <c r="K63" s="138">
        <f t="shared" si="44"/>
        <v>0</v>
      </c>
      <c r="M63" s="37">
        <v>0</v>
      </c>
      <c r="N63" s="52">
        <f>+IFERROR(M63/Summary!M$19,"")</f>
        <v>0</v>
      </c>
      <c r="O63" s="37">
        <v>0</v>
      </c>
      <c r="P63" s="52">
        <f>+IFERROR(O63/Summary!O$19,"")</f>
        <v>0</v>
      </c>
      <c r="Q63" s="138">
        <f t="shared" si="45"/>
        <v>0</v>
      </c>
      <c r="R63" s="37">
        <v>0</v>
      </c>
      <c r="S63" s="52">
        <f>+IFERROR(R63/Summary!R$19,"")</f>
        <v>0</v>
      </c>
      <c r="T63" s="138">
        <f t="shared" si="46"/>
        <v>0</v>
      </c>
    </row>
    <row r="64" spans="2:20" x14ac:dyDescent="0.25">
      <c r="B64" s="14" t="s">
        <v>330</v>
      </c>
      <c r="C64" s="17" t="s">
        <v>377</v>
      </c>
      <c r="D64" s="37">
        <v>0</v>
      </c>
      <c r="E64" s="52">
        <f>+IFERROR(D64/Summary!D$19,"")</f>
        <v>0</v>
      </c>
      <c r="F64" s="37">
        <v>0</v>
      </c>
      <c r="G64" s="52">
        <f>+IFERROR(F64/Summary!F$19,"")</f>
        <v>0</v>
      </c>
      <c r="H64" s="138">
        <f t="shared" si="43"/>
        <v>0</v>
      </c>
      <c r="I64" s="37">
        <v>3</v>
      </c>
      <c r="J64" s="52">
        <f>+IFERROR(I64/Summary!I$19,"")</f>
        <v>3.628230989584401E-6</v>
      </c>
      <c r="K64" s="138">
        <f t="shared" si="44"/>
        <v>-3</v>
      </c>
      <c r="M64" s="37">
        <v>0</v>
      </c>
      <c r="N64" s="52">
        <f>+IFERROR(M64/Summary!M$19,"")</f>
        <v>0</v>
      </c>
      <c r="O64" s="37">
        <v>0</v>
      </c>
      <c r="P64" s="52">
        <f>+IFERROR(O64/Summary!O$19,"")</f>
        <v>0</v>
      </c>
      <c r="Q64" s="138">
        <f t="shared" si="45"/>
        <v>0</v>
      </c>
      <c r="R64" s="37">
        <v>66.66</v>
      </c>
      <c r="S64" s="52">
        <f>+IFERROR(R64/Summary!R$19,"")</f>
        <v>8.4849098646535825E-6</v>
      </c>
      <c r="T64" s="138">
        <f t="shared" si="46"/>
        <v>-66.66</v>
      </c>
    </row>
    <row r="65" spans="2:20" x14ac:dyDescent="0.25">
      <c r="B65" s="14" t="s">
        <v>336</v>
      </c>
      <c r="C65" s="17" t="s">
        <v>378</v>
      </c>
      <c r="D65" s="37">
        <v>0</v>
      </c>
      <c r="E65" s="52">
        <f>+IFERROR(D65/Summary!D$19,"")</f>
        <v>0</v>
      </c>
      <c r="F65" s="37">
        <v>0</v>
      </c>
      <c r="G65" s="52">
        <f>+IFERROR(F65/Summary!F$19,"")</f>
        <v>0</v>
      </c>
      <c r="H65" s="138">
        <f t="shared" si="43"/>
        <v>0</v>
      </c>
      <c r="I65" s="37">
        <v>0</v>
      </c>
      <c r="J65" s="52">
        <f>+IFERROR(I65/Summary!I$19,"")</f>
        <v>0</v>
      </c>
      <c r="K65" s="138">
        <f t="shared" si="44"/>
        <v>0</v>
      </c>
      <c r="M65" s="37">
        <v>0</v>
      </c>
      <c r="N65" s="52">
        <f>+IFERROR(M65/Summary!M$19,"")</f>
        <v>0</v>
      </c>
      <c r="O65" s="37">
        <v>0</v>
      </c>
      <c r="P65" s="52">
        <f>+IFERROR(O65/Summary!O$19,"")</f>
        <v>0</v>
      </c>
      <c r="Q65" s="138">
        <f t="shared" si="45"/>
        <v>0</v>
      </c>
      <c r="R65" s="37">
        <v>0</v>
      </c>
      <c r="S65" s="52">
        <f>+IFERROR(R65/Summary!R$19,"")</f>
        <v>0</v>
      </c>
      <c r="T65" s="138">
        <f t="shared" si="46"/>
        <v>0</v>
      </c>
    </row>
    <row r="66" spans="2:20" x14ac:dyDescent="0.25">
      <c r="B66" s="14" t="s">
        <v>340</v>
      </c>
      <c r="C66" s="17" t="s">
        <v>493</v>
      </c>
      <c r="D66" s="91">
        <v>0</v>
      </c>
      <c r="E66" s="83">
        <f>+IFERROR(D66/Summary!D$19,"")</f>
        <v>0</v>
      </c>
      <c r="F66" s="91">
        <v>0</v>
      </c>
      <c r="G66" s="83">
        <f>+IFERROR(F66/Summary!F$19,"")</f>
        <v>0</v>
      </c>
      <c r="H66" s="140">
        <f t="shared" si="43"/>
        <v>0</v>
      </c>
      <c r="I66" s="37">
        <v>0</v>
      </c>
      <c r="J66" s="83">
        <f>+IFERROR(I66/Summary!I$19,"")</f>
        <v>0</v>
      </c>
      <c r="K66" s="140">
        <f t="shared" si="44"/>
        <v>0</v>
      </c>
      <c r="M66" s="91">
        <v>0</v>
      </c>
      <c r="N66" s="83">
        <f>+IFERROR(M66/Summary!M$19,"")</f>
        <v>0</v>
      </c>
      <c r="O66" s="91">
        <v>0</v>
      </c>
      <c r="P66" s="83">
        <f>+IFERROR(O66/Summary!O$19,"")</f>
        <v>0</v>
      </c>
      <c r="Q66" s="140">
        <f t="shared" si="45"/>
        <v>0</v>
      </c>
      <c r="R66" s="37">
        <v>0</v>
      </c>
      <c r="S66" s="83">
        <f>+IFERROR(R66/Summary!R$19,"")</f>
        <v>0</v>
      </c>
      <c r="T66" s="140">
        <f t="shared" si="46"/>
        <v>0</v>
      </c>
    </row>
    <row r="67" spans="2:20" x14ac:dyDescent="0.25">
      <c r="B67" s="14" t="s">
        <v>201</v>
      </c>
      <c r="C67" s="18" t="s">
        <v>425</v>
      </c>
      <c r="D67" s="92">
        <f t="shared" ref="D67:F67" si="47">SUM(D52:D66)</f>
        <v>4442.8900000000003</v>
      </c>
      <c r="E67" s="84">
        <f>+IFERROR(D67/Summary!D$19,"")</f>
        <v>4.4718889927076819E-3</v>
      </c>
      <c r="F67" s="87">
        <f t="shared" si="47"/>
        <v>4314.7</v>
      </c>
      <c r="G67" s="84">
        <f>+IFERROR(F67/Summary!F$19,"")</f>
        <v>4.3226699226699217E-3</v>
      </c>
      <c r="H67" s="141">
        <f t="shared" si="43"/>
        <v>128.19000000000051</v>
      </c>
      <c r="I67" s="87">
        <f t="shared" ref="I67" si="48">SUM(I52:I66)</f>
        <v>4294.42</v>
      </c>
      <c r="J67" s="84">
        <f>+IFERROR(I67/Summary!I$19,"")</f>
        <v>5.1937159087636813E-3</v>
      </c>
      <c r="K67" s="141">
        <f t="shared" si="44"/>
        <v>148.47000000000025</v>
      </c>
      <c r="M67" s="92">
        <f t="shared" ref="M67" si="49">SUM(M52:M66)</f>
        <v>41396.660000000003</v>
      </c>
      <c r="N67" s="84">
        <f>+IFERROR(M67/Summary!M$19,"")</f>
        <v>4.8974554008975914E-3</v>
      </c>
      <c r="O67" s="87">
        <f t="shared" ref="O67" si="50">SUM(O52:O66)</f>
        <v>43406.53</v>
      </c>
      <c r="P67" s="84">
        <f>+IFERROR(O67/Summary!O$19,"")</f>
        <v>4.7482359210633306E-3</v>
      </c>
      <c r="Q67" s="141">
        <f t="shared" si="45"/>
        <v>-2009.8699999999953</v>
      </c>
      <c r="R67" s="87">
        <f t="shared" ref="R67" si="51">SUM(R52:R66)</f>
        <v>42446.090000000004</v>
      </c>
      <c r="S67" s="84">
        <f>+IFERROR(R67/Summary!R$19,"")</f>
        <v>5.4028089972543323E-3</v>
      </c>
      <c r="T67" s="141">
        <f t="shared" si="46"/>
        <v>-1049.4300000000003</v>
      </c>
    </row>
    <row r="68" spans="2:20" x14ac:dyDescent="0.25">
      <c r="C68" s="16"/>
      <c r="D68" s="49"/>
      <c r="E68" s="32"/>
      <c r="F68" s="49"/>
      <c r="G68" s="32"/>
      <c r="H68" s="42"/>
      <c r="I68" s="49"/>
      <c r="J68" s="32"/>
      <c r="K68" s="42"/>
      <c r="M68" s="49"/>
      <c r="N68" s="32"/>
      <c r="O68" s="49"/>
      <c r="P68" s="32"/>
      <c r="Q68" s="42"/>
      <c r="R68" s="49"/>
      <c r="S68" s="32"/>
      <c r="T68" s="42"/>
    </row>
    <row r="69" spans="2:20" x14ac:dyDescent="0.25">
      <c r="B69" s="14" t="s">
        <v>284</v>
      </c>
      <c r="C69" s="18" t="s">
        <v>426</v>
      </c>
      <c r="D69" s="143">
        <f t="shared" ref="D69:F69" si="52">+D30+D49+D67</f>
        <v>13596.279999999999</v>
      </c>
      <c r="E69" s="136">
        <f>+IFERROR(D69/Summary!D$19,"")</f>
        <v>1.3685023683631958E-2</v>
      </c>
      <c r="F69" s="171">
        <f t="shared" si="52"/>
        <v>13553.029999999999</v>
      </c>
      <c r="G69" s="136">
        <f>+IFERROR(F69/Summary!F$19,"")</f>
        <v>1.3578064556526092E-2</v>
      </c>
      <c r="H69" s="132">
        <f>+D69-F69</f>
        <v>43.25</v>
      </c>
      <c r="I69" s="171">
        <f t="shared" ref="I69" si="53">+I30+I49+I67</f>
        <v>11148.060000000001</v>
      </c>
      <c r="J69" s="136">
        <f>+IFERROR(I69/Summary!I$19,"")</f>
        <v>1.3482578921915428E-2</v>
      </c>
      <c r="K69" s="132">
        <f>+D69-I69</f>
        <v>2448.2199999999975</v>
      </c>
      <c r="M69" s="143">
        <f t="shared" ref="M69" si="54">+M30+M49+M67</f>
        <v>105455.04000000001</v>
      </c>
      <c r="N69" s="136">
        <f>+IFERROR(M69/Summary!M$19,"")</f>
        <v>1.2475918472646622E-2</v>
      </c>
      <c r="O69" s="171">
        <f t="shared" ref="O69" si="55">+O30+O49+O67</f>
        <v>105758.51</v>
      </c>
      <c r="P69" s="136">
        <f>+IFERROR(O69/Summary!O$19,"")</f>
        <v>1.156891269908319E-2</v>
      </c>
      <c r="Q69" s="132">
        <f>+M69-O69</f>
        <v>-303.46999999998661</v>
      </c>
      <c r="R69" s="171">
        <f t="shared" ref="R69" si="56">+R30+R49+R67</f>
        <v>104351.26000000001</v>
      </c>
      <c r="S69" s="136">
        <f>+IFERROR(R69/Summary!R$19,"")</f>
        <v>1.3282493779823445E-2</v>
      </c>
      <c r="T69" s="132">
        <f>+M69-R69</f>
        <v>1103.7799999999988</v>
      </c>
    </row>
    <row r="70" spans="2:20" ht="15.75" thickBot="1" x14ac:dyDescent="0.3">
      <c r="C70" s="18" t="s">
        <v>427</v>
      </c>
      <c r="D70" s="144">
        <f t="shared" ref="D70" si="57">0-D69</f>
        <v>-13596.279999999999</v>
      </c>
      <c r="E70" s="214">
        <f>+IFERROR(D70/Summary!D$19,"")</f>
        <v>-1.3685023683631958E-2</v>
      </c>
      <c r="F70" s="144">
        <f t="shared" ref="F70" si="58">0-F69</f>
        <v>-13553.029999999999</v>
      </c>
      <c r="G70" s="214">
        <f>+IFERROR(F70/Summary!F$19,"")</f>
        <v>-1.3578064556526092E-2</v>
      </c>
      <c r="H70" s="133">
        <f>+D70-F70</f>
        <v>-43.25</v>
      </c>
      <c r="I70" s="144">
        <f t="shared" ref="I70" si="59">0-I69</f>
        <v>-11148.060000000001</v>
      </c>
      <c r="J70" s="214">
        <f>+IFERROR(I70/Summary!I$19,"")</f>
        <v>-1.3482578921915428E-2</v>
      </c>
      <c r="K70" s="133">
        <f>+D70-I70</f>
        <v>-2448.2199999999975</v>
      </c>
      <c r="M70" s="144">
        <f t="shared" ref="M70" si="60">0-M69</f>
        <v>-105455.04000000001</v>
      </c>
      <c r="N70" s="214">
        <f>+IFERROR(M70/Summary!M$19,"")</f>
        <v>-1.2475918472646622E-2</v>
      </c>
      <c r="O70" s="144">
        <f t="shared" ref="O70" si="61">0-O69</f>
        <v>-105758.51</v>
      </c>
      <c r="P70" s="214">
        <f>+IFERROR(O70/Summary!O$19,"")</f>
        <v>-1.156891269908319E-2</v>
      </c>
      <c r="Q70" s="133">
        <f>+M70-O70</f>
        <v>303.46999999998661</v>
      </c>
      <c r="R70" s="144">
        <f t="shared" ref="R70" si="62">0-R69</f>
        <v>-104351.26000000001</v>
      </c>
      <c r="S70" s="214">
        <f>+IFERROR(R70/Summary!R$19,"")</f>
        <v>-1.3282493779823445E-2</v>
      </c>
      <c r="T70" s="133">
        <f>+M70-R70</f>
        <v>-1103.7799999999988</v>
      </c>
    </row>
    <row r="71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3C7B-8FAE-4D9A-AB65-AF7B82B19A49}">
  <dimension ref="B1:X61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8" bestFit="1" customWidth="1"/>
    <col min="7" max="7" width="8.7109375" customWidth="1"/>
    <col min="8" max="8" width="10.28515625" bestFit="1" customWidth="1"/>
    <col min="9" max="9" width="8" bestFit="1" customWidth="1"/>
    <col min="10" max="10" width="8.7109375" customWidth="1"/>
    <col min="11" max="11" width="10.28515625" bestFit="1" customWidth="1"/>
    <col min="13" max="13" width="9" bestFit="1" customWidth="1"/>
    <col min="14" max="14" width="8.7109375" customWidth="1"/>
    <col min="15" max="15" width="9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405</v>
      </c>
      <c r="D9" s="49"/>
      <c r="E9" s="50"/>
      <c r="F9" s="180"/>
      <c r="G9" s="16"/>
      <c r="H9" s="50"/>
      <c r="I9" s="180"/>
      <c r="J9" s="16"/>
      <c r="K9" s="50"/>
      <c r="M9" s="49"/>
      <c r="N9" s="50"/>
      <c r="O9" s="180"/>
      <c r="P9" s="16"/>
      <c r="Q9" s="50"/>
      <c r="R9" s="180"/>
      <c r="S9" s="16"/>
      <c r="T9" s="50"/>
    </row>
    <row r="10" spans="2:22" x14ac:dyDescent="0.25">
      <c r="B10" s="14"/>
      <c r="C10" s="22" t="s">
        <v>406</v>
      </c>
      <c r="D10" s="49"/>
      <c r="E10" s="50"/>
      <c r="F10" s="78"/>
      <c r="G10" s="16"/>
      <c r="H10" s="50"/>
      <c r="I10" s="78"/>
      <c r="J10" s="16"/>
      <c r="K10" s="50"/>
      <c r="M10" s="49"/>
      <c r="N10" s="50"/>
      <c r="O10" s="78"/>
      <c r="P10" s="16"/>
      <c r="Q10" s="50"/>
      <c r="R10" s="78"/>
      <c r="S10" s="16"/>
      <c r="T10" s="50"/>
    </row>
    <row r="11" spans="2:22" x14ac:dyDescent="0.25">
      <c r="B11" s="14" t="s">
        <v>235</v>
      </c>
      <c r="C11" s="17" t="s">
        <v>407</v>
      </c>
      <c r="D11" s="37">
        <v>15954.59</v>
      </c>
      <c r="E11" s="52">
        <f>+IFERROR(D11/Summary!D$19,"")</f>
        <v>1.6058726505532219E-2</v>
      </c>
      <c r="F11" s="37">
        <v>25161.15</v>
      </c>
      <c r="G11" s="52">
        <f>+IFERROR(F11/Summary!F$19,"")</f>
        <v>2.5207626561472712E-2</v>
      </c>
      <c r="H11" s="138">
        <f>+D11-F11</f>
        <v>-9206.5600000000013</v>
      </c>
      <c r="I11" s="37">
        <v>21429.22</v>
      </c>
      <c r="J11" s="52">
        <f>+IFERROR(I11/Summary!I$19,"")</f>
        <v>2.5916720028873949E-2</v>
      </c>
      <c r="K11" s="138">
        <f>+D11-I11</f>
        <v>-5474.630000000001</v>
      </c>
      <c r="M11" s="37">
        <v>114272.04</v>
      </c>
      <c r="N11" s="52">
        <f>+IFERROR(M11/Summary!M$19,"")</f>
        <v>1.3519018671303083E-2</v>
      </c>
      <c r="O11" s="37">
        <v>144972.19</v>
      </c>
      <c r="P11" s="52">
        <f>+IFERROR(O11/Summary!O$19,"")</f>
        <v>1.5858493183242665E-2</v>
      </c>
      <c r="Q11" s="138">
        <f>+M11-O11</f>
        <v>-30700.150000000009</v>
      </c>
      <c r="R11" s="37">
        <v>137715.44</v>
      </c>
      <c r="S11" s="52">
        <f>+IFERROR(R11/Summary!R$19,"")</f>
        <v>1.7529299360502678E-2</v>
      </c>
      <c r="T11" s="138">
        <f>+M11-R11</f>
        <v>-23443.400000000009</v>
      </c>
    </row>
    <row r="12" spans="2:22" x14ac:dyDescent="0.25">
      <c r="C12" s="18" t="s">
        <v>408</v>
      </c>
      <c r="D12" s="37"/>
      <c r="E12" s="52">
        <f>+IFERROR(D12/Summary!D$19,"")</f>
        <v>0</v>
      </c>
      <c r="F12" s="37"/>
      <c r="G12" s="52">
        <f>+IFERROR(F12/Summary!F$19,"")</f>
        <v>0</v>
      </c>
      <c r="H12" s="167"/>
      <c r="I12" s="37"/>
      <c r="J12" s="52"/>
      <c r="K12" s="167"/>
      <c r="M12" s="37"/>
      <c r="N12" s="52">
        <f>+IFERROR(M12/Summary!M$19,"")</f>
        <v>0</v>
      </c>
      <c r="O12" s="37"/>
      <c r="P12" s="52">
        <f>+IFERROR(O12/Summary!O$19,"")</f>
        <v>0</v>
      </c>
      <c r="Q12" s="167"/>
      <c r="R12" s="37"/>
      <c r="S12" s="52"/>
      <c r="T12" s="167"/>
    </row>
    <row r="13" spans="2:22" x14ac:dyDescent="0.25">
      <c r="B13" s="14" t="s">
        <v>240</v>
      </c>
      <c r="C13" s="17" t="s">
        <v>503</v>
      </c>
      <c r="D13" s="107">
        <v>2074</v>
      </c>
      <c r="E13" s="108">
        <f>+IFERROR(D13/Summary!D$19,"")</f>
        <v>2.0875371145528542E-3</v>
      </c>
      <c r="F13" s="107">
        <v>1932.86</v>
      </c>
      <c r="G13" s="108">
        <f>+IFERROR(F13/Summary!F$19,"")</f>
        <v>1.9364302933533699E-3</v>
      </c>
      <c r="H13" s="138">
        <f t="shared" ref="H13:H23" si="0">+D13-F13</f>
        <v>141.1400000000001</v>
      </c>
      <c r="I13" s="37">
        <v>3759.25</v>
      </c>
      <c r="J13" s="108">
        <f>+IFERROR(I13/Summary!I$19,"")</f>
        <v>4.5464757825317203E-3</v>
      </c>
      <c r="K13" s="138">
        <f t="shared" ref="K13:K23" si="1">+D13-I13</f>
        <v>-1685.25</v>
      </c>
      <c r="M13" s="107">
        <v>15623.25</v>
      </c>
      <c r="N13" s="108">
        <f>+IFERROR(M13/Summary!M$19,"")</f>
        <v>1.8483174751797193E-3</v>
      </c>
      <c r="O13" s="107">
        <v>13547.92</v>
      </c>
      <c r="P13" s="108">
        <f>+IFERROR(O13/Summary!O$19,"")</f>
        <v>1.4820055968466569E-3</v>
      </c>
      <c r="Q13" s="138">
        <f t="shared" ref="Q13:Q23" si="2">+M13-O13</f>
        <v>2075.33</v>
      </c>
      <c r="R13" s="37">
        <v>22754.13</v>
      </c>
      <c r="S13" s="108">
        <f>+IFERROR(R13/Summary!R$19,"")</f>
        <v>2.8962907605552058E-3</v>
      </c>
      <c r="T13" s="138">
        <f t="shared" ref="T13:T23" si="3">+M13-R13</f>
        <v>-7130.880000000001</v>
      </c>
    </row>
    <row r="14" spans="2:22" x14ac:dyDescent="0.25">
      <c r="B14" s="14" t="s">
        <v>302</v>
      </c>
      <c r="C14" s="23" t="s">
        <v>411</v>
      </c>
      <c r="D14" s="104">
        <f t="shared" ref="D14" si="4">D11+D13</f>
        <v>18028.59</v>
      </c>
      <c r="E14" s="105">
        <f>+IFERROR(D14/Summary!D$19,"")</f>
        <v>1.8146263620085073E-2</v>
      </c>
      <c r="F14" s="104">
        <f>F11+F13</f>
        <v>27094.010000000002</v>
      </c>
      <c r="G14" s="105">
        <f>+IFERROR(F14/Summary!F$19,"")</f>
        <v>2.7144056854826085E-2</v>
      </c>
      <c r="H14" s="155">
        <f t="shared" si="0"/>
        <v>-9065.4200000000019</v>
      </c>
      <c r="I14" s="104">
        <f>I11+I13</f>
        <v>25188.47</v>
      </c>
      <c r="J14" s="105">
        <f>+IFERROR(I14/Summary!I$19,"")</f>
        <v>3.0463195811405667E-2</v>
      </c>
      <c r="K14" s="155">
        <f t="shared" si="1"/>
        <v>-7159.880000000001</v>
      </c>
      <c r="M14" s="104">
        <f t="shared" ref="M14" si="5">M11+M13</f>
        <v>129895.29</v>
      </c>
      <c r="N14" s="105">
        <f>+IFERROR(M14/Summary!M$19,"")</f>
        <v>1.5367336146482802E-2</v>
      </c>
      <c r="O14" s="104">
        <f>O11+O13</f>
        <v>158520.11000000002</v>
      </c>
      <c r="P14" s="105">
        <f>+IFERROR(O14/Summary!O$19,"")</f>
        <v>1.7340498780089322E-2</v>
      </c>
      <c r="Q14" s="155">
        <f t="shared" si="2"/>
        <v>-28624.820000000022</v>
      </c>
      <c r="R14" s="104">
        <f>R11+R13</f>
        <v>160469.57</v>
      </c>
      <c r="S14" s="105">
        <f>+IFERROR(R14/Summary!R$19,"")</f>
        <v>2.0425590121057883E-2</v>
      </c>
      <c r="T14" s="155">
        <f t="shared" si="3"/>
        <v>-30574.280000000013</v>
      </c>
    </row>
    <row r="15" spans="2:22" x14ac:dyDescent="0.25">
      <c r="B15" s="14" t="s">
        <v>677</v>
      </c>
      <c r="C15" s="17" t="s">
        <v>558</v>
      </c>
      <c r="D15" s="162">
        <v>0</v>
      </c>
      <c r="E15" s="223">
        <f>+IFERROR(D15/Summary!D$19,"")</f>
        <v>0</v>
      </c>
      <c r="F15" s="162">
        <v>0</v>
      </c>
      <c r="G15" s="223">
        <f>+IFERROR(F15/Summary!F$19,"")</f>
        <v>0</v>
      </c>
      <c r="H15" s="168">
        <f t="shared" si="0"/>
        <v>0</v>
      </c>
      <c r="I15" s="37">
        <v>0</v>
      </c>
      <c r="J15" s="223">
        <f>+IFERROR(I15/Summary!I$19,"")</f>
        <v>0</v>
      </c>
      <c r="K15" s="168">
        <f t="shared" si="1"/>
        <v>0</v>
      </c>
      <c r="M15" s="162">
        <v>0</v>
      </c>
      <c r="N15" s="223">
        <f>+IFERROR(M15/Summary!M$19,"")</f>
        <v>0</v>
      </c>
      <c r="O15" s="162">
        <v>0</v>
      </c>
      <c r="P15" s="223">
        <f>+IFERROR(O15/Summary!O$19,"")</f>
        <v>0</v>
      </c>
      <c r="Q15" s="168">
        <f t="shared" si="2"/>
        <v>0</v>
      </c>
      <c r="R15" s="37">
        <v>0</v>
      </c>
      <c r="S15" s="223">
        <f>+IFERROR(R15/Summary!R$19,"")</f>
        <v>0</v>
      </c>
      <c r="T15" s="168">
        <f t="shared" si="3"/>
        <v>0</v>
      </c>
    </row>
    <row r="16" spans="2:22" x14ac:dyDescent="0.25">
      <c r="B16" s="14" t="s">
        <v>661</v>
      </c>
      <c r="C16" s="17" t="s">
        <v>412</v>
      </c>
      <c r="D16" s="37">
        <v>770</v>
      </c>
      <c r="E16" s="52">
        <f>+IFERROR(D16/Summary!D$19,"")</f>
        <v>7.7502583327179254E-4</v>
      </c>
      <c r="F16" s="37">
        <v>3500</v>
      </c>
      <c r="G16" s="52">
        <f>+IFERROR(F16/Summary!F$19,"")</f>
        <v>3.5064650449265831E-3</v>
      </c>
      <c r="H16" s="218">
        <f t="shared" si="0"/>
        <v>-2730</v>
      </c>
      <c r="I16" s="37">
        <v>3500</v>
      </c>
      <c r="J16" s="52">
        <f>+IFERROR(I16/Summary!I$19,"")</f>
        <v>4.2329361545151347E-3</v>
      </c>
      <c r="K16" s="218">
        <f t="shared" si="1"/>
        <v>-2730</v>
      </c>
      <c r="M16" s="37">
        <v>19635</v>
      </c>
      <c r="N16" s="52">
        <f>+IFERROR(M16/Summary!M$19,"")</f>
        <v>2.3229298401519394E-3</v>
      </c>
      <c r="O16" s="37">
        <v>21000</v>
      </c>
      <c r="P16" s="52">
        <f>+IFERROR(O16/Summary!O$19,"")</f>
        <v>2.2971878733990011E-3</v>
      </c>
      <c r="Q16" s="218">
        <f t="shared" si="2"/>
        <v>-1365</v>
      </c>
      <c r="R16" s="37">
        <v>21000</v>
      </c>
      <c r="S16" s="52">
        <f>+IFERROR(R16/Summary!R$19,"")</f>
        <v>2.673013908756754E-3</v>
      </c>
      <c r="T16" s="218">
        <f t="shared" si="3"/>
        <v>-1365</v>
      </c>
    </row>
    <row r="17" spans="2:20" x14ac:dyDescent="0.25">
      <c r="B17" s="14" t="s">
        <v>251</v>
      </c>
      <c r="C17" s="17" t="s">
        <v>413</v>
      </c>
      <c r="D17" s="107">
        <v>1750.67</v>
      </c>
      <c r="E17" s="108">
        <f>+IFERROR(D17/Summary!D$19,"")</f>
        <v>1.7620967214726352E-3</v>
      </c>
      <c r="F17" s="107">
        <v>6203.73</v>
      </c>
      <c r="G17" s="108">
        <f>+IFERROR(F17/Summary!F$19,"")</f>
        <v>6.2151892551892537E-3</v>
      </c>
      <c r="H17" s="154">
        <f t="shared" si="0"/>
        <v>-4453.0599999999995</v>
      </c>
      <c r="I17" s="37">
        <v>5908.23</v>
      </c>
      <c r="J17" s="108">
        <f>+IFERROR(I17/Summary!I$19,"")</f>
        <v>7.1454743931974145E-3</v>
      </c>
      <c r="K17" s="154">
        <f t="shared" si="1"/>
        <v>-4157.5599999999995</v>
      </c>
      <c r="M17" s="107">
        <v>16156.57</v>
      </c>
      <c r="N17" s="108">
        <f>+IFERROR(M17/Summary!M$19,"")</f>
        <v>1.9114122010442385E-3</v>
      </c>
      <c r="O17" s="107">
        <v>36768.449999999997</v>
      </c>
      <c r="P17" s="108">
        <f>+IFERROR(O17/Summary!O$19,"")</f>
        <v>4.022097022079881E-3</v>
      </c>
      <c r="Q17" s="154">
        <f t="shared" si="2"/>
        <v>-20611.879999999997</v>
      </c>
      <c r="R17" s="37">
        <v>19712.23</v>
      </c>
      <c r="S17" s="108">
        <f>+IFERROR(R17/Summary!R$19,"")</f>
        <v>2.5090983315529595E-3</v>
      </c>
      <c r="T17" s="154">
        <f t="shared" si="3"/>
        <v>-3555.66</v>
      </c>
    </row>
    <row r="18" spans="2:20" x14ac:dyDescent="0.25">
      <c r="B18" s="14"/>
      <c r="C18" s="23" t="s">
        <v>414</v>
      </c>
      <c r="D18" s="104">
        <f t="shared" ref="D18" si="6">+D14+SUM(D15:D17)</f>
        <v>20549.260000000002</v>
      </c>
      <c r="E18" s="105">
        <f>+IFERROR(D18/Summary!D$19,"")</f>
        <v>2.0683386174829503E-2</v>
      </c>
      <c r="F18" s="104">
        <f t="shared" ref="F18" si="7">+F14+SUM(F15:F17)</f>
        <v>36797.740000000005</v>
      </c>
      <c r="G18" s="105">
        <f>+IFERROR(F18/Summary!F$19,"")</f>
        <v>3.6865711154941923E-2</v>
      </c>
      <c r="H18" s="155">
        <f t="shared" si="0"/>
        <v>-16248.480000000003</v>
      </c>
      <c r="I18" s="104">
        <f>+I14+SUM(I15:I17)</f>
        <v>34596.699999999997</v>
      </c>
      <c r="J18" s="105">
        <f>+IFERROR(I18/Summary!I$19,"")</f>
        <v>4.1841606359118211E-2</v>
      </c>
      <c r="K18" s="155">
        <f t="shared" si="1"/>
        <v>-14047.439999999995</v>
      </c>
      <c r="M18" s="104">
        <f t="shared" ref="M18" si="8">+M14+SUM(M15:M17)</f>
        <v>165686.85999999999</v>
      </c>
      <c r="N18" s="105">
        <f>+IFERROR(M18/Summary!M$19,"")</f>
        <v>1.9601678187678981E-2</v>
      </c>
      <c r="O18" s="104">
        <f t="shared" ref="O18" si="9">+O14+SUM(O15:O17)</f>
        <v>216288.56</v>
      </c>
      <c r="P18" s="105">
        <f>+IFERROR(O18/Summary!O$19,"")</f>
        <v>2.3659783675568202E-2</v>
      </c>
      <c r="Q18" s="155">
        <f t="shared" si="2"/>
        <v>-50601.700000000012</v>
      </c>
      <c r="R18" s="104">
        <f>+R14+SUM(R15:R17)</f>
        <v>201181.8</v>
      </c>
      <c r="S18" s="105">
        <f>+IFERROR(R18/Summary!R$19,"")</f>
        <v>2.5607702361367595E-2</v>
      </c>
      <c r="T18" s="155">
        <f t="shared" si="3"/>
        <v>-35494.94</v>
      </c>
    </row>
    <row r="19" spans="2:20" x14ac:dyDescent="0.25">
      <c r="B19" s="14" t="s">
        <v>297</v>
      </c>
      <c r="C19" s="17" t="s">
        <v>415</v>
      </c>
      <c r="D19" s="107">
        <v>1636.44</v>
      </c>
      <c r="E19" s="108">
        <f>+IFERROR(D19/Summary!D$19,"")</f>
        <v>1.6471211358432367E-3</v>
      </c>
      <c r="F19" s="107">
        <v>2652.39</v>
      </c>
      <c r="G19" s="108">
        <f>+IFERROR(F19/Summary!F$19,"")</f>
        <v>2.657289377289377E-3</v>
      </c>
      <c r="H19" s="218">
        <f t="shared" si="0"/>
        <v>-1015.9499999999998</v>
      </c>
      <c r="I19" s="37">
        <v>2316.02</v>
      </c>
      <c r="J19" s="108">
        <f>+IFERROR(I19/Summary!I$19,"")</f>
        <v>2.8010185121657549E-3</v>
      </c>
      <c r="K19" s="218">
        <f t="shared" si="1"/>
        <v>-679.57999999999993</v>
      </c>
      <c r="M19" s="107">
        <v>11007.16</v>
      </c>
      <c r="N19" s="108">
        <f>+IFERROR(M19/Summary!M$19,"")</f>
        <v>1.302208322858509E-3</v>
      </c>
      <c r="O19" s="107">
        <v>15706.76</v>
      </c>
      <c r="P19" s="108">
        <f>+IFERROR(O19/Summary!O$19,"")</f>
        <v>1.7181608858280236E-3</v>
      </c>
      <c r="Q19" s="218">
        <f t="shared" si="2"/>
        <v>-4699.6000000000004</v>
      </c>
      <c r="R19" s="37">
        <v>13297.23</v>
      </c>
      <c r="S19" s="108">
        <f>+IFERROR(R19/Summary!R$19,"")</f>
        <v>1.6925562256160749E-3</v>
      </c>
      <c r="T19" s="218">
        <f t="shared" si="3"/>
        <v>-2290.0699999999997</v>
      </c>
    </row>
    <row r="20" spans="2:20" x14ac:dyDescent="0.25">
      <c r="B20" s="14" t="s">
        <v>309</v>
      </c>
      <c r="C20" s="17" t="s">
        <v>360</v>
      </c>
      <c r="D20" s="37">
        <v>4327.6000000000004</v>
      </c>
      <c r="E20" s="52">
        <f>+IFERROR(D20/Summary!D$19,"")</f>
        <v>4.3558464883987139E-3</v>
      </c>
      <c r="F20" s="37">
        <v>2558.87</v>
      </c>
      <c r="G20" s="52">
        <f>+IFERROR(F20/Summary!F$19,"")</f>
        <v>2.5635966312889387E-3</v>
      </c>
      <c r="H20" s="218">
        <f t="shared" si="0"/>
        <v>1768.7300000000005</v>
      </c>
      <c r="I20" s="37">
        <v>1597.4</v>
      </c>
      <c r="J20" s="52">
        <f>+IFERROR(I20/Summary!I$19,"")</f>
        <v>1.9319120609207075E-3</v>
      </c>
      <c r="K20" s="218">
        <f t="shared" si="1"/>
        <v>2730.2000000000003</v>
      </c>
      <c r="M20" s="37">
        <v>17094.75</v>
      </c>
      <c r="N20" s="52">
        <f>+IFERROR(M20/Summary!M$19,"")</f>
        <v>2.0224041194264004E-3</v>
      </c>
      <c r="O20" s="37">
        <v>17261.400000000001</v>
      </c>
      <c r="P20" s="52">
        <f>+IFERROR(O20/Summary!O$19,"")</f>
        <v>1.8882227979947392E-3</v>
      </c>
      <c r="Q20" s="218">
        <f t="shared" si="2"/>
        <v>-166.65000000000146</v>
      </c>
      <c r="R20" s="37">
        <v>14486.39</v>
      </c>
      <c r="S20" s="52">
        <f>+IFERROR(R20/Summary!R$19,"")</f>
        <v>1.8439200932226073E-3</v>
      </c>
      <c r="T20" s="218">
        <f t="shared" si="3"/>
        <v>2608.3600000000006</v>
      </c>
    </row>
    <row r="21" spans="2:20" x14ac:dyDescent="0.25">
      <c r="B21" s="14" t="s">
        <v>269</v>
      </c>
      <c r="C21" s="17" t="s">
        <v>361</v>
      </c>
      <c r="D21" s="107">
        <v>2822.48</v>
      </c>
      <c r="E21" s="108">
        <f>+IFERROR(D21/Summary!D$19,"")</f>
        <v>2.8409024855752846E-3</v>
      </c>
      <c r="F21" s="107">
        <v>4849.1899999999996</v>
      </c>
      <c r="G21" s="108">
        <f>+IFERROR(F21/Summary!F$19,"")</f>
        <v>4.858147208916439E-3</v>
      </c>
      <c r="H21" s="154">
        <f t="shared" si="0"/>
        <v>-2026.7099999999996</v>
      </c>
      <c r="I21" s="37">
        <v>3502.45</v>
      </c>
      <c r="J21" s="108">
        <f>+IFERROR(I21/Summary!I$19,"")</f>
        <v>4.2358992098232946E-3</v>
      </c>
      <c r="K21" s="154">
        <f t="shared" si="1"/>
        <v>-679.9699999999998</v>
      </c>
      <c r="M21" s="107">
        <v>20783.07</v>
      </c>
      <c r="N21" s="108">
        <f>+IFERROR(M21/Summary!M$19,"")</f>
        <v>2.4587529143349413E-3</v>
      </c>
      <c r="O21" s="107">
        <v>28990.080000000002</v>
      </c>
      <c r="P21" s="108">
        <f>+IFERROR(O21/Summary!O$19,"")</f>
        <v>3.1712219154698532E-3</v>
      </c>
      <c r="Q21" s="154">
        <f t="shared" si="2"/>
        <v>-8207.010000000002</v>
      </c>
      <c r="R21" s="37">
        <v>26532.85</v>
      </c>
      <c r="S21" s="108">
        <f>+IFERROR(R21/Summary!R$19,"")</f>
        <v>3.3772703375693639E-3</v>
      </c>
      <c r="T21" s="154">
        <f t="shared" si="3"/>
        <v>-5749.7799999999988</v>
      </c>
    </row>
    <row r="22" spans="2:20" x14ac:dyDescent="0.25">
      <c r="B22" s="14" t="s">
        <v>291</v>
      </c>
      <c r="C22" s="23" t="s">
        <v>416</v>
      </c>
      <c r="D22" s="104">
        <f t="shared" ref="D22" si="10">SUM(D19:D21)</f>
        <v>8786.52</v>
      </c>
      <c r="E22" s="126">
        <f>+IFERROR(D22/Summary!D$19,"")</f>
        <v>8.8438701098172354E-3</v>
      </c>
      <c r="F22" s="104">
        <f t="shared" ref="F22" si="11">SUM(F19:F21)</f>
        <v>10060.450000000001</v>
      </c>
      <c r="G22" s="126">
        <f>+IFERROR(F22/Summary!F$19,"")</f>
        <v>1.0079033217494756E-2</v>
      </c>
      <c r="H22" s="169">
        <f t="shared" si="0"/>
        <v>-1273.9300000000003</v>
      </c>
      <c r="I22" s="104">
        <f t="shared" ref="I22" si="12">SUM(I19:I21)</f>
        <v>7415.87</v>
      </c>
      <c r="J22" s="126">
        <f>+IFERROR(I22/Summary!I$19,"")</f>
        <v>8.9688297829097572E-3</v>
      </c>
      <c r="K22" s="169">
        <f t="shared" si="1"/>
        <v>1370.6500000000005</v>
      </c>
      <c r="M22" s="104">
        <f t="shared" ref="M22" si="13">SUM(M19:M21)</f>
        <v>48884.979999999996</v>
      </c>
      <c r="N22" s="126">
        <f>+IFERROR(M22/Summary!M$19,"")</f>
        <v>5.7833653566198504E-3</v>
      </c>
      <c r="O22" s="104">
        <f t="shared" ref="O22" si="14">SUM(O19:O21)</f>
        <v>61958.240000000005</v>
      </c>
      <c r="P22" s="126">
        <f>+IFERROR(O22/Summary!O$19,"")</f>
        <v>6.7776055992926163E-3</v>
      </c>
      <c r="Q22" s="169">
        <f t="shared" si="2"/>
        <v>-13073.260000000009</v>
      </c>
      <c r="R22" s="104">
        <f t="shared" ref="R22" si="15">SUM(R19:R21)</f>
        <v>54316.47</v>
      </c>
      <c r="S22" s="126">
        <f>+IFERROR(R22/Summary!R$19,"")</f>
        <v>6.9137466564080461E-3</v>
      </c>
      <c r="T22" s="169">
        <f t="shared" si="3"/>
        <v>-5431.4900000000052</v>
      </c>
    </row>
    <row r="23" spans="2:20" x14ac:dyDescent="0.25">
      <c r="B23" s="14" t="s">
        <v>276</v>
      </c>
      <c r="C23" s="23" t="s">
        <v>417</v>
      </c>
      <c r="D23" s="92">
        <f t="shared" ref="D23" si="16">+D18+D22</f>
        <v>29335.780000000002</v>
      </c>
      <c r="E23" s="127">
        <f>+IFERROR(D23/Summary!D$19,"")</f>
        <v>2.9527256284646738E-2</v>
      </c>
      <c r="F23" s="92">
        <f t="shared" ref="F23" si="17">+F18+F22</f>
        <v>46858.19</v>
      </c>
      <c r="G23" s="127">
        <f>+IFERROR(F23/Summary!F$19,"")</f>
        <v>4.6944744372436675E-2</v>
      </c>
      <c r="H23" s="141">
        <f t="shared" si="0"/>
        <v>-17522.41</v>
      </c>
      <c r="I23" s="92">
        <f t="shared" ref="I23" si="18">+I18+I22</f>
        <v>42012.57</v>
      </c>
      <c r="J23" s="127">
        <f>+IFERROR(I23/Summary!I$19,"")</f>
        <v>5.0810436142027973E-2</v>
      </c>
      <c r="K23" s="141">
        <f t="shared" si="1"/>
        <v>-12676.789999999997</v>
      </c>
      <c r="M23" s="92">
        <f t="shared" ref="M23" si="19">+M18+M22</f>
        <v>214571.83999999997</v>
      </c>
      <c r="N23" s="127">
        <f>+IFERROR(M23/Summary!M$19,"")</f>
        <v>2.5385043544298828E-2</v>
      </c>
      <c r="O23" s="92">
        <f t="shared" ref="O23" si="20">+O18+O22</f>
        <v>278246.8</v>
      </c>
      <c r="P23" s="127">
        <f>+IFERROR(O23/Summary!O$19,"")</f>
        <v>3.043738927486082E-2</v>
      </c>
      <c r="Q23" s="141">
        <f t="shared" si="2"/>
        <v>-63674.960000000021</v>
      </c>
      <c r="R23" s="92">
        <f t="shared" ref="R23" si="21">+R18+R22</f>
        <v>255498.27</v>
      </c>
      <c r="S23" s="127">
        <f>+IFERROR(R23/Summary!R$19,"")</f>
        <v>3.2521449017775643E-2</v>
      </c>
      <c r="T23" s="141">
        <f t="shared" si="3"/>
        <v>-40926.430000000022</v>
      </c>
    </row>
    <row r="24" spans="2:20" x14ac:dyDescent="0.25">
      <c r="B24" s="14"/>
      <c r="C24" s="18"/>
      <c r="D24" s="180"/>
      <c r="E24" s="54"/>
      <c r="F24" s="278"/>
      <c r="G24" s="32"/>
      <c r="H24" s="80"/>
      <c r="I24" s="20"/>
      <c r="J24" s="32"/>
      <c r="K24" s="80"/>
      <c r="M24" s="180"/>
      <c r="N24" s="54"/>
      <c r="O24" s="278"/>
      <c r="P24" s="32"/>
      <c r="Q24" s="80"/>
      <c r="R24" s="20"/>
      <c r="S24" s="32"/>
      <c r="T24" s="80"/>
    </row>
    <row r="25" spans="2:20" x14ac:dyDescent="0.25">
      <c r="B25" s="14"/>
      <c r="C25" s="15" t="s">
        <v>51</v>
      </c>
      <c r="D25" s="49"/>
      <c r="E25" s="215"/>
      <c r="F25" s="78"/>
      <c r="G25" s="100"/>
      <c r="H25" s="102"/>
      <c r="I25" s="16"/>
      <c r="J25" s="100"/>
      <c r="K25" s="102"/>
      <c r="M25" s="49"/>
      <c r="N25" s="215"/>
      <c r="O25" s="78"/>
      <c r="P25" s="100"/>
      <c r="Q25" s="102"/>
      <c r="R25" s="16"/>
      <c r="S25" s="100"/>
      <c r="T25" s="102"/>
    </row>
    <row r="26" spans="2:20" x14ac:dyDescent="0.25">
      <c r="B26" s="14" t="s">
        <v>71</v>
      </c>
      <c r="C26" s="17" t="s">
        <v>487</v>
      </c>
      <c r="D26" s="37">
        <v>0</v>
      </c>
      <c r="E26" s="52">
        <f>+IFERROR(D26/Summary!D$19,"")</f>
        <v>0</v>
      </c>
      <c r="F26" s="37">
        <v>0</v>
      </c>
      <c r="G26" s="52">
        <f>+IFERROR(F26/Summary!F$19,"")</f>
        <v>0</v>
      </c>
      <c r="H26" s="138">
        <f t="shared" ref="H26:H57" si="22">+D26-F26</f>
        <v>0</v>
      </c>
      <c r="I26" s="37">
        <v>0</v>
      </c>
      <c r="J26" s="52">
        <f>+IFERROR(I26/Summary!I$19,"")</f>
        <v>0</v>
      </c>
      <c r="K26" s="138">
        <f t="shared" ref="K26:K57" si="23">+D26-I26</f>
        <v>0</v>
      </c>
      <c r="M26" s="37">
        <v>0</v>
      </c>
      <c r="N26" s="52">
        <f>+IFERROR(M26/Summary!M$19,"")</f>
        <v>0</v>
      </c>
      <c r="O26" s="37">
        <v>0</v>
      </c>
      <c r="P26" s="52">
        <f>+IFERROR(O26/Summary!O$19,"")</f>
        <v>0</v>
      </c>
      <c r="Q26" s="138">
        <f t="shared" ref="Q26:Q57" si="24">+M26-O26</f>
        <v>0</v>
      </c>
      <c r="R26" s="37">
        <v>0</v>
      </c>
      <c r="S26" s="52">
        <f>+IFERROR(R26/Summary!R$19,"")</f>
        <v>0</v>
      </c>
      <c r="T26" s="138">
        <f t="shared" ref="T26:T57" si="25">+M26-R26</f>
        <v>0</v>
      </c>
    </row>
    <row r="27" spans="2:20" x14ac:dyDescent="0.25">
      <c r="B27" s="14" t="s">
        <v>105</v>
      </c>
      <c r="C27" s="17" t="s">
        <v>366</v>
      </c>
      <c r="D27" s="37">
        <v>0</v>
      </c>
      <c r="E27" s="52">
        <f>+IFERROR(D27/Summary!D$19,"")</f>
        <v>0</v>
      </c>
      <c r="F27" s="37">
        <v>0</v>
      </c>
      <c r="G27" s="52">
        <f>+IFERROR(F27/Summary!F$19,"")</f>
        <v>0</v>
      </c>
      <c r="H27" s="138">
        <f t="shared" si="22"/>
        <v>0</v>
      </c>
      <c r="I27" s="37">
        <v>0</v>
      </c>
      <c r="J27" s="52">
        <f>+IFERROR(I27/Summary!I$19,"")</f>
        <v>0</v>
      </c>
      <c r="K27" s="138">
        <f t="shared" si="23"/>
        <v>0</v>
      </c>
      <c r="M27" s="37">
        <v>0</v>
      </c>
      <c r="N27" s="52">
        <f>+IFERROR(M27/Summary!M$19,"")</f>
        <v>0</v>
      </c>
      <c r="O27" s="37">
        <v>0</v>
      </c>
      <c r="P27" s="52">
        <f>+IFERROR(O27/Summary!O$19,"")</f>
        <v>0</v>
      </c>
      <c r="Q27" s="138">
        <f t="shared" si="24"/>
        <v>0</v>
      </c>
      <c r="R27" s="37">
        <v>0</v>
      </c>
      <c r="S27" s="52">
        <f>+IFERROR(R27/Summary!R$19,"")</f>
        <v>0</v>
      </c>
      <c r="T27" s="138">
        <f t="shared" si="25"/>
        <v>0</v>
      </c>
    </row>
    <row r="28" spans="2:20" x14ac:dyDescent="0.25">
      <c r="B28" s="14" t="s">
        <v>112</v>
      </c>
      <c r="C28" s="17" t="s">
        <v>432</v>
      </c>
      <c r="D28" s="37">
        <v>4415.38</v>
      </c>
      <c r="E28" s="52">
        <f>+IFERROR(D28/Summary!D$19,"")</f>
        <v>4.4441994333916978E-3</v>
      </c>
      <c r="F28" s="37">
        <v>4265</v>
      </c>
      <c r="G28" s="52">
        <f>+IFERROR(F28/Summary!F$19,"")</f>
        <v>4.2728781190319648E-3</v>
      </c>
      <c r="H28" s="138">
        <f t="shared" si="22"/>
        <v>150.38000000000011</v>
      </c>
      <c r="I28" s="37">
        <v>4011.66</v>
      </c>
      <c r="J28" s="52">
        <f>+IFERROR(I28/Summary!I$19,"")</f>
        <v>4.8517430438920527E-3</v>
      </c>
      <c r="K28" s="138">
        <f t="shared" si="23"/>
        <v>403.72000000000025</v>
      </c>
      <c r="M28" s="37">
        <v>19496.55</v>
      </c>
      <c r="N28" s="52">
        <f>+IFERROR(M28/Summary!M$19,"")</f>
        <v>2.3065504341743975E-3</v>
      </c>
      <c r="O28" s="37">
        <v>20090</v>
      </c>
      <c r="P28" s="52">
        <f>+IFERROR(O28/Summary!O$19,"")</f>
        <v>2.1976430655517112E-3</v>
      </c>
      <c r="Q28" s="138">
        <f t="shared" si="24"/>
        <v>-593.45000000000073</v>
      </c>
      <c r="R28" s="37">
        <v>16818.810000000001</v>
      </c>
      <c r="S28" s="52">
        <f>+IFERROR(R28/Summary!R$19,"")</f>
        <v>2.1408053837493899E-3</v>
      </c>
      <c r="T28" s="138">
        <f t="shared" si="25"/>
        <v>2677.739999999998</v>
      </c>
    </row>
    <row r="29" spans="2:20" x14ac:dyDescent="0.25">
      <c r="B29" s="14" t="s">
        <v>121</v>
      </c>
      <c r="C29" s="17" t="s">
        <v>467</v>
      </c>
      <c r="D29" s="37">
        <v>0</v>
      </c>
      <c r="E29" s="52">
        <f>+IFERROR(D29/Summary!D$19,"")</f>
        <v>0</v>
      </c>
      <c r="F29" s="37">
        <v>0</v>
      </c>
      <c r="G29" s="52">
        <f>+IFERROR(F29/Summary!F$19,"")</f>
        <v>0</v>
      </c>
      <c r="H29" s="138">
        <f t="shared" si="22"/>
        <v>0</v>
      </c>
      <c r="I29" s="37">
        <v>0</v>
      </c>
      <c r="J29" s="52">
        <f>+IFERROR(I29/Summary!I$19,"")</f>
        <v>0</v>
      </c>
      <c r="K29" s="138">
        <f t="shared" si="23"/>
        <v>0</v>
      </c>
      <c r="M29" s="37">
        <v>0</v>
      </c>
      <c r="N29" s="52">
        <f>+IFERROR(M29/Summary!M$19,"")</f>
        <v>0</v>
      </c>
      <c r="O29" s="37">
        <v>0</v>
      </c>
      <c r="P29" s="52">
        <f>+IFERROR(O29/Summary!O$19,"")</f>
        <v>0</v>
      </c>
      <c r="Q29" s="138">
        <f t="shared" si="24"/>
        <v>0</v>
      </c>
      <c r="R29" s="37">
        <v>0</v>
      </c>
      <c r="S29" s="52">
        <f>+IFERROR(R29/Summary!R$19,"")</f>
        <v>0</v>
      </c>
      <c r="T29" s="138">
        <f t="shared" si="25"/>
        <v>0</v>
      </c>
    </row>
    <row r="30" spans="2:20" x14ac:dyDescent="0.25">
      <c r="B30" s="14" t="s">
        <v>125</v>
      </c>
      <c r="C30" s="17" t="s">
        <v>367</v>
      </c>
      <c r="D30" s="37">
        <v>856.4</v>
      </c>
      <c r="E30" s="52">
        <f>+IFERROR(D30/Summary!D$19,"")</f>
        <v>8.6198977092722491E-4</v>
      </c>
      <c r="F30" s="37">
        <v>0</v>
      </c>
      <c r="G30" s="52">
        <f>+IFERROR(F30/Summary!F$19,"")</f>
        <v>0</v>
      </c>
      <c r="H30" s="138">
        <f t="shared" si="22"/>
        <v>856.4</v>
      </c>
      <c r="I30" s="37">
        <v>0</v>
      </c>
      <c r="J30" s="52">
        <f>+IFERROR(I30/Summary!I$19,"")</f>
        <v>0</v>
      </c>
      <c r="K30" s="138">
        <f t="shared" si="23"/>
        <v>856.4</v>
      </c>
      <c r="M30" s="37">
        <v>3912.4</v>
      </c>
      <c r="N30" s="52">
        <f>+IFERROR(M30/Summary!M$19,"")</f>
        <v>4.6285870672831418E-4</v>
      </c>
      <c r="O30" s="37">
        <v>0</v>
      </c>
      <c r="P30" s="52">
        <f>+IFERROR(O30/Summary!O$19,"")</f>
        <v>0</v>
      </c>
      <c r="Q30" s="138">
        <f t="shared" si="24"/>
        <v>3912.4</v>
      </c>
      <c r="R30" s="37">
        <v>3360.2</v>
      </c>
      <c r="S30" s="52">
        <f>+IFERROR(R30/Summary!R$19,"")</f>
        <v>4.2770768267640211E-4</v>
      </c>
      <c r="T30" s="138">
        <f t="shared" si="25"/>
        <v>552.20000000000027</v>
      </c>
    </row>
    <row r="31" spans="2:20" x14ac:dyDescent="0.25">
      <c r="B31" s="14" t="s">
        <v>127</v>
      </c>
      <c r="C31" s="17" t="s">
        <v>504</v>
      </c>
      <c r="D31" s="37">
        <v>0</v>
      </c>
      <c r="E31" s="52">
        <f>+IFERROR(D31/Summary!D$19,"")</f>
        <v>0</v>
      </c>
      <c r="F31" s="37">
        <v>0</v>
      </c>
      <c r="G31" s="52">
        <f>+IFERROR(F31/Summary!F$19,"")</f>
        <v>0</v>
      </c>
      <c r="H31" s="138">
        <f t="shared" si="22"/>
        <v>0</v>
      </c>
      <c r="I31" s="37">
        <v>0</v>
      </c>
      <c r="J31" s="52">
        <f>+IFERROR(I31/Summary!I$19,"")</f>
        <v>0</v>
      </c>
      <c r="K31" s="138">
        <f t="shared" si="23"/>
        <v>0</v>
      </c>
      <c r="M31" s="37">
        <v>0</v>
      </c>
      <c r="N31" s="52">
        <f>+IFERROR(M31/Summary!M$19,"")</f>
        <v>0</v>
      </c>
      <c r="O31" s="37">
        <v>0</v>
      </c>
      <c r="P31" s="52">
        <f>+IFERROR(O31/Summary!O$19,"")</f>
        <v>0</v>
      </c>
      <c r="Q31" s="138">
        <f t="shared" si="24"/>
        <v>0</v>
      </c>
      <c r="R31" s="37">
        <v>0</v>
      </c>
      <c r="S31" s="52">
        <f>+IFERROR(R31/Summary!R$19,"")</f>
        <v>0</v>
      </c>
      <c r="T31" s="138">
        <f t="shared" si="25"/>
        <v>0</v>
      </c>
    </row>
    <row r="32" spans="2:20" x14ac:dyDescent="0.25">
      <c r="B32" s="14" t="s">
        <v>215</v>
      </c>
      <c r="C32" s="17" t="s">
        <v>418</v>
      </c>
      <c r="D32" s="37">
        <v>0</v>
      </c>
      <c r="E32" s="52">
        <f>+IFERROR(D32/Summary!D$19,"")</f>
        <v>0</v>
      </c>
      <c r="F32" s="37">
        <v>0</v>
      </c>
      <c r="G32" s="52">
        <f>+IFERROR(F32/Summary!F$19,"")</f>
        <v>0</v>
      </c>
      <c r="H32" s="138">
        <f t="shared" si="22"/>
        <v>0</v>
      </c>
      <c r="I32" s="37">
        <v>0</v>
      </c>
      <c r="J32" s="52">
        <f>+IFERROR(I32/Summary!I$19,"")</f>
        <v>0</v>
      </c>
      <c r="K32" s="138">
        <f t="shared" si="23"/>
        <v>0</v>
      </c>
      <c r="M32" s="37">
        <v>0</v>
      </c>
      <c r="N32" s="52">
        <f>+IFERROR(M32/Summary!M$19,"")</f>
        <v>0</v>
      </c>
      <c r="O32" s="37">
        <v>12</v>
      </c>
      <c r="P32" s="52">
        <f>+IFERROR(O32/Summary!O$19,"")</f>
        <v>1.3126787847994293E-6</v>
      </c>
      <c r="Q32" s="138">
        <f t="shared" si="24"/>
        <v>-12</v>
      </c>
      <c r="R32" s="37">
        <v>0</v>
      </c>
      <c r="S32" s="52">
        <f>+IFERROR(R32/Summary!R$19,"")</f>
        <v>0</v>
      </c>
      <c r="T32" s="138">
        <f t="shared" si="25"/>
        <v>0</v>
      </c>
    </row>
    <row r="33" spans="2:20" x14ac:dyDescent="0.25">
      <c r="B33" s="14" t="s">
        <v>218</v>
      </c>
      <c r="C33" s="17" t="s">
        <v>419</v>
      </c>
      <c r="D33" s="37">
        <v>0</v>
      </c>
      <c r="E33" s="52">
        <f>+IFERROR(D33/Summary!D$19,"")</f>
        <v>0</v>
      </c>
      <c r="F33" s="37">
        <v>0</v>
      </c>
      <c r="G33" s="52">
        <f>+IFERROR(F33/Summary!F$19,"")</f>
        <v>0</v>
      </c>
      <c r="H33" s="138">
        <f t="shared" si="22"/>
        <v>0</v>
      </c>
      <c r="I33" s="37">
        <v>0</v>
      </c>
      <c r="J33" s="52">
        <f>+IFERROR(I33/Summary!I$19,"")</f>
        <v>0</v>
      </c>
      <c r="K33" s="138">
        <f t="shared" si="23"/>
        <v>0</v>
      </c>
      <c r="M33" s="37">
        <v>0</v>
      </c>
      <c r="N33" s="52">
        <f>+IFERROR(M33/Summary!M$19,"")</f>
        <v>0</v>
      </c>
      <c r="O33" s="37">
        <v>0</v>
      </c>
      <c r="P33" s="52">
        <f>+IFERROR(O33/Summary!O$19,"")</f>
        <v>0</v>
      </c>
      <c r="Q33" s="138">
        <f t="shared" si="24"/>
        <v>0</v>
      </c>
      <c r="R33" s="37">
        <v>0</v>
      </c>
      <c r="S33" s="52">
        <f>+IFERROR(R33/Summary!R$19,"")</f>
        <v>0</v>
      </c>
      <c r="T33" s="138">
        <f t="shared" si="25"/>
        <v>0</v>
      </c>
    </row>
    <row r="34" spans="2:20" x14ac:dyDescent="0.25">
      <c r="B34" s="14" t="s">
        <v>194</v>
      </c>
      <c r="C34" s="17" t="s">
        <v>373</v>
      </c>
      <c r="D34" s="37">
        <v>0</v>
      </c>
      <c r="E34" s="52">
        <f>+IFERROR(D34/Summary!D$19,"")</f>
        <v>0</v>
      </c>
      <c r="F34" s="37">
        <v>0</v>
      </c>
      <c r="G34" s="52">
        <f>+IFERROR(F34/Summary!F$19,"")</f>
        <v>0</v>
      </c>
      <c r="H34" s="138">
        <f t="shared" si="22"/>
        <v>0</v>
      </c>
      <c r="I34" s="37">
        <v>0</v>
      </c>
      <c r="J34" s="52">
        <f>+IFERROR(I34/Summary!I$19,"")</f>
        <v>0</v>
      </c>
      <c r="K34" s="138">
        <f t="shared" si="23"/>
        <v>0</v>
      </c>
      <c r="M34" s="37">
        <v>104.82</v>
      </c>
      <c r="N34" s="52">
        <f>+IFERROR(M34/Summary!M$19,"")</f>
        <v>1.240078970434053E-5</v>
      </c>
      <c r="O34" s="37">
        <v>66</v>
      </c>
      <c r="P34" s="52">
        <f>+IFERROR(O34/Summary!O$19,"")</f>
        <v>7.219733316396861E-6</v>
      </c>
      <c r="Q34" s="138">
        <f t="shared" si="24"/>
        <v>38.819999999999993</v>
      </c>
      <c r="R34" s="37">
        <v>-33.409999999999997</v>
      </c>
      <c r="S34" s="52">
        <f>+IFERROR(R34/Summary!R$19,"")</f>
        <v>-4.2526378424553882E-6</v>
      </c>
      <c r="T34" s="138">
        <f t="shared" si="25"/>
        <v>138.22999999999999</v>
      </c>
    </row>
    <row r="35" spans="2:20" x14ac:dyDescent="0.25">
      <c r="B35" s="14" t="s">
        <v>86</v>
      </c>
      <c r="C35" s="17" t="s">
        <v>365</v>
      </c>
      <c r="D35" s="37">
        <v>429</v>
      </c>
      <c r="E35" s="52">
        <f>+IFERROR(D35/Summary!D$19,"")</f>
        <v>4.3180010710857015E-4</v>
      </c>
      <c r="F35" s="37">
        <v>519</v>
      </c>
      <c r="G35" s="52">
        <f>+IFERROR(F35/Summary!F$19,"")</f>
        <v>5.1995867380482763E-4</v>
      </c>
      <c r="H35" s="138">
        <f t="shared" si="22"/>
        <v>-90</v>
      </c>
      <c r="I35" s="37">
        <v>429.65</v>
      </c>
      <c r="J35" s="52">
        <f>+IFERROR(I35/Summary!I$19,"")</f>
        <v>5.1962314822497926E-4</v>
      </c>
      <c r="K35" s="138">
        <f t="shared" si="23"/>
        <v>-0.64999999999997726</v>
      </c>
      <c r="M35" s="37">
        <v>1985.96</v>
      </c>
      <c r="N35" s="52">
        <f>+IFERROR(M35/Summary!M$19,"")</f>
        <v>2.3495012708674032E-4</v>
      </c>
      <c r="O35" s="37">
        <v>3714</v>
      </c>
      <c r="P35" s="52">
        <f>+IFERROR(O35/Summary!O$19,"")</f>
        <v>4.0627408389542336E-4</v>
      </c>
      <c r="Q35" s="138">
        <f t="shared" si="24"/>
        <v>-1728.04</v>
      </c>
      <c r="R35" s="37">
        <v>3221.13</v>
      </c>
      <c r="S35" s="52">
        <f>+IFERROR(R35/Summary!R$19,"")</f>
        <v>4.1000596628160206E-4</v>
      </c>
      <c r="T35" s="138">
        <f t="shared" si="25"/>
        <v>-1235.17</v>
      </c>
    </row>
    <row r="36" spans="2:20" x14ac:dyDescent="0.25">
      <c r="B36" s="14" t="s">
        <v>331</v>
      </c>
      <c r="C36" s="17" t="s">
        <v>377</v>
      </c>
      <c r="D36" s="37">
        <v>516.76</v>
      </c>
      <c r="E36" s="52">
        <f>+IFERROR(D36/Summary!D$19,"")</f>
        <v>5.2013292156043059E-4</v>
      </c>
      <c r="F36" s="37">
        <v>0</v>
      </c>
      <c r="G36" s="52">
        <f>+IFERROR(F36/Summary!F$19,"")</f>
        <v>0</v>
      </c>
      <c r="H36" s="138">
        <f t="shared" si="22"/>
        <v>516.76</v>
      </c>
      <c r="I36" s="37">
        <v>-441.36</v>
      </c>
      <c r="J36" s="52">
        <f>+IFERROR(I36/Summary!I$19,"")</f>
        <v>-5.3378534318765706E-4</v>
      </c>
      <c r="K36" s="138">
        <f t="shared" si="23"/>
        <v>958.12</v>
      </c>
      <c r="M36" s="37">
        <v>1970.53</v>
      </c>
      <c r="N36" s="52">
        <f>+IFERROR(M36/Summary!M$19,"")</f>
        <v>2.3312467216269933E-4</v>
      </c>
      <c r="O36" s="37">
        <v>2300</v>
      </c>
      <c r="P36" s="52">
        <f>+IFERROR(O36/Summary!O$19,"")</f>
        <v>2.5159676708655729E-4</v>
      </c>
      <c r="Q36" s="138">
        <f t="shared" si="24"/>
        <v>-329.47</v>
      </c>
      <c r="R36" s="37">
        <v>4063.96</v>
      </c>
      <c r="S36" s="52">
        <f>+IFERROR(R36/Summary!R$19,"")</f>
        <v>5.1728674307767138E-4</v>
      </c>
      <c r="T36" s="138">
        <f t="shared" si="25"/>
        <v>-2093.4300000000003</v>
      </c>
    </row>
    <row r="37" spans="2:20" x14ac:dyDescent="0.25">
      <c r="B37" s="14" t="s">
        <v>326</v>
      </c>
      <c r="C37" s="17" t="s">
        <v>376</v>
      </c>
      <c r="D37" s="37">
        <v>-30.01</v>
      </c>
      <c r="E37" s="52">
        <f>+IFERROR(D37/Summary!D$19,"")</f>
        <v>-3.020587695647597E-5</v>
      </c>
      <c r="F37" s="37">
        <v>200</v>
      </c>
      <c r="G37" s="52">
        <f>+IFERROR(F37/Summary!F$19,"")</f>
        <v>2.0036943113866187E-4</v>
      </c>
      <c r="H37" s="138">
        <f t="shared" si="22"/>
        <v>-230.01</v>
      </c>
      <c r="I37" s="37">
        <v>311.77</v>
      </c>
      <c r="J37" s="52">
        <f>+IFERROR(I37/Summary!I$19,"")</f>
        <v>3.7705785854090957E-4</v>
      </c>
      <c r="K37" s="138">
        <f t="shared" si="23"/>
        <v>-341.78</v>
      </c>
      <c r="M37" s="37">
        <v>979.13</v>
      </c>
      <c r="N37" s="52">
        <f>+IFERROR(M37/Summary!M$19,"")</f>
        <v>1.1583653141777279E-4</v>
      </c>
      <c r="O37" s="37">
        <v>1800</v>
      </c>
      <c r="P37" s="52">
        <f>+IFERROR(O37/Summary!O$19,"")</f>
        <v>1.9690181771991438E-4</v>
      </c>
      <c r="Q37" s="138">
        <f t="shared" si="24"/>
        <v>-820.87</v>
      </c>
      <c r="R37" s="37">
        <v>1561.63</v>
      </c>
      <c r="S37" s="52">
        <f>+IFERROR(R37/Summary!R$19,"")</f>
        <v>1.9877422430151476E-4</v>
      </c>
      <c r="T37" s="138">
        <f t="shared" si="25"/>
        <v>-582.50000000000011</v>
      </c>
    </row>
    <row r="38" spans="2:20" x14ac:dyDescent="0.25">
      <c r="B38" s="14" t="s">
        <v>80</v>
      </c>
      <c r="C38" s="17" t="s">
        <v>364</v>
      </c>
      <c r="D38" s="37">
        <v>389.9</v>
      </c>
      <c r="E38" s="52">
        <f>+IFERROR(D38/Summary!D$19,"")</f>
        <v>3.9244489921126224E-4</v>
      </c>
      <c r="F38" s="37">
        <v>300</v>
      </c>
      <c r="G38" s="52">
        <f>+IFERROR(F38/Summary!F$19,"")</f>
        <v>3.0055414670799284E-4</v>
      </c>
      <c r="H38" s="138">
        <f t="shared" si="22"/>
        <v>89.899999999999977</v>
      </c>
      <c r="I38" s="37">
        <v>2848.81</v>
      </c>
      <c r="J38" s="52">
        <f>+IFERROR(I38/Summary!I$19,"")</f>
        <v>3.4453802418126459E-3</v>
      </c>
      <c r="K38" s="138">
        <f t="shared" si="23"/>
        <v>-2458.91</v>
      </c>
      <c r="M38" s="37">
        <v>4763.92</v>
      </c>
      <c r="N38" s="52">
        <f>+IFERROR(M38/Summary!M$19,"")</f>
        <v>5.6359826453255049E-4</v>
      </c>
      <c r="O38" s="37">
        <v>4252</v>
      </c>
      <c r="P38" s="52">
        <f>+IFERROR(O38/Summary!O$19,"")</f>
        <v>4.6512584941393111E-4</v>
      </c>
      <c r="Q38" s="138">
        <f t="shared" si="24"/>
        <v>511.92000000000007</v>
      </c>
      <c r="R38" s="37">
        <v>4861.5</v>
      </c>
      <c r="S38" s="52">
        <f>+IFERROR(R38/Summary!R$19,"")</f>
        <v>6.1880271987718857E-4</v>
      </c>
      <c r="T38" s="138">
        <f t="shared" si="25"/>
        <v>-97.579999999999927</v>
      </c>
    </row>
    <row r="39" spans="2:20" x14ac:dyDescent="0.25">
      <c r="B39" s="14" t="s">
        <v>314</v>
      </c>
      <c r="C39" s="17" t="s">
        <v>375</v>
      </c>
      <c r="D39" s="37">
        <v>597.59</v>
      </c>
      <c r="E39" s="52">
        <f>+IFERROR(D39/Summary!D$19,"")</f>
        <v>6.0149050351284491E-4</v>
      </c>
      <c r="F39" s="37">
        <v>0</v>
      </c>
      <c r="G39" s="52">
        <f>+IFERROR(F39/Summary!F$19,"")</f>
        <v>0</v>
      </c>
      <c r="H39" s="138">
        <f t="shared" si="22"/>
        <v>597.59</v>
      </c>
      <c r="I39" s="37">
        <v>0</v>
      </c>
      <c r="J39" s="52">
        <f>+IFERROR(I39/Summary!I$19,"")</f>
        <v>0</v>
      </c>
      <c r="K39" s="138">
        <f t="shared" si="23"/>
        <v>597.59</v>
      </c>
      <c r="M39" s="37">
        <v>597.59</v>
      </c>
      <c r="N39" s="52">
        <f>+IFERROR(M39/Summary!M$19,"")</f>
        <v>7.0698224760702705E-5</v>
      </c>
      <c r="O39" s="37">
        <v>0</v>
      </c>
      <c r="P39" s="52">
        <f>+IFERROR(O39/Summary!O$19,"")</f>
        <v>0</v>
      </c>
      <c r="Q39" s="138">
        <f t="shared" si="24"/>
        <v>597.59</v>
      </c>
      <c r="R39" s="37">
        <v>0</v>
      </c>
      <c r="S39" s="52">
        <f>+IFERROR(R39/Summary!R$19,"")</f>
        <v>0</v>
      </c>
      <c r="T39" s="138">
        <f t="shared" si="25"/>
        <v>597.59</v>
      </c>
    </row>
    <row r="40" spans="2:20" x14ac:dyDescent="0.25">
      <c r="B40" s="14" t="s">
        <v>341</v>
      </c>
      <c r="C40" s="17" t="s">
        <v>421</v>
      </c>
      <c r="D40" s="37">
        <v>69.33</v>
      </c>
      <c r="E40" s="52">
        <f>+IFERROR(D40/Summary!D$19,"")</f>
        <v>6.9782520806147249E-5</v>
      </c>
      <c r="F40" s="37">
        <v>99.33</v>
      </c>
      <c r="G40" s="52">
        <f>+IFERROR(F40/Summary!F$19,"")</f>
        <v>9.9513477975016426E-5</v>
      </c>
      <c r="H40" s="138">
        <f t="shared" si="22"/>
        <v>-30</v>
      </c>
      <c r="I40" s="37">
        <v>114.71</v>
      </c>
      <c r="J40" s="52">
        <f>+IFERROR(I40/Summary!I$19,"")</f>
        <v>1.3873145893840888E-4</v>
      </c>
      <c r="K40" s="138">
        <f t="shared" si="23"/>
        <v>-45.379999999999995</v>
      </c>
      <c r="M40" s="37">
        <v>486.82</v>
      </c>
      <c r="N40" s="52">
        <f>+IFERROR(M40/Summary!M$19,"")</f>
        <v>5.7593516922982794E-5</v>
      </c>
      <c r="O40" s="37">
        <v>595.98</v>
      </c>
      <c r="P40" s="52">
        <f>+IFERROR(O40/Summary!O$19,"")</f>
        <v>6.5194191847063653E-5</v>
      </c>
      <c r="Q40" s="138">
        <f t="shared" si="24"/>
        <v>-109.16000000000003</v>
      </c>
      <c r="R40" s="37">
        <v>748.16</v>
      </c>
      <c r="S40" s="52">
        <f>+IFERROR(R40/Summary!R$19,"")</f>
        <v>9.523057552264062E-5</v>
      </c>
      <c r="T40" s="138">
        <f t="shared" si="25"/>
        <v>-261.33999999999997</v>
      </c>
    </row>
    <row r="41" spans="2:20" x14ac:dyDescent="0.25">
      <c r="B41" s="14" t="s">
        <v>92</v>
      </c>
      <c r="C41" s="17" t="s">
        <v>423</v>
      </c>
      <c r="D41" s="37">
        <v>0</v>
      </c>
      <c r="E41" s="52">
        <f>+IFERROR(D41/Summary!D$19,"")</f>
        <v>0</v>
      </c>
      <c r="F41" s="37">
        <v>0</v>
      </c>
      <c r="G41" s="52">
        <f>+IFERROR(F41/Summary!F$19,"")</f>
        <v>0</v>
      </c>
      <c r="H41" s="138">
        <f t="shared" si="22"/>
        <v>0</v>
      </c>
      <c r="I41" s="37">
        <v>0</v>
      </c>
      <c r="J41" s="52">
        <f>+IFERROR(I41/Summary!I$19,"")</f>
        <v>0</v>
      </c>
      <c r="K41" s="138">
        <f t="shared" si="23"/>
        <v>0</v>
      </c>
      <c r="M41" s="37">
        <v>0</v>
      </c>
      <c r="N41" s="52">
        <f>+IFERROR(M41/Summary!M$19,"")</f>
        <v>0</v>
      </c>
      <c r="O41" s="37">
        <v>0</v>
      </c>
      <c r="P41" s="52">
        <f>+IFERROR(O41/Summary!O$19,"")</f>
        <v>0</v>
      </c>
      <c r="Q41" s="138">
        <f t="shared" si="24"/>
        <v>0</v>
      </c>
      <c r="R41" s="37">
        <v>0</v>
      </c>
      <c r="S41" s="52">
        <f>+IFERROR(R41/Summary!R$19,"")</f>
        <v>0</v>
      </c>
      <c r="T41" s="138">
        <f t="shared" si="25"/>
        <v>0</v>
      </c>
    </row>
    <row r="42" spans="2:20" x14ac:dyDescent="0.25">
      <c r="B42" s="14" t="s">
        <v>220</v>
      </c>
      <c r="C42" s="17" t="s">
        <v>494</v>
      </c>
      <c r="D42" s="37">
        <v>1768.15</v>
      </c>
      <c r="E42" s="52">
        <f>+IFERROR(D42/Summary!D$19,"")</f>
        <v>1.7796908144149613E-3</v>
      </c>
      <c r="F42" s="37">
        <v>1350</v>
      </c>
      <c r="G42" s="52">
        <f>+IFERROR(F42/Summary!F$19,"")</f>
        <v>1.3524936601859677E-3</v>
      </c>
      <c r="H42" s="138">
        <f t="shared" si="22"/>
        <v>418.15000000000009</v>
      </c>
      <c r="I42" s="37">
        <v>9149.65</v>
      </c>
      <c r="J42" s="52">
        <f>+IFERROR(I42/Summary!I$19,"")</f>
        <v>1.1065681224616972E-2</v>
      </c>
      <c r="K42" s="138">
        <f t="shared" si="23"/>
        <v>-7381.5</v>
      </c>
      <c r="M42" s="37">
        <v>14072.29</v>
      </c>
      <c r="N42" s="52">
        <f>+IFERROR(M42/Summary!M$19,"")</f>
        <v>1.6648302704492864E-3</v>
      </c>
      <c r="O42" s="37">
        <v>12739</v>
      </c>
      <c r="P42" s="52">
        <f>+IFERROR(O42/Summary!O$19,"")</f>
        <v>1.3935179199633275E-3</v>
      </c>
      <c r="Q42" s="138">
        <f t="shared" si="24"/>
        <v>1333.2900000000009</v>
      </c>
      <c r="R42" s="37">
        <v>13786.36</v>
      </c>
      <c r="S42" s="52">
        <f>+IFERROR(R42/Summary!R$19,"")</f>
        <v>1.754815811006084E-3</v>
      </c>
      <c r="T42" s="138">
        <f t="shared" si="25"/>
        <v>285.93000000000029</v>
      </c>
    </row>
    <row r="43" spans="2:20" x14ac:dyDescent="0.25">
      <c r="B43" s="14" t="s">
        <v>647</v>
      </c>
      <c r="C43" s="17" t="s">
        <v>705</v>
      </c>
      <c r="D43" s="37">
        <v>0</v>
      </c>
      <c r="E43" s="52">
        <f>+IFERROR(D43/Summary!D$19,"")</f>
        <v>0</v>
      </c>
      <c r="F43" s="37">
        <v>0</v>
      </c>
      <c r="G43" s="52">
        <f>+IFERROR(F43/Summary!F$19,"")</f>
        <v>0</v>
      </c>
      <c r="H43" s="138">
        <f t="shared" si="22"/>
        <v>0</v>
      </c>
      <c r="I43" s="37">
        <v>1117.01</v>
      </c>
      <c r="J43" s="52">
        <f>+IFERROR(I43/Summary!I$19,"")</f>
        <v>1.3509234325585573E-3</v>
      </c>
      <c r="K43" s="138">
        <f t="shared" si="23"/>
        <v>-1117.01</v>
      </c>
      <c r="M43" s="37">
        <v>0</v>
      </c>
      <c r="N43" s="52">
        <f>+IFERROR(M43/Summary!M$19,"")</f>
        <v>0</v>
      </c>
      <c r="O43" s="37">
        <v>0</v>
      </c>
      <c r="P43" s="52">
        <f>+IFERROR(O43/Summary!O$19,"")</f>
        <v>0</v>
      </c>
      <c r="Q43" s="138">
        <f t="shared" si="24"/>
        <v>0</v>
      </c>
      <c r="R43" s="37">
        <v>7701.01</v>
      </c>
      <c r="S43" s="52">
        <f>+IFERROR(R43/Summary!R$19,"")</f>
        <v>9.8023365911784999E-4</v>
      </c>
      <c r="T43" s="138">
        <f t="shared" si="25"/>
        <v>-7701.01</v>
      </c>
    </row>
    <row r="44" spans="2:20" x14ac:dyDescent="0.25">
      <c r="B44" s="14" t="s">
        <v>310</v>
      </c>
      <c r="C44" s="17" t="s">
        <v>495</v>
      </c>
      <c r="D44" s="37">
        <v>54.93</v>
      </c>
      <c r="E44" s="52">
        <f>+IFERROR(D44/Summary!D$19,"")</f>
        <v>5.5288531196908525E-5</v>
      </c>
      <c r="F44" s="37">
        <v>0</v>
      </c>
      <c r="G44" s="52">
        <f>+IFERROR(F44/Summary!F$19,"")</f>
        <v>0</v>
      </c>
      <c r="H44" s="138">
        <f t="shared" si="22"/>
        <v>54.93</v>
      </c>
      <c r="I44" s="37">
        <v>34.5</v>
      </c>
      <c r="J44" s="52">
        <f>+IFERROR(I44/Summary!I$19,"")</f>
        <v>4.1724656380220612E-5</v>
      </c>
      <c r="K44" s="138">
        <f t="shared" si="23"/>
        <v>20.43</v>
      </c>
      <c r="M44" s="37">
        <v>3571.13</v>
      </c>
      <c r="N44" s="52">
        <f>+IFERROR(M44/Summary!M$19,"")</f>
        <v>4.2248456532018318E-4</v>
      </c>
      <c r="O44" s="37">
        <v>3650</v>
      </c>
      <c r="P44" s="52">
        <f>+IFERROR(O44/Summary!O$19,"")</f>
        <v>3.9927313037649309E-4</v>
      </c>
      <c r="Q44" s="138">
        <f t="shared" si="24"/>
        <v>-78.869999999999891</v>
      </c>
      <c r="R44" s="37">
        <v>2788.39</v>
      </c>
      <c r="S44" s="52">
        <f>+IFERROR(R44/Summary!R$19,"")</f>
        <v>3.5492405966848788E-4</v>
      </c>
      <c r="T44" s="138">
        <f t="shared" si="25"/>
        <v>782.74000000000024</v>
      </c>
    </row>
    <row r="45" spans="2:20" x14ac:dyDescent="0.25">
      <c r="B45" s="14" t="s">
        <v>72</v>
      </c>
      <c r="C45" s="17" t="s">
        <v>496</v>
      </c>
      <c r="D45" s="37">
        <v>0</v>
      </c>
      <c r="E45" s="52">
        <f>+IFERROR(D45/Summary!D$19,"")</f>
        <v>0</v>
      </c>
      <c r="F45" s="37">
        <v>100</v>
      </c>
      <c r="G45" s="52">
        <f>+IFERROR(F45/Summary!F$19,"")</f>
        <v>1.0018471556933094E-4</v>
      </c>
      <c r="H45" s="138">
        <f t="shared" si="22"/>
        <v>-100</v>
      </c>
      <c r="I45" s="37">
        <v>0</v>
      </c>
      <c r="J45" s="52">
        <f>+IFERROR(I45/Summary!I$19,"")</f>
        <v>0</v>
      </c>
      <c r="K45" s="138">
        <f t="shared" si="23"/>
        <v>0</v>
      </c>
      <c r="M45" s="37">
        <v>-100</v>
      </c>
      <c r="N45" s="52">
        <f>+IFERROR(M45/Summary!M$19,"")</f>
        <v>-1.1830556863518918E-5</v>
      </c>
      <c r="O45" s="37">
        <v>200</v>
      </c>
      <c r="P45" s="52">
        <f>+IFERROR(O45/Summary!O$19,"")</f>
        <v>2.1877979746657157E-5</v>
      </c>
      <c r="Q45" s="138">
        <f t="shared" si="24"/>
        <v>-300</v>
      </c>
      <c r="R45" s="37">
        <v>0</v>
      </c>
      <c r="S45" s="52">
        <f>+IFERROR(R45/Summary!R$19,"")</f>
        <v>0</v>
      </c>
      <c r="T45" s="138">
        <f t="shared" si="25"/>
        <v>-100</v>
      </c>
    </row>
    <row r="46" spans="2:20" x14ac:dyDescent="0.25">
      <c r="B46" s="14" t="s">
        <v>631</v>
      </c>
      <c r="C46" s="17" t="s">
        <v>704</v>
      </c>
      <c r="D46" s="37">
        <v>0</v>
      </c>
      <c r="E46" s="52">
        <f>+IFERROR(D46/Summary!D$19,"")</f>
        <v>0</v>
      </c>
      <c r="F46" s="37">
        <v>0</v>
      </c>
      <c r="G46" s="52">
        <f>+IFERROR(F46/Summary!F$19,"")</f>
        <v>0</v>
      </c>
      <c r="H46" s="138">
        <f t="shared" si="22"/>
        <v>0</v>
      </c>
      <c r="I46" s="37">
        <v>0</v>
      </c>
      <c r="J46" s="52">
        <f>+IFERROR(I46/Summary!I$19,"")</f>
        <v>0</v>
      </c>
      <c r="K46" s="138">
        <f t="shared" si="23"/>
        <v>0</v>
      </c>
      <c r="M46" s="37">
        <v>0</v>
      </c>
      <c r="N46" s="52">
        <f>+IFERROR(M46/Summary!M$19,"")</f>
        <v>0</v>
      </c>
      <c r="O46" s="37">
        <v>0</v>
      </c>
      <c r="P46" s="52">
        <f>+IFERROR(O46/Summary!O$19,"")</f>
        <v>0</v>
      </c>
      <c r="Q46" s="138">
        <f t="shared" si="24"/>
        <v>0</v>
      </c>
      <c r="R46" s="37">
        <v>0</v>
      </c>
      <c r="S46" s="52">
        <f>+IFERROR(R46/Summary!R$19,"")</f>
        <v>0</v>
      </c>
      <c r="T46" s="138">
        <f t="shared" si="25"/>
        <v>0</v>
      </c>
    </row>
    <row r="47" spans="2:20" x14ac:dyDescent="0.25">
      <c r="B47" s="14" t="s">
        <v>350</v>
      </c>
      <c r="C47" s="17" t="s">
        <v>497</v>
      </c>
      <c r="D47" s="37">
        <v>2125</v>
      </c>
      <c r="E47" s="52">
        <f>+IFERROR(D47/Summary!D$19,"")</f>
        <v>2.1388699944189082E-3</v>
      </c>
      <c r="F47" s="37">
        <v>2525</v>
      </c>
      <c r="G47" s="52">
        <f>+IFERROR(F47/Summary!F$19,"")</f>
        <v>2.5296640681256063E-3</v>
      </c>
      <c r="H47" s="138">
        <f t="shared" si="22"/>
        <v>-400</v>
      </c>
      <c r="I47" s="37">
        <v>2525.9699999999998</v>
      </c>
      <c r="J47" s="52">
        <f>+IFERROR(I47/Summary!I$19,"")</f>
        <v>3.0549342109201698E-3</v>
      </c>
      <c r="K47" s="138">
        <f t="shared" si="23"/>
        <v>-400.9699999999998</v>
      </c>
      <c r="M47" s="37">
        <v>12335</v>
      </c>
      <c r="N47" s="52">
        <f>+IFERROR(M47/Summary!M$19,"")</f>
        <v>1.4592991891150585E-3</v>
      </c>
      <c r="O47" s="37">
        <v>16650</v>
      </c>
      <c r="P47" s="52">
        <f>+IFERROR(O47/Summary!O$19,"")</f>
        <v>1.8213418139092082E-3</v>
      </c>
      <c r="Q47" s="138">
        <f t="shared" si="24"/>
        <v>-4315</v>
      </c>
      <c r="R47" s="37">
        <v>17464</v>
      </c>
      <c r="S47" s="52">
        <f>+IFERROR(R47/Summary!R$19,"")</f>
        <v>2.2229292810727595E-3</v>
      </c>
      <c r="T47" s="138">
        <f t="shared" si="25"/>
        <v>-5129</v>
      </c>
    </row>
    <row r="48" spans="2:20" x14ac:dyDescent="0.25">
      <c r="B48" s="14" t="s">
        <v>169</v>
      </c>
      <c r="C48" s="17" t="s">
        <v>498</v>
      </c>
      <c r="D48" s="37">
        <v>11225.55</v>
      </c>
      <c r="E48" s="52">
        <f>+IFERROR(D48/Summary!D$19,"")</f>
        <v>1.1298819795693728E-2</v>
      </c>
      <c r="F48" s="37">
        <v>8512</v>
      </c>
      <c r="G48" s="52">
        <f>+IFERROR(F48/Summary!F$19,"")</f>
        <v>8.5277229892614503E-3</v>
      </c>
      <c r="H48" s="138">
        <f t="shared" si="22"/>
        <v>2713.5499999999993</v>
      </c>
      <c r="I48" s="37">
        <v>8346.81</v>
      </c>
      <c r="J48" s="52">
        <f>+IFERROR(I48/Summary!I$19,"")</f>
        <v>1.009471823539099E-2</v>
      </c>
      <c r="K48" s="138">
        <f t="shared" si="23"/>
        <v>2878.74</v>
      </c>
      <c r="M48" s="37">
        <v>65290.06</v>
      </c>
      <c r="N48" s="52">
        <f>+IFERROR(M48/Summary!M$19,"")</f>
        <v>7.7241776745256199E-3</v>
      </c>
      <c r="O48" s="37">
        <v>68522</v>
      </c>
      <c r="P48" s="52">
        <f>+IFERROR(O48/Summary!O$19,"")</f>
        <v>7.4956146410022082E-3</v>
      </c>
      <c r="Q48" s="138">
        <f t="shared" si="24"/>
        <v>-3231.9400000000023</v>
      </c>
      <c r="R48" s="37">
        <v>70929.789999999994</v>
      </c>
      <c r="S48" s="52">
        <f>+IFERROR(R48/Summary!R$19,"")</f>
        <v>9.0283959626283675E-3</v>
      </c>
      <c r="T48" s="138">
        <f t="shared" si="25"/>
        <v>-5639.7299999999959</v>
      </c>
    </row>
    <row r="49" spans="2:24" x14ac:dyDescent="0.25">
      <c r="B49" s="14" t="s">
        <v>635</v>
      </c>
      <c r="C49" s="290" t="s">
        <v>709</v>
      </c>
      <c r="D49" s="37">
        <v>0</v>
      </c>
      <c r="E49" s="52">
        <f>+IFERROR(D49/Summary!D$19,"")</f>
        <v>0</v>
      </c>
      <c r="F49" s="37">
        <v>0</v>
      </c>
      <c r="G49" s="52">
        <f>+IFERROR(F49/Summary!F$19,"")</f>
        <v>0</v>
      </c>
      <c r="H49" s="138">
        <f t="shared" si="22"/>
        <v>0</v>
      </c>
      <c r="I49" s="37">
        <v>0</v>
      </c>
      <c r="J49" s="52">
        <f>+IFERROR(I49/Summary!I$19,"")</f>
        <v>0</v>
      </c>
      <c r="K49" s="138">
        <f t="shared" si="23"/>
        <v>0</v>
      </c>
      <c r="M49" s="37">
        <v>0</v>
      </c>
      <c r="N49" s="52">
        <f>+IFERROR(M49/Summary!M$19,"")</f>
        <v>0</v>
      </c>
      <c r="O49" s="37">
        <v>0</v>
      </c>
      <c r="P49" s="52">
        <f>+IFERROR(O49/Summary!O$19,"")</f>
        <v>0</v>
      </c>
      <c r="Q49" s="138">
        <f t="shared" si="24"/>
        <v>0</v>
      </c>
      <c r="R49" s="37">
        <v>0</v>
      </c>
      <c r="S49" s="52">
        <f>+IFERROR(R49/Summary!R$19,"")</f>
        <v>0</v>
      </c>
      <c r="T49" s="138">
        <f t="shared" si="25"/>
        <v>0</v>
      </c>
    </row>
    <row r="50" spans="2:24" x14ac:dyDescent="0.25">
      <c r="B50" s="14" t="s">
        <v>177</v>
      </c>
      <c r="C50" s="17" t="s">
        <v>359</v>
      </c>
      <c r="D50" s="37">
        <v>9047.92</v>
      </c>
      <c r="E50" s="52">
        <f>+IFERROR(D50/Summary!D$19,"")</f>
        <v>9.1069762823071665E-3</v>
      </c>
      <c r="F50" s="37">
        <v>12025</v>
      </c>
      <c r="G50" s="52">
        <f>+IFERROR(F50/Summary!F$19,"")</f>
        <v>1.2047212047212047E-2</v>
      </c>
      <c r="H50" s="138">
        <f t="shared" si="22"/>
        <v>-2977.08</v>
      </c>
      <c r="I50" s="37">
        <v>5941.23</v>
      </c>
      <c r="J50" s="52">
        <f>+IFERROR(I50/Summary!I$19,"")</f>
        <v>7.1853849340828436E-3</v>
      </c>
      <c r="K50" s="138">
        <f t="shared" si="23"/>
        <v>3106.6900000000005</v>
      </c>
      <c r="M50" s="37">
        <v>44306.84</v>
      </c>
      <c r="N50" s="52">
        <f>+IFERROR(M50/Summary!M$19,"")</f>
        <v>5.2417459006283453E-3</v>
      </c>
      <c r="O50" s="37">
        <v>89786</v>
      </c>
      <c r="P50" s="52">
        <f>+IFERROR(O50/Summary!O$19,"")</f>
        <v>9.8216814476667965E-3</v>
      </c>
      <c r="Q50" s="138">
        <f t="shared" si="24"/>
        <v>-45479.16</v>
      </c>
      <c r="R50" s="37">
        <v>33269.54</v>
      </c>
      <c r="S50" s="52">
        <f>+IFERROR(R50/Summary!R$19,"")</f>
        <v>4.2347591979971042E-3</v>
      </c>
      <c r="T50" s="138">
        <f t="shared" si="25"/>
        <v>11037.299999999996</v>
      </c>
    </row>
    <row r="51" spans="2:24" x14ac:dyDescent="0.25">
      <c r="B51" s="14" t="s">
        <v>208</v>
      </c>
      <c r="C51" s="17" t="s">
        <v>499</v>
      </c>
      <c r="D51" s="37">
        <v>928.8</v>
      </c>
      <c r="E51" s="52">
        <f>+IFERROR(D51/Summary!D$19,"")</f>
        <v>9.3486232979589725E-4</v>
      </c>
      <c r="F51" s="37">
        <v>993</v>
      </c>
      <c r="G51" s="52">
        <f>+IFERROR(F51/Summary!F$19,"")</f>
        <v>9.9483422560345627E-4</v>
      </c>
      <c r="H51" s="138">
        <f t="shared" si="22"/>
        <v>-64.200000000000045</v>
      </c>
      <c r="I51" s="37">
        <v>800.97</v>
      </c>
      <c r="J51" s="52">
        <f>+IFERROR(I51/Summary!I$19,"")</f>
        <v>9.6870139190913924E-4</v>
      </c>
      <c r="K51" s="138">
        <f t="shared" si="23"/>
        <v>127.82999999999993</v>
      </c>
      <c r="M51" s="37">
        <v>5569.72</v>
      </c>
      <c r="N51" s="52">
        <f>+IFERROR(M51/Summary!M$19,"")</f>
        <v>6.5892889173878593E-4</v>
      </c>
      <c r="O51" s="37">
        <v>6458</v>
      </c>
      <c r="P51" s="52">
        <f>+IFERROR(O51/Summary!O$19,"")</f>
        <v>7.0643996601955949E-4</v>
      </c>
      <c r="Q51" s="138">
        <f t="shared" si="24"/>
        <v>-888.27999999999975</v>
      </c>
      <c r="R51" s="37">
        <v>5383.76</v>
      </c>
      <c r="S51" s="52">
        <f>+IFERROR(R51/Summary!R$19,"")</f>
        <v>6.8527930292420298E-4</v>
      </c>
      <c r="T51" s="138">
        <f t="shared" si="25"/>
        <v>185.96000000000004</v>
      </c>
    </row>
    <row r="52" spans="2:24" x14ac:dyDescent="0.25">
      <c r="B52" s="14" t="s">
        <v>212</v>
      </c>
      <c r="C52" s="17" t="s">
        <v>500</v>
      </c>
      <c r="D52" s="37">
        <v>0</v>
      </c>
      <c r="E52" s="52">
        <f>+IFERROR(D52/Summary!D$19,"")</f>
        <v>0</v>
      </c>
      <c r="F52" s="37">
        <v>0</v>
      </c>
      <c r="G52" s="52">
        <f>+IFERROR(F52/Summary!F$19,"")</f>
        <v>0</v>
      </c>
      <c r="H52" s="138">
        <f t="shared" si="22"/>
        <v>0</v>
      </c>
      <c r="I52" s="37">
        <v>0</v>
      </c>
      <c r="J52" s="52">
        <f>+IFERROR(I52/Summary!I$19,"")</f>
        <v>0</v>
      </c>
      <c r="K52" s="138">
        <f t="shared" si="23"/>
        <v>0</v>
      </c>
      <c r="M52" s="37">
        <v>0</v>
      </c>
      <c r="N52" s="52">
        <f>+IFERROR(M52/Summary!M$19,"")</f>
        <v>0</v>
      </c>
      <c r="O52" s="37">
        <v>0</v>
      </c>
      <c r="P52" s="52">
        <f>+IFERROR(O52/Summary!O$19,"")</f>
        <v>0</v>
      </c>
      <c r="Q52" s="138">
        <f t="shared" si="24"/>
        <v>0</v>
      </c>
      <c r="R52" s="37">
        <v>0</v>
      </c>
      <c r="S52" s="52">
        <f>+IFERROR(R52/Summary!R$19,"")</f>
        <v>0</v>
      </c>
      <c r="T52" s="138">
        <f t="shared" si="25"/>
        <v>0</v>
      </c>
    </row>
    <row r="53" spans="2:24" x14ac:dyDescent="0.25">
      <c r="B53" s="14" t="s">
        <v>130</v>
      </c>
      <c r="C53" s="17" t="s">
        <v>505</v>
      </c>
      <c r="D53" s="37">
        <v>0</v>
      </c>
      <c r="E53" s="52">
        <f>+IFERROR(D53/Summary!D$19,"")</f>
        <v>0</v>
      </c>
      <c r="F53" s="37">
        <v>0</v>
      </c>
      <c r="G53" s="52">
        <f>+IFERROR(F53/Summary!F$19,"")</f>
        <v>0</v>
      </c>
      <c r="H53" s="138">
        <f t="shared" si="22"/>
        <v>0</v>
      </c>
      <c r="I53" s="37">
        <v>0</v>
      </c>
      <c r="J53" s="52">
        <f>+IFERROR(I53/Summary!I$19,"")</f>
        <v>0</v>
      </c>
      <c r="K53" s="138">
        <f t="shared" si="23"/>
        <v>0</v>
      </c>
      <c r="M53" s="37">
        <v>0</v>
      </c>
      <c r="N53" s="52">
        <f>+IFERROR(M53/Summary!M$19,"")</f>
        <v>0</v>
      </c>
      <c r="O53" s="37">
        <v>0</v>
      </c>
      <c r="P53" s="52">
        <f>+IFERROR(O53/Summary!O$19,"")</f>
        <v>0</v>
      </c>
      <c r="Q53" s="138">
        <f t="shared" si="24"/>
        <v>0</v>
      </c>
      <c r="R53" s="37">
        <v>0</v>
      </c>
      <c r="S53" s="52">
        <f>+IFERROR(R53/Summary!R$19,"")</f>
        <v>0</v>
      </c>
      <c r="T53" s="138">
        <f t="shared" si="25"/>
        <v>0</v>
      </c>
    </row>
    <row r="54" spans="2:24" x14ac:dyDescent="0.25">
      <c r="B54" s="14" t="s">
        <v>131</v>
      </c>
      <c r="C54" s="17" t="s">
        <v>506</v>
      </c>
      <c r="D54" s="37">
        <v>11227.04</v>
      </c>
      <c r="E54" s="52">
        <f>+IFERROR(D54/Summary!D$19,"")</f>
        <v>1.1300319521007464E-2</v>
      </c>
      <c r="F54" s="37">
        <v>10795.66</v>
      </c>
      <c r="G54" s="52">
        <f>+IFERROR(F54/Summary!F$19,"")</f>
        <v>1.0815601264832032E-2</v>
      </c>
      <c r="H54" s="138">
        <f t="shared" si="22"/>
        <v>431.38000000000102</v>
      </c>
      <c r="I54" s="37">
        <v>10620.61</v>
      </c>
      <c r="J54" s="52">
        <f>+IFERROR(I54/Summary!I$19,"")</f>
        <v>1.2844675443429996E-2</v>
      </c>
      <c r="K54" s="138">
        <f t="shared" si="23"/>
        <v>606.43000000000029</v>
      </c>
      <c r="M54" s="37">
        <v>112068.26</v>
      </c>
      <c r="N54" s="52">
        <f>+IFERROR(M54/Summary!M$19,"")</f>
        <v>1.3258299225256226E-2</v>
      </c>
      <c r="O54" s="37">
        <v>116306.83</v>
      </c>
      <c r="P54" s="52">
        <f>+IFERROR(O54/Summary!O$19,"")</f>
        <v>1.2722792355689485E-2</v>
      </c>
      <c r="Q54" s="138">
        <f t="shared" si="24"/>
        <v>-4238.570000000007</v>
      </c>
      <c r="R54" s="37">
        <v>114920.71</v>
      </c>
      <c r="S54" s="52">
        <f>+IFERROR(R54/Summary!R$19,"")</f>
        <v>1.462784077305721E-2</v>
      </c>
      <c r="T54" s="138">
        <f t="shared" si="25"/>
        <v>-2852.4500000000116</v>
      </c>
    </row>
    <row r="55" spans="2:24" x14ac:dyDescent="0.25">
      <c r="B55" s="14" t="s">
        <v>168</v>
      </c>
      <c r="C55" s="17" t="s">
        <v>501</v>
      </c>
      <c r="D55" s="37">
        <v>8638.98</v>
      </c>
      <c r="E55" s="52">
        <f>+IFERROR(D55/Summary!D$19,"")</f>
        <v>8.6953671079459099E-3</v>
      </c>
      <c r="F55" s="37">
        <v>8687.5</v>
      </c>
      <c r="G55" s="52">
        <f>+IFERROR(F55/Summary!F$19,"")</f>
        <v>8.7035471650856264E-3</v>
      </c>
      <c r="H55" s="138">
        <f t="shared" si="22"/>
        <v>-48.520000000000437</v>
      </c>
      <c r="I55" s="37">
        <v>8241.68</v>
      </c>
      <c r="J55" s="52">
        <f>+IFERROR(I55/Summary!I$19,"")</f>
        <v>9.9675729274126563E-3</v>
      </c>
      <c r="K55" s="138">
        <f t="shared" si="23"/>
        <v>397.29999999999927</v>
      </c>
      <c r="M55" s="37">
        <v>57852.08</v>
      </c>
      <c r="N55" s="52">
        <f>+IFERROR(M55/Summary!M$19,"")</f>
        <v>6.8442232211284558E-3</v>
      </c>
      <c r="O55" s="37">
        <v>60575</v>
      </c>
      <c r="P55" s="52">
        <f>+IFERROR(O55/Summary!O$19,"")</f>
        <v>6.6262931157687862E-3</v>
      </c>
      <c r="Q55" s="138">
        <f t="shared" si="24"/>
        <v>-2722.9199999999983</v>
      </c>
      <c r="R55" s="37">
        <v>63724.480000000003</v>
      </c>
      <c r="S55" s="52">
        <f>+IFERROR(R55/Summary!R$19,"")</f>
        <v>8.1112581603948377E-3</v>
      </c>
      <c r="T55" s="138">
        <f t="shared" si="25"/>
        <v>-5872.4000000000015</v>
      </c>
    </row>
    <row r="56" spans="2:24" s="11" customFormat="1" x14ac:dyDescent="0.25">
      <c r="B56" s="14" t="s">
        <v>52</v>
      </c>
      <c r="C56" s="17" t="s">
        <v>502</v>
      </c>
      <c r="D56" s="210">
        <v>0</v>
      </c>
      <c r="E56" s="176">
        <f>+IFERROR(D56/Summary!D$19,"")</f>
        <v>0</v>
      </c>
      <c r="F56" s="210">
        <v>0</v>
      </c>
      <c r="G56" s="176">
        <f>+IFERROR(F56/Summary!F$19,"")</f>
        <v>0</v>
      </c>
      <c r="H56" s="140">
        <f t="shared" si="22"/>
        <v>0</v>
      </c>
      <c r="I56" s="37">
        <v>0</v>
      </c>
      <c r="J56" s="176">
        <f>+IFERROR(I56/Summary!I$19,"")</f>
        <v>0</v>
      </c>
      <c r="K56" s="140">
        <f t="shared" si="23"/>
        <v>0</v>
      </c>
      <c r="M56" s="210">
        <v>0</v>
      </c>
      <c r="N56" s="176">
        <f>+IFERROR(M56/Summary!M$19,"")</f>
        <v>0</v>
      </c>
      <c r="O56" s="210">
        <v>0</v>
      </c>
      <c r="P56" s="176">
        <f>+IFERROR(O56/Summary!O$19,"")</f>
        <v>0</v>
      </c>
      <c r="Q56" s="140">
        <f t="shared" si="24"/>
        <v>0</v>
      </c>
      <c r="R56" s="37">
        <v>0</v>
      </c>
      <c r="S56" s="176">
        <f>+IFERROR(R56/Summary!R$19,"")</f>
        <v>0</v>
      </c>
      <c r="T56" s="140">
        <f t="shared" si="25"/>
        <v>0</v>
      </c>
      <c r="V56" s="331"/>
      <c r="W56" s="331"/>
      <c r="X56" s="331"/>
    </row>
    <row r="57" spans="2:24" x14ac:dyDescent="0.25">
      <c r="B57" s="14" t="s">
        <v>285</v>
      </c>
      <c r="C57" s="18" t="s">
        <v>425</v>
      </c>
      <c r="D57" s="92">
        <f t="shared" ref="D57" si="26">SUM(D26:D56)</f>
        <v>52260.72</v>
      </c>
      <c r="E57" s="84">
        <f>+IFERROR(D57/Summary!D$19,"")</f>
        <v>5.2601828656342643E-2</v>
      </c>
      <c r="F57" s="92">
        <f>SUM(F26:F56)</f>
        <v>50371.490000000005</v>
      </c>
      <c r="G57" s="84">
        <f>+IFERROR(F57/Summary!F$19,"")</f>
        <v>5.0464533984533981E-2</v>
      </c>
      <c r="H57" s="141">
        <f t="shared" si="22"/>
        <v>1889.2299999999959</v>
      </c>
      <c r="I57" s="92">
        <f>SUM(I26:I56)</f>
        <v>54053.670000000006</v>
      </c>
      <c r="J57" s="84">
        <f>+IFERROR(I57/Summary!I$19,"")</f>
        <v>6.5373066864922891E-2</v>
      </c>
      <c r="K57" s="141">
        <f t="shared" si="23"/>
        <v>-1792.9500000000044</v>
      </c>
      <c r="M57" s="92">
        <f t="shared" ref="M57" si="27">SUM(M26:M56)</f>
        <v>349263.1</v>
      </c>
      <c r="N57" s="84">
        <f>+IFERROR(M57/Summary!M$19,"")</f>
        <v>4.1319769648788938E-2</v>
      </c>
      <c r="O57" s="92">
        <f>SUM(O26:O56)</f>
        <v>407716.81</v>
      </c>
      <c r="P57" s="84">
        <f>+IFERROR(O57/Summary!O$19,"")</f>
        <v>4.4600100557758315E-2</v>
      </c>
      <c r="Q57" s="141">
        <f t="shared" si="24"/>
        <v>-58453.710000000021</v>
      </c>
      <c r="R57" s="92">
        <f>SUM(R26:R56)</f>
        <v>364570.02</v>
      </c>
      <c r="S57" s="84">
        <f>+IFERROR(R57/Summary!R$19,"")</f>
        <v>4.6404796865510863E-2</v>
      </c>
      <c r="T57" s="141">
        <f t="shared" si="25"/>
        <v>-15306.920000000042</v>
      </c>
    </row>
    <row r="58" spans="2:24" x14ac:dyDescent="0.25">
      <c r="B58" s="14"/>
      <c r="C58" s="16"/>
      <c r="D58" s="49"/>
      <c r="E58" s="32"/>
      <c r="F58" s="16"/>
      <c r="G58" s="32"/>
      <c r="H58" s="16"/>
      <c r="I58" s="16"/>
      <c r="J58" s="32"/>
      <c r="K58" s="50"/>
      <c r="M58" s="49"/>
      <c r="N58" s="32"/>
      <c r="O58" s="16"/>
      <c r="P58" s="32"/>
      <c r="Q58" s="16"/>
      <c r="R58" s="16"/>
      <c r="S58" s="32"/>
      <c r="T58" s="50"/>
    </row>
    <row r="59" spans="2:24" x14ac:dyDescent="0.25">
      <c r="B59" s="14" t="s">
        <v>264</v>
      </c>
      <c r="C59" s="18" t="s">
        <v>426</v>
      </c>
      <c r="D59" s="143">
        <f t="shared" ref="D59" si="28">+D23+D57</f>
        <v>81596.5</v>
      </c>
      <c r="E59" s="136">
        <f>+IFERROR(D59/Summary!D$19,"")</f>
        <v>8.2129084940989375E-2</v>
      </c>
      <c r="F59" s="143">
        <f>+F23+F57</f>
        <v>97229.680000000008</v>
      </c>
      <c r="G59" s="136">
        <f>+IFERROR(F59/Summary!F$19,"")</f>
        <v>9.7409278356970663E-2</v>
      </c>
      <c r="H59" s="132">
        <f>+D59-F59</f>
        <v>-15633.180000000008</v>
      </c>
      <c r="I59" s="143">
        <f>+I23+I57</f>
        <v>96066.240000000005</v>
      </c>
      <c r="J59" s="136">
        <f>+IFERROR(I59/Summary!I$19,"")</f>
        <v>0.11618350300695086</v>
      </c>
      <c r="K59" s="132">
        <f>+D59-I59</f>
        <v>-14469.740000000005</v>
      </c>
      <c r="M59" s="143">
        <f t="shared" ref="M59" si="29">+M23+M57</f>
        <v>563834.93999999994</v>
      </c>
      <c r="N59" s="136">
        <f>+IFERROR(M59/Summary!M$19,"")</f>
        <v>6.670481319308777E-2</v>
      </c>
      <c r="O59" s="143">
        <f>+O23+O57</f>
        <v>685963.61</v>
      </c>
      <c r="P59" s="136">
        <f>+IFERROR(O59/Summary!O$19,"")</f>
        <v>7.5037489832619139E-2</v>
      </c>
      <c r="Q59" s="132">
        <f>+M59-O59</f>
        <v>-122128.67000000004</v>
      </c>
      <c r="R59" s="143">
        <f>+R23+R57</f>
        <v>620068.29</v>
      </c>
      <c r="S59" s="136">
        <f>+IFERROR(R59/Summary!R$19,"")</f>
        <v>7.8926245883286505E-2</v>
      </c>
      <c r="T59" s="132">
        <f>+M59-R59</f>
        <v>-56233.350000000093</v>
      </c>
    </row>
    <row r="60" spans="2:24" ht="15.75" thickBot="1" x14ac:dyDescent="0.3">
      <c r="B60" s="14"/>
      <c r="C60" s="18" t="s">
        <v>427</v>
      </c>
      <c r="D60" s="144">
        <f t="shared" ref="D60" si="30">0-D59</f>
        <v>-81596.5</v>
      </c>
      <c r="E60" s="214">
        <f>+IFERROR(D60/Summary!D$19,"")</f>
        <v>-8.2129084940989375E-2</v>
      </c>
      <c r="F60" s="144">
        <f t="shared" ref="F60" si="31">0-F59</f>
        <v>-97229.680000000008</v>
      </c>
      <c r="G60" s="214">
        <f>+IFERROR(F60/Summary!F$19,"")</f>
        <v>-9.7409278356970663E-2</v>
      </c>
      <c r="H60" s="133">
        <f>+D60-F60</f>
        <v>15633.180000000008</v>
      </c>
      <c r="I60" s="144">
        <f t="shared" ref="I60" si="32">0-I59</f>
        <v>-96066.240000000005</v>
      </c>
      <c r="J60" s="214">
        <f>+IFERROR(I60/Summary!I$19,"")</f>
        <v>-0.11618350300695086</v>
      </c>
      <c r="K60" s="133">
        <f>+D60-I60</f>
        <v>14469.740000000005</v>
      </c>
      <c r="M60" s="144">
        <f t="shared" ref="M60" si="33">0-M59</f>
        <v>-563834.93999999994</v>
      </c>
      <c r="N60" s="214">
        <f>+IFERROR(M60/Summary!M$19,"")</f>
        <v>-6.670481319308777E-2</v>
      </c>
      <c r="O60" s="144">
        <f t="shared" ref="O60" si="34">0-O59</f>
        <v>-685963.61</v>
      </c>
      <c r="P60" s="214">
        <f>+IFERROR(O60/Summary!O$19,"")</f>
        <v>-7.5037489832619139E-2</v>
      </c>
      <c r="Q60" s="133">
        <f>+M60-O60</f>
        <v>122128.67000000004</v>
      </c>
      <c r="R60" s="144">
        <f t="shared" ref="R60" si="35">0-R59</f>
        <v>-620068.29</v>
      </c>
      <c r="S60" s="214">
        <f>+IFERROR(R60/Summary!R$19,"")</f>
        <v>-7.8926245883286505E-2</v>
      </c>
      <c r="T60" s="133">
        <f>+M60-R60</f>
        <v>56233.350000000093</v>
      </c>
    </row>
    <row r="61" spans="2:24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D377-E734-476B-AA63-FF769A2736E7}">
  <dimension ref="B1:X60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8" bestFit="1" customWidth="1"/>
    <col min="7" max="7" width="8.7109375" customWidth="1"/>
    <col min="8" max="8" width="10.28515625" bestFit="1" customWidth="1"/>
    <col min="9" max="9" width="8" bestFit="1" customWidth="1"/>
    <col min="10" max="10" width="8.7109375" customWidth="1"/>
    <col min="11" max="11" width="10.28515625" bestFit="1" customWidth="1"/>
    <col min="13" max="13" width="9" bestFit="1" customWidth="1"/>
    <col min="14" max="14" width="8.7109375" customWidth="1"/>
    <col min="15" max="15" width="9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405</v>
      </c>
      <c r="D9" s="49"/>
      <c r="E9" s="50"/>
      <c r="F9" s="180"/>
      <c r="G9" s="16"/>
      <c r="H9" s="80"/>
      <c r="I9" s="16"/>
      <c r="J9" s="16"/>
      <c r="K9" s="80"/>
      <c r="M9" s="49"/>
      <c r="N9" s="50"/>
      <c r="O9" s="180"/>
      <c r="P9" s="16"/>
      <c r="Q9" s="80"/>
      <c r="R9" s="16"/>
      <c r="S9" s="16"/>
      <c r="T9" s="80"/>
    </row>
    <row r="10" spans="2:22" x14ac:dyDescent="0.25">
      <c r="B10" s="14"/>
      <c r="C10" s="22" t="s">
        <v>406</v>
      </c>
      <c r="D10" s="49"/>
      <c r="E10" s="102"/>
      <c r="F10" s="93"/>
      <c r="G10" s="19"/>
      <c r="H10" s="50"/>
      <c r="I10" s="19"/>
      <c r="J10" s="19"/>
      <c r="K10" s="102"/>
      <c r="M10" s="49"/>
      <c r="N10" s="102"/>
      <c r="O10" s="93"/>
      <c r="P10" s="19"/>
      <c r="Q10" s="50"/>
      <c r="R10" s="19"/>
      <c r="S10" s="19"/>
      <c r="T10" s="102"/>
    </row>
    <row r="11" spans="2:22" x14ac:dyDescent="0.25">
      <c r="B11" s="14" t="s">
        <v>237</v>
      </c>
      <c r="C11" s="17" t="s">
        <v>407</v>
      </c>
      <c r="D11" s="37">
        <v>4632.45</v>
      </c>
      <c r="E11" s="109">
        <f>+IFERROR(D11/Summary!D$19,"")</f>
        <v>4.6626862614804095E-3</v>
      </c>
      <c r="F11" s="37">
        <v>5812.72</v>
      </c>
      <c r="G11" s="109">
        <f>+IFERROR(F11/Summary!F$19,"")</f>
        <v>5.8234569988416139E-3</v>
      </c>
      <c r="H11" s="138">
        <f>+D11-F11</f>
        <v>-1180.2700000000004</v>
      </c>
      <c r="I11" s="37">
        <v>6250</v>
      </c>
      <c r="J11" s="109">
        <f>+IFERROR(I11/Summary!I$19,"")</f>
        <v>7.5588145616341694E-3</v>
      </c>
      <c r="K11" s="138">
        <f>+D11-I11</f>
        <v>-1617.5500000000002</v>
      </c>
      <c r="M11" s="37">
        <v>32584.49</v>
      </c>
      <c r="N11" s="109">
        <f>+IFERROR(M11/Summary!M$19,"")</f>
        <v>3.8549266181376355E-3</v>
      </c>
      <c r="O11" s="37">
        <v>33722.480000000003</v>
      </c>
      <c r="P11" s="109">
        <f>+IFERROR(O11/Summary!O$19,"")</f>
        <v>3.6888986722352552E-3</v>
      </c>
      <c r="Q11" s="138">
        <f>+M11-O11</f>
        <v>-1137.9900000000016</v>
      </c>
      <c r="R11" s="37">
        <v>40856.86</v>
      </c>
      <c r="S11" s="109">
        <f>+IFERROR(R11/Summary!R$19,"")</f>
        <v>5.2005216689584516E-3</v>
      </c>
      <c r="T11" s="138">
        <f>+M11-R11</f>
        <v>-8272.369999999999</v>
      </c>
    </row>
    <row r="12" spans="2:22" x14ac:dyDescent="0.25">
      <c r="B12" s="14"/>
      <c r="C12" s="18" t="s">
        <v>408</v>
      </c>
      <c r="D12" s="282"/>
      <c r="E12" s="109"/>
      <c r="F12" s="282"/>
      <c r="G12" s="109"/>
      <c r="H12" s="138"/>
      <c r="I12" s="282"/>
      <c r="J12" s="109"/>
      <c r="K12" s="138"/>
      <c r="M12" s="282"/>
      <c r="N12" s="109"/>
      <c r="O12" s="282"/>
      <c r="P12" s="109"/>
      <c r="Q12" s="138"/>
      <c r="R12" s="282"/>
      <c r="S12" s="109"/>
      <c r="T12" s="138"/>
    </row>
    <row r="13" spans="2:22" x14ac:dyDescent="0.25">
      <c r="B13" s="14" t="s">
        <v>241</v>
      </c>
      <c r="C13" s="17" t="s">
        <v>507</v>
      </c>
      <c r="D13" s="37">
        <v>17221.95</v>
      </c>
      <c r="E13" s="109">
        <f>+IFERROR(D13/Summary!D$19,"")</f>
        <v>1.7334358635474219E-2</v>
      </c>
      <c r="F13" s="37">
        <v>17366.18</v>
      </c>
      <c r="G13" s="109">
        <f>+IFERROR(F13/Summary!F$19,"")</f>
        <v>1.7398258038258035E-2</v>
      </c>
      <c r="H13" s="138">
        <f t="shared" ref="H13:H23" si="0">+D13-F13</f>
        <v>-144.22999999999956</v>
      </c>
      <c r="I13" s="37">
        <v>13842.12</v>
      </c>
      <c r="J13" s="109">
        <f>+IFERROR(I13/Summary!I$19,"")</f>
        <v>1.6740802915182013E-2</v>
      </c>
      <c r="K13" s="138">
        <f t="shared" ref="K13:K23" si="1">+D13-I13</f>
        <v>3379.83</v>
      </c>
      <c r="M13" s="37">
        <v>99500.43</v>
      </c>
      <c r="N13" s="109">
        <f>+IFERROR(M13/Summary!M$19,"")</f>
        <v>1.1771454950595835E-2</v>
      </c>
      <c r="O13" s="37">
        <v>104225.98</v>
      </c>
      <c r="P13" s="109">
        <f>+IFERROR(O13/Summary!O$19,"")</f>
        <v>1.1401269397577468E-2</v>
      </c>
      <c r="Q13" s="138">
        <f t="shared" ref="Q13:Q23" si="2">+M13-O13</f>
        <v>-4725.5500000000029</v>
      </c>
      <c r="R13" s="37">
        <v>104558.09</v>
      </c>
      <c r="S13" s="109">
        <f>+IFERROR(R13/Summary!R$19,"")</f>
        <v>1.3308820421097165E-2</v>
      </c>
      <c r="T13" s="138">
        <f t="shared" ref="T13:T23" si="3">+M13-R13</f>
        <v>-5057.6600000000035</v>
      </c>
    </row>
    <row r="14" spans="2:22" x14ac:dyDescent="0.25">
      <c r="B14" s="14" t="s">
        <v>658</v>
      </c>
      <c r="C14" s="17" t="s">
        <v>708</v>
      </c>
      <c r="D14" s="222">
        <v>0</v>
      </c>
      <c r="E14" s="225">
        <f>+IFERROR(D14/Summary!D$19,"")</f>
        <v>0</v>
      </c>
      <c r="F14" s="222">
        <v>0</v>
      </c>
      <c r="G14" s="225">
        <f>+IFERROR(F14/Summary!F$19,"")</f>
        <v>0</v>
      </c>
      <c r="H14" s="184">
        <f t="shared" si="0"/>
        <v>0</v>
      </c>
      <c r="I14" s="37">
        <v>0</v>
      </c>
      <c r="J14" s="225">
        <f>+IFERROR(I14/Summary!I$19,"")</f>
        <v>0</v>
      </c>
      <c r="K14" s="184">
        <f t="shared" si="1"/>
        <v>0</v>
      </c>
      <c r="M14" s="222">
        <v>0</v>
      </c>
      <c r="N14" s="225">
        <f>+IFERROR(M14/Summary!M$19,"")</f>
        <v>0</v>
      </c>
      <c r="O14" s="222">
        <v>0</v>
      </c>
      <c r="P14" s="225">
        <f>+IFERROR(O14/Summary!O$19,"")</f>
        <v>0</v>
      </c>
      <c r="Q14" s="184">
        <f t="shared" si="2"/>
        <v>0</v>
      </c>
      <c r="R14" s="37">
        <v>0</v>
      </c>
      <c r="S14" s="225">
        <f>+IFERROR(R14/Summary!R$19,"")</f>
        <v>0</v>
      </c>
      <c r="T14" s="184">
        <f t="shared" si="3"/>
        <v>0</v>
      </c>
    </row>
    <row r="15" spans="2:22" x14ac:dyDescent="0.25">
      <c r="B15" s="14" t="s">
        <v>303</v>
      </c>
      <c r="C15" s="23" t="s">
        <v>411</v>
      </c>
      <c r="D15" s="104">
        <f t="shared" ref="D15" si="4">SUM(D11,D13:D14)</f>
        <v>21854.400000000001</v>
      </c>
      <c r="E15" s="147">
        <f>+IFERROR(D15/Summary!D$19,"")</f>
        <v>2.1997044896954629E-2</v>
      </c>
      <c r="F15" s="104">
        <f t="shared" ref="F15" si="5">SUM(F11,F13:F14)</f>
        <v>23178.9</v>
      </c>
      <c r="G15" s="147">
        <f>+IFERROR(F15/Summary!F$19,"")</f>
        <v>2.322171503709965E-2</v>
      </c>
      <c r="H15" s="151">
        <f t="shared" si="0"/>
        <v>-1324.5</v>
      </c>
      <c r="I15" s="104">
        <f t="shared" ref="I15" si="6">SUM(I11,I13:I14)</f>
        <v>20092.120000000003</v>
      </c>
      <c r="J15" s="147">
        <f>+IFERROR(I15/Summary!I$19,"")</f>
        <v>2.4299617476816183E-2</v>
      </c>
      <c r="K15" s="151">
        <f t="shared" si="1"/>
        <v>1762.2799999999988</v>
      </c>
      <c r="M15" s="104">
        <f t="shared" ref="M15" si="7">SUM(M11,M13:M14)</f>
        <v>132084.91999999998</v>
      </c>
      <c r="N15" s="147">
        <f>+IFERROR(M15/Summary!M$19,"")</f>
        <v>1.5626381568733472E-2</v>
      </c>
      <c r="O15" s="104">
        <f t="shared" ref="O15" si="8">SUM(O11,O13:O14)</f>
        <v>137948.46</v>
      </c>
      <c r="P15" s="147">
        <f>+IFERROR(O15/Summary!O$19,"")</f>
        <v>1.5090168069812723E-2</v>
      </c>
      <c r="Q15" s="151">
        <f t="shared" si="2"/>
        <v>-5863.5400000000081</v>
      </c>
      <c r="R15" s="104">
        <f t="shared" ref="R15" si="9">SUM(R11,R13:R14)</f>
        <v>145414.95000000001</v>
      </c>
      <c r="S15" s="147">
        <f>+IFERROR(R15/Summary!R$19,"")</f>
        <v>1.8509342090055617E-2</v>
      </c>
      <c r="T15" s="151">
        <f t="shared" si="3"/>
        <v>-13330.030000000028</v>
      </c>
    </row>
    <row r="16" spans="2:22" x14ac:dyDescent="0.25">
      <c r="B16" s="14" t="s">
        <v>662</v>
      </c>
      <c r="C16" s="17" t="s">
        <v>412</v>
      </c>
      <c r="D16" s="162">
        <v>0</v>
      </c>
      <c r="E16" s="226">
        <f>+IFERROR(D16/Summary!D$19,"")</f>
        <v>0</v>
      </c>
      <c r="F16" s="162">
        <v>0</v>
      </c>
      <c r="G16" s="226">
        <f>+IFERROR(F16/Summary!F$19,"")</f>
        <v>0</v>
      </c>
      <c r="H16" s="229">
        <f t="shared" si="0"/>
        <v>0</v>
      </c>
      <c r="I16" s="37">
        <v>0</v>
      </c>
      <c r="J16" s="226">
        <f>+IFERROR(I16/Summary!I$19,"")</f>
        <v>0</v>
      </c>
      <c r="K16" s="229">
        <f t="shared" si="1"/>
        <v>0</v>
      </c>
      <c r="M16" s="162">
        <v>4128</v>
      </c>
      <c r="N16" s="226">
        <f>+IFERROR(M16/Summary!M$19,"")</f>
        <v>4.8836538732606092E-4</v>
      </c>
      <c r="O16" s="162">
        <v>0</v>
      </c>
      <c r="P16" s="226">
        <f>+IFERROR(O16/Summary!O$19,"")</f>
        <v>0</v>
      </c>
      <c r="Q16" s="229">
        <f t="shared" si="2"/>
        <v>4128</v>
      </c>
      <c r="R16" s="37">
        <v>0</v>
      </c>
      <c r="S16" s="226">
        <f>+IFERROR(R16/Summary!R$19,"")</f>
        <v>0</v>
      </c>
      <c r="T16" s="229">
        <f t="shared" si="3"/>
        <v>4128</v>
      </c>
    </row>
    <row r="17" spans="2:20" x14ac:dyDescent="0.25">
      <c r="B17" s="14" t="s">
        <v>252</v>
      </c>
      <c r="C17" s="17" t="s">
        <v>413</v>
      </c>
      <c r="D17" s="107">
        <v>287.13</v>
      </c>
      <c r="E17" s="146">
        <f>+IFERROR(D17/Summary!D$19,"")</f>
        <v>2.8900411364588284E-4</v>
      </c>
      <c r="F17" s="107">
        <v>581.27</v>
      </c>
      <c r="G17" s="146">
        <f>+IFERROR(F17/Summary!F$19,"")</f>
        <v>5.8234369618984994E-4</v>
      </c>
      <c r="H17" s="184">
        <f t="shared" si="0"/>
        <v>-294.14</v>
      </c>
      <c r="I17" s="37">
        <v>375.02</v>
      </c>
      <c r="J17" s="146">
        <f>+IFERROR(I17/Summary!I$19,"")</f>
        <v>4.5355306190464736E-4</v>
      </c>
      <c r="K17" s="184">
        <f t="shared" si="1"/>
        <v>-87.889999999999986</v>
      </c>
      <c r="M17" s="107">
        <v>1029.8800000000001</v>
      </c>
      <c r="N17" s="146">
        <f>+IFERROR(M17/Summary!M$19,"")</f>
        <v>1.2184053902600864E-4</v>
      </c>
      <c r="O17" s="107">
        <v>3487.62</v>
      </c>
      <c r="P17" s="146">
        <f>+IFERROR(O17/Summary!O$19,"")</f>
        <v>3.8151039862018211E-4</v>
      </c>
      <c r="Q17" s="184">
        <f t="shared" si="2"/>
        <v>-2457.7399999999998</v>
      </c>
      <c r="R17" s="37">
        <v>-1624.98</v>
      </c>
      <c r="S17" s="146">
        <f>+IFERROR(R17/Summary!R$19,"")</f>
        <v>-2.0683781625959762E-4</v>
      </c>
      <c r="T17" s="184">
        <f t="shared" si="3"/>
        <v>2654.86</v>
      </c>
    </row>
    <row r="18" spans="2:20" x14ac:dyDescent="0.25">
      <c r="B18" s="14"/>
      <c r="C18" s="23" t="s">
        <v>414</v>
      </c>
      <c r="D18" s="104">
        <f t="shared" ref="D18" si="10">+D15+SUM(D16:D17)</f>
        <v>22141.530000000002</v>
      </c>
      <c r="E18" s="147">
        <f>+IFERROR(D18/Summary!D$19,"")</f>
        <v>2.2286049010600512E-2</v>
      </c>
      <c r="F18" s="104">
        <f>+F15+SUM(F16:F17)</f>
        <v>23760.170000000002</v>
      </c>
      <c r="G18" s="147">
        <f>+IFERROR(F18/Summary!F$19,"")</f>
        <v>2.3804058733289502E-2</v>
      </c>
      <c r="H18" s="151">
        <f t="shared" si="0"/>
        <v>-1618.6399999999994</v>
      </c>
      <c r="I18" s="104">
        <f>+I15+SUM(I16:I17)</f>
        <v>20467.140000000003</v>
      </c>
      <c r="J18" s="147">
        <f>+IFERROR(I18/Summary!I$19,"")</f>
        <v>2.475317053872083E-2</v>
      </c>
      <c r="K18" s="151">
        <f t="shared" si="1"/>
        <v>1674.3899999999994</v>
      </c>
      <c r="M18" s="104">
        <f t="shared" ref="M18" si="11">+M15+SUM(M16:M17)</f>
        <v>137242.79999999999</v>
      </c>
      <c r="N18" s="147">
        <f>+IFERROR(M18/Summary!M$19,"")</f>
        <v>1.6236587495085539E-2</v>
      </c>
      <c r="O18" s="104">
        <f>+O15+SUM(O16:O17)</f>
        <v>141436.07999999999</v>
      </c>
      <c r="P18" s="147">
        <f>+IFERROR(O18/Summary!O$19,"")</f>
        <v>1.5471678468432904E-2</v>
      </c>
      <c r="Q18" s="151">
        <f t="shared" si="2"/>
        <v>-4193.2799999999988</v>
      </c>
      <c r="R18" s="104">
        <f>+R15+SUM(R16:R17)</f>
        <v>143789.97</v>
      </c>
      <c r="S18" s="147">
        <f>+IFERROR(R18/Summary!R$19,"")</f>
        <v>1.8302504273796018E-2</v>
      </c>
      <c r="T18" s="151">
        <f t="shared" si="3"/>
        <v>-6547.1700000000128</v>
      </c>
    </row>
    <row r="19" spans="2:20" x14ac:dyDescent="0.25">
      <c r="B19" s="14" t="s">
        <v>298</v>
      </c>
      <c r="C19" s="17" t="s">
        <v>415</v>
      </c>
      <c r="D19" s="107">
        <v>1815.69</v>
      </c>
      <c r="E19" s="146">
        <f>+IFERROR(D19/Summary!D$19,"")</f>
        <v>1.8275411106665729E-3</v>
      </c>
      <c r="F19" s="107">
        <v>2356.7399999999998</v>
      </c>
      <c r="G19" s="146">
        <f>+IFERROR(F19/Summary!F$19,"")</f>
        <v>2.3610932657086498E-3</v>
      </c>
      <c r="H19" s="183">
        <f t="shared" si="0"/>
        <v>-541.04999999999973</v>
      </c>
      <c r="I19" s="37">
        <v>1583.09</v>
      </c>
      <c r="J19" s="146">
        <f>+IFERROR(I19/Summary!I$19,"")</f>
        <v>1.9146053991003897E-3</v>
      </c>
      <c r="K19" s="183">
        <f t="shared" si="1"/>
        <v>232.60000000000014</v>
      </c>
      <c r="M19" s="107">
        <v>10921.48</v>
      </c>
      <c r="N19" s="146">
        <f>+IFERROR(M19/Summary!M$19,"")</f>
        <v>1.292071901737846E-3</v>
      </c>
      <c r="O19" s="107">
        <v>14299.29</v>
      </c>
      <c r="P19" s="146">
        <f>+IFERROR(O19/Summary!O$19,"")</f>
        <v>1.5641978850578859E-3</v>
      </c>
      <c r="Q19" s="183">
        <f t="shared" si="2"/>
        <v>-3377.8100000000013</v>
      </c>
      <c r="R19" s="37">
        <v>12040.4</v>
      </c>
      <c r="S19" s="146">
        <f>+IFERROR(R19/Summary!R$19,"")</f>
        <v>1.5325788889045153E-3</v>
      </c>
      <c r="T19" s="183">
        <f t="shared" si="3"/>
        <v>-1118.92</v>
      </c>
    </row>
    <row r="20" spans="2:20" x14ac:dyDescent="0.25">
      <c r="B20" s="14" t="s">
        <v>232</v>
      </c>
      <c r="C20" s="17" t="s">
        <v>360</v>
      </c>
      <c r="D20" s="37">
        <v>1797.51</v>
      </c>
      <c r="E20" s="52">
        <f>+IFERROR(D20/Summary!D$19,"")</f>
        <v>1.8092424487849089E-3</v>
      </c>
      <c r="F20" s="37">
        <v>2425.7600000000002</v>
      </c>
      <c r="G20" s="52">
        <f>+IFERROR(F20/Summary!F$19,"")</f>
        <v>2.4302407563946025E-3</v>
      </c>
      <c r="H20" s="183">
        <f t="shared" si="0"/>
        <v>-628.25000000000023</v>
      </c>
      <c r="I20" s="37">
        <v>1672.57</v>
      </c>
      <c r="J20" s="52">
        <f>+IFERROR(I20/Summary!I$19,"")</f>
        <v>2.0228234354163939E-3</v>
      </c>
      <c r="K20" s="183">
        <f t="shared" si="1"/>
        <v>124.94000000000005</v>
      </c>
      <c r="M20" s="37">
        <v>16321.29</v>
      </c>
      <c r="N20" s="52">
        <f>+IFERROR(M20/Summary!M$19,"")</f>
        <v>1.930899494309827E-3</v>
      </c>
      <c r="O20" s="37">
        <v>17444.71</v>
      </c>
      <c r="P20" s="52">
        <f>+IFERROR(O20/Summary!O$19,"")</f>
        <v>1.9082750603315376E-3</v>
      </c>
      <c r="Q20" s="183">
        <f t="shared" si="2"/>
        <v>-1123.4199999999983</v>
      </c>
      <c r="R20" s="37">
        <v>13321.13</v>
      </c>
      <c r="S20" s="52">
        <f>+IFERROR(R20/Summary!R$19,"")</f>
        <v>1.6955983700169932E-3</v>
      </c>
      <c r="T20" s="183">
        <f t="shared" si="3"/>
        <v>3000.1600000000017</v>
      </c>
    </row>
    <row r="21" spans="2:20" x14ac:dyDescent="0.25">
      <c r="B21" s="14" t="s">
        <v>270</v>
      </c>
      <c r="C21" s="17" t="s">
        <v>361</v>
      </c>
      <c r="D21" s="107">
        <v>5089.99</v>
      </c>
      <c r="E21" s="146">
        <f>+IFERROR(D21/Summary!D$19,"")</f>
        <v>5.1232126507728456E-3</v>
      </c>
      <c r="F21" s="107">
        <v>5541.71</v>
      </c>
      <c r="G21" s="146">
        <f>+IFERROR(F21/Summary!F$19,"")</f>
        <v>5.5519464011771699E-3</v>
      </c>
      <c r="H21" s="227">
        <f t="shared" si="0"/>
        <v>-451.72000000000025</v>
      </c>
      <c r="I21" s="37">
        <v>1674.16</v>
      </c>
      <c r="J21" s="146">
        <f>+IFERROR(I21/Summary!I$19,"")</f>
        <v>2.0247463978408735E-3</v>
      </c>
      <c r="K21" s="227">
        <f t="shared" si="1"/>
        <v>3415.83</v>
      </c>
      <c r="M21" s="107">
        <v>30906.66</v>
      </c>
      <c r="N21" s="146">
        <f>+IFERROR(M21/Summary!M$19,"")</f>
        <v>3.6564299859144561E-3</v>
      </c>
      <c r="O21" s="107">
        <v>33211.230000000003</v>
      </c>
      <c r="P21" s="146">
        <f>+IFERROR(O21/Summary!O$19,"")</f>
        <v>3.6329730865078628E-3</v>
      </c>
      <c r="Q21" s="227">
        <f t="shared" si="2"/>
        <v>-2304.5700000000033</v>
      </c>
      <c r="R21" s="37">
        <v>35205.08</v>
      </c>
      <c r="S21" s="146">
        <f>+IFERROR(R21/Summary!R$19,"")</f>
        <v>4.4811270713759161E-3</v>
      </c>
      <c r="T21" s="227">
        <f t="shared" si="3"/>
        <v>-4298.4200000000019</v>
      </c>
    </row>
    <row r="22" spans="2:20" x14ac:dyDescent="0.25">
      <c r="B22" s="14" t="s">
        <v>292</v>
      </c>
      <c r="C22" s="23" t="s">
        <v>416</v>
      </c>
      <c r="D22" s="143">
        <f t="shared" ref="D22" si="12">+SUM(D19:D21)</f>
        <v>8703.1899999999987</v>
      </c>
      <c r="E22" s="131">
        <f>+IFERROR(D22/Summary!D$19,"")</f>
        <v>8.7599962102243266E-3</v>
      </c>
      <c r="F22" s="143">
        <f t="shared" ref="F22" si="13">+SUM(F19:F21)</f>
        <v>10324.209999999999</v>
      </c>
      <c r="G22" s="131">
        <f>+IFERROR(F22/Summary!F$19,"")</f>
        <v>1.0343280423280421E-2</v>
      </c>
      <c r="H22" s="26">
        <f t="shared" si="0"/>
        <v>-1621.0200000000004</v>
      </c>
      <c r="I22" s="143">
        <f t="shared" ref="I22" si="14">+SUM(I19:I21)</f>
        <v>4929.82</v>
      </c>
      <c r="J22" s="131">
        <f>+IFERROR(I22/Summary!I$19,"")</f>
        <v>5.9621752323576567E-3</v>
      </c>
      <c r="K22" s="228">
        <f t="shared" si="1"/>
        <v>3773.369999999999</v>
      </c>
      <c r="M22" s="143">
        <f t="shared" ref="M22" si="15">+SUM(M19:M21)</f>
        <v>58149.43</v>
      </c>
      <c r="N22" s="131">
        <f>+IFERROR(M22/Summary!M$19,"")</f>
        <v>6.8794013819621289E-3</v>
      </c>
      <c r="O22" s="143">
        <f t="shared" ref="O22" si="16">+SUM(O19:O21)</f>
        <v>64955.23</v>
      </c>
      <c r="P22" s="131">
        <f>+IFERROR(O22/Summary!O$19,"")</f>
        <v>7.1054460318972865E-3</v>
      </c>
      <c r="Q22" s="26">
        <f t="shared" si="2"/>
        <v>-6805.8000000000029</v>
      </c>
      <c r="R22" s="143">
        <f t="shared" ref="R22" si="17">+SUM(R19:R21)</f>
        <v>60566.61</v>
      </c>
      <c r="S22" s="131">
        <f>+IFERROR(R22/Summary!R$19,"")</f>
        <v>7.7093043302974241E-3</v>
      </c>
      <c r="T22" s="228">
        <f t="shared" si="3"/>
        <v>-2417.1800000000003</v>
      </c>
    </row>
    <row r="23" spans="2:20" x14ac:dyDescent="0.25">
      <c r="B23" s="14" t="s">
        <v>277</v>
      </c>
      <c r="C23" s="23" t="s">
        <v>417</v>
      </c>
      <c r="D23" s="92">
        <f t="shared" ref="D23" si="18">+D22+D18</f>
        <v>30844.720000000001</v>
      </c>
      <c r="E23" s="82">
        <f>+IFERROR(D23/Summary!D$19,"")</f>
        <v>3.1046045220824839E-2</v>
      </c>
      <c r="F23" s="92">
        <f t="shared" ref="F23" si="19">+F22+F18</f>
        <v>34084.380000000005</v>
      </c>
      <c r="G23" s="82">
        <f>+IFERROR(F23/Summary!F$19,"")</f>
        <v>3.4147339156569929E-2</v>
      </c>
      <c r="H23" s="193">
        <f t="shared" si="0"/>
        <v>-3239.6600000000035</v>
      </c>
      <c r="I23" s="92">
        <f t="shared" ref="I23" si="20">+I22+I18</f>
        <v>25396.960000000003</v>
      </c>
      <c r="J23" s="82">
        <f>+IFERROR(I23/Summary!I$19,"")</f>
        <v>3.0715345771078487E-2</v>
      </c>
      <c r="K23" s="193">
        <f t="shared" si="1"/>
        <v>5447.7599999999984</v>
      </c>
      <c r="M23" s="92">
        <f t="shared" ref="M23" si="21">+M22+M18</f>
        <v>195392.22999999998</v>
      </c>
      <c r="N23" s="82">
        <f>+IFERROR(M23/Summary!M$19,"")</f>
        <v>2.3115988877047668E-2</v>
      </c>
      <c r="O23" s="92">
        <f t="shared" ref="O23" si="22">+O22+O18</f>
        <v>206391.31</v>
      </c>
      <c r="P23" s="82">
        <f>+IFERROR(O23/Summary!O$19,"")</f>
        <v>2.2577124500330191E-2</v>
      </c>
      <c r="Q23" s="193">
        <f t="shared" si="2"/>
        <v>-10999.080000000016</v>
      </c>
      <c r="R23" s="92">
        <f t="shared" ref="R23" si="23">+R22+R18</f>
        <v>204356.58000000002</v>
      </c>
      <c r="S23" s="82">
        <f>+IFERROR(R23/Summary!R$19,"")</f>
        <v>2.6011808604093446E-2</v>
      </c>
      <c r="T23" s="193">
        <f t="shared" si="3"/>
        <v>-8964.3500000000349</v>
      </c>
    </row>
    <row r="24" spans="2:20" x14ac:dyDescent="0.25">
      <c r="B24" s="14"/>
      <c r="C24" s="18"/>
      <c r="D24" s="49"/>
      <c r="E24" s="177"/>
      <c r="F24" s="49"/>
      <c r="H24" s="75"/>
      <c r="I24" s="49"/>
      <c r="K24" s="75"/>
      <c r="M24" s="49"/>
      <c r="N24" s="177"/>
      <c r="O24" s="49"/>
      <c r="Q24" s="75"/>
      <c r="R24" s="49"/>
      <c r="T24" s="75"/>
    </row>
    <row r="25" spans="2:20" x14ac:dyDescent="0.25">
      <c r="B25" s="14"/>
      <c r="C25" s="15" t="s">
        <v>51</v>
      </c>
      <c r="D25" s="49"/>
      <c r="E25" s="54"/>
      <c r="F25" s="78"/>
      <c r="H25" s="75"/>
      <c r="I25" s="78"/>
      <c r="K25" s="75"/>
      <c r="M25" s="49"/>
      <c r="N25" s="54"/>
      <c r="O25" s="78"/>
      <c r="Q25" s="75"/>
      <c r="R25" s="78"/>
      <c r="T25" s="75"/>
    </row>
    <row r="26" spans="2:20" x14ac:dyDescent="0.25">
      <c r="B26" s="14" t="s">
        <v>195</v>
      </c>
      <c r="C26" s="17" t="s">
        <v>373</v>
      </c>
      <c r="D26" s="37">
        <v>90.98</v>
      </c>
      <c r="E26" s="52">
        <f>+IFERROR(D26/Summary!D$19,"")</f>
        <v>9.1573831572815191E-5</v>
      </c>
      <c r="F26" s="37">
        <v>100</v>
      </c>
      <c r="G26" s="52">
        <f>+IFERROR(F26/Summary!F$19,"")</f>
        <v>1.0018471556933094E-4</v>
      </c>
      <c r="H26" s="138">
        <f t="shared" ref="H26:H56" si="24">+D26-F26</f>
        <v>-9.019999999999996</v>
      </c>
      <c r="I26" s="37">
        <v>169.68</v>
      </c>
      <c r="J26" s="52">
        <f>+IFERROR(I26/Summary!I$19,"")</f>
        <v>2.0521274477089375E-4</v>
      </c>
      <c r="K26" s="138">
        <f t="shared" ref="K26:K56" si="25">+D26-I26</f>
        <v>-78.7</v>
      </c>
      <c r="M26" s="37">
        <v>304.13</v>
      </c>
      <c r="N26" s="52">
        <f>+IFERROR(M26/Summary!M$19,"")</f>
        <v>3.5980272589020086E-5</v>
      </c>
      <c r="O26" s="37">
        <v>1514</v>
      </c>
      <c r="P26" s="52">
        <f>+IFERROR(O26/Summary!O$19,"")</f>
        <v>1.6561630668219466E-4</v>
      </c>
      <c r="Q26" s="138">
        <f t="shared" ref="Q26:Q56" si="26">+M26-O26</f>
        <v>-1209.8699999999999</v>
      </c>
      <c r="R26" s="37">
        <v>2049.5100000000002</v>
      </c>
      <c r="S26" s="52">
        <f>+IFERROR(R26/Summary!R$19,"")</f>
        <v>2.6087470172076453E-4</v>
      </c>
      <c r="T26" s="138">
        <f t="shared" ref="T26:T56" si="27">+M26-R26</f>
        <v>-1745.38</v>
      </c>
    </row>
    <row r="27" spans="2:20" x14ac:dyDescent="0.25">
      <c r="B27" s="14" t="s">
        <v>87</v>
      </c>
      <c r="C27" s="17" t="s">
        <v>365</v>
      </c>
      <c r="D27" s="37">
        <v>3582.26</v>
      </c>
      <c r="E27" s="52">
        <f>+IFERROR(D27/Summary!D$19,"")</f>
        <v>3.6056416123327428E-3</v>
      </c>
      <c r="F27" s="37">
        <v>3580.3536629199998</v>
      </c>
      <c r="G27" s="52">
        <f>+IFERROR(F27/Summary!F$19,"")</f>
        <v>3.5869671335725236E-3</v>
      </c>
      <c r="H27" s="138">
        <f t="shared" si="24"/>
        <v>1.9063370800004122</v>
      </c>
      <c r="I27" s="37">
        <v>1435.29</v>
      </c>
      <c r="J27" s="52">
        <f>+IFERROR(I27/Summary!I$19,"")</f>
        <v>1.7358545523468651E-3</v>
      </c>
      <c r="K27" s="138">
        <f t="shared" si="25"/>
        <v>2146.9700000000003</v>
      </c>
      <c r="M27" s="37">
        <v>29602.400000000001</v>
      </c>
      <c r="N27" s="52">
        <f>+IFERROR(M27/Summary!M$19,"")</f>
        <v>3.5021287649663244E-3</v>
      </c>
      <c r="O27" s="37">
        <v>24213.887818863001</v>
      </c>
      <c r="P27" s="52">
        <f>+IFERROR(O27/Summary!O$19,"")</f>
        <v>2.6487547364445656E-3</v>
      </c>
      <c r="Q27" s="138">
        <f t="shared" si="26"/>
        <v>5388.5121811370009</v>
      </c>
      <c r="R27" s="37">
        <v>20233.919999999998</v>
      </c>
      <c r="S27" s="52">
        <f>+IFERROR(R27/Summary!R$19,"")</f>
        <v>2.5755023613653074E-3</v>
      </c>
      <c r="T27" s="138">
        <f t="shared" si="27"/>
        <v>9368.4800000000032</v>
      </c>
    </row>
    <row r="28" spans="2:20" x14ac:dyDescent="0.25">
      <c r="B28" s="14" t="s">
        <v>715</v>
      </c>
      <c r="C28" s="290" t="s">
        <v>362</v>
      </c>
      <c r="D28" s="37">
        <v>0</v>
      </c>
      <c r="E28" s="52">
        <f>+IFERROR(D28/Summary!D$19,"")</f>
        <v>0</v>
      </c>
      <c r="F28" s="37">
        <v>0</v>
      </c>
      <c r="G28" s="52">
        <f>+IFERROR(F28/Summary!F$19,"")</f>
        <v>0</v>
      </c>
      <c r="H28" s="138">
        <f t="shared" si="24"/>
        <v>0</v>
      </c>
      <c r="I28" s="37">
        <v>0</v>
      </c>
      <c r="J28" s="52">
        <f>+IFERROR(I28/Summary!I$19,"")</f>
        <v>0</v>
      </c>
      <c r="K28" s="138">
        <f t="shared" si="25"/>
        <v>0</v>
      </c>
      <c r="M28" s="37">
        <v>0</v>
      </c>
      <c r="N28" s="52">
        <f>+IFERROR(M28/Summary!M$19,"")</f>
        <v>0</v>
      </c>
      <c r="O28" s="37">
        <v>0</v>
      </c>
      <c r="P28" s="52">
        <f>+IFERROR(O28/Summary!O$19,"")</f>
        <v>0</v>
      </c>
      <c r="Q28" s="138">
        <f t="shared" si="26"/>
        <v>0</v>
      </c>
      <c r="R28" s="37">
        <v>0</v>
      </c>
      <c r="S28" s="52">
        <f>+IFERROR(R28/Summary!R$19,"")</f>
        <v>0</v>
      </c>
      <c r="T28" s="138">
        <f t="shared" si="27"/>
        <v>0</v>
      </c>
    </row>
    <row r="29" spans="2:20" x14ac:dyDescent="0.25">
      <c r="B29" s="14" t="s">
        <v>632</v>
      </c>
      <c r="C29" s="17" t="s">
        <v>489</v>
      </c>
      <c r="D29" s="37">
        <v>0</v>
      </c>
      <c r="E29" s="52">
        <f>+IFERROR(D29/Summary!D$19,"")</f>
        <v>0</v>
      </c>
      <c r="F29" s="37">
        <v>0</v>
      </c>
      <c r="G29" s="52">
        <f>+IFERROR(F29/Summary!F$19,"")</f>
        <v>0</v>
      </c>
      <c r="H29" s="138">
        <f t="shared" si="24"/>
        <v>0</v>
      </c>
      <c r="I29" s="37">
        <v>0</v>
      </c>
      <c r="J29" s="52">
        <f>+IFERROR(I29/Summary!I$19,"")</f>
        <v>0</v>
      </c>
      <c r="K29" s="138">
        <f t="shared" si="25"/>
        <v>0</v>
      </c>
      <c r="M29" s="37">
        <v>0</v>
      </c>
      <c r="N29" s="52">
        <f>+IFERROR(M29/Summary!M$19,"")</f>
        <v>0</v>
      </c>
      <c r="O29" s="37">
        <v>0</v>
      </c>
      <c r="P29" s="52">
        <f>+IFERROR(O29/Summary!O$19,"")</f>
        <v>0</v>
      </c>
      <c r="Q29" s="138">
        <f t="shared" si="26"/>
        <v>0</v>
      </c>
      <c r="R29" s="37">
        <v>0</v>
      </c>
      <c r="S29" s="52">
        <f>+IFERROR(R29/Summary!R$19,"")</f>
        <v>0</v>
      </c>
      <c r="T29" s="138">
        <f t="shared" si="27"/>
        <v>0</v>
      </c>
    </row>
    <row r="30" spans="2:20" x14ac:dyDescent="0.25">
      <c r="B30" s="14" t="s">
        <v>332</v>
      </c>
      <c r="C30" s="17" t="s">
        <v>377</v>
      </c>
      <c r="D30" s="37">
        <v>0</v>
      </c>
      <c r="E30" s="52">
        <f>+IFERROR(D30/Summary!D$19,"")</f>
        <v>0</v>
      </c>
      <c r="F30" s="37">
        <v>39.58</v>
      </c>
      <c r="G30" s="52">
        <f>+IFERROR(F30/Summary!F$19,"")</f>
        <v>3.9653110422341187E-5</v>
      </c>
      <c r="H30" s="138">
        <f t="shared" si="24"/>
        <v>-39.58</v>
      </c>
      <c r="I30" s="37">
        <v>-33.950000000000003</v>
      </c>
      <c r="J30" s="52">
        <f>+IFERROR(I30/Summary!I$19,"")</f>
        <v>-4.1059480698796809E-5</v>
      </c>
      <c r="K30" s="138">
        <f t="shared" si="25"/>
        <v>33.950000000000003</v>
      </c>
      <c r="M30" s="37">
        <v>295.43</v>
      </c>
      <c r="N30" s="52">
        <f>+IFERROR(M30/Summary!M$19,"")</f>
        <v>3.4951014141893939E-5</v>
      </c>
      <c r="O30" s="37">
        <v>337.48</v>
      </c>
      <c r="P30" s="52">
        <f>+IFERROR(O30/Summary!O$19,"")</f>
        <v>3.6916903024509285E-5</v>
      </c>
      <c r="Q30" s="138">
        <f t="shared" si="26"/>
        <v>-42.050000000000011</v>
      </c>
      <c r="R30" s="37">
        <v>255.05</v>
      </c>
      <c r="S30" s="52">
        <f>+IFERROR(R30/Summary!R$19,"")</f>
        <v>3.246439035373382E-5</v>
      </c>
      <c r="T30" s="138">
        <f t="shared" si="27"/>
        <v>40.379999999999995</v>
      </c>
    </row>
    <row r="31" spans="2:20" x14ac:dyDescent="0.25">
      <c r="B31" s="14" t="s">
        <v>327</v>
      </c>
      <c r="C31" s="17" t="s">
        <v>376</v>
      </c>
      <c r="D31" s="37">
        <v>0</v>
      </c>
      <c r="E31" s="52">
        <f>+IFERROR(D31/Summary!D$19,"")</f>
        <v>0</v>
      </c>
      <c r="F31" s="37">
        <v>0</v>
      </c>
      <c r="G31" s="52">
        <f>+IFERROR(F31/Summary!F$19,"")</f>
        <v>0</v>
      </c>
      <c r="H31" s="138">
        <f t="shared" si="24"/>
        <v>0</v>
      </c>
      <c r="I31" s="37">
        <v>0</v>
      </c>
      <c r="J31" s="52">
        <f>+IFERROR(I31/Summary!I$19,"")</f>
        <v>0</v>
      </c>
      <c r="K31" s="138">
        <f t="shared" si="25"/>
        <v>0</v>
      </c>
      <c r="M31" s="37">
        <v>0</v>
      </c>
      <c r="N31" s="52">
        <f>+IFERROR(M31/Summary!M$19,"")</f>
        <v>0</v>
      </c>
      <c r="O31" s="37">
        <v>0</v>
      </c>
      <c r="P31" s="52">
        <f>+IFERROR(O31/Summary!O$19,"")</f>
        <v>0</v>
      </c>
      <c r="Q31" s="138">
        <f t="shared" si="26"/>
        <v>0</v>
      </c>
      <c r="R31" s="37">
        <v>0</v>
      </c>
      <c r="S31" s="52">
        <f>+IFERROR(R31/Summary!R$19,"")</f>
        <v>0</v>
      </c>
      <c r="T31" s="138">
        <f t="shared" si="27"/>
        <v>0</v>
      </c>
    </row>
    <row r="32" spans="2:20" x14ac:dyDescent="0.25">
      <c r="B32" s="14" t="s">
        <v>315</v>
      </c>
      <c r="C32" s="17" t="s">
        <v>375</v>
      </c>
      <c r="D32" s="37">
        <v>0</v>
      </c>
      <c r="E32" s="52">
        <f>+IFERROR(D32/Summary!D$19,"")</f>
        <v>0</v>
      </c>
      <c r="F32" s="37">
        <v>0</v>
      </c>
      <c r="G32" s="52">
        <f>+IFERROR(F32/Summary!F$19,"")</f>
        <v>0</v>
      </c>
      <c r="H32" s="138">
        <f t="shared" si="24"/>
        <v>0</v>
      </c>
      <c r="I32" s="37">
        <v>0</v>
      </c>
      <c r="J32" s="52">
        <f>+IFERROR(I32/Summary!I$19,"")</f>
        <v>0</v>
      </c>
      <c r="K32" s="138">
        <f t="shared" si="25"/>
        <v>0</v>
      </c>
      <c r="M32" s="37">
        <v>0</v>
      </c>
      <c r="N32" s="52">
        <f>+IFERROR(M32/Summary!M$19,"")</f>
        <v>0</v>
      </c>
      <c r="O32" s="37">
        <v>0</v>
      </c>
      <c r="P32" s="52">
        <f>+IFERROR(O32/Summary!O$19,"")</f>
        <v>0</v>
      </c>
      <c r="Q32" s="138">
        <f t="shared" si="26"/>
        <v>0</v>
      </c>
      <c r="R32" s="37">
        <v>0</v>
      </c>
      <c r="S32" s="52">
        <f>+IFERROR(R32/Summary!R$19,"")</f>
        <v>0</v>
      </c>
      <c r="T32" s="138">
        <f t="shared" si="27"/>
        <v>0</v>
      </c>
    </row>
    <row r="33" spans="2:20" x14ac:dyDescent="0.25">
      <c r="B33" s="14" t="s">
        <v>337</v>
      </c>
      <c r="C33" s="17" t="s">
        <v>378</v>
      </c>
      <c r="D33" s="37">
        <v>0</v>
      </c>
      <c r="E33" s="52">
        <f>+IFERROR(D33/Summary!D$19,"")</f>
        <v>0</v>
      </c>
      <c r="F33" s="37">
        <v>0</v>
      </c>
      <c r="G33" s="52">
        <f>+IFERROR(F33/Summary!F$19,"")</f>
        <v>0</v>
      </c>
      <c r="H33" s="138">
        <f t="shared" si="24"/>
        <v>0</v>
      </c>
      <c r="I33" s="37">
        <v>0</v>
      </c>
      <c r="J33" s="52">
        <f>+IFERROR(I33/Summary!I$19,"")</f>
        <v>0</v>
      </c>
      <c r="K33" s="138">
        <f t="shared" si="25"/>
        <v>0</v>
      </c>
      <c r="M33" s="37">
        <v>608.99</v>
      </c>
      <c r="N33" s="52">
        <f>+IFERROR(M33/Summary!M$19,"")</f>
        <v>7.2046908243143855E-5</v>
      </c>
      <c r="O33" s="37">
        <v>525</v>
      </c>
      <c r="P33" s="52">
        <f>+IFERROR(O33/Summary!O$19,"")</f>
        <v>5.7429696834975033E-5</v>
      </c>
      <c r="Q33" s="138">
        <f t="shared" si="26"/>
        <v>83.990000000000009</v>
      </c>
      <c r="R33" s="37">
        <v>530.28</v>
      </c>
      <c r="S33" s="52">
        <f>+IFERROR(R33/Summary!R$19,"")</f>
        <v>6.749741978740626E-5</v>
      </c>
      <c r="T33" s="138">
        <f t="shared" si="27"/>
        <v>78.710000000000036</v>
      </c>
    </row>
    <row r="34" spans="2:20" x14ac:dyDescent="0.25">
      <c r="B34" s="14" t="s">
        <v>342</v>
      </c>
      <c r="C34" s="17" t="s">
        <v>421</v>
      </c>
      <c r="D34" s="37">
        <v>357.21</v>
      </c>
      <c r="E34" s="52">
        <f>+IFERROR(D34/Summary!D$19,"")</f>
        <v>3.5954152974417795E-4</v>
      </c>
      <c r="F34" s="37">
        <v>320.75</v>
      </c>
      <c r="G34" s="52">
        <f>+IFERROR(F34/Summary!F$19,"")</f>
        <v>3.2134247518862902E-4</v>
      </c>
      <c r="H34" s="138">
        <f t="shared" si="24"/>
        <v>36.45999999999998</v>
      </c>
      <c r="I34" s="37">
        <v>132.4</v>
      </c>
      <c r="J34" s="52">
        <f>+IFERROR(I34/Summary!I$19,"")</f>
        <v>1.6012592767365824E-4</v>
      </c>
      <c r="K34" s="138">
        <f t="shared" si="25"/>
        <v>224.80999999999997</v>
      </c>
      <c r="M34" s="37">
        <v>1961.54</v>
      </c>
      <c r="N34" s="52">
        <f>+IFERROR(M34/Summary!M$19,"")</f>
        <v>2.3206110510066899E-4</v>
      </c>
      <c r="O34" s="37">
        <v>1924.5</v>
      </c>
      <c r="P34" s="52">
        <f>+IFERROR(O34/Summary!O$19,"")</f>
        <v>2.1052086011220846E-4</v>
      </c>
      <c r="Q34" s="138">
        <f t="shared" si="26"/>
        <v>37.039999999999964</v>
      </c>
      <c r="R34" s="37">
        <v>1863.02</v>
      </c>
      <c r="S34" s="52">
        <f>+IFERROR(R34/Summary!R$19,"")</f>
        <v>2.3713706534723847E-4</v>
      </c>
      <c r="T34" s="138">
        <f t="shared" si="27"/>
        <v>98.519999999999982</v>
      </c>
    </row>
    <row r="35" spans="2:20" x14ac:dyDescent="0.25">
      <c r="B35" s="14" t="s">
        <v>126</v>
      </c>
      <c r="C35" s="17" t="s">
        <v>367</v>
      </c>
      <c r="D35" s="37">
        <v>0</v>
      </c>
      <c r="E35" s="52">
        <f>+IFERROR(D35/Summary!D$19,"")</f>
        <v>0</v>
      </c>
      <c r="F35" s="37">
        <v>0</v>
      </c>
      <c r="G35" s="52">
        <f>+IFERROR(F35/Summary!F$19,"")</f>
        <v>0</v>
      </c>
      <c r="H35" s="138">
        <f t="shared" si="24"/>
        <v>0</v>
      </c>
      <c r="I35" s="37">
        <v>0</v>
      </c>
      <c r="J35" s="52">
        <f>+IFERROR(I35/Summary!I$19,"")</f>
        <v>0</v>
      </c>
      <c r="K35" s="138">
        <f t="shared" si="25"/>
        <v>0</v>
      </c>
      <c r="M35" s="37">
        <v>0</v>
      </c>
      <c r="N35" s="52">
        <f>+IFERROR(M35/Summary!M$19,"")</f>
        <v>0</v>
      </c>
      <c r="O35" s="37">
        <v>0</v>
      </c>
      <c r="P35" s="52">
        <f>+IFERROR(O35/Summary!O$19,"")</f>
        <v>0</v>
      </c>
      <c r="Q35" s="138">
        <f t="shared" si="26"/>
        <v>0</v>
      </c>
      <c r="R35" s="37">
        <v>0</v>
      </c>
      <c r="S35" s="52">
        <f>+IFERROR(R35/Summary!R$19,"")</f>
        <v>0</v>
      </c>
      <c r="T35" s="138">
        <f t="shared" si="27"/>
        <v>0</v>
      </c>
    </row>
    <row r="36" spans="2:20" x14ac:dyDescent="0.25">
      <c r="B36" s="14" t="s">
        <v>128</v>
      </c>
      <c r="C36" s="17" t="s">
        <v>524</v>
      </c>
      <c r="D36" s="37">
        <v>0</v>
      </c>
      <c r="E36" s="52">
        <f>+IFERROR(D36/Summary!D$19,"")</f>
        <v>0</v>
      </c>
      <c r="F36" s="37">
        <v>0</v>
      </c>
      <c r="G36" s="52">
        <f>+IFERROR(F36/Summary!F$19,"")</f>
        <v>0</v>
      </c>
      <c r="H36" s="138">
        <f t="shared" si="24"/>
        <v>0</v>
      </c>
      <c r="I36" s="37">
        <v>0</v>
      </c>
      <c r="J36" s="52">
        <f>+IFERROR(I36/Summary!I$19,"")</f>
        <v>0</v>
      </c>
      <c r="K36" s="138">
        <f t="shared" si="25"/>
        <v>0</v>
      </c>
      <c r="M36" s="37">
        <v>0</v>
      </c>
      <c r="N36" s="52">
        <f>+IFERROR(M36/Summary!M$19,"")</f>
        <v>0</v>
      </c>
      <c r="O36" s="37">
        <v>0</v>
      </c>
      <c r="P36" s="52">
        <f>+IFERROR(O36/Summary!O$19,"")</f>
        <v>0</v>
      </c>
      <c r="Q36" s="138">
        <f t="shared" si="26"/>
        <v>0</v>
      </c>
      <c r="R36" s="37">
        <v>0</v>
      </c>
      <c r="S36" s="52">
        <f>+IFERROR(R36/Summary!R$19,"")</f>
        <v>0</v>
      </c>
      <c r="T36" s="138">
        <f t="shared" si="27"/>
        <v>0</v>
      </c>
    </row>
    <row r="37" spans="2:20" x14ac:dyDescent="0.25">
      <c r="B37" s="14" t="s">
        <v>164</v>
      </c>
      <c r="C37" s="17" t="s">
        <v>371</v>
      </c>
      <c r="D37" s="37">
        <v>250.7</v>
      </c>
      <c r="E37" s="52">
        <f>+IFERROR(D37/Summary!D$19,"")</f>
        <v>2.523363329886213E-4</v>
      </c>
      <c r="F37" s="37">
        <v>0</v>
      </c>
      <c r="G37" s="52">
        <f>+IFERROR(F37/Summary!F$19,"")</f>
        <v>0</v>
      </c>
      <c r="H37" s="138">
        <f t="shared" si="24"/>
        <v>250.7</v>
      </c>
      <c r="I37" s="37">
        <v>0</v>
      </c>
      <c r="J37" s="52">
        <f>+IFERROR(I37/Summary!I$19,"")</f>
        <v>0</v>
      </c>
      <c r="K37" s="138">
        <f t="shared" si="25"/>
        <v>250.7</v>
      </c>
      <c r="M37" s="37">
        <v>-2859.3</v>
      </c>
      <c r="N37" s="52">
        <f>+IFERROR(M37/Summary!M$19,"")</f>
        <v>-3.3827111239859647E-4</v>
      </c>
      <c r="O37" s="37">
        <v>867</v>
      </c>
      <c r="P37" s="52">
        <f>+IFERROR(O37/Summary!O$19,"")</f>
        <v>9.4841042201758766E-5</v>
      </c>
      <c r="Q37" s="138">
        <f t="shared" si="26"/>
        <v>-3726.3</v>
      </c>
      <c r="R37" s="37">
        <v>-5300</v>
      </c>
      <c r="S37" s="52">
        <f>+IFERROR(R37/Summary!R$19,"")</f>
        <v>-6.7461779601956176E-4</v>
      </c>
      <c r="T37" s="138">
        <f t="shared" si="27"/>
        <v>2440.6999999999998</v>
      </c>
    </row>
    <row r="38" spans="2:20" x14ac:dyDescent="0.25">
      <c r="B38" s="14" t="s">
        <v>165</v>
      </c>
      <c r="C38" s="17" t="s">
        <v>508</v>
      </c>
      <c r="D38" s="37">
        <v>730.25</v>
      </c>
      <c r="E38" s="52">
        <f>+IFERROR(D38/Summary!D$19,"")</f>
        <v>7.3501638278795651E-4</v>
      </c>
      <c r="F38" s="37">
        <v>945</v>
      </c>
      <c r="G38" s="52">
        <f>+IFERROR(F38/Summary!F$19,"")</f>
        <v>9.467455621301774E-4</v>
      </c>
      <c r="H38" s="138">
        <f t="shared" si="24"/>
        <v>-214.75</v>
      </c>
      <c r="I38" s="37">
        <v>1380.99</v>
      </c>
      <c r="J38" s="52">
        <f>+IFERROR(I38/Summary!I$19,"")</f>
        <v>1.6701835714353873E-3</v>
      </c>
      <c r="K38" s="138">
        <f t="shared" si="25"/>
        <v>-650.74</v>
      </c>
      <c r="M38" s="37">
        <v>5173.47</v>
      </c>
      <c r="N38" s="52">
        <f>+IFERROR(M38/Summary!M$19,"")</f>
        <v>6.1205031016709226E-4</v>
      </c>
      <c r="O38" s="37">
        <v>3480</v>
      </c>
      <c r="P38" s="52">
        <f>+IFERROR(O38/Summary!O$19,"")</f>
        <v>3.8067684759183449E-4</v>
      </c>
      <c r="Q38" s="138">
        <f t="shared" si="26"/>
        <v>1693.4700000000003</v>
      </c>
      <c r="R38" s="37">
        <v>5769.15</v>
      </c>
      <c r="S38" s="52">
        <f>+IFERROR(R38/Summary!R$19,"")</f>
        <v>7.3433419960495367E-4</v>
      </c>
      <c r="T38" s="138">
        <f t="shared" si="27"/>
        <v>-595.67999999999938</v>
      </c>
    </row>
    <row r="39" spans="2:20" x14ac:dyDescent="0.25">
      <c r="B39" s="14" t="s">
        <v>113</v>
      </c>
      <c r="C39" s="17" t="s">
        <v>509</v>
      </c>
      <c r="D39" s="37">
        <v>720.2</v>
      </c>
      <c r="E39" s="52">
        <f>+IFERROR(D39/Summary!D$19,"")</f>
        <v>7.2490078587317535E-4</v>
      </c>
      <c r="F39" s="37">
        <v>350</v>
      </c>
      <c r="G39" s="52">
        <f>+IFERROR(F39/Summary!F$19,"")</f>
        <v>3.5064650449265829E-4</v>
      </c>
      <c r="H39" s="138">
        <f t="shared" si="24"/>
        <v>370.20000000000005</v>
      </c>
      <c r="I39" s="37">
        <v>1015.3</v>
      </c>
      <c r="J39" s="52">
        <f>+IFERROR(I39/Summary!I$19,"")</f>
        <v>1.2279143079083473E-3</v>
      </c>
      <c r="K39" s="138">
        <f t="shared" si="25"/>
        <v>-295.09999999999991</v>
      </c>
      <c r="M39" s="37">
        <v>3501.47</v>
      </c>
      <c r="N39" s="52">
        <f>+IFERROR(M39/Summary!M$19,"")</f>
        <v>4.1424339940905586E-4</v>
      </c>
      <c r="O39" s="37">
        <v>3987</v>
      </c>
      <c r="P39" s="52">
        <f>+IFERROR(O39/Summary!O$19,"")</f>
        <v>4.3613752624961036E-4</v>
      </c>
      <c r="Q39" s="138">
        <f t="shared" si="26"/>
        <v>-485.5300000000002</v>
      </c>
      <c r="R39" s="37">
        <v>3152.58</v>
      </c>
      <c r="S39" s="52">
        <f>+IFERROR(R39/Summary!R$19,"")</f>
        <v>4.0128048516516033E-4</v>
      </c>
      <c r="T39" s="138">
        <f t="shared" si="27"/>
        <v>348.88999999999987</v>
      </c>
    </row>
    <row r="40" spans="2:20" x14ac:dyDescent="0.25">
      <c r="B40" s="14" t="s">
        <v>155</v>
      </c>
      <c r="C40" s="17" t="s">
        <v>510</v>
      </c>
      <c r="D40" s="37">
        <v>3071.96</v>
      </c>
      <c r="E40" s="52">
        <f>+IFERROR(D40/Summary!D$19,"")</f>
        <v>3.0920108555553454E-3</v>
      </c>
      <c r="F40" s="37">
        <v>2786.17</v>
      </c>
      <c r="G40" s="52">
        <f>+IFERROR(F40/Summary!F$19,"")</f>
        <v>2.7913164897780279E-3</v>
      </c>
      <c r="H40" s="138">
        <f t="shared" si="24"/>
        <v>285.78999999999996</v>
      </c>
      <c r="I40" s="37">
        <v>3025</v>
      </c>
      <c r="J40" s="52">
        <f>+IFERROR(I40/Summary!I$19,"")</f>
        <v>3.6584662478309376E-3</v>
      </c>
      <c r="K40" s="138">
        <f t="shared" si="25"/>
        <v>46.960000000000036</v>
      </c>
      <c r="M40" s="37">
        <v>8323.02</v>
      </c>
      <c r="N40" s="52">
        <f>+IFERROR(M40/Summary!M$19,"")</f>
        <v>9.8465961386205226E-4</v>
      </c>
      <c r="O40" s="37">
        <v>10117.02</v>
      </c>
      <c r="P40" s="52">
        <f>+IFERROR(O40/Summary!O$19,"")</f>
        <v>1.1066997932826269E-3</v>
      </c>
      <c r="Q40" s="138">
        <f t="shared" si="26"/>
        <v>-1794</v>
      </c>
      <c r="R40" s="37">
        <v>6467.2</v>
      </c>
      <c r="S40" s="52">
        <f>+IFERROR(R40/Summary!R$19,"")</f>
        <v>8.2318645479579429E-4</v>
      </c>
      <c r="T40" s="138">
        <f t="shared" si="27"/>
        <v>1855.8200000000006</v>
      </c>
    </row>
    <row r="41" spans="2:20" x14ac:dyDescent="0.25">
      <c r="B41" s="14" t="s">
        <v>158</v>
      </c>
      <c r="C41" s="17" t="s">
        <v>522</v>
      </c>
      <c r="D41" s="37">
        <v>0</v>
      </c>
      <c r="E41" s="52">
        <f>+IFERROR(D41/Summary!D$19,"")</f>
        <v>0</v>
      </c>
      <c r="F41" s="37">
        <v>0</v>
      </c>
      <c r="G41" s="52">
        <f>+IFERROR(F41/Summary!F$19,"")</f>
        <v>0</v>
      </c>
      <c r="H41" s="138">
        <f t="shared" si="24"/>
        <v>0</v>
      </c>
      <c r="I41" s="37">
        <v>0</v>
      </c>
      <c r="J41" s="52">
        <f>+IFERROR(I41/Summary!I$19,"")</f>
        <v>0</v>
      </c>
      <c r="K41" s="138">
        <f t="shared" si="25"/>
        <v>0</v>
      </c>
      <c r="M41" s="37">
        <v>0</v>
      </c>
      <c r="N41" s="52">
        <f>+IFERROR(M41/Summary!M$19,"")</f>
        <v>0</v>
      </c>
      <c r="O41" s="37">
        <v>0</v>
      </c>
      <c r="P41" s="52">
        <f>+IFERROR(O41/Summary!O$19,"")</f>
        <v>0</v>
      </c>
      <c r="Q41" s="138">
        <f t="shared" si="26"/>
        <v>0</v>
      </c>
      <c r="R41" s="37">
        <v>0</v>
      </c>
      <c r="S41" s="52">
        <f>+IFERROR(R41/Summary!R$19,"")</f>
        <v>0</v>
      </c>
      <c r="T41" s="138">
        <f t="shared" si="27"/>
        <v>0</v>
      </c>
    </row>
    <row r="42" spans="2:20" x14ac:dyDescent="0.25">
      <c r="B42" s="14" t="s">
        <v>160</v>
      </c>
      <c r="C42" s="17" t="s">
        <v>523</v>
      </c>
      <c r="D42" s="37">
        <v>0</v>
      </c>
      <c r="E42" s="52">
        <f>+IFERROR(D42/Summary!D$19,"")</f>
        <v>0</v>
      </c>
      <c r="F42" s="37">
        <v>0</v>
      </c>
      <c r="G42" s="52">
        <f>+IFERROR(F42/Summary!F$19,"")</f>
        <v>0</v>
      </c>
      <c r="H42" s="138">
        <f t="shared" si="24"/>
        <v>0</v>
      </c>
      <c r="I42" s="37">
        <v>0</v>
      </c>
      <c r="J42" s="52">
        <f>+IFERROR(I42/Summary!I$19,"")</f>
        <v>0</v>
      </c>
      <c r="K42" s="138">
        <f t="shared" si="25"/>
        <v>0</v>
      </c>
      <c r="M42" s="37">
        <v>0</v>
      </c>
      <c r="N42" s="52">
        <f>+IFERROR(M42/Summary!M$19,"")</f>
        <v>0</v>
      </c>
      <c r="O42" s="37">
        <v>0</v>
      </c>
      <c r="P42" s="52">
        <f>+IFERROR(O42/Summary!O$19,"")</f>
        <v>0</v>
      </c>
      <c r="Q42" s="138">
        <f t="shared" si="26"/>
        <v>0</v>
      </c>
      <c r="R42" s="37">
        <v>0</v>
      </c>
      <c r="S42" s="52">
        <f>+IFERROR(R42/Summary!R$19,"")</f>
        <v>0</v>
      </c>
      <c r="T42" s="138">
        <f t="shared" si="27"/>
        <v>0</v>
      </c>
    </row>
    <row r="43" spans="2:20" x14ac:dyDescent="0.25">
      <c r="B43" s="14" t="s">
        <v>134</v>
      </c>
      <c r="C43" s="17" t="s">
        <v>511</v>
      </c>
      <c r="D43" s="37">
        <v>0</v>
      </c>
      <c r="E43" s="52">
        <f>+IFERROR(D43/Summary!D$19,"")</f>
        <v>0</v>
      </c>
      <c r="F43" s="37">
        <v>0</v>
      </c>
      <c r="G43" s="52">
        <f>+IFERROR(F43/Summary!F$19,"")</f>
        <v>0</v>
      </c>
      <c r="H43" s="138">
        <f t="shared" si="24"/>
        <v>0</v>
      </c>
      <c r="I43" s="37">
        <v>0</v>
      </c>
      <c r="J43" s="52">
        <f>+IFERROR(I43/Summary!I$19,"")</f>
        <v>0</v>
      </c>
      <c r="K43" s="138">
        <f t="shared" si="25"/>
        <v>0</v>
      </c>
      <c r="M43" s="37">
        <v>2290.8000000000002</v>
      </c>
      <c r="N43" s="52">
        <f>+IFERROR(M43/Summary!M$19,"")</f>
        <v>2.7101439662949138E-4</v>
      </c>
      <c r="O43" s="37">
        <v>871</v>
      </c>
      <c r="P43" s="52">
        <f>+IFERROR(O43/Summary!O$19,"")</f>
        <v>9.5278601796691911E-5</v>
      </c>
      <c r="Q43" s="138">
        <f t="shared" si="26"/>
        <v>1419.8000000000002</v>
      </c>
      <c r="R43" s="37">
        <v>-875</v>
      </c>
      <c r="S43" s="52">
        <f>+IFERROR(R43/Summary!R$19,"")</f>
        <v>-1.1137557953153142E-4</v>
      </c>
      <c r="T43" s="138">
        <f t="shared" si="27"/>
        <v>3165.8</v>
      </c>
    </row>
    <row r="44" spans="2:20" x14ac:dyDescent="0.25">
      <c r="B44" s="14" t="s">
        <v>64</v>
      </c>
      <c r="C44" s="17" t="s">
        <v>512</v>
      </c>
      <c r="D44" s="37">
        <v>2763.43</v>
      </c>
      <c r="E44" s="52">
        <f>+IFERROR(D44/Summary!D$19,"")</f>
        <v>2.7814670629068435E-3</v>
      </c>
      <c r="F44" s="37">
        <v>1310</v>
      </c>
      <c r="G44" s="52">
        <f>+IFERROR(F44/Summary!F$19,"")</f>
        <v>1.3124197739582354E-3</v>
      </c>
      <c r="H44" s="138">
        <f t="shared" si="24"/>
        <v>1453.4299999999998</v>
      </c>
      <c r="I44" s="37">
        <v>578.23</v>
      </c>
      <c r="J44" s="52">
        <f>+IFERROR(I44/Summary!I$19,"")</f>
        <v>6.9931733503579606E-4</v>
      </c>
      <c r="K44" s="138">
        <f t="shared" si="25"/>
        <v>2185.1999999999998</v>
      </c>
      <c r="M44" s="37">
        <v>8304.56</v>
      </c>
      <c r="N44" s="52">
        <f>+IFERROR(M44/Summary!M$19,"")</f>
        <v>9.8247569306504656E-4</v>
      </c>
      <c r="O44" s="37">
        <v>9222</v>
      </c>
      <c r="P44" s="52">
        <f>+IFERROR(O44/Summary!O$19,"")</f>
        <v>1.0087936461183615E-3</v>
      </c>
      <c r="Q44" s="138">
        <f t="shared" si="26"/>
        <v>-917.44000000000051</v>
      </c>
      <c r="R44" s="37">
        <v>7724.76</v>
      </c>
      <c r="S44" s="52">
        <f>+IFERROR(R44/Summary!R$19,"")</f>
        <v>9.8325671056227726E-4</v>
      </c>
      <c r="T44" s="138">
        <f t="shared" si="27"/>
        <v>579.79999999999927</v>
      </c>
    </row>
    <row r="45" spans="2:20" x14ac:dyDescent="0.25">
      <c r="B45" s="14" t="s">
        <v>213</v>
      </c>
      <c r="C45" s="17" t="s">
        <v>513</v>
      </c>
      <c r="D45" s="37">
        <v>2677.78</v>
      </c>
      <c r="E45" s="52">
        <f>+IFERROR(D45/Summary!D$19,"")</f>
        <v>2.6952580205435598E-3</v>
      </c>
      <c r="F45" s="37">
        <v>350.75</v>
      </c>
      <c r="G45" s="52">
        <f>+IFERROR(F45/Summary!F$19,"")</f>
        <v>3.5139788985942826E-4</v>
      </c>
      <c r="H45" s="138">
        <f t="shared" si="24"/>
        <v>2327.0300000000002</v>
      </c>
      <c r="I45" s="37">
        <v>236.93</v>
      </c>
      <c r="J45" s="52">
        <f>+IFERROR(I45/Summary!I$19,"")</f>
        <v>2.8654558945407737E-4</v>
      </c>
      <c r="K45" s="138">
        <f t="shared" si="25"/>
        <v>2440.8500000000004</v>
      </c>
      <c r="M45" s="37">
        <v>3824.74</v>
      </c>
      <c r="N45" s="52">
        <f>+IFERROR(M45/Summary!M$19,"")</f>
        <v>4.5248804058175342E-4</v>
      </c>
      <c r="O45" s="37">
        <v>2104.5</v>
      </c>
      <c r="P45" s="52">
        <f>+IFERROR(O45/Summary!O$19,"")</f>
        <v>2.3021104188419991E-4</v>
      </c>
      <c r="Q45" s="138">
        <f t="shared" si="26"/>
        <v>1720.2399999999998</v>
      </c>
      <c r="R45" s="37">
        <v>1599.47</v>
      </c>
      <c r="S45" s="52">
        <f>+IFERROR(R45/Summary!R$19,"")</f>
        <v>2.035907407923412E-4</v>
      </c>
      <c r="T45" s="138">
        <f t="shared" si="27"/>
        <v>2225.2699999999995</v>
      </c>
    </row>
    <row r="46" spans="2:20" x14ac:dyDescent="0.25">
      <c r="B46" s="14" t="s">
        <v>209</v>
      </c>
      <c r="C46" s="17" t="s">
        <v>514</v>
      </c>
      <c r="D46" s="37">
        <v>1143.4000000000001</v>
      </c>
      <c r="E46" s="52">
        <f>+IFERROR(D46/Summary!D$19,"")</f>
        <v>1.1508630360558022E-3</v>
      </c>
      <c r="F46" s="37">
        <v>1087</v>
      </c>
      <c r="G46" s="52">
        <f>+IFERROR(F46/Summary!F$19,"")</f>
        <v>1.0890078582386274E-3</v>
      </c>
      <c r="H46" s="138">
        <f t="shared" si="24"/>
        <v>56.400000000000091</v>
      </c>
      <c r="I46" s="37">
        <v>394.7</v>
      </c>
      <c r="J46" s="52">
        <f>+IFERROR(I46/Summary!I$19,"")</f>
        <v>4.7735425719632103E-4</v>
      </c>
      <c r="K46" s="138">
        <f t="shared" si="25"/>
        <v>748.7</v>
      </c>
      <c r="M46" s="37">
        <v>6586</v>
      </c>
      <c r="N46" s="52">
        <f>+IFERROR(M46/Summary!M$19,"")</f>
        <v>7.7916047503135593E-4</v>
      </c>
      <c r="O46" s="37">
        <v>6518</v>
      </c>
      <c r="P46" s="52">
        <f>+IFERROR(O46/Summary!O$19,"")</f>
        <v>7.1300335994355665E-4</v>
      </c>
      <c r="Q46" s="138">
        <f t="shared" si="26"/>
        <v>68</v>
      </c>
      <c r="R46" s="37">
        <v>5590.85</v>
      </c>
      <c r="S46" s="52">
        <f>+IFERROR(R46/Summary!R$19,"")</f>
        <v>7.1163903865584287E-4</v>
      </c>
      <c r="T46" s="138">
        <f t="shared" si="27"/>
        <v>995.14999999999964</v>
      </c>
    </row>
    <row r="47" spans="2:20" x14ac:dyDescent="0.25">
      <c r="B47" s="14" t="s">
        <v>233</v>
      </c>
      <c r="C47" s="17" t="s">
        <v>521</v>
      </c>
      <c r="D47" s="37">
        <v>2910</v>
      </c>
      <c r="E47" s="52">
        <f>+IFERROR(D47/Summary!D$19,"")</f>
        <v>2.9289937335336578E-3</v>
      </c>
      <c r="F47" s="37">
        <v>3070</v>
      </c>
      <c r="G47" s="52">
        <f>+IFERROR(F47/Summary!F$19,"")</f>
        <v>3.0756707679784599E-3</v>
      </c>
      <c r="H47" s="138">
        <f t="shared" si="24"/>
        <v>-160</v>
      </c>
      <c r="I47" s="37">
        <v>2830.23</v>
      </c>
      <c r="J47" s="52">
        <f>+IFERROR(I47/Summary!I$19,"")</f>
        <v>3.4229093978838197E-3</v>
      </c>
      <c r="K47" s="138">
        <f t="shared" si="25"/>
        <v>79.769999999999982</v>
      </c>
      <c r="M47" s="37">
        <v>14082.06</v>
      </c>
      <c r="N47" s="52">
        <f>+IFERROR(M47/Summary!M$19,"")</f>
        <v>1.6659861158548521E-3</v>
      </c>
      <c r="O47" s="37">
        <v>15820</v>
      </c>
      <c r="P47" s="52">
        <f>+IFERROR(O47/Summary!O$19,"")</f>
        <v>1.730548197960581E-3</v>
      </c>
      <c r="Q47" s="138">
        <f t="shared" si="26"/>
        <v>-1737.9400000000005</v>
      </c>
      <c r="R47" s="37">
        <v>12557.13</v>
      </c>
      <c r="S47" s="52">
        <f>+IFERROR(R47/Summary!R$19,"")</f>
        <v>1.5983515782888903E-3</v>
      </c>
      <c r="T47" s="138">
        <f t="shared" si="27"/>
        <v>1524.9300000000003</v>
      </c>
    </row>
    <row r="48" spans="2:20" x14ac:dyDescent="0.25">
      <c r="B48" s="14" t="s">
        <v>115</v>
      </c>
      <c r="C48" s="17" t="s">
        <v>515</v>
      </c>
      <c r="D48" s="37">
        <v>3250.26</v>
      </c>
      <c r="E48" s="52">
        <f>+IFERROR(D48/Summary!D$19,"")</f>
        <v>3.2714746296752945E-3</v>
      </c>
      <c r="F48" s="37">
        <v>2675.79</v>
      </c>
      <c r="G48" s="52">
        <f>+IFERROR(F48/Summary!F$19,"")</f>
        <v>2.6807326007326003E-3</v>
      </c>
      <c r="H48" s="138">
        <f t="shared" si="24"/>
        <v>574.47000000000025</v>
      </c>
      <c r="I48" s="37">
        <v>2339.11</v>
      </c>
      <c r="J48" s="52">
        <f>+IFERROR(I48/Summary!I$19,"")</f>
        <v>2.8289437966822562E-3</v>
      </c>
      <c r="K48" s="138">
        <f t="shared" si="25"/>
        <v>911.15000000000009</v>
      </c>
      <c r="M48" s="37">
        <v>13246.98</v>
      </c>
      <c r="N48" s="52">
        <f>+IFERROR(M48/Summary!M$19,"")</f>
        <v>1.5671915015989784E-3</v>
      </c>
      <c r="O48" s="37">
        <v>15895.26</v>
      </c>
      <c r="P48" s="52">
        <f>+IFERROR(O48/Summary!O$19,"")</f>
        <v>1.7387808817392481E-3</v>
      </c>
      <c r="Q48" s="138">
        <f t="shared" si="26"/>
        <v>-2648.2800000000007</v>
      </c>
      <c r="R48" s="37">
        <v>17382.23</v>
      </c>
      <c r="S48" s="52">
        <f>+IFERROR(R48/Summary!R$19,"")</f>
        <v>2.2125210740575672E-3</v>
      </c>
      <c r="T48" s="138">
        <f t="shared" si="27"/>
        <v>-4135.25</v>
      </c>
    </row>
    <row r="49" spans="2:24" x14ac:dyDescent="0.25">
      <c r="B49" s="14" t="s">
        <v>93</v>
      </c>
      <c r="C49" s="17" t="s">
        <v>488</v>
      </c>
      <c r="D49" s="37">
        <v>0</v>
      </c>
      <c r="E49" s="52">
        <f>+IFERROR(D49/Summary!D$19,"")</f>
        <v>0</v>
      </c>
      <c r="F49" s="37">
        <v>0</v>
      </c>
      <c r="G49" s="52">
        <f>+IFERROR(F49/Summary!F$19,"")</f>
        <v>0</v>
      </c>
      <c r="H49" s="138">
        <f t="shared" si="24"/>
        <v>0</v>
      </c>
      <c r="I49" s="37">
        <v>0</v>
      </c>
      <c r="J49" s="52">
        <f>+IFERROR(I49/Summary!I$19,"")</f>
        <v>0</v>
      </c>
      <c r="K49" s="138">
        <f t="shared" si="25"/>
        <v>0</v>
      </c>
      <c r="M49" s="37">
        <v>0</v>
      </c>
      <c r="N49" s="52">
        <f>+IFERROR(M49/Summary!M$19,"")</f>
        <v>0</v>
      </c>
      <c r="O49" s="37">
        <v>0</v>
      </c>
      <c r="P49" s="52">
        <f>+IFERROR(O49/Summary!O$19,"")</f>
        <v>0</v>
      </c>
      <c r="Q49" s="138">
        <f t="shared" si="26"/>
        <v>0</v>
      </c>
      <c r="R49" s="37">
        <v>0</v>
      </c>
      <c r="S49" s="52">
        <f>+IFERROR(R49/Summary!R$19,"")</f>
        <v>0</v>
      </c>
      <c r="T49" s="138">
        <f t="shared" si="27"/>
        <v>0</v>
      </c>
    </row>
    <row r="50" spans="2:24" x14ac:dyDescent="0.25">
      <c r="B50" s="14" t="s">
        <v>138</v>
      </c>
      <c r="C50" s="17" t="s">
        <v>516</v>
      </c>
      <c r="D50" s="37">
        <v>2937.5</v>
      </c>
      <c r="E50" s="52">
        <f>+IFERROR(D50/Summary!D$19,"")</f>
        <v>2.9566732275790788E-3</v>
      </c>
      <c r="F50" s="37">
        <v>2791.5</v>
      </c>
      <c r="G50" s="52">
        <f>+IFERROR(F50/Summary!F$19,"")</f>
        <v>2.7966563351178734E-3</v>
      </c>
      <c r="H50" s="138">
        <f t="shared" si="24"/>
        <v>146</v>
      </c>
      <c r="I50" s="37">
        <v>2500</v>
      </c>
      <c r="J50" s="52">
        <f>+IFERROR(I50/Summary!I$19,"")</f>
        <v>3.0235258246536674E-3</v>
      </c>
      <c r="K50" s="138">
        <f t="shared" si="25"/>
        <v>437.5</v>
      </c>
      <c r="M50" s="37">
        <v>15637.5</v>
      </c>
      <c r="N50" s="52">
        <f>+IFERROR(M50/Summary!M$19,"")</f>
        <v>1.8500033295327709E-3</v>
      </c>
      <c r="O50" s="37">
        <v>16749</v>
      </c>
      <c r="P50" s="52">
        <f>+IFERROR(O50/Summary!O$19,"")</f>
        <v>1.8321714138838034E-3</v>
      </c>
      <c r="Q50" s="138">
        <f t="shared" si="26"/>
        <v>-1111.5</v>
      </c>
      <c r="R50" s="37">
        <v>16647.990000000002</v>
      </c>
      <c r="S50" s="52">
        <f>+IFERROR(R50/Summary!R$19,"")</f>
        <v>2.1190623248973028E-3</v>
      </c>
      <c r="T50" s="138">
        <f t="shared" si="27"/>
        <v>-1010.4900000000016</v>
      </c>
    </row>
    <row r="51" spans="2:24" x14ac:dyDescent="0.25">
      <c r="B51" s="14" t="s">
        <v>166</v>
      </c>
      <c r="C51" s="17" t="s">
        <v>517</v>
      </c>
      <c r="D51" s="37">
        <v>200</v>
      </c>
      <c r="E51" s="52">
        <f>+IFERROR(D51/Summary!D$19,"")</f>
        <v>2.0130541123942664E-4</v>
      </c>
      <c r="F51" s="37">
        <v>200</v>
      </c>
      <c r="G51" s="52">
        <f>+IFERROR(F51/Summary!F$19,"")</f>
        <v>2.0036943113866187E-4</v>
      </c>
      <c r="H51" s="138">
        <f t="shared" si="24"/>
        <v>0</v>
      </c>
      <c r="I51" s="37">
        <v>154.22999999999999</v>
      </c>
      <c r="J51" s="52">
        <f>+IFERROR(I51/Summary!I$19,"")</f>
        <v>1.8652735517453404E-4</v>
      </c>
      <c r="K51" s="138">
        <f t="shared" si="25"/>
        <v>45.77000000000001</v>
      </c>
      <c r="M51" s="37">
        <v>1072.01</v>
      </c>
      <c r="N51" s="52">
        <f>+IFERROR(M51/Summary!M$19,"")</f>
        <v>1.2682475263260917E-4</v>
      </c>
      <c r="O51" s="37">
        <v>1350</v>
      </c>
      <c r="P51" s="52">
        <f>+IFERROR(O51/Summary!O$19,"")</f>
        <v>1.476763632899358E-4</v>
      </c>
      <c r="Q51" s="138">
        <f t="shared" si="26"/>
        <v>-277.99</v>
      </c>
      <c r="R51" s="37">
        <v>814.31</v>
      </c>
      <c r="S51" s="52">
        <f>+IFERROR(R51/Summary!R$19,"")</f>
        <v>1.0365056933522439E-4</v>
      </c>
      <c r="T51" s="138">
        <f t="shared" si="27"/>
        <v>257.70000000000005</v>
      </c>
    </row>
    <row r="52" spans="2:24" x14ac:dyDescent="0.25">
      <c r="B52" s="14" t="s">
        <v>178</v>
      </c>
      <c r="C52" s="17" t="s">
        <v>359</v>
      </c>
      <c r="D52" s="37">
        <v>726.58</v>
      </c>
      <c r="E52" s="52">
        <f>+IFERROR(D52/Summary!D$19,"")</f>
        <v>7.313224284917131E-4</v>
      </c>
      <c r="F52" s="37">
        <v>7752.8</v>
      </c>
      <c r="G52" s="52">
        <f>+IFERROR(F52/Summary!F$19,"")</f>
        <v>7.7671206286590898E-3</v>
      </c>
      <c r="H52" s="138">
        <f t="shared" si="24"/>
        <v>-7026.22</v>
      </c>
      <c r="I52" s="37">
        <v>488.9</v>
      </c>
      <c r="J52" s="52">
        <f>+IFERROR(I52/Summary!I$19,"")</f>
        <v>5.9128071026927126E-4</v>
      </c>
      <c r="K52" s="138">
        <f t="shared" si="25"/>
        <v>237.68000000000006</v>
      </c>
      <c r="M52" s="37">
        <v>5640.24</v>
      </c>
      <c r="N52" s="52">
        <f>+IFERROR(M52/Summary!M$19,"")</f>
        <v>6.672718004389394E-4</v>
      </c>
      <c r="O52" s="37">
        <v>56562</v>
      </c>
      <c r="P52" s="52">
        <f>+IFERROR(O52/Summary!O$19,"")</f>
        <v>6.1873114521521101E-3</v>
      </c>
      <c r="Q52" s="138">
        <f t="shared" si="26"/>
        <v>-50921.760000000002</v>
      </c>
      <c r="R52" s="37">
        <v>10622.31</v>
      </c>
      <c r="S52" s="52">
        <f>+IFERROR(R52/Summary!R$19,"")</f>
        <v>1.3520753511012359E-3</v>
      </c>
      <c r="T52" s="138">
        <f t="shared" si="27"/>
        <v>-4982.07</v>
      </c>
    </row>
    <row r="53" spans="2:24" s="11" customFormat="1" x14ac:dyDescent="0.25">
      <c r="B53" s="14" t="s">
        <v>117</v>
      </c>
      <c r="C53" s="17" t="s">
        <v>518</v>
      </c>
      <c r="D53" s="37">
        <v>167.18</v>
      </c>
      <c r="E53" s="52">
        <f>+IFERROR(D53/Summary!D$19,"")</f>
        <v>1.6827119325503673E-4</v>
      </c>
      <c r="F53" s="37">
        <v>332.31</v>
      </c>
      <c r="G53" s="52">
        <f>+IFERROR(F53/Summary!F$19,"")</f>
        <v>3.3292382830844364E-4</v>
      </c>
      <c r="H53" s="138">
        <f t="shared" si="24"/>
        <v>-165.13</v>
      </c>
      <c r="I53" s="37">
        <v>141.91999999999999</v>
      </c>
      <c r="J53" s="52">
        <f>+IFERROR(I53/Summary!I$19,"")</f>
        <v>1.7163951401393939E-4</v>
      </c>
      <c r="K53" s="138">
        <f t="shared" si="25"/>
        <v>25.260000000000019</v>
      </c>
      <c r="M53" s="37">
        <v>1327.76</v>
      </c>
      <c r="N53" s="52">
        <f>+IFERROR(M53/Summary!M$19,"")</f>
        <v>1.5708140181105879E-4</v>
      </c>
      <c r="O53" s="37">
        <v>2318.0300000000002</v>
      </c>
      <c r="P53" s="52">
        <f>+IFERROR(O53/Summary!O$19,"")</f>
        <v>2.5356906696071842E-4</v>
      </c>
      <c r="Q53" s="138">
        <f t="shared" si="26"/>
        <v>-990.27000000000021</v>
      </c>
      <c r="R53" s="37">
        <v>1820.01</v>
      </c>
      <c r="S53" s="52">
        <f>+IFERROR(R53/Summary!R$19,"")</f>
        <v>2.3166247828935142E-4</v>
      </c>
      <c r="T53" s="138">
        <f t="shared" si="27"/>
        <v>-492.25</v>
      </c>
      <c r="V53" s="331"/>
      <c r="W53" s="331"/>
      <c r="X53" s="331"/>
    </row>
    <row r="54" spans="2:24" s="11" customFormat="1" x14ac:dyDescent="0.25">
      <c r="B54" s="14" t="s">
        <v>343</v>
      </c>
      <c r="C54" s="17" t="s">
        <v>520</v>
      </c>
      <c r="D54" s="37">
        <v>0</v>
      </c>
      <c r="E54" s="52">
        <f>+IFERROR(D54/Summary!D$19,"")</f>
        <v>0</v>
      </c>
      <c r="F54" s="37">
        <v>0</v>
      </c>
      <c r="G54" s="52">
        <f>+IFERROR(F54/Summary!F$19,"")</f>
        <v>0</v>
      </c>
      <c r="H54" s="138">
        <f t="shared" si="24"/>
        <v>0</v>
      </c>
      <c r="I54" s="37">
        <v>0</v>
      </c>
      <c r="J54" s="52">
        <f>+IFERROR(I54/Summary!I$19,"")</f>
        <v>0</v>
      </c>
      <c r="K54" s="138">
        <f t="shared" si="25"/>
        <v>0</v>
      </c>
      <c r="M54" s="37">
        <v>0</v>
      </c>
      <c r="N54" s="52">
        <f>+IFERROR(M54/Summary!M$19,"")</f>
        <v>0</v>
      </c>
      <c r="O54" s="37">
        <v>0</v>
      </c>
      <c r="P54" s="52">
        <f>+IFERROR(O54/Summary!O$19,"")</f>
        <v>0</v>
      </c>
      <c r="Q54" s="138">
        <f t="shared" si="26"/>
        <v>0</v>
      </c>
      <c r="R54" s="37">
        <v>0</v>
      </c>
      <c r="S54" s="52">
        <f>+IFERROR(R54/Summary!R$19,"")</f>
        <v>0</v>
      </c>
      <c r="T54" s="138">
        <f t="shared" si="27"/>
        <v>0</v>
      </c>
      <c r="V54" s="331"/>
      <c r="W54" s="331"/>
      <c r="X54" s="331"/>
    </row>
    <row r="55" spans="2:24" x14ac:dyDescent="0.25">
      <c r="B55" s="14" t="s">
        <v>348</v>
      </c>
      <c r="C55" s="17" t="s">
        <v>519</v>
      </c>
      <c r="D55" s="91">
        <v>4219.0600000000004</v>
      </c>
      <c r="E55" s="83">
        <f>+IFERROR(D55/Summary!D$19,"")</f>
        <v>4.2465980417190768E-3</v>
      </c>
      <c r="F55" s="91">
        <v>3560</v>
      </c>
      <c r="G55" s="83">
        <f>+IFERROR(F55/Summary!F$19,"")</f>
        <v>3.5665758742681815E-3</v>
      </c>
      <c r="H55" s="227">
        <f t="shared" si="24"/>
        <v>659.0600000000004</v>
      </c>
      <c r="I55" s="37">
        <v>3692.34</v>
      </c>
      <c r="J55" s="83">
        <f>+IFERROR(I55/Summary!I$19,"")</f>
        <v>4.4655541373606897E-3</v>
      </c>
      <c r="K55" s="227">
        <f t="shared" si="25"/>
        <v>526.72000000000025</v>
      </c>
      <c r="M55" s="91">
        <v>28883.9</v>
      </c>
      <c r="N55" s="83">
        <f>+IFERROR(M55/Summary!M$19,"")</f>
        <v>3.4171262139019408E-3</v>
      </c>
      <c r="O55" s="91">
        <v>21360</v>
      </c>
      <c r="P55" s="83">
        <f>+IFERROR(O55/Summary!O$19,"")</f>
        <v>2.3365682369429841E-3</v>
      </c>
      <c r="Q55" s="227">
        <f t="shared" si="26"/>
        <v>7523.9000000000015</v>
      </c>
      <c r="R55" s="37">
        <v>21949.77</v>
      </c>
      <c r="S55" s="83">
        <f>+IFERROR(R55/Summary!R$19,"")</f>
        <v>2.7939066906672257E-3</v>
      </c>
      <c r="T55" s="227">
        <f t="shared" si="27"/>
        <v>6934.130000000001</v>
      </c>
    </row>
    <row r="56" spans="2:24" x14ac:dyDescent="0.25">
      <c r="B56" s="14" t="s">
        <v>669</v>
      </c>
      <c r="C56" s="18" t="s">
        <v>425</v>
      </c>
      <c r="D56" s="92">
        <v>29798.75</v>
      </c>
      <c r="E56" s="84">
        <f>+IFERROR(D56/Summary!D$19,"")</f>
        <v>2.9993248115854323E-2</v>
      </c>
      <c r="F56" s="92">
        <f t="shared" ref="F56" si="28">SUM(F26:F55)</f>
        <v>31252.00366292</v>
      </c>
      <c r="G56" s="84">
        <f>+IFERROR(F56/Summary!F$19,"")</f>
        <v>3.1309730979413287E-2</v>
      </c>
      <c r="H56" s="193">
        <f t="shared" si="24"/>
        <v>-1453.2536629200004</v>
      </c>
      <c r="I56" s="92">
        <f t="shared" ref="I56" si="29">SUM(I26:I55)</f>
        <v>20481.3</v>
      </c>
      <c r="J56" s="84">
        <f>+IFERROR(I56/Summary!I$19,"")</f>
        <v>2.4770295788991665E-2</v>
      </c>
      <c r="K56" s="193">
        <f t="shared" si="25"/>
        <v>9317.4500000000007</v>
      </c>
      <c r="M56" s="92">
        <f t="shared" ref="M56" si="30">SUM(M26:M55)</f>
        <v>147807.69999999998</v>
      </c>
      <c r="N56" s="84">
        <f>+IFERROR(M56/Summary!M$19,"")</f>
        <v>1.7486473997159451E-2</v>
      </c>
      <c r="O56" s="92">
        <f t="shared" ref="O56" si="31">SUM(O26:O55)</f>
        <v>195735.67781886298</v>
      </c>
      <c r="P56" s="84">
        <f>+IFERROR(O56/Summary!O$19,"")</f>
        <v>2.1411505975096473E-2</v>
      </c>
      <c r="Q56" s="193">
        <f t="shared" si="26"/>
        <v>-47927.977818863001</v>
      </c>
      <c r="R56" s="92">
        <f t="shared" ref="R56" si="32">SUM(R26:R55)</f>
        <v>130854.54</v>
      </c>
      <c r="S56" s="84">
        <f>+IFERROR(R56/Summary!R$19,"")</f>
        <v>1.6656000259236525E-2</v>
      </c>
      <c r="T56" s="193">
        <f t="shared" si="27"/>
        <v>16953.159999999989</v>
      </c>
    </row>
    <row r="57" spans="2:24" x14ac:dyDescent="0.25">
      <c r="B57" s="14"/>
      <c r="C57" s="16"/>
      <c r="D57" s="49"/>
      <c r="E57" s="32"/>
      <c r="F57" s="49"/>
      <c r="G57" s="32"/>
      <c r="H57" s="16"/>
      <c r="I57" s="49"/>
      <c r="J57" s="32"/>
      <c r="K57" s="80"/>
      <c r="M57" s="49"/>
      <c r="N57" s="32"/>
      <c r="O57" s="49"/>
      <c r="P57" s="32"/>
      <c r="Q57" s="16"/>
      <c r="R57" s="49"/>
      <c r="S57" s="32"/>
      <c r="T57" s="80"/>
    </row>
    <row r="58" spans="2:24" x14ac:dyDescent="0.25">
      <c r="B58" s="14" t="s">
        <v>28</v>
      </c>
      <c r="C58" s="18" t="s">
        <v>426</v>
      </c>
      <c r="D58" s="143">
        <f t="shared" ref="D58" si="33">D23+D56</f>
        <v>60643.47</v>
      </c>
      <c r="E58" s="136">
        <f>+IFERROR(D58/Summary!D$19,"")</f>
        <v>6.1039293336679165E-2</v>
      </c>
      <c r="F58" s="143">
        <f t="shared" ref="F58" si="34">F23+F56</f>
        <v>65336.383662920009</v>
      </c>
      <c r="G58" s="136">
        <f>+IFERROR(F58/Summary!F$19,"")</f>
        <v>6.5457070135983217E-2</v>
      </c>
      <c r="H58" s="27">
        <f>+D58-F58</f>
        <v>-4692.9136629200075</v>
      </c>
      <c r="I58" s="143">
        <f t="shared" ref="I58" si="35">I23+I56</f>
        <v>45878.26</v>
      </c>
      <c r="J58" s="136">
        <f>+IFERROR(I58/Summary!I$19,"")</f>
        <v>5.5485641560070152E-2</v>
      </c>
      <c r="K58" s="219">
        <f>+D58-I58</f>
        <v>14765.21</v>
      </c>
      <c r="M58" s="143">
        <f t="shared" ref="M58" si="36">M23+M56</f>
        <v>343199.92999999993</v>
      </c>
      <c r="N58" s="136">
        <f>+IFERROR(M58/Summary!M$19,"")</f>
        <v>4.0602462874207115E-2</v>
      </c>
      <c r="O58" s="143">
        <f t="shared" ref="O58" si="37">O23+O56</f>
        <v>402126.98781886301</v>
      </c>
      <c r="P58" s="136">
        <f>+IFERROR(O58/Summary!O$19,"")</f>
        <v>4.3988630475426664E-2</v>
      </c>
      <c r="Q58" s="27">
        <f>+M58-O58</f>
        <v>-58927.057818863075</v>
      </c>
      <c r="R58" s="143">
        <f t="shared" ref="R58" si="38">R23+R56</f>
        <v>335211.12</v>
      </c>
      <c r="S58" s="136">
        <f>+IFERROR(R58/Summary!R$19,"")</f>
        <v>4.2667808863329965E-2</v>
      </c>
      <c r="T58" s="219">
        <f>+M58-R58</f>
        <v>7988.8099999999395</v>
      </c>
    </row>
    <row r="59" spans="2:24" ht="15.75" thickBot="1" x14ac:dyDescent="0.3">
      <c r="B59" s="14"/>
      <c r="C59" s="18" t="s">
        <v>427</v>
      </c>
      <c r="D59" s="144">
        <f t="shared" ref="D59" si="39">0-D58</f>
        <v>-60643.47</v>
      </c>
      <c r="E59" s="214">
        <f>+IFERROR(D59/Summary!D$19,"")</f>
        <v>-6.1039293336679165E-2</v>
      </c>
      <c r="F59" s="144">
        <f t="shared" ref="F59" si="40">0-F58</f>
        <v>-65336.383662920009</v>
      </c>
      <c r="G59" s="214">
        <f>+IFERROR(F59/Summary!F$19,"")</f>
        <v>-6.5457070135983217E-2</v>
      </c>
      <c r="H59" s="21">
        <f>+D59-F59</f>
        <v>4692.9136629200075</v>
      </c>
      <c r="I59" s="144">
        <f t="shared" ref="I59" si="41">0-I58</f>
        <v>-45878.26</v>
      </c>
      <c r="J59" s="214">
        <f>+IFERROR(I59/Summary!I$19,"")</f>
        <v>-5.5485641560070152E-2</v>
      </c>
      <c r="K59" s="220">
        <f>+D59-I59</f>
        <v>-14765.21</v>
      </c>
      <c r="M59" s="144">
        <f t="shared" ref="M59" si="42">0-M58</f>
        <v>-343199.92999999993</v>
      </c>
      <c r="N59" s="214">
        <f>+IFERROR(M59/Summary!M$19,"")</f>
        <v>-4.0602462874207115E-2</v>
      </c>
      <c r="O59" s="144">
        <f t="shared" ref="O59" si="43">0-O58</f>
        <v>-402126.98781886301</v>
      </c>
      <c r="P59" s="214">
        <f>+IFERROR(O59/Summary!O$19,"")</f>
        <v>-4.3988630475426664E-2</v>
      </c>
      <c r="Q59" s="21">
        <f>+M59-O59</f>
        <v>58927.057818863075</v>
      </c>
      <c r="R59" s="144">
        <f t="shared" ref="R59" si="44">0-R58</f>
        <v>-335211.12</v>
      </c>
      <c r="S59" s="214">
        <f>+IFERROR(R59/Summary!R$19,"")</f>
        <v>-4.2667808863329965E-2</v>
      </c>
      <c r="T59" s="220">
        <f>+M59-R59</f>
        <v>-7988.8099999999395</v>
      </c>
    </row>
    <row r="60" spans="2:24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FEAC-35E6-4683-9D01-267A6F2AB687}">
  <dimension ref="B1:X55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7.28515625" bestFit="1" customWidth="1"/>
    <col min="7" max="7" width="8.7109375" customWidth="1"/>
    <col min="8" max="8" width="10.28515625" bestFit="1" customWidth="1"/>
    <col min="9" max="9" width="7.28515625" bestFit="1" customWidth="1"/>
    <col min="10" max="10" width="8.7109375" customWidth="1"/>
    <col min="11" max="11" width="10.28515625" bestFit="1" customWidth="1"/>
    <col min="13" max="13" width="8.28515625" bestFit="1" customWidth="1"/>
    <col min="14" max="14" width="8.7109375" customWidth="1"/>
    <col min="15" max="15" width="8.28515625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8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41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68</v>
      </c>
      <c r="D9" s="16"/>
      <c r="E9" s="50"/>
      <c r="F9" s="49"/>
      <c r="G9" s="16"/>
      <c r="H9" s="80"/>
      <c r="I9" s="16"/>
      <c r="J9" s="16"/>
      <c r="K9" s="50"/>
      <c r="M9" s="49"/>
      <c r="N9" s="50"/>
      <c r="O9" s="49"/>
      <c r="P9" s="16"/>
      <c r="Q9" s="80"/>
      <c r="R9" s="16"/>
      <c r="S9" s="16"/>
      <c r="T9" s="50"/>
    </row>
    <row r="10" spans="2:22" x14ac:dyDescent="0.25">
      <c r="B10" s="14" t="s">
        <v>114</v>
      </c>
      <c r="C10" s="17" t="s">
        <v>525</v>
      </c>
      <c r="D10" s="37">
        <v>22104.65</v>
      </c>
      <c r="E10" s="52">
        <f>+IFERROR(D10/Summary!D$19,"")</f>
        <v>2.2248928292767964E-2</v>
      </c>
      <c r="F10" s="37">
        <v>23150</v>
      </c>
      <c r="G10" s="52">
        <f>+IFERROR(F10/Summary!F$19,"")</f>
        <v>2.3192761654300113E-2</v>
      </c>
      <c r="H10" s="138">
        <f t="shared" ref="H10:H17" si="0">+D10-F10</f>
        <v>-1045.3499999999985</v>
      </c>
      <c r="I10" s="37">
        <v>22988.77</v>
      </c>
      <c r="J10" s="52">
        <f>+IFERROR(I10/Summary!I$19,"")</f>
        <v>2.7802855908809397E-2</v>
      </c>
      <c r="K10" s="138">
        <f t="shared" ref="K10:K17" si="1">+D10-I10</f>
        <v>-884.11999999999898</v>
      </c>
      <c r="M10" s="37">
        <v>118344.47</v>
      </c>
      <c r="N10" s="52">
        <f>+IFERROR(M10/Summary!M$19,"")</f>
        <v>1.4000809818180087E-2</v>
      </c>
      <c r="O10" s="37">
        <v>114323.8</v>
      </c>
      <c r="P10" s="52">
        <f>+IFERROR(O10/Summary!O$19,"")</f>
        <v>1.2505868904804417E-2</v>
      </c>
      <c r="Q10" s="138">
        <f t="shared" ref="Q10:Q17" si="2">+M10-O10</f>
        <v>4020.6699999999983</v>
      </c>
      <c r="R10" s="37">
        <v>111522.97</v>
      </c>
      <c r="S10" s="52">
        <f>+IFERROR(R10/Summary!R$19,"")</f>
        <v>1.4195354759802962E-2</v>
      </c>
      <c r="T10" s="138">
        <f t="shared" ref="T10:T17" si="3">+M10-R10</f>
        <v>6821.5</v>
      </c>
    </row>
    <row r="11" spans="2:22" x14ac:dyDescent="0.25">
      <c r="B11" s="14" t="s">
        <v>135</v>
      </c>
      <c r="C11" s="17" t="s">
        <v>136</v>
      </c>
      <c r="D11" s="37">
        <v>1322.28</v>
      </c>
      <c r="E11" s="52">
        <f>+IFERROR(D11/Summary!D$19,"")</f>
        <v>1.3309105958683454E-3</v>
      </c>
      <c r="F11" s="37">
        <v>3807.23</v>
      </c>
      <c r="G11" s="52">
        <f>+IFERROR(F11/Summary!F$19,"")</f>
        <v>3.8142625465702384E-3</v>
      </c>
      <c r="H11" s="138">
        <f t="shared" si="0"/>
        <v>-2484.9499999999998</v>
      </c>
      <c r="I11" s="37">
        <v>3696.34</v>
      </c>
      <c r="J11" s="52">
        <f>+IFERROR(I11/Summary!I$19,"")</f>
        <v>4.4703917786801349E-3</v>
      </c>
      <c r="K11" s="138">
        <f t="shared" si="1"/>
        <v>-2374.0600000000004</v>
      </c>
      <c r="M11" s="37">
        <v>12844.09</v>
      </c>
      <c r="N11" s="52">
        <f>+IFERROR(M11/Summary!M$19,"")</f>
        <v>1.519527371051547E-3</v>
      </c>
      <c r="O11" s="37">
        <v>17443.810000000001</v>
      </c>
      <c r="P11" s="52">
        <f>+IFERROR(O11/Summary!O$19,"")</f>
        <v>1.9081766094226778E-3</v>
      </c>
      <c r="Q11" s="138">
        <f t="shared" si="2"/>
        <v>-4599.7200000000012</v>
      </c>
      <c r="R11" s="37">
        <v>16195.05</v>
      </c>
      <c r="S11" s="52">
        <f>+IFERROR(R11/Summary!R$19,"")</f>
        <v>2.0614092334767177E-3</v>
      </c>
      <c r="T11" s="138">
        <f t="shared" si="3"/>
        <v>-3350.9599999999991</v>
      </c>
    </row>
    <row r="12" spans="2:22" x14ac:dyDescent="0.25">
      <c r="B12" s="14" t="s">
        <v>349</v>
      </c>
      <c r="C12" s="17" t="s">
        <v>526</v>
      </c>
      <c r="D12" s="37">
        <v>7093.51</v>
      </c>
      <c r="E12" s="52">
        <f>+IFERROR(D12/Summary!D$19,"")</f>
        <v>7.139809738404927E-3</v>
      </c>
      <c r="F12" s="37">
        <v>5704.21</v>
      </c>
      <c r="G12" s="52">
        <f>+IFERROR(F12/Summary!F$19,"")</f>
        <v>5.7147465639773324E-3</v>
      </c>
      <c r="H12" s="138">
        <f t="shared" si="0"/>
        <v>1389.3000000000002</v>
      </c>
      <c r="I12" s="37">
        <v>5538.07</v>
      </c>
      <c r="J12" s="52">
        <f>+IFERROR(I12/Summary!I$19,"")</f>
        <v>6.6977990654958942E-3</v>
      </c>
      <c r="K12" s="138">
        <f t="shared" si="1"/>
        <v>1555.4400000000005</v>
      </c>
      <c r="M12" s="37">
        <v>41386.080000000002</v>
      </c>
      <c r="N12" s="52">
        <f>+IFERROR(M12/Summary!M$19,"")</f>
        <v>4.8962037279814304E-3</v>
      </c>
      <c r="O12" s="37">
        <v>38725.32</v>
      </c>
      <c r="P12" s="52">
        <f>+IFERROR(O12/Summary!O$19,"")</f>
        <v>4.2361588332140866E-3</v>
      </c>
      <c r="Q12" s="138">
        <f t="shared" si="2"/>
        <v>2660.760000000002</v>
      </c>
      <c r="R12" s="37">
        <v>36938.83</v>
      </c>
      <c r="S12" s="52">
        <f>+IFERROR(R12/Summary!R$19,"")</f>
        <v>4.7018098268191075E-3</v>
      </c>
      <c r="T12" s="138">
        <f t="shared" si="3"/>
        <v>4447.25</v>
      </c>
    </row>
    <row r="13" spans="2:22" x14ac:dyDescent="0.25">
      <c r="B13" s="14" t="s">
        <v>629</v>
      </c>
      <c r="C13" s="290" t="s">
        <v>712</v>
      </c>
      <c r="D13" s="37">
        <v>0</v>
      </c>
      <c r="E13" s="52">
        <f>+IFERROR(D13/Summary!D$19,"")</f>
        <v>0</v>
      </c>
      <c r="F13" s="37">
        <v>0</v>
      </c>
      <c r="G13" s="52">
        <f>+IFERROR(F13/Summary!F$19,"")</f>
        <v>0</v>
      </c>
      <c r="H13" s="138">
        <f t="shared" si="0"/>
        <v>0</v>
      </c>
      <c r="I13" s="37">
        <v>0</v>
      </c>
      <c r="J13" s="52">
        <f>+IFERROR(I13/Summary!I$19,"")</f>
        <v>0</v>
      </c>
      <c r="K13" s="138">
        <f t="shared" si="1"/>
        <v>0</v>
      </c>
      <c r="M13" s="37">
        <v>0</v>
      </c>
      <c r="N13" s="52">
        <f>+IFERROR(M13/Summary!M$19,"")</f>
        <v>0</v>
      </c>
      <c r="O13" s="37">
        <v>0</v>
      </c>
      <c r="P13" s="52">
        <f>+IFERROR(O13/Summary!O$19,"")</f>
        <v>0</v>
      </c>
      <c r="Q13" s="138">
        <f t="shared" si="2"/>
        <v>0</v>
      </c>
      <c r="R13" s="37">
        <v>0</v>
      </c>
      <c r="S13" s="52">
        <f>+IFERROR(R13/Summary!R$19,"")</f>
        <v>0</v>
      </c>
      <c r="T13" s="138">
        <f t="shared" si="3"/>
        <v>0</v>
      </c>
    </row>
    <row r="14" spans="2:22" x14ac:dyDescent="0.25">
      <c r="B14" s="14" t="s">
        <v>231</v>
      </c>
      <c r="C14" s="17" t="s">
        <v>527</v>
      </c>
      <c r="D14" s="37">
        <v>0</v>
      </c>
      <c r="E14" s="52">
        <f>+IFERROR(D14/Summary!D$19,"")</f>
        <v>0</v>
      </c>
      <c r="F14" s="37">
        <v>0</v>
      </c>
      <c r="G14" s="52">
        <f>+IFERROR(F14/Summary!F$19,"")</f>
        <v>0</v>
      </c>
      <c r="H14" s="138">
        <f t="shared" si="0"/>
        <v>0</v>
      </c>
      <c r="I14" s="37">
        <v>0</v>
      </c>
      <c r="J14" s="52">
        <f>+IFERROR(I14/Summary!I$19,"")</f>
        <v>0</v>
      </c>
      <c r="K14" s="138">
        <f t="shared" si="1"/>
        <v>0</v>
      </c>
      <c r="M14" s="37">
        <v>0</v>
      </c>
      <c r="N14" s="52">
        <f>+IFERROR(M14/Summary!M$19,"")</f>
        <v>0</v>
      </c>
      <c r="O14" s="37">
        <v>0</v>
      </c>
      <c r="P14" s="52">
        <f>+IFERROR(O14/Summary!O$19,"")</f>
        <v>0</v>
      </c>
      <c r="Q14" s="138">
        <f t="shared" si="2"/>
        <v>0</v>
      </c>
      <c r="R14" s="37">
        <v>0</v>
      </c>
      <c r="S14" s="52">
        <f>+IFERROR(R14/Summary!R$19,"")</f>
        <v>0</v>
      </c>
      <c r="T14" s="138">
        <f t="shared" si="3"/>
        <v>0</v>
      </c>
    </row>
    <row r="15" spans="2:22" x14ac:dyDescent="0.25">
      <c r="B15" s="14" t="s">
        <v>203</v>
      </c>
      <c r="C15" s="17" t="s">
        <v>528</v>
      </c>
      <c r="D15" s="37">
        <v>-5000</v>
      </c>
      <c r="E15" s="52">
        <f>+IFERROR(D15/Summary!D$19,"")</f>
        <v>-5.0326352809856659E-3</v>
      </c>
      <c r="F15" s="37">
        <v>-5000</v>
      </c>
      <c r="G15" s="52">
        <f>+IFERROR(F15/Summary!F$19,"")</f>
        <v>-5.0092357784665472E-3</v>
      </c>
      <c r="H15" s="138">
        <f t="shared" si="0"/>
        <v>0</v>
      </c>
      <c r="I15" s="37">
        <v>-4166.67</v>
      </c>
      <c r="J15" s="52">
        <f>+IFERROR(I15/Summary!I$19,"")</f>
        <v>-5.0392137391238791E-3</v>
      </c>
      <c r="K15" s="138">
        <f t="shared" si="1"/>
        <v>-833.32999999999993</v>
      </c>
      <c r="M15" s="37">
        <v>-30000</v>
      </c>
      <c r="N15" s="52">
        <f>+IFERROR(M15/Summary!M$19,"")</f>
        <v>-3.5491670590556755E-3</v>
      </c>
      <c r="O15" s="37">
        <v>-30000</v>
      </c>
      <c r="P15" s="52">
        <f>+IFERROR(O15/Summary!O$19,"")</f>
        <v>-3.2816969619985734E-3</v>
      </c>
      <c r="Q15" s="138">
        <f t="shared" si="2"/>
        <v>0</v>
      </c>
      <c r="R15" s="37">
        <v>-24328.25</v>
      </c>
      <c r="S15" s="52">
        <f>+IFERROR(R15/Summary!R$19,"")</f>
        <v>-3.0966547917005479E-3</v>
      </c>
      <c r="T15" s="138">
        <f t="shared" si="3"/>
        <v>-5671.75</v>
      </c>
    </row>
    <row r="16" spans="2:22" x14ac:dyDescent="0.25">
      <c r="B16" s="14" t="s">
        <v>88</v>
      </c>
      <c r="C16" s="17" t="s">
        <v>365</v>
      </c>
      <c r="D16" s="174">
        <v>0</v>
      </c>
      <c r="E16" s="216">
        <f>+IFERROR(D16/Summary!D$19,"")</f>
        <v>0</v>
      </c>
      <c r="F16" s="91">
        <v>0</v>
      </c>
      <c r="G16" s="216">
        <f>+IFERROR(F16/Summary!F$19,"")</f>
        <v>0</v>
      </c>
      <c r="H16" s="140">
        <f t="shared" si="0"/>
        <v>0</v>
      </c>
      <c r="I16" s="37">
        <v>0</v>
      </c>
      <c r="J16" s="216">
        <f>+IFERROR(I16/Summary!I$19,"")</f>
        <v>0</v>
      </c>
      <c r="K16" s="142">
        <f t="shared" si="1"/>
        <v>0</v>
      </c>
      <c r="M16" s="210">
        <v>0</v>
      </c>
      <c r="N16" s="216">
        <f>+IFERROR(M16/Summary!M$19,"")</f>
        <v>0</v>
      </c>
      <c r="O16" s="91">
        <v>0</v>
      </c>
      <c r="P16" s="216">
        <f>+IFERROR(O16/Summary!O$19,"")</f>
        <v>0</v>
      </c>
      <c r="Q16" s="140">
        <f t="shared" si="2"/>
        <v>0</v>
      </c>
      <c r="R16" s="37">
        <v>0</v>
      </c>
      <c r="S16" s="216">
        <f>+IFERROR(R16/Summary!R$19,"")</f>
        <v>0</v>
      </c>
      <c r="T16" s="142">
        <f t="shared" si="3"/>
        <v>0</v>
      </c>
    </row>
    <row r="17" spans="2:20" x14ac:dyDescent="0.25">
      <c r="B17" s="14" t="s">
        <v>29</v>
      </c>
      <c r="C17" s="18" t="s">
        <v>425</v>
      </c>
      <c r="D17" s="87">
        <f t="shared" ref="D17" si="4">SUM(D10:D16)</f>
        <v>25520.440000000002</v>
      </c>
      <c r="E17" s="84">
        <f>+IFERROR(D17/Summary!D$19,"")</f>
        <v>2.5687013346055568E-2</v>
      </c>
      <c r="F17" s="92">
        <f t="shared" ref="F17" si="5">SUM(F10:F16)</f>
        <v>27661.439999999999</v>
      </c>
      <c r="G17" s="84">
        <f>+IFERROR(F17/Summary!F$19,"")</f>
        <v>2.7712534986381137E-2</v>
      </c>
      <c r="H17" s="141">
        <f t="shared" si="0"/>
        <v>-2140.9999999999964</v>
      </c>
      <c r="I17" s="87">
        <f t="shared" ref="I17" si="6">SUM(I10:I16)</f>
        <v>28056.510000000002</v>
      </c>
      <c r="J17" s="84">
        <f>+IFERROR(I17/Summary!I$19,"")</f>
        <v>3.3931833013861552E-2</v>
      </c>
      <c r="K17" s="141">
        <f t="shared" si="1"/>
        <v>-2536.0699999999997</v>
      </c>
      <c r="M17" s="92">
        <f t="shared" ref="M17" si="7">SUM(M10:M16)</f>
        <v>142574.64000000001</v>
      </c>
      <c r="N17" s="84">
        <f>+IFERROR(M17/Summary!M$19,"")</f>
        <v>1.686737385815739E-2</v>
      </c>
      <c r="O17" s="92">
        <f t="shared" ref="O17" si="8">SUM(O10:O16)</f>
        <v>140492.93000000002</v>
      </c>
      <c r="P17" s="84">
        <f>+IFERROR(O17/Summary!O$19,"")</f>
        <v>1.536850738544261E-2</v>
      </c>
      <c r="Q17" s="141">
        <f t="shared" si="2"/>
        <v>2081.7099999999919</v>
      </c>
      <c r="R17" s="87">
        <f t="shared" ref="R17" si="9">SUM(R10:R16)</f>
        <v>140328.6</v>
      </c>
      <c r="S17" s="84">
        <f>+IFERROR(R17/Summary!R$19,"")</f>
        <v>1.7861919028398239E-2</v>
      </c>
      <c r="T17" s="141">
        <f t="shared" si="3"/>
        <v>2246.0400000000081</v>
      </c>
    </row>
    <row r="55" spans="4:4" x14ac:dyDescent="0.25">
      <c r="D55">
        <v>0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B433-B631-47DF-84F8-0265AC73912D}">
  <dimension ref="B1:X55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M22" sqref="M22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7.28515625" bestFit="1" customWidth="1"/>
    <col min="7" max="7" width="8.7109375" customWidth="1"/>
    <col min="8" max="8" width="10.28515625" bestFit="1" customWidth="1"/>
    <col min="9" max="9" width="7.28515625" bestFit="1" customWidth="1"/>
    <col min="10" max="10" width="8.7109375" customWidth="1"/>
    <col min="11" max="11" width="10.28515625" bestFit="1" customWidth="1"/>
    <col min="13" max="13" width="8.28515625" bestFit="1" customWidth="1"/>
    <col min="14" max="14" width="8.7109375" customWidth="1"/>
    <col min="15" max="15" width="8.28515625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49</v>
      </c>
      <c r="D9" s="49"/>
      <c r="E9" s="50"/>
      <c r="F9" s="49"/>
      <c r="G9" s="16"/>
      <c r="H9" s="80"/>
      <c r="I9" s="16"/>
      <c r="J9" s="16"/>
      <c r="K9" s="50"/>
      <c r="M9" s="49"/>
      <c r="N9" s="50"/>
      <c r="O9" s="49"/>
      <c r="P9" s="16"/>
      <c r="Q9" s="80"/>
      <c r="R9" s="16"/>
      <c r="S9" s="16"/>
      <c r="T9" s="50"/>
    </row>
    <row r="10" spans="2:22" x14ac:dyDescent="0.25">
      <c r="B10" s="14" t="s">
        <v>32</v>
      </c>
      <c r="C10" s="17" t="s">
        <v>529</v>
      </c>
      <c r="D10" s="37">
        <v>43528</v>
      </c>
      <c r="E10" s="52">
        <f>+IFERROR(D10/Summary!D$19,"")</f>
        <v>4.3812109702148813E-2</v>
      </c>
      <c r="F10" s="37">
        <v>44639.74</v>
      </c>
      <c r="G10" s="52">
        <f>+IFERROR(F10/Summary!F$19,"")</f>
        <v>4.4722196549888849E-2</v>
      </c>
      <c r="H10" s="138">
        <f>+D10-F10</f>
        <v>-1111.739999999998</v>
      </c>
      <c r="I10" s="37">
        <v>34824.33</v>
      </c>
      <c r="J10" s="52">
        <f>+IFERROR(I10/Summary!I$19,"")</f>
        <v>4.2116904432504584E-2</v>
      </c>
      <c r="K10" s="138">
        <f>+D10-I10</f>
        <v>8703.6699999999983</v>
      </c>
      <c r="M10" s="37">
        <v>340685.15</v>
      </c>
      <c r="N10" s="52">
        <f>+IFERROR(M10/Summary!M$19,"")</f>
        <v>4.0304950396314723E-2</v>
      </c>
      <c r="O10" s="37">
        <v>385970.16</v>
      </c>
      <c r="P10" s="52">
        <f>+IFERROR(O10/Summary!O$19,"")</f>
        <v>4.2221236716470108E-2</v>
      </c>
      <c r="Q10" s="138">
        <f>+M10-O10</f>
        <v>-45285.009999999951</v>
      </c>
      <c r="R10" s="37">
        <v>302348.90000000002</v>
      </c>
      <c r="S10" s="52">
        <f>+IFERROR(R10/Summary!R$19,"")</f>
        <v>3.8484895952252622E-2</v>
      </c>
      <c r="T10" s="138">
        <f>+M10-R10</f>
        <v>38336.25</v>
      </c>
    </row>
    <row r="11" spans="2:22" x14ac:dyDescent="0.25">
      <c r="B11" s="14" t="s">
        <v>34</v>
      </c>
      <c r="C11" s="17" t="s">
        <v>530</v>
      </c>
      <c r="D11" s="37">
        <v>0</v>
      </c>
      <c r="E11" s="52">
        <f>+IFERROR(D11/Summary!D$19,"")</f>
        <v>0</v>
      </c>
      <c r="F11" s="37">
        <v>0</v>
      </c>
      <c r="G11" s="52">
        <f>+IFERROR(F11/Summary!F$19,"")</f>
        <v>0</v>
      </c>
      <c r="H11" s="138">
        <f>+D11-F11</f>
        <v>0</v>
      </c>
      <c r="I11" s="37">
        <v>0</v>
      </c>
      <c r="J11" s="52">
        <f>+IFERROR(I11/Summary!I$19,"")</f>
        <v>0</v>
      </c>
      <c r="K11" s="138">
        <f>+D11-I11</f>
        <v>0</v>
      </c>
      <c r="M11" s="37">
        <v>0</v>
      </c>
      <c r="N11" s="52">
        <f>+IFERROR(M11/Summary!M$19,"")</f>
        <v>0</v>
      </c>
      <c r="O11" s="37">
        <v>0</v>
      </c>
      <c r="P11" s="52">
        <f>+IFERROR(O11/Summary!O$19,"")</f>
        <v>0</v>
      </c>
      <c r="Q11" s="138">
        <f>+M11-O11</f>
        <v>0</v>
      </c>
      <c r="R11" s="37">
        <v>0</v>
      </c>
      <c r="S11" s="52">
        <f>+IFERROR(R11/Summary!R$19,"")</f>
        <v>0</v>
      </c>
      <c r="T11" s="138">
        <f>+M11-R11</f>
        <v>0</v>
      </c>
    </row>
    <row r="12" spans="2:22" x14ac:dyDescent="0.25">
      <c r="B12" s="14" t="s">
        <v>202</v>
      </c>
      <c r="C12" s="17" t="s">
        <v>531</v>
      </c>
      <c r="D12" s="37">
        <v>6510.67</v>
      </c>
      <c r="E12" s="52">
        <f>+IFERROR(D12/Summary!D$19,"")</f>
        <v>6.5531655089709892E-3</v>
      </c>
      <c r="F12" s="37">
        <v>6510.67</v>
      </c>
      <c r="G12" s="52">
        <f>+IFERROR(F12/Summary!F$19,"")</f>
        <v>6.5226962211577593E-3</v>
      </c>
      <c r="H12" s="138">
        <f>+D12-F12</f>
        <v>0</v>
      </c>
      <c r="I12" s="37">
        <v>6333.33</v>
      </c>
      <c r="J12" s="52">
        <f>+IFERROR(I12/Summary!I$19,"")</f>
        <v>7.659594724421525E-3</v>
      </c>
      <c r="K12" s="138">
        <f>+D12-I12</f>
        <v>177.34000000000015</v>
      </c>
      <c r="M12" s="37">
        <v>39064.019999999997</v>
      </c>
      <c r="N12" s="52">
        <f>+IFERROR(M12/Summary!M$19,"")</f>
        <v>4.6214910992764023E-3</v>
      </c>
      <c r="O12" s="37">
        <v>39064.019999999997</v>
      </c>
      <c r="P12" s="52">
        <f>+IFERROR(O12/Summary!O$19,"")</f>
        <v>4.2732091919150499E-3</v>
      </c>
      <c r="Q12" s="138">
        <f>+M12-O12</f>
        <v>0</v>
      </c>
      <c r="R12" s="37">
        <v>37999.980000000003</v>
      </c>
      <c r="S12" s="52">
        <f>+IFERROR(R12/Summary!R$19,"")</f>
        <v>4.8368797653561184E-3</v>
      </c>
      <c r="T12" s="138">
        <f>+M12-R12</f>
        <v>1064.0399999999936</v>
      </c>
    </row>
    <row r="13" spans="2:22" x14ac:dyDescent="0.25">
      <c r="B13" s="14" t="s">
        <v>279</v>
      </c>
      <c r="C13" s="18" t="s">
        <v>425</v>
      </c>
      <c r="D13" s="92">
        <f t="shared" ref="D13" si="0">SUM(D10:D12)</f>
        <v>50038.67</v>
      </c>
      <c r="E13" s="84">
        <v>3.284318002319344E-2</v>
      </c>
      <c r="F13" s="85">
        <f>SUM(F10:F12)</f>
        <v>51150.409999999996</v>
      </c>
      <c r="G13" s="172">
        <f>+IFERROR(F13/Summary!F$19,"")</f>
        <v>5.1244892771046609E-2</v>
      </c>
      <c r="H13" s="141">
        <f>+D13-F13</f>
        <v>-1111.739999999998</v>
      </c>
      <c r="I13" s="85">
        <f>SUM(I10:I12)</f>
        <v>41157.660000000003</v>
      </c>
      <c r="J13" s="172">
        <f>+IFERROR(I13/Summary!I$19,"")</f>
        <v>4.9776499156926113E-2</v>
      </c>
      <c r="K13" s="141">
        <f>+D13-I13</f>
        <v>8881.0099999999948</v>
      </c>
      <c r="M13" s="92">
        <f t="shared" ref="M13" si="1">SUM(M10:M12)</f>
        <v>379749.17000000004</v>
      </c>
      <c r="N13" s="84">
        <v>3.284318002319344E-2</v>
      </c>
      <c r="O13" s="85">
        <f>SUM(O10:O12)</f>
        <v>425034.18</v>
      </c>
      <c r="P13" s="172">
        <f>+IFERROR(O13/Summary!O$19,"")</f>
        <v>4.6494445908385154E-2</v>
      </c>
      <c r="Q13" s="141">
        <f>+M13-O13</f>
        <v>-45285.009999999951</v>
      </c>
      <c r="R13" s="85">
        <f>SUM(R10:R12)</f>
        <v>340348.88</v>
      </c>
      <c r="S13" s="172">
        <f>+IFERROR(R13/Summary!R$19,"")</f>
        <v>4.3321775717608736E-2</v>
      </c>
      <c r="T13" s="141">
        <f>+M13-R13</f>
        <v>39400.290000000037</v>
      </c>
    </row>
    <row r="55" spans="4:4" x14ac:dyDescent="0.25">
      <c r="D55">
        <v>0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7FFD-740C-4D8B-AD87-D54531A550F8}">
  <dimension ref="B1:X50"/>
  <sheetViews>
    <sheetView showGridLines="0" zoomScaleNormal="100" workbookViewId="0">
      <pane xSplit="3" ySplit="8" topLeftCell="D9" activePane="bottomRight" state="frozen"/>
      <selection activeCell="M22" sqref="M22"/>
      <selection pane="topRight" activeCell="M22" sqref="M22"/>
      <selection pane="bottomLeft" activeCell="M22" sqref="M22"/>
      <selection pane="bottomRight" activeCell="G43" sqref="G4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8.28515625" bestFit="1" customWidth="1"/>
    <col min="7" max="7" width="8.7109375" customWidth="1"/>
    <col min="8" max="8" width="10.28515625" bestFit="1" customWidth="1"/>
    <col min="9" max="9" width="8.28515625" bestFit="1" customWidth="1"/>
    <col min="10" max="10" width="8.7109375" customWidth="1"/>
    <col min="11" max="11" width="10.28515625" bestFit="1" customWidth="1"/>
    <col min="13" max="13" width="8.28515625" bestFit="1" customWidth="1"/>
    <col min="14" max="14" width="8.7109375" customWidth="1"/>
    <col min="15" max="15" width="9.85546875" bestFit="1" customWidth="1"/>
    <col min="16" max="16" width="8.7109375" customWidth="1"/>
    <col min="17" max="17" width="10.28515625" bestFit="1" customWidth="1"/>
    <col min="18" max="18" width="13.5703125" customWidth="1"/>
    <col min="19" max="19" width="8.7109375" customWidth="1"/>
    <col min="20" max="20" width="11.85546875" customWidth="1"/>
    <col min="22" max="24" width="9.140625" style="331"/>
  </cols>
  <sheetData>
    <row r="1" spans="2:22" x14ac:dyDescent="0.25">
      <c r="V1" s="331" t="s">
        <v>717</v>
      </c>
    </row>
    <row r="2" spans="2:22" ht="22.5" x14ac:dyDescent="0.3">
      <c r="B2" s="1"/>
      <c r="C2" s="36" t="str">
        <f>+Summary!$C$2</f>
        <v>Angler's</v>
      </c>
      <c r="I2" s="4"/>
      <c r="R2" s="4"/>
      <c r="V2" s="331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JUN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4" t="str">
        <f>Year&amp;" "&amp;UPPER(Month)&amp;" - PERIODIC"</f>
        <v>2025 JUN - PERIODIC</v>
      </c>
      <c r="E6" s="295"/>
      <c r="F6" s="292"/>
      <c r="G6" s="292"/>
      <c r="H6" s="292"/>
      <c r="I6" s="292"/>
      <c r="J6" s="292"/>
      <c r="K6" s="293"/>
      <c r="M6" s="294" t="str">
        <f>Year&amp;" "&amp;UPPER(Month)&amp;" - YEAR TO DATE"</f>
        <v>2025 JUN - YEAR TO DATE</v>
      </c>
      <c r="N6" s="295"/>
      <c r="O6" s="292"/>
      <c r="P6" s="292"/>
      <c r="Q6" s="292"/>
      <c r="R6" s="292"/>
      <c r="S6" s="292"/>
      <c r="T6" s="293"/>
    </row>
    <row r="7" spans="2:22" x14ac:dyDescent="0.25">
      <c r="B7"/>
      <c r="D7" s="326" t="s">
        <v>394</v>
      </c>
      <c r="E7" s="327"/>
      <c r="F7" s="328" t="s">
        <v>391</v>
      </c>
      <c r="G7" s="327"/>
      <c r="H7" s="40" t="s">
        <v>390</v>
      </c>
      <c r="I7" s="328" t="s">
        <v>720</v>
      </c>
      <c r="J7" s="327"/>
      <c r="K7" s="74" t="s">
        <v>390</v>
      </c>
      <c r="M7" s="326" t="s">
        <v>394</v>
      </c>
      <c r="N7" s="327"/>
      <c r="O7" s="328" t="s">
        <v>391</v>
      </c>
      <c r="P7" s="327"/>
      <c r="Q7" s="40" t="s">
        <v>390</v>
      </c>
      <c r="R7" s="328" t="s">
        <v>720</v>
      </c>
      <c r="S7" s="327"/>
      <c r="T7" s="74" t="s">
        <v>390</v>
      </c>
    </row>
    <row r="8" spans="2:22" ht="22.5" customHeight="1" collapsed="1" x14ac:dyDescent="0.25">
      <c r="B8"/>
      <c r="D8" s="306" t="s">
        <v>393</v>
      </c>
      <c r="E8" s="41" t="s">
        <v>392</v>
      </c>
      <c r="F8" s="41" t="s">
        <v>393</v>
      </c>
      <c r="G8" s="41" t="s">
        <v>392</v>
      </c>
      <c r="H8" s="76" t="s">
        <v>393</v>
      </c>
      <c r="I8" s="296" t="s">
        <v>394</v>
      </c>
      <c r="J8" s="77" t="s">
        <v>392</v>
      </c>
      <c r="K8" s="76" t="s">
        <v>393</v>
      </c>
      <c r="M8" s="306" t="s">
        <v>393</v>
      </c>
      <c r="N8" s="41" t="s">
        <v>392</v>
      </c>
      <c r="O8" s="41" t="s">
        <v>393</v>
      </c>
      <c r="P8" s="41" t="s">
        <v>392</v>
      </c>
      <c r="Q8" s="76" t="s">
        <v>393</v>
      </c>
      <c r="R8" s="296" t="s">
        <v>394</v>
      </c>
      <c r="S8" s="77" t="s">
        <v>392</v>
      </c>
      <c r="T8" s="76" t="s">
        <v>393</v>
      </c>
    </row>
    <row r="9" spans="2:22" x14ac:dyDescent="0.25">
      <c r="B9" s="14"/>
      <c r="C9" s="15" t="s">
        <v>679</v>
      </c>
      <c r="D9" s="49"/>
      <c r="E9" s="102"/>
      <c r="F9" s="49"/>
      <c r="G9" s="16"/>
      <c r="H9" s="50"/>
      <c r="I9" s="16"/>
      <c r="J9" s="16"/>
      <c r="K9" s="50"/>
      <c r="M9" s="49"/>
      <c r="N9" s="102"/>
      <c r="O9" s="49"/>
      <c r="P9" s="16"/>
      <c r="Q9" s="50"/>
      <c r="R9" s="16"/>
      <c r="S9" s="16"/>
      <c r="T9" s="50"/>
    </row>
    <row r="10" spans="2:22" x14ac:dyDescent="0.25">
      <c r="B10" s="28" t="s">
        <v>36</v>
      </c>
      <c r="C10" s="17" t="s">
        <v>679</v>
      </c>
      <c r="D10" s="210">
        <v>1697.83</v>
      </c>
      <c r="E10" s="280">
        <f>+D10/Summary!D$19</f>
        <v>1.7089118318231787E-3</v>
      </c>
      <c r="F10" s="210">
        <v>2031</v>
      </c>
      <c r="G10" s="280">
        <f>+F10/Summary!F$19</f>
        <v>2.0347515732131115E-3</v>
      </c>
      <c r="H10" s="284">
        <f>+D10-F10</f>
        <v>-333.17000000000007</v>
      </c>
      <c r="I10" s="37">
        <v>2077.4899999999998</v>
      </c>
      <c r="J10" s="280">
        <f>+I10/Summary!I$19</f>
        <v>2.5125378661838989E-3</v>
      </c>
      <c r="K10" s="284">
        <f t="shared" ref="K10:K37" si="0">+F10-I10</f>
        <v>-46.489999999999782</v>
      </c>
      <c r="M10" s="210">
        <v>13317.66</v>
      </c>
      <c r="N10" s="280">
        <f>+M10/Summary!M$19</f>
        <v>1.5755533391901136E-3</v>
      </c>
      <c r="O10" s="210">
        <v>12186</v>
      </c>
      <c r="P10" s="280">
        <f>+O10/Summary!O$19</f>
        <v>1.3330253059638205E-3</v>
      </c>
      <c r="Q10" s="284">
        <f>+M10-O10</f>
        <v>1131.6599999999999</v>
      </c>
      <c r="R10" s="37">
        <v>11941.81</v>
      </c>
      <c r="S10" s="280">
        <f>+R10/Summary!R$19</f>
        <v>1.5200297250347852E-3</v>
      </c>
      <c r="T10" s="284">
        <f t="shared" ref="T10:T11" si="1">+O10-R10</f>
        <v>244.19000000000051</v>
      </c>
    </row>
    <row r="11" spans="2:22" x14ac:dyDescent="0.25">
      <c r="B11" s="28"/>
      <c r="C11" s="23" t="s">
        <v>680</v>
      </c>
      <c r="D11" s="92">
        <f t="shared" ref="D11" si="2">SUM(D10:D10)</f>
        <v>1697.83</v>
      </c>
      <c r="E11" s="172">
        <f>+D11/Summary!D$19</f>
        <v>1.7089118318231787E-3</v>
      </c>
      <c r="F11" s="143">
        <f>SUM(F10:F10)</f>
        <v>2031</v>
      </c>
      <c r="G11" s="213">
        <f>+F11/Summary!F$19</f>
        <v>2.0347515732131115E-3</v>
      </c>
      <c r="H11" s="169">
        <f>+D11-F11</f>
        <v>-333.17000000000007</v>
      </c>
      <c r="I11" s="134">
        <f>SUM(I10:I10)</f>
        <v>2077.4899999999998</v>
      </c>
      <c r="J11" s="213">
        <f>+I11/Summary!I$19</f>
        <v>2.5125378661838989E-3</v>
      </c>
      <c r="K11" s="169">
        <f t="shared" si="0"/>
        <v>-46.489999999999782</v>
      </c>
      <c r="M11" s="92">
        <f t="shared" ref="M11" si="3">SUM(M10:M10)</f>
        <v>13317.66</v>
      </c>
      <c r="N11" s="172">
        <f>+M11/Summary!M$19</f>
        <v>1.5755533391901136E-3</v>
      </c>
      <c r="O11" s="143">
        <f>SUM(O10:O10)</f>
        <v>12186</v>
      </c>
      <c r="P11" s="213">
        <f>+O11/Summary!O$19</f>
        <v>1.3330253059638205E-3</v>
      </c>
      <c r="Q11" s="169">
        <f>+M11-O11</f>
        <v>1131.6599999999999</v>
      </c>
      <c r="R11" s="134">
        <f>SUM(R10:R10)</f>
        <v>11941.81</v>
      </c>
      <c r="S11" s="213">
        <f>+R11/Summary!R$19</f>
        <v>1.5200297250347852E-3</v>
      </c>
      <c r="T11" s="169">
        <f t="shared" si="1"/>
        <v>244.19000000000051</v>
      </c>
    </row>
    <row r="12" spans="2:22" x14ac:dyDescent="0.25">
      <c r="B12" s="28"/>
      <c r="C12" s="279" t="s">
        <v>637</v>
      </c>
      <c r="D12" s="242"/>
      <c r="E12" s="102"/>
      <c r="F12" s="282"/>
      <c r="G12" s="281"/>
      <c r="H12" s="90"/>
      <c r="I12" s="283"/>
      <c r="J12" s="281"/>
      <c r="K12" s="90"/>
      <c r="M12" s="242"/>
      <c r="N12" s="102"/>
      <c r="O12" s="282"/>
      <c r="P12" s="281"/>
      <c r="Q12" s="90"/>
      <c r="R12" s="283"/>
      <c r="S12" s="281"/>
      <c r="T12" s="90"/>
    </row>
    <row r="13" spans="2:22" x14ac:dyDescent="0.25">
      <c r="B13" s="28" t="s">
        <v>636</v>
      </c>
      <c r="C13" s="17" t="s">
        <v>681</v>
      </c>
      <c r="D13" s="37">
        <v>0</v>
      </c>
      <c r="E13" s="224">
        <f>+D13/Summary!D$19</f>
        <v>0</v>
      </c>
      <c r="F13" s="37">
        <v>0</v>
      </c>
      <c r="G13" s="224">
        <f>+F13/Summary!F$19</f>
        <v>0</v>
      </c>
      <c r="H13" s="145">
        <f>+D13-F13</f>
        <v>0</v>
      </c>
      <c r="I13" s="37">
        <v>0</v>
      </c>
      <c r="J13" s="224">
        <f>+I13/Summary!I$19</f>
        <v>0</v>
      </c>
      <c r="K13" s="145">
        <f t="shared" si="0"/>
        <v>0</v>
      </c>
      <c r="M13" s="37">
        <v>0</v>
      </c>
      <c r="N13" s="224">
        <f>+M13/Summary!M$19</f>
        <v>0</v>
      </c>
      <c r="O13" s="37">
        <v>0</v>
      </c>
      <c r="P13" s="224">
        <f>+O13/Summary!O$19</f>
        <v>0</v>
      </c>
      <c r="Q13" s="145">
        <f>+M13-O13</f>
        <v>0</v>
      </c>
      <c r="R13" s="37">
        <v>0</v>
      </c>
      <c r="S13" s="224">
        <f>+R13/Summary!R$19</f>
        <v>0</v>
      </c>
      <c r="T13" s="145">
        <f t="shared" ref="T13:T15" si="4">+O13-R13</f>
        <v>0</v>
      </c>
    </row>
    <row r="14" spans="2:22" x14ac:dyDescent="0.25">
      <c r="B14" s="28" t="s">
        <v>645</v>
      </c>
      <c r="C14" s="17" t="s">
        <v>682</v>
      </c>
      <c r="D14" s="107">
        <v>109.19</v>
      </c>
      <c r="E14" s="244">
        <f>+D14/Summary!D$19</f>
        <v>1.0990268926616497E-4</v>
      </c>
      <c r="F14" s="107">
        <v>1100.5</v>
      </c>
      <c r="G14" s="244">
        <f>+F14/Summary!F$19</f>
        <v>1.1025327948404871E-3</v>
      </c>
      <c r="H14" s="154">
        <f>+D14-F14</f>
        <v>-991.31</v>
      </c>
      <c r="I14" s="37">
        <v>652.47</v>
      </c>
      <c r="J14" s="244">
        <f>+I14/Summary!I$19</f>
        <v>7.8910395792471143E-4</v>
      </c>
      <c r="K14" s="154">
        <f t="shared" si="0"/>
        <v>448.03</v>
      </c>
      <c r="M14" s="107">
        <v>4448.92</v>
      </c>
      <c r="N14" s="244">
        <f>+M14/Summary!M$19</f>
        <v>5.2633201041246583E-4</v>
      </c>
      <c r="O14" s="107">
        <v>6816</v>
      </c>
      <c r="P14" s="244">
        <f>+O14/Summary!O$19</f>
        <v>7.456015497660758E-4</v>
      </c>
      <c r="Q14" s="154">
        <f>+M14-O14</f>
        <v>-2367.08</v>
      </c>
      <c r="R14" s="37">
        <v>6694.83</v>
      </c>
      <c r="S14" s="244">
        <f>+R14/Summary!R$19</f>
        <v>8.5216065270295139E-4</v>
      </c>
      <c r="T14" s="154">
        <f t="shared" si="4"/>
        <v>121.17000000000007</v>
      </c>
    </row>
    <row r="15" spans="2:22" x14ac:dyDescent="0.25">
      <c r="B15" s="28" t="s">
        <v>38</v>
      </c>
      <c r="C15" s="23" t="s">
        <v>683</v>
      </c>
      <c r="D15" s="92">
        <f>SUM(D13:D14)</f>
        <v>109.19</v>
      </c>
      <c r="E15" s="172">
        <f>+D15/Summary!D$19</f>
        <v>1.0990268926616497E-4</v>
      </c>
      <c r="F15" s="143">
        <f>SUM(F13:F14)</f>
        <v>1100.5</v>
      </c>
      <c r="G15" s="213">
        <f>+F15/Summary!F$19</f>
        <v>1.1025327948404871E-3</v>
      </c>
      <c r="H15" s="169">
        <f>+D15-F15</f>
        <v>-991.31</v>
      </c>
      <c r="I15" s="134">
        <f>SUM(I13:I14)</f>
        <v>652.47</v>
      </c>
      <c r="J15" s="213">
        <f>+I15/Summary!I$19</f>
        <v>7.8910395792471143E-4</v>
      </c>
      <c r="K15" s="169">
        <f t="shared" si="0"/>
        <v>448.03</v>
      </c>
      <c r="M15" s="92">
        <f>SUM(M13:M14)</f>
        <v>4448.92</v>
      </c>
      <c r="N15" s="172">
        <f>+M15/Summary!M$19</f>
        <v>5.2633201041246583E-4</v>
      </c>
      <c r="O15" s="143">
        <f>SUM(O13:O14)</f>
        <v>6816</v>
      </c>
      <c r="P15" s="213">
        <f>+O15/Summary!O$19</f>
        <v>7.456015497660758E-4</v>
      </c>
      <c r="Q15" s="169">
        <f>+M15-O15</f>
        <v>-2367.08</v>
      </c>
      <c r="R15" s="134">
        <f>SUM(R13:R14)</f>
        <v>6694.83</v>
      </c>
      <c r="S15" s="213">
        <f>+R15/Summary!R$19</f>
        <v>8.5216065270295139E-4</v>
      </c>
      <c r="T15" s="169">
        <f t="shared" si="4"/>
        <v>121.17000000000007</v>
      </c>
    </row>
    <row r="16" spans="2:22" x14ac:dyDescent="0.25">
      <c r="B16" s="28"/>
      <c r="C16" s="279" t="s">
        <v>684</v>
      </c>
      <c r="D16" s="49"/>
      <c r="E16" s="102"/>
      <c r="F16" s="282"/>
      <c r="G16" s="281"/>
      <c r="H16" s="90"/>
      <c r="I16" s="283"/>
      <c r="J16" s="281"/>
      <c r="K16" s="90"/>
      <c r="M16" s="49"/>
      <c r="N16" s="102"/>
      <c r="O16" s="282"/>
      <c r="P16" s="281"/>
      <c r="Q16" s="90"/>
      <c r="R16" s="283"/>
      <c r="S16" s="281"/>
      <c r="T16" s="90"/>
    </row>
    <row r="17" spans="2:20" x14ac:dyDescent="0.25">
      <c r="B17" s="28" t="s">
        <v>651</v>
      </c>
      <c r="C17" s="17" t="s">
        <v>685</v>
      </c>
      <c r="D17" s="37">
        <v>40005</v>
      </c>
      <c r="E17" s="224">
        <f>+D17/Summary!D$19</f>
        <v>4.0266114883166317E-2</v>
      </c>
      <c r="F17" s="37">
        <v>40005</v>
      </c>
      <c r="G17" s="224">
        <f>+F17/Summary!F$19</f>
        <v>4.0078895463510844E-2</v>
      </c>
      <c r="H17" s="145">
        <f>+D17-F17</f>
        <v>0</v>
      </c>
      <c r="I17" s="37">
        <v>37098</v>
      </c>
      <c r="J17" s="224">
        <f>+I17/Summary!I$19</f>
        <v>4.4866704417200705E-2</v>
      </c>
      <c r="K17" s="145">
        <f t="shared" si="0"/>
        <v>2907</v>
      </c>
      <c r="M17" s="37">
        <v>208749.92</v>
      </c>
      <c r="N17" s="224">
        <f>+M17/Summary!M$19</f>
        <v>2.4696277988150252E-2</v>
      </c>
      <c r="O17" s="37">
        <v>240030</v>
      </c>
      <c r="P17" s="224">
        <f>+O17/Summary!O$19</f>
        <v>2.6256857392950583E-2</v>
      </c>
      <c r="Q17" s="145">
        <f>+M17-O17</f>
        <v>-31280.079999999987</v>
      </c>
      <c r="R17" s="37">
        <v>226054</v>
      </c>
      <c r="S17" s="224">
        <f>+R17/Summary!R$19</f>
        <v>2.8773594577623775E-2</v>
      </c>
      <c r="T17" s="145">
        <f t="shared" ref="T17:T21" si="5">+O17-R17</f>
        <v>13976</v>
      </c>
    </row>
    <row r="18" spans="2:20" x14ac:dyDescent="0.25">
      <c r="B18" s="28" t="s">
        <v>649</v>
      </c>
      <c r="C18" s="17" t="s">
        <v>686</v>
      </c>
      <c r="D18" s="37">
        <v>8363</v>
      </c>
      <c r="E18" s="224">
        <f>+D18/Summary!D$19</f>
        <v>8.4175857709766246E-3</v>
      </c>
      <c r="F18" s="37">
        <v>8363</v>
      </c>
      <c r="G18" s="224">
        <f>+F18/Summary!F$19</f>
        <v>8.3784477630631463E-3</v>
      </c>
      <c r="H18" s="145">
        <f>+D18-F18</f>
        <v>0</v>
      </c>
      <c r="I18" s="37">
        <v>8363</v>
      </c>
      <c r="J18" s="224">
        <f>+I18/Summary!I$19</f>
        <v>1.0114298588631448E-2</v>
      </c>
      <c r="K18" s="145">
        <f t="shared" si="0"/>
        <v>0</v>
      </c>
      <c r="M18" s="37">
        <v>50178</v>
      </c>
      <c r="N18" s="224">
        <f>+M18/Summary!M$19</f>
        <v>5.9363368229765224E-3</v>
      </c>
      <c r="O18" s="37">
        <v>50178</v>
      </c>
      <c r="P18" s="224">
        <f>+O18/Summary!O$19</f>
        <v>5.4889663386388137E-3</v>
      </c>
      <c r="Q18" s="145">
        <f>+M18-O18</f>
        <v>0</v>
      </c>
      <c r="R18" s="37">
        <v>50178.2</v>
      </c>
      <c r="S18" s="224">
        <f>+R18/Summary!R$19</f>
        <v>6.3870012626846741E-3</v>
      </c>
      <c r="T18" s="145">
        <f t="shared" si="5"/>
        <v>-0.19999999999708962</v>
      </c>
    </row>
    <row r="19" spans="2:20" x14ac:dyDescent="0.25">
      <c r="B19" s="28" t="s">
        <v>626</v>
      </c>
      <c r="C19" s="17" t="s">
        <v>687</v>
      </c>
      <c r="D19" s="37">
        <v>0</v>
      </c>
      <c r="E19" s="224">
        <f>+D19/Summary!D$19</f>
        <v>0</v>
      </c>
      <c r="F19" s="37">
        <v>0</v>
      </c>
      <c r="G19" s="224">
        <f>+F19/Summary!F$19</f>
        <v>0</v>
      </c>
      <c r="H19" s="145">
        <f>+D19-F19</f>
        <v>0</v>
      </c>
      <c r="I19" s="37">
        <v>0</v>
      </c>
      <c r="J19" s="224">
        <f>+I19/Summary!I$19</f>
        <v>0</v>
      </c>
      <c r="K19" s="145">
        <f t="shared" si="0"/>
        <v>0</v>
      </c>
      <c r="M19" s="37">
        <v>600</v>
      </c>
      <c r="N19" s="224">
        <f>+M19/Summary!M$19</f>
        <v>7.0983341181113507E-5</v>
      </c>
      <c r="O19" s="37">
        <v>300</v>
      </c>
      <c r="P19" s="224">
        <f>+O19/Summary!O$19</f>
        <v>3.2816969619985735E-5</v>
      </c>
      <c r="Q19" s="145">
        <f>+M19-O19</f>
        <v>300</v>
      </c>
      <c r="R19" s="37">
        <v>600</v>
      </c>
      <c r="S19" s="224">
        <f>+R19/Summary!R$19</f>
        <v>7.6371825964478688E-5</v>
      </c>
      <c r="T19" s="145">
        <f t="shared" si="5"/>
        <v>-300</v>
      </c>
    </row>
    <row r="20" spans="2:20" x14ac:dyDescent="0.25">
      <c r="B20" s="28" t="s">
        <v>646</v>
      </c>
      <c r="C20" s="17" t="s">
        <v>688</v>
      </c>
      <c r="D20" s="37">
        <v>0</v>
      </c>
      <c r="E20" s="224">
        <f>+D20/Summary!D$19</f>
        <v>0</v>
      </c>
      <c r="F20" s="37">
        <v>0</v>
      </c>
      <c r="G20" s="224">
        <f>+F20/Summary!F$19</f>
        <v>0</v>
      </c>
      <c r="H20" s="145">
        <f>+D20-F20</f>
        <v>0</v>
      </c>
      <c r="I20" s="37">
        <v>0</v>
      </c>
      <c r="J20" s="224">
        <f>+I20/Summary!I$19</f>
        <v>0</v>
      </c>
      <c r="K20" s="145">
        <f t="shared" si="0"/>
        <v>0</v>
      </c>
      <c r="M20" s="37">
        <v>16589.2</v>
      </c>
      <c r="N20" s="224">
        <f>+M20/Summary!M$19</f>
        <v>1.9625947392028806E-3</v>
      </c>
      <c r="O20" s="37">
        <v>16589</v>
      </c>
      <c r="P20" s="224">
        <f>+O20/Summary!O$19</f>
        <v>1.8146690300864777E-3</v>
      </c>
      <c r="Q20" s="145">
        <f>+M20-O20</f>
        <v>0.2000000000007276</v>
      </c>
      <c r="R20" s="37">
        <v>16589</v>
      </c>
      <c r="S20" s="224">
        <f>+R20/Summary!R$19</f>
        <v>2.1115537015412283E-3</v>
      </c>
      <c r="T20" s="145">
        <f t="shared" si="5"/>
        <v>0</v>
      </c>
    </row>
    <row r="21" spans="2:20" x14ac:dyDescent="0.25">
      <c r="B21" s="28" t="s">
        <v>40</v>
      </c>
      <c r="C21" s="23" t="s">
        <v>689</v>
      </c>
      <c r="D21" s="92">
        <f t="shared" ref="D21" si="6">SUM(D17:D20)</f>
        <v>48368</v>
      </c>
      <c r="E21" s="172">
        <f>+D21/Summary!D$19</f>
        <v>4.8683700654142938E-2</v>
      </c>
      <c r="F21" s="143">
        <f>SUM(F17:F20)</f>
        <v>48368</v>
      </c>
      <c r="G21" s="213">
        <f>+F21/Summary!F$19</f>
        <v>4.8457343226573989E-2</v>
      </c>
      <c r="H21" s="169">
        <f>+D21-F21</f>
        <v>0</v>
      </c>
      <c r="I21" s="134">
        <f>SUM(I17:I20)</f>
        <v>45461</v>
      </c>
      <c r="J21" s="213">
        <f>+I21/Summary!I$19</f>
        <v>5.4981003005832155E-2</v>
      </c>
      <c r="K21" s="169">
        <f t="shared" si="0"/>
        <v>2907</v>
      </c>
      <c r="M21" s="92">
        <f t="shared" ref="M21" si="7">SUM(M17:M20)</f>
        <v>276117.12</v>
      </c>
      <c r="N21" s="172">
        <f>+M21/Summary!M$19</f>
        <v>3.2666192891510765E-2</v>
      </c>
      <c r="O21" s="143">
        <f>SUM(O17:O20)</f>
        <v>307097</v>
      </c>
      <c r="P21" s="213">
        <f>+O21/Summary!O$19</f>
        <v>3.3593309731295859E-2</v>
      </c>
      <c r="Q21" s="169">
        <f>+M21-O21</f>
        <v>-30979.880000000005</v>
      </c>
      <c r="R21" s="134">
        <f>SUM(R17:R20)</f>
        <v>293421.2</v>
      </c>
      <c r="S21" s="213">
        <f>+R21/Summary!R$19</f>
        <v>3.7348521367814157E-2</v>
      </c>
      <c r="T21" s="169">
        <f t="shared" si="5"/>
        <v>13675.799999999988</v>
      </c>
    </row>
    <row r="22" spans="2:20" x14ac:dyDescent="0.25">
      <c r="B22" s="28"/>
      <c r="C22" s="279" t="s">
        <v>624</v>
      </c>
      <c r="D22" s="49"/>
      <c r="E22" s="102"/>
      <c r="F22" s="282"/>
      <c r="G22" s="281"/>
      <c r="H22" s="90"/>
      <c r="I22" s="283"/>
      <c r="J22" s="281"/>
      <c r="K22" s="90"/>
      <c r="M22" s="49"/>
      <c r="N22" s="102"/>
      <c r="O22" s="282"/>
      <c r="P22" s="281"/>
      <c r="Q22" s="90"/>
      <c r="R22" s="283"/>
      <c r="S22" s="281"/>
      <c r="T22" s="90"/>
    </row>
    <row r="23" spans="2:20" x14ac:dyDescent="0.25">
      <c r="B23" s="28" t="s">
        <v>625</v>
      </c>
      <c r="C23" s="17" t="s">
        <v>690</v>
      </c>
      <c r="D23" s="37">
        <v>92713.82</v>
      </c>
      <c r="E23" s="224">
        <f>+D23/Summary!D$19</f>
        <v>9.3318968313390899E-2</v>
      </c>
      <c r="F23" s="37">
        <v>112332</v>
      </c>
      <c r="G23" s="224">
        <f>+F23/Summary!F$19</f>
        <v>0.11253949469334083</v>
      </c>
      <c r="H23" s="145">
        <f>+D23-F23</f>
        <v>-19618.179999999993</v>
      </c>
      <c r="I23" s="37">
        <v>106816.99</v>
      </c>
      <c r="J23" s="224">
        <f>+I23/Summary!I$19</f>
        <v>0.12918557111070902</v>
      </c>
      <c r="K23" s="145">
        <f t="shared" si="0"/>
        <v>5515.0099999999948</v>
      </c>
      <c r="M23" s="37">
        <v>608847.51</v>
      </c>
      <c r="N23" s="224">
        <f>+M23/Summary!M$19</f>
        <v>7.2030050882669033E-2</v>
      </c>
      <c r="O23" s="37">
        <v>652851</v>
      </c>
      <c r="P23" s="224">
        <f>+O23/Summary!O$19</f>
        <v>7.1415304777924349E-2</v>
      </c>
      <c r="Q23" s="145">
        <f>+M23-O23</f>
        <v>-44003.489999999991</v>
      </c>
      <c r="R23" s="37">
        <v>693901.93</v>
      </c>
      <c r="S23" s="224">
        <f>+R23/Summary!R$19</f>
        <v>8.8324262390626462E-2</v>
      </c>
      <c r="T23" s="145">
        <f t="shared" ref="T23:T27" si="8">+O23-R23</f>
        <v>-41050.930000000051</v>
      </c>
    </row>
    <row r="24" spans="2:20" x14ac:dyDescent="0.25">
      <c r="B24" s="28" t="s">
        <v>639</v>
      </c>
      <c r="C24" s="17" t="s">
        <v>691</v>
      </c>
      <c r="D24" s="37">
        <v>7704.69</v>
      </c>
      <c r="E24" s="224">
        <f>+D24/Summary!D$19</f>
        <v>7.7549789446114898E-3</v>
      </c>
      <c r="F24" s="37">
        <v>10769.32</v>
      </c>
      <c r="G24" s="224">
        <f>+F24/Summary!F$19</f>
        <v>1.0789212610751071E-2</v>
      </c>
      <c r="H24" s="145">
        <f>+D24-F24</f>
        <v>-3064.63</v>
      </c>
      <c r="I24" s="37">
        <v>10303.48</v>
      </c>
      <c r="J24" s="224">
        <f>+I24/Summary!I$19</f>
        <v>1.2461135145521027E-2</v>
      </c>
      <c r="K24" s="145">
        <f t="shared" si="0"/>
        <v>465.84000000000015</v>
      </c>
      <c r="M24" s="37">
        <v>46523.67</v>
      </c>
      <c r="N24" s="224">
        <f>+M24/Summary!M$19</f>
        <v>5.5040092343458915E-3</v>
      </c>
      <c r="O24" s="37">
        <v>63495.92</v>
      </c>
      <c r="P24" s="224">
        <f>+O24/Summary!O$19</f>
        <v>6.9458122587768151E-3</v>
      </c>
      <c r="Q24" s="145">
        <f>+M24-O24</f>
        <v>-16972.25</v>
      </c>
      <c r="R24" s="37">
        <v>60546.8</v>
      </c>
      <c r="S24" s="224">
        <f>+R24/Summary!R$19</f>
        <v>7.7067827871768304E-3</v>
      </c>
      <c r="T24" s="145">
        <f t="shared" si="8"/>
        <v>2949.1199999999953</v>
      </c>
    </row>
    <row r="25" spans="2:20" x14ac:dyDescent="0.25">
      <c r="B25" s="28" t="s">
        <v>630</v>
      </c>
      <c r="C25" s="17" t="s">
        <v>697</v>
      </c>
      <c r="D25" s="37">
        <v>0</v>
      </c>
      <c r="E25" s="224">
        <f>+D25/Summary!D$19</f>
        <v>0</v>
      </c>
      <c r="F25" s="37">
        <v>0</v>
      </c>
      <c r="G25" s="224">
        <f>+F25/Summary!F$19</f>
        <v>0</v>
      </c>
      <c r="H25" s="145">
        <f>+D25-F25</f>
        <v>0</v>
      </c>
      <c r="I25" s="37">
        <v>0</v>
      </c>
      <c r="J25" s="224">
        <f>+I25/Summary!I$19</f>
        <v>0</v>
      </c>
      <c r="K25" s="145">
        <f t="shared" si="0"/>
        <v>0</v>
      </c>
      <c r="M25" s="37">
        <v>0</v>
      </c>
      <c r="N25" s="224">
        <f>+M25/Summary!M$19</f>
        <v>0</v>
      </c>
      <c r="O25" s="37">
        <v>0</v>
      </c>
      <c r="P25" s="224">
        <f>+O25/Summary!O$19</f>
        <v>0</v>
      </c>
      <c r="Q25" s="145">
        <f>+M25-O25</f>
        <v>0</v>
      </c>
      <c r="R25" s="37">
        <v>0</v>
      </c>
      <c r="S25" s="224">
        <f>+R25/Summary!R$19</f>
        <v>0</v>
      </c>
      <c r="T25" s="145">
        <f t="shared" si="8"/>
        <v>0</v>
      </c>
    </row>
    <row r="26" spans="2:20" x14ac:dyDescent="0.25">
      <c r="B26" s="28" t="s">
        <v>643</v>
      </c>
      <c r="C26" s="17" t="s">
        <v>692</v>
      </c>
      <c r="D26" s="107">
        <v>439.84</v>
      </c>
      <c r="E26" s="244">
        <f>+D26/Summary!D$19</f>
        <v>4.4271086039774705E-4</v>
      </c>
      <c r="F26" s="107">
        <v>934</v>
      </c>
      <c r="G26" s="244">
        <f>+F26/Summary!F$19</f>
        <v>9.3572524341755097E-4</v>
      </c>
      <c r="H26" s="154">
        <f>+D26-F26</f>
        <v>-494.16</v>
      </c>
      <c r="I26" s="37">
        <v>350.51</v>
      </c>
      <c r="J26" s="244">
        <f>+I26/Summary!I$19</f>
        <v>4.2391041471974281E-4</v>
      </c>
      <c r="K26" s="154">
        <f t="shared" si="0"/>
        <v>583.49</v>
      </c>
      <c r="M26" s="107">
        <v>2728.37</v>
      </c>
      <c r="N26" s="244">
        <f>+M26/Summary!M$19</f>
        <v>3.2278136429719111E-4</v>
      </c>
      <c r="O26" s="107">
        <v>5299</v>
      </c>
      <c r="P26" s="244">
        <f>+O26/Summary!O$19</f>
        <v>5.7965707338768137E-4</v>
      </c>
      <c r="Q26" s="154">
        <f>+M26-O26</f>
        <v>-2570.63</v>
      </c>
      <c r="R26" s="37">
        <v>2109.52</v>
      </c>
      <c r="S26" s="244">
        <f>+R26/Summary!R$19</f>
        <v>2.6851315718097847E-4</v>
      </c>
      <c r="T26" s="154">
        <f t="shared" si="8"/>
        <v>3189.48</v>
      </c>
    </row>
    <row r="27" spans="2:20" x14ac:dyDescent="0.25">
      <c r="B27" s="28" t="s">
        <v>42</v>
      </c>
      <c r="C27" s="23" t="s">
        <v>693</v>
      </c>
      <c r="D27" s="92">
        <f t="shared" ref="D27" si="9">SUM(D23:D26)</f>
        <v>100858.35</v>
      </c>
      <c r="E27" s="172">
        <f>+D27/Summary!D$19</f>
        <v>0.10151665811840013</v>
      </c>
      <c r="F27" s="143">
        <f>SUM(F23:F26)</f>
        <v>124035.32</v>
      </c>
      <c r="G27" s="213">
        <f>+F27/Summary!F$19</f>
        <v>0.12426443254750946</v>
      </c>
      <c r="H27" s="169">
        <f>+D27-F27</f>
        <v>-23176.97</v>
      </c>
      <c r="I27" s="134">
        <f>SUM(I23:I26)</f>
        <v>117470.98</v>
      </c>
      <c r="J27" s="213">
        <f>+I27/Summary!I$19</f>
        <v>0.14207061667094978</v>
      </c>
      <c r="K27" s="169">
        <f t="shared" si="0"/>
        <v>6564.3400000000111</v>
      </c>
      <c r="M27" s="92">
        <f t="shared" ref="M27" si="10">SUM(M23:M26)</f>
        <v>658099.55000000005</v>
      </c>
      <c r="N27" s="172">
        <f>+M27/Summary!M$19</f>
        <v>7.7856841481312125E-2</v>
      </c>
      <c r="O27" s="143">
        <f>SUM(O23:O26)</f>
        <v>721645.92</v>
      </c>
      <c r="P27" s="213">
        <f>+O27/Summary!O$19</f>
        <v>7.8940774110088846E-2</v>
      </c>
      <c r="Q27" s="169">
        <f>+M27-O27</f>
        <v>-63546.369999999995</v>
      </c>
      <c r="R27" s="134">
        <f>SUM(R23:R26)</f>
        <v>756558.25000000012</v>
      </c>
      <c r="S27" s="213">
        <f>+R27/Summary!R$19</f>
        <v>9.6299558334984284E-2</v>
      </c>
      <c r="T27" s="169">
        <f t="shared" si="8"/>
        <v>-34912.330000000075</v>
      </c>
    </row>
    <row r="28" spans="2:20" x14ac:dyDescent="0.25">
      <c r="B28" s="28"/>
      <c r="C28" s="279" t="s">
        <v>447</v>
      </c>
      <c r="D28" s="49"/>
      <c r="E28" s="102"/>
      <c r="F28" s="282"/>
      <c r="G28" s="281"/>
      <c r="H28" s="90"/>
      <c r="I28" s="283"/>
      <c r="J28" s="281"/>
      <c r="K28" s="90"/>
      <c r="M28" s="49"/>
      <c r="N28" s="102"/>
      <c r="O28" s="282"/>
      <c r="P28" s="281"/>
      <c r="Q28" s="90"/>
      <c r="R28" s="283"/>
      <c r="S28" s="281"/>
      <c r="T28" s="90"/>
    </row>
    <row r="29" spans="2:20" x14ac:dyDescent="0.25">
      <c r="B29" s="28" t="s">
        <v>623</v>
      </c>
      <c r="C29" s="17" t="s">
        <v>698</v>
      </c>
      <c r="D29" s="37">
        <v>0</v>
      </c>
      <c r="E29" s="224">
        <f>+D29/Summary!D$19</f>
        <v>0</v>
      </c>
      <c r="F29" s="37">
        <v>0</v>
      </c>
      <c r="G29" s="224">
        <f>+F29/Summary!F$19</f>
        <v>0</v>
      </c>
      <c r="H29" s="145">
        <f t="shared" ref="H29:H35" si="11">+D29-F29</f>
        <v>0</v>
      </c>
      <c r="I29" s="37">
        <v>0</v>
      </c>
      <c r="J29" s="224">
        <f>+I29/Summary!I$19</f>
        <v>0</v>
      </c>
      <c r="K29" s="145">
        <f t="shared" si="0"/>
        <v>0</v>
      </c>
      <c r="M29" s="37">
        <v>0</v>
      </c>
      <c r="N29" s="224">
        <f>+M29/Summary!M$19</f>
        <v>0</v>
      </c>
      <c r="O29" s="37">
        <v>0</v>
      </c>
      <c r="P29" s="224">
        <f>+O29/Summary!O$19</f>
        <v>0</v>
      </c>
      <c r="Q29" s="145">
        <f t="shared" ref="Q29:Q35" si="12">+M29-O29</f>
        <v>0</v>
      </c>
      <c r="R29" s="37">
        <v>0</v>
      </c>
      <c r="S29" s="224">
        <f>+R29/Summary!R$19</f>
        <v>0</v>
      </c>
      <c r="T29" s="145">
        <f t="shared" ref="T29:T35" si="13">+O29-R29</f>
        <v>0</v>
      </c>
    </row>
    <row r="30" spans="2:20" x14ac:dyDescent="0.25">
      <c r="B30" s="28" t="s">
        <v>633</v>
      </c>
      <c r="C30" s="17" t="s">
        <v>699</v>
      </c>
      <c r="D30" s="37">
        <v>0</v>
      </c>
      <c r="E30" s="224">
        <f>+D30/Summary!D$19</f>
        <v>0</v>
      </c>
      <c r="F30" s="37">
        <v>0</v>
      </c>
      <c r="G30" s="224">
        <f>+F30/Summary!F$19</f>
        <v>0</v>
      </c>
      <c r="H30" s="145">
        <f t="shared" si="11"/>
        <v>0</v>
      </c>
      <c r="I30" s="37">
        <v>0</v>
      </c>
      <c r="J30" s="224">
        <f>+I30/Summary!I$19</f>
        <v>0</v>
      </c>
      <c r="K30" s="145">
        <f t="shared" si="0"/>
        <v>0</v>
      </c>
      <c r="M30" s="37">
        <v>0</v>
      </c>
      <c r="N30" s="224">
        <f>+M30/Summary!M$19</f>
        <v>0</v>
      </c>
      <c r="O30" s="37">
        <v>0</v>
      </c>
      <c r="P30" s="224">
        <f>+O30/Summary!O$19</f>
        <v>0</v>
      </c>
      <c r="Q30" s="145">
        <f t="shared" si="12"/>
        <v>0</v>
      </c>
      <c r="R30" s="37">
        <v>0</v>
      </c>
      <c r="S30" s="224">
        <f>+R30/Summary!R$19</f>
        <v>0</v>
      </c>
      <c r="T30" s="145">
        <f t="shared" si="13"/>
        <v>0</v>
      </c>
    </row>
    <row r="31" spans="2:20" x14ac:dyDescent="0.25">
      <c r="B31" s="28" t="s">
        <v>638</v>
      </c>
      <c r="C31" s="17" t="s">
        <v>700</v>
      </c>
      <c r="D31" s="37">
        <v>0</v>
      </c>
      <c r="E31" s="224">
        <f>+D31/Summary!D$19</f>
        <v>0</v>
      </c>
      <c r="F31" s="37">
        <v>0</v>
      </c>
      <c r="G31" s="224">
        <f>+F31/Summary!F$19</f>
        <v>0</v>
      </c>
      <c r="H31" s="145">
        <f t="shared" si="11"/>
        <v>0</v>
      </c>
      <c r="I31" s="37">
        <v>0</v>
      </c>
      <c r="J31" s="224">
        <f>+I31/Summary!I$19</f>
        <v>0</v>
      </c>
      <c r="K31" s="145">
        <f t="shared" si="0"/>
        <v>0</v>
      </c>
      <c r="M31" s="37">
        <v>0</v>
      </c>
      <c r="N31" s="224">
        <f>+M31/Summary!M$19</f>
        <v>0</v>
      </c>
      <c r="O31" s="37">
        <v>0</v>
      </c>
      <c r="P31" s="224">
        <f>+O31/Summary!O$19</f>
        <v>0</v>
      </c>
      <c r="Q31" s="145">
        <f t="shared" si="12"/>
        <v>0</v>
      </c>
      <c r="R31" s="37">
        <v>0</v>
      </c>
      <c r="S31" s="224">
        <f>+R31/Summary!R$19</f>
        <v>0</v>
      </c>
      <c r="T31" s="145">
        <f t="shared" si="13"/>
        <v>0</v>
      </c>
    </row>
    <row r="32" spans="2:20" x14ac:dyDescent="0.25">
      <c r="B32" s="28" t="s">
        <v>644</v>
      </c>
      <c r="C32" s="17" t="s">
        <v>701</v>
      </c>
      <c r="D32" s="37">
        <v>0</v>
      </c>
      <c r="E32" s="224">
        <f>+D32/Summary!D$19</f>
        <v>0</v>
      </c>
      <c r="F32" s="37">
        <v>0</v>
      </c>
      <c r="G32" s="224">
        <f>+F32/Summary!F$19</f>
        <v>0</v>
      </c>
      <c r="H32" s="145">
        <f t="shared" si="11"/>
        <v>0</v>
      </c>
      <c r="I32" s="37">
        <v>448</v>
      </c>
      <c r="J32" s="224">
        <f>+I32/Summary!I$19</f>
        <v>5.4181582777793719E-4</v>
      </c>
      <c r="K32" s="145">
        <f t="shared" si="0"/>
        <v>-448</v>
      </c>
      <c r="M32" s="37">
        <v>0</v>
      </c>
      <c r="N32" s="224">
        <f>+M32/Summary!M$19</f>
        <v>0</v>
      </c>
      <c r="O32" s="37">
        <v>0</v>
      </c>
      <c r="P32" s="224">
        <f>+O32/Summary!O$19</f>
        <v>0</v>
      </c>
      <c r="Q32" s="145">
        <f t="shared" si="12"/>
        <v>0</v>
      </c>
      <c r="R32" s="37">
        <v>0</v>
      </c>
      <c r="S32" s="224">
        <f>+R32/Summary!R$19</f>
        <v>0</v>
      </c>
      <c r="T32" s="145">
        <f t="shared" si="13"/>
        <v>0</v>
      </c>
    </row>
    <row r="33" spans="2:20" x14ac:dyDescent="0.25">
      <c r="B33" s="28" t="s">
        <v>648</v>
      </c>
      <c r="C33" s="17" t="s">
        <v>694</v>
      </c>
      <c r="D33" s="37">
        <v>0</v>
      </c>
      <c r="E33" s="224">
        <f>+D33/Summary!D$19</f>
        <v>0</v>
      </c>
      <c r="F33" s="37">
        <v>0</v>
      </c>
      <c r="G33" s="224">
        <f>+F33/Summary!F$19</f>
        <v>0</v>
      </c>
      <c r="H33" s="145">
        <f t="shared" si="11"/>
        <v>0</v>
      </c>
      <c r="I33" s="37">
        <v>0</v>
      </c>
      <c r="J33" s="224">
        <f>+I33/Summary!I$19</f>
        <v>0</v>
      </c>
      <c r="K33" s="145">
        <f t="shared" si="0"/>
        <v>0</v>
      </c>
      <c r="M33" s="37">
        <v>0</v>
      </c>
      <c r="N33" s="224">
        <f>+M33/Summary!M$19</f>
        <v>0</v>
      </c>
      <c r="O33" s="37">
        <v>0</v>
      </c>
      <c r="P33" s="224">
        <f>+O33/Summary!O$19</f>
        <v>0</v>
      </c>
      <c r="Q33" s="145">
        <f t="shared" si="12"/>
        <v>0</v>
      </c>
      <c r="R33" s="37">
        <v>0</v>
      </c>
      <c r="S33" s="224">
        <f>+R33/Summary!R$19</f>
        <v>0</v>
      </c>
      <c r="T33" s="145">
        <f t="shared" si="13"/>
        <v>0</v>
      </c>
    </row>
    <row r="34" spans="2:20" x14ac:dyDescent="0.25">
      <c r="B34" s="28" t="s">
        <v>650</v>
      </c>
      <c r="C34" s="17" t="s">
        <v>702</v>
      </c>
      <c r="D34" s="37">
        <v>0</v>
      </c>
      <c r="E34" s="224">
        <f>+D34/Summary!D$19</f>
        <v>0</v>
      </c>
      <c r="F34" s="37">
        <v>0</v>
      </c>
      <c r="G34" s="224">
        <f>+F34/Summary!F$19</f>
        <v>0</v>
      </c>
      <c r="H34" s="145">
        <f t="shared" si="11"/>
        <v>0</v>
      </c>
      <c r="I34" s="37">
        <v>0</v>
      </c>
      <c r="J34" s="224">
        <f>+I34/Summary!I$19</f>
        <v>0</v>
      </c>
      <c r="K34" s="145">
        <f t="shared" si="0"/>
        <v>0</v>
      </c>
      <c r="M34" s="37">
        <v>0</v>
      </c>
      <c r="N34" s="224">
        <f>+M34/Summary!M$19</f>
        <v>0</v>
      </c>
      <c r="O34" s="37">
        <v>0</v>
      </c>
      <c r="P34" s="224">
        <f>+O34/Summary!O$19</f>
        <v>0</v>
      </c>
      <c r="Q34" s="145">
        <f t="shared" si="12"/>
        <v>0</v>
      </c>
      <c r="R34" s="37">
        <v>0</v>
      </c>
      <c r="S34" s="224">
        <f>+R34/Summary!R$19</f>
        <v>0</v>
      </c>
      <c r="T34" s="145">
        <f t="shared" si="13"/>
        <v>0</v>
      </c>
    </row>
    <row r="35" spans="2:20" x14ac:dyDescent="0.25">
      <c r="B35" s="28" t="s">
        <v>44</v>
      </c>
      <c r="C35" s="23" t="s">
        <v>695</v>
      </c>
      <c r="D35" s="92">
        <f t="shared" ref="D35" si="14">SUM(D29:D34)</f>
        <v>0</v>
      </c>
      <c r="E35" s="172">
        <f>+D35/Summary!D$19</f>
        <v>0</v>
      </c>
      <c r="F35" s="92">
        <f>SUM(F29:F34)</f>
        <v>0</v>
      </c>
      <c r="G35" s="172">
        <f>+F35/Summary!F$19</f>
        <v>0</v>
      </c>
      <c r="H35" s="141">
        <f t="shared" si="11"/>
        <v>0</v>
      </c>
      <c r="I35" s="87">
        <f>SUM(I29:I34)</f>
        <v>448</v>
      </c>
      <c r="J35" s="172">
        <f>+I35/Summary!I$19</f>
        <v>5.4181582777793719E-4</v>
      </c>
      <c r="K35" s="141">
        <f t="shared" si="0"/>
        <v>-448</v>
      </c>
      <c r="M35" s="92">
        <f t="shared" ref="M35" si="15">SUM(M29:M34)</f>
        <v>0</v>
      </c>
      <c r="N35" s="172">
        <f>+M35/Summary!M$19</f>
        <v>0</v>
      </c>
      <c r="O35" s="92">
        <f>SUM(O29:O34)</f>
        <v>0</v>
      </c>
      <c r="P35" s="172">
        <f>+O35/Summary!O$19</f>
        <v>0</v>
      </c>
      <c r="Q35" s="141">
        <f t="shared" si="12"/>
        <v>0</v>
      </c>
      <c r="R35" s="87">
        <f>SUM(R29:R34)</f>
        <v>0</v>
      </c>
      <c r="S35" s="172">
        <f>+R35/Summary!R$19</f>
        <v>0</v>
      </c>
      <c r="T35" s="141">
        <f t="shared" si="13"/>
        <v>0</v>
      </c>
    </row>
    <row r="36" spans="2:20" x14ac:dyDescent="0.25">
      <c r="B36" s="28"/>
      <c r="C36" s="17"/>
      <c r="D36" s="325"/>
      <c r="E36" s="217"/>
      <c r="F36" s="252"/>
      <c r="G36" s="248"/>
      <c r="H36" s="248"/>
      <c r="I36" s="248"/>
      <c r="J36" s="248"/>
      <c r="K36" s="253"/>
      <c r="M36" s="325"/>
      <c r="N36" s="217"/>
      <c r="O36" s="252"/>
      <c r="P36" s="248"/>
      <c r="Q36" s="248"/>
      <c r="R36" s="248"/>
      <c r="S36" s="248"/>
      <c r="T36" s="253"/>
    </row>
    <row r="37" spans="2:20" x14ac:dyDescent="0.25">
      <c r="B37" s="28" t="s">
        <v>668</v>
      </c>
      <c r="C37" s="18" t="s">
        <v>696</v>
      </c>
      <c r="D37" s="92">
        <f t="shared" ref="D37" si="16">+(-D11)+D15+D21+D27+D35</f>
        <v>147637.71000000002</v>
      </c>
      <c r="E37" s="172">
        <f>+D37/Summary!D$19</f>
        <v>0.14860134962998608</v>
      </c>
      <c r="F37" s="61">
        <f>+-F11+F15+F21+F27+F35</f>
        <v>171472.82</v>
      </c>
      <c r="G37" s="285">
        <f>+F37/Summary!F$19</f>
        <v>0.17178955699571083</v>
      </c>
      <c r="H37" s="286">
        <f>+D37-F37</f>
        <v>-23835.109999999986</v>
      </c>
      <c r="I37" s="287">
        <f>+-I11+I15+I21+I27+I35</f>
        <v>161954.96</v>
      </c>
      <c r="J37" s="285">
        <f>+I37/Summary!I$19</f>
        <v>0.19587000159630069</v>
      </c>
      <c r="K37" s="286">
        <f t="shared" si="0"/>
        <v>9517.8600000000151</v>
      </c>
      <c r="M37" s="92">
        <f t="shared" ref="M37" si="17">+(-M11)+M15+M21+M27+M35</f>
        <v>925347.93</v>
      </c>
      <c r="N37" s="172">
        <f>+M37/Summary!M$19</f>
        <v>0.10947381304404524</v>
      </c>
      <c r="O37" s="61">
        <f>+-O11+O15+O21+O27+O35</f>
        <v>1023372.92</v>
      </c>
      <c r="P37" s="285">
        <f>+O37/Summary!O$19</f>
        <v>0.11194666008518697</v>
      </c>
      <c r="Q37" s="286">
        <f>+M37-O37</f>
        <v>-98024.989999999991</v>
      </c>
      <c r="R37" s="287">
        <f>+-R11+R15+R21+R27+R35</f>
        <v>1044732.4700000002</v>
      </c>
      <c r="S37" s="285">
        <f>+R37/Summary!R$19</f>
        <v>0.13298021063046661</v>
      </c>
      <c r="T37" s="286">
        <f t="shared" ref="T37" si="18">+O37-R37</f>
        <v>-21359.550000000163</v>
      </c>
    </row>
    <row r="38" spans="2:20" x14ac:dyDescent="0.25">
      <c r="B38" s="28"/>
    </row>
    <row r="39" spans="2:20" x14ac:dyDescent="0.25">
      <c r="B39" s="28"/>
    </row>
    <row r="40" spans="2:20" x14ac:dyDescent="0.25">
      <c r="B40" s="28"/>
    </row>
    <row r="50" spans="4:4" x14ac:dyDescent="0.25">
      <c r="D50" s="114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Summary</vt:lpstr>
      <vt:lpstr>Rooms</vt:lpstr>
      <vt:lpstr>F&amp;B_CONS</vt:lpstr>
      <vt:lpstr>OTH_OP</vt:lpstr>
      <vt:lpstr>MISC_INC</vt:lpstr>
      <vt:lpstr>AG</vt:lpstr>
      <vt:lpstr>IT</vt:lpstr>
      <vt:lpstr>SM</vt:lpstr>
      <vt:lpstr>POM</vt:lpstr>
      <vt:lpstr>EC</vt:lpstr>
      <vt:lpstr>Mgt_Fees</vt:lpstr>
      <vt:lpstr>Non_Op</vt:lpstr>
      <vt:lpstr>Month</vt:lpstr>
      <vt:lpstr>Property</vt:lpstr>
      <vt:lpstr>Property_Code</vt:lpstr>
      <vt:lpstr>Year</vt:lpstr>
      <vt:lpstr>YTDMonth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Galiardo</dc:creator>
  <cp:lastModifiedBy>Hyun Lee</cp:lastModifiedBy>
  <dcterms:created xsi:type="dcterms:W3CDTF">2024-11-04T20:15:09Z</dcterms:created>
  <dcterms:modified xsi:type="dcterms:W3CDTF">2025-07-25T00:30:20Z</dcterms:modified>
</cp:coreProperties>
</file>