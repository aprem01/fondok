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Finance\Debt Management\Compliance\Monthly Compliance\2025\1 - Jan 2025\"/>
    </mc:Choice>
  </mc:AlternateContent>
  <xr:revisionPtr revIDLastSave="0" documentId="13_ncr:1_{C4CA9677-D746-49F8-8C3F-303D7AD3C71D}" xr6:coauthVersionLast="47" xr6:coauthVersionMax="47" xr10:uidLastSave="{00000000-0000-0000-0000-000000000000}"/>
  <bookViews>
    <workbookView xWindow="-28920" yWindow="-420" windowWidth="29040" windowHeight="15720" xr2:uid="{BDD9F9FB-3AC4-42BB-904E-DCD00C02E7C5}"/>
  </bookViews>
  <sheets>
    <sheet name="P&amp;L" sheetId="2" r:id="rId1"/>
    <sheet name="T12" sheetId="3" r:id="rId2"/>
  </sheets>
  <definedNames>
    <definedName name="CY">#REF!</definedName>
    <definedName name="Month1">#REF!</definedName>
    <definedName name="_xlnm.Print_Area" localSheetId="0">'P&amp;L'!$A$1:$N$57</definedName>
    <definedName name="_xlnm.Print_Area" localSheetId="1">'T12'!$A$1:$O$57</definedName>
    <definedName name="Room_Revenue_Factor">#REF!</definedName>
    <definedName name="RPTDATE">#REF!</definedName>
    <definedName name="RPTMONTH">#REF!</definedName>
    <definedName name="wrn.Financial._.Statements." localSheetId="1" hidden="1">{#N/A,#N/A,FALSE,"BS";#N/A,#N/A,FALSE,"IS";#N/A,#N/A,FALSE,"CF";#N/A,#N/A,FALSE,"EXP";#N/A,#N/A,FALSE,"FURN";#N/A,#N/A,FALSE,"MANNOI"}</definedName>
    <definedName name="wrn.Financial._.Statements." hidden="1">{#N/A,#N/A,FALSE,"BS";#N/A,#N/A,FALSE,"IS";#N/A,#N/A,FALSE,"CF";#N/A,#N/A,FALSE,"EXP";#N/A,#N/A,FALSE,"FURN";#N/A,#N/A,FALSE,"MANNOI"}</definedName>
    <definedName name="ytdhEADER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4" i="3" l="1"/>
  <c r="O53" i="3"/>
  <c r="O51" i="3"/>
  <c r="O49" i="3"/>
  <c r="O48" i="3"/>
  <c r="O47" i="3"/>
  <c r="O46" i="3"/>
  <c r="O45" i="3"/>
  <c r="O44" i="3"/>
  <c r="O42" i="3"/>
  <c r="O41" i="3"/>
  <c r="O39" i="3"/>
  <c r="O37" i="3"/>
  <c r="O36" i="3"/>
  <c r="O35" i="3"/>
  <c r="O34" i="3"/>
  <c r="O33" i="3"/>
  <c r="O32" i="3"/>
  <c r="O29" i="3"/>
  <c r="O27" i="3"/>
  <c r="O26" i="3"/>
  <c r="O25" i="3"/>
  <c r="O24" i="3"/>
  <c r="O21" i="3"/>
  <c r="O20" i="3"/>
  <c r="O19" i="3"/>
  <c r="O18" i="3"/>
  <c r="O17" i="3"/>
  <c r="O12" i="3" s="1"/>
  <c r="O10" i="3"/>
  <c r="O11" i="3" s="1"/>
  <c r="O13" i="3" s="1"/>
  <c r="O9" i="3"/>
  <c r="M53" i="2"/>
  <c r="G53" i="2"/>
  <c r="M48" i="2"/>
  <c r="G48" i="2"/>
  <c r="M47" i="2"/>
  <c r="G47" i="2"/>
  <c r="M46" i="2"/>
  <c r="G46" i="2"/>
  <c r="M45" i="2"/>
  <c r="G45" i="2"/>
  <c r="K49" i="2"/>
  <c r="C49" i="2"/>
  <c r="M41" i="2"/>
  <c r="G41" i="2"/>
  <c r="M36" i="2"/>
  <c r="G36" i="2"/>
  <c r="M35" i="2"/>
  <c r="G35" i="2"/>
  <c r="M34" i="2"/>
  <c r="G34" i="2"/>
  <c r="M33" i="2"/>
  <c r="G33" i="2"/>
  <c r="K37" i="2"/>
  <c r="C37" i="2"/>
  <c r="M26" i="2"/>
  <c r="J26" i="2"/>
  <c r="G26" i="2"/>
  <c r="M25" i="2"/>
  <c r="G25" i="2"/>
  <c r="D25" i="2"/>
  <c r="L24" i="2"/>
  <c r="K27" i="2"/>
  <c r="M24" i="2"/>
  <c r="E27" i="2"/>
  <c r="G24" i="2"/>
  <c r="M20" i="2"/>
  <c r="G20" i="2"/>
  <c r="M19" i="2"/>
  <c r="F26" i="2"/>
  <c r="G19" i="2"/>
  <c r="L25" i="2"/>
  <c r="G18" i="2"/>
  <c r="M17" i="2"/>
  <c r="F24" i="2"/>
  <c r="C12" i="2"/>
  <c r="C11" i="2"/>
  <c r="C13" i="2" s="1"/>
  <c r="K11" i="2"/>
  <c r="G10" i="2"/>
  <c r="M9" i="2"/>
  <c r="E11" i="2"/>
  <c r="G9" i="2"/>
  <c r="C21" i="2" l="1"/>
  <c r="D37" i="2" s="1"/>
  <c r="I27" i="2"/>
  <c r="M10" i="2"/>
  <c r="K21" i="2"/>
  <c r="L37" i="2" s="1"/>
  <c r="J24" i="2"/>
  <c r="D26" i="2"/>
  <c r="E37" i="2"/>
  <c r="E49" i="2"/>
  <c r="F25" i="2"/>
  <c r="L26" i="2"/>
  <c r="E12" i="2"/>
  <c r="G12" i="2" s="1"/>
  <c r="G17" i="2"/>
  <c r="M18" i="2"/>
  <c r="M32" i="2"/>
  <c r="M44" i="2"/>
  <c r="C27" i="2"/>
  <c r="I37" i="2"/>
  <c r="I49" i="2"/>
  <c r="I12" i="2"/>
  <c r="E21" i="2"/>
  <c r="F17" i="2" s="1"/>
  <c r="D24" i="2"/>
  <c r="J25" i="2"/>
  <c r="G11" i="2"/>
  <c r="I11" i="2"/>
  <c r="G32" i="2"/>
  <c r="G44" i="2"/>
  <c r="K12" i="2"/>
  <c r="K13" i="2" s="1"/>
  <c r="I21" i="2"/>
  <c r="F37" i="2" l="1"/>
  <c r="F53" i="2"/>
  <c r="D19" i="2"/>
  <c r="F46" i="2"/>
  <c r="F34" i="2"/>
  <c r="F48" i="2"/>
  <c r="E13" i="2"/>
  <c r="G13" i="2" s="1"/>
  <c r="F27" i="2"/>
  <c r="D53" i="2"/>
  <c r="F20" i="2"/>
  <c r="D48" i="2"/>
  <c r="D41" i="2"/>
  <c r="J21" i="2"/>
  <c r="I29" i="2"/>
  <c r="M21" i="2"/>
  <c r="J41" i="2"/>
  <c r="M27" i="2"/>
  <c r="J27" i="2"/>
  <c r="D49" i="2"/>
  <c r="J17" i="2"/>
  <c r="C29" i="2"/>
  <c r="G21" i="2"/>
  <c r="D21" i="2"/>
  <c r="J32" i="2"/>
  <c r="D17" i="2"/>
  <c r="J46" i="2"/>
  <c r="M12" i="2"/>
  <c r="J36" i="2"/>
  <c r="L53" i="2"/>
  <c r="L48" i="2"/>
  <c r="L27" i="2"/>
  <c r="D45" i="2"/>
  <c r="G27" i="2"/>
  <c r="D27" i="2"/>
  <c r="L18" i="2"/>
  <c r="D35" i="2"/>
  <c r="D20" i="2"/>
  <c r="M49" i="2"/>
  <c r="J49" i="2"/>
  <c r="L47" i="2"/>
  <c r="J33" i="2"/>
  <c r="J47" i="2"/>
  <c r="J35" i="2"/>
  <c r="M11" i="2"/>
  <c r="I13" i="2"/>
  <c r="D36" i="2"/>
  <c r="D32" i="2"/>
  <c r="J34" i="2"/>
  <c r="L44" i="2"/>
  <c r="J53" i="2"/>
  <c r="D34" i="2"/>
  <c r="J18" i="2"/>
  <c r="D33" i="2"/>
  <c r="L35" i="2"/>
  <c r="F49" i="2"/>
  <c r="D46" i="2"/>
  <c r="L32" i="2"/>
  <c r="D47" i="2"/>
  <c r="J19" i="2"/>
  <c r="L49" i="2"/>
  <c r="J44" i="2"/>
  <c r="F45" i="2"/>
  <c r="F41" i="2"/>
  <c r="F36" i="2"/>
  <c r="F33" i="2"/>
  <c r="F19" i="2"/>
  <c r="F47" i="2"/>
  <c r="F44" i="2"/>
  <c r="F35" i="2"/>
  <c r="F32" i="2"/>
  <c r="F21" i="2"/>
  <c r="F18" i="2"/>
  <c r="E29" i="2"/>
  <c r="M37" i="2"/>
  <c r="J37" i="2"/>
  <c r="J45" i="2"/>
  <c r="D18" i="2"/>
  <c r="J48" i="2"/>
  <c r="L46" i="2"/>
  <c r="L34" i="2"/>
  <c r="L20" i="2"/>
  <c r="L17" i="2"/>
  <c r="K29" i="2"/>
  <c r="L45" i="2"/>
  <c r="L41" i="2"/>
  <c r="L36" i="2"/>
  <c r="L33" i="2"/>
  <c r="L19" i="2"/>
  <c r="L21" i="2"/>
  <c r="J20" i="2"/>
  <c r="D44" i="2"/>
  <c r="G49" i="2"/>
  <c r="G37" i="2"/>
  <c r="E39" i="2" l="1"/>
  <c r="F29" i="2"/>
  <c r="M13" i="2"/>
  <c r="D29" i="2"/>
  <c r="G29" i="2"/>
  <c r="C39" i="2"/>
  <c r="M29" i="2"/>
  <c r="I39" i="2"/>
  <c r="J29" i="2"/>
  <c r="L29" i="2"/>
  <c r="K39" i="2"/>
  <c r="J39" i="2" l="1"/>
  <c r="I42" i="2"/>
  <c r="M39" i="2"/>
  <c r="C42" i="2"/>
  <c r="G39" i="2"/>
  <c r="D39" i="2"/>
  <c r="K42" i="2"/>
  <c r="L39" i="2"/>
  <c r="F39" i="2"/>
  <c r="E42" i="2"/>
  <c r="L42" i="2" l="1"/>
  <c r="K51" i="2"/>
  <c r="D42" i="2"/>
  <c r="G42" i="2"/>
  <c r="C51" i="2"/>
  <c r="E51" i="2"/>
  <c r="F42" i="2"/>
  <c r="M42" i="2"/>
  <c r="I51" i="2"/>
  <c r="J42" i="2"/>
  <c r="J51" i="2" l="1"/>
  <c r="I54" i="2"/>
  <c r="M51" i="2"/>
  <c r="F51" i="2"/>
  <c r="E54" i="2"/>
  <c r="F54" i="2" s="1"/>
  <c r="C54" i="2"/>
  <c r="G51" i="2"/>
  <c r="D51" i="2"/>
  <c r="K54" i="2"/>
  <c r="L54" i="2" s="1"/>
  <c r="L51" i="2"/>
  <c r="D54" i="2" l="1"/>
  <c r="G54" i="2"/>
  <c r="M54" i="2"/>
  <c r="J54" i="2"/>
</calcChain>
</file>

<file path=xl/sharedStrings.xml><?xml version="1.0" encoding="utf-8"?>
<sst xmlns="http://schemas.openxmlformats.org/spreadsheetml/2006/main" count="127" uniqueCount="49">
  <si>
    <t xml:space="preserve">STATEMENT OF INCOME </t>
  </si>
  <si>
    <t>Actual</t>
  </si>
  <si>
    <t>Prior Year - Actual</t>
  </si>
  <si>
    <t>$</t>
  </si>
  <si>
    <t>%</t>
  </si>
  <si>
    <t>Variance</t>
  </si>
  <si>
    <t>Available Rooms</t>
  </si>
  <si>
    <t>Total Rooms Sold</t>
  </si>
  <si>
    <t>Occupancy</t>
  </si>
  <si>
    <t>Average Daily Rate</t>
  </si>
  <si>
    <t>Revenue per Available Room</t>
  </si>
  <si>
    <t/>
  </si>
  <si>
    <t>Revenues</t>
  </si>
  <si>
    <t xml:space="preserve">    Rooms</t>
  </si>
  <si>
    <t xml:space="preserve">    Food &amp; Beverage</t>
  </si>
  <si>
    <t xml:space="preserve">    Other Operated Departments</t>
  </si>
  <si>
    <t xml:space="preserve">    Miscellaneous Income</t>
  </si>
  <si>
    <t>Total Revenues</t>
  </si>
  <si>
    <t>Departmental Expense</t>
  </si>
  <si>
    <t>Total Departmental Expense</t>
  </si>
  <si>
    <t>Total Departmental Profit</t>
  </si>
  <si>
    <t>Undistributed Expenses</t>
  </si>
  <si>
    <t xml:space="preserve">    Administrative &amp; General</t>
  </si>
  <si>
    <t xml:space="preserve">    Information &amp; Telecom Systems</t>
  </si>
  <si>
    <t xml:space="preserve">    Sales &amp; Marketing</t>
  </si>
  <si>
    <t xml:space="preserve">    Property Operations &amp; Maintenance</t>
  </si>
  <si>
    <t xml:space="preserve">    Utilities</t>
  </si>
  <si>
    <t>Total Undistributed Expenses</t>
  </si>
  <si>
    <t>Gross Operating Profit</t>
  </si>
  <si>
    <t xml:space="preserve">    Management Fees</t>
  </si>
  <si>
    <t>Income before non-operating inc &amp; expense</t>
  </si>
  <si>
    <t xml:space="preserve">    Income</t>
  </si>
  <si>
    <t xml:space="preserve">    Rent</t>
  </si>
  <si>
    <t xml:space="preserve">    Property &amp; Other Taxes</t>
  </si>
  <si>
    <t xml:space="preserve">    Insurance</t>
  </si>
  <si>
    <t xml:space="preserve">    Other</t>
  </si>
  <si>
    <t>Total non-operating income &amp; expenses</t>
  </si>
  <si>
    <t>EBITDA</t>
  </si>
  <si>
    <t xml:space="preserve">    FF&amp;E Proforma Calculation</t>
  </si>
  <si>
    <t>EBITDA: less Replacement Reserve</t>
  </si>
  <si>
    <t>T12 STATEMENT OF INCOME</t>
  </si>
  <si>
    <t>TOTAL</t>
  </si>
  <si>
    <t xml:space="preserve">    Property Operation &amp; Maintenan</t>
  </si>
  <si>
    <t xml:space="preserve">    Income </t>
  </si>
  <si>
    <t>Angler's</t>
  </si>
  <si>
    <t>Forecast</t>
  </si>
  <si>
    <t>FOR THE PERIOD ENDING JANUARY 31, 2025</t>
  </si>
  <si>
    <t>JANUARY 2025 - PERIODIC</t>
  </si>
  <si>
    <t>JANUARY 2025 - YEAR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</si>
</sst>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mmm\ yyyy"/>
  </numFmts>
  <fonts count="1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8"/>
      <color rgb="FF00AEC7"/>
      <name val="Verdana"/>
      <family val="2"/>
    </font>
    <font>
      <b/>
      <sz val="11"/>
      <name val="Arial"/>
      <family val="2"/>
    </font>
    <font>
      <b/>
      <sz val="14"/>
      <color rgb="FF6E6259"/>
      <name val="Verdana"/>
      <family val="2"/>
    </font>
    <font>
      <b/>
      <sz val="12"/>
      <color rgb="FF6E6259"/>
      <name val="Verdana"/>
      <family val="2"/>
    </font>
    <font>
      <sz val="10"/>
      <color theme="0"/>
      <name val="Arial"/>
      <family val="2"/>
    </font>
    <font>
      <b/>
      <sz val="11"/>
      <color rgb="FF5F554D"/>
      <name val="Aptos Narrow"/>
      <family val="2"/>
      <scheme val="minor"/>
    </font>
    <font>
      <sz val="9"/>
      <color theme="0"/>
      <name val="Arial"/>
      <family val="2"/>
    </font>
    <font>
      <sz val="11"/>
      <name val="Aptos Narrow"/>
      <family val="2"/>
      <scheme val="minor"/>
    </font>
    <font>
      <sz val="9"/>
      <name val="Arial"/>
      <family val="2"/>
    </font>
    <font>
      <b/>
      <sz val="11"/>
      <name val="Aptos Narrow"/>
      <family val="2"/>
      <scheme val="minor"/>
    </font>
    <font>
      <b/>
      <sz val="9"/>
      <color theme="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color rgb="FF5F554D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AEC7"/>
        <bgColor indexed="64"/>
      </patternFill>
    </fill>
    <fill>
      <patternFill patternType="solid">
        <fgColor rgb="FFE1FBFF"/>
        <bgColor indexed="64"/>
      </patternFill>
    </fill>
    <fill>
      <patternFill patternType="solid">
        <fgColor theme="0" tint="-4.9958800012207406E-2"/>
        <bgColor indexed="64"/>
      </patternFill>
    </fill>
  </fills>
  <borders count="13">
    <border>
      <left/>
      <right/>
      <top/>
      <bottom/>
      <diagonal/>
    </border>
    <border>
      <left style="thin">
        <color theme="4" tint="0.59993285927915285"/>
      </left>
      <right/>
      <top/>
      <bottom style="thin">
        <color theme="4" tint="0.59993285927915285"/>
      </bottom>
      <diagonal/>
    </border>
    <border>
      <left/>
      <right/>
      <top/>
      <bottom style="thin">
        <color theme="4" tint="0.59993285927915285"/>
      </bottom>
      <diagonal/>
    </border>
    <border>
      <left style="thin">
        <color theme="4" tint="0.59993285927915285"/>
      </left>
      <right/>
      <top style="thin">
        <color theme="4" tint="0.59993285927915285"/>
      </top>
      <bottom style="thin">
        <color theme="4" tint="0.59993285927915285"/>
      </bottom>
      <diagonal/>
    </border>
    <border>
      <left/>
      <right style="thin">
        <color theme="4" tint="0.59993285927915285"/>
      </right>
      <top style="thin">
        <color theme="4" tint="0.59993285927915285"/>
      </top>
      <bottom style="thin">
        <color theme="4" tint="0.59993285927915285"/>
      </bottom>
      <diagonal/>
    </border>
    <border>
      <left/>
      <right/>
      <top style="thin">
        <color theme="4" tint="0.59993285927915285"/>
      </top>
      <bottom style="thin">
        <color theme="4" tint="0.59993285927915285"/>
      </bottom>
      <diagonal/>
    </border>
    <border>
      <left style="thin">
        <color theme="4" tint="0.59993285927915285"/>
      </left>
      <right style="thin">
        <color theme="4" tint="0.59993285927915285"/>
      </right>
      <top style="thin">
        <color theme="4" tint="0.59993285927915285"/>
      </top>
      <bottom style="thin">
        <color theme="4" tint="0.59993285927915285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double">
        <color theme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double">
        <color theme="1"/>
      </bottom>
      <diagonal/>
    </border>
  </borders>
  <cellStyleXfs count="4">
    <xf numFmtId="0" fontId="0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93">
    <xf numFmtId="0" fontId="0" fillId="0" borderId="0" xfId="0"/>
    <xf numFmtId="0" fontId="4" fillId="2" borderId="0" xfId="1" applyFont="1" applyFill="1" applyAlignment="1">
      <alignment horizontal="left"/>
    </xf>
    <xf numFmtId="0" fontId="5" fillId="0" borderId="0" xfId="1" applyFont="1" applyAlignment="1">
      <alignment horizontal="center" wrapText="1"/>
    </xf>
    <xf numFmtId="0" fontId="3" fillId="0" borderId="0" xfId="1"/>
    <xf numFmtId="0" fontId="6" fillId="2" borderId="0" xfId="1" applyFont="1" applyFill="1" applyAlignment="1">
      <alignment horizontal="left"/>
    </xf>
    <xf numFmtId="0" fontId="7" fillId="2" borderId="0" xfId="1" applyFont="1" applyFill="1" applyAlignment="1">
      <alignment horizontal="left"/>
    </xf>
    <xf numFmtId="14" fontId="8" fillId="0" borderId="0" xfId="1" applyNumberFormat="1" applyFont="1"/>
    <xf numFmtId="39" fontId="3" fillId="0" borderId="0" xfId="1" applyNumberFormat="1"/>
    <xf numFmtId="39" fontId="3" fillId="0" borderId="0" xfId="1" applyNumberFormat="1" applyAlignment="1">
      <alignment horizontal="center"/>
    </xf>
    <xf numFmtId="0" fontId="9" fillId="4" borderId="6" xfId="1" applyFont="1" applyFill="1" applyBorder="1" applyAlignment="1">
      <alignment horizontal="centerContinuous"/>
    </xf>
    <xf numFmtId="0" fontId="9" fillId="4" borderId="3" xfId="1" applyFont="1" applyFill="1" applyBorder="1" applyAlignment="1">
      <alignment horizontal="center"/>
    </xf>
    <xf numFmtId="0" fontId="9" fillId="4" borderId="4" xfId="1" applyFont="1" applyFill="1" applyBorder="1" applyAlignment="1">
      <alignment horizontal="centerContinuous"/>
    </xf>
    <xf numFmtId="0" fontId="9" fillId="4" borderId="6" xfId="1" applyFont="1" applyFill="1" applyBorder="1" applyAlignment="1">
      <alignment horizontal="center"/>
    </xf>
    <xf numFmtId="43" fontId="3" fillId="0" borderId="0" xfId="1" applyNumberFormat="1"/>
    <xf numFmtId="0" fontId="10" fillId="0" borderId="0" xfId="1" applyFont="1"/>
    <xf numFmtId="0" fontId="11" fillId="0" borderId="0" xfId="1" applyFont="1"/>
    <xf numFmtId="37" fontId="11" fillId="0" borderId="0" xfId="2" applyNumberFormat="1" applyFont="1" applyFill="1" applyBorder="1" applyAlignment="1">
      <alignment horizontal="right"/>
    </xf>
    <xf numFmtId="164" fontId="11" fillId="0" borderId="0" xfId="3" applyNumberFormat="1" applyFont="1" applyBorder="1" applyAlignment="1">
      <alignment horizontal="right"/>
    </xf>
    <xf numFmtId="37" fontId="11" fillId="0" borderId="0" xfId="2" applyNumberFormat="1" applyFont="1" applyBorder="1" applyAlignment="1">
      <alignment horizontal="right"/>
    </xf>
    <xf numFmtId="43" fontId="11" fillId="0" borderId="0" xfId="2" applyFont="1" applyBorder="1" applyAlignment="1">
      <alignment horizontal="right"/>
    </xf>
    <xf numFmtId="0" fontId="12" fillId="0" borderId="0" xfId="1" applyFont="1"/>
    <xf numFmtId="164" fontId="11" fillId="0" borderId="0" xfId="3" applyNumberFormat="1" applyFont="1" applyFill="1" applyBorder="1" applyAlignment="1">
      <alignment horizontal="right"/>
    </xf>
    <xf numFmtId="39" fontId="11" fillId="0" borderId="0" xfId="2" applyNumberFormat="1" applyFont="1" applyFill="1" applyBorder="1" applyAlignment="1">
      <alignment horizontal="right"/>
    </xf>
    <xf numFmtId="39" fontId="11" fillId="0" borderId="0" xfId="3" applyNumberFormat="1" applyFont="1" applyBorder="1" applyAlignment="1">
      <alignment horizontal="right"/>
    </xf>
    <xf numFmtId="39" fontId="11" fillId="0" borderId="0" xfId="2" applyNumberFormat="1" applyFont="1" applyBorder="1" applyAlignment="1">
      <alignment horizontal="right"/>
    </xf>
    <xf numFmtId="0" fontId="13" fillId="0" borderId="0" xfId="1" applyFont="1"/>
    <xf numFmtId="0" fontId="14" fillId="0" borderId="0" xfId="1" applyFont="1"/>
    <xf numFmtId="37" fontId="13" fillId="0" borderId="7" xfId="2" applyNumberFormat="1" applyFont="1" applyFill="1" applyBorder="1" applyAlignment="1">
      <alignment horizontal="right"/>
    </xf>
    <xf numFmtId="164" fontId="13" fillId="0" borderId="7" xfId="3" applyNumberFormat="1" applyFont="1" applyBorder="1" applyAlignment="1">
      <alignment horizontal="right"/>
    </xf>
    <xf numFmtId="37" fontId="13" fillId="0" borderId="7" xfId="2" applyNumberFormat="1" applyFont="1" applyBorder="1" applyAlignment="1">
      <alignment horizontal="right"/>
    </xf>
    <xf numFmtId="43" fontId="13" fillId="0" borderId="0" xfId="2" applyFont="1" applyBorder="1" applyAlignment="1">
      <alignment horizontal="right"/>
    </xf>
    <xf numFmtId="0" fontId="15" fillId="0" borderId="0" xfId="1" applyFont="1"/>
    <xf numFmtId="37" fontId="13" fillId="0" borderId="8" xfId="2" applyNumberFormat="1" applyFont="1" applyFill="1" applyBorder="1" applyAlignment="1">
      <alignment horizontal="right"/>
    </xf>
    <xf numFmtId="164" fontId="13" fillId="0" borderId="8" xfId="3" applyNumberFormat="1" applyFont="1" applyBorder="1" applyAlignment="1">
      <alignment horizontal="right"/>
    </xf>
    <xf numFmtId="37" fontId="13" fillId="0" borderId="8" xfId="2" applyNumberFormat="1" applyFont="1" applyBorder="1" applyAlignment="1">
      <alignment horizontal="right"/>
    </xf>
    <xf numFmtId="43" fontId="11" fillId="0" borderId="0" xfId="2" applyFont="1" applyFill="1" applyBorder="1" applyAlignment="1">
      <alignment horizontal="right"/>
    </xf>
    <xf numFmtId="39" fontId="11" fillId="0" borderId="0" xfId="1" applyNumberFormat="1" applyFont="1"/>
    <xf numFmtId="43" fontId="11" fillId="0" borderId="0" xfId="1" applyNumberFormat="1" applyFont="1"/>
    <xf numFmtId="39" fontId="3" fillId="5" borderId="0" xfId="1" applyNumberFormat="1" applyFill="1"/>
    <xf numFmtId="37" fontId="11" fillId="5" borderId="9" xfId="2" applyNumberFormat="1" applyFont="1" applyFill="1" applyBorder="1" applyAlignment="1">
      <alignment horizontal="right"/>
    </xf>
    <xf numFmtId="43" fontId="3" fillId="5" borderId="0" xfId="1" applyNumberFormat="1" applyFill="1"/>
    <xf numFmtId="0" fontId="3" fillId="0" borderId="0" xfId="1" quotePrefix="1" applyAlignment="1">
      <alignment horizontal="left"/>
    </xf>
    <xf numFmtId="40" fontId="3" fillId="0" borderId="0" xfId="1" applyNumberFormat="1"/>
    <xf numFmtId="0" fontId="16" fillId="0" borderId="0" xfId="1" applyFont="1"/>
    <xf numFmtId="0" fontId="3" fillId="0" borderId="0" xfId="1" applyAlignment="1">
      <alignment horizontal="left"/>
    </xf>
    <xf numFmtId="0" fontId="17" fillId="0" borderId="0" xfId="1" quotePrefix="1" applyFont="1" applyAlignment="1">
      <alignment horizontal="left"/>
    </xf>
    <xf numFmtId="0" fontId="5" fillId="0" borderId="0" xfId="1" applyFont="1"/>
    <xf numFmtId="0" fontId="5" fillId="0" borderId="0" xfId="1" quotePrefix="1" applyFont="1" applyAlignment="1">
      <alignment horizontal="left"/>
    </xf>
    <xf numFmtId="39" fontId="5" fillId="0" borderId="0" xfId="1" applyNumberFormat="1" applyFont="1"/>
    <xf numFmtId="40" fontId="5" fillId="0" borderId="0" xfId="1" applyNumberFormat="1" applyFont="1"/>
    <xf numFmtId="39" fontId="3" fillId="0" borderId="0" xfId="1" quotePrefix="1" applyNumberFormat="1" applyAlignment="1">
      <alignment horizontal="left"/>
    </xf>
    <xf numFmtId="10" fontId="3" fillId="0" borderId="0" xfId="1" applyNumberFormat="1"/>
    <xf numFmtId="0" fontId="17" fillId="0" borderId="0" xfId="1" applyFont="1"/>
    <xf numFmtId="0" fontId="17" fillId="0" borderId="0" xfId="1" applyFont="1" applyAlignment="1">
      <alignment horizontal="left"/>
    </xf>
    <xf numFmtId="40" fontId="17" fillId="0" borderId="0" xfId="1" applyNumberFormat="1" applyFont="1"/>
    <xf numFmtId="10" fontId="17" fillId="0" borderId="0" xfId="1" applyNumberFormat="1" applyFont="1"/>
    <xf numFmtId="39" fontId="17" fillId="0" borderId="0" xfId="1" applyNumberFormat="1" applyFont="1"/>
    <xf numFmtId="0" fontId="5" fillId="0" borderId="0" xfId="1" applyFont="1" applyAlignment="1">
      <alignment horizontal="centerContinuous"/>
    </xf>
    <xf numFmtId="0" fontId="3" fillId="0" borderId="0" xfId="1" applyAlignment="1">
      <alignment horizontal="centerContinuous"/>
    </xf>
    <xf numFmtId="39" fontId="3" fillId="0" borderId="0" xfId="1" applyNumberFormat="1" applyAlignment="1">
      <alignment horizontal="centerContinuous"/>
    </xf>
    <xf numFmtId="0" fontId="17" fillId="0" borderId="0" xfId="1" applyFont="1" applyAlignment="1">
      <alignment horizontal="centerContinuous"/>
    </xf>
    <xf numFmtId="0" fontId="3" fillId="0" borderId="0" xfId="1" applyAlignment="1">
      <alignment horizontal="center"/>
    </xf>
    <xf numFmtId="43" fontId="3" fillId="0" borderId="0" xfId="1" applyNumberFormat="1" applyAlignment="1">
      <alignment horizontal="center"/>
    </xf>
    <xf numFmtId="0" fontId="3" fillId="0" borderId="0" xfId="1" applyAlignment="1">
      <alignment horizontal="center" vertical="center"/>
    </xf>
    <xf numFmtId="4" fontId="3" fillId="0" borderId="0" xfId="1" applyNumberFormat="1"/>
    <xf numFmtId="0" fontId="3" fillId="0" borderId="0" xfId="1" quotePrefix="1"/>
    <xf numFmtId="2" fontId="3" fillId="0" borderId="0" xfId="1" applyNumberFormat="1"/>
    <xf numFmtId="0" fontId="3" fillId="0" borderId="0" xfId="1" applyAlignment="1">
      <alignment horizontal="right"/>
    </xf>
    <xf numFmtId="0" fontId="6" fillId="2" borderId="0" xfId="0" applyFont="1" applyFill="1" applyAlignment="1">
      <alignment horizontal="left"/>
    </xf>
    <xf numFmtId="0" fontId="1" fillId="3" borderId="0" xfId="1" applyFont="1" applyFill="1"/>
    <xf numFmtId="0" fontId="1" fillId="3" borderId="2" xfId="1" applyFont="1" applyFill="1" applyBorder="1"/>
    <xf numFmtId="165" fontId="9" fillId="4" borderId="0" xfId="1" applyNumberFormat="1" applyFont="1" applyFill="1" applyAlignment="1">
      <alignment horizontal="center"/>
    </xf>
    <xf numFmtId="0" fontId="9" fillId="4" borderId="10" xfId="1" applyFont="1" applyFill="1" applyBorder="1" applyAlignment="1">
      <alignment horizontal="center"/>
    </xf>
    <xf numFmtId="0" fontId="18" fillId="4" borderId="0" xfId="1" applyFont="1" applyFill="1" applyAlignment="1">
      <alignment horizontal="center"/>
    </xf>
    <xf numFmtId="0" fontId="3" fillId="0" borderId="10" xfId="1" applyBorder="1"/>
    <xf numFmtId="0" fontId="2" fillId="0" borderId="0" xfId="1" applyFont="1"/>
    <xf numFmtId="37" fontId="11" fillId="0" borderId="10" xfId="2" applyNumberFormat="1" applyFont="1" applyBorder="1" applyAlignment="1">
      <alignment horizontal="right"/>
    </xf>
    <xf numFmtId="164" fontId="11" fillId="0" borderId="10" xfId="3" applyNumberFormat="1" applyFont="1" applyBorder="1" applyAlignment="1">
      <alignment horizontal="right"/>
    </xf>
    <xf numFmtId="39" fontId="11" fillId="0" borderId="10" xfId="2" applyNumberFormat="1" applyFont="1" applyBorder="1" applyAlignment="1">
      <alignment horizontal="right"/>
    </xf>
    <xf numFmtId="0" fontId="1" fillId="0" borderId="0" xfId="1" applyFont="1"/>
    <xf numFmtId="37" fontId="13" fillId="0" borderId="0" xfId="2" applyNumberFormat="1" applyFont="1" applyFill="1" applyBorder="1" applyAlignment="1">
      <alignment horizontal="right"/>
    </xf>
    <xf numFmtId="37" fontId="13" fillId="0" borderId="10" xfId="2" applyNumberFormat="1" applyFont="1" applyBorder="1" applyAlignment="1">
      <alignment horizontal="right"/>
    </xf>
    <xf numFmtId="37" fontId="13" fillId="0" borderId="11" xfId="2" applyNumberFormat="1" applyFont="1" applyBorder="1" applyAlignment="1">
      <alignment horizontal="right"/>
    </xf>
    <xf numFmtId="0" fontId="13" fillId="0" borderId="8" xfId="1" applyFont="1" applyBorder="1"/>
    <xf numFmtId="37" fontId="13" fillId="0" borderId="12" xfId="2" applyNumberFormat="1" applyFont="1" applyBorder="1" applyAlignment="1">
      <alignment horizontal="right"/>
    </xf>
    <xf numFmtId="39" fontId="3" fillId="0" borderId="0" xfId="1" applyNumberFormat="1" applyAlignment="1">
      <alignment horizontal="right"/>
    </xf>
    <xf numFmtId="39" fontId="3" fillId="5" borderId="0" xfId="1" applyNumberFormat="1" applyFill="1" applyAlignment="1">
      <alignment horizontal="left"/>
    </xf>
    <xf numFmtId="37" fontId="3" fillId="0" borderId="0" xfId="1" applyNumberFormat="1" applyAlignment="1">
      <alignment horizontal="right"/>
    </xf>
    <xf numFmtId="0" fontId="1" fillId="3" borderId="1" xfId="1" applyFont="1" applyFill="1" applyBorder="1" applyAlignment="1">
      <alignment horizontal="center"/>
    </xf>
    <xf numFmtId="0" fontId="1" fillId="3" borderId="2" xfId="1" applyFont="1" applyFill="1" applyBorder="1" applyAlignment="1">
      <alignment horizontal="center"/>
    </xf>
    <xf numFmtId="0" fontId="9" fillId="4" borderId="3" xfId="1" applyFont="1" applyFill="1" applyBorder="1" applyAlignment="1">
      <alignment horizontal="center"/>
    </xf>
    <xf numFmtId="0" fontId="9" fillId="4" borderId="4" xfId="1" applyFont="1" applyFill="1" applyBorder="1" applyAlignment="1">
      <alignment horizontal="center"/>
    </xf>
    <xf numFmtId="0" fontId="9" fillId="4" borderId="5" xfId="1" applyFont="1" applyFill="1" applyBorder="1" applyAlignment="1">
      <alignment horizontal="center"/>
    </xf>
  </cellXfs>
  <cellStyles count="4">
    <cellStyle name="Comma 2" xfId="2" xr:uid="{65525858-EE4F-44A9-978F-77DC3BA784B4}"/>
    <cellStyle name="Normal" xfId="0" builtinId="0"/>
    <cellStyle name="Normal 2" xfId="1" xr:uid="{3ABA2A38-3569-4D8E-823E-B3717EDD3541}"/>
    <cellStyle name="Percent 2" xfId="3" xr:uid="{73D05DD2-21A7-4FD6-AD81-1D59E8E61461}"/>
  </cellStyles>
  <dxfs count="40">
    <dxf>
      <numFmt numFmtId="164" formatCode="0.0%"/>
    </dxf>
    <dxf>
      <numFmt numFmtId="166" formatCode="0.00_);\(0.00\)"/>
    </dxf>
    <dxf>
      <border>
        <top style="thin">
          <color auto="1"/>
        </top>
      </border>
    </dxf>
    <dxf>
      <font>
        <b/>
        <i val="0"/>
      </font>
    </dxf>
    <dxf>
      <border>
        <bottom/>
      </border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4" formatCode="0.0%"/>
    </dxf>
    <dxf>
      <numFmt numFmtId="166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4" formatCode="0.0%"/>
    </dxf>
    <dxf>
      <numFmt numFmtId="166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4" formatCode="0.0%"/>
    </dxf>
    <dxf>
      <numFmt numFmtId="166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4" formatCode="0.0%"/>
    </dxf>
    <dxf>
      <numFmt numFmtId="166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4" formatCode="0.0%"/>
    </dxf>
    <dxf>
      <numFmt numFmtId="166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4" formatCode="0.0%"/>
    </dxf>
    <dxf>
      <numFmt numFmtId="166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4" formatCode="0.0%"/>
    </dxf>
    <dxf>
      <numFmt numFmtId="166" formatCode="0.00_);\(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34DB-D529-46A0-9A70-B5EAAB3FC073}">
  <sheetPr codeName="Sheet95">
    <tabColor theme="4" tint="0.39997558519241921"/>
    <pageSetUpPr fitToPage="1"/>
  </sheetPr>
  <dimension ref="A1:O248"/>
  <sheetViews>
    <sheetView showGridLines="0" tabSelected="1" view="pageBreakPreview" topLeftCell="A26" zoomScaleNormal="85" zoomScaleSheetLayoutView="100" workbookViewId="0">
      <selection activeCell="S32" sqref="S32"/>
    </sheetView>
  </sheetViews>
  <sheetFormatPr defaultColWidth="9.140625" defaultRowHeight="12.75" x14ac:dyDescent="0.2"/>
  <cols>
    <col min="1" max="1" width="2.85546875" style="3" customWidth="1"/>
    <col min="2" max="2" width="38.85546875" style="3" customWidth="1"/>
    <col min="3" max="3" width="15.140625" style="3" customWidth="1"/>
    <col min="4" max="4" width="8.85546875" style="3" customWidth="1"/>
    <col min="5" max="5" width="15.5703125" style="7" customWidth="1"/>
    <col min="6" max="6" width="8.85546875" style="7" customWidth="1"/>
    <col min="7" max="7" width="15.5703125" style="7" customWidth="1"/>
    <col min="8" max="8" width="2.85546875" style="7" customWidth="1"/>
    <col min="9" max="9" width="15.42578125" style="7" customWidth="1"/>
    <col min="10" max="10" width="8.85546875" style="7" customWidth="1"/>
    <col min="11" max="11" width="15.42578125" style="3" customWidth="1"/>
    <col min="12" max="12" width="8.85546875" style="3" customWidth="1"/>
    <col min="13" max="13" width="13.85546875" style="3" customWidth="1"/>
    <col min="14" max="14" width="11.5703125" style="3" customWidth="1"/>
    <col min="15" max="15" width="10.140625" style="3" bestFit="1" customWidth="1"/>
    <col min="16" max="17" width="9.140625" style="3" customWidth="1"/>
    <col min="18" max="18" width="9.140625" style="3"/>
    <col min="19" max="19" width="9.140625" style="3" customWidth="1"/>
    <col min="20" max="20" width="9.140625" style="3"/>
    <col min="21" max="21" width="8.85546875" style="3" customWidth="1"/>
    <col min="22" max="16384" width="9.140625" style="3"/>
  </cols>
  <sheetData>
    <row r="1" spans="1:15" ht="22.5" x14ac:dyDescent="0.3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</row>
    <row r="2" spans="1:15" ht="15" customHeight="1" x14ac:dyDescent="0.2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2"/>
      <c r="L2" s="2"/>
    </row>
    <row r="3" spans="1:15" ht="15.75" x14ac:dyDescent="0.25">
      <c r="A3" s="5" t="s">
        <v>46</v>
      </c>
      <c r="B3" s="5"/>
      <c r="C3" s="5"/>
      <c r="D3" s="5"/>
      <c r="E3" s="5"/>
      <c r="F3" s="5"/>
      <c r="G3" s="5"/>
      <c r="H3" s="5"/>
      <c r="I3" s="5"/>
      <c r="J3" s="5"/>
      <c r="K3" s="2"/>
      <c r="L3" s="2"/>
    </row>
    <row r="4" spans="1:15" ht="15" customHeight="1" x14ac:dyDescent="0.25">
      <c r="A4" s="6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5" ht="15" x14ac:dyDescent="0.25">
      <c r="C5" s="88" t="s">
        <v>47</v>
      </c>
      <c r="D5" s="89"/>
      <c r="E5" s="89"/>
      <c r="F5" s="89"/>
      <c r="G5" s="89"/>
      <c r="I5" s="88" t="s">
        <v>48</v>
      </c>
      <c r="J5" s="89"/>
      <c r="K5" s="89"/>
      <c r="L5" s="89"/>
      <c r="M5" s="89"/>
    </row>
    <row r="6" spans="1:15" ht="15" x14ac:dyDescent="0.25">
      <c r="C6" s="90" t="s">
        <v>1</v>
      </c>
      <c r="D6" s="91"/>
      <c r="E6" s="90" t="s">
        <v>2</v>
      </c>
      <c r="F6" s="92"/>
      <c r="G6" s="91"/>
      <c r="H6" s="8"/>
      <c r="I6" s="90" t="s">
        <v>1</v>
      </c>
      <c r="J6" s="91"/>
      <c r="K6" s="90" t="s">
        <v>2</v>
      </c>
      <c r="L6" s="92"/>
      <c r="M6" s="92"/>
    </row>
    <row r="7" spans="1:15" ht="15" x14ac:dyDescent="0.25">
      <c r="C7" s="9" t="s">
        <v>3</v>
      </c>
      <c r="D7" s="9" t="s">
        <v>4</v>
      </c>
      <c r="E7" s="9" t="s">
        <v>3</v>
      </c>
      <c r="F7" s="9" t="s">
        <v>4</v>
      </c>
      <c r="G7" s="10" t="s">
        <v>5</v>
      </c>
      <c r="H7" s="8"/>
      <c r="I7" s="11" t="s">
        <v>3</v>
      </c>
      <c r="J7" s="9" t="s">
        <v>4</v>
      </c>
      <c r="K7" s="9" t="s">
        <v>3</v>
      </c>
      <c r="L7" s="9" t="s">
        <v>4</v>
      </c>
      <c r="M7" s="12" t="s">
        <v>5</v>
      </c>
    </row>
    <row r="8" spans="1:15" ht="3" customHeight="1" x14ac:dyDescent="0.2">
      <c r="C8" s="7"/>
      <c r="D8" s="7"/>
      <c r="K8" s="13"/>
      <c r="L8" s="13"/>
    </row>
    <row r="9" spans="1:15" s="20" customFormat="1" ht="15" x14ac:dyDescent="0.25">
      <c r="A9" s="14"/>
      <c r="B9" s="15" t="s">
        <v>6</v>
      </c>
      <c r="C9" s="16">
        <v>4092</v>
      </c>
      <c r="D9" s="17"/>
      <c r="E9" s="16">
        <v>4092</v>
      </c>
      <c r="F9" s="17"/>
      <c r="G9" s="18">
        <f>C9-E9</f>
        <v>0</v>
      </c>
      <c r="H9" s="19"/>
      <c r="I9" s="16">
        <v>4092</v>
      </c>
      <c r="J9" s="17"/>
      <c r="K9" s="16">
        <v>4092</v>
      </c>
      <c r="L9" s="17"/>
      <c r="M9" s="18">
        <f>I9-K9</f>
        <v>0</v>
      </c>
      <c r="N9" s="3"/>
      <c r="O9" s="3"/>
    </row>
    <row r="10" spans="1:15" s="20" customFormat="1" ht="15" x14ac:dyDescent="0.25">
      <c r="A10" s="14"/>
      <c r="B10" s="15" t="s">
        <v>7</v>
      </c>
      <c r="C10" s="16">
        <v>3709</v>
      </c>
      <c r="D10" s="17"/>
      <c r="E10" s="16">
        <v>3654</v>
      </c>
      <c r="F10" s="17"/>
      <c r="G10" s="18">
        <f>C10-E10</f>
        <v>55</v>
      </c>
      <c r="H10" s="19"/>
      <c r="I10" s="16">
        <v>3709</v>
      </c>
      <c r="J10" s="17"/>
      <c r="K10" s="16">
        <v>3654</v>
      </c>
      <c r="L10" s="17"/>
      <c r="M10" s="18">
        <f>I10-K10</f>
        <v>55</v>
      </c>
      <c r="N10" s="3"/>
      <c r="O10" s="3"/>
    </row>
    <row r="11" spans="1:15" s="20" customFormat="1" ht="15" x14ac:dyDescent="0.25">
      <c r="A11" s="14"/>
      <c r="B11" s="15" t="s">
        <v>8</v>
      </c>
      <c r="C11" s="21">
        <f>C10/C9</f>
        <v>0.90640273704789831</v>
      </c>
      <c r="D11" s="17"/>
      <c r="E11" s="21">
        <f>E10/E9</f>
        <v>0.89296187683284456</v>
      </c>
      <c r="F11" s="17"/>
      <c r="G11" s="17">
        <f>C11-E11</f>
        <v>1.3440860215053752E-2</v>
      </c>
      <c r="H11" s="17"/>
      <c r="I11" s="21">
        <f>I10/I9</f>
        <v>0.90640273704789831</v>
      </c>
      <c r="J11" s="17"/>
      <c r="K11" s="21">
        <f>K10/K9</f>
        <v>0.89296187683284456</v>
      </c>
      <c r="L11" s="17"/>
      <c r="M11" s="17">
        <f>I11-K11</f>
        <v>1.3440860215053752E-2</v>
      </c>
      <c r="N11" s="3"/>
      <c r="O11" s="3"/>
    </row>
    <row r="12" spans="1:15" s="20" customFormat="1" ht="15" x14ac:dyDescent="0.25">
      <c r="A12" s="14"/>
      <c r="B12" s="15" t="s">
        <v>9</v>
      </c>
      <c r="C12" s="22">
        <f>C17/C10</f>
        <v>280.59287409005123</v>
      </c>
      <c r="D12" s="23"/>
      <c r="E12" s="22">
        <f>E17/E10</f>
        <v>287.56397372742202</v>
      </c>
      <c r="F12" s="23"/>
      <c r="G12" s="24">
        <f>C12-E12</f>
        <v>-6.9710996373707985</v>
      </c>
      <c r="H12" s="24"/>
      <c r="I12" s="22">
        <f>I17/I10</f>
        <v>280.59287409005123</v>
      </c>
      <c r="J12" s="23"/>
      <c r="K12" s="22">
        <f>K17/K10</f>
        <v>287.56397372742202</v>
      </c>
      <c r="L12" s="23"/>
      <c r="M12" s="24">
        <f>I12-K12</f>
        <v>-6.9710996373707985</v>
      </c>
      <c r="N12" s="3"/>
      <c r="O12" s="3"/>
    </row>
    <row r="13" spans="1:15" s="20" customFormat="1" ht="15" x14ac:dyDescent="0.25">
      <c r="A13" s="14"/>
      <c r="B13" s="15" t="s">
        <v>10</v>
      </c>
      <c r="C13" s="22">
        <f>C11*C12</f>
        <v>254.33014907135873</v>
      </c>
      <c r="D13" s="23"/>
      <c r="E13" s="22">
        <f>E11*E12</f>
        <v>256.78366568914959</v>
      </c>
      <c r="F13" s="23"/>
      <c r="G13" s="24">
        <f>C13-E13</f>
        <v>-2.4535166177908536</v>
      </c>
      <c r="H13" s="24"/>
      <c r="I13" s="22">
        <f>I11*I12</f>
        <v>254.33014907135873</v>
      </c>
      <c r="J13" s="23"/>
      <c r="K13" s="22">
        <f>K11*K12</f>
        <v>256.78366568914959</v>
      </c>
      <c r="L13" s="23"/>
      <c r="M13" s="24">
        <f>I13-K13</f>
        <v>-2.4535166177908536</v>
      </c>
      <c r="N13" s="15"/>
    </row>
    <row r="14" spans="1:15" s="20" customFormat="1" ht="15" x14ac:dyDescent="0.25">
      <c r="A14" s="14"/>
      <c r="B14" s="15" t="s">
        <v>11</v>
      </c>
      <c r="C14" s="16"/>
      <c r="D14" s="17"/>
      <c r="E14" s="16"/>
      <c r="F14" s="17"/>
      <c r="G14" s="18"/>
      <c r="H14" s="19"/>
      <c r="I14" s="16"/>
      <c r="J14" s="17"/>
      <c r="K14" s="16"/>
      <c r="L14" s="17"/>
      <c r="M14" s="18"/>
      <c r="N14" s="15"/>
    </row>
    <row r="15" spans="1:15" s="20" customFormat="1" ht="15" x14ac:dyDescent="0.25">
      <c r="A15" s="14"/>
      <c r="B15" s="15" t="s">
        <v>11</v>
      </c>
      <c r="C15" s="16"/>
      <c r="D15" s="17"/>
      <c r="E15" s="16"/>
      <c r="F15" s="17"/>
      <c r="G15" s="18"/>
      <c r="H15" s="19"/>
      <c r="I15" s="16"/>
      <c r="J15" s="17"/>
      <c r="K15" s="16"/>
      <c r="L15" s="17"/>
      <c r="M15" s="18"/>
      <c r="N15" s="15"/>
    </row>
    <row r="16" spans="1:15" s="20" customFormat="1" ht="15" x14ac:dyDescent="0.25">
      <c r="A16" s="14"/>
      <c r="B16" s="25" t="s">
        <v>12</v>
      </c>
      <c r="C16" s="16"/>
      <c r="D16" s="17"/>
      <c r="E16" s="16"/>
      <c r="F16" s="17"/>
      <c r="G16" s="18"/>
      <c r="H16" s="19"/>
      <c r="I16" s="16"/>
      <c r="J16" s="17"/>
      <c r="K16" s="16"/>
      <c r="L16" s="17"/>
      <c r="M16" s="18"/>
      <c r="N16" s="15"/>
    </row>
    <row r="17" spans="1:14" s="20" customFormat="1" ht="15" x14ac:dyDescent="0.25">
      <c r="A17" s="14"/>
      <c r="B17" s="15" t="s">
        <v>13</v>
      </c>
      <c r="C17" s="16">
        <v>1040718.97</v>
      </c>
      <c r="D17" s="17">
        <f>C17/C21</f>
        <v>0.69177138150953599</v>
      </c>
      <c r="E17" s="16">
        <v>1050758.76</v>
      </c>
      <c r="F17" s="17">
        <f>E17/E$21</f>
        <v>0.75366340299482504</v>
      </c>
      <c r="G17" s="18">
        <f>C17-E17</f>
        <v>-10039.790000000037</v>
      </c>
      <c r="H17" s="19"/>
      <c r="I17" s="16">
        <v>1040718.97</v>
      </c>
      <c r="J17" s="17">
        <f>I17/I$21</f>
        <v>0.69177138150953599</v>
      </c>
      <c r="K17" s="16">
        <v>1050758.76</v>
      </c>
      <c r="L17" s="17">
        <f>K17/K$21</f>
        <v>0.75366340299482504</v>
      </c>
      <c r="M17" s="18">
        <f>I17-K17</f>
        <v>-10039.790000000037</v>
      </c>
      <c r="N17" s="15"/>
    </row>
    <row r="18" spans="1:14" s="20" customFormat="1" ht="15" x14ac:dyDescent="0.25">
      <c r="A18" s="14"/>
      <c r="B18" s="15" t="s">
        <v>14</v>
      </c>
      <c r="C18" s="16">
        <v>354251.28</v>
      </c>
      <c r="D18" s="17">
        <f>C18/C21</f>
        <v>0.23547269189022418</v>
      </c>
      <c r="E18" s="16">
        <v>154107.21</v>
      </c>
      <c r="F18" s="17">
        <f>E18/E$21</f>
        <v>0.11053437642969366</v>
      </c>
      <c r="G18" s="18">
        <f>C18-E18</f>
        <v>200144.07000000004</v>
      </c>
      <c r="H18" s="19"/>
      <c r="I18" s="16">
        <v>354251.28</v>
      </c>
      <c r="J18" s="17">
        <f>I18/I$21</f>
        <v>0.23547269189022418</v>
      </c>
      <c r="K18" s="16">
        <v>154107.21</v>
      </c>
      <c r="L18" s="17">
        <f>K18/K$21</f>
        <v>0.11053437642969366</v>
      </c>
      <c r="M18" s="18">
        <f>I18-K18</f>
        <v>200144.07000000004</v>
      </c>
      <c r="N18" s="15"/>
    </row>
    <row r="19" spans="1:14" s="20" customFormat="1" ht="15" x14ac:dyDescent="0.25">
      <c r="A19" s="14"/>
      <c r="B19" s="15" t="s">
        <v>15</v>
      </c>
      <c r="C19" s="16">
        <v>2237.04</v>
      </c>
      <c r="D19" s="17">
        <f>C19/C21</f>
        <v>1.4869722719593479E-3</v>
      </c>
      <c r="E19" s="16">
        <v>1778.05</v>
      </c>
      <c r="F19" s="17">
        <f>E19/E$21</f>
        <v>1.2753176701519469E-3</v>
      </c>
      <c r="G19" s="18">
        <f>C19-E19</f>
        <v>458.99</v>
      </c>
      <c r="H19" s="19"/>
      <c r="I19" s="16">
        <v>2237.04</v>
      </c>
      <c r="J19" s="17">
        <f>I19/I$21</f>
        <v>1.4869722719593479E-3</v>
      </c>
      <c r="K19" s="16">
        <v>1778.05</v>
      </c>
      <c r="L19" s="17">
        <f>K19/K$21</f>
        <v>1.2753176701519469E-3</v>
      </c>
      <c r="M19" s="18">
        <f>I19-K19</f>
        <v>458.99</v>
      </c>
      <c r="N19" s="15"/>
    </row>
    <row r="20" spans="1:14" s="20" customFormat="1" ht="15" x14ac:dyDescent="0.25">
      <c r="A20" s="14"/>
      <c r="B20" s="15" t="s">
        <v>16</v>
      </c>
      <c r="C20" s="16">
        <v>107218.88</v>
      </c>
      <c r="D20" s="17">
        <f>C20/C21</f>
        <v>7.1268954328280537E-2</v>
      </c>
      <c r="E20" s="16">
        <v>187557.63</v>
      </c>
      <c r="F20" s="17">
        <f>E20/E$21</f>
        <v>0.13452690290532937</v>
      </c>
      <c r="G20" s="18">
        <f>C20-E20</f>
        <v>-80338.75</v>
      </c>
      <c r="H20" s="19"/>
      <c r="I20" s="16">
        <v>107218.88</v>
      </c>
      <c r="J20" s="17">
        <f>I20/I$21</f>
        <v>7.1268954328280537E-2</v>
      </c>
      <c r="K20" s="16">
        <v>187557.63</v>
      </c>
      <c r="L20" s="17">
        <f>K20/K$21</f>
        <v>0.13452690290532937</v>
      </c>
      <c r="M20" s="18">
        <f>I20-K20</f>
        <v>-80338.75</v>
      </c>
      <c r="N20" s="15"/>
    </row>
    <row r="21" spans="1:14" s="31" customFormat="1" ht="15" x14ac:dyDescent="0.25">
      <c r="A21" s="26"/>
      <c r="B21" s="25" t="s">
        <v>17</v>
      </c>
      <c r="C21" s="27">
        <f>SUM(C17:C20)</f>
        <v>1504426.17</v>
      </c>
      <c r="D21" s="28">
        <f>C21/C21</f>
        <v>1</v>
      </c>
      <c r="E21" s="27">
        <f>SUM(E17:E20)</f>
        <v>1394201.65</v>
      </c>
      <c r="F21" s="28">
        <f>E21/E$21</f>
        <v>1</v>
      </c>
      <c r="G21" s="29">
        <f>C21-E21</f>
        <v>110224.52000000002</v>
      </c>
      <c r="H21" s="30"/>
      <c r="I21" s="27">
        <f>SUM(I17:I20)</f>
        <v>1504426.17</v>
      </c>
      <c r="J21" s="28">
        <f>I21/I$21</f>
        <v>1</v>
      </c>
      <c r="K21" s="27">
        <f>SUM(K17:K20)</f>
        <v>1394201.65</v>
      </c>
      <c r="L21" s="28">
        <f>K21/K$21</f>
        <v>1</v>
      </c>
      <c r="M21" s="29">
        <f>I21-K21</f>
        <v>110224.52000000002</v>
      </c>
      <c r="N21" s="25"/>
    </row>
    <row r="22" spans="1:14" s="20" customFormat="1" ht="15" x14ac:dyDescent="0.25">
      <c r="A22" s="14"/>
      <c r="B22" s="15" t="s">
        <v>11</v>
      </c>
      <c r="C22" s="16"/>
      <c r="D22" s="17"/>
      <c r="E22" s="16"/>
      <c r="F22" s="17"/>
      <c r="G22" s="18"/>
      <c r="H22" s="19"/>
      <c r="I22" s="16"/>
      <c r="J22" s="17"/>
      <c r="K22" s="16"/>
      <c r="L22" s="17"/>
      <c r="M22" s="18"/>
      <c r="N22" s="15"/>
    </row>
    <row r="23" spans="1:14" s="20" customFormat="1" ht="15" x14ac:dyDescent="0.25">
      <c r="A23" s="14"/>
      <c r="B23" s="25" t="s">
        <v>18</v>
      </c>
      <c r="C23" s="16"/>
      <c r="D23" s="17"/>
      <c r="E23" s="16"/>
      <c r="F23" s="17"/>
      <c r="G23" s="18"/>
      <c r="H23" s="19"/>
      <c r="I23" s="16"/>
      <c r="J23" s="17"/>
      <c r="K23" s="16"/>
      <c r="L23" s="17"/>
      <c r="M23" s="18"/>
      <c r="N23" s="15"/>
    </row>
    <row r="24" spans="1:14" s="20" customFormat="1" ht="15" x14ac:dyDescent="0.25">
      <c r="A24" s="14"/>
      <c r="B24" s="15" t="s">
        <v>13</v>
      </c>
      <c r="C24" s="16">
        <v>279344.62</v>
      </c>
      <c r="D24" s="17">
        <f>C24/C17</f>
        <v>0.26841503619368062</v>
      </c>
      <c r="E24" s="16">
        <v>249801.51</v>
      </c>
      <c r="F24" s="17">
        <f>E24/E17</f>
        <v>0.23773440632557755</v>
      </c>
      <c r="G24" s="18">
        <f>C24-E24</f>
        <v>29543.109999999986</v>
      </c>
      <c r="H24" s="19"/>
      <c r="I24" s="16">
        <v>279344.62</v>
      </c>
      <c r="J24" s="17">
        <f>I24/I17</f>
        <v>0.26841503619368062</v>
      </c>
      <c r="K24" s="16">
        <v>249801.51</v>
      </c>
      <c r="L24" s="17">
        <f>K24/K17</f>
        <v>0.23773440632557755</v>
      </c>
      <c r="M24" s="18">
        <f>I24-K24</f>
        <v>29543.109999999986</v>
      </c>
      <c r="N24" s="15"/>
    </row>
    <row r="25" spans="1:14" s="20" customFormat="1" ht="15" x14ac:dyDescent="0.25">
      <c r="A25" s="14"/>
      <c r="B25" s="15" t="s">
        <v>14</v>
      </c>
      <c r="C25" s="16">
        <v>248459.71</v>
      </c>
      <c r="D25" s="17">
        <f>C25/C18</f>
        <v>0.70136573677306113</v>
      </c>
      <c r="E25" s="16">
        <v>134534.92000000001</v>
      </c>
      <c r="F25" s="17">
        <f>E25/E18</f>
        <v>0.87299562428000621</v>
      </c>
      <c r="G25" s="18">
        <f>C25-E25</f>
        <v>113924.78999999998</v>
      </c>
      <c r="H25" s="19"/>
      <c r="I25" s="16">
        <v>248459.71</v>
      </c>
      <c r="J25" s="17">
        <f>I25/I18</f>
        <v>0.70136573677306113</v>
      </c>
      <c r="K25" s="16">
        <v>134534.92000000001</v>
      </c>
      <c r="L25" s="17">
        <f>K25/K18</f>
        <v>0.87299562428000621</v>
      </c>
      <c r="M25" s="18">
        <f>I25-K25</f>
        <v>113924.78999999998</v>
      </c>
      <c r="N25" s="15"/>
    </row>
    <row r="26" spans="1:14" s="20" customFormat="1" ht="15" x14ac:dyDescent="0.25">
      <c r="A26" s="14"/>
      <c r="B26" s="15" t="s">
        <v>15</v>
      </c>
      <c r="C26" s="16">
        <v>1154.5999999999999</v>
      </c>
      <c r="D26" s="17">
        <f>C26/C19</f>
        <v>0.51612845545899932</v>
      </c>
      <c r="E26" s="16">
        <v>677.06</v>
      </c>
      <c r="F26" s="17">
        <f>E26/E19</f>
        <v>0.38078794184640474</v>
      </c>
      <c r="G26" s="18">
        <f>C26-E26</f>
        <v>477.53999999999996</v>
      </c>
      <c r="H26" s="19"/>
      <c r="I26" s="16">
        <v>1154.5999999999999</v>
      </c>
      <c r="J26" s="17">
        <f>I26/I19</f>
        <v>0.51612845545899932</v>
      </c>
      <c r="K26" s="16">
        <v>677.06</v>
      </c>
      <c r="L26" s="17">
        <f>K26/K19</f>
        <v>0.38078794184640474</v>
      </c>
      <c r="M26" s="18">
        <f>I26-K26</f>
        <v>477.53999999999996</v>
      </c>
      <c r="N26" s="15"/>
    </row>
    <row r="27" spans="1:14" s="31" customFormat="1" ht="15" x14ac:dyDescent="0.25">
      <c r="A27" s="26"/>
      <c r="B27" s="25" t="s">
        <v>19</v>
      </c>
      <c r="C27" s="27">
        <f>SUM(C24:C26)</f>
        <v>528958.92999999993</v>
      </c>
      <c r="D27" s="28">
        <f>C27/C21</f>
        <v>0.35160178714519436</v>
      </c>
      <c r="E27" s="27">
        <f>SUM(E24:E26)</f>
        <v>385013.49000000005</v>
      </c>
      <c r="F27" s="28">
        <f>E27/E$21</f>
        <v>0.2761533742267484</v>
      </c>
      <c r="G27" s="29">
        <f>C27-E27</f>
        <v>143945.43999999989</v>
      </c>
      <c r="H27" s="30"/>
      <c r="I27" s="27">
        <f>SUM(I24:I26)</f>
        <v>528958.92999999993</v>
      </c>
      <c r="J27" s="28">
        <f>I27/I$21</f>
        <v>0.35160178714519436</v>
      </c>
      <c r="K27" s="27">
        <f>SUM(K24:K26)</f>
        <v>385013.49000000005</v>
      </c>
      <c r="L27" s="28">
        <f>K27/K$21</f>
        <v>0.2761533742267484</v>
      </c>
      <c r="M27" s="29">
        <f>I27-K27</f>
        <v>143945.43999999989</v>
      </c>
      <c r="N27" s="25"/>
    </row>
    <row r="28" spans="1:14" s="20" customFormat="1" ht="15" x14ac:dyDescent="0.25">
      <c r="A28" s="14"/>
      <c r="B28" s="15" t="s">
        <v>11</v>
      </c>
      <c r="C28" s="16"/>
      <c r="D28" s="17"/>
      <c r="E28" s="16"/>
      <c r="F28" s="17"/>
      <c r="G28" s="18"/>
      <c r="H28" s="19"/>
      <c r="I28" s="16"/>
      <c r="J28" s="17"/>
      <c r="K28" s="16"/>
      <c r="L28" s="17"/>
      <c r="M28" s="18"/>
      <c r="N28" s="15"/>
    </row>
    <row r="29" spans="1:14" s="20" customFormat="1" ht="15" x14ac:dyDescent="0.25">
      <c r="A29" s="14"/>
      <c r="B29" s="25" t="s">
        <v>20</v>
      </c>
      <c r="C29" s="27">
        <f>C21-C27</f>
        <v>975467.24</v>
      </c>
      <c r="D29" s="28">
        <f>C29/C21</f>
        <v>0.6483982128548057</v>
      </c>
      <c r="E29" s="27">
        <f>E21-E27</f>
        <v>1009188.1599999999</v>
      </c>
      <c r="F29" s="28">
        <f>E29/E$21</f>
        <v>0.72384662577325165</v>
      </c>
      <c r="G29" s="29">
        <f>C29-E29</f>
        <v>-33720.919999999925</v>
      </c>
      <c r="H29" s="19"/>
      <c r="I29" s="27">
        <f>I21-I27</f>
        <v>975467.24</v>
      </c>
      <c r="J29" s="28">
        <f>I29/I$21</f>
        <v>0.6483982128548057</v>
      </c>
      <c r="K29" s="27">
        <f>K21-K27</f>
        <v>1009188.1599999999</v>
      </c>
      <c r="L29" s="28">
        <f>K29/K$21</f>
        <v>0.72384662577325165</v>
      </c>
      <c r="M29" s="29">
        <f>I29-K29</f>
        <v>-33720.919999999925</v>
      </c>
      <c r="N29" s="15"/>
    </row>
    <row r="30" spans="1:14" s="20" customFormat="1" ht="15" x14ac:dyDescent="0.25">
      <c r="A30" s="14"/>
      <c r="B30" s="15" t="s">
        <v>11</v>
      </c>
      <c r="C30" s="16"/>
      <c r="D30" s="17"/>
      <c r="E30" s="16"/>
      <c r="F30" s="17"/>
      <c r="G30" s="18"/>
      <c r="H30" s="19"/>
      <c r="I30" s="16"/>
      <c r="J30" s="17"/>
      <c r="K30" s="16"/>
      <c r="L30" s="17"/>
      <c r="M30" s="18"/>
      <c r="N30" s="15"/>
    </row>
    <row r="31" spans="1:14" s="20" customFormat="1" ht="15" x14ac:dyDescent="0.25">
      <c r="A31" s="14"/>
      <c r="B31" s="25" t="s">
        <v>21</v>
      </c>
      <c r="C31" s="16"/>
      <c r="D31" s="17"/>
      <c r="E31" s="16"/>
      <c r="F31" s="17"/>
      <c r="G31" s="18"/>
      <c r="H31" s="19"/>
      <c r="I31" s="16"/>
      <c r="J31" s="17"/>
      <c r="K31" s="16"/>
      <c r="L31" s="17"/>
      <c r="M31" s="18"/>
      <c r="N31" s="15"/>
    </row>
    <row r="32" spans="1:14" s="20" customFormat="1" ht="15" x14ac:dyDescent="0.25">
      <c r="A32" s="14"/>
      <c r="B32" s="15" t="s">
        <v>22</v>
      </c>
      <c r="C32" s="16">
        <v>124940.54</v>
      </c>
      <c r="D32" s="17">
        <f>C32/C21</f>
        <v>8.3048635081906352E-2</v>
      </c>
      <c r="E32" s="16">
        <v>107553.93</v>
      </c>
      <c r="F32" s="17">
        <f t="shared" ref="F32:F37" si="0">E32/E$21</f>
        <v>7.7143740290366178E-2</v>
      </c>
      <c r="G32" s="18">
        <f>C32-E32</f>
        <v>17386.61</v>
      </c>
      <c r="H32" s="19"/>
      <c r="I32" s="16">
        <v>124940.54</v>
      </c>
      <c r="J32" s="17">
        <f t="shared" ref="J32:J37" si="1">I32/I$21</f>
        <v>8.3048635081906352E-2</v>
      </c>
      <c r="K32" s="16">
        <v>107553.93</v>
      </c>
      <c r="L32" s="17">
        <f t="shared" ref="L32:L37" si="2">K32/K$21</f>
        <v>7.7143740290366178E-2</v>
      </c>
      <c r="M32" s="18">
        <f>I32-K32</f>
        <v>17386.61</v>
      </c>
      <c r="N32" s="15"/>
    </row>
    <row r="33" spans="1:14" s="20" customFormat="1" ht="15" x14ac:dyDescent="0.25">
      <c r="A33" s="14"/>
      <c r="B33" s="15" t="s">
        <v>23</v>
      </c>
      <c r="C33" s="16">
        <v>21170.28</v>
      </c>
      <c r="D33" s="17">
        <f>C33/C21</f>
        <v>1.4071996633772996E-2</v>
      </c>
      <c r="E33" s="16">
        <v>19235.439999999999</v>
      </c>
      <c r="F33" s="17">
        <f t="shared" si="0"/>
        <v>1.3796741669327388E-2</v>
      </c>
      <c r="G33" s="18">
        <f>C33-E33</f>
        <v>1934.8400000000001</v>
      </c>
      <c r="H33" s="19"/>
      <c r="I33" s="16">
        <v>21170.28</v>
      </c>
      <c r="J33" s="17">
        <f t="shared" si="1"/>
        <v>1.4071996633772996E-2</v>
      </c>
      <c r="K33" s="16">
        <v>19235.439999999999</v>
      </c>
      <c r="L33" s="17">
        <f t="shared" si="2"/>
        <v>1.3796741669327388E-2</v>
      </c>
      <c r="M33" s="18">
        <f>I33-K33</f>
        <v>1934.8400000000001</v>
      </c>
      <c r="N33" s="15"/>
    </row>
    <row r="34" spans="1:14" s="20" customFormat="1" ht="15" x14ac:dyDescent="0.25">
      <c r="A34" s="14"/>
      <c r="B34" s="15" t="s">
        <v>24</v>
      </c>
      <c r="C34" s="16">
        <v>103819.96</v>
      </c>
      <c r="D34" s="17">
        <f>C34/C21</f>
        <v>6.9009674299935916E-2</v>
      </c>
      <c r="E34" s="16">
        <v>96704.83</v>
      </c>
      <c r="F34" s="17">
        <f t="shared" si="0"/>
        <v>6.9362154319642363E-2</v>
      </c>
      <c r="G34" s="18">
        <f>C34-E34</f>
        <v>7115.1300000000047</v>
      </c>
      <c r="H34" s="19"/>
      <c r="I34" s="16">
        <v>103819.96</v>
      </c>
      <c r="J34" s="17">
        <f t="shared" si="1"/>
        <v>6.9009674299935916E-2</v>
      </c>
      <c r="K34" s="16">
        <v>96704.83</v>
      </c>
      <c r="L34" s="17">
        <f t="shared" si="2"/>
        <v>6.9362154319642363E-2</v>
      </c>
      <c r="M34" s="18">
        <f>I34-K34</f>
        <v>7115.1300000000047</v>
      </c>
      <c r="N34" s="15"/>
    </row>
    <row r="35" spans="1:14" s="20" customFormat="1" ht="15" x14ac:dyDescent="0.25">
      <c r="A35" s="14"/>
      <c r="B35" s="15" t="s">
        <v>25</v>
      </c>
      <c r="C35" s="16">
        <v>63453.34</v>
      </c>
      <c r="D35" s="17">
        <f>C35/C21</f>
        <v>4.2177769348428713E-2</v>
      </c>
      <c r="E35" s="16">
        <v>62807.78</v>
      </c>
      <c r="F35" s="17">
        <f t="shared" si="0"/>
        <v>4.5049279636127246E-2</v>
      </c>
      <c r="G35" s="18">
        <f>C35-E35</f>
        <v>645.55999999999767</v>
      </c>
      <c r="H35" s="19"/>
      <c r="I35" s="16">
        <v>63453.34</v>
      </c>
      <c r="J35" s="17">
        <f t="shared" si="1"/>
        <v>4.2177769348428713E-2</v>
      </c>
      <c r="K35" s="16">
        <v>62807.78</v>
      </c>
      <c r="L35" s="17">
        <f t="shared" si="2"/>
        <v>4.5049279636127246E-2</v>
      </c>
      <c r="M35" s="18">
        <f>I35-K35</f>
        <v>645.55999999999767</v>
      </c>
      <c r="N35" s="15"/>
    </row>
    <row r="36" spans="1:14" s="20" customFormat="1" ht="15" x14ac:dyDescent="0.25">
      <c r="A36" s="14"/>
      <c r="B36" s="15" t="s">
        <v>26</v>
      </c>
      <c r="C36" s="16">
        <v>25067.23</v>
      </c>
      <c r="D36" s="17">
        <f>C36/C21</f>
        <v>1.6662319826568826E-2</v>
      </c>
      <c r="E36" s="16">
        <v>22833.119999999999</v>
      </c>
      <c r="F36" s="17">
        <f t="shared" si="0"/>
        <v>1.6377200529062635E-2</v>
      </c>
      <c r="G36" s="18">
        <f>C36-E36</f>
        <v>2234.1100000000006</v>
      </c>
      <c r="H36" s="19"/>
      <c r="I36" s="16">
        <v>25067.23</v>
      </c>
      <c r="J36" s="17">
        <f t="shared" si="1"/>
        <v>1.6662319826568826E-2</v>
      </c>
      <c r="K36" s="16">
        <v>22833.119999999999</v>
      </c>
      <c r="L36" s="17">
        <f t="shared" si="2"/>
        <v>1.6377200529062635E-2</v>
      </c>
      <c r="M36" s="18">
        <f>I36-K36</f>
        <v>2234.1100000000006</v>
      </c>
      <c r="N36" s="15"/>
    </row>
    <row r="37" spans="1:14" s="31" customFormat="1" ht="15" x14ac:dyDescent="0.25">
      <c r="A37" s="26"/>
      <c r="B37" s="25" t="s">
        <v>27</v>
      </c>
      <c r="C37" s="27">
        <f>SUM(C32:C36)</f>
        <v>338451.35</v>
      </c>
      <c r="D37" s="28">
        <f>C37/C21</f>
        <v>0.22497039519061277</v>
      </c>
      <c r="E37" s="27">
        <f>SUM(E32:E36)</f>
        <v>309135.09999999998</v>
      </c>
      <c r="F37" s="28">
        <f t="shared" si="0"/>
        <v>0.22172911644452581</v>
      </c>
      <c r="G37" s="29">
        <f>C37-E37</f>
        <v>29316.25</v>
      </c>
      <c r="H37" s="30"/>
      <c r="I37" s="27">
        <f>SUM(I32:I36)</f>
        <v>338451.35</v>
      </c>
      <c r="J37" s="28">
        <f t="shared" si="1"/>
        <v>0.22497039519061277</v>
      </c>
      <c r="K37" s="27">
        <f>SUM(K32:K36)</f>
        <v>309135.09999999998</v>
      </c>
      <c r="L37" s="28">
        <f t="shared" si="2"/>
        <v>0.22172911644452581</v>
      </c>
      <c r="M37" s="29">
        <f>I37-K37</f>
        <v>29316.25</v>
      </c>
      <c r="N37" s="25"/>
    </row>
    <row r="38" spans="1:14" s="20" customFormat="1" ht="15" x14ac:dyDescent="0.25">
      <c r="A38" s="14"/>
      <c r="B38" s="15" t="s">
        <v>11</v>
      </c>
      <c r="C38" s="16"/>
      <c r="D38" s="17"/>
      <c r="E38" s="16"/>
      <c r="F38" s="17"/>
      <c r="G38" s="18"/>
      <c r="H38" s="19"/>
      <c r="I38" s="16"/>
      <c r="J38" s="17"/>
      <c r="K38" s="16"/>
      <c r="L38" s="17"/>
      <c r="M38" s="18"/>
      <c r="N38" s="15"/>
    </row>
    <row r="39" spans="1:14" s="20" customFormat="1" ht="15" x14ac:dyDescent="0.25">
      <c r="A39" s="14"/>
      <c r="B39" s="25" t="s">
        <v>28</v>
      </c>
      <c r="C39" s="27">
        <f>C29-C37</f>
        <v>637015.89</v>
      </c>
      <c r="D39" s="28">
        <f>C39/C21</f>
        <v>0.42342781766419291</v>
      </c>
      <c r="E39" s="27">
        <f>E29-E37</f>
        <v>700053.05999999994</v>
      </c>
      <c r="F39" s="28">
        <f>E39/E$21</f>
        <v>0.5021175093287259</v>
      </c>
      <c r="G39" s="29">
        <f>C39-E39</f>
        <v>-63037.169999999925</v>
      </c>
      <c r="H39" s="19"/>
      <c r="I39" s="27">
        <f>I29-I37</f>
        <v>637015.89</v>
      </c>
      <c r="J39" s="28">
        <f>I39/I$21</f>
        <v>0.42342781766419291</v>
      </c>
      <c r="K39" s="27">
        <f>K29-K37</f>
        <v>700053.05999999994</v>
      </c>
      <c r="L39" s="28">
        <f>K39/K$21</f>
        <v>0.5021175093287259</v>
      </c>
      <c r="M39" s="29">
        <f>I39-K39</f>
        <v>-63037.169999999925</v>
      </c>
      <c r="N39" s="15"/>
    </row>
    <row r="40" spans="1:14" s="20" customFormat="1" ht="15" x14ac:dyDescent="0.25">
      <c r="A40" s="14"/>
      <c r="B40" s="15" t="s">
        <v>11</v>
      </c>
      <c r="C40" s="16"/>
      <c r="D40" s="17"/>
      <c r="E40" s="16"/>
      <c r="F40" s="17"/>
      <c r="G40" s="18"/>
      <c r="H40" s="19"/>
      <c r="I40" s="16"/>
      <c r="J40" s="17"/>
      <c r="K40" s="16"/>
      <c r="L40" s="17"/>
      <c r="M40" s="18"/>
      <c r="N40" s="15"/>
    </row>
    <row r="41" spans="1:14" s="20" customFormat="1" ht="15" x14ac:dyDescent="0.25">
      <c r="A41" s="14"/>
      <c r="B41" s="15" t="s">
        <v>29</v>
      </c>
      <c r="C41" s="16">
        <v>59537.97</v>
      </c>
      <c r="D41" s="17">
        <f>C41/C21</f>
        <v>3.9575202284602644E-2</v>
      </c>
      <c r="E41" s="16">
        <v>53830.67</v>
      </c>
      <c r="F41" s="17">
        <f>E41/E$21</f>
        <v>3.8610390397974356E-2</v>
      </c>
      <c r="G41" s="18">
        <f>C41-E41</f>
        <v>5707.3000000000029</v>
      </c>
      <c r="H41" s="19"/>
      <c r="I41" s="16">
        <v>59537.97</v>
      </c>
      <c r="J41" s="17">
        <f>I41/I$21</f>
        <v>3.9575202284602644E-2</v>
      </c>
      <c r="K41" s="16">
        <v>53830.67</v>
      </c>
      <c r="L41" s="17">
        <f>K41/K$21</f>
        <v>3.8610390397974356E-2</v>
      </c>
      <c r="M41" s="18">
        <f>I41-K41</f>
        <v>5707.3000000000029</v>
      </c>
      <c r="N41" s="15"/>
    </row>
    <row r="42" spans="1:14" s="31" customFormat="1" ht="15" x14ac:dyDescent="0.25">
      <c r="A42" s="26"/>
      <c r="B42" s="25" t="s">
        <v>30</v>
      </c>
      <c r="C42" s="27">
        <f>C39-C41</f>
        <v>577477.92000000004</v>
      </c>
      <c r="D42" s="28">
        <f>C42/C21</f>
        <v>0.38385261537959026</v>
      </c>
      <c r="E42" s="27">
        <f>E39-E41</f>
        <v>646222.3899999999</v>
      </c>
      <c r="F42" s="28">
        <f>E42/E$21</f>
        <v>0.46350711893075147</v>
      </c>
      <c r="G42" s="29">
        <f>C42-E42</f>
        <v>-68744.469999999856</v>
      </c>
      <c r="H42" s="30"/>
      <c r="I42" s="27">
        <f>I39-I41</f>
        <v>577477.92000000004</v>
      </c>
      <c r="J42" s="28">
        <f>I42/I$21</f>
        <v>0.38385261537959026</v>
      </c>
      <c r="K42" s="27">
        <f>K39-K41</f>
        <v>646222.3899999999</v>
      </c>
      <c r="L42" s="28">
        <f>K42/K$21</f>
        <v>0.46350711893075147</v>
      </c>
      <c r="M42" s="29">
        <f>I42-K42</f>
        <v>-68744.469999999856</v>
      </c>
      <c r="N42" s="25"/>
    </row>
    <row r="43" spans="1:14" s="20" customFormat="1" ht="15" x14ac:dyDescent="0.25">
      <c r="A43" s="14"/>
      <c r="B43" s="15" t="s">
        <v>11</v>
      </c>
      <c r="C43" s="16"/>
      <c r="D43" s="17"/>
      <c r="E43" s="16"/>
      <c r="F43" s="17"/>
      <c r="G43" s="18"/>
      <c r="H43" s="19"/>
      <c r="I43" s="16"/>
      <c r="J43" s="17"/>
      <c r="K43" s="16"/>
      <c r="L43" s="17"/>
      <c r="M43" s="18"/>
      <c r="N43" s="15"/>
    </row>
    <row r="44" spans="1:14" s="20" customFormat="1" ht="15" x14ac:dyDescent="0.25">
      <c r="A44" s="14"/>
      <c r="B44" s="15" t="s">
        <v>31</v>
      </c>
      <c r="C44" s="16">
        <v>-5053.16</v>
      </c>
      <c r="D44" s="17">
        <f>C44/C21</f>
        <v>-3.358862070313494E-3</v>
      </c>
      <c r="E44" s="16">
        <v>-1939.85</v>
      </c>
      <c r="F44" s="17">
        <f t="shared" ref="F44:F49" si="3">E44/E$21</f>
        <v>-1.3913697491320571E-3</v>
      </c>
      <c r="G44" s="18">
        <f>C44-E44</f>
        <v>-3113.31</v>
      </c>
      <c r="H44" s="19"/>
      <c r="I44" s="16">
        <v>-5053.16</v>
      </c>
      <c r="J44" s="17">
        <f t="shared" ref="J44:J49" si="4">I44/I$21</f>
        <v>-3.358862070313494E-3</v>
      </c>
      <c r="K44" s="16">
        <v>-1939.85</v>
      </c>
      <c r="L44" s="17">
        <f t="shared" ref="L44:L49" si="5">K44/K$21</f>
        <v>-1.3913697491320571E-3</v>
      </c>
      <c r="M44" s="18">
        <f>I44-K44</f>
        <v>-3113.31</v>
      </c>
      <c r="N44" s="15"/>
    </row>
    <row r="45" spans="1:14" s="20" customFormat="1" ht="15" x14ac:dyDescent="0.25">
      <c r="A45" s="14"/>
      <c r="B45" s="15" t="s">
        <v>32</v>
      </c>
      <c r="C45" s="16">
        <v>2257.12</v>
      </c>
      <c r="D45" s="17">
        <f>C45/C21</f>
        <v>1.5003195537338998E-3</v>
      </c>
      <c r="E45" s="16">
        <v>999.18</v>
      </c>
      <c r="F45" s="17">
        <f t="shared" si="3"/>
        <v>7.1666820936555338E-4</v>
      </c>
      <c r="G45" s="18">
        <f>C45-E45</f>
        <v>1257.94</v>
      </c>
      <c r="H45" s="19"/>
      <c r="I45" s="16">
        <v>2257.12</v>
      </c>
      <c r="J45" s="17">
        <f t="shared" si="4"/>
        <v>1.5003195537338998E-3</v>
      </c>
      <c r="K45" s="16">
        <v>999.18</v>
      </c>
      <c r="L45" s="17">
        <f t="shared" si="5"/>
        <v>7.1666820936555338E-4</v>
      </c>
      <c r="M45" s="18">
        <f>I45-K45</f>
        <v>1257.94</v>
      </c>
      <c r="N45" s="15"/>
    </row>
    <row r="46" spans="1:14" s="20" customFormat="1" ht="15" x14ac:dyDescent="0.25">
      <c r="A46" s="14"/>
      <c r="B46" s="15" t="s">
        <v>33</v>
      </c>
      <c r="C46" s="16">
        <v>48368</v>
      </c>
      <c r="D46" s="17">
        <f>C46/C21</f>
        <v>3.2150464386032321E-2</v>
      </c>
      <c r="E46" s="16">
        <v>48927</v>
      </c>
      <c r="F46" s="17">
        <f t="shared" si="3"/>
        <v>3.5093201905190691E-2</v>
      </c>
      <c r="G46" s="18">
        <f>C46-E46</f>
        <v>-559</v>
      </c>
      <c r="H46" s="19"/>
      <c r="I46" s="16">
        <v>48368</v>
      </c>
      <c r="J46" s="17">
        <f t="shared" si="4"/>
        <v>3.2150464386032321E-2</v>
      </c>
      <c r="K46" s="16">
        <v>48927</v>
      </c>
      <c r="L46" s="17">
        <f t="shared" si="5"/>
        <v>3.5093201905190691E-2</v>
      </c>
      <c r="M46" s="18">
        <f>I46-K46</f>
        <v>-559</v>
      </c>
      <c r="N46" s="15"/>
    </row>
    <row r="47" spans="1:14" s="20" customFormat="1" ht="15" x14ac:dyDescent="0.25">
      <c r="A47" s="14"/>
      <c r="B47" s="15" t="s">
        <v>34</v>
      </c>
      <c r="C47" s="16">
        <v>115247.19</v>
      </c>
      <c r="D47" s="17">
        <f>C47/C21</f>
        <v>7.6605414275663669E-2</v>
      </c>
      <c r="E47" s="16">
        <v>129453.33</v>
      </c>
      <c r="F47" s="17">
        <f t="shared" si="3"/>
        <v>9.2851224211361397E-2</v>
      </c>
      <c r="G47" s="18">
        <f>C47-E47</f>
        <v>-14206.14</v>
      </c>
      <c r="H47" s="19"/>
      <c r="I47" s="16">
        <v>115247.19</v>
      </c>
      <c r="J47" s="17">
        <f t="shared" si="4"/>
        <v>7.6605414275663669E-2</v>
      </c>
      <c r="K47" s="16">
        <v>129453.33</v>
      </c>
      <c r="L47" s="17">
        <f t="shared" si="5"/>
        <v>9.2851224211361397E-2</v>
      </c>
      <c r="M47" s="18">
        <f>I47-K47</f>
        <v>-14206.14</v>
      </c>
      <c r="N47" s="15"/>
    </row>
    <row r="48" spans="1:14" s="20" customFormat="1" ht="15" x14ac:dyDescent="0.25">
      <c r="A48" s="14"/>
      <c r="B48" s="15" t="s">
        <v>35</v>
      </c>
      <c r="C48" s="16">
        <v>0</v>
      </c>
      <c r="D48" s="17">
        <f>C48/C21</f>
        <v>0</v>
      </c>
      <c r="E48" s="16">
        <v>0</v>
      </c>
      <c r="F48" s="17">
        <f t="shared" si="3"/>
        <v>0</v>
      </c>
      <c r="G48" s="18">
        <f>C48-E48</f>
        <v>0</v>
      </c>
      <c r="H48" s="19"/>
      <c r="I48" s="16">
        <v>0</v>
      </c>
      <c r="J48" s="17">
        <f t="shared" si="4"/>
        <v>0</v>
      </c>
      <c r="K48" s="16">
        <v>0</v>
      </c>
      <c r="L48" s="17">
        <f t="shared" si="5"/>
        <v>0</v>
      </c>
      <c r="M48" s="18">
        <f>I48-K48</f>
        <v>0</v>
      </c>
      <c r="N48" s="15"/>
    </row>
    <row r="49" spans="1:14" s="31" customFormat="1" ht="15" x14ac:dyDescent="0.25">
      <c r="A49" s="26"/>
      <c r="B49" s="25" t="s">
        <v>36</v>
      </c>
      <c r="C49" s="27">
        <f>SUM(C44:C48)</f>
        <v>160819.15</v>
      </c>
      <c r="D49" s="28">
        <f>C49/C21</f>
        <v>0.10689733614511639</v>
      </c>
      <c r="E49" s="27">
        <f>SUM(E44:E48)</f>
        <v>177439.66</v>
      </c>
      <c r="F49" s="28">
        <f t="shared" si="3"/>
        <v>0.12726972457678559</v>
      </c>
      <c r="G49" s="29">
        <f>C49-E49</f>
        <v>-16620.510000000009</v>
      </c>
      <c r="H49" s="30"/>
      <c r="I49" s="27">
        <f>SUM(I44:I48)</f>
        <v>160819.15</v>
      </c>
      <c r="J49" s="28">
        <f t="shared" si="4"/>
        <v>0.10689733614511639</v>
      </c>
      <c r="K49" s="27">
        <f>SUM(K44:K48)</f>
        <v>177439.66</v>
      </c>
      <c r="L49" s="28">
        <f t="shared" si="5"/>
        <v>0.12726972457678559</v>
      </c>
      <c r="M49" s="29">
        <f>I49-K49</f>
        <v>-16620.510000000009</v>
      </c>
      <c r="N49" s="25"/>
    </row>
    <row r="50" spans="1:14" s="20" customFormat="1" ht="15" x14ac:dyDescent="0.25">
      <c r="A50" s="14"/>
      <c r="B50" s="15" t="s">
        <v>11</v>
      </c>
      <c r="C50" s="16"/>
      <c r="D50" s="17"/>
      <c r="E50" s="16"/>
      <c r="F50" s="17"/>
      <c r="G50" s="18"/>
      <c r="H50" s="19"/>
      <c r="I50" s="16"/>
      <c r="J50" s="17"/>
      <c r="K50" s="16"/>
      <c r="L50" s="17"/>
      <c r="M50" s="18"/>
      <c r="N50" s="15"/>
    </row>
    <row r="51" spans="1:14" s="31" customFormat="1" ht="15" x14ac:dyDescent="0.25">
      <c r="A51" s="26"/>
      <c r="B51" s="25" t="s">
        <v>37</v>
      </c>
      <c r="C51" s="27">
        <f>C42-C49</f>
        <v>416658.77</v>
      </c>
      <c r="D51" s="28">
        <f>C51/C21</f>
        <v>0.27695527923447388</v>
      </c>
      <c r="E51" s="27">
        <f>E42-E49</f>
        <v>468782.72999999986</v>
      </c>
      <c r="F51" s="28">
        <f>E51/E$21</f>
        <v>0.33623739435396588</v>
      </c>
      <c r="G51" s="29">
        <f>C51-E51</f>
        <v>-52123.959999999846</v>
      </c>
      <c r="H51" s="30"/>
      <c r="I51" s="27">
        <f>I42-I49</f>
        <v>416658.77</v>
      </c>
      <c r="J51" s="28">
        <f>I51/I$21</f>
        <v>0.27695527923447388</v>
      </c>
      <c r="K51" s="27">
        <f>K42-K49</f>
        <v>468782.72999999986</v>
      </c>
      <c r="L51" s="28">
        <f>K51/K$21</f>
        <v>0.33623739435396588</v>
      </c>
      <c r="M51" s="29">
        <f>I51-K51</f>
        <v>-52123.959999999846</v>
      </c>
      <c r="N51" s="25"/>
    </row>
    <row r="52" spans="1:14" s="20" customFormat="1" ht="15" x14ac:dyDescent="0.25">
      <c r="A52" s="14"/>
      <c r="B52" s="15" t="s">
        <v>11</v>
      </c>
      <c r="C52" s="16"/>
      <c r="D52" s="17"/>
      <c r="E52" s="16"/>
      <c r="F52" s="17"/>
      <c r="G52" s="18"/>
      <c r="H52" s="19"/>
      <c r="I52" s="16"/>
      <c r="J52" s="17"/>
      <c r="K52" s="16"/>
      <c r="L52" s="17"/>
      <c r="M52" s="18"/>
      <c r="N52" s="15"/>
    </row>
    <row r="53" spans="1:14" s="20" customFormat="1" ht="15" x14ac:dyDescent="0.25">
      <c r="A53" s="14"/>
      <c r="B53" s="15" t="s">
        <v>38</v>
      </c>
      <c r="C53" s="16">
        <v>60177.046799999996</v>
      </c>
      <c r="D53" s="17">
        <f>C53/C21</f>
        <v>0.04</v>
      </c>
      <c r="E53" s="16">
        <v>55768.065999999999</v>
      </c>
      <c r="F53" s="17">
        <f>E53/E$21</f>
        <v>0.04</v>
      </c>
      <c r="G53" s="18">
        <f>C53-E53</f>
        <v>4408.9807999999975</v>
      </c>
      <c r="H53" s="19"/>
      <c r="I53" s="16">
        <v>60177.046799999996</v>
      </c>
      <c r="J53" s="17">
        <f>I53/I$21</f>
        <v>0.04</v>
      </c>
      <c r="K53" s="16">
        <v>55768.065999999999</v>
      </c>
      <c r="L53" s="17">
        <f>K53/K$21</f>
        <v>0.04</v>
      </c>
      <c r="M53" s="18">
        <f>I53-K53</f>
        <v>4408.9807999999975</v>
      </c>
      <c r="N53" s="15"/>
    </row>
    <row r="54" spans="1:14" s="31" customFormat="1" ht="15.75" thickBot="1" x14ac:dyDescent="0.3">
      <c r="A54" s="26"/>
      <c r="B54" s="25" t="s">
        <v>39</v>
      </c>
      <c r="C54" s="32">
        <f>C51-C53</f>
        <v>356481.72320000001</v>
      </c>
      <c r="D54" s="33">
        <f>C54/C21</f>
        <v>0.23695527923447385</v>
      </c>
      <c r="E54" s="32">
        <f>E51-E53</f>
        <v>413014.66399999987</v>
      </c>
      <c r="F54" s="33">
        <f>E54/E$21</f>
        <v>0.29623739435396584</v>
      </c>
      <c r="G54" s="34">
        <f>C54-E54</f>
        <v>-56532.940799999866</v>
      </c>
      <c r="H54" s="30"/>
      <c r="I54" s="32">
        <f>I51-I53</f>
        <v>356481.72320000001</v>
      </c>
      <c r="J54" s="33">
        <f>I54/I$21</f>
        <v>0.23695527923447385</v>
      </c>
      <c r="K54" s="32">
        <f>K51-K53</f>
        <v>413014.66399999987</v>
      </c>
      <c r="L54" s="33">
        <f>K54/K$21</f>
        <v>0.29623739435396584</v>
      </c>
      <c r="M54" s="34">
        <f>I54-K54</f>
        <v>-56532.940799999866</v>
      </c>
      <c r="N54" s="25"/>
    </row>
    <row r="55" spans="1:14" s="20" customFormat="1" ht="15.75" thickTop="1" x14ac:dyDescent="0.25">
      <c r="A55" s="14"/>
      <c r="B55" s="15"/>
      <c r="C55" s="16"/>
      <c r="D55" s="17"/>
      <c r="E55" s="16"/>
      <c r="F55" s="21"/>
      <c r="G55" s="16"/>
      <c r="H55" s="35"/>
      <c r="I55" s="16"/>
      <c r="J55" s="21"/>
      <c r="K55" s="16"/>
      <c r="L55" s="21"/>
      <c r="M55" s="18"/>
      <c r="N55" s="15"/>
    </row>
    <row r="56" spans="1:14" s="20" customFormat="1" ht="15" x14ac:dyDescent="0.25">
      <c r="A56" s="14"/>
      <c r="B56" s="15"/>
      <c r="C56" s="16"/>
      <c r="D56" s="17"/>
      <c r="E56" s="16"/>
      <c r="F56" s="21"/>
      <c r="G56" s="16"/>
      <c r="H56" s="35"/>
      <c r="I56" s="16"/>
      <c r="J56" s="21"/>
      <c r="K56" s="16"/>
      <c r="L56" s="21"/>
      <c r="M56" s="18"/>
      <c r="N56" s="15"/>
    </row>
    <row r="57" spans="1:14" ht="15" x14ac:dyDescent="0.25">
      <c r="A57" s="7"/>
      <c r="B57" s="7"/>
      <c r="C57" s="36"/>
      <c r="D57" s="36"/>
      <c r="E57" s="36"/>
      <c r="F57" s="36"/>
      <c r="G57" s="36"/>
      <c r="H57" s="36"/>
      <c r="I57" s="36"/>
      <c r="J57" s="36"/>
      <c r="K57" s="37"/>
      <c r="L57" s="37"/>
      <c r="M57" s="15"/>
      <c r="N57" s="15"/>
    </row>
    <row r="58" spans="1:14" ht="15.75" thickBot="1" x14ac:dyDescent="0.3">
      <c r="A58" s="7"/>
      <c r="B58" s="38"/>
      <c r="C58" s="39"/>
      <c r="D58" s="38"/>
      <c r="E58" s="39"/>
      <c r="F58" s="38"/>
      <c r="G58" s="39"/>
      <c r="H58" s="38"/>
      <c r="I58" s="39"/>
      <c r="J58" s="38"/>
      <c r="K58" s="39"/>
      <c r="L58" s="40"/>
      <c r="M58" s="39"/>
    </row>
    <row r="59" spans="1:14" ht="13.5" thickTop="1" x14ac:dyDescent="0.2">
      <c r="A59" s="7"/>
      <c r="B59" s="7"/>
      <c r="C59" s="7"/>
      <c r="D59" s="7"/>
      <c r="K59" s="13"/>
      <c r="L59" s="13"/>
    </row>
    <row r="60" spans="1:14" x14ac:dyDescent="0.2">
      <c r="B60" s="41"/>
      <c r="C60" s="7"/>
      <c r="D60" s="7"/>
      <c r="K60" s="42"/>
      <c r="L60" s="42"/>
    </row>
    <row r="61" spans="1:14" x14ac:dyDescent="0.2">
      <c r="C61" s="7"/>
      <c r="D61" s="7"/>
      <c r="K61" s="13"/>
      <c r="L61" s="13"/>
    </row>
    <row r="62" spans="1:14" x14ac:dyDescent="0.2">
      <c r="C62" s="7"/>
      <c r="D62" s="7"/>
      <c r="K62" s="13"/>
      <c r="L62" s="13"/>
    </row>
    <row r="63" spans="1:14" x14ac:dyDescent="0.2">
      <c r="C63" s="7"/>
      <c r="D63" s="7"/>
      <c r="K63" s="13"/>
      <c r="L63" s="13"/>
    </row>
    <row r="64" spans="1:14" x14ac:dyDescent="0.2">
      <c r="C64" s="7"/>
      <c r="D64" s="7"/>
      <c r="K64" s="13"/>
      <c r="L64" s="13"/>
    </row>
    <row r="65" spans="1:12" x14ac:dyDescent="0.2">
      <c r="C65" s="7"/>
      <c r="D65" s="7"/>
      <c r="K65" s="13"/>
      <c r="L65" s="13"/>
    </row>
    <row r="66" spans="1:12" x14ac:dyDescent="0.2">
      <c r="C66" s="7"/>
      <c r="D66" s="7"/>
      <c r="K66" s="13"/>
      <c r="L66" s="13"/>
    </row>
    <row r="67" spans="1:12" x14ac:dyDescent="0.2">
      <c r="B67" s="41"/>
      <c r="C67" s="7"/>
      <c r="D67" s="7"/>
      <c r="K67" s="13"/>
      <c r="L67" s="13"/>
    </row>
    <row r="68" spans="1:12" x14ac:dyDescent="0.2">
      <c r="C68" s="7"/>
      <c r="D68" s="7"/>
      <c r="K68" s="13"/>
      <c r="L68" s="13"/>
    </row>
    <row r="69" spans="1:12" x14ac:dyDescent="0.2">
      <c r="B69" s="41"/>
      <c r="C69" s="7"/>
      <c r="D69" s="7"/>
      <c r="K69" s="7"/>
      <c r="L69" s="7"/>
    </row>
    <row r="70" spans="1:12" x14ac:dyDescent="0.2">
      <c r="B70" s="41"/>
      <c r="C70" s="7"/>
      <c r="D70" s="7"/>
      <c r="K70" s="7"/>
      <c r="L70" s="7"/>
    </row>
    <row r="71" spans="1:12" x14ac:dyDescent="0.2">
      <c r="C71" s="7"/>
      <c r="D71" s="7"/>
    </row>
    <row r="72" spans="1:12" ht="15.75" x14ac:dyDescent="0.25">
      <c r="A72" s="43"/>
      <c r="C72" s="7"/>
      <c r="D72" s="7"/>
    </row>
    <row r="73" spans="1:12" x14ac:dyDescent="0.2">
      <c r="C73" s="7"/>
      <c r="D73" s="7"/>
      <c r="K73" s="13"/>
      <c r="L73" s="13"/>
    </row>
    <row r="74" spans="1:12" x14ac:dyDescent="0.2">
      <c r="C74" s="42"/>
      <c r="D74" s="42"/>
      <c r="I74" s="42"/>
      <c r="J74" s="42"/>
      <c r="K74" s="13"/>
      <c r="L74" s="13"/>
    </row>
    <row r="75" spans="1:12" x14ac:dyDescent="0.2">
      <c r="C75" s="7"/>
      <c r="D75" s="7"/>
      <c r="K75" s="13"/>
      <c r="L75" s="13"/>
    </row>
    <row r="76" spans="1:12" x14ac:dyDescent="0.2">
      <c r="C76" s="7"/>
      <c r="D76" s="7"/>
      <c r="K76" s="13"/>
      <c r="L76" s="13"/>
    </row>
    <row r="77" spans="1:12" x14ac:dyDescent="0.2">
      <c r="C77" s="7"/>
      <c r="D77" s="7"/>
      <c r="K77" s="13"/>
      <c r="L77" s="13"/>
    </row>
    <row r="78" spans="1:12" x14ac:dyDescent="0.2">
      <c r="C78" s="7"/>
      <c r="D78" s="7"/>
      <c r="K78" s="13"/>
      <c r="L78" s="13"/>
    </row>
    <row r="79" spans="1:12" x14ac:dyDescent="0.2">
      <c r="C79" s="7"/>
      <c r="D79" s="7"/>
      <c r="K79" s="13"/>
      <c r="L79" s="13"/>
    </row>
    <row r="80" spans="1:12" x14ac:dyDescent="0.2">
      <c r="C80" s="7"/>
      <c r="D80" s="7"/>
      <c r="K80" s="13"/>
      <c r="L80" s="13"/>
    </row>
    <row r="81" spans="2:12" x14ac:dyDescent="0.2">
      <c r="C81" s="7"/>
      <c r="D81" s="7"/>
      <c r="K81" s="13"/>
      <c r="L81" s="13"/>
    </row>
    <row r="82" spans="2:12" x14ac:dyDescent="0.2">
      <c r="C82" s="7"/>
      <c r="D82" s="7"/>
      <c r="K82" s="13"/>
      <c r="L82" s="13"/>
    </row>
    <row r="83" spans="2:12" x14ac:dyDescent="0.2">
      <c r="C83" s="7"/>
      <c r="D83" s="7"/>
      <c r="K83" s="13"/>
      <c r="L83" s="13"/>
    </row>
    <row r="84" spans="2:12" x14ac:dyDescent="0.2">
      <c r="C84" s="7"/>
      <c r="D84" s="7"/>
      <c r="K84" s="13"/>
      <c r="L84" s="13"/>
    </row>
    <row r="85" spans="2:12" x14ac:dyDescent="0.2">
      <c r="C85" s="7"/>
      <c r="D85" s="7"/>
      <c r="K85" s="13"/>
      <c r="L85" s="13"/>
    </row>
    <row r="86" spans="2:12" x14ac:dyDescent="0.2">
      <c r="C86" s="7"/>
      <c r="D86" s="7"/>
      <c r="K86" s="13"/>
      <c r="L86" s="13"/>
    </row>
    <row r="87" spans="2:12" x14ac:dyDescent="0.2">
      <c r="C87" s="7"/>
      <c r="D87" s="7"/>
      <c r="K87" s="13"/>
      <c r="L87" s="13"/>
    </row>
    <row r="88" spans="2:12" x14ac:dyDescent="0.2">
      <c r="C88" s="7"/>
      <c r="D88" s="7"/>
      <c r="K88" s="13"/>
      <c r="L88" s="13"/>
    </row>
    <row r="89" spans="2:12" x14ac:dyDescent="0.2">
      <c r="C89" s="7"/>
      <c r="D89" s="7"/>
      <c r="K89" s="13"/>
      <c r="L89" s="13"/>
    </row>
    <row r="90" spans="2:12" x14ac:dyDescent="0.2">
      <c r="C90" s="7"/>
      <c r="D90" s="7"/>
      <c r="K90" s="13"/>
      <c r="L90" s="13"/>
    </row>
    <row r="91" spans="2:12" x14ac:dyDescent="0.2">
      <c r="C91" s="7"/>
      <c r="D91" s="7"/>
      <c r="K91" s="13"/>
      <c r="L91" s="13"/>
    </row>
    <row r="92" spans="2:12" x14ac:dyDescent="0.2">
      <c r="B92" s="44"/>
      <c r="C92" s="7"/>
      <c r="D92" s="7"/>
      <c r="K92" s="13"/>
      <c r="L92" s="13"/>
    </row>
    <row r="93" spans="2:12" x14ac:dyDescent="0.2">
      <c r="C93" s="7"/>
      <c r="D93" s="7"/>
      <c r="K93" s="13"/>
      <c r="L93" s="13"/>
    </row>
    <row r="94" spans="2:12" x14ac:dyDescent="0.2">
      <c r="C94" s="7"/>
      <c r="D94" s="7"/>
      <c r="K94" s="13"/>
      <c r="L94" s="13"/>
    </row>
    <row r="95" spans="2:12" x14ac:dyDescent="0.2">
      <c r="C95" s="7"/>
      <c r="D95" s="7"/>
      <c r="K95" s="13"/>
      <c r="L95" s="13"/>
    </row>
    <row r="96" spans="2:12" x14ac:dyDescent="0.2">
      <c r="C96" s="7"/>
      <c r="D96" s="7"/>
      <c r="K96" s="13"/>
      <c r="L96" s="13"/>
    </row>
    <row r="97" spans="1:12" x14ac:dyDescent="0.2">
      <c r="C97" s="7"/>
      <c r="D97" s="7"/>
      <c r="K97" s="13"/>
      <c r="L97" s="13"/>
    </row>
    <row r="98" spans="1:12" x14ac:dyDescent="0.2">
      <c r="B98" s="41"/>
      <c r="C98" s="7"/>
      <c r="D98" s="7"/>
      <c r="K98" s="7"/>
      <c r="L98" s="7"/>
    </row>
    <row r="99" spans="1:12" x14ac:dyDescent="0.2">
      <c r="B99" s="45"/>
      <c r="C99" s="7"/>
      <c r="D99" s="7"/>
      <c r="K99" s="7"/>
      <c r="L99" s="7"/>
    </row>
    <row r="100" spans="1:12" x14ac:dyDescent="0.2">
      <c r="C100" s="7"/>
      <c r="D100" s="7"/>
    </row>
    <row r="101" spans="1:12" x14ac:dyDescent="0.2">
      <c r="C101" s="7"/>
      <c r="D101" s="7"/>
      <c r="K101" s="13"/>
      <c r="L101" s="13"/>
    </row>
    <row r="102" spans="1:12" x14ac:dyDescent="0.2">
      <c r="C102" s="7"/>
      <c r="D102" s="7"/>
      <c r="K102" s="13"/>
      <c r="L102" s="13"/>
    </row>
    <row r="103" spans="1:12" x14ac:dyDescent="0.2">
      <c r="C103" s="7"/>
      <c r="D103" s="7"/>
      <c r="K103" s="13"/>
      <c r="L103" s="13"/>
    </row>
    <row r="104" spans="1:12" x14ac:dyDescent="0.2">
      <c r="C104" s="7"/>
      <c r="D104" s="7"/>
      <c r="K104" s="13"/>
      <c r="L104" s="13"/>
    </row>
    <row r="105" spans="1:12" x14ac:dyDescent="0.2">
      <c r="C105" s="7"/>
      <c r="D105" s="7"/>
      <c r="K105" s="13"/>
      <c r="L105" s="13"/>
    </row>
    <row r="106" spans="1:12" x14ac:dyDescent="0.2">
      <c r="C106" s="7"/>
      <c r="D106" s="7"/>
      <c r="K106" s="13"/>
      <c r="L106" s="13"/>
    </row>
    <row r="107" spans="1:12" x14ac:dyDescent="0.2">
      <c r="C107" s="7"/>
      <c r="D107" s="7"/>
      <c r="K107" s="13"/>
      <c r="L107" s="13"/>
    </row>
    <row r="108" spans="1:12" ht="15" x14ac:dyDescent="0.25">
      <c r="A108" s="46"/>
      <c r="B108" s="47"/>
      <c r="C108" s="48"/>
      <c r="D108" s="48"/>
      <c r="E108" s="48"/>
      <c r="F108" s="48"/>
      <c r="G108" s="48"/>
      <c r="H108" s="48"/>
      <c r="I108" s="48"/>
      <c r="J108" s="48"/>
      <c r="K108" s="49"/>
      <c r="L108" s="49"/>
    </row>
    <row r="109" spans="1:12" x14ac:dyDescent="0.2">
      <c r="C109" s="50"/>
      <c r="D109" s="50"/>
      <c r="E109" s="50"/>
      <c r="F109" s="50"/>
      <c r="G109" s="50"/>
      <c r="H109" s="50"/>
      <c r="I109" s="50"/>
      <c r="J109" s="50"/>
    </row>
    <row r="110" spans="1:12" x14ac:dyDescent="0.2">
      <c r="B110" s="41"/>
      <c r="C110" s="7"/>
      <c r="D110" s="7"/>
      <c r="K110" s="13"/>
      <c r="L110" s="13"/>
    </row>
    <row r="111" spans="1:12" x14ac:dyDescent="0.2">
      <c r="C111" s="7"/>
      <c r="D111" s="7"/>
      <c r="K111" s="13"/>
      <c r="L111" s="13"/>
    </row>
    <row r="112" spans="1:12" x14ac:dyDescent="0.2">
      <c r="C112" s="7"/>
      <c r="D112" s="7"/>
      <c r="I112" s="51"/>
      <c r="J112" s="51"/>
    </row>
    <row r="113" spans="1:10" x14ac:dyDescent="0.2">
      <c r="C113" s="7"/>
      <c r="D113" s="7"/>
      <c r="I113" s="51"/>
      <c r="J113" s="51"/>
    </row>
    <row r="114" spans="1:10" x14ac:dyDescent="0.2">
      <c r="C114" s="7"/>
      <c r="D114" s="7"/>
      <c r="I114" s="51"/>
      <c r="J114" s="51"/>
    </row>
    <row r="115" spans="1:10" x14ac:dyDescent="0.2">
      <c r="C115" s="7"/>
      <c r="D115" s="7"/>
      <c r="I115" s="51"/>
      <c r="J115" s="51"/>
    </row>
    <row r="116" spans="1:10" x14ac:dyDescent="0.2">
      <c r="C116" s="7"/>
      <c r="D116" s="7"/>
      <c r="I116" s="51"/>
      <c r="J116" s="51"/>
    </row>
    <row r="117" spans="1:10" x14ac:dyDescent="0.2">
      <c r="C117" s="7"/>
      <c r="D117" s="7"/>
      <c r="I117" s="51"/>
      <c r="J117" s="51"/>
    </row>
    <row r="118" spans="1:10" x14ac:dyDescent="0.2">
      <c r="C118" s="7"/>
      <c r="D118" s="7"/>
      <c r="I118" s="51"/>
      <c r="J118" s="51"/>
    </row>
    <row r="119" spans="1:10" x14ac:dyDescent="0.2">
      <c r="A119" s="52"/>
      <c r="C119" s="7"/>
      <c r="D119" s="7"/>
      <c r="I119" s="51"/>
      <c r="J119" s="51"/>
    </row>
    <row r="120" spans="1:10" x14ac:dyDescent="0.2">
      <c r="A120" s="52"/>
      <c r="C120" s="7"/>
      <c r="D120" s="7"/>
      <c r="I120" s="51"/>
      <c r="J120" s="51"/>
    </row>
    <row r="121" spans="1:10" x14ac:dyDescent="0.2">
      <c r="C121" s="7"/>
      <c r="D121" s="7"/>
      <c r="I121" s="51"/>
      <c r="J121" s="51"/>
    </row>
    <row r="122" spans="1:10" x14ac:dyDescent="0.2">
      <c r="A122" s="52"/>
      <c r="C122" s="7"/>
      <c r="D122" s="7"/>
      <c r="I122" s="51"/>
      <c r="J122" s="51"/>
    </row>
    <row r="123" spans="1:10" x14ac:dyDescent="0.2">
      <c r="B123" s="41"/>
      <c r="C123" s="7"/>
      <c r="D123" s="7"/>
      <c r="I123" s="51"/>
      <c r="J123" s="51"/>
    </row>
    <row r="124" spans="1:10" x14ac:dyDescent="0.2">
      <c r="B124" s="41"/>
      <c r="C124" s="7"/>
      <c r="D124" s="7"/>
      <c r="I124" s="51"/>
      <c r="J124" s="51"/>
    </row>
    <row r="125" spans="1:10" x14ac:dyDescent="0.2">
      <c r="B125" s="41"/>
      <c r="C125" s="7"/>
      <c r="D125" s="7"/>
      <c r="I125" s="51"/>
      <c r="J125" s="51"/>
    </row>
    <row r="126" spans="1:10" x14ac:dyDescent="0.2">
      <c r="B126" s="41"/>
      <c r="C126" s="7"/>
      <c r="D126" s="7"/>
      <c r="I126" s="51"/>
      <c r="J126" s="51"/>
    </row>
    <row r="137" spans="1:10" x14ac:dyDescent="0.2">
      <c r="B137" s="53"/>
      <c r="C137" s="54"/>
      <c r="D137" s="54"/>
      <c r="E137" s="56"/>
      <c r="F137" s="56"/>
      <c r="G137" s="56"/>
      <c r="H137" s="56"/>
      <c r="I137" s="55"/>
      <c r="J137" s="55"/>
    </row>
    <row r="138" spans="1:10" x14ac:dyDescent="0.2">
      <c r="B138" s="53"/>
      <c r="C138" s="54"/>
      <c r="D138" s="54"/>
      <c r="E138" s="56"/>
      <c r="F138" s="56"/>
      <c r="G138" s="56"/>
      <c r="H138" s="56"/>
      <c r="I138" s="55"/>
      <c r="J138" s="55"/>
    </row>
    <row r="139" spans="1:10" x14ac:dyDescent="0.2">
      <c r="B139" s="53"/>
      <c r="C139" s="54"/>
      <c r="D139" s="54"/>
      <c r="E139" s="56"/>
      <c r="F139" s="56"/>
      <c r="G139" s="56"/>
      <c r="H139" s="56"/>
      <c r="I139" s="55"/>
      <c r="J139" s="55"/>
    </row>
    <row r="140" spans="1:10" x14ac:dyDescent="0.2">
      <c r="B140" s="53"/>
      <c r="C140" s="54"/>
      <c r="D140" s="54"/>
      <c r="E140" s="56"/>
      <c r="F140" s="56"/>
      <c r="G140" s="56"/>
      <c r="H140" s="56"/>
      <c r="I140" s="55"/>
      <c r="J140" s="55"/>
    </row>
    <row r="141" spans="1:10" x14ac:dyDescent="0.2">
      <c r="B141" s="53"/>
      <c r="C141" s="54"/>
      <c r="D141" s="54"/>
      <c r="E141" s="56"/>
      <c r="F141" s="56"/>
      <c r="G141" s="56"/>
      <c r="H141" s="56"/>
      <c r="I141" s="55"/>
      <c r="J141" s="55"/>
    </row>
    <row r="142" spans="1:10" ht="15" x14ac:dyDescent="0.25">
      <c r="A142" s="57"/>
      <c r="B142" s="58"/>
      <c r="C142" s="59"/>
      <c r="D142" s="59"/>
      <c r="E142" s="59"/>
      <c r="F142" s="59"/>
      <c r="G142" s="59"/>
      <c r="H142" s="59"/>
      <c r="I142" s="58"/>
      <c r="J142" s="58"/>
    </row>
    <row r="143" spans="1:10" x14ac:dyDescent="0.2">
      <c r="A143" s="60"/>
      <c r="B143" s="58"/>
      <c r="C143" s="59"/>
      <c r="D143" s="59"/>
      <c r="E143" s="59"/>
      <c r="F143" s="59"/>
      <c r="G143" s="59"/>
      <c r="H143" s="59"/>
      <c r="I143" s="58"/>
      <c r="J143" s="58"/>
    </row>
    <row r="144" spans="1:10" x14ac:dyDescent="0.2">
      <c r="C144" s="7"/>
      <c r="D144" s="7"/>
      <c r="I144" s="3"/>
      <c r="J144" s="3"/>
    </row>
    <row r="145" spans="1:12" x14ac:dyDescent="0.2">
      <c r="C145" s="61"/>
      <c r="D145" s="61"/>
      <c r="E145" s="8"/>
      <c r="F145" s="8"/>
      <c r="G145" s="8"/>
      <c r="H145" s="8"/>
      <c r="I145" s="61"/>
      <c r="J145" s="61"/>
      <c r="K145" s="62"/>
      <c r="L145" s="62"/>
    </row>
    <row r="146" spans="1:12" x14ac:dyDescent="0.2">
      <c r="C146" s="63"/>
      <c r="D146" s="63"/>
      <c r="E146" s="8"/>
      <c r="F146" s="8"/>
      <c r="G146" s="8"/>
      <c r="H146" s="8"/>
      <c r="I146" s="61"/>
      <c r="J146" s="61"/>
      <c r="K146" s="62"/>
      <c r="L146" s="62"/>
    </row>
    <row r="147" spans="1:12" x14ac:dyDescent="0.2">
      <c r="I147" s="3"/>
      <c r="J147" s="3"/>
      <c r="K147" s="13"/>
      <c r="L147" s="13"/>
    </row>
    <row r="148" spans="1:12" x14ac:dyDescent="0.2">
      <c r="A148" s="45"/>
      <c r="C148" s="7"/>
      <c r="D148" s="7"/>
      <c r="K148" s="13"/>
      <c r="L148" s="13"/>
    </row>
    <row r="149" spans="1:12" x14ac:dyDescent="0.2">
      <c r="A149" s="45"/>
      <c r="C149" s="7"/>
      <c r="D149" s="7"/>
      <c r="K149" s="13"/>
      <c r="L149" s="13"/>
    </row>
    <row r="150" spans="1:12" x14ac:dyDescent="0.2">
      <c r="A150" s="45"/>
      <c r="C150" s="7"/>
      <c r="D150" s="7"/>
      <c r="K150" s="13"/>
      <c r="L150" s="13"/>
    </row>
    <row r="151" spans="1:12" x14ac:dyDescent="0.2">
      <c r="A151" s="45"/>
      <c r="C151" s="7"/>
      <c r="D151" s="7"/>
      <c r="K151" s="13"/>
      <c r="L151" s="13"/>
    </row>
    <row r="152" spans="1:12" x14ac:dyDescent="0.2">
      <c r="A152" s="45"/>
      <c r="C152" s="7"/>
      <c r="D152" s="7"/>
      <c r="K152" s="13"/>
      <c r="L152" s="13"/>
    </row>
    <row r="153" spans="1:12" x14ac:dyDescent="0.2">
      <c r="C153" s="7"/>
      <c r="D153" s="7"/>
      <c r="K153" s="7"/>
      <c r="L153" s="7"/>
    </row>
    <row r="155" spans="1:12" x14ac:dyDescent="0.2">
      <c r="A155" s="45"/>
      <c r="C155" s="7"/>
      <c r="D155" s="7"/>
      <c r="I155" s="3"/>
      <c r="J155" s="3"/>
    </row>
    <row r="156" spans="1:12" x14ac:dyDescent="0.2">
      <c r="C156" s="7"/>
      <c r="D156" s="7"/>
      <c r="K156" s="13"/>
      <c r="L156" s="13"/>
    </row>
    <row r="157" spans="1:12" x14ac:dyDescent="0.2">
      <c r="C157" s="7"/>
      <c r="D157" s="7"/>
      <c r="K157" s="13"/>
      <c r="L157" s="13"/>
    </row>
    <row r="158" spans="1:12" x14ac:dyDescent="0.2">
      <c r="C158" s="7"/>
      <c r="D158" s="7"/>
      <c r="K158" s="13"/>
      <c r="L158" s="13"/>
    </row>
    <row r="159" spans="1:12" x14ac:dyDescent="0.2">
      <c r="C159" s="7"/>
      <c r="D159" s="7"/>
      <c r="K159" s="13"/>
      <c r="L159" s="13"/>
    </row>
    <row r="160" spans="1:12" x14ac:dyDescent="0.2">
      <c r="C160" s="7"/>
      <c r="D160" s="7"/>
      <c r="K160" s="13"/>
      <c r="L160" s="13"/>
    </row>
    <row r="161" spans="1:12" x14ac:dyDescent="0.2">
      <c r="C161" s="7"/>
      <c r="D161" s="7"/>
      <c r="K161" s="13"/>
      <c r="L161" s="13"/>
    </row>
    <row r="162" spans="1:12" x14ac:dyDescent="0.2">
      <c r="C162" s="7"/>
      <c r="D162" s="7"/>
      <c r="K162" s="13"/>
      <c r="L162" s="13"/>
    </row>
    <row r="163" spans="1:12" x14ac:dyDescent="0.2">
      <c r="C163" s="7"/>
      <c r="D163" s="7"/>
      <c r="K163" s="13"/>
      <c r="L163" s="13"/>
    </row>
    <row r="164" spans="1:12" x14ac:dyDescent="0.2">
      <c r="C164" s="7"/>
      <c r="D164" s="7"/>
      <c r="K164" s="13"/>
      <c r="L164" s="13"/>
    </row>
    <row r="165" spans="1:12" x14ac:dyDescent="0.2">
      <c r="C165" s="7"/>
      <c r="D165" s="7"/>
      <c r="K165" s="13"/>
      <c r="L165" s="13"/>
    </row>
    <row r="166" spans="1:12" x14ac:dyDescent="0.2">
      <c r="C166" s="7"/>
      <c r="D166" s="7"/>
      <c r="K166" s="13"/>
      <c r="L166" s="13"/>
    </row>
    <row r="167" spans="1:12" x14ac:dyDescent="0.2">
      <c r="C167" s="7"/>
      <c r="D167" s="7"/>
      <c r="K167" s="13"/>
      <c r="L167" s="13"/>
    </row>
    <row r="168" spans="1:12" x14ac:dyDescent="0.2">
      <c r="C168" s="7"/>
      <c r="D168" s="7"/>
      <c r="K168" s="13"/>
      <c r="L168" s="13"/>
    </row>
    <row r="169" spans="1:12" x14ac:dyDescent="0.2">
      <c r="A169" s="45"/>
      <c r="C169" s="7"/>
      <c r="D169" s="7"/>
      <c r="K169" s="7"/>
      <c r="L169" s="7"/>
    </row>
    <row r="170" spans="1:12" x14ac:dyDescent="0.2">
      <c r="A170" s="52"/>
      <c r="C170" s="7"/>
      <c r="D170" s="7"/>
      <c r="I170" s="51"/>
      <c r="J170" s="51"/>
    </row>
    <row r="171" spans="1:12" x14ac:dyDescent="0.2">
      <c r="A171" s="52"/>
      <c r="C171" s="7"/>
      <c r="D171" s="7"/>
      <c r="K171" s="7"/>
      <c r="L171" s="7"/>
    </row>
    <row r="172" spans="1:12" x14ac:dyDescent="0.2">
      <c r="B172" s="53"/>
      <c r="C172" s="54"/>
      <c r="D172" s="54"/>
      <c r="E172" s="56"/>
      <c r="F172" s="56"/>
      <c r="G172" s="56"/>
      <c r="H172" s="56"/>
      <c r="I172" s="55"/>
      <c r="J172" s="55"/>
    </row>
    <row r="173" spans="1:12" x14ac:dyDescent="0.2">
      <c r="C173" s="7"/>
      <c r="D173" s="7"/>
      <c r="K173" s="13"/>
      <c r="L173" s="13"/>
    </row>
    <row r="174" spans="1:12" x14ac:dyDescent="0.2">
      <c r="C174" s="7"/>
      <c r="D174" s="7"/>
      <c r="K174" s="13"/>
      <c r="L174" s="13"/>
    </row>
    <row r="175" spans="1:12" x14ac:dyDescent="0.2">
      <c r="C175" s="7"/>
      <c r="D175" s="7"/>
      <c r="K175" s="13"/>
      <c r="L175" s="13"/>
    </row>
    <row r="176" spans="1:12" x14ac:dyDescent="0.2">
      <c r="C176" s="7"/>
      <c r="D176" s="7"/>
      <c r="K176" s="13"/>
      <c r="L176" s="13"/>
    </row>
    <row r="177" spans="2:12" x14ac:dyDescent="0.2">
      <c r="C177" s="7"/>
      <c r="D177" s="7"/>
      <c r="I177" s="55"/>
      <c r="J177" s="55"/>
    </row>
    <row r="178" spans="2:12" x14ac:dyDescent="0.2">
      <c r="C178" s="7"/>
      <c r="D178" s="7"/>
      <c r="K178" s="13"/>
      <c r="L178" s="13"/>
    </row>
    <row r="179" spans="2:12" x14ac:dyDescent="0.2">
      <c r="B179" s="53"/>
      <c r="C179" s="54"/>
      <c r="D179" s="54"/>
      <c r="E179" s="56"/>
      <c r="F179" s="56"/>
      <c r="G179" s="56"/>
      <c r="H179" s="56"/>
      <c r="I179" s="55"/>
      <c r="J179" s="55"/>
    </row>
    <row r="180" spans="2:12" x14ac:dyDescent="0.2">
      <c r="B180" s="53"/>
      <c r="C180" s="54"/>
      <c r="D180" s="54"/>
      <c r="E180" s="56"/>
      <c r="F180" s="56"/>
      <c r="G180" s="56"/>
      <c r="H180" s="56"/>
      <c r="I180" s="55"/>
      <c r="J180" s="55"/>
    </row>
    <row r="181" spans="2:12" x14ac:dyDescent="0.2">
      <c r="B181" s="53"/>
      <c r="C181" s="54"/>
      <c r="D181" s="54"/>
      <c r="E181" s="56"/>
      <c r="F181" s="56"/>
      <c r="G181" s="56"/>
      <c r="H181" s="56"/>
      <c r="I181" s="55"/>
      <c r="J181" s="55"/>
    </row>
    <row r="182" spans="2:12" x14ac:dyDescent="0.2">
      <c r="B182" s="53"/>
      <c r="C182" s="54"/>
      <c r="D182" s="54"/>
      <c r="E182" s="56"/>
      <c r="F182" s="56"/>
      <c r="G182" s="56"/>
      <c r="H182" s="56"/>
      <c r="I182" s="55"/>
      <c r="J182" s="55"/>
    </row>
    <row r="183" spans="2:12" x14ac:dyDescent="0.2">
      <c r="B183" s="53"/>
      <c r="C183" s="54"/>
      <c r="D183" s="54"/>
      <c r="E183" s="56"/>
      <c r="F183" s="56"/>
      <c r="G183" s="56"/>
      <c r="H183" s="56"/>
      <c r="I183" s="55"/>
      <c r="J183" s="55"/>
    </row>
    <row r="184" spans="2:12" x14ac:dyDescent="0.2">
      <c r="C184" s="64"/>
      <c r="D184" s="64"/>
      <c r="I184" s="51"/>
      <c r="J184" s="51"/>
    </row>
    <row r="185" spans="2:12" x14ac:dyDescent="0.2">
      <c r="C185" s="7"/>
      <c r="D185" s="7"/>
      <c r="I185" s="51"/>
      <c r="J185" s="51"/>
    </row>
    <row r="186" spans="2:12" x14ac:dyDescent="0.2">
      <c r="C186" s="7"/>
      <c r="D186" s="7"/>
      <c r="I186" s="51"/>
      <c r="J186" s="51"/>
    </row>
    <row r="187" spans="2:12" x14ac:dyDescent="0.2">
      <c r="C187" s="7"/>
      <c r="D187" s="7"/>
      <c r="I187" s="51"/>
      <c r="J187" s="51"/>
    </row>
    <row r="188" spans="2:12" x14ac:dyDescent="0.2">
      <c r="C188" s="7"/>
      <c r="D188" s="7"/>
      <c r="I188" s="51"/>
      <c r="J188" s="51"/>
    </row>
    <row r="190" spans="2:12" x14ac:dyDescent="0.2">
      <c r="C190" s="42"/>
      <c r="D190" s="42"/>
    </row>
    <row r="191" spans="2:12" x14ac:dyDescent="0.2">
      <c r="C191" s="42"/>
      <c r="D191" s="42"/>
    </row>
    <row r="192" spans="2:12" x14ac:dyDescent="0.2">
      <c r="C192" s="42"/>
      <c r="D192" s="42"/>
    </row>
    <row r="193" spans="2:4" x14ac:dyDescent="0.2">
      <c r="C193" s="42"/>
      <c r="D193" s="42"/>
    </row>
    <row r="194" spans="2:4" x14ac:dyDescent="0.2">
      <c r="C194" s="42"/>
      <c r="D194" s="42"/>
    </row>
    <row r="196" spans="2:4" x14ac:dyDescent="0.2">
      <c r="C196" s="42"/>
      <c r="D196" s="42"/>
    </row>
    <row r="197" spans="2:4" x14ac:dyDescent="0.2">
      <c r="C197" s="42"/>
      <c r="D197" s="42"/>
    </row>
    <row r="198" spans="2:4" x14ac:dyDescent="0.2">
      <c r="B198" s="65"/>
      <c r="C198" s="66"/>
      <c r="D198" s="66"/>
    </row>
    <row r="201" spans="2:4" x14ac:dyDescent="0.2">
      <c r="B201" s="67"/>
      <c r="C201" s="7"/>
      <c r="D201" s="7"/>
    </row>
    <row r="202" spans="2:4" x14ac:dyDescent="0.2">
      <c r="C202" s="7"/>
      <c r="D202" s="7"/>
    </row>
    <row r="203" spans="2:4" x14ac:dyDescent="0.2">
      <c r="C203" s="7"/>
      <c r="D203" s="7"/>
    </row>
    <row r="215" spans="1:10" x14ac:dyDescent="0.2">
      <c r="A215" s="7"/>
      <c r="B215" s="53"/>
      <c r="C215" s="7"/>
      <c r="D215" s="7"/>
      <c r="I215" s="51"/>
      <c r="J215" s="51"/>
    </row>
    <row r="216" spans="1:10" x14ac:dyDescent="0.2">
      <c r="A216" s="7"/>
      <c r="B216" s="44"/>
      <c r="C216" s="7"/>
      <c r="D216" s="7"/>
      <c r="I216" s="51"/>
      <c r="J216" s="51"/>
    </row>
    <row r="217" spans="1:10" x14ac:dyDescent="0.2">
      <c r="A217" s="7"/>
      <c r="B217" s="44"/>
      <c r="C217" s="7"/>
      <c r="D217" s="7"/>
      <c r="I217" s="51"/>
      <c r="J217" s="51"/>
    </row>
    <row r="218" spans="1:10" x14ac:dyDescent="0.2">
      <c r="A218" s="7"/>
      <c r="B218" s="44"/>
      <c r="C218" s="7"/>
      <c r="D218" s="7"/>
      <c r="I218" s="51"/>
      <c r="J218" s="51"/>
    </row>
    <row r="219" spans="1:10" x14ac:dyDescent="0.2">
      <c r="A219" s="7"/>
      <c r="B219" s="44"/>
      <c r="C219" s="7"/>
      <c r="D219" s="7"/>
      <c r="I219" s="51"/>
      <c r="J219" s="51"/>
    </row>
    <row r="220" spans="1:10" x14ac:dyDescent="0.2">
      <c r="A220" s="7"/>
      <c r="B220" s="44"/>
      <c r="C220" s="7"/>
      <c r="D220" s="7"/>
      <c r="I220" s="51"/>
      <c r="J220" s="51"/>
    </row>
    <row r="221" spans="1:10" x14ac:dyDescent="0.2">
      <c r="A221" s="7"/>
      <c r="B221" s="44"/>
      <c r="C221" s="7"/>
      <c r="D221" s="7"/>
      <c r="I221" s="51"/>
      <c r="J221" s="51"/>
    </row>
    <row r="222" spans="1:10" x14ac:dyDescent="0.2">
      <c r="A222" s="7"/>
      <c r="B222" s="44"/>
      <c r="C222" s="7"/>
      <c r="D222" s="7"/>
      <c r="I222" s="51"/>
      <c r="J222" s="51"/>
    </row>
    <row r="223" spans="1:10" x14ac:dyDescent="0.2">
      <c r="A223" s="7"/>
      <c r="B223" s="44"/>
      <c r="C223" s="7"/>
      <c r="D223" s="7"/>
      <c r="I223" s="51"/>
      <c r="J223" s="51"/>
    </row>
    <row r="224" spans="1:10" x14ac:dyDescent="0.2">
      <c r="A224" s="7"/>
      <c r="B224" s="44"/>
      <c r="C224" s="7"/>
      <c r="D224" s="7"/>
      <c r="I224" s="51"/>
      <c r="J224" s="51"/>
    </row>
    <row r="225" spans="1:10" x14ac:dyDescent="0.2">
      <c r="A225" s="7"/>
      <c r="B225" s="44"/>
      <c r="C225" s="7"/>
      <c r="D225" s="7"/>
      <c r="I225" s="51"/>
      <c r="J225" s="51"/>
    </row>
    <row r="226" spans="1:10" x14ac:dyDescent="0.2">
      <c r="A226" s="7"/>
      <c r="B226" s="44"/>
      <c r="C226" s="7"/>
      <c r="D226" s="7"/>
      <c r="I226" s="51"/>
      <c r="J226" s="51"/>
    </row>
    <row r="227" spans="1:10" x14ac:dyDescent="0.2">
      <c r="A227" s="7"/>
      <c r="B227" s="44"/>
      <c r="C227" s="7"/>
      <c r="D227" s="7"/>
      <c r="I227" s="51"/>
      <c r="J227" s="51"/>
    </row>
    <row r="228" spans="1:10" x14ac:dyDescent="0.2">
      <c r="A228" s="7"/>
      <c r="B228" s="44"/>
      <c r="C228" s="7"/>
      <c r="D228" s="7"/>
      <c r="I228" s="51"/>
      <c r="J228" s="51"/>
    </row>
    <row r="229" spans="1:10" x14ac:dyDescent="0.2">
      <c r="A229" s="7"/>
      <c r="B229" s="44"/>
      <c r="C229" s="7"/>
      <c r="D229" s="7"/>
      <c r="I229" s="51"/>
      <c r="J229" s="51"/>
    </row>
    <row r="230" spans="1:10" x14ac:dyDescent="0.2">
      <c r="A230" s="7"/>
      <c r="B230" s="44"/>
      <c r="C230" s="7"/>
      <c r="D230" s="7"/>
      <c r="I230" s="51"/>
      <c r="J230" s="51"/>
    </row>
    <row r="231" spans="1:10" x14ac:dyDescent="0.2">
      <c r="A231" s="7"/>
      <c r="B231" s="44"/>
      <c r="C231" s="7"/>
      <c r="D231" s="7"/>
      <c r="I231" s="51"/>
      <c r="J231" s="51"/>
    </row>
    <row r="232" spans="1:10" x14ac:dyDescent="0.2">
      <c r="A232" s="7"/>
      <c r="B232" s="44"/>
      <c r="C232" s="7"/>
      <c r="D232" s="7"/>
      <c r="I232" s="51"/>
      <c r="J232" s="51"/>
    </row>
    <row r="233" spans="1:10" x14ac:dyDescent="0.2">
      <c r="A233" s="7"/>
      <c r="B233" s="44"/>
      <c r="C233" s="7"/>
      <c r="D233" s="7"/>
      <c r="I233" s="51"/>
      <c r="J233" s="51"/>
    </row>
    <row r="234" spans="1:10" x14ac:dyDescent="0.2">
      <c r="A234" s="7"/>
      <c r="B234" s="44"/>
      <c r="C234" s="7"/>
      <c r="D234" s="7"/>
      <c r="I234" s="51"/>
      <c r="J234" s="51"/>
    </row>
    <row r="235" spans="1:10" x14ac:dyDescent="0.2">
      <c r="A235" s="7"/>
      <c r="B235" s="44"/>
      <c r="C235" s="7"/>
      <c r="D235" s="7"/>
      <c r="I235" s="51"/>
      <c r="J235" s="51"/>
    </row>
    <row r="236" spans="1:10" x14ac:dyDescent="0.2">
      <c r="A236" s="7"/>
      <c r="B236" s="44"/>
      <c r="C236" s="7"/>
      <c r="D236" s="7"/>
      <c r="I236" s="51"/>
      <c r="J236" s="51"/>
    </row>
    <row r="237" spans="1:10" x14ac:dyDescent="0.2">
      <c r="A237" s="7"/>
      <c r="B237" s="44"/>
      <c r="C237" s="7"/>
      <c r="D237" s="7"/>
      <c r="I237" s="51"/>
      <c r="J237" s="51"/>
    </row>
    <row r="238" spans="1:10" x14ac:dyDescent="0.2">
      <c r="A238" s="7"/>
      <c r="B238" s="44"/>
      <c r="C238" s="7"/>
      <c r="D238" s="7"/>
      <c r="I238" s="51"/>
      <c r="J238" s="51"/>
    </row>
    <row r="239" spans="1:10" x14ac:dyDescent="0.2">
      <c r="A239" s="7"/>
      <c r="B239" s="44"/>
      <c r="C239" s="7"/>
      <c r="D239" s="7"/>
      <c r="I239" s="51"/>
      <c r="J239" s="51"/>
    </row>
    <row r="240" spans="1:10" x14ac:dyDescent="0.2">
      <c r="A240" s="7"/>
      <c r="B240" s="44"/>
      <c r="C240" s="7"/>
      <c r="D240" s="7"/>
      <c r="I240" s="51"/>
      <c r="J240" s="51"/>
    </row>
    <row r="241" spans="1:10" x14ac:dyDescent="0.2">
      <c r="A241" s="7"/>
      <c r="B241" s="44"/>
      <c r="C241" s="7"/>
      <c r="D241" s="7"/>
      <c r="I241" s="51"/>
      <c r="J241" s="51"/>
    </row>
    <row r="242" spans="1:10" x14ac:dyDescent="0.2">
      <c r="A242" s="7"/>
      <c r="B242" s="44"/>
      <c r="C242" s="7"/>
      <c r="D242" s="7"/>
      <c r="I242" s="51"/>
      <c r="J242" s="51"/>
    </row>
    <row r="243" spans="1:10" x14ac:dyDescent="0.2">
      <c r="A243" s="7"/>
      <c r="B243" s="44"/>
      <c r="C243" s="7"/>
      <c r="D243" s="7"/>
      <c r="I243" s="51"/>
      <c r="J243" s="51"/>
    </row>
    <row r="244" spans="1:10" x14ac:dyDescent="0.2">
      <c r="A244" s="7"/>
      <c r="B244" s="44"/>
      <c r="C244" s="7"/>
      <c r="D244" s="7"/>
      <c r="I244" s="51"/>
      <c r="J244" s="51"/>
    </row>
    <row r="245" spans="1:10" x14ac:dyDescent="0.2">
      <c r="A245" s="7"/>
      <c r="B245" s="44"/>
      <c r="C245" s="7"/>
      <c r="D245" s="7"/>
      <c r="I245" s="51"/>
      <c r="J245" s="51"/>
    </row>
    <row r="246" spans="1:10" x14ac:dyDescent="0.2">
      <c r="A246" s="7"/>
      <c r="C246" s="7"/>
      <c r="D246" s="7"/>
      <c r="I246" s="51"/>
      <c r="J246" s="51"/>
    </row>
    <row r="247" spans="1:10" x14ac:dyDescent="0.2">
      <c r="A247" s="7"/>
      <c r="B247" s="53"/>
      <c r="C247" s="7"/>
      <c r="D247" s="7"/>
      <c r="I247" s="51"/>
      <c r="J247" s="51"/>
    </row>
    <row r="248" spans="1:10" x14ac:dyDescent="0.2">
      <c r="C248" s="7"/>
      <c r="D248" s="7"/>
    </row>
  </sheetData>
  <mergeCells count="6">
    <mergeCell ref="C5:G5"/>
    <mergeCell ref="I5:M5"/>
    <mergeCell ref="C6:D6"/>
    <mergeCell ref="E6:G6"/>
    <mergeCell ref="I6:J6"/>
    <mergeCell ref="K6:M6"/>
  </mergeCells>
  <conditionalFormatting sqref="C58">
    <cfRule type="expression" dxfId="39" priority="31">
      <formula>$U58="Dec"</formula>
    </cfRule>
    <cfRule type="expression" dxfId="38" priority="32">
      <formula>$U58="%"</formula>
    </cfRule>
    <cfRule type="expression" dxfId="37" priority="33">
      <formula>$P58=-1</formula>
    </cfRule>
    <cfRule type="expression" dxfId="36" priority="34">
      <formula>$O58&gt;=1</formula>
    </cfRule>
    <cfRule type="expression" dxfId="35" priority="35">
      <formula>$O58=0</formula>
    </cfRule>
  </conditionalFormatting>
  <conditionalFormatting sqref="E58">
    <cfRule type="expression" dxfId="29" priority="26">
      <formula>$U58="Dec"</formula>
    </cfRule>
    <cfRule type="expression" dxfId="28" priority="27">
      <formula>$U58="%"</formula>
    </cfRule>
    <cfRule type="expression" dxfId="27" priority="28">
      <formula>$P58=-1</formula>
    </cfRule>
    <cfRule type="expression" dxfId="26" priority="29">
      <formula>$O58&gt;=1</formula>
    </cfRule>
    <cfRule type="expression" dxfId="25" priority="30">
      <formula>$O58=0</formula>
    </cfRule>
  </conditionalFormatting>
  <conditionalFormatting sqref="G58">
    <cfRule type="expression" dxfId="24" priority="21">
      <formula>$U58="Dec"</formula>
    </cfRule>
    <cfRule type="expression" dxfId="23" priority="22">
      <formula>$U58="%"</formula>
    </cfRule>
    <cfRule type="expression" dxfId="22" priority="23">
      <formula>$P58=-1</formula>
    </cfRule>
    <cfRule type="expression" dxfId="21" priority="24">
      <formula>$O58&gt;=1</formula>
    </cfRule>
    <cfRule type="expression" dxfId="20" priority="25">
      <formula>$O58=0</formula>
    </cfRule>
  </conditionalFormatting>
  <conditionalFormatting sqref="I58">
    <cfRule type="expression" dxfId="19" priority="16">
      <formula>$U58="Dec"</formula>
    </cfRule>
    <cfRule type="expression" dxfId="18" priority="17">
      <formula>$U58="%"</formula>
    </cfRule>
    <cfRule type="expression" dxfId="17" priority="18">
      <formula>$P58=-1</formula>
    </cfRule>
    <cfRule type="expression" dxfId="16" priority="19">
      <formula>$O58&gt;=1</formula>
    </cfRule>
    <cfRule type="expression" dxfId="15" priority="20">
      <formula>$O58=0</formula>
    </cfRule>
  </conditionalFormatting>
  <conditionalFormatting sqref="K58">
    <cfRule type="expression" dxfId="14" priority="11">
      <formula>$U58="Dec"</formula>
    </cfRule>
    <cfRule type="expression" dxfId="13" priority="12">
      <formula>$U58="%"</formula>
    </cfRule>
    <cfRule type="expression" dxfId="12" priority="13">
      <formula>$P58=-1</formula>
    </cfRule>
    <cfRule type="expression" dxfId="11" priority="14">
      <formula>$O58&gt;=1</formula>
    </cfRule>
    <cfRule type="expression" dxfId="10" priority="15">
      <formula>$O58=0</formula>
    </cfRule>
  </conditionalFormatting>
  <conditionalFormatting sqref="M58">
    <cfRule type="expression" dxfId="9" priority="6">
      <formula>$U58="Dec"</formula>
    </cfRule>
    <cfRule type="expression" dxfId="8" priority="7">
      <formula>$U58="%"</formula>
    </cfRule>
    <cfRule type="expression" dxfId="7" priority="8">
      <formula>$P58=-1</formula>
    </cfRule>
    <cfRule type="expression" dxfId="6" priority="9">
      <formula>$O58&gt;=1</formula>
    </cfRule>
    <cfRule type="expression" dxfId="5" priority="10">
      <formula>$O58=0</formula>
    </cfRule>
  </conditionalFormatting>
  <pageMargins left="0.7" right="0.7" top="0.75" bottom="0.75" header="0.3" footer="0.3"/>
  <pageSetup scale="57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CC9B5-FFD2-40C7-8048-D853D784A09D}">
  <sheetPr codeName="Sheet76">
    <tabColor rgb="FFE77777"/>
    <pageSetUpPr fitToPage="1"/>
  </sheetPr>
  <dimension ref="A1:R248"/>
  <sheetViews>
    <sheetView showGridLines="0" view="pageBreakPreview" zoomScale="70" zoomScaleNormal="85" zoomScaleSheetLayoutView="70" workbookViewId="0">
      <selection activeCell="AC18" sqref="AB18:AC19"/>
    </sheetView>
  </sheetViews>
  <sheetFormatPr defaultColWidth="8.5703125" defaultRowHeight="12.75" x14ac:dyDescent="0.2"/>
  <cols>
    <col min="1" max="1" width="2.5703125" style="3" customWidth="1"/>
    <col min="2" max="2" width="38.5703125" style="3" customWidth="1"/>
    <col min="3" max="14" width="14.5703125" style="3" customWidth="1"/>
    <col min="15" max="15" width="15.42578125" style="3" customWidth="1"/>
    <col min="16" max="23" width="0" style="3" hidden="1" customWidth="1"/>
    <col min="24" max="24" width="8.5703125" style="3"/>
    <col min="25" max="25" width="9" style="3" bestFit="1" customWidth="1"/>
    <col min="26" max="16384" width="8.5703125" style="3"/>
  </cols>
  <sheetData>
    <row r="1" spans="1:18" ht="22.5" x14ac:dyDescent="0.3">
      <c r="A1" s="1" t="s">
        <v>44</v>
      </c>
      <c r="B1" s="1"/>
    </row>
    <row r="2" spans="1:18" ht="15" customHeight="1" x14ac:dyDescent="0.25">
      <c r="A2" s="68" t="s">
        <v>40</v>
      </c>
      <c r="B2" s="4"/>
    </row>
    <row r="3" spans="1:18" ht="15" x14ac:dyDescent="0.2">
      <c r="A3" s="5" t="s">
        <v>46</v>
      </c>
      <c r="B3" s="5"/>
    </row>
    <row r="4" spans="1:18" ht="15" customHeight="1" x14ac:dyDescent="0.25">
      <c r="A4" s="6"/>
      <c r="B4" s="2"/>
    </row>
    <row r="5" spans="1:18" ht="15" x14ac:dyDescent="0.25"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70"/>
      <c r="Q5" s="70"/>
      <c r="R5" s="70"/>
    </row>
    <row r="6" spans="1:18" ht="15" x14ac:dyDescent="0.25">
      <c r="C6" s="71">
        <v>45657</v>
      </c>
      <c r="D6" s="71">
        <v>45688</v>
      </c>
      <c r="E6" s="71">
        <v>45716</v>
      </c>
      <c r="F6" s="71">
        <v>45747</v>
      </c>
      <c r="G6" s="71">
        <v>45777</v>
      </c>
      <c r="H6" s="71">
        <v>45808</v>
      </c>
      <c r="I6" s="71">
        <v>45838</v>
      </c>
      <c r="J6" s="71">
        <v>45869</v>
      </c>
      <c r="K6" s="71">
        <v>45900</v>
      </c>
      <c r="L6" s="71">
        <v>45930</v>
      </c>
      <c r="M6" s="71">
        <v>45961</v>
      </c>
      <c r="N6" s="71">
        <v>45991</v>
      </c>
      <c r="O6" s="72" t="s">
        <v>41</v>
      </c>
    </row>
    <row r="7" spans="1:18" ht="15" x14ac:dyDescent="0.25">
      <c r="C7" s="73" t="s">
        <v>1</v>
      </c>
      <c r="D7" s="73" t="s">
        <v>1</v>
      </c>
      <c r="E7" s="73" t="s">
        <v>45</v>
      </c>
      <c r="F7" s="73" t="s">
        <v>45</v>
      </c>
      <c r="G7" s="73" t="s">
        <v>45</v>
      </c>
      <c r="H7" s="73" t="s">
        <v>45</v>
      </c>
      <c r="I7" s="73" t="s">
        <v>45</v>
      </c>
      <c r="J7" s="73" t="s">
        <v>45</v>
      </c>
      <c r="K7" s="73" t="s">
        <v>45</v>
      </c>
      <c r="L7" s="73" t="s">
        <v>45</v>
      </c>
      <c r="M7" s="73" t="s">
        <v>45</v>
      </c>
      <c r="N7" s="73" t="s">
        <v>45</v>
      </c>
      <c r="O7" s="72"/>
    </row>
    <row r="8" spans="1:18" ht="3" customHeight="1" x14ac:dyDescent="0.2"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4"/>
    </row>
    <row r="9" spans="1:18" s="20" customFormat="1" ht="15" x14ac:dyDescent="0.25">
      <c r="A9" s="75"/>
      <c r="B9" s="15" t="s">
        <v>6</v>
      </c>
      <c r="C9" s="16">
        <v>4092</v>
      </c>
      <c r="D9" s="16">
        <v>4092</v>
      </c>
      <c r="E9" s="16">
        <v>3696</v>
      </c>
      <c r="F9" s="16">
        <v>4092</v>
      </c>
      <c r="G9" s="16">
        <v>3960</v>
      </c>
      <c r="H9" s="16">
        <v>4092</v>
      </c>
      <c r="I9" s="16">
        <v>3960</v>
      </c>
      <c r="J9" s="16">
        <v>4092</v>
      </c>
      <c r="K9" s="16">
        <v>4092</v>
      </c>
      <c r="L9" s="16">
        <v>3960</v>
      </c>
      <c r="M9" s="16">
        <v>4092</v>
      </c>
      <c r="N9" s="16">
        <v>3960</v>
      </c>
      <c r="O9" s="76">
        <f>+SUM(C9:N9)</f>
        <v>48180</v>
      </c>
    </row>
    <row r="10" spans="1:18" s="20" customFormat="1" ht="15" x14ac:dyDescent="0.25">
      <c r="A10" s="75"/>
      <c r="B10" s="15" t="s">
        <v>7</v>
      </c>
      <c r="C10" s="16">
        <v>3594</v>
      </c>
      <c r="D10" s="16">
        <v>3709</v>
      </c>
      <c r="E10" s="16">
        <v>3278</v>
      </c>
      <c r="F10" s="16">
        <v>3650</v>
      </c>
      <c r="G10" s="16">
        <v>3537</v>
      </c>
      <c r="H10" s="16">
        <v>3489</v>
      </c>
      <c r="I10" s="16">
        <v>3021</v>
      </c>
      <c r="J10" s="16">
        <v>3084</v>
      </c>
      <c r="K10" s="16">
        <v>3058</v>
      </c>
      <c r="L10" s="16">
        <v>2648</v>
      </c>
      <c r="M10" s="16">
        <v>3286</v>
      </c>
      <c r="N10" s="16">
        <v>3319</v>
      </c>
      <c r="O10" s="76">
        <f>+SUM(C10:N10)</f>
        <v>39673</v>
      </c>
    </row>
    <row r="11" spans="1:18" s="20" customFormat="1" ht="15" x14ac:dyDescent="0.25">
      <c r="A11" s="75"/>
      <c r="B11" s="15" t="s">
        <v>8</v>
      </c>
      <c r="C11" s="21">
        <v>0.87829999999999997</v>
      </c>
      <c r="D11" s="21">
        <v>0.90639999999999998</v>
      </c>
      <c r="E11" s="21">
        <v>0.88690000000000002</v>
      </c>
      <c r="F11" s="21">
        <v>0.89200000000000002</v>
      </c>
      <c r="G11" s="21">
        <v>0.89319999999999999</v>
      </c>
      <c r="H11" s="21">
        <v>0.85260000000000002</v>
      </c>
      <c r="I11" s="21">
        <v>0.76290000000000002</v>
      </c>
      <c r="J11" s="21">
        <v>0.75370000000000004</v>
      </c>
      <c r="K11" s="21">
        <v>0.74729999999999996</v>
      </c>
      <c r="L11" s="21">
        <v>0.66869999999999996</v>
      </c>
      <c r="M11" s="21">
        <v>0.80300000000000005</v>
      </c>
      <c r="N11" s="21">
        <v>0.83809999999999996</v>
      </c>
      <c r="O11" s="77">
        <f>O10/O9</f>
        <v>0.82343295973432962</v>
      </c>
    </row>
    <row r="12" spans="1:18" s="20" customFormat="1" ht="15" x14ac:dyDescent="0.25">
      <c r="A12" s="75"/>
      <c r="B12" s="15" t="s">
        <v>9</v>
      </c>
      <c r="C12" s="22">
        <v>278.76679999999999</v>
      </c>
      <c r="D12" s="22">
        <v>280.59289999999999</v>
      </c>
      <c r="E12" s="22">
        <v>337.32530000000003</v>
      </c>
      <c r="F12" s="22">
        <v>302.71469999999999</v>
      </c>
      <c r="G12" s="22">
        <v>271.40100000000001</v>
      </c>
      <c r="H12" s="22">
        <v>230.54089999999999</v>
      </c>
      <c r="I12" s="22">
        <v>178.67679999999999</v>
      </c>
      <c r="J12" s="22">
        <v>181.58420000000001</v>
      </c>
      <c r="K12" s="22">
        <v>161.9357</v>
      </c>
      <c r="L12" s="22">
        <v>158.39160000000001</v>
      </c>
      <c r="M12" s="22">
        <v>196.85380000000001</v>
      </c>
      <c r="N12" s="22">
        <v>212.2182</v>
      </c>
      <c r="O12" s="78">
        <f>O17/O10</f>
        <v>236.51332367101051</v>
      </c>
    </row>
    <row r="13" spans="1:18" s="20" customFormat="1" ht="15" x14ac:dyDescent="0.25">
      <c r="A13" s="75"/>
      <c r="B13" s="15" t="s">
        <v>10</v>
      </c>
      <c r="C13" s="22">
        <v>244.84059999999999</v>
      </c>
      <c r="D13" s="22">
        <v>254.33009999999999</v>
      </c>
      <c r="E13" s="22">
        <v>299.17540000000002</v>
      </c>
      <c r="F13" s="22">
        <v>270.01679999999999</v>
      </c>
      <c r="G13" s="22">
        <v>242.41040000000001</v>
      </c>
      <c r="H13" s="22">
        <v>196.56819999999999</v>
      </c>
      <c r="I13" s="22">
        <v>136.30879999999999</v>
      </c>
      <c r="J13" s="22">
        <v>136.85380000000001</v>
      </c>
      <c r="K13" s="22">
        <v>121.01649999999999</v>
      </c>
      <c r="L13" s="22">
        <v>105.9144</v>
      </c>
      <c r="M13" s="22">
        <v>158.0796</v>
      </c>
      <c r="N13" s="22">
        <v>177.86670000000001</v>
      </c>
      <c r="O13" s="78">
        <f>O11*O12</f>
        <v>194.75286612702368</v>
      </c>
    </row>
    <row r="14" spans="1:18" s="20" customFormat="1" ht="15" x14ac:dyDescent="0.25">
      <c r="A14" s="75"/>
      <c r="B14" s="15" t="s">
        <v>11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76"/>
    </row>
    <row r="15" spans="1:18" s="20" customFormat="1" ht="15" x14ac:dyDescent="0.25">
      <c r="A15" s="75"/>
      <c r="B15" s="15" t="s">
        <v>11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76"/>
    </row>
    <row r="16" spans="1:18" s="31" customFormat="1" ht="15" x14ac:dyDescent="0.25">
      <c r="A16" s="79"/>
      <c r="B16" s="25" t="s">
        <v>12</v>
      </c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1"/>
    </row>
    <row r="17" spans="1:15" s="20" customFormat="1" ht="15" x14ac:dyDescent="0.25">
      <c r="A17" s="75"/>
      <c r="B17" s="15" t="s">
        <v>13</v>
      </c>
      <c r="C17" s="16">
        <v>1001887.74</v>
      </c>
      <c r="D17" s="16">
        <v>1040718.97</v>
      </c>
      <c r="E17" s="16">
        <v>1105752.28</v>
      </c>
      <c r="F17" s="16">
        <v>1104908.7</v>
      </c>
      <c r="G17" s="16">
        <v>959945.36</v>
      </c>
      <c r="H17" s="16">
        <v>804357.2</v>
      </c>
      <c r="I17" s="16">
        <v>539782.75</v>
      </c>
      <c r="J17" s="16">
        <v>560005.80000000005</v>
      </c>
      <c r="K17" s="16">
        <v>495199.43</v>
      </c>
      <c r="L17" s="16">
        <v>419420.96</v>
      </c>
      <c r="M17" s="16">
        <v>646861.68999999994</v>
      </c>
      <c r="N17" s="16">
        <v>704352.21</v>
      </c>
      <c r="O17" s="76">
        <f>+SUM(C17:N17)</f>
        <v>9383193.0899999999</v>
      </c>
    </row>
    <row r="18" spans="1:15" s="20" customFormat="1" ht="15" x14ac:dyDescent="0.25">
      <c r="A18" s="75"/>
      <c r="B18" s="15" t="s">
        <v>14</v>
      </c>
      <c r="C18" s="16">
        <v>305129.21999999997</v>
      </c>
      <c r="D18" s="16">
        <v>354251.28</v>
      </c>
      <c r="E18" s="16">
        <v>437273.69</v>
      </c>
      <c r="F18" s="16">
        <v>457691.3</v>
      </c>
      <c r="G18" s="16">
        <v>437605.85</v>
      </c>
      <c r="H18" s="16">
        <v>457135.97</v>
      </c>
      <c r="I18" s="16">
        <v>357626.33</v>
      </c>
      <c r="J18" s="16">
        <v>357735.32</v>
      </c>
      <c r="K18" s="16">
        <v>334890.34000000003</v>
      </c>
      <c r="L18" s="16">
        <v>381731.04</v>
      </c>
      <c r="M18" s="16">
        <v>382834.78</v>
      </c>
      <c r="N18" s="16">
        <v>461841.87</v>
      </c>
      <c r="O18" s="76">
        <f>+SUM(C18:N18)</f>
        <v>4725746.9899999993</v>
      </c>
    </row>
    <row r="19" spans="1:15" s="20" customFormat="1" ht="15" x14ac:dyDescent="0.25">
      <c r="A19" s="75"/>
      <c r="B19" s="15" t="s">
        <v>15</v>
      </c>
      <c r="C19" s="16">
        <v>2112.59</v>
      </c>
      <c r="D19" s="16">
        <v>2237.04</v>
      </c>
      <c r="E19" s="16">
        <v>1311.2</v>
      </c>
      <c r="F19" s="16">
        <v>1460</v>
      </c>
      <c r="G19" s="16">
        <v>1414.8</v>
      </c>
      <c r="H19" s="16">
        <v>1395.6</v>
      </c>
      <c r="I19" s="16">
        <v>1208.4000000000001</v>
      </c>
      <c r="J19" s="16">
        <v>1233.5999999999999</v>
      </c>
      <c r="K19" s="16">
        <v>1223.2</v>
      </c>
      <c r="L19" s="16">
        <v>1059.2</v>
      </c>
      <c r="M19" s="16">
        <v>1314.4</v>
      </c>
      <c r="N19" s="16">
        <v>1327.6</v>
      </c>
      <c r="O19" s="76">
        <f>+SUM(C19:N19)</f>
        <v>17297.63</v>
      </c>
    </row>
    <row r="20" spans="1:15" s="20" customFormat="1" ht="15" x14ac:dyDescent="0.25">
      <c r="A20" s="75"/>
      <c r="B20" s="15" t="s">
        <v>16</v>
      </c>
      <c r="C20" s="16">
        <v>125354.13</v>
      </c>
      <c r="D20" s="16">
        <v>107218.88</v>
      </c>
      <c r="E20" s="16">
        <v>110312.62</v>
      </c>
      <c r="F20" s="16">
        <v>108163.33</v>
      </c>
      <c r="G20" s="16">
        <v>117142.65</v>
      </c>
      <c r="H20" s="16">
        <v>116039</v>
      </c>
      <c r="I20" s="16">
        <v>99456</v>
      </c>
      <c r="J20" s="16">
        <v>99517</v>
      </c>
      <c r="K20" s="16">
        <v>97771</v>
      </c>
      <c r="L20" s="16">
        <v>87303</v>
      </c>
      <c r="M20" s="16">
        <v>105907</v>
      </c>
      <c r="N20" s="16">
        <v>106523</v>
      </c>
      <c r="O20" s="76">
        <f>+SUM(C20:N20)</f>
        <v>1280707.6099999999</v>
      </c>
    </row>
    <row r="21" spans="1:15" s="31" customFormat="1" ht="15" x14ac:dyDescent="0.25">
      <c r="A21" s="79"/>
      <c r="B21" s="25" t="s">
        <v>17</v>
      </c>
      <c r="C21" s="27">
        <v>1434483.6800000002</v>
      </c>
      <c r="D21" s="27">
        <v>1504426.17</v>
      </c>
      <c r="E21" s="27">
        <v>1654649.79</v>
      </c>
      <c r="F21" s="27">
        <v>1672223.33</v>
      </c>
      <c r="G21" s="27">
        <v>1516108.66</v>
      </c>
      <c r="H21" s="27">
        <v>1378927.77</v>
      </c>
      <c r="I21" s="27">
        <v>998073.4800000001</v>
      </c>
      <c r="J21" s="27">
        <v>1018491.7200000001</v>
      </c>
      <c r="K21" s="27">
        <v>929083.97</v>
      </c>
      <c r="L21" s="27">
        <v>889514.2</v>
      </c>
      <c r="M21" s="27">
        <v>1136917.8700000001</v>
      </c>
      <c r="N21" s="27">
        <v>1274044.6800000002</v>
      </c>
      <c r="O21" s="82">
        <f>+SUM(C21:N21)</f>
        <v>15406945.32</v>
      </c>
    </row>
    <row r="22" spans="1:15" s="20" customFormat="1" ht="15" x14ac:dyDescent="0.25">
      <c r="A22" s="75"/>
      <c r="B22" s="15" t="s">
        <v>11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76"/>
    </row>
    <row r="23" spans="1:15" s="31" customFormat="1" ht="15" x14ac:dyDescent="0.25">
      <c r="A23" s="79"/>
      <c r="B23" s="25" t="s">
        <v>18</v>
      </c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1"/>
    </row>
    <row r="24" spans="1:15" s="20" customFormat="1" ht="15" x14ac:dyDescent="0.25">
      <c r="A24" s="75"/>
      <c r="B24" s="15" t="s">
        <v>13</v>
      </c>
      <c r="C24" s="16">
        <v>255145.18</v>
      </c>
      <c r="D24" s="16">
        <v>279344.62</v>
      </c>
      <c r="E24" s="16">
        <v>233382.09</v>
      </c>
      <c r="F24" s="16">
        <v>241656.32000000001</v>
      </c>
      <c r="G24" s="16">
        <v>230378.04</v>
      </c>
      <c r="H24" s="16">
        <v>234321.86</v>
      </c>
      <c r="I24" s="16">
        <v>200372.06</v>
      </c>
      <c r="J24" s="16">
        <v>212648.71</v>
      </c>
      <c r="K24" s="16">
        <v>201482.98</v>
      </c>
      <c r="L24" s="16">
        <v>184127.33</v>
      </c>
      <c r="M24" s="16">
        <v>221034.56</v>
      </c>
      <c r="N24" s="16">
        <v>228171.36</v>
      </c>
      <c r="O24" s="76">
        <f>+SUM(C24:N24)</f>
        <v>2722065.11</v>
      </c>
    </row>
    <row r="25" spans="1:15" s="20" customFormat="1" ht="15" x14ac:dyDescent="0.25">
      <c r="A25" s="75"/>
      <c r="B25" s="15" t="s">
        <v>14</v>
      </c>
      <c r="C25" s="16">
        <v>231097.5</v>
      </c>
      <c r="D25" s="16">
        <v>248459.71</v>
      </c>
      <c r="E25" s="16">
        <v>298448.97395301738</v>
      </c>
      <c r="F25" s="16">
        <v>312645.84690982179</v>
      </c>
      <c r="G25" s="16">
        <v>298555.95395301742</v>
      </c>
      <c r="H25" s="16">
        <v>312158.00690982176</v>
      </c>
      <c r="I25" s="16">
        <v>243570.9158069634</v>
      </c>
      <c r="J25" s="16">
        <v>243606.01580696341</v>
      </c>
      <c r="K25" s="16">
        <v>227828.46603852199</v>
      </c>
      <c r="L25" s="16">
        <v>260783.32200296893</v>
      </c>
      <c r="M25" s="16">
        <v>260829.77200296894</v>
      </c>
      <c r="N25" s="16">
        <v>314038.52492921689</v>
      </c>
      <c r="O25" s="76">
        <f>+SUM(C25:N25)</f>
        <v>3252023.0083132819</v>
      </c>
    </row>
    <row r="26" spans="1:15" s="20" customFormat="1" ht="15" x14ac:dyDescent="0.25">
      <c r="A26" s="75"/>
      <c r="B26" s="15" t="s">
        <v>15</v>
      </c>
      <c r="C26" s="16">
        <v>180.6</v>
      </c>
      <c r="D26" s="16">
        <v>1154.5999999999999</v>
      </c>
      <c r="E26" s="16">
        <v>576.08000000000004</v>
      </c>
      <c r="F26" s="16">
        <v>641.45000000000005</v>
      </c>
      <c r="G26" s="16">
        <v>621.59</v>
      </c>
      <c r="H26" s="16">
        <v>613.16</v>
      </c>
      <c r="I26" s="16">
        <v>530.91</v>
      </c>
      <c r="J26" s="16">
        <v>541.98</v>
      </c>
      <c r="K26" s="16">
        <v>537.41</v>
      </c>
      <c r="L26" s="16">
        <v>465.36</v>
      </c>
      <c r="M26" s="16">
        <v>577.48</v>
      </c>
      <c r="N26" s="16">
        <v>583.28</v>
      </c>
      <c r="O26" s="76">
        <f>+SUM(C26:N26)</f>
        <v>7023.8999999999987</v>
      </c>
    </row>
    <row r="27" spans="1:15" s="31" customFormat="1" ht="15" x14ac:dyDescent="0.25">
      <c r="A27" s="79"/>
      <c r="B27" s="25" t="s">
        <v>19</v>
      </c>
      <c r="C27" s="27">
        <v>486423.27999999997</v>
      </c>
      <c r="D27" s="27">
        <v>528958.92999999993</v>
      </c>
      <c r="E27" s="27">
        <v>532407.14395301731</v>
      </c>
      <c r="F27" s="27">
        <v>554943.61690982175</v>
      </c>
      <c r="G27" s="27">
        <v>529555.58395301737</v>
      </c>
      <c r="H27" s="27">
        <v>547093.02690982178</v>
      </c>
      <c r="I27" s="27">
        <v>444473.88580696337</v>
      </c>
      <c r="J27" s="27">
        <v>456796.70580696338</v>
      </c>
      <c r="K27" s="27">
        <v>429848.85603852198</v>
      </c>
      <c r="L27" s="27">
        <v>445376.01200296893</v>
      </c>
      <c r="M27" s="27">
        <v>482441.81200296892</v>
      </c>
      <c r="N27" s="27">
        <v>542793.16492921696</v>
      </c>
      <c r="O27" s="82">
        <f>+SUM(C27:N27)</f>
        <v>5981112.0183132822</v>
      </c>
    </row>
    <row r="28" spans="1:15" s="20" customFormat="1" ht="15" x14ac:dyDescent="0.25">
      <c r="A28" s="75"/>
      <c r="B28" s="15" t="s">
        <v>11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76"/>
    </row>
    <row r="29" spans="1:15" s="31" customFormat="1" ht="15" x14ac:dyDescent="0.25">
      <c r="A29" s="79"/>
      <c r="B29" s="25" t="s">
        <v>20</v>
      </c>
      <c r="C29" s="80">
        <v>948060.40000000014</v>
      </c>
      <c r="D29" s="80">
        <v>975467.24</v>
      </c>
      <c r="E29" s="80">
        <v>1122242.6460469826</v>
      </c>
      <c r="F29" s="80">
        <v>1117279.7130901783</v>
      </c>
      <c r="G29" s="80">
        <v>986553.07604698255</v>
      </c>
      <c r="H29" s="80">
        <v>831834.74309017824</v>
      </c>
      <c r="I29" s="80">
        <v>553599.59419303667</v>
      </c>
      <c r="J29" s="80">
        <v>561695.01419303671</v>
      </c>
      <c r="K29" s="80">
        <v>499235.113961478</v>
      </c>
      <c r="L29" s="80">
        <v>444138.18799703103</v>
      </c>
      <c r="M29" s="80">
        <v>654476.05799703114</v>
      </c>
      <c r="N29" s="80">
        <v>731251.51507078321</v>
      </c>
      <c r="O29" s="81">
        <f>+SUM(C29:N29)</f>
        <v>9425833.3016867172</v>
      </c>
    </row>
    <row r="30" spans="1:15" s="20" customFormat="1" ht="15" x14ac:dyDescent="0.25">
      <c r="A30" s="75"/>
      <c r="B30" s="15" t="s">
        <v>11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76"/>
    </row>
    <row r="31" spans="1:15" s="31" customFormat="1" ht="15" x14ac:dyDescent="0.25">
      <c r="A31" s="79"/>
      <c r="B31" s="25" t="s">
        <v>21</v>
      </c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1"/>
    </row>
    <row r="32" spans="1:15" s="20" customFormat="1" ht="15" x14ac:dyDescent="0.25">
      <c r="A32" s="75"/>
      <c r="B32" s="15" t="s">
        <v>22</v>
      </c>
      <c r="C32" s="16">
        <v>130844.77</v>
      </c>
      <c r="D32" s="16">
        <v>124940.54</v>
      </c>
      <c r="E32" s="16">
        <v>130405.32675579315</v>
      </c>
      <c r="F32" s="16">
        <v>132812.85688972476</v>
      </c>
      <c r="G32" s="16">
        <v>137581.01675579316</v>
      </c>
      <c r="H32" s="16">
        <v>127202.87688972476</v>
      </c>
      <c r="I32" s="16">
        <v>108720.93107058082</v>
      </c>
      <c r="J32" s="16">
        <v>108618.12107058082</v>
      </c>
      <c r="K32" s="16">
        <v>107962.69243150805</v>
      </c>
      <c r="L32" s="16">
        <v>111980.82123799535</v>
      </c>
      <c r="M32" s="16">
        <v>114892.34123799534</v>
      </c>
      <c r="N32" s="16">
        <v>120862.20106496003</v>
      </c>
      <c r="O32" s="76">
        <f t="shared" ref="O32:O37" si="0">+SUM(C32:N32)</f>
        <v>1456824.495404656</v>
      </c>
    </row>
    <row r="33" spans="1:15" s="20" customFormat="1" ht="15" x14ac:dyDescent="0.25">
      <c r="A33" s="75"/>
      <c r="B33" s="15" t="s">
        <v>23</v>
      </c>
      <c r="C33" s="16">
        <v>19091.71</v>
      </c>
      <c r="D33" s="16">
        <v>21170.28</v>
      </c>
      <c r="E33" s="16">
        <v>24663.08</v>
      </c>
      <c r="F33" s="16">
        <v>17154.62</v>
      </c>
      <c r="G33" s="16">
        <v>15663.89</v>
      </c>
      <c r="H33" s="16">
        <v>12568.85</v>
      </c>
      <c r="I33" s="16">
        <v>13552.49</v>
      </c>
      <c r="J33" s="16">
        <v>13068.16</v>
      </c>
      <c r="K33" s="16">
        <v>13527.37</v>
      </c>
      <c r="L33" s="16">
        <v>9869.2900000000009</v>
      </c>
      <c r="M33" s="16">
        <v>11476.85</v>
      </c>
      <c r="N33" s="16">
        <v>11854.86</v>
      </c>
      <c r="O33" s="76">
        <f t="shared" si="0"/>
        <v>183661.45</v>
      </c>
    </row>
    <row r="34" spans="1:15" s="20" customFormat="1" ht="15" x14ac:dyDescent="0.25">
      <c r="A34" s="75"/>
      <c r="B34" s="15" t="s">
        <v>24</v>
      </c>
      <c r="C34" s="16">
        <v>83929.4</v>
      </c>
      <c r="D34" s="16">
        <v>103819.96</v>
      </c>
      <c r="E34" s="16">
        <v>112086.43</v>
      </c>
      <c r="F34" s="16">
        <v>113659.03</v>
      </c>
      <c r="G34" s="16">
        <v>104907.94</v>
      </c>
      <c r="H34" s="16">
        <v>118230.77</v>
      </c>
      <c r="I34" s="16">
        <v>97604.69</v>
      </c>
      <c r="J34" s="16">
        <v>110292.24</v>
      </c>
      <c r="K34" s="16">
        <v>92052.04</v>
      </c>
      <c r="L34" s="16">
        <v>88947.67</v>
      </c>
      <c r="M34" s="16">
        <v>97280.78</v>
      </c>
      <c r="N34" s="16">
        <v>103708.79</v>
      </c>
      <c r="O34" s="76">
        <f t="shared" si="0"/>
        <v>1226519.74</v>
      </c>
    </row>
    <row r="35" spans="1:15" s="20" customFormat="1" ht="15" x14ac:dyDescent="0.25">
      <c r="A35" s="75"/>
      <c r="B35" s="15" t="s">
        <v>42</v>
      </c>
      <c r="C35" s="16">
        <v>51815.5</v>
      </c>
      <c r="D35" s="16">
        <v>63453.34</v>
      </c>
      <c r="E35" s="16">
        <v>63182.399928539686</v>
      </c>
      <c r="F35" s="16">
        <v>69425.82020812486</v>
      </c>
      <c r="G35" s="16">
        <v>65333.869928539687</v>
      </c>
      <c r="H35" s="16">
        <v>69431.660208124857</v>
      </c>
      <c r="I35" s="16">
        <v>65336.383662919972</v>
      </c>
      <c r="J35" s="16">
        <v>64804.303662919971</v>
      </c>
      <c r="K35" s="16">
        <v>62848.594856124924</v>
      </c>
      <c r="L35" s="16">
        <v>64209.379012401441</v>
      </c>
      <c r="M35" s="16">
        <v>67261.259012401439</v>
      </c>
      <c r="N35" s="16">
        <v>71792.434420141304</v>
      </c>
      <c r="O35" s="76">
        <f t="shared" si="0"/>
        <v>778894.94490023807</v>
      </c>
    </row>
    <row r="36" spans="1:15" s="20" customFormat="1" ht="15" x14ac:dyDescent="0.25">
      <c r="A36" s="75"/>
      <c r="B36" s="15" t="s">
        <v>26</v>
      </c>
      <c r="C36" s="16">
        <v>16277.43</v>
      </c>
      <c r="D36" s="16">
        <v>25067.23</v>
      </c>
      <c r="E36" s="16">
        <v>22260.92</v>
      </c>
      <c r="F36" s="16">
        <v>22445.23</v>
      </c>
      <c r="G36" s="16">
        <v>23162.39</v>
      </c>
      <c r="H36" s="16">
        <v>22614.45</v>
      </c>
      <c r="I36" s="16">
        <v>27661.439999999999</v>
      </c>
      <c r="J36" s="16">
        <v>24318.45</v>
      </c>
      <c r="K36" s="16">
        <v>22511.59</v>
      </c>
      <c r="L36" s="16">
        <v>21559.85</v>
      </c>
      <c r="M36" s="16">
        <v>21433.759999999998</v>
      </c>
      <c r="N36" s="16">
        <v>17814.629999999997</v>
      </c>
      <c r="O36" s="76">
        <f t="shared" si="0"/>
        <v>267127.37</v>
      </c>
    </row>
    <row r="37" spans="1:15" s="31" customFormat="1" ht="15" x14ac:dyDescent="0.25">
      <c r="A37" s="79"/>
      <c r="B37" s="25" t="s">
        <v>27</v>
      </c>
      <c r="C37" s="27">
        <v>301958.81</v>
      </c>
      <c r="D37" s="27">
        <v>338451.35</v>
      </c>
      <c r="E37" s="27">
        <v>352598.15668433282</v>
      </c>
      <c r="F37" s="27">
        <v>355497.55709784961</v>
      </c>
      <c r="G37" s="27">
        <v>346649.10668433283</v>
      </c>
      <c r="H37" s="27">
        <v>350048.6070978496</v>
      </c>
      <c r="I37" s="27">
        <v>312875.93473350082</v>
      </c>
      <c r="J37" s="27">
        <v>321101.27473350079</v>
      </c>
      <c r="K37" s="27">
        <v>298902.28728763299</v>
      </c>
      <c r="L37" s="27">
        <v>296567.01025039679</v>
      </c>
      <c r="M37" s="27">
        <v>312344.99025039678</v>
      </c>
      <c r="N37" s="27">
        <v>326032.91548510129</v>
      </c>
      <c r="O37" s="82">
        <f t="shared" si="0"/>
        <v>3913028.0003048941</v>
      </c>
    </row>
    <row r="38" spans="1:15" s="20" customFormat="1" ht="15" x14ac:dyDescent="0.25">
      <c r="A38" s="75"/>
      <c r="B38" s="15" t="s">
        <v>11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76"/>
    </row>
    <row r="39" spans="1:15" s="31" customFormat="1" ht="15" x14ac:dyDescent="0.25">
      <c r="A39" s="79"/>
      <c r="B39" s="25" t="s">
        <v>28</v>
      </c>
      <c r="C39" s="80">
        <v>646101.59000000008</v>
      </c>
      <c r="D39" s="80">
        <v>637015.89</v>
      </c>
      <c r="E39" s="80">
        <v>769644.48936264985</v>
      </c>
      <c r="F39" s="80">
        <v>761782.15599232865</v>
      </c>
      <c r="G39" s="80">
        <v>639903.96936264972</v>
      </c>
      <c r="H39" s="80">
        <v>481786.13599232864</v>
      </c>
      <c r="I39" s="80">
        <v>240723.65945953585</v>
      </c>
      <c r="J39" s="80">
        <v>240593.73945953592</v>
      </c>
      <c r="K39" s="80">
        <v>200332.826673845</v>
      </c>
      <c r="L39" s="80">
        <v>147571.17774663423</v>
      </c>
      <c r="M39" s="80">
        <v>342131.06774663436</v>
      </c>
      <c r="N39" s="80">
        <v>405218.59958568192</v>
      </c>
      <c r="O39" s="81">
        <f>+SUM(C39:N39)</f>
        <v>5512805.3013818236</v>
      </c>
    </row>
    <row r="40" spans="1:15" s="20" customFormat="1" ht="15" x14ac:dyDescent="0.25">
      <c r="A40" s="75"/>
      <c r="B40" s="15" t="s">
        <v>11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76"/>
    </row>
    <row r="41" spans="1:15" s="20" customFormat="1" ht="15" x14ac:dyDescent="0.25">
      <c r="A41" s="75"/>
      <c r="B41" s="15" t="s">
        <v>29</v>
      </c>
      <c r="C41" s="16">
        <v>64343.02</v>
      </c>
      <c r="D41" s="16">
        <v>59537.97</v>
      </c>
      <c r="E41" s="16">
        <v>75195.66</v>
      </c>
      <c r="F41" s="16">
        <v>76443.34</v>
      </c>
      <c r="G41" s="16">
        <v>70694.709999999992</v>
      </c>
      <c r="H41" s="16">
        <v>66914.51999999999</v>
      </c>
      <c r="I41" s="16">
        <v>51147.71</v>
      </c>
      <c r="J41" s="16">
        <v>51811.07</v>
      </c>
      <c r="K41" s="16">
        <v>48127.08</v>
      </c>
      <c r="L41" s="16">
        <v>48466.68</v>
      </c>
      <c r="M41" s="16">
        <v>56504.479999999996</v>
      </c>
      <c r="N41" s="16">
        <v>63744.57</v>
      </c>
      <c r="O41" s="76">
        <f>+SUM(C41:N41)</f>
        <v>732930.80999999994</v>
      </c>
    </row>
    <row r="42" spans="1:15" s="31" customFormat="1" ht="15" x14ac:dyDescent="0.25">
      <c r="A42" s="79"/>
      <c r="B42" s="25" t="s">
        <v>30</v>
      </c>
      <c r="C42" s="27">
        <v>581758.57000000007</v>
      </c>
      <c r="D42" s="27">
        <v>577477.92000000004</v>
      </c>
      <c r="E42" s="27">
        <v>694448.82936264982</v>
      </c>
      <c r="F42" s="27">
        <v>685338.81599232869</v>
      </c>
      <c r="G42" s="27">
        <v>569209.25936264975</v>
      </c>
      <c r="H42" s="27">
        <v>414871.61599232862</v>
      </c>
      <c r="I42" s="27">
        <v>189575.94945953586</v>
      </c>
      <c r="J42" s="27">
        <v>188782.66945953591</v>
      </c>
      <c r="K42" s="27">
        <v>152205.74667384499</v>
      </c>
      <c r="L42" s="27">
        <v>99104.497746634239</v>
      </c>
      <c r="M42" s="27">
        <v>285626.58774663438</v>
      </c>
      <c r="N42" s="27">
        <v>341474.02958568191</v>
      </c>
      <c r="O42" s="82">
        <f>+SUM(C42:N42)</f>
        <v>4779874.491381824</v>
      </c>
    </row>
    <row r="43" spans="1:15" s="20" customFormat="1" ht="15" x14ac:dyDescent="0.25">
      <c r="A43" s="75"/>
      <c r="B43" s="15" t="s">
        <v>11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76"/>
    </row>
    <row r="44" spans="1:15" s="20" customFormat="1" ht="15" x14ac:dyDescent="0.25">
      <c r="A44" s="75"/>
      <c r="B44" s="15" t="s">
        <v>43</v>
      </c>
      <c r="C44" s="16">
        <v>0</v>
      </c>
      <c r="D44" s="16">
        <v>-5053.16</v>
      </c>
      <c r="E44" s="16">
        <v>-2031</v>
      </c>
      <c r="F44" s="16">
        <v>-2031</v>
      </c>
      <c r="G44" s="16">
        <v>-2031</v>
      </c>
      <c r="H44" s="16">
        <v>-2031</v>
      </c>
      <c r="I44" s="16">
        <v>-2031</v>
      </c>
      <c r="J44" s="16">
        <v>-2031</v>
      </c>
      <c r="K44" s="16">
        <v>-2031</v>
      </c>
      <c r="L44" s="16">
        <v>-2031</v>
      </c>
      <c r="M44" s="16">
        <v>-2031</v>
      </c>
      <c r="N44" s="16">
        <v>-2031</v>
      </c>
      <c r="O44" s="76">
        <f t="shared" ref="O44:O49" si="1">+SUM(C44:N44)</f>
        <v>-25363.16</v>
      </c>
    </row>
    <row r="45" spans="1:15" s="20" customFormat="1" ht="15" x14ac:dyDescent="0.25">
      <c r="A45" s="75"/>
      <c r="B45" s="15" t="s">
        <v>32</v>
      </c>
      <c r="C45" s="16">
        <v>-2950.36</v>
      </c>
      <c r="D45" s="16">
        <v>2257.12</v>
      </c>
      <c r="E45" s="16">
        <v>1100.5</v>
      </c>
      <c r="F45" s="16">
        <v>1100.5</v>
      </c>
      <c r="G45" s="16">
        <v>1100.5</v>
      </c>
      <c r="H45" s="16">
        <v>1100.5</v>
      </c>
      <c r="I45" s="16">
        <v>1100.5</v>
      </c>
      <c r="J45" s="16">
        <v>1100.5</v>
      </c>
      <c r="K45" s="16">
        <v>1100.5</v>
      </c>
      <c r="L45" s="16">
        <v>1100.5</v>
      </c>
      <c r="M45" s="16">
        <v>1100.5</v>
      </c>
      <c r="N45" s="16">
        <v>1100.5</v>
      </c>
      <c r="O45" s="76">
        <f t="shared" si="1"/>
        <v>10311.76</v>
      </c>
    </row>
    <row r="46" spans="1:15" s="20" customFormat="1" ht="15" x14ac:dyDescent="0.25">
      <c r="A46" s="75"/>
      <c r="B46" s="15" t="s">
        <v>33</v>
      </c>
      <c r="C46" s="16">
        <v>2281.7199999999998</v>
      </c>
      <c r="D46" s="16">
        <v>48368</v>
      </c>
      <c r="E46" s="16">
        <v>48368</v>
      </c>
      <c r="F46" s="16">
        <v>48368</v>
      </c>
      <c r="G46" s="16">
        <v>64957</v>
      </c>
      <c r="H46" s="16">
        <v>48368</v>
      </c>
      <c r="I46" s="16">
        <v>48368</v>
      </c>
      <c r="J46" s="16">
        <v>48368</v>
      </c>
      <c r="K46" s="16">
        <v>48368</v>
      </c>
      <c r="L46" s="16">
        <v>48368</v>
      </c>
      <c r="M46" s="16">
        <v>48368</v>
      </c>
      <c r="N46" s="16">
        <v>48619</v>
      </c>
      <c r="O46" s="76">
        <f t="shared" si="1"/>
        <v>551169.72</v>
      </c>
    </row>
    <row r="47" spans="1:15" s="20" customFormat="1" ht="15" x14ac:dyDescent="0.25">
      <c r="A47" s="75"/>
      <c r="B47" s="15" t="s">
        <v>34</v>
      </c>
      <c r="C47" s="16">
        <v>130965.02</v>
      </c>
      <c r="D47" s="16">
        <v>115247.19</v>
      </c>
      <c r="E47" s="16">
        <v>120639.82</v>
      </c>
      <c r="F47" s="16">
        <v>120738.82</v>
      </c>
      <c r="G47" s="16">
        <v>120639.82</v>
      </c>
      <c r="H47" s="16">
        <v>125932.82</v>
      </c>
      <c r="I47" s="16">
        <v>125797.32</v>
      </c>
      <c r="J47" s="16">
        <v>125797.32</v>
      </c>
      <c r="K47" s="16">
        <v>125725.32</v>
      </c>
      <c r="L47" s="16">
        <v>126005.07</v>
      </c>
      <c r="M47" s="16">
        <v>126005.07</v>
      </c>
      <c r="N47" s="16">
        <v>126399.82</v>
      </c>
      <c r="O47" s="76">
        <f t="shared" si="1"/>
        <v>1489893.4100000004</v>
      </c>
    </row>
    <row r="48" spans="1:15" s="20" customFormat="1" ht="15" x14ac:dyDescent="0.25">
      <c r="A48" s="75"/>
      <c r="B48" s="15" t="s">
        <v>35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76">
        <f t="shared" si="1"/>
        <v>0</v>
      </c>
    </row>
    <row r="49" spans="1:15" s="31" customFormat="1" ht="15" x14ac:dyDescent="0.25">
      <c r="A49" s="79"/>
      <c r="B49" s="25" t="s">
        <v>36</v>
      </c>
      <c r="C49" s="27">
        <v>130296.38</v>
      </c>
      <c r="D49" s="27">
        <v>160819.15</v>
      </c>
      <c r="E49" s="27">
        <v>168077.32</v>
      </c>
      <c r="F49" s="27">
        <v>168176.32</v>
      </c>
      <c r="G49" s="27">
        <v>184666.32</v>
      </c>
      <c r="H49" s="27">
        <v>173370.32</v>
      </c>
      <c r="I49" s="27">
        <v>173234.82</v>
      </c>
      <c r="J49" s="27">
        <v>173234.82</v>
      </c>
      <c r="K49" s="27">
        <v>173162.82</v>
      </c>
      <c r="L49" s="27">
        <v>173442.57</v>
      </c>
      <c r="M49" s="27">
        <v>173442.57</v>
      </c>
      <c r="N49" s="27">
        <v>174088.32000000001</v>
      </c>
      <c r="O49" s="82">
        <f t="shared" si="1"/>
        <v>2026011.7300000004</v>
      </c>
    </row>
    <row r="50" spans="1:15" s="20" customFormat="1" ht="15" x14ac:dyDescent="0.25">
      <c r="A50" s="75"/>
      <c r="B50" s="15" t="s">
        <v>11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76"/>
    </row>
    <row r="51" spans="1:15" s="31" customFormat="1" ht="15" x14ac:dyDescent="0.25">
      <c r="A51" s="79"/>
      <c r="B51" s="25" t="s">
        <v>37</v>
      </c>
      <c r="C51" s="80">
        <v>451462.19000000006</v>
      </c>
      <c r="D51" s="80">
        <v>416658.77</v>
      </c>
      <c r="E51" s="80">
        <v>526371.50936264987</v>
      </c>
      <c r="F51" s="80">
        <v>517162.49599232868</v>
      </c>
      <c r="G51" s="80">
        <v>384542.93936264975</v>
      </c>
      <c r="H51" s="80">
        <v>241501.29599232861</v>
      </c>
      <c r="I51" s="80">
        <v>16341.129459535849</v>
      </c>
      <c r="J51" s="80">
        <v>15547.849459535908</v>
      </c>
      <c r="K51" s="80">
        <v>-20957.073326155019</v>
      </c>
      <c r="L51" s="80">
        <v>-74338.072253365768</v>
      </c>
      <c r="M51" s="80">
        <v>112184.01774663437</v>
      </c>
      <c r="N51" s="80">
        <v>167385.70958568191</v>
      </c>
      <c r="O51" s="81">
        <f>+SUM(C51:N51)</f>
        <v>2753862.7613818245</v>
      </c>
    </row>
    <row r="52" spans="1:15" s="20" customFormat="1" ht="15" x14ac:dyDescent="0.25">
      <c r="A52" s="75"/>
      <c r="B52" s="15" t="s">
        <v>11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76"/>
    </row>
    <row r="53" spans="1:15" s="20" customFormat="1" ht="15" x14ac:dyDescent="0.25">
      <c r="A53" s="75"/>
      <c r="B53" s="15" t="s">
        <v>38</v>
      </c>
      <c r="C53" s="16">
        <v>57379.347200000011</v>
      </c>
      <c r="D53" s="16">
        <v>60177.046799999996</v>
      </c>
      <c r="E53" s="16">
        <v>66185.991600000008</v>
      </c>
      <c r="F53" s="16">
        <v>66888.933199999999</v>
      </c>
      <c r="G53" s="16">
        <v>60644.346399999995</v>
      </c>
      <c r="H53" s="16">
        <v>55157.110800000002</v>
      </c>
      <c r="I53" s="16">
        <v>39922.939200000008</v>
      </c>
      <c r="J53" s="16">
        <v>40739.668800000007</v>
      </c>
      <c r="K53" s="16">
        <v>37163.358800000002</v>
      </c>
      <c r="L53" s="16">
        <v>35580.567999999999</v>
      </c>
      <c r="M53" s="16">
        <v>45476.714800000009</v>
      </c>
      <c r="N53" s="16">
        <v>50961.787200000006</v>
      </c>
      <c r="O53" s="76">
        <f>+SUM(C53:N53)</f>
        <v>616277.81279999996</v>
      </c>
    </row>
    <row r="54" spans="1:15" s="31" customFormat="1" ht="15.75" thickBot="1" x14ac:dyDescent="0.3">
      <c r="A54" s="79"/>
      <c r="B54" s="83" t="s">
        <v>39</v>
      </c>
      <c r="C54" s="32">
        <v>394082.84280000004</v>
      </c>
      <c r="D54" s="32">
        <v>356481.72320000001</v>
      </c>
      <c r="E54" s="32">
        <v>460185.51776264986</v>
      </c>
      <c r="F54" s="32">
        <v>450273.56279232865</v>
      </c>
      <c r="G54" s="32">
        <v>323898.59296264977</v>
      </c>
      <c r="H54" s="32">
        <v>186344.18519232862</v>
      </c>
      <c r="I54" s="32">
        <v>-23581.809740464159</v>
      </c>
      <c r="J54" s="32">
        <v>-25191.819340464099</v>
      </c>
      <c r="K54" s="32">
        <v>-58120.432126155021</v>
      </c>
      <c r="L54" s="32">
        <v>-109918.64025336577</v>
      </c>
      <c r="M54" s="32">
        <v>66707.302946634358</v>
      </c>
      <c r="N54" s="32">
        <v>116423.9223856819</v>
      </c>
      <c r="O54" s="84">
        <f>+SUM(C54:N54)</f>
        <v>2137584.9485818236</v>
      </c>
    </row>
    <row r="55" spans="1:15" s="20" customFormat="1" ht="15.75" thickTop="1" x14ac:dyDescent="0.25">
      <c r="A55" s="75"/>
      <c r="B55" s="1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8"/>
    </row>
    <row r="56" spans="1:15" s="20" customFormat="1" ht="15" x14ac:dyDescent="0.25">
      <c r="A56" s="75"/>
      <c r="B56" s="15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8"/>
    </row>
    <row r="57" spans="1:15" x14ac:dyDescent="0.2">
      <c r="A57" s="7"/>
      <c r="B57" s="7"/>
    </row>
    <row r="58" spans="1:15" s="67" customFormat="1" x14ac:dyDescent="0.2">
      <c r="A58" s="85"/>
      <c r="B58" s="86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</row>
    <row r="59" spans="1:15" x14ac:dyDescent="0.2">
      <c r="A59" s="7"/>
      <c r="B59" s="7"/>
    </row>
    <row r="60" spans="1:15" x14ac:dyDescent="0.2">
      <c r="B60" s="41"/>
    </row>
    <row r="67" spans="1:2" x14ac:dyDescent="0.2">
      <c r="B67" s="41"/>
    </row>
    <row r="69" spans="1:2" x14ac:dyDescent="0.2">
      <c r="B69" s="41"/>
    </row>
    <row r="70" spans="1:2" x14ac:dyDescent="0.2">
      <c r="B70" s="41"/>
    </row>
    <row r="72" spans="1:2" ht="15.75" x14ac:dyDescent="0.25">
      <c r="A72" s="43"/>
    </row>
    <row r="92" spans="2:2" x14ac:dyDescent="0.2">
      <c r="B92" s="44"/>
    </row>
    <row r="98" spans="1:2" x14ac:dyDescent="0.2">
      <c r="B98" s="41"/>
    </row>
    <row r="99" spans="1:2" x14ac:dyDescent="0.2">
      <c r="B99" s="45"/>
    </row>
    <row r="108" spans="1:2" ht="15" x14ac:dyDescent="0.25">
      <c r="A108" s="46"/>
      <c r="B108" s="47"/>
    </row>
    <row r="110" spans="1:2" x14ac:dyDescent="0.2">
      <c r="B110" s="41"/>
    </row>
    <row r="113" spans="1:2" s="7" customFormat="1" x14ac:dyDescent="0.2">
      <c r="A113" s="3"/>
      <c r="B113" s="3"/>
    </row>
    <row r="114" spans="1:2" s="7" customFormat="1" x14ac:dyDescent="0.2">
      <c r="A114" s="3"/>
      <c r="B114" s="3"/>
    </row>
    <row r="115" spans="1:2" s="7" customFormat="1" x14ac:dyDescent="0.2">
      <c r="A115" s="3"/>
      <c r="B115" s="3"/>
    </row>
    <row r="116" spans="1:2" s="7" customFormat="1" x14ac:dyDescent="0.2">
      <c r="A116" s="3"/>
      <c r="B116" s="3"/>
    </row>
    <row r="117" spans="1:2" s="7" customFormat="1" x14ac:dyDescent="0.2">
      <c r="A117" s="3"/>
      <c r="B117" s="3"/>
    </row>
    <row r="118" spans="1:2" s="7" customFormat="1" x14ac:dyDescent="0.2">
      <c r="A118" s="3"/>
      <c r="B118" s="3"/>
    </row>
    <row r="119" spans="1:2" s="7" customFormat="1" x14ac:dyDescent="0.2">
      <c r="A119" s="52"/>
      <c r="B119" s="3"/>
    </row>
    <row r="120" spans="1:2" s="7" customFormat="1" x14ac:dyDescent="0.2">
      <c r="A120" s="52"/>
      <c r="B120" s="3"/>
    </row>
    <row r="121" spans="1:2" s="7" customFormat="1" x14ac:dyDescent="0.2">
      <c r="A121" s="3"/>
      <c r="B121" s="3"/>
    </row>
    <row r="122" spans="1:2" s="7" customFormat="1" x14ac:dyDescent="0.2">
      <c r="A122" s="52"/>
      <c r="B122" s="3"/>
    </row>
    <row r="123" spans="1:2" s="7" customFormat="1" x14ac:dyDescent="0.2">
      <c r="A123" s="3"/>
      <c r="B123" s="41"/>
    </row>
    <row r="124" spans="1:2" s="7" customFormat="1" x14ac:dyDescent="0.2">
      <c r="A124" s="3"/>
      <c r="B124" s="41"/>
    </row>
    <row r="125" spans="1:2" s="7" customFormat="1" x14ac:dyDescent="0.2">
      <c r="A125" s="3"/>
      <c r="B125" s="41"/>
    </row>
    <row r="126" spans="1:2" s="7" customFormat="1" x14ac:dyDescent="0.2">
      <c r="A126" s="3"/>
      <c r="B126" s="41"/>
    </row>
    <row r="137" spans="1:2" s="7" customFormat="1" x14ac:dyDescent="0.2">
      <c r="A137" s="3"/>
      <c r="B137" s="53"/>
    </row>
    <row r="138" spans="1:2" s="7" customFormat="1" x14ac:dyDescent="0.2">
      <c r="A138" s="3"/>
      <c r="B138" s="53"/>
    </row>
    <row r="139" spans="1:2" s="7" customFormat="1" x14ac:dyDescent="0.2">
      <c r="A139" s="3"/>
      <c r="B139" s="53"/>
    </row>
    <row r="140" spans="1:2" s="7" customFormat="1" x14ac:dyDescent="0.2">
      <c r="A140" s="3"/>
      <c r="B140" s="53"/>
    </row>
    <row r="141" spans="1:2" s="7" customFormat="1" x14ac:dyDescent="0.2">
      <c r="A141" s="3"/>
      <c r="B141" s="53"/>
    </row>
    <row r="142" spans="1:2" s="7" customFormat="1" ht="15" x14ac:dyDescent="0.25">
      <c r="A142" s="57"/>
      <c r="B142" s="58"/>
    </row>
    <row r="143" spans="1:2" s="7" customFormat="1" x14ac:dyDescent="0.2">
      <c r="A143" s="60"/>
      <c r="B143" s="58"/>
    </row>
    <row r="144" spans="1:2" s="7" customFormat="1" x14ac:dyDescent="0.2">
      <c r="A144" s="3"/>
      <c r="B144" s="3"/>
    </row>
    <row r="148" spans="1:1" x14ac:dyDescent="0.2">
      <c r="A148" s="45"/>
    </row>
    <row r="149" spans="1:1" x14ac:dyDescent="0.2">
      <c r="A149" s="45"/>
    </row>
    <row r="150" spans="1:1" x14ac:dyDescent="0.2">
      <c r="A150" s="45"/>
    </row>
    <row r="151" spans="1:1" x14ac:dyDescent="0.2">
      <c r="A151" s="45"/>
    </row>
    <row r="152" spans="1:1" x14ac:dyDescent="0.2">
      <c r="A152" s="45"/>
    </row>
    <row r="155" spans="1:1" x14ac:dyDescent="0.2">
      <c r="A155" s="45"/>
    </row>
    <row r="169" spans="1:2" x14ac:dyDescent="0.2">
      <c r="A169" s="45"/>
    </row>
    <row r="170" spans="1:2" x14ac:dyDescent="0.2">
      <c r="A170" s="52"/>
    </row>
    <row r="171" spans="1:2" x14ac:dyDescent="0.2">
      <c r="A171" s="52"/>
    </row>
    <row r="172" spans="1:2" x14ac:dyDescent="0.2">
      <c r="B172" s="53"/>
    </row>
    <row r="179" spans="2:2" x14ac:dyDescent="0.2">
      <c r="B179" s="53"/>
    </row>
    <row r="180" spans="2:2" x14ac:dyDescent="0.2">
      <c r="B180" s="53"/>
    </row>
    <row r="181" spans="2:2" x14ac:dyDescent="0.2">
      <c r="B181" s="53"/>
    </row>
    <row r="182" spans="2:2" x14ac:dyDescent="0.2">
      <c r="B182" s="53"/>
    </row>
    <row r="183" spans="2:2" x14ac:dyDescent="0.2">
      <c r="B183" s="53"/>
    </row>
    <row r="198" spans="2:2" x14ac:dyDescent="0.2">
      <c r="B198" s="65"/>
    </row>
    <row r="201" spans="2:2" x14ac:dyDescent="0.2">
      <c r="B201" s="67"/>
    </row>
    <row r="215" spans="2:2" s="7" customFormat="1" x14ac:dyDescent="0.2">
      <c r="B215" s="53"/>
    </row>
    <row r="216" spans="2:2" s="7" customFormat="1" x14ac:dyDescent="0.2">
      <c r="B216" s="44"/>
    </row>
    <row r="217" spans="2:2" s="7" customFormat="1" x14ac:dyDescent="0.2">
      <c r="B217" s="44"/>
    </row>
    <row r="218" spans="2:2" s="7" customFormat="1" x14ac:dyDescent="0.2">
      <c r="B218" s="44"/>
    </row>
    <row r="219" spans="2:2" s="7" customFormat="1" x14ac:dyDescent="0.2">
      <c r="B219" s="44"/>
    </row>
    <row r="220" spans="2:2" s="7" customFormat="1" x14ac:dyDescent="0.2">
      <c r="B220" s="44"/>
    </row>
    <row r="221" spans="2:2" s="7" customFormat="1" x14ac:dyDescent="0.2">
      <c r="B221" s="44"/>
    </row>
    <row r="222" spans="2:2" s="7" customFormat="1" x14ac:dyDescent="0.2">
      <c r="B222" s="44"/>
    </row>
    <row r="223" spans="2:2" s="7" customFormat="1" x14ac:dyDescent="0.2">
      <c r="B223" s="44"/>
    </row>
    <row r="224" spans="2:2" s="7" customFormat="1" x14ac:dyDescent="0.2">
      <c r="B224" s="44"/>
    </row>
    <row r="225" spans="2:2" s="7" customFormat="1" x14ac:dyDescent="0.2">
      <c r="B225" s="44"/>
    </row>
    <row r="226" spans="2:2" s="7" customFormat="1" x14ac:dyDescent="0.2">
      <c r="B226" s="44"/>
    </row>
    <row r="227" spans="2:2" s="7" customFormat="1" x14ac:dyDescent="0.2">
      <c r="B227" s="44"/>
    </row>
    <row r="228" spans="2:2" s="7" customFormat="1" x14ac:dyDescent="0.2">
      <c r="B228" s="44"/>
    </row>
    <row r="229" spans="2:2" s="7" customFormat="1" x14ac:dyDescent="0.2">
      <c r="B229" s="44"/>
    </row>
    <row r="230" spans="2:2" s="7" customFormat="1" x14ac:dyDescent="0.2">
      <c r="B230" s="44"/>
    </row>
    <row r="231" spans="2:2" s="7" customFormat="1" x14ac:dyDescent="0.2">
      <c r="B231" s="44"/>
    </row>
    <row r="232" spans="2:2" s="7" customFormat="1" x14ac:dyDescent="0.2">
      <c r="B232" s="44"/>
    </row>
    <row r="233" spans="2:2" s="7" customFormat="1" x14ac:dyDescent="0.2">
      <c r="B233" s="44"/>
    </row>
    <row r="234" spans="2:2" s="7" customFormat="1" x14ac:dyDescent="0.2">
      <c r="B234" s="44"/>
    </row>
    <row r="235" spans="2:2" s="7" customFormat="1" x14ac:dyDescent="0.2">
      <c r="B235" s="44"/>
    </row>
    <row r="236" spans="2:2" s="7" customFormat="1" x14ac:dyDescent="0.2">
      <c r="B236" s="44"/>
    </row>
    <row r="237" spans="2:2" s="7" customFormat="1" x14ac:dyDescent="0.2">
      <c r="B237" s="44"/>
    </row>
    <row r="238" spans="2:2" s="7" customFormat="1" x14ac:dyDescent="0.2">
      <c r="B238" s="44"/>
    </row>
    <row r="239" spans="2:2" s="7" customFormat="1" x14ac:dyDescent="0.2">
      <c r="B239" s="44"/>
    </row>
    <row r="240" spans="2:2" s="7" customFormat="1" x14ac:dyDescent="0.2">
      <c r="B240" s="44"/>
    </row>
    <row r="241" spans="1:2" s="7" customFormat="1" x14ac:dyDescent="0.2">
      <c r="B241" s="44"/>
    </row>
    <row r="242" spans="1:2" s="7" customFormat="1" x14ac:dyDescent="0.2">
      <c r="B242" s="44"/>
    </row>
    <row r="243" spans="1:2" s="7" customFormat="1" x14ac:dyDescent="0.2">
      <c r="B243" s="44"/>
    </row>
    <row r="244" spans="1:2" s="7" customFormat="1" x14ac:dyDescent="0.2">
      <c r="B244" s="44"/>
    </row>
    <row r="245" spans="1:2" s="7" customFormat="1" x14ac:dyDescent="0.2">
      <c r="B245" s="44"/>
    </row>
    <row r="246" spans="1:2" s="7" customFormat="1" x14ac:dyDescent="0.2">
      <c r="B246" s="3"/>
    </row>
    <row r="247" spans="1:2" s="7" customFormat="1" x14ac:dyDescent="0.2">
      <c r="B247" s="53"/>
    </row>
    <row r="248" spans="1:2" s="7" customFormat="1" x14ac:dyDescent="0.2">
      <c r="A248" s="3"/>
      <c r="B248" s="3"/>
    </row>
  </sheetData>
  <conditionalFormatting sqref="C56:O56">
    <cfRule type="expression" dxfId="4" priority="1">
      <formula>$Q108=0</formula>
    </cfRule>
    <cfRule type="expression" dxfId="3" priority="2">
      <formula>$R56=-1</formula>
    </cfRule>
    <cfRule type="expression" dxfId="2" priority="3">
      <formula>$Q56&gt;=1</formula>
    </cfRule>
    <cfRule type="expression" dxfId="1" priority="4">
      <formula>$W56="Dec"</formula>
    </cfRule>
    <cfRule type="expression" dxfId="0" priority="5">
      <formula>$W56="%"</formula>
    </cfRule>
  </conditionalFormatting>
  <pageMargins left="0.7" right="0.7" top="0.75" bottom="0.75" header="0.3" footer="0.3"/>
  <pageSetup scale="52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P&amp;L</vt:lpstr>
      <vt:lpstr>T12</vt:lpstr>
      <vt:lpstr>'P&amp;L'!Print_Area</vt:lpstr>
      <vt:lpstr>'T12'!Print_Area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Petauton</dc:creator>
  <cp:lastModifiedBy>Louis Petauton</cp:lastModifiedBy>
  <dcterms:created xsi:type="dcterms:W3CDTF">2025-02-28T17:57:51Z</dcterms:created>
  <dcterms:modified xsi:type="dcterms:W3CDTF">2025-02-28T18:00:56Z</dcterms:modified>
</cp:coreProperties>
</file>