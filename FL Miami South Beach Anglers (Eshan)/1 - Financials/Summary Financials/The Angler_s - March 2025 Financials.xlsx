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hyun_lee_khpcp_com/Documents/Documents/AM/Dispositions/ANG Disposition/"/>
    </mc:Choice>
  </mc:AlternateContent>
  <xr:revisionPtr revIDLastSave="0" documentId="8_{8BD008A7-EDEC-49A4-870A-394122FB9294}" xr6:coauthVersionLast="47" xr6:coauthVersionMax="47" xr10:uidLastSave="{00000000-0000-0000-0000-000000000000}"/>
  <bookViews>
    <workbookView xWindow="-28920" yWindow="-105" windowWidth="29040" windowHeight="15720" xr2:uid="{FB912A86-BEBD-4A22-8439-6D996D9F5C94}"/>
  </bookViews>
  <sheets>
    <sheet name="P&amp;L" sheetId="2" r:id="rId1"/>
    <sheet name="T12" sheetId="3" r:id="rId2"/>
  </sheets>
  <definedNames>
    <definedName name="CY">#REF!</definedName>
    <definedName name="Month1">#REF!</definedName>
    <definedName name="_xlnm.Print_Area" localSheetId="0">'P&amp;L'!$A$1:$T$57</definedName>
    <definedName name="_xlnm.Print_Area" localSheetId="1">'T12'!$A$1:$P$57</definedName>
    <definedName name="Room_Revenue_Factor">#REF!</definedName>
    <definedName name="RPTDATE">#REF!</definedName>
    <definedName name="RPTMONTH">#REF!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P53" i="3"/>
  <c r="P51" i="3"/>
  <c r="P49" i="3"/>
  <c r="P48" i="3"/>
  <c r="P47" i="3"/>
  <c r="P46" i="3"/>
  <c r="P45" i="3"/>
  <c r="P44" i="3"/>
  <c r="P42" i="3"/>
  <c r="P41" i="3"/>
  <c r="P39" i="3"/>
  <c r="P37" i="3"/>
  <c r="P36" i="3"/>
  <c r="P35" i="3"/>
  <c r="P34" i="3"/>
  <c r="P33" i="3"/>
  <c r="P32" i="3"/>
  <c r="P29" i="3"/>
  <c r="P27" i="3"/>
  <c r="P26" i="3"/>
  <c r="P25" i="3"/>
  <c r="P24" i="3"/>
  <c r="P21" i="3"/>
  <c r="P20" i="3"/>
  <c r="P19" i="3"/>
  <c r="P18" i="3"/>
  <c r="P17" i="3"/>
  <c r="P10" i="3"/>
  <c r="P9" i="3"/>
  <c r="S53" i="2"/>
  <c r="J53" i="2"/>
  <c r="S48" i="2"/>
  <c r="J48" i="2"/>
  <c r="S47" i="2"/>
  <c r="P47" i="2"/>
  <c r="J47" i="2"/>
  <c r="S46" i="2"/>
  <c r="J46" i="2"/>
  <c r="G46" i="2"/>
  <c r="N49" i="2"/>
  <c r="J45" i="2"/>
  <c r="Q49" i="2"/>
  <c r="P44" i="2"/>
  <c r="O44" i="2"/>
  <c r="L49" i="2"/>
  <c r="E49" i="2"/>
  <c r="C49" i="2"/>
  <c r="S41" i="2"/>
  <c r="J41" i="2"/>
  <c r="S36" i="2"/>
  <c r="J36" i="2"/>
  <c r="S35" i="2"/>
  <c r="P35" i="2"/>
  <c r="J35" i="2"/>
  <c r="R34" i="2"/>
  <c r="O34" i="2"/>
  <c r="S34" i="2"/>
  <c r="J34" i="2"/>
  <c r="G34" i="2"/>
  <c r="N37" i="2"/>
  <c r="S33" i="2"/>
  <c r="G33" i="2"/>
  <c r="J33" i="2"/>
  <c r="Q37" i="2"/>
  <c r="R37" i="2" s="1"/>
  <c r="P32" i="2"/>
  <c r="L37" i="2"/>
  <c r="E37" i="2"/>
  <c r="C37" i="2"/>
  <c r="S26" i="2"/>
  <c r="P26" i="2"/>
  <c r="O26" i="2"/>
  <c r="F26" i="2"/>
  <c r="D26" i="2"/>
  <c r="R25" i="2"/>
  <c r="P25" i="2"/>
  <c r="S25" i="2"/>
  <c r="J25" i="2"/>
  <c r="G25" i="2"/>
  <c r="F25" i="2"/>
  <c r="Q27" i="2"/>
  <c r="R27" i="2" s="1"/>
  <c r="O24" i="2"/>
  <c r="N27" i="2"/>
  <c r="L27" i="2"/>
  <c r="I24" i="2"/>
  <c r="G24" i="2"/>
  <c r="J24" i="2"/>
  <c r="Q21" i="2"/>
  <c r="R17" i="2" s="1"/>
  <c r="R20" i="2"/>
  <c r="P20" i="2"/>
  <c r="S20" i="2"/>
  <c r="J20" i="2"/>
  <c r="G20" i="2"/>
  <c r="M26" i="2"/>
  <c r="G19" i="2"/>
  <c r="J19" i="2"/>
  <c r="S18" i="2"/>
  <c r="P18" i="2"/>
  <c r="O18" i="2"/>
  <c r="L21" i="2"/>
  <c r="E21" i="2"/>
  <c r="N21" i="2"/>
  <c r="O46" i="2" s="1"/>
  <c r="S17" i="2"/>
  <c r="H12" i="2"/>
  <c r="G17" i="2"/>
  <c r="D24" i="2"/>
  <c r="E12" i="2"/>
  <c r="C12" i="2"/>
  <c r="E11" i="2"/>
  <c r="E13" i="2" s="1"/>
  <c r="C11" i="2"/>
  <c r="C13" i="2" s="1"/>
  <c r="Q11" i="2"/>
  <c r="P10" i="2"/>
  <c r="J10" i="2"/>
  <c r="G10" i="2"/>
  <c r="S9" i="2"/>
  <c r="P9" i="2"/>
  <c r="H11" i="2"/>
  <c r="J9" i="2"/>
  <c r="R46" i="2" l="1"/>
  <c r="O27" i="2"/>
  <c r="R53" i="2"/>
  <c r="J12" i="2"/>
  <c r="R49" i="2"/>
  <c r="P12" i="3"/>
  <c r="P11" i="3"/>
  <c r="P13" i="3" s="1"/>
  <c r="F48" i="2"/>
  <c r="F20" i="2"/>
  <c r="G13" i="2"/>
  <c r="S49" i="2"/>
  <c r="P49" i="2"/>
  <c r="M49" i="2"/>
  <c r="F47" i="2"/>
  <c r="F44" i="2"/>
  <c r="F35" i="2"/>
  <c r="F32" i="2"/>
  <c r="F21" i="2"/>
  <c r="F18" i="2"/>
  <c r="F41" i="2"/>
  <c r="F17" i="2"/>
  <c r="O37" i="2"/>
  <c r="F45" i="2"/>
  <c r="G37" i="2"/>
  <c r="O35" i="2"/>
  <c r="M32" i="2"/>
  <c r="M47" i="2"/>
  <c r="M44" i="2"/>
  <c r="M35" i="2"/>
  <c r="M21" i="2"/>
  <c r="M18" i="2"/>
  <c r="M20" i="2"/>
  <c r="M17" i="2"/>
  <c r="L29" i="2"/>
  <c r="S21" i="2"/>
  <c r="P21" i="2"/>
  <c r="F37" i="2"/>
  <c r="M45" i="2"/>
  <c r="F53" i="2"/>
  <c r="Q29" i="2"/>
  <c r="F34" i="2"/>
  <c r="O49" i="2"/>
  <c r="O21" i="2"/>
  <c r="N29" i="2"/>
  <c r="O53" i="2"/>
  <c r="O48" i="2"/>
  <c r="O45" i="2"/>
  <c r="O41" i="2"/>
  <c r="O36" i="2"/>
  <c r="O33" i="2"/>
  <c r="O19" i="2"/>
  <c r="S37" i="2"/>
  <c r="P37" i="2"/>
  <c r="M37" i="2"/>
  <c r="D49" i="2"/>
  <c r="G49" i="2"/>
  <c r="O47" i="2"/>
  <c r="O32" i="2"/>
  <c r="F36" i="2"/>
  <c r="F49" i="2"/>
  <c r="H13" i="2"/>
  <c r="J13" i="2" s="1"/>
  <c r="S27" i="2"/>
  <c r="P27" i="2"/>
  <c r="M27" i="2"/>
  <c r="F46" i="2"/>
  <c r="H37" i="2"/>
  <c r="J37" i="2" s="1"/>
  <c r="M48" i="2"/>
  <c r="S10" i="2"/>
  <c r="M33" i="2"/>
  <c r="M36" i="2"/>
  <c r="M41" i="2"/>
  <c r="H49" i="2"/>
  <c r="I49" i="2" s="1"/>
  <c r="M53" i="2"/>
  <c r="G12" i="2"/>
  <c r="R18" i="2"/>
  <c r="R21" i="2"/>
  <c r="I25" i="2"/>
  <c r="R26" i="2"/>
  <c r="R32" i="2"/>
  <c r="R35" i="2"/>
  <c r="R44" i="2"/>
  <c r="R47" i="2"/>
  <c r="J17" i="2"/>
  <c r="S32" i="2"/>
  <c r="S44" i="2"/>
  <c r="G11" i="2"/>
  <c r="G18" i="2"/>
  <c r="P19" i="2"/>
  <c r="P24" i="2"/>
  <c r="G26" i="2"/>
  <c r="C27" i="2"/>
  <c r="G32" i="2"/>
  <c r="P33" i="2"/>
  <c r="G35" i="2"/>
  <c r="P36" i="2"/>
  <c r="P41" i="2"/>
  <c r="G44" i="2"/>
  <c r="P45" i="2"/>
  <c r="G47" i="2"/>
  <c r="P48" i="2"/>
  <c r="P53" i="2"/>
  <c r="L12" i="2"/>
  <c r="H21" i="2"/>
  <c r="I48" i="2" s="1"/>
  <c r="M25" i="2"/>
  <c r="D33" i="2"/>
  <c r="M34" i="2"/>
  <c r="M46" i="2"/>
  <c r="M24" i="2"/>
  <c r="J11" i="2"/>
  <c r="N12" i="2"/>
  <c r="R19" i="2"/>
  <c r="R24" i="2"/>
  <c r="I26" i="2"/>
  <c r="E27" i="2"/>
  <c r="F27" i="2" s="1"/>
  <c r="R33" i="2"/>
  <c r="R36" i="2"/>
  <c r="R41" i="2"/>
  <c r="R45" i="2"/>
  <c r="R48" i="2"/>
  <c r="C21" i="2"/>
  <c r="D37" i="2" s="1"/>
  <c r="L11" i="2"/>
  <c r="O17" i="2"/>
  <c r="J18" i="2"/>
  <c r="F19" i="2"/>
  <c r="S19" i="2"/>
  <c r="O20" i="2"/>
  <c r="F24" i="2"/>
  <c r="S24" i="2"/>
  <c r="O25" i="2"/>
  <c r="J26" i="2"/>
  <c r="J32" i="2"/>
  <c r="F33" i="2"/>
  <c r="J44" i="2"/>
  <c r="S45" i="2"/>
  <c r="G9" i="2"/>
  <c r="N11" i="2"/>
  <c r="N13" i="2" s="1"/>
  <c r="Q12" i="2"/>
  <c r="Q13" i="2" s="1"/>
  <c r="P17" i="2"/>
  <c r="P34" i="2"/>
  <c r="G36" i="2"/>
  <c r="G41" i="2"/>
  <c r="G45" i="2"/>
  <c r="P46" i="2"/>
  <c r="G48" i="2"/>
  <c r="G53" i="2"/>
  <c r="M19" i="2"/>
  <c r="D25" i="2"/>
  <c r="H27" i="2"/>
  <c r="I36" i="2" l="1"/>
  <c r="I27" i="2"/>
  <c r="I46" i="2"/>
  <c r="E29" i="2"/>
  <c r="E39" i="2" s="1"/>
  <c r="S11" i="2"/>
  <c r="P11" i="2"/>
  <c r="L13" i="2"/>
  <c r="I53" i="2"/>
  <c r="I47" i="2"/>
  <c r="I44" i="2"/>
  <c r="I35" i="2"/>
  <c r="I32" i="2"/>
  <c r="I21" i="2"/>
  <c r="I18" i="2"/>
  <c r="H29" i="2"/>
  <c r="F29" i="2"/>
  <c r="S12" i="2"/>
  <c r="P12" i="2"/>
  <c r="N39" i="2"/>
  <c r="O29" i="2"/>
  <c r="J27" i="2"/>
  <c r="G27" i="2"/>
  <c r="D27" i="2"/>
  <c r="I34" i="2"/>
  <c r="D46" i="2"/>
  <c r="D34" i="2"/>
  <c r="D17" i="2"/>
  <c r="D20" i="2"/>
  <c r="C29" i="2"/>
  <c r="J21" i="2"/>
  <c r="D53" i="2"/>
  <c r="D19" i="2"/>
  <c r="G21" i="2"/>
  <c r="D21" i="2"/>
  <c r="D47" i="2"/>
  <c r="D35" i="2"/>
  <c r="D18" i="2"/>
  <c r="I41" i="2"/>
  <c r="J49" i="2"/>
  <c r="D48" i="2"/>
  <c r="I19" i="2"/>
  <c r="I33" i="2"/>
  <c r="R29" i="2"/>
  <c r="Q39" i="2"/>
  <c r="S29" i="2"/>
  <c r="L39" i="2"/>
  <c r="P29" i="2"/>
  <c r="M29" i="2"/>
  <c r="D44" i="2"/>
  <c r="D45" i="2"/>
  <c r="I20" i="2"/>
  <c r="D41" i="2"/>
  <c r="I37" i="2"/>
  <c r="D36" i="2"/>
  <c r="I17" i="2"/>
  <c r="D32" i="2"/>
  <c r="I45" i="2"/>
  <c r="H39" i="2" l="1"/>
  <c r="I29" i="2"/>
  <c r="M39" i="2"/>
  <c r="P39" i="2"/>
  <c r="L42" i="2"/>
  <c r="S39" i="2"/>
  <c r="Q42" i="2"/>
  <c r="R39" i="2"/>
  <c r="O39" i="2"/>
  <c r="N42" i="2"/>
  <c r="S13" i="2"/>
  <c r="P13" i="2"/>
  <c r="D29" i="2"/>
  <c r="C39" i="2"/>
  <c r="J29" i="2"/>
  <c r="G29" i="2"/>
  <c r="E42" i="2"/>
  <c r="F39" i="2"/>
  <c r="N51" i="2" l="1"/>
  <c r="O42" i="2"/>
  <c r="R42" i="2"/>
  <c r="Q51" i="2"/>
  <c r="F42" i="2"/>
  <c r="E51" i="2"/>
  <c r="S42" i="2"/>
  <c r="L51" i="2"/>
  <c r="P42" i="2"/>
  <c r="M42" i="2"/>
  <c r="C42" i="2"/>
  <c r="J39" i="2"/>
  <c r="G39" i="2"/>
  <c r="D39" i="2"/>
  <c r="H42" i="2"/>
  <c r="I39" i="2"/>
  <c r="C51" i="2" l="1"/>
  <c r="G42" i="2"/>
  <c r="D42" i="2"/>
  <c r="J42" i="2"/>
  <c r="P51" i="2"/>
  <c r="M51" i="2"/>
  <c r="L54" i="2"/>
  <c r="S51" i="2"/>
  <c r="E54" i="2"/>
  <c r="F54" i="2" s="1"/>
  <c r="F51" i="2"/>
  <c r="H51" i="2"/>
  <c r="I42" i="2"/>
  <c r="Q54" i="2"/>
  <c r="R54" i="2" s="1"/>
  <c r="R51" i="2"/>
  <c r="O51" i="2"/>
  <c r="N54" i="2"/>
  <c r="O54" i="2" s="1"/>
  <c r="I51" i="2" l="1"/>
  <c r="H54" i="2"/>
  <c r="I54" i="2" s="1"/>
  <c r="S54" i="2"/>
  <c r="P54" i="2"/>
  <c r="M54" i="2"/>
  <c r="C54" i="2"/>
  <c r="J51" i="2"/>
  <c r="G51" i="2"/>
  <c r="D51" i="2"/>
  <c r="D54" i="2" l="1"/>
  <c r="J54" i="2"/>
  <c r="G54" i="2"/>
</calcChain>
</file>

<file path=xl/sharedStrings.xml><?xml version="1.0" encoding="utf-8"?>
<sst xmlns="http://schemas.openxmlformats.org/spreadsheetml/2006/main" count="135" uniqueCount="49">
  <si>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</si>
  <si>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</si>
  <si>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</si>
  <si>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</si>
  <si>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</si>
  <si>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</si>
  <si>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</si>
  <si>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</si>
  <si>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</si>
  <si>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</si>
  <si>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</si>
  <si>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</si>
  <si>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</si>
  <si>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</si>
  <si>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</si>
  <si>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</si>
  <si>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</si>
  <si>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</si>
  <si>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</si>
  <si>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</si>
  <si>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</si>
  <si>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</si>
  <si>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</si>
  <si>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</si>
  <si>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</si>
  <si>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</si>
  <si>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</si>
  <si>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</si>
  <si>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</si>
  <si>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</si>
  <si>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</si>
  <si>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</si>
  <si>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</si>
  <si>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</si>
  <si>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</si>
  <si>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</si>
  <si>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</si>
  <si>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</si>
  <si>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</si>
  <si>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</si>
  <si>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</si>
  <si>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</si>
  <si>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</si>
  <si>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</si>
  <si>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</si>
  <si>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</si>
  <si>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>FOR THE PERIOD ENDING MARCH 31, 2025</t>
  </si>
  <si>
    <t>MARCH 2025 - PERIODIC</t>
  </si>
  <si>
    <t>MARCH 2025 - 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</si>
</sst>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5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/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/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7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39" fontId="3" fillId="0" borderId="0" xfId="1" applyNumberFormat="1"/>
    <xf numFmtId="0" fontId="9" fillId="4" borderId="5" xfId="1" applyFont="1" applyFill="1" applyBorder="1" applyAlignment="1">
      <alignment horizontal="centerContinuous"/>
    </xf>
    <xf numFmtId="39" fontId="3" fillId="0" borderId="0" xfId="1" applyNumberFormat="1" applyAlignment="1">
      <alignment horizontal="center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4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4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9" xfId="2" applyNumberFormat="1" applyFont="1" applyFill="1" applyBorder="1" applyAlignment="1">
      <alignment horizontal="right"/>
    </xf>
    <xf numFmtId="164" fontId="13" fillId="0" borderId="9" xfId="3" applyNumberFormat="1" applyFont="1" applyBorder="1" applyAlignment="1">
      <alignment horizontal="right"/>
    </xf>
    <xf numFmtId="37" fontId="13" fillId="0" borderId="9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10" xfId="2" applyNumberFormat="1" applyFont="1" applyFill="1" applyBorder="1" applyAlignment="1">
      <alignment horizontal="right"/>
    </xf>
    <xf numFmtId="164" fontId="13" fillId="0" borderId="10" xfId="3" applyNumberFormat="1" applyFont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11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37" fontId="3" fillId="0" borderId="0" xfId="1" applyNumberForma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5" fontId="9" fillId="4" borderId="0" xfId="1" applyNumberFormat="1" applyFont="1" applyFill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2" xfId="1" applyBorder="1"/>
    <xf numFmtId="0" fontId="2" fillId="0" borderId="0" xfId="1" applyFont="1"/>
    <xf numFmtId="37" fontId="11" fillId="0" borderId="12" xfId="2" applyNumberFormat="1" applyFont="1" applyBorder="1" applyAlignment="1">
      <alignment horizontal="right"/>
    </xf>
    <xf numFmtId="164" fontId="11" fillId="0" borderId="12" xfId="3" applyNumberFormat="1" applyFont="1" applyBorder="1" applyAlignment="1">
      <alignment horizontal="right"/>
    </xf>
    <xf numFmtId="39" fontId="11" fillId="0" borderId="12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2" xfId="2" applyNumberFormat="1" applyFont="1" applyBorder="1" applyAlignment="1">
      <alignment horizontal="right"/>
    </xf>
    <xf numFmtId="37" fontId="13" fillId="0" borderId="13" xfId="2" applyNumberFormat="1" applyFont="1" applyBorder="1" applyAlignment="1">
      <alignment horizontal="right"/>
    </xf>
    <xf numFmtId="0" fontId="13" fillId="0" borderId="10" xfId="1" applyFont="1" applyBorder="1"/>
    <xf numFmtId="37" fontId="13" fillId="0" borderId="14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</cellXfs>
  <cellStyles count="4">
    <cellStyle name="Comma 2" xfId="2" xr:uid="{7F7CDECD-4DA8-4103-9B0B-3A5BC87A13A9}"/>
    <cellStyle name="Normal" xfId="0" builtinId="0"/>
    <cellStyle name="Normal 2" xfId="1" xr:uid="{526B77F9-5436-47CE-AF8C-72F511C0F104}"/>
    <cellStyle name="Percent 2" xfId="3" xr:uid="{DBC67186-DAD4-41F4-BC9E-9FA4C91BA884}"/>
  </cellStyles>
  <dxfs count="40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border>
        <top/>
        <bottom/>
      </border>
    </dxf>
    <dxf>
      <font>
        <b/>
        <i val="0"/>
      </font>
    </dxf>
    <dxf>
      <numFmt numFmtId="164" formatCode="0.0%"/>
    </dxf>
    <dxf>
      <numFmt numFmtId="166" formatCode="0.00_);\(0.00\)"/>
    </dxf>
    <dxf>
      <font>
        <b/>
        <i val="0"/>
      </font>
    </dxf>
    <dxf>
      <numFmt numFmtId="166" formatCode="0.00_);\(0.00\)"/>
    </dxf>
    <dxf>
      <numFmt numFmtId="164" formatCode="0.0%"/>
    </dxf>
    <dxf>
      <border>
        <top/>
        <bottom/>
      </border>
    </dxf>
    <dxf>
      <border>
        <top style="thin">
          <color auto="1"/>
        </top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numFmt numFmtId="164" formatCode="0.0%"/>
    </dxf>
    <dxf>
      <font>
        <b/>
        <i val="0"/>
      </font>
    </dxf>
    <dxf>
      <border>
        <top style="thin">
          <color auto="1"/>
        </top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6A8A-FE9E-4901-ABD2-0CB5B2949052}">
  <sheetPr codeName="Sheet95">
    <tabColor theme="4" tint="0.39997558519241921"/>
    <pageSetUpPr fitToPage="1"/>
  </sheetPr>
  <dimension ref="A1:U248"/>
  <sheetViews>
    <sheetView showGridLines="0" tabSelected="1" view="pageBreakPreview" zoomScale="70" zoomScaleNormal="85" zoomScaleSheetLayoutView="70" workbookViewId="0">
      <selection activeCell="E37" sqref="E37"/>
    </sheetView>
  </sheetViews>
  <sheetFormatPr defaultColWidth="9.140625" defaultRowHeight="12.75" x14ac:dyDescent="0.2"/>
  <cols>
    <col min="1" max="1" width="2.85546875" style="3" customWidth="1"/>
    <col min="2" max="2" width="38.85546875" style="3" customWidth="1"/>
    <col min="3" max="3" width="15.140625" style="3" customWidth="1"/>
    <col min="4" max="4" width="8.85546875" style="3" customWidth="1"/>
    <col min="5" max="5" width="16" style="3" customWidth="1"/>
    <col min="6" max="6" width="8.85546875" style="3" customWidth="1"/>
    <col min="7" max="8" width="15.5703125" style="7" customWidth="1"/>
    <col min="9" max="9" width="8.85546875" style="7" customWidth="1"/>
    <col min="10" max="10" width="15.5703125" style="7" customWidth="1"/>
    <col min="11" max="11" width="2.85546875" style="7" customWidth="1"/>
    <col min="12" max="12" width="15.42578125" style="7" customWidth="1"/>
    <col min="13" max="13" width="10" style="7" bestFit="1" customWidth="1"/>
    <col min="14" max="14" width="18.140625" style="7" customWidth="1"/>
    <col min="15" max="15" width="8.85546875" style="3" customWidth="1"/>
    <col min="16" max="16" width="15.5703125" style="3" customWidth="1"/>
    <col min="17" max="17" width="15.42578125" style="3" customWidth="1"/>
    <col min="18" max="18" width="8.85546875" style="3" customWidth="1"/>
    <col min="19" max="19" width="13.85546875" style="3" customWidth="1"/>
    <col min="20" max="20" width="11.5703125" style="3" customWidth="1"/>
    <col min="21" max="21" width="10.140625" style="3" bestFit="1" customWidth="1"/>
    <col min="22" max="23" width="9.140625" style="3" customWidth="1"/>
    <col min="24" max="24" width="9.140625" style="3"/>
    <col min="25" max="25" width="9.140625" style="3" customWidth="1"/>
    <col min="26" max="26" width="9.140625" style="3"/>
    <col min="27" max="27" width="8.85546875" style="3" customWidth="1"/>
    <col min="28" max="16384" width="9.140625" style="3"/>
  </cols>
  <sheetData>
    <row r="1" spans="1:21" ht="22.5" x14ac:dyDescent="0.3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21" ht="1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</row>
    <row r="3" spans="1:21" ht="15.75" x14ac:dyDescent="0.25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spans="1:21" ht="15" customHeight="1" x14ac:dyDescent="0.25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1" ht="15" x14ac:dyDescent="0.25">
      <c r="C5" s="92" t="s">
        <v>47</v>
      </c>
      <c r="D5" s="93"/>
      <c r="E5" s="93"/>
      <c r="F5" s="93"/>
      <c r="G5" s="93"/>
      <c r="H5" s="93"/>
      <c r="I5" s="93"/>
      <c r="J5" s="93"/>
      <c r="L5" s="92" t="s">
        <v>48</v>
      </c>
      <c r="M5" s="93"/>
      <c r="N5" s="93"/>
      <c r="O5" s="93"/>
      <c r="P5" s="93"/>
      <c r="Q5" s="93"/>
      <c r="R5" s="93"/>
      <c r="S5" s="93"/>
    </row>
    <row r="6" spans="1:21" ht="15" x14ac:dyDescent="0.25">
      <c r="C6" s="94" t="s">
        <v>1</v>
      </c>
      <c r="D6" s="95"/>
      <c r="E6" s="94" t="s">
        <v>2</v>
      </c>
      <c r="F6" s="95"/>
      <c r="G6" s="8"/>
      <c r="H6" s="94" t="s">
        <v>3</v>
      </c>
      <c r="I6" s="96"/>
      <c r="J6" s="95"/>
      <c r="K6" s="9"/>
      <c r="L6" s="94" t="s">
        <v>1</v>
      </c>
      <c r="M6" s="95"/>
      <c r="N6" s="94" t="s">
        <v>2</v>
      </c>
      <c r="O6" s="95"/>
      <c r="P6" s="8"/>
      <c r="Q6" s="94" t="s">
        <v>3</v>
      </c>
      <c r="R6" s="96"/>
      <c r="S6" s="96"/>
    </row>
    <row r="7" spans="1:21" ht="15" x14ac:dyDescent="0.25">
      <c r="C7" s="10" t="s">
        <v>4</v>
      </c>
      <c r="D7" s="10" t="s">
        <v>5</v>
      </c>
      <c r="E7" s="10" t="s">
        <v>4</v>
      </c>
      <c r="F7" s="10" t="s">
        <v>5</v>
      </c>
      <c r="G7" s="11" t="s">
        <v>6</v>
      </c>
      <c r="H7" s="10" t="s">
        <v>4</v>
      </c>
      <c r="I7" s="10" t="s">
        <v>5</v>
      </c>
      <c r="J7" s="12" t="s">
        <v>6</v>
      </c>
      <c r="K7" s="9"/>
      <c r="L7" s="13" t="s">
        <v>4</v>
      </c>
      <c r="M7" s="10" t="s">
        <v>5</v>
      </c>
      <c r="N7" s="10" t="s">
        <v>4</v>
      </c>
      <c r="O7" s="10" t="s">
        <v>5</v>
      </c>
      <c r="P7" s="11" t="s">
        <v>6</v>
      </c>
      <c r="Q7" s="10" t="s">
        <v>4</v>
      </c>
      <c r="R7" s="10" t="s">
        <v>5</v>
      </c>
      <c r="S7" s="14" t="s">
        <v>6</v>
      </c>
    </row>
    <row r="8" spans="1:21" ht="3" customHeight="1" x14ac:dyDescent="0.2">
      <c r="C8" s="7"/>
      <c r="D8" s="7"/>
      <c r="E8" s="7"/>
      <c r="F8" s="7"/>
      <c r="O8" s="15"/>
      <c r="P8" s="15"/>
      <c r="Q8" s="15"/>
      <c r="R8" s="15"/>
    </row>
    <row r="9" spans="1:21" s="22" customFormat="1" ht="15" x14ac:dyDescent="0.25">
      <c r="A9" s="16"/>
      <c r="B9" s="17" t="s">
        <v>7</v>
      </c>
      <c r="C9" s="18">
        <v>4092</v>
      </c>
      <c r="D9" s="19"/>
      <c r="E9" s="18">
        <v>4092</v>
      </c>
      <c r="F9" s="19"/>
      <c r="G9" s="20">
        <f>C9-E9</f>
        <v>0</v>
      </c>
      <c r="H9" s="18">
        <v>4092</v>
      </c>
      <c r="I9" s="19"/>
      <c r="J9" s="20">
        <f>C9-H9</f>
        <v>0</v>
      </c>
      <c r="K9" s="21"/>
      <c r="L9" s="18">
        <v>11880</v>
      </c>
      <c r="M9" s="19"/>
      <c r="N9" s="18">
        <v>11880</v>
      </c>
      <c r="O9" s="19"/>
      <c r="P9" s="20">
        <f>L9-N9</f>
        <v>0</v>
      </c>
      <c r="Q9" s="18">
        <v>12012</v>
      </c>
      <c r="R9" s="19"/>
      <c r="S9" s="20">
        <f>L9-Q9</f>
        <v>-132</v>
      </c>
      <c r="T9" s="3"/>
      <c r="U9" s="3"/>
    </row>
    <row r="10" spans="1:21" s="22" customFormat="1" ht="15" x14ac:dyDescent="0.25">
      <c r="A10" s="16"/>
      <c r="B10" s="17" t="s">
        <v>8</v>
      </c>
      <c r="C10" s="18">
        <v>3737</v>
      </c>
      <c r="D10" s="19"/>
      <c r="E10" s="18">
        <v>3810</v>
      </c>
      <c r="F10" s="19"/>
      <c r="G10" s="20">
        <f t="shared" ref="G10:G13" si="0">C10-E10</f>
        <v>-73</v>
      </c>
      <c r="H10" s="18">
        <v>3793</v>
      </c>
      <c r="I10" s="19"/>
      <c r="J10" s="20">
        <f t="shared" ref="J10:J13" si="1">C10-H10</f>
        <v>-56</v>
      </c>
      <c r="K10" s="21"/>
      <c r="L10" s="18">
        <v>10872</v>
      </c>
      <c r="M10" s="19"/>
      <c r="N10" s="18">
        <v>10918</v>
      </c>
      <c r="O10" s="19"/>
      <c r="P10" s="20">
        <f>L10-N10</f>
        <v>-46</v>
      </c>
      <c r="Q10" s="18">
        <v>11004</v>
      </c>
      <c r="R10" s="19"/>
      <c r="S10" s="20">
        <f t="shared" ref="S10:S13" si="2">L10-Q10</f>
        <v>-132</v>
      </c>
      <c r="T10" s="3"/>
      <c r="U10" s="3"/>
    </row>
    <row r="11" spans="1:21" s="22" customFormat="1" ht="15" x14ac:dyDescent="0.25">
      <c r="A11" s="16"/>
      <c r="B11" s="17" t="s">
        <v>9</v>
      </c>
      <c r="C11" s="23">
        <f>C10/C9</f>
        <v>0.91324535679374386</v>
      </c>
      <c r="D11" s="19"/>
      <c r="E11" s="23">
        <f>E10/E9</f>
        <v>0.93108504398826974</v>
      </c>
      <c r="F11" s="19"/>
      <c r="G11" s="19">
        <f t="shared" si="0"/>
        <v>-1.7839687194525888E-2</v>
      </c>
      <c r="H11" s="23">
        <f>H10/H9</f>
        <v>0.92693059628543495</v>
      </c>
      <c r="I11" s="19"/>
      <c r="J11" s="19">
        <f t="shared" si="1"/>
        <v>-1.3685239491691092E-2</v>
      </c>
      <c r="K11" s="19"/>
      <c r="L11" s="23">
        <f>L10/L9</f>
        <v>0.91515151515151516</v>
      </c>
      <c r="M11" s="19"/>
      <c r="N11" s="23">
        <f>N10/N9</f>
        <v>0.91902356902356908</v>
      </c>
      <c r="O11" s="19"/>
      <c r="P11" s="19">
        <f>L11-N11</f>
        <v>-3.8720538720539155E-3</v>
      </c>
      <c r="Q11" s="23">
        <f>Q10/Q9</f>
        <v>0.91608391608391604</v>
      </c>
      <c r="R11" s="19"/>
      <c r="S11" s="19">
        <f t="shared" si="2"/>
        <v>-9.3240093240087862E-4</v>
      </c>
      <c r="T11" s="3"/>
      <c r="U11" s="3"/>
    </row>
    <row r="12" spans="1:21" s="22" customFormat="1" ht="15" x14ac:dyDescent="0.25">
      <c r="A12" s="16"/>
      <c r="B12" s="17" t="s">
        <v>10</v>
      </c>
      <c r="C12" s="24">
        <f>C17/C10</f>
        <v>296.99325127107306</v>
      </c>
      <c r="D12" s="25"/>
      <c r="E12" s="24">
        <f>E17/E10</f>
        <v>318.40905249343831</v>
      </c>
      <c r="F12" s="25"/>
      <c r="G12" s="26">
        <f t="shared" si="0"/>
        <v>-21.415801222365246</v>
      </c>
      <c r="H12" s="24">
        <f>H17/H10</f>
        <v>312.21692327972585</v>
      </c>
      <c r="I12" s="25"/>
      <c r="J12" s="26">
        <f t="shared" si="1"/>
        <v>-15.223672008652784</v>
      </c>
      <c r="K12" s="26"/>
      <c r="L12" s="24">
        <f>L17/L10</f>
        <v>305.32440765268581</v>
      </c>
      <c r="M12" s="25"/>
      <c r="N12" s="24">
        <f>N17/N10</f>
        <v>321.6518391646822</v>
      </c>
      <c r="O12" s="25"/>
      <c r="P12" s="26">
        <f>L12-N12</f>
        <v>-16.327431511996394</v>
      </c>
      <c r="Q12" s="24">
        <f>Q17/Q10</f>
        <v>316.59344420210829</v>
      </c>
      <c r="R12" s="25"/>
      <c r="S12" s="26">
        <f t="shared" si="2"/>
        <v>-11.269036549422481</v>
      </c>
      <c r="T12" s="3"/>
      <c r="U12" s="3"/>
    </row>
    <row r="13" spans="1:21" s="22" customFormat="1" ht="15" x14ac:dyDescent="0.25">
      <c r="A13" s="16"/>
      <c r="B13" s="17" t="s">
        <v>11</v>
      </c>
      <c r="C13" s="24">
        <f>C11*C12</f>
        <v>271.22770772238516</v>
      </c>
      <c r="D13" s="25"/>
      <c r="E13" s="24">
        <f>E11*E12</f>
        <v>296.4659066471163</v>
      </c>
      <c r="F13" s="25"/>
      <c r="G13" s="26">
        <f t="shared" si="0"/>
        <v>-25.238198924731137</v>
      </c>
      <c r="H13" s="24">
        <f>H11*H12</f>
        <v>289.40341886608019</v>
      </c>
      <c r="I13" s="25"/>
      <c r="J13" s="26">
        <f t="shared" si="1"/>
        <v>-18.175711143695025</v>
      </c>
      <c r="K13" s="26"/>
      <c r="L13" s="24">
        <f>L11*L12</f>
        <v>279.41809427609428</v>
      </c>
      <c r="M13" s="25"/>
      <c r="N13" s="24">
        <f>N11*N12</f>
        <v>295.60562121212126</v>
      </c>
      <c r="O13" s="25"/>
      <c r="P13" s="26">
        <f>L13-N13</f>
        <v>-16.187526936026984</v>
      </c>
      <c r="Q13" s="24">
        <f>Q11*Q12</f>
        <v>290.02616217116213</v>
      </c>
      <c r="R13" s="25"/>
      <c r="S13" s="26">
        <f t="shared" si="2"/>
        <v>-10.608067895067848</v>
      </c>
      <c r="T13" s="17"/>
    </row>
    <row r="14" spans="1:21" s="22" customFormat="1" ht="15" x14ac:dyDescent="0.25">
      <c r="A14" s="16"/>
      <c r="B14" s="17" t="s">
        <v>12</v>
      </c>
      <c r="C14" s="18"/>
      <c r="D14" s="19"/>
      <c r="E14" s="18"/>
      <c r="F14" s="19"/>
      <c r="G14" s="20"/>
      <c r="H14" s="18"/>
      <c r="I14" s="19"/>
      <c r="J14" s="20"/>
      <c r="K14" s="21"/>
      <c r="L14" s="18"/>
      <c r="M14" s="19"/>
      <c r="N14" s="18"/>
      <c r="O14" s="19"/>
      <c r="P14" s="20"/>
      <c r="Q14" s="18"/>
      <c r="R14" s="19"/>
      <c r="S14" s="20"/>
      <c r="T14" s="17"/>
    </row>
    <row r="15" spans="1:21" s="22" customFormat="1" ht="15" x14ac:dyDescent="0.25">
      <c r="A15" s="16"/>
      <c r="B15" s="17" t="s">
        <v>12</v>
      </c>
      <c r="C15" s="18"/>
      <c r="D15" s="19"/>
      <c r="E15" s="18"/>
      <c r="F15" s="19"/>
      <c r="G15" s="20"/>
      <c r="H15" s="18"/>
      <c r="I15" s="19"/>
      <c r="J15" s="20"/>
      <c r="K15" s="21"/>
      <c r="L15" s="18"/>
      <c r="M15" s="19"/>
      <c r="N15" s="18"/>
      <c r="O15" s="19"/>
      <c r="P15" s="20"/>
      <c r="Q15" s="18"/>
      <c r="R15" s="19"/>
      <c r="S15" s="20"/>
      <c r="T15" s="17"/>
    </row>
    <row r="16" spans="1:21" s="22" customFormat="1" ht="15" x14ac:dyDescent="0.25">
      <c r="A16" s="16"/>
      <c r="B16" s="27" t="s">
        <v>13</v>
      </c>
      <c r="C16" s="18"/>
      <c r="D16" s="19"/>
      <c r="E16" s="18"/>
      <c r="F16" s="19"/>
      <c r="G16" s="20"/>
      <c r="H16" s="18"/>
      <c r="I16" s="19"/>
      <c r="J16" s="20"/>
      <c r="K16" s="21"/>
      <c r="L16" s="18"/>
      <c r="M16" s="19"/>
      <c r="N16" s="18"/>
      <c r="O16" s="19"/>
      <c r="P16" s="20"/>
      <c r="Q16" s="18"/>
      <c r="R16" s="19"/>
      <c r="S16" s="20"/>
      <c r="T16" s="17"/>
    </row>
    <row r="17" spans="1:20" s="22" customFormat="1" ht="15" x14ac:dyDescent="0.25">
      <c r="A17" s="16"/>
      <c r="B17" s="17" t="s">
        <v>14</v>
      </c>
      <c r="C17" s="18">
        <v>1109863.78</v>
      </c>
      <c r="D17" s="19">
        <f>C17/C21</f>
        <v>0.69806500180330444</v>
      </c>
      <c r="E17" s="18">
        <v>1213138.49</v>
      </c>
      <c r="F17" s="19">
        <f>E17/E$21</f>
        <v>0.67612259123154728</v>
      </c>
      <c r="G17" s="20">
        <f t="shared" ref="G17:G21" si="3">C17-E17</f>
        <v>-103274.70999999996</v>
      </c>
      <c r="H17" s="18">
        <v>1184238.79</v>
      </c>
      <c r="I17" s="19">
        <f>H17/H$21</f>
        <v>0.77502197765203551</v>
      </c>
      <c r="J17" s="20">
        <f t="shared" ref="J17:J21" si="4">C17-H17</f>
        <v>-74375.010000000009</v>
      </c>
      <c r="K17" s="21"/>
      <c r="L17" s="18">
        <v>3319486.96</v>
      </c>
      <c r="M17" s="19">
        <f>L17/L$21</f>
        <v>0.69439130420112272</v>
      </c>
      <c r="N17" s="18">
        <v>3511794.7800000003</v>
      </c>
      <c r="O17" s="19">
        <f>N17/N$21</f>
        <v>0.66947702040922552</v>
      </c>
      <c r="P17" s="20">
        <f>L17-N17</f>
        <v>-192307.8200000003</v>
      </c>
      <c r="Q17" s="18">
        <v>3483794.26</v>
      </c>
      <c r="R17" s="19">
        <f>Q17/Q$21</f>
        <v>0.76647772740277453</v>
      </c>
      <c r="S17" s="20">
        <f t="shared" ref="S17:S21" si="5">L17-Q17</f>
        <v>-164307.29999999981</v>
      </c>
      <c r="T17" s="17"/>
    </row>
    <row r="18" spans="1:20" s="22" customFormat="1" ht="15" x14ac:dyDescent="0.25">
      <c r="A18" s="16"/>
      <c r="B18" s="17" t="s">
        <v>15</v>
      </c>
      <c r="C18" s="18">
        <v>367074.76</v>
      </c>
      <c r="D18" s="19">
        <f>C18/C21</f>
        <v>0.23087702078298972</v>
      </c>
      <c r="E18" s="18">
        <v>457691.3</v>
      </c>
      <c r="F18" s="19">
        <f>E18/E$21</f>
        <v>0.25508664533439662</v>
      </c>
      <c r="G18" s="20">
        <f t="shared" si="3"/>
        <v>-90616.539999999979</v>
      </c>
      <c r="H18" s="18">
        <v>239649.25</v>
      </c>
      <c r="I18" s="19">
        <f>H18/H$21</f>
        <v>0.15683782463993354</v>
      </c>
      <c r="J18" s="20">
        <f t="shared" si="4"/>
        <v>127425.51000000001</v>
      </c>
      <c r="K18" s="21"/>
      <c r="L18" s="18">
        <v>1144833.8600000001</v>
      </c>
      <c r="M18" s="19">
        <f>L18/L$21</f>
        <v>0.23948359692878735</v>
      </c>
      <c r="N18" s="18">
        <v>1355088.1400000001</v>
      </c>
      <c r="O18" s="19">
        <f>N18/N$21</f>
        <v>0.25832955146629599</v>
      </c>
      <c r="P18" s="20">
        <f>L18-N18</f>
        <v>-210254.28000000003</v>
      </c>
      <c r="Q18" s="18">
        <v>665619.73</v>
      </c>
      <c r="R18" s="19">
        <f>Q18/Q$21</f>
        <v>0.14644455438216619</v>
      </c>
      <c r="S18" s="20">
        <f t="shared" si="5"/>
        <v>479214.13000000012</v>
      </c>
      <c r="T18" s="17"/>
    </row>
    <row r="19" spans="1:20" s="22" customFormat="1" ht="15" x14ac:dyDescent="0.25">
      <c r="A19" s="16"/>
      <c r="B19" s="17" t="s">
        <v>16</v>
      </c>
      <c r="C19" s="18">
        <v>2364.48</v>
      </c>
      <c r="D19" s="19">
        <f>C19/C21</f>
        <v>1.4871741606558935E-3</v>
      </c>
      <c r="E19" s="18">
        <v>1628.39</v>
      </c>
      <c r="F19" s="19">
        <f>E19/E$21</f>
        <v>9.0755612439231026E-4</v>
      </c>
      <c r="G19" s="20">
        <f t="shared" si="3"/>
        <v>736.08999999999992</v>
      </c>
      <c r="H19" s="18">
        <v>2514.5100000000002</v>
      </c>
      <c r="I19" s="19">
        <f>H19/H$21</f>
        <v>1.6456144904912462E-3</v>
      </c>
      <c r="J19" s="20">
        <f t="shared" si="4"/>
        <v>-150.0300000000002</v>
      </c>
      <c r="K19" s="21"/>
      <c r="L19" s="18">
        <v>6925.6999999999989</v>
      </c>
      <c r="M19" s="19">
        <f>L19/L$21</f>
        <v>1.4487617856181352E-3</v>
      </c>
      <c r="N19" s="18">
        <v>4666.3500000000004</v>
      </c>
      <c r="O19" s="19">
        <f>N19/N$21</f>
        <v>8.8957763476901969E-4</v>
      </c>
      <c r="P19" s="20">
        <f>L19-N19</f>
        <v>2259.3499999999985</v>
      </c>
      <c r="Q19" s="18">
        <v>5745.2000000000007</v>
      </c>
      <c r="R19" s="19">
        <f>Q19/Q$21</f>
        <v>1.264014896067491E-3</v>
      </c>
      <c r="S19" s="20">
        <f t="shared" si="5"/>
        <v>1180.4999999999982</v>
      </c>
      <c r="T19" s="17"/>
    </row>
    <row r="20" spans="1:20" s="22" customFormat="1" ht="15" x14ac:dyDescent="0.25">
      <c r="A20" s="16"/>
      <c r="B20" s="17" t="s">
        <v>17</v>
      </c>
      <c r="C20" s="18">
        <v>110611.64</v>
      </c>
      <c r="D20" s="19">
        <f>C20/C21</f>
        <v>6.9570803253050081E-2</v>
      </c>
      <c r="E20" s="18">
        <v>121800</v>
      </c>
      <c r="F20" s="19">
        <f>E20/E$21</f>
        <v>6.7883207309663768E-2</v>
      </c>
      <c r="G20" s="20">
        <f t="shared" si="3"/>
        <v>-11188.36</v>
      </c>
      <c r="H20" s="18">
        <v>101604.17</v>
      </c>
      <c r="I20" s="19">
        <f>H20/H$21</f>
        <v>6.6494583217539774E-2</v>
      </c>
      <c r="J20" s="20">
        <f t="shared" si="4"/>
        <v>9007.4700000000012</v>
      </c>
      <c r="K20" s="21"/>
      <c r="L20" s="18">
        <v>309180.51</v>
      </c>
      <c r="M20" s="19">
        <f>L20/L$21</f>
        <v>6.4676337084471722E-2</v>
      </c>
      <c r="N20" s="18">
        <v>374030</v>
      </c>
      <c r="O20" s="19">
        <f>N20/N$21</f>
        <v>7.1303850489709594E-2</v>
      </c>
      <c r="P20" s="20">
        <f>L20-N20</f>
        <v>-64849.489999999991</v>
      </c>
      <c r="Q20" s="18">
        <v>390040.41</v>
      </c>
      <c r="R20" s="19">
        <f>Q20/Q$21</f>
        <v>8.5813703318991755E-2</v>
      </c>
      <c r="S20" s="20">
        <f t="shared" si="5"/>
        <v>-80859.899999999965</v>
      </c>
      <c r="T20" s="17"/>
    </row>
    <row r="21" spans="1:20" s="33" customFormat="1" ht="15" x14ac:dyDescent="0.25">
      <c r="A21" s="28"/>
      <c r="B21" s="27" t="s">
        <v>18</v>
      </c>
      <c r="C21" s="29">
        <f>SUM(C17:C20)</f>
        <v>1589914.66</v>
      </c>
      <c r="D21" s="30">
        <f>C21/C21</f>
        <v>1</v>
      </c>
      <c r="E21" s="29">
        <f>SUM(E17:E20)</f>
        <v>1794258.18</v>
      </c>
      <c r="F21" s="30">
        <f>E21/E$21</f>
        <v>1</v>
      </c>
      <c r="G21" s="31">
        <f t="shared" si="3"/>
        <v>-204343.52000000002</v>
      </c>
      <c r="H21" s="29">
        <f>SUM(H17:H20)</f>
        <v>1528006.72</v>
      </c>
      <c r="I21" s="30">
        <f>H21/H$21</f>
        <v>1</v>
      </c>
      <c r="J21" s="31">
        <f t="shared" si="4"/>
        <v>61907.939999999944</v>
      </c>
      <c r="K21" s="32"/>
      <c r="L21" s="29">
        <f>SUM(L17:L20)</f>
        <v>4780427.03</v>
      </c>
      <c r="M21" s="30">
        <f>L21/L$21</f>
        <v>1</v>
      </c>
      <c r="N21" s="29">
        <f>SUM(N17:N20)</f>
        <v>5245579.2699999996</v>
      </c>
      <c r="O21" s="30">
        <f>N21/N$21</f>
        <v>1</v>
      </c>
      <c r="P21" s="31">
        <f>L21-N21</f>
        <v>-465152.23999999929</v>
      </c>
      <c r="Q21" s="29">
        <f>SUM(Q17:Q20)</f>
        <v>4545199.5999999996</v>
      </c>
      <c r="R21" s="30">
        <f>Q21/Q$21</f>
        <v>1</v>
      </c>
      <c r="S21" s="31">
        <f t="shared" si="5"/>
        <v>235227.43000000063</v>
      </c>
      <c r="T21" s="27"/>
    </row>
    <row r="22" spans="1:20" s="22" customFormat="1" ht="15" x14ac:dyDescent="0.25">
      <c r="A22" s="16"/>
      <c r="B22" s="17" t="s">
        <v>12</v>
      </c>
      <c r="C22" s="18"/>
      <c r="D22" s="19"/>
      <c r="E22" s="18"/>
      <c r="F22" s="19"/>
      <c r="G22" s="20"/>
      <c r="H22" s="18"/>
      <c r="I22" s="19"/>
      <c r="J22" s="20"/>
      <c r="K22" s="21"/>
      <c r="L22" s="18"/>
      <c r="M22" s="19"/>
      <c r="N22" s="18"/>
      <c r="O22" s="19"/>
      <c r="P22" s="20"/>
      <c r="Q22" s="18"/>
      <c r="R22" s="19"/>
      <c r="S22" s="20"/>
      <c r="T22" s="17"/>
    </row>
    <row r="23" spans="1:20" s="22" customFormat="1" ht="15" x14ac:dyDescent="0.25">
      <c r="A23" s="16"/>
      <c r="B23" s="27" t="s">
        <v>19</v>
      </c>
      <c r="C23" s="18"/>
      <c r="D23" s="19"/>
      <c r="E23" s="18"/>
      <c r="F23" s="19"/>
      <c r="G23" s="20"/>
      <c r="H23" s="18"/>
      <c r="I23" s="19"/>
      <c r="J23" s="20"/>
      <c r="K23" s="21"/>
      <c r="L23" s="18"/>
      <c r="M23" s="19"/>
      <c r="N23" s="18"/>
      <c r="O23" s="19"/>
      <c r="P23" s="20"/>
      <c r="Q23" s="18"/>
      <c r="R23" s="19"/>
      <c r="S23" s="20"/>
      <c r="T23" s="17"/>
    </row>
    <row r="24" spans="1:20" s="22" customFormat="1" ht="15" x14ac:dyDescent="0.25">
      <c r="A24" s="16"/>
      <c r="B24" s="17" t="s">
        <v>14</v>
      </c>
      <c r="C24" s="18">
        <v>250429.69</v>
      </c>
      <c r="D24" s="19">
        <f>C24/C17</f>
        <v>0.22564002403970693</v>
      </c>
      <c r="E24" s="18">
        <v>266231.81</v>
      </c>
      <c r="F24" s="19">
        <f>E24/E17</f>
        <v>0.21945706297720385</v>
      </c>
      <c r="G24" s="20">
        <f t="shared" ref="G24:G27" si="6">C24-E24</f>
        <v>-15802.119999999995</v>
      </c>
      <c r="H24" s="18">
        <v>263735.28000000003</v>
      </c>
      <c r="I24" s="19">
        <f>H24/H17</f>
        <v>0.22270447668750998</v>
      </c>
      <c r="J24" s="20">
        <f t="shared" ref="J24:J27" si="7">C24-H24</f>
        <v>-13305.590000000026</v>
      </c>
      <c r="K24" s="21"/>
      <c r="L24" s="18">
        <v>769925.07000000007</v>
      </c>
      <c r="M24" s="19">
        <f>L24/L17</f>
        <v>0.23194098343437988</v>
      </c>
      <c r="N24" s="18">
        <v>774559.85000000009</v>
      </c>
      <c r="O24" s="19">
        <f>N24/N17</f>
        <v>0.22055954249126142</v>
      </c>
      <c r="P24" s="20">
        <f>L24-N24</f>
        <v>-4634.7800000000279</v>
      </c>
      <c r="Q24" s="18">
        <v>768935.08000000007</v>
      </c>
      <c r="R24" s="19">
        <f>Q24/Q17</f>
        <v>0.22071770679133049</v>
      </c>
      <c r="S24" s="20">
        <f t="shared" ref="S24:S27" si="8">L24-Q24</f>
        <v>989.98999999999069</v>
      </c>
      <c r="T24" s="17"/>
    </row>
    <row r="25" spans="1:20" s="22" customFormat="1" ht="15" x14ac:dyDescent="0.25">
      <c r="A25" s="16"/>
      <c r="B25" s="17" t="s">
        <v>15</v>
      </c>
      <c r="C25" s="18">
        <v>264575.75</v>
      </c>
      <c r="D25" s="19">
        <f>C25/C18</f>
        <v>0.72076802556514641</v>
      </c>
      <c r="E25" s="18">
        <v>312645.84690982179</v>
      </c>
      <c r="F25" s="19">
        <f>E25/E18</f>
        <v>0.68309327031084444</v>
      </c>
      <c r="G25" s="20">
        <f t="shared" si="6"/>
        <v>-48070.09690982179</v>
      </c>
      <c r="H25" s="18">
        <v>190760.21</v>
      </c>
      <c r="I25" s="19">
        <f>H25/H18</f>
        <v>0.79599752555036163</v>
      </c>
      <c r="J25" s="20">
        <f t="shared" si="7"/>
        <v>73815.540000000008</v>
      </c>
      <c r="K25" s="21"/>
      <c r="L25" s="18">
        <v>788603.57</v>
      </c>
      <c r="M25" s="19">
        <f>L25/L18</f>
        <v>0.68883669286301497</v>
      </c>
      <c r="N25" s="18">
        <v>925211.99590313411</v>
      </c>
      <c r="O25" s="19">
        <f>N25/N18</f>
        <v>0.68276886838012918</v>
      </c>
      <c r="P25" s="20">
        <f>L25-N25</f>
        <v>-136608.42590313416</v>
      </c>
      <c r="Q25" s="18">
        <v>545708.5</v>
      </c>
      <c r="R25" s="19">
        <f>Q25/Q18</f>
        <v>0.81985024692702546</v>
      </c>
      <c r="S25" s="20">
        <f t="shared" si="8"/>
        <v>242895.06999999995</v>
      </c>
      <c r="T25" s="17"/>
    </row>
    <row r="26" spans="1:20" s="22" customFormat="1" ht="15" x14ac:dyDescent="0.25">
      <c r="A26" s="16"/>
      <c r="B26" s="17" t="s">
        <v>16</v>
      </c>
      <c r="C26" s="18">
        <v>1387.57</v>
      </c>
      <c r="D26" s="19">
        <f>C26/C19</f>
        <v>0.58683938963323856</v>
      </c>
      <c r="E26" s="18">
        <v>555.44000000000005</v>
      </c>
      <c r="F26" s="19">
        <f>E26/E19</f>
        <v>0.34109764859769465</v>
      </c>
      <c r="G26" s="20">
        <f t="shared" si="6"/>
        <v>832.12999999999988</v>
      </c>
      <c r="H26" s="18">
        <v>711</v>
      </c>
      <c r="I26" s="19">
        <f>H26/H19</f>
        <v>0.28275886753283935</v>
      </c>
      <c r="J26" s="20">
        <f t="shared" si="7"/>
        <v>676.56999999999994</v>
      </c>
      <c r="K26" s="21"/>
      <c r="L26" s="18">
        <v>3967.0199999999995</v>
      </c>
      <c r="M26" s="19">
        <f>L26/L19</f>
        <v>0.57279697359111714</v>
      </c>
      <c r="N26" s="18">
        <v>1591.67</v>
      </c>
      <c r="O26" s="19">
        <f>N26/N19</f>
        <v>0.3410952886088699</v>
      </c>
      <c r="P26" s="20">
        <f>L26-N26</f>
        <v>2375.3499999999995</v>
      </c>
      <c r="Q26" s="18">
        <v>1679.53</v>
      </c>
      <c r="R26" s="19">
        <f>Q26/Q19</f>
        <v>0.29233621109795999</v>
      </c>
      <c r="S26" s="20">
        <f t="shared" si="8"/>
        <v>2287.4899999999998</v>
      </c>
      <c r="T26" s="17"/>
    </row>
    <row r="27" spans="1:20" s="33" customFormat="1" ht="15" x14ac:dyDescent="0.25">
      <c r="A27" s="28"/>
      <c r="B27" s="27" t="s">
        <v>20</v>
      </c>
      <c r="C27" s="29">
        <f>SUM(C24:C26)</f>
        <v>516393.01</v>
      </c>
      <c r="D27" s="30">
        <f>C27/C21</f>
        <v>0.32479291058301207</v>
      </c>
      <c r="E27" s="29">
        <f>SUM(E24:E26)</f>
        <v>579433.09690982173</v>
      </c>
      <c r="F27" s="30">
        <f>E27/E$21</f>
        <v>0.32293741411830806</v>
      </c>
      <c r="G27" s="31">
        <f t="shared" si="6"/>
        <v>-63040.086909821723</v>
      </c>
      <c r="H27" s="29">
        <f>SUM(H24:H26)</f>
        <v>455206.49</v>
      </c>
      <c r="I27" s="30">
        <f>H27/H$21</f>
        <v>0.29790869637013112</v>
      </c>
      <c r="J27" s="31">
        <f t="shared" si="7"/>
        <v>61186.520000000019</v>
      </c>
      <c r="K27" s="32"/>
      <c r="L27" s="29">
        <f>SUM(L24:L26)</f>
        <v>1562495.6600000001</v>
      </c>
      <c r="M27" s="30">
        <f>L27/L$21</f>
        <v>0.3268527372543118</v>
      </c>
      <c r="N27" s="29">
        <f>SUM(N24:N26)</f>
        <v>1701363.5159031341</v>
      </c>
      <c r="O27" s="30">
        <f>N27/N$21</f>
        <v>0.32434235159373243</v>
      </c>
      <c r="P27" s="31">
        <f>L27-N27</f>
        <v>-138867.85590313398</v>
      </c>
      <c r="Q27" s="29">
        <f>SUM(Q24:Q26)</f>
        <v>1316323.1100000001</v>
      </c>
      <c r="R27" s="30">
        <f>Q27/Q$21</f>
        <v>0.28960732769579584</v>
      </c>
      <c r="S27" s="31">
        <f t="shared" si="8"/>
        <v>246172.55000000005</v>
      </c>
      <c r="T27" s="27"/>
    </row>
    <row r="28" spans="1:20" s="22" customFormat="1" ht="15" x14ac:dyDescent="0.25">
      <c r="A28" s="16"/>
      <c r="B28" s="17" t="s">
        <v>12</v>
      </c>
      <c r="C28" s="18"/>
      <c r="D28" s="19"/>
      <c r="E28" s="18"/>
      <c r="F28" s="19"/>
      <c r="G28" s="20"/>
      <c r="H28" s="18"/>
      <c r="I28" s="19"/>
      <c r="J28" s="20"/>
      <c r="K28" s="21"/>
      <c r="L28" s="18"/>
      <c r="M28" s="19"/>
      <c r="N28" s="18"/>
      <c r="O28" s="19"/>
      <c r="P28" s="20"/>
      <c r="Q28" s="18"/>
      <c r="R28" s="19"/>
      <c r="S28" s="20"/>
      <c r="T28" s="17"/>
    </row>
    <row r="29" spans="1:20" s="22" customFormat="1" ht="15" x14ac:dyDescent="0.25">
      <c r="A29" s="16"/>
      <c r="B29" s="27" t="s">
        <v>21</v>
      </c>
      <c r="C29" s="29">
        <f>C21-C27</f>
        <v>1073521.6499999999</v>
      </c>
      <c r="D29" s="30">
        <f>C29/C21</f>
        <v>0.67520708941698793</v>
      </c>
      <c r="E29" s="29">
        <f>E21-E27</f>
        <v>1214825.0830901782</v>
      </c>
      <c r="F29" s="30">
        <f>E29/E$21</f>
        <v>0.67706258588169188</v>
      </c>
      <c r="G29" s="31">
        <f>C29-E29</f>
        <v>-141303.4330901783</v>
      </c>
      <c r="H29" s="29">
        <f>H21-H27</f>
        <v>1072800.23</v>
      </c>
      <c r="I29" s="30">
        <f>H29/H$21</f>
        <v>0.70209130362986882</v>
      </c>
      <c r="J29" s="31">
        <f>C29-H29</f>
        <v>721.41999999992549</v>
      </c>
      <c r="K29" s="21"/>
      <c r="L29" s="29">
        <f>L21-L27</f>
        <v>3217931.37</v>
      </c>
      <c r="M29" s="30">
        <f>L29/L$21</f>
        <v>0.67314726274568826</v>
      </c>
      <c r="N29" s="29">
        <f>N21-N27</f>
        <v>3544215.7540968657</v>
      </c>
      <c r="O29" s="30">
        <f>N29/N$21</f>
        <v>0.67565764840626763</v>
      </c>
      <c r="P29" s="31">
        <f>L29-N29</f>
        <v>-326284.38409686554</v>
      </c>
      <c r="Q29" s="29">
        <f>Q21-Q27</f>
        <v>3228876.4899999993</v>
      </c>
      <c r="R29" s="30">
        <f>Q29/Q$21</f>
        <v>0.71039267230420411</v>
      </c>
      <c r="S29" s="31">
        <f>L29-Q29</f>
        <v>-10945.11999999918</v>
      </c>
      <c r="T29" s="17"/>
    </row>
    <row r="30" spans="1:20" s="22" customFormat="1" ht="15" x14ac:dyDescent="0.25">
      <c r="A30" s="16"/>
      <c r="B30" s="17" t="s">
        <v>12</v>
      </c>
      <c r="C30" s="18"/>
      <c r="D30" s="19"/>
      <c r="E30" s="18"/>
      <c r="F30" s="19"/>
      <c r="G30" s="20"/>
      <c r="H30" s="18"/>
      <c r="I30" s="19"/>
      <c r="J30" s="20"/>
      <c r="K30" s="21"/>
      <c r="L30" s="18"/>
      <c r="M30" s="19"/>
      <c r="N30" s="18"/>
      <c r="O30" s="19"/>
      <c r="P30" s="20"/>
      <c r="Q30" s="18"/>
      <c r="R30" s="19"/>
      <c r="S30" s="20"/>
      <c r="T30" s="17"/>
    </row>
    <row r="31" spans="1:20" s="22" customFormat="1" ht="15" x14ac:dyDescent="0.25">
      <c r="A31" s="16"/>
      <c r="B31" s="27" t="s">
        <v>22</v>
      </c>
      <c r="C31" s="18"/>
      <c r="D31" s="19"/>
      <c r="E31" s="18"/>
      <c r="F31" s="19"/>
      <c r="G31" s="20"/>
      <c r="H31" s="18"/>
      <c r="I31" s="19"/>
      <c r="J31" s="20"/>
      <c r="K31" s="21"/>
      <c r="L31" s="18"/>
      <c r="M31" s="19"/>
      <c r="N31" s="18"/>
      <c r="O31" s="19"/>
      <c r="P31" s="20"/>
      <c r="Q31" s="18"/>
      <c r="R31" s="19"/>
      <c r="S31" s="20"/>
      <c r="T31" s="17"/>
    </row>
    <row r="32" spans="1:20" s="22" customFormat="1" ht="15" x14ac:dyDescent="0.25">
      <c r="A32" s="16"/>
      <c r="B32" s="17" t="s">
        <v>23</v>
      </c>
      <c r="C32" s="18">
        <v>120164.19</v>
      </c>
      <c r="D32" s="19">
        <f>C32/C21</f>
        <v>7.5579018813500348E-2</v>
      </c>
      <c r="E32" s="18">
        <v>137621.25688972475</v>
      </c>
      <c r="F32" s="19">
        <f t="shared" ref="F32:F37" si="9">E32/E$21</f>
        <v>7.6700922099028554E-2</v>
      </c>
      <c r="G32" s="20">
        <f t="shared" ref="G32:G37" si="10">C32-E32</f>
        <v>-17457.066889724752</v>
      </c>
      <c r="H32" s="18">
        <v>116519.95</v>
      </c>
      <c r="I32" s="19">
        <f t="shared" ref="I32:I37" si="11">H32/H$21</f>
        <v>7.6256176412627288E-2</v>
      </c>
      <c r="J32" s="20">
        <f t="shared" ref="J32:J37" si="12">C32-H32</f>
        <v>3644.2400000000052</v>
      </c>
      <c r="K32" s="21"/>
      <c r="L32" s="18">
        <v>361702.33999999997</v>
      </c>
      <c r="M32" s="19">
        <f t="shared" ref="M32:M37" si="13">L32/L$21</f>
        <v>7.5663186098251137E-2</v>
      </c>
      <c r="N32" s="18">
        <v>405991.04418986972</v>
      </c>
      <c r="O32" s="19">
        <f t="shared" ref="O32:O37" si="14">N32/N$21</f>
        <v>7.7396798960178467E-2</v>
      </c>
      <c r="P32" s="20">
        <f t="shared" ref="P32:P37" si="15">L32-N32</f>
        <v>-44288.70418986975</v>
      </c>
      <c r="Q32" s="18">
        <v>339388.08</v>
      </c>
      <c r="R32" s="19">
        <f t="shared" ref="R32:R37" si="16">Q32/Q$21</f>
        <v>7.4669565666599116E-2</v>
      </c>
      <c r="S32" s="20">
        <f t="shared" ref="S32:S37" si="17">L32-Q32</f>
        <v>22314.259999999951</v>
      </c>
      <c r="T32" s="17"/>
    </row>
    <row r="33" spans="1:20" s="22" customFormat="1" ht="15" x14ac:dyDescent="0.25">
      <c r="A33" s="16"/>
      <c r="B33" s="17" t="s">
        <v>24</v>
      </c>
      <c r="C33" s="18">
        <v>18119.5</v>
      </c>
      <c r="D33" s="19">
        <f>C33/C21</f>
        <v>1.1396523634796853E-2</v>
      </c>
      <c r="E33" s="18">
        <v>17947.560000000001</v>
      </c>
      <c r="F33" s="19">
        <f t="shared" si="9"/>
        <v>1.000277451709876E-2</v>
      </c>
      <c r="G33" s="20">
        <f t="shared" si="10"/>
        <v>171.93999999999869</v>
      </c>
      <c r="H33" s="18">
        <v>20844.099999999999</v>
      </c>
      <c r="I33" s="19">
        <f t="shared" si="11"/>
        <v>1.3641366708125472E-2</v>
      </c>
      <c r="J33" s="20">
        <f>C33-H33</f>
        <v>-2724.5999999999985</v>
      </c>
      <c r="K33" s="21"/>
      <c r="L33" s="18">
        <v>64200.39</v>
      </c>
      <c r="M33" s="19">
        <f t="shared" si="13"/>
        <v>1.34298441534835E-2</v>
      </c>
      <c r="N33" s="18">
        <v>63954.319999999992</v>
      </c>
      <c r="O33" s="19">
        <f t="shared" si="14"/>
        <v>1.219204147114147E-2</v>
      </c>
      <c r="P33" s="20">
        <f t="shared" si="15"/>
        <v>246.07000000000698</v>
      </c>
      <c r="Q33" s="18">
        <v>62215.659999999996</v>
      </c>
      <c r="R33" s="19">
        <f t="shared" si="16"/>
        <v>1.368821294448763E-2</v>
      </c>
      <c r="S33" s="20">
        <f t="shared" si="17"/>
        <v>1984.7300000000032</v>
      </c>
      <c r="T33" s="17"/>
    </row>
    <row r="34" spans="1:20" s="22" customFormat="1" ht="15" x14ac:dyDescent="0.25">
      <c r="A34" s="16"/>
      <c r="B34" s="17" t="s">
        <v>25</v>
      </c>
      <c r="C34" s="18">
        <v>94505.39</v>
      </c>
      <c r="D34" s="19">
        <f>C34/C21</f>
        <v>5.9440542550881319E-2</v>
      </c>
      <c r="E34" s="18">
        <v>119264.87</v>
      </c>
      <c r="F34" s="19">
        <f t="shared" si="9"/>
        <v>6.6470294704187999E-2</v>
      </c>
      <c r="G34" s="20">
        <f t="shared" si="10"/>
        <v>-24759.479999999996</v>
      </c>
      <c r="H34" s="18">
        <v>104713.14</v>
      </c>
      <c r="I34" s="19">
        <f t="shared" si="11"/>
        <v>6.8529240499675292E-2</v>
      </c>
      <c r="J34" s="20">
        <f t="shared" si="12"/>
        <v>-10207.75</v>
      </c>
      <c r="K34" s="21"/>
      <c r="L34" s="18">
        <v>293586.93</v>
      </c>
      <c r="M34" s="19">
        <f t="shared" si="13"/>
        <v>6.1414373267820802E-2</v>
      </c>
      <c r="N34" s="18">
        <v>366180.92</v>
      </c>
      <c r="O34" s="19">
        <f t="shared" si="14"/>
        <v>6.9807527663193619E-2</v>
      </c>
      <c r="P34" s="20">
        <f t="shared" si="15"/>
        <v>-72593.989999999991</v>
      </c>
      <c r="Q34" s="18">
        <v>301663.04000000004</v>
      </c>
      <c r="R34" s="19">
        <f t="shared" si="16"/>
        <v>6.6369591337638964E-2</v>
      </c>
      <c r="S34" s="20">
        <f t="shared" si="17"/>
        <v>-8076.1100000000442</v>
      </c>
      <c r="T34" s="17"/>
    </row>
    <row r="35" spans="1:20" s="22" customFormat="1" ht="15" x14ac:dyDescent="0.25">
      <c r="A35" s="16"/>
      <c r="B35" s="17" t="s">
        <v>26</v>
      </c>
      <c r="C35" s="18">
        <v>47396.59</v>
      </c>
      <c r="D35" s="19">
        <f>C35/C21</f>
        <v>2.9810776133103897E-2</v>
      </c>
      <c r="E35" s="18">
        <v>69425.82020812486</v>
      </c>
      <c r="F35" s="19">
        <f t="shared" si="9"/>
        <v>3.8693327962492481E-2</v>
      </c>
      <c r="G35" s="20">
        <f t="shared" si="10"/>
        <v>-22029.230208124864</v>
      </c>
      <c r="H35" s="18">
        <v>66393.509999999995</v>
      </c>
      <c r="I35" s="19">
        <f t="shared" si="11"/>
        <v>4.345105890633779E-2</v>
      </c>
      <c r="J35" s="20">
        <f t="shared" si="12"/>
        <v>-18996.919999999998</v>
      </c>
      <c r="K35" s="21"/>
      <c r="L35" s="18">
        <v>163435.94</v>
      </c>
      <c r="M35" s="19">
        <f t="shared" si="13"/>
        <v>3.4188564949186137E-2</v>
      </c>
      <c r="N35" s="18">
        <v>202025.0940192783</v>
      </c>
      <c r="O35" s="19">
        <f t="shared" si="14"/>
        <v>3.8513400259658707E-2</v>
      </c>
      <c r="P35" s="20">
        <f t="shared" si="15"/>
        <v>-38589.1540192783</v>
      </c>
      <c r="Q35" s="18">
        <v>187893.63</v>
      </c>
      <c r="R35" s="19">
        <f t="shared" si="16"/>
        <v>4.1338917217188881E-2</v>
      </c>
      <c r="S35" s="20">
        <f t="shared" si="17"/>
        <v>-24457.690000000002</v>
      </c>
      <c r="T35" s="17"/>
    </row>
    <row r="36" spans="1:20" s="22" customFormat="1" ht="15" x14ac:dyDescent="0.25">
      <c r="A36" s="16"/>
      <c r="B36" s="17" t="s">
        <v>27</v>
      </c>
      <c r="C36" s="18">
        <v>22703.39</v>
      </c>
      <c r="D36" s="19">
        <f>C36/C21</f>
        <v>1.4279628065068599E-2</v>
      </c>
      <c r="E36" s="18">
        <v>22445.23</v>
      </c>
      <c r="F36" s="19">
        <f t="shared" si="9"/>
        <v>1.250947620035373E-2</v>
      </c>
      <c r="G36" s="20">
        <f t="shared" si="10"/>
        <v>258.15999999999985</v>
      </c>
      <c r="H36" s="18">
        <v>24386.98</v>
      </c>
      <c r="I36" s="19">
        <f t="shared" si="11"/>
        <v>1.5959995254471133E-2</v>
      </c>
      <c r="J36" s="20">
        <f t="shared" si="12"/>
        <v>-1683.5900000000001</v>
      </c>
      <c r="K36" s="21"/>
      <c r="L36" s="18">
        <v>69323.5</v>
      </c>
      <c r="M36" s="19">
        <f t="shared" si="13"/>
        <v>1.4501528747317789E-2</v>
      </c>
      <c r="N36" s="18">
        <v>67054.649999999994</v>
      </c>
      <c r="O36" s="19">
        <f t="shared" si="14"/>
        <v>1.2783078197577215E-2</v>
      </c>
      <c r="P36" s="20">
        <f t="shared" si="15"/>
        <v>2268.8500000000058</v>
      </c>
      <c r="Q36" s="18">
        <v>70168.14</v>
      </c>
      <c r="R36" s="19">
        <f t="shared" si="16"/>
        <v>1.5437856678505385E-2</v>
      </c>
      <c r="S36" s="20">
        <f t="shared" si="17"/>
        <v>-844.63999999999942</v>
      </c>
      <c r="T36" s="17"/>
    </row>
    <row r="37" spans="1:20" s="33" customFormat="1" ht="15" x14ac:dyDescent="0.25">
      <c r="A37" s="28"/>
      <c r="B37" s="27" t="s">
        <v>28</v>
      </c>
      <c r="C37" s="29">
        <f>SUM(C32:C36)</f>
        <v>302889.06000000006</v>
      </c>
      <c r="D37" s="30">
        <f>C37/C21</f>
        <v>0.19050648919735105</v>
      </c>
      <c r="E37" s="29">
        <f>SUM(E32:E36)</f>
        <v>366704.7370978496</v>
      </c>
      <c r="F37" s="30">
        <f t="shared" si="9"/>
        <v>0.20437679548316151</v>
      </c>
      <c r="G37" s="31">
        <f t="shared" si="10"/>
        <v>-63815.677097849548</v>
      </c>
      <c r="H37" s="29">
        <f>SUM(H32:H36)</f>
        <v>332857.68</v>
      </c>
      <c r="I37" s="30">
        <f t="shared" si="11"/>
        <v>0.21783783778123697</v>
      </c>
      <c r="J37" s="31">
        <f t="shared" si="12"/>
        <v>-29968.619999999937</v>
      </c>
      <c r="K37" s="32"/>
      <c r="L37" s="29">
        <f>SUM(L32:L36)</f>
        <v>952249.09999999986</v>
      </c>
      <c r="M37" s="30">
        <f t="shared" si="13"/>
        <v>0.19919749721605934</v>
      </c>
      <c r="N37" s="29">
        <f>SUM(N32:N36)</f>
        <v>1105206.028209148</v>
      </c>
      <c r="O37" s="30">
        <f t="shared" si="14"/>
        <v>0.2106928465517495</v>
      </c>
      <c r="P37" s="31">
        <f t="shared" si="15"/>
        <v>-152956.92820914811</v>
      </c>
      <c r="Q37" s="29">
        <f>SUM(Q32:Q36)</f>
        <v>961328.55</v>
      </c>
      <c r="R37" s="30">
        <f t="shared" si="16"/>
        <v>0.21150414384441998</v>
      </c>
      <c r="S37" s="31">
        <f t="shared" si="17"/>
        <v>-9079.4500000001863</v>
      </c>
      <c r="T37" s="27"/>
    </row>
    <row r="38" spans="1:20" s="22" customFormat="1" ht="15" x14ac:dyDescent="0.25">
      <c r="A38" s="16"/>
      <c r="B38" s="17" t="s">
        <v>12</v>
      </c>
      <c r="C38" s="18"/>
      <c r="D38" s="19"/>
      <c r="E38" s="18"/>
      <c r="F38" s="19"/>
      <c r="G38" s="20"/>
      <c r="H38" s="18"/>
      <c r="I38" s="19"/>
      <c r="J38" s="20"/>
      <c r="K38" s="21"/>
      <c r="L38" s="18"/>
      <c r="M38" s="19"/>
      <c r="N38" s="18"/>
      <c r="O38" s="19"/>
      <c r="P38" s="20"/>
      <c r="Q38" s="18"/>
      <c r="R38" s="19"/>
      <c r="S38" s="20"/>
      <c r="T38" s="17"/>
    </row>
    <row r="39" spans="1:20" s="22" customFormat="1" ht="15" x14ac:dyDescent="0.25">
      <c r="A39" s="16"/>
      <c r="B39" s="27" t="s">
        <v>29</v>
      </c>
      <c r="C39" s="29">
        <f>C29-C37</f>
        <v>770632.58999999985</v>
      </c>
      <c r="D39" s="30">
        <f>C39/C21</f>
        <v>0.4847006002196369</v>
      </c>
      <c r="E39" s="29">
        <f>E29-E37</f>
        <v>848120.3459923286</v>
      </c>
      <c r="F39" s="30">
        <f>E39/E$21</f>
        <v>0.47268579039853043</v>
      </c>
      <c r="G39" s="31">
        <f>C39-E39</f>
        <v>-77487.755992328748</v>
      </c>
      <c r="H39" s="29">
        <f>H29-H37</f>
        <v>739942.55</v>
      </c>
      <c r="I39" s="30">
        <f>H39/H$21</f>
        <v>0.48425346584863194</v>
      </c>
      <c r="J39" s="31">
        <f>C39-H39</f>
        <v>30690.039999999804</v>
      </c>
      <c r="K39" s="21"/>
      <c r="L39" s="29">
        <f>L29-L37</f>
        <v>2265682.2700000005</v>
      </c>
      <c r="M39" s="30">
        <f>L39/L$21</f>
        <v>0.47394976552962892</v>
      </c>
      <c r="N39" s="29">
        <f>N29-N37</f>
        <v>2439009.7258877177</v>
      </c>
      <c r="O39" s="30">
        <f>N39/N$21</f>
        <v>0.46496480185451816</v>
      </c>
      <c r="P39" s="31">
        <f>L39-N39</f>
        <v>-173327.45588771719</v>
      </c>
      <c r="Q39" s="29">
        <f>Q29-Q37</f>
        <v>2267547.9399999995</v>
      </c>
      <c r="R39" s="30">
        <f>Q39/Q$21</f>
        <v>0.49888852845978415</v>
      </c>
      <c r="S39" s="31">
        <f>L39-Q39</f>
        <v>-1865.6699999989942</v>
      </c>
      <c r="T39" s="17"/>
    </row>
    <row r="40" spans="1:20" s="22" customFormat="1" ht="15" x14ac:dyDescent="0.25">
      <c r="A40" s="16"/>
      <c r="B40" s="17" t="s">
        <v>12</v>
      </c>
      <c r="C40" s="18"/>
      <c r="D40" s="19"/>
      <c r="E40" s="18"/>
      <c r="F40" s="19"/>
      <c r="G40" s="20"/>
      <c r="H40" s="18"/>
      <c r="I40" s="19"/>
      <c r="J40" s="20"/>
      <c r="K40" s="21"/>
      <c r="L40" s="18"/>
      <c r="M40" s="19"/>
      <c r="N40" s="18"/>
      <c r="O40" s="19"/>
      <c r="P40" s="20"/>
      <c r="Q40" s="18"/>
      <c r="R40" s="19"/>
      <c r="S40" s="20"/>
      <c r="T40" s="17"/>
    </row>
    <row r="41" spans="1:20" s="22" customFormat="1" ht="15" x14ac:dyDescent="0.25">
      <c r="A41" s="16"/>
      <c r="B41" s="17" t="s">
        <v>30</v>
      </c>
      <c r="C41" s="18">
        <v>69990.81</v>
      </c>
      <c r="D41" s="19">
        <f>C41/C21</f>
        <v>4.402174013541079E-2</v>
      </c>
      <c r="E41" s="18">
        <v>80408.03</v>
      </c>
      <c r="F41" s="19">
        <f>E41/E$21</f>
        <v>4.4814080212246823E-2</v>
      </c>
      <c r="G41" s="20">
        <f t="shared" ref="G41:G42" si="18">C41-E41</f>
        <v>-10417.220000000001</v>
      </c>
      <c r="H41" s="18">
        <v>64662.33</v>
      </c>
      <c r="I41" s="19">
        <f>H41/H$21</f>
        <v>4.2318092684827988E-2</v>
      </c>
      <c r="J41" s="20">
        <f t="shared" ref="J41:J42" si="19">C41-H41</f>
        <v>5328.4799999999959</v>
      </c>
      <c r="K41" s="21"/>
      <c r="L41" s="18">
        <v>205542.03999999998</v>
      </c>
      <c r="M41" s="19">
        <f>L41/L$21</f>
        <v>4.2996585600010712E-2</v>
      </c>
      <c r="N41" s="18">
        <v>236182.36000000002</v>
      </c>
      <c r="O41" s="19">
        <f>N41/N$21</f>
        <v>4.5025029237619363E-2</v>
      </c>
      <c r="P41" s="20">
        <f>L41-N41</f>
        <v>-30640.320000000036</v>
      </c>
      <c r="Q41" s="18">
        <v>186451.77000000002</v>
      </c>
      <c r="R41" s="19">
        <f>Q41/Q$21</f>
        <v>4.102169022456132E-2</v>
      </c>
      <c r="S41" s="20">
        <f t="shared" ref="S41:S42" si="20">L41-Q41</f>
        <v>19090.26999999996</v>
      </c>
      <c r="T41" s="17"/>
    </row>
    <row r="42" spans="1:20" s="33" customFormat="1" ht="15" x14ac:dyDescent="0.25">
      <c r="A42" s="28"/>
      <c r="B42" s="27" t="s">
        <v>31</v>
      </c>
      <c r="C42" s="29">
        <f>C39-C41</f>
        <v>700641.7799999998</v>
      </c>
      <c r="D42" s="30">
        <f>C42/C21</f>
        <v>0.44067886008422608</v>
      </c>
      <c r="E42" s="29">
        <f>E39-E41</f>
        <v>767712.31599232857</v>
      </c>
      <c r="F42" s="30">
        <f>E42/E$21</f>
        <v>0.42787171018628356</v>
      </c>
      <c r="G42" s="31">
        <f t="shared" si="18"/>
        <v>-67070.535992328776</v>
      </c>
      <c r="H42" s="29">
        <f>H39-H41</f>
        <v>675280.22000000009</v>
      </c>
      <c r="I42" s="30">
        <f>H42/H$21</f>
        <v>0.44193537316380394</v>
      </c>
      <c r="J42" s="31">
        <f t="shared" si="19"/>
        <v>25361.559999999707</v>
      </c>
      <c r="K42" s="32"/>
      <c r="L42" s="29">
        <f>L39-L41</f>
        <v>2060140.2300000004</v>
      </c>
      <c r="M42" s="30">
        <f>L42/L$21</f>
        <v>0.43095317992961818</v>
      </c>
      <c r="N42" s="29">
        <f>N39-N41</f>
        <v>2202827.3658877178</v>
      </c>
      <c r="O42" s="30">
        <f>N42/N$21</f>
        <v>0.4199397726168988</v>
      </c>
      <c r="P42" s="31">
        <f>L42-N42</f>
        <v>-142687.13588771736</v>
      </c>
      <c r="Q42" s="29">
        <f>Q39-Q41</f>
        <v>2081096.1699999995</v>
      </c>
      <c r="R42" s="30">
        <f>Q42/Q$21</f>
        <v>0.45786683823522284</v>
      </c>
      <c r="S42" s="31">
        <f t="shared" si="20"/>
        <v>-20955.939999999013</v>
      </c>
      <c r="T42" s="27"/>
    </row>
    <row r="43" spans="1:20" s="22" customFormat="1" ht="15" x14ac:dyDescent="0.25">
      <c r="A43" s="16"/>
      <c r="B43" s="17" t="s">
        <v>12</v>
      </c>
      <c r="C43" s="18"/>
      <c r="D43" s="19"/>
      <c r="E43" s="18"/>
      <c r="F43" s="19"/>
      <c r="G43" s="20"/>
      <c r="H43" s="18"/>
      <c r="I43" s="19"/>
      <c r="J43" s="20"/>
      <c r="K43" s="21"/>
      <c r="L43" s="18"/>
      <c r="M43" s="19"/>
      <c r="N43" s="18"/>
      <c r="O43" s="19"/>
      <c r="P43" s="20"/>
      <c r="Q43" s="18"/>
      <c r="R43" s="19"/>
      <c r="S43" s="20"/>
      <c r="T43" s="17"/>
    </row>
    <row r="44" spans="1:20" s="22" customFormat="1" ht="15" x14ac:dyDescent="0.25">
      <c r="A44" s="16"/>
      <c r="B44" s="17" t="s">
        <v>32</v>
      </c>
      <c r="C44" s="18">
        <v>-1682.8</v>
      </c>
      <c r="D44" s="19">
        <f>C44/C21</f>
        <v>-1.0584215884895357E-3</v>
      </c>
      <c r="E44" s="18">
        <v>-2031</v>
      </c>
      <c r="F44" s="19">
        <f t="shared" ref="F44:F49" si="21">E44/E$21</f>
        <v>-1.1319441218877431E-3</v>
      </c>
      <c r="G44" s="20">
        <f t="shared" ref="G44:G49" si="22">C44-E44</f>
        <v>348.20000000000005</v>
      </c>
      <c r="H44" s="18">
        <v>-2002.55</v>
      </c>
      <c r="I44" s="19">
        <f t="shared" ref="I44:I49" si="23">H44/H$21</f>
        <v>-1.3105636079925093E-3</v>
      </c>
      <c r="J44" s="20">
        <f t="shared" ref="J44:J49" si="24">C44-H44</f>
        <v>319.75</v>
      </c>
      <c r="K44" s="21"/>
      <c r="L44" s="18">
        <v>-8253.25</v>
      </c>
      <c r="M44" s="19">
        <f t="shared" ref="M44:M49" si="25">L44/L$21</f>
        <v>-1.7264671018312771E-3</v>
      </c>
      <c r="N44" s="18">
        <v>-6093</v>
      </c>
      <c r="O44" s="19">
        <f t="shared" ref="O44:O49" si="26">N44/N$21</f>
        <v>-1.1615495041408458E-3</v>
      </c>
      <c r="P44" s="20">
        <f t="shared" ref="P44:P49" si="27">L44-N44</f>
        <v>-2160.25</v>
      </c>
      <c r="Q44" s="18">
        <v>-5780.6</v>
      </c>
      <c r="R44" s="19">
        <f t="shared" ref="R44:R49" si="28">Q44/Q$21</f>
        <v>-1.2718033329053363E-3</v>
      </c>
      <c r="S44" s="20">
        <f t="shared" ref="S44:S49" si="29">L44-Q44</f>
        <v>-2472.6499999999996</v>
      </c>
      <c r="T44" s="17"/>
    </row>
    <row r="45" spans="1:20" s="22" customFormat="1" ht="15" x14ac:dyDescent="0.25">
      <c r="A45" s="16"/>
      <c r="B45" s="17" t="s">
        <v>33</v>
      </c>
      <c r="C45" s="18">
        <v>924.24</v>
      </c>
      <c r="D45" s="19">
        <f>C45/C21</f>
        <v>5.8131421972044722E-4</v>
      </c>
      <c r="E45" s="18">
        <v>1100.5</v>
      </c>
      <c r="F45" s="19">
        <f t="shared" si="21"/>
        <v>6.1334539937836594E-4</v>
      </c>
      <c r="G45" s="20">
        <f t="shared" si="22"/>
        <v>-176.26</v>
      </c>
      <c r="H45" s="18">
        <v>1671.22</v>
      </c>
      <c r="I45" s="19">
        <f t="shared" si="23"/>
        <v>1.0937255563902232E-3</v>
      </c>
      <c r="J45" s="20">
        <f t="shared" si="24"/>
        <v>-746.98</v>
      </c>
      <c r="K45" s="21"/>
      <c r="L45" s="18">
        <v>3654.63</v>
      </c>
      <c r="M45" s="19">
        <f t="shared" si="25"/>
        <v>7.6449864772854816E-4</v>
      </c>
      <c r="N45" s="18">
        <v>3514.5</v>
      </c>
      <c r="O45" s="19">
        <f t="shared" si="26"/>
        <v>6.6999273466322056E-4</v>
      </c>
      <c r="P45" s="20">
        <f t="shared" si="27"/>
        <v>140.13000000000011</v>
      </c>
      <c r="Q45" s="18">
        <v>4368.29</v>
      </c>
      <c r="R45" s="19">
        <f t="shared" si="28"/>
        <v>9.61077704926314E-4</v>
      </c>
      <c r="S45" s="20">
        <f t="shared" si="29"/>
        <v>-713.65999999999985</v>
      </c>
      <c r="T45" s="17"/>
    </row>
    <row r="46" spans="1:20" s="22" customFormat="1" ht="15" x14ac:dyDescent="0.25">
      <c r="A46" s="16"/>
      <c r="B46" s="17" t="s">
        <v>34</v>
      </c>
      <c r="C46" s="18">
        <v>48368</v>
      </c>
      <c r="D46" s="19">
        <f>C46/C21</f>
        <v>3.0421758611874176E-2</v>
      </c>
      <c r="E46" s="18">
        <v>48368</v>
      </c>
      <c r="F46" s="19">
        <f t="shared" si="21"/>
        <v>2.6957101569407366E-2</v>
      </c>
      <c r="G46" s="20">
        <f t="shared" si="22"/>
        <v>0</v>
      </c>
      <c r="H46" s="18">
        <v>45461</v>
      </c>
      <c r="I46" s="19">
        <f t="shared" si="23"/>
        <v>2.9751832505029822E-2</v>
      </c>
      <c r="J46" s="20">
        <f t="shared" si="24"/>
        <v>2907</v>
      </c>
      <c r="K46" s="21"/>
      <c r="L46" s="18">
        <v>145104</v>
      </c>
      <c r="M46" s="19">
        <f t="shared" si="25"/>
        <v>3.0353773646033456E-2</v>
      </c>
      <c r="N46" s="18">
        <v>145104</v>
      </c>
      <c r="O46" s="19">
        <f t="shared" si="26"/>
        <v>2.7662149884925866E-2</v>
      </c>
      <c r="P46" s="20">
        <f t="shared" si="27"/>
        <v>0</v>
      </c>
      <c r="Q46" s="18">
        <v>139849</v>
      </c>
      <c r="R46" s="19">
        <f t="shared" si="28"/>
        <v>3.076850574395017E-2</v>
      </c>
      <c r="S46" s="20">
        <f t="shared" si="29"/>
        <v>5255</v>
      </c>
      <c r="T46" s="17"/>
    </row>
    <row r="47" spans="1:20" s="22" customFormat="1" ht="15" x14ac:dyDescent="0.25">
      <c r="A47" s="16"/>
      <c r="B47" s="17" t="s">
        <v>35</v>
      </c>
      <c r="C47" s="18">
        <v>115207.89</v>
      </c>
      <c r="D47" s="19">
        <f>C47/C21</f>
        <v>7.2461681685481158E-2</v>
      </c>
      <c r="E47" s="18">
        <v>120738.82</v>
      </c>
      <c r="F47" s="19">
        <f t="shared" si="21"/>
        <v>6.7291776259311806E-2</v>
      </c>
      <c r="G47" s="20">
        <f t="shared" si="22"/>
        <v>-5530.9300000000076</v>
      </c>
      <c r="H47" s="18">
        <v>130720.95</v>
      </c>
      <c r="I47" s="19">
        <f t="shared" si="23"/>
        <v>8.5549983706877941E-2</v>
      </c>
      <c r="J47" s="20">
        <f t="shared" si="24"/>
        <v>-15513.059999999998</v>
      </c>
      <c r="K47" s="21"/>
      <c r="L47" s="18">
        <v>346008.53</v>
      </c>
      <c r="M47" s="19">
        <f t="shared" si="25"/>
        <v>7.2380255535455795E-2</v>
      </c>
      <c r="N47" s="18">
        <v>362130.96</v>
      </c>
      <c r="O47" s="19">
        <f t="shared" si="26"/>
        <v>6.9035456593147637E-2</v>
      </c>
      <c r="P47" s="20">
        <f t="shared" si="27"/>
        <v>-16122.429999999993</v>
      </c>
      <c r="Q47" s="18">
        <v>390895.23</v>
      </c>
      <c r="R47" s="19">
        <f t="shared" si="28"/>
        <v>8.6001774267515124E-2</v>
      </c>
      <c r="S47" s="20">
        <f t="shared" si="29"/>
        <v>-44886.699999999953</v>
      </c>
      <c r="T47" s="17"/>
    </row>
    <row r="48" spans="1:20" s="22" customFormat="1" ht="15" x14ac:dyDescent="0.25">
      <c r="A48" s="16"/>
      <c r="B48" s="17" t="s">
        <v>36</v>
      </c>
      <c r="C48" s="18">
        <v>0</v>
      </c>
      <c r="D48" s="19">
        <f>C48/C21</f>
        <v>0</v>
      </c>
      <c r="E48" s="18">
        <v>0</v>
      </c>
      <c r="F48" s="19">
        <f t="shared" si="21"/>
        <v>0</v>
      </c>
      <c r="G48" s="20">
        <f t="shared" si="22"/>
        <v>0</v>
      </c>
      <c r="H48" s="18">
        <v>0</v>
      </c>
      <c r="I48" s="19">
        <f t="shared" si="23"/>
        <v>0</v>
      </c>
      <c r="J48" s="20">
        <f t="shared" si="24"/>
        <v>0</v>
      </c>
      <c r="K48" s="21"/>
      <c r="L48" s="18">
        <v>0</v>
      </c>
      <c r="M48" s="19">
        <f t="shared" si="25"/>
        <v>0</v>
      </c>
      <c r="N48" s="18">
        <v>0</v>
      </c>
      <c r="O48" s="19">
        <f t="shared" si="26"/>
        <v>0</v>
      </c>
      <c r="P48" s="20">
        <f t="shared" si="27"/>
        <v>0</v>
      </c>
      <c r="Q48" s="18">
        <v>0</v>
      </c>
      <c r="R48" s="19">
        <f t="shared" si="28"/>
        <v>0</v>
      </c>
      <c r="S48" s="20">
        <f t="shared" si="29"/>
        <v>0</v>
      </c>
      <c r="T48" s="17"/>
    </row>
    <row r="49" spans="1:20" s="33" customFormat="1" ht="15" x14ac:dyDescent="0.25">
      <c r="A49" s="28"/>
      <c r="B49" s="27" t="s">
        <v>37</v>
      </c>
      <c r="C49" s="29">
        <f>SUM(C44:C48)</f>
        <v>162817.33000000002</v>
      </c>
      <c r="D49" s="30">
        <f>C49/C21</f>
        <v>0.10240633292858625</v>
      </c>
      <c r="E49" s="29">
        <f>SUM(E44:E48)</f>
        <v>168176.32</v>
      </c>
      <c r="F49" s="30">
        <f t="shared" si="21"/>
        <v>9.3730279106209791E-2</v>
      </c>
      <c r="G49" s="31">
        <f t="shared" si="22"/>
        <v>-5358.9899999999907</v>
      </c>
      <c r="H49" s="29">
        <f>SUM(H44:H48)</f>
        <v>175850.62</v>
      </c>
      <c r="I49" s="30">
        <f t="shared" si="23"/>
        <v>0.11508497816030547</v>
      </c>
      <c r="J49" s="31">
        <f t="shared" si="24"/>
        <v>-13033.289999999979</v>
      </c>
      <c r="K49" s="32"/>
      <c r="L49" s="29">
        <f>SUM(L44:L48)</f>
        <v>486513.91000000003</v>
      </c>
      <c r="M49" s="30">
        <f t="shared" si="25"/>
        <v>0.10177206072738652</v>
      </c>
      <c r="N49" s="29">
        <f>SUM(N44:N48)</f>
        <v>504656.46</v>
      </c>
      <c r="O49" s="30">
        <f t="shared" si="26"/>
        <v>9.6206049708595878E-2</v>
      </c>
      <c r="P49" s="31">
        <f t="shared" si="27"/>
        <v>-18142.549999999988</v>
      </c>
      <c r="Q49" s="29">
        <f>SUM(Q44:Q48)</f>
        <v>529331.91999999993</v>
      </c>
      <c r="R49" s="30">
        <f t="shared" si="28"/>
        <v>0.11645955438348625</v>
      </c>
      <c r="S49" s="31">
        <f t="shared" si="29"/>
        <v>-42818.009999999893</v>
      </c>
      <c r="T49" s="27"/>
    </row>
    <row r="50" spans="1:20" s="22" customFormat="1" ht="15" x14ac:dyDescent="0.25">
      <c r="A50" s="16"/>
      <c r="B50" s="17" t="s">
        <v>12</v>
      </c>
      <c r="C50" s="18"/>
      <c r="D50" s="19"/>
      <c r="E50" s="18"/>
      <c r="F50" s="19"/>
      <c r="G50" s="20"/>
      <c r="H50" s="18"/>
      <c r="I50" s="19"/>
      <c r="J50" s="20"/>
      <c r="K50" s="21"/>
      <c r="L50" s="18"/>
      <c r="M50" s="19"/>
      <c r="N50" s="18"/>
      <c r="O50" s="19"/>
      <c r="P50" s="20"/>
      <c r="Q50" s="18"/>
      <c r="R50" s="19"/>
      <c r="S50" s="20"/>
      <c r="T50" s="17"/>
    </row>
    <row r="51" spans="1:20" s="33" customFormat="1" ht="15" x14ac:dyDescent="0.25">
      <c r="A51" s="28"/>
      <c r="B51" s="27" t="s">
        <v>38</v>
      </c>
      <c r="C51" s="29">
        <f>C42-C49</f>
        <v>537824.44999999972</v>
      </c>
      <c r="D51" s="30">
        <f>C51/C21</f>
        <v>0.33827252715563977</v>
      </c>
      <c r="E51" s="29">
        <f>E42-E49</f>
        <v>599535.99599232851</v>
      </c>
      <c r="F51" s="30">
        <f>E51/E$21</f>
        <v>0.33414143108007371</v>
      </c>
      <c r="G51" s="31">
        <f>C51-E51</f>
        <v>-61711.545992328785</v>
      </c>
      <c r="H51" s="29">
        <f>H42-H49</f>
        <v>499429.60000000009</v>
      </c>
      <c r="I51" s="30">
        <f>H51/H$21</f>
        <v>0.3268503950034985</v>
      </c>
      <c r="J51" s="31">
        <f>C51-H51</f>
        <v>38394.849999999627</v>
      </c>
      <c r="K51" s="32"/>
      <c r="L51" s="29">
        <f>L42-L49</f>
        <v>1573626.3200000003</v>
      </c>
      <c r="M51" s="30">
        <f>L51/L$21</f>
        <v>0.32918111920223164</v>
      </c>
      <c r="N51" s="29">
        <f>N42-N49</f>
        <v>1698170.9058877178</v>
      </c>
      <c r="O51" s="30">
        <f>N51/N$21</f>
        <v>0.32373372290830293</v>
      </c>
      <c r="P51" s="31">
        <f>L51-N51</f>
        <v>-124544.58588771755</v>
      </c>
      <c r="Q51" s="29">
        <f>Q42-Q49</f>
        <v>1551764.2499999995</v>
      </c>
      <c r="R51" s="30">
        <f>Q51/Q$21</f>
        <v>0.34140728385173658</v>
      </c>
      <c r="S51" s="31">
        <f>L51-Q51</f>
        <v>21862.070000000764</v>
      </c>
      <c r="T51" s="27"/>
    </row>
    <row r="52" spans="1:20" s="22" customFormat="1" ht="15" x14ac:dyDescent="0.25">
      <c r="A52" s="16"/>
      <c r="B52" s="17" t="s">
        <v>12</v>
      </c>
      <c r="C52" s="18"/>
      <c r="D52" s="19"/>
      <c r="E52" s="18"/>
      <c r="F52" s="19"/>
      <c r="G52" s="20"/>
      <c r="H52" s="18"/>
      <c r="I52" s="19"/>
      <c r="J52" s="20"/>
      <c r="K52" s="21"/>
      <c r="L52" s="18"/>
      <c r="M52" s="19"/>
      <c r="N52" s="18"/>
      <c r="O52" s="19"/>
      <c r="P52" s="20"/>
      <c r="Q52" s="18"/>
      <c r="R52" s="19"/>
      <c r="S52" s="20"/>
      <c r="T52" s="17"/>
    </row>
    <row r="53" spans="1:20" s="22" customFormat="1" ht="15" x14ac:dyDescent="0.25">
      <c r="A53" s="16"/>
      <c r="B53" s="17" t="s">
        <v>39</v>
      </c>
      <c r="C53" s="18">
        <v>63596.5864</v>
      </c>
      <c r="D53" s="19">
        <f>C53/C21</f>
        <v>0.04</v>
      </c>
      <c r="E53" s="18">
        <v>71770.3272</v>
      </c>
      <c r="F53" s="19">
        <f>E53/E$21</f>
        <v>0.04</v>
      </c>
      <c r="G53" s="20">
        <f t="shared" ref="G53" si="30">C53-E53</f>
        <v>-8173.7407999999996</v>
      </c>
      <c r="H53" s="18">
        <v>61120.268799999998</v>
      </c>
      <c r="I53" s="19">
        <f>H53/H$21</f>
        <v>0.04</v>
      </c>
      <c r="J53" s="20">
        <f t="shared" ref="J53:J54" si="31">C53-H53</f>
        <v>2476.3176000000021</v>
      </c>
      <c r="K53" s="21"/>
      <c r="L53" s="18">
        <v>191217.08120000002</v>
      </c>
      <c r="M53" s="19">
        <f>L53/L$21</f>
        <v>0.04</v>
      </c>
      <c r="N53" s="18">
        <v>209823.17080000002</v>
      </c>
      <c r="O53" s="19">
        <f>N53/N$21</f>
        <v>4.0000000000000008E-2</v>
      </c>
      <c r="P53" s="20">
        <f>L53-N53</f>
        <v>-18606.089600000007</v>
      </c>
      <c r="Q53" s="18">
        <v>181807.984</v>
      </c>
      <c r="R53" s="19">
        <f>Q53/Q$21</f>
        <v>0.04</v>
      </c>
      <c r="S53" s="20">
        <f t="shared" ref="S53:S54" si="32">L53-Q53</f>
        <v>9409.0972000000183</v>
      </c>
      <c r="T53" s="17"/>
    </row>
    <row r="54" spans="1:20" s="33" customFormat="1" ht="15.75" thickBot="1" x14ac:dyDescent="0.3">
      <c r="A54" s="28"/>
      <c r="B54" s="27" t="s">
        <v>40</v>
      </c>
      <c r="C54" s="34">
        <f>C51-C53</f>
        <v>474227.86359999969</v>
      </c>
      <c r="D54" s="35">
        <f>C54/C21</f>
        <v>0.29827252715563973</v>
      </c>
      <c r="E54" s="34">
        <f>E51-E53</f>
        <v>527765.66879232856</v>
      </c>
      <c r="F54" s="35">
        <f>E54/E$21</f>
        <v>0.29414143108007379</v>
      </c>
      <c r="G54" s="36">
        <f>C54-E54</f>
        <v>-53537.805192328873</v>
      </c>
      <c r="H54" s="34">
        <f>H51-H53</f>
        <v>438309.33120000007</v>
      </c>
      <c r="I54" s="35">
        <f>H54/H$21</f>
        <v>0.28685039500349846</v>
      </c>
      <c r="J54" s="36">
        <f t="shared" si="31"/>
        <v>35918.532399999618</v>
      </c>
      <c r="K54" s="32"/>
      <c r="L54" s="34">
        <f>L51-L53</f>
        <v>1382409.2388000004</v>
      </c>
      <c r="M54" s="35">
        <f>L54/L$21</f>
        <v>0.28918111920223166</v>
      </c>
      <c r="N54" s="34">
        <f>N51-N53</f>
        <v>1488347.7350877179</v>
      </c>
      <c r="O54" s="35">
        <f>N54/N$21</f>
        <v>0.28373372290830295</v>
      </c>
      <c r="P54" s="36">
        <f>L54-N54</f>
        <v>-105938.49628771748</v>
      </c>
      <c r="Q54" s="34">
        <f>Q51-Q53</f>
        <v>1369956.2659999996</v>
      </c>
      <c r="R54" s="35">
        <f>Q54/Q$21</f>
        <v>0.3014072838517366</v>
      </c>
      <c r="S54" s="36">
        <f t="shared" si="32"/>
        <v>12452.972800000804</v>
      </c>
      <c r="T54" s="27"/>
    </row>
    <row r="55" spans="1:20" s="22" customFormat="1" ht="15.75" thickTop="1" x14ac:dyDescent="0.25">
      <c r="A55" s="16"/>
      <c r="B55" s="17"/>
      <c r="C55" s="18"/>
      <c r="D55" s="19"/>
      <c r="E55" s="20"/>
      <c r="F55" s="19"/>
      <c r="G55" s="18"/>
      <c r="H55" s="18"/>
      <c r="I55" s="23"/>
      <c r="J55" s="18"/>
      <c r="K55" s="37"/>
      <c r="L55" s="18"/>
      <c r="M55" s="23"/>
      <c r="N55" s="18"/>
      <c r="O55" s="23"/>
      <c r="P55" s="18"/>
      <c r="Q55" s="18"/>
      <c r="R55" s="23"/>
      <c r="S55" s="20"/>
      <c r="T55" s="17"/>
    </row>
    <row r="56" spans="1:20" s="22" customFormat="1" ht="15" x14ac:dyDescent="0.25">
      <c r="A56" s="16"/>
      <c r="B56" s="17"/>
      <c r="C56" s="18"/>
      <c r="D56" s="19"/>
      <c r="E56" s="20"/>
      <c r="F56" s="19"/>
      <c r="G56" s="18"/>
      <c r="H56" s="18"/>
      <c r="I56" s="23"/>
      <c r="J56" s="18"/>
      <c r="K56" s="37"/>
      <c r="L56" s="18"/>
      <c r="M56" s="23"/>
      <c r="N56" s="18"/>
      <c r="O56" s="23"/>
      <c r="P56" s="18"/>
      <c r="Q56" s="18"/>
      <c r="R56" s="23"/>
      <c r="S56" s="20"/>
      <c r="T56" s="17"/>
    </row>
    <row r="57" spans="1:20" ht="15" x14ac:dyDescent="0.25">
      <c r="A57" s="7"/>
      <c r="B57" s="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9"/>
      <c r="P57" s="39"/>
      <c r="Q57" s="39"/>
      <c r="R57" s="39"/>
      <c r="S57" s="17"/>
      <c r="T57" s="17"/>
    </row>
    <row r="58" spans="1:20" ht="15.75" thickBot="1" x14ac:dyDescent="0.3">
      <c r="A58" s="7"/>
      <c r="B58" s="40"/>
      <c r="C58" s="41"/>
      <c r="D58" s="40"/>
      <c r="E58" s="41"/>
      <c r="F58" s="40"/>
      <c r="G58" s="40"/>
      <c r="H58" s="41"/>
      <c r="I58" s="40"/>
      <c r="J58" s="41"/>
      <c r="K58" s="40"/>
      <c r="L58" s="41"/>
      <c r="M58" s="40"/>
      <c r="N58" s="40"/>
      <c r="O58" s="42"/>
      <c r="P58" s="42"/>
      <c r="Q58" s="41"/>
      <c r="R58" s="42"/>
      <c r="S58" s="41"/>
    </row>
    <row r="59" spans="1:20" ht="13.5" thickTop="1" x14ac:dyDescent="0.2">
      <c r="A59" s="7"/>
      <c r="B59" s="7"/>
      <c r="C59" s="7"/>
      <c r="D59" s="7"/>
      <c r="E59" s="7"/>
      <c r="F59" s="7"/>
      <c r="O59" s="15"/>
      <c r="P59" s="15"/>
      <c r="Q59" s="15"/>
      <c r="R59" s="15"/>
    </row>
    <row r="60" spans="1:20" x14ac:dyDescent="0.2">
      <c r="B60" s="43"/>
      <c r="C60" s="7"/>
      <c r="D60" s="7"/>
      <c r="E60" s="7"/>
      <c r="F60" s="7"/>
      <c r="O60" s="44"/>
      <c r="P60" s="44"/>
      <c r="Q60" s="44"/>
      <c r="R60" s="44"/>
    </row>
    <row r="61" spans="1:20" x14ac:dyDescent="0.2">
      <c r="C61" s="7"/>
      <c r="D61" s="7"/>
      <c r="E61" s="7"/>
      <c r="F61" s="7"/>
      <c r="O61" s="15"/>
      <c r="P61" s="15"/>
      <c r="Q61" s="15"/>
      <c r="R61" s="15"/>
    </row>
    <row r="62" spans="1:20" x14ac:dyDescent="0.2">
      <c r="C62" s="7"/>
      <c r="D62" s="7"/>
      <c r="E62" s="7"/>
      <c r="F62" s="7"/>
      <c r="O62" s="15"/>
      <c r="P62" s="15"/>
      <c r="Q62" s="15"/>
      <c r="R62" s="15"/>
    </row>
    <row r="63" spans="1:20" x14ac:dyDescent="0.2">
      <c r="C63" s="7"/>
      <c r="D63" s="7"/>
      <c r="E63" s="7"/>
      <c r="F63" s="7"/>
      <c r="O63" s="15"/>
      <c r="P63" s="15"/>
      <c r="Q63" s="15"/>
      <c r="R63" s="15"/>
    </row>
    <row r="64" spans="1:20" x14ac:dyDescent="0.2">
      <c r="C64" s="7"/>
      <c r="D64" s="7"/>
      <c r="E64" s="7"/>
      <c r="F64" s="7"/>
      <c r="O64" s="15"/>
      <c r="P64" s="15"/>
      <c r="Q64" s="15"/>
      <c r="R64" s="15"/>
    </row>
    <row r="65" spans="1:18" x14ac:dyDescent="0.2">
      <c r="C65" s="7"/>
      <c r="D65" s="7"/>
      <c r="E65" s="7"/>
      <c r="F65" s="7"/>
      <c r="O65" s="15"/>
      <c r="P65" s="15"/>
      <c r="Q65" s="15"/>
      <c r="R65" s="15"/>
    </row>
    <row r="66" spans="1:18" x14ac:dyDescent="0.2">
      <c r="C66" s="7"/>
      <c r="D66" s="7"/>
      <c r="E66" s="7"/>
      <c r="F66" s="7"/>
      <c r="O66" s="15"/>
      <c r="P66" s="15"/>
      <c r="Q66" s="15"/>
      <c r="R66" s="15"/>
    </row>
    <row r="67" spans="1:18" x14ac:dyDescent="0.2">
      <c r="B67" s="43"/>
      <c r="C67" s="7"/>
      <c r="D67" s="7"/>
      <c r="E67" s="7"/>
      <c r="F67" s="7"/>
      <c r="O67" s="15"/>
      <c r="P67" s="15"/>
      <c r="Q67" s="15"/>
      <c r="R67" s="15"/>
    </row>
    <row r="68" spans="1:18" x14ac:dyDescent="0.2">
      <c r="C68" s="7"/>
      <c r="D68" s="7"/>
      <c r="E68" s="7"/>
      <c r="F68" s="7"/>
      <c r="O68" s="15"/>
      <c r="P68" s="15"/>
      <c r="Q68" s="15"/>
      <c r="R68" s="15"/>
    </row>
    <row r="69" spans="1:18" x14ac:dyDescent="0.2">
      <c r="B69" s="43"/>
      <c r="C69" s="7"/>
      <c r="D69" s="7"/>
      <c r="E69" s="7"/>
      <c r="F69" s="7"/>
      <c r="O69" s="7"/>
      <c r="P69" s="7"/>
      <c r="Q69" s="7"/>
      <c r="R69" s="7"/>
    </row>
    <row r="70" spans="1:18" x14ac:dyDescent="0.2">
      <c r="B70" s="43"/>
      <c r="C70" s="7"/>
      <c r="D70" s="7"/>
      <c r="E70" s="7"/>
      <c r="F70" s="7"/>
      <c r="O70" s="7"/>
      <c r="P70" s="7"/>
      <c r="Q70" s="7"/>
      <c r="R70" s="7"/>
    </row>
    <row r="71" spans="1:18" x14ac:dyDescent="0.2">
      <c r="C71" s="7"/>
      <c r="D71" s="7"/>
      <c r="E71" s="7"/>
      <c r="F71" s="7"/>
    </row>
    <row r="72" spans="1:18" ht="15.75" x14ac:dyDescent="0.25">
      <c r="A72" s="45"/>
      <c r="C72" s="7"/>
      <c r="D72" s="7"/>
      <c r="E72" s="7"/>
      <c r="F72" s="7"/>
    </row>
    <row r="73" spans="1:18" x14ac:dyDescent="0.2">
      <c r="C73" s="7"/>
      <c r="D73" s="7"/>
      <c r="E73" s="7"/>
      <c r="F73" s="7"/>
      <c r="O73" s="15"/>
      <c r="P73" s="15"/>
      <c r="Q73" s="15"/>
      <c r="R73" s="15"/>
    </row>
    <row r="74" spans="1:18" x14ac:dyDescent="0.2">
      <c r="C74" s="44"/>
      <c r="D74" s="44"/>
      <c r="E74" s="44"/>
      <c r="F74" s="44"/>
      <c r="L74" s="44"/>
      <c r="M74" s="44"/>
      <c r="N74" s="44"/>
      <c r="O74" s="15"/>
      <c r="P74" s="15"/>
      <c r="Q74" s="15"/>
      <c r="R74" s="15"/>
    </row>
    <row r="75" spans="1:18" x14ac:dyDescent="0.2">
      <c r="C75" s="7"/>
      <c r="D75" s="7"/>
      <c r="E75" s="7"/>
      <c r="F75" s="7"/>
      <c r="O75" s="15"/>
      <c r="P75" s="15"/>
      <c r="Q75" s="15"/>
      <c r="R75" s="15"/>
    </row>
    <row r="76" spans="1:18" x14ac:dyDescent="0.2">
      <c r="C76" s="7"/>
      <c r="D76" s="7"/>
      <c r="E76" s="7"/>
      <c r="F76" s="7"/>
      <c r="O76" s="15"/>
      <c r="P76" s="15"/>
      <c r="Q76" s="15"/>
      <c r="R76" s="15"/>
    </row>
    <row r="77" spans="1:18" x14ac:dyDescent="0.2">
      <c r="C77" s="7"/>
      <c r="D77" s="7"/>
      <c r="E77" s="7"/>
      <c r="F77" s="7"/>
      <c r="O77" s="15"/>
      <c r="P77" s="15"/>
      <c r="Q77" s="15"/>
      <c r="R77" s="15"/>
    </row>
    <row r="78" spans="1:18" x14ac:dyDescent="0.2">
      <c r="C78" s="7"/>
      <c r="D78" s="7"/>
      <c r="E78" s="7"/>
      <c r="F78" s="7"/>
      <c r="O78" s="15"/>
      <c r="P78" s="15"/>
      <c r="Q78" s="15"/>
      <c r="R78" s="15"/>
    </row>
    <row r="79" spans="1:18" x14ac:dyDescent="0.2">
      <c r="C79" s="7"/>
      <c r="D79" s="7"/>
      <c r="E79" s="7"/>
      <c r="F79" s="7"/>
      <c r="O79" s="15"/>
      <c r="P79" s="15"/>
      <c r="Q79" s="15"/>
      <c r="R79" s="15"/>
    </row>
    <row r="80" spans="1:18" x14ac:dyDescent="0.2">
      <c r="C80" s="7"/>
      <c r="D80" s="7"/>
      <c r="E80" s="7"/>
      <c r="F80" s="7"/>
      <c r="O80" s="15"/>
      <c r="P80" s="15"/>
      <c r="Q80" s="15"/>
      <c r="R80" s="15"/>
    </row>
    <row r="81" spans="2:18" x14ac:dyDescent="0.2">
      <c r="C81" s="7"/>
      <c r="D81" s="7"/>
      <c r="E81" s="7"/>
      <c r="F81" s="7"/>
      <c r="O81" s="15"/>
      <c r="P81" s="15"/>
      <c r="Q81" s="15"/>
      <c r="R81" s="15"/>
    </row>
    <row r="82" spans="2:18" x14ac:dyDescent="0.2">
      <c r="C82" s="7"/>
      <c r="D82" s="7"/>
      <c r="E82" s="7"/>
      <c r="F82" s="7"/>
      <c r="O82" s="15"/>
      <c r="P82" s="15"/>
      <c r="Q82" s="15"/>
      <c r="R82" s="15"/>
    </row>
    <row r="83" spans="2:18" x14ac:dyDescent="0.2">
      <c r="C83" s="7"/>
      <c r="D83" s="7"/>
      <c r="E83" s="7"/>
      <c r="F83" s="7"/>
      <c r="O83" s="15"/>
      <c r="P83" s="15"/>
      <c r="Q83" s="15"/>
      <c r="R83" s="15"/>
    </row>
    <row r="84" spans="2:18" x14ac:dyDescent="0.2">
      <c r="C84" s="7"/>
      <c r="D84" s="7"/>
      <c r="E84" s="7"/>
      <c r="F84" s="7"/>
      <c r="O84" s="15"/>
      <c r="P84" s="15"/>
      <c r="Q84" s="15"/>
      <c r="R84" s="15"/>
    </row>
    <row r="85" spans="2:18" x14ac:dyDescent="0.2">
      <c r="C85" s="7"/>
      <c r="D85" s="7"/>
      <c r="E85" s="7"/>
      <c r="F85" s="7"/>
      <c r="O85" s="15"/>
      <c r="P85" s="15"/>
      <c r="Q85" s="15"/>
      <c r="R85" s="15"/>
    </row>
    <row r="86" spans="2:18" x14ac:dyDescent="0.2">
      <c r="C86" s="7"/>
      <c r="D86" s="7"/>
      <c r="E86" s="7"/>
      <c r="F86" s="7"/>
      <c r="O86" s="15"/>
      <c r="P86" s="15"/>
      <c r="Q86" s="15"/>
      <c r="R86" s="15"/>
    </row>
    <row r="87" spans="2:18" x14ac:dyDescent="0.2">
      <c r="C87" s="7"/>
      <c r="D87" s="7"/>
      <c r="E87" s="7"/>
      <c r="F87" s="7"/>
      <c r="O87" s="15"/>
      <c r="P87" s="15"/>
      <c r="Q87" s="15"/>
      <c r="R87" s="15"/>
    </row>
    <row r="88" spans="2:18" x14ac:dyDescent="0.2">
      <c r="C88" s="7"/>
      <c r="D88" s="7"/>
      <c r="E88" s="7"/>
      <c r="F88" s="7"/>
      <c r="O88" s="15"/>
      <c r="P88" s="15"/>
      <c r="Q88" s="15"/>
      <c r="R88" s="15"/>
    </row>
    <row r="89" spans="2:18" x14ac:dyDescent="0.2">
      <c r="C89" s="7"/>
      <c r="D89" s="7"/>
      <c r="E89" s="7"/>
      <c r="F89" s="7"/>
      <c r="O89" s="15"/>
      <c r="P89" s="15"/>
      <c r="Q89" s="15"/>
      <c r="R89" s="15"/>
    </row>
    <row r="90" spans="2:18" x14ac:dyDescent="0.2">
      <c r="C90" s="7"/>
      <c r="D90" s="7"/>
      <c r="E90" s="7"/>
      <c r="F90" s="7"/>
      <c r="O90" s="15"/>
      <c r="P90" s="15"/>
      <c r="Q90" s="15"/>
      <c r="R90" s="15"/>
    </row>
    <row r="91" spans="2:18" x14ac:dyDescent="0.2">
      <c r="C91" s="7"/>
      <c r="D91" s="7"/>
      <c r="E91" s="7"/>
      <c r="F91" s="7"/>
      <c r="O91" s="15"/>
      <c r="P91" s="15"/>
      <c r="Q91" s="15"/>
      <c r="R91" s="15"/>
    </row>
    <row r="92" spans="2:18" x14ac:dyDescent="0.2">
      <c r="B92" s="46"/>
      <c r="C92" s="7"/>
      <c r="D92" s="7"/>
      <c r="E92" s="7"/>
      <c r="F92" s="7"/>
      <c r="O92" s="15"/>
      <c r="P92" s="15"/>
      <c r="Q92" s="15"/>
      <c r="R92" s="15"/>
    </row>
    <row r="93" spans="2:18" x14ac:dyDescent="0.2">
      <c r="C93" s="7"/>
      <c r="D93" s="7"/>
      <c r="E93" s="7"/>
      <c r="F93" s="7"/>
      <c r="O93" s="15"/>
      <c r="P93" s="15"/>
      <c r="Q93" s="15"/>
      <c r="R93" s="15"/>
    </row>
    <row r="94" spans="2:18" x14ac:dyDescent="0.2">
      <c r="C94" s="7"/>
      <c r="D94" s="7"/>
      <c r="E94" s="7"/>
      <c r="F94" s="7"/>
      <c r="O94" s="15"/>
      <c r="P94" s="15"/>
      <c r="Q94" s="15"/>
      <c r="R94" s="15"/>
    </row>
    <row r="95" spans="2:18" x14ac:dyDescent="0.2">
      <c r="C95" s="7"/>
      <c r="D95" s="7"/>
      <c r="E95" s="7"/>
      <c r="F95" s="7"/>
      <c r="O95" s="15"/>
      <c r="P95" s="15"/>
      <c r="Q95" s="15"/>
      <c r="R95" s="15"/>
    </row>
    <row r="96" spans="2:18" x14ac:dyDescent="0.2">
      <c r="C96" s="7"/>
      <c r="D96" s="7"/>
      <c r="E96" s="7"/>
      <c r="F96" s="7"/>
      <c r="O96" s="15"/>
      <c r="P96" s="15"/>
      <c r="Q96" s="15"/>
      <c r="R96" s="15"/>
    </row>
    <row r="97" spans="1:18" x14ac:dyDescent="0.2">
      <c r="C97" s="7"/>
      <c r="D97" s="7"/>
      <c r="E97" s="7"/>
      <c r="F97" s="7"/>
      <c r="O97" s="15"/>
      <c r="P97" s="15"/>
      <c r="Q97" s="15"/>
      <c r="R97" s="15"/>
    </row>
    <row r="98" spans="1:18" x14ac:dyDescent="0.2">
      <c r="B98" s="43"/>
      <c r="C98" s="7"/>
      <c r="D98" s="7"/>
      <c r="E98" s="7"/>
      <c r="F98" s="7"/>
      <c r="O98" s="7"/>
      <c r="P98" s="7"/>
      <c r="Q98" s="7"/>
      <c r="R98" s="7"/>
    </row>
    <row r="99" spans="1:18" x14ac:dyDescent="0.2">
      <c r="B99" s="47"/>
      <c r="C99" s="7"/>
      <c r="D99" s="7"/>
      <c r="E99" s="7"/>
      <c r="F99" s="7"/>
      <c r="O99" s="7"/>
      <c r="P99" s="7"/>
      <c r="Q99" s="7"/>
      <c r="R99" s="7"/>
    </row>
    <row r="100" spans="1:18" x14ac:dyDescent="0.2">
      <c r="C100" s="7"/>
      <c r="D100" s="7"/>
      <c r="E100" s="7"/>
      <c r="F100" s="7"/>
    </row>
    <row r="101" spans="1:18" x14ac:dyDescent="0.2">
      <c r="C101" s="7"/>
      <c r="D101" s="7"/>
      <c r="E101" s="7"/>
      <c r="F101" s="7"/>
      <c r="O101" s="15"/>
      <c r="P101" s="15"/>
      <c r="Q101" s="15"/>
      <c r="R101" s="15"/>
    </row>
    <row r="102" spans="1:18" x14ac:dyDescent="0.2">
      <c r="C102" s="7"/>
      <c r="D102" s="7"/>
      <c r="E102" s="7"/>
      <c r="F102" s="7"/>
      <c r="O102" s="15"/>
      <c r="P102" s="15"/>
      <c r="Q102" s="15"/>
      <c r="R102" s="15"/>
    </row>
    <row r="103" spans="1:18" x14ac:dyDescent="0.2">
      <c r="C103" s="7"/>
      <c r="D103" s="7"/>
      <c r="E103" s="7"/>
      <c r="F103" s="7"/>
      <c r="O103" s="15"/>
      <c r="P103" s="15"/>
      <c r="Q103" s="15"/>
      <c r="R103" s="15"/>
    </row>
    <row r="104" spans="1:18" x14ac:dyDescent="0.2">
      <c r="C104" s="7"/>
      <c r="D104" s="7"/>
      <c r="E104" s="7"/>
      <c r="F104" s="7"/>
      <c r="O104" s="15"/>
      <c r="P104" s="15"/>
      <c r="Q104" s="15"/>
      <c r="R104" s="15"/>
    </row>
    <row r="105" spans="1:18" x14ac:dyDescent="0.2">
      <c r="C105" s="7"/>
      <c r="D105" s="7"/>
      <c r="E105" s="7"/>
      <c r="F105" s="7"/>
      <c r="O105" s="15"/>
      <c r="P105" s="15"/>
      <c r="Q105" s="15"/>
      <c r="R105" s="15"/>
    </row>
    <row r="106" spans="1:18" x14ac:dyDescent="0.2">
      <c r="C106" s="7"/>
      <c r="D106" s="7"/>
      <c r="E106" s="44"/>
      <c r="F106" s="44"/>
      <c r="N106" s="44"/>
      <c r="O106" s="15"/>
      <c r="P106" s="15"/>
      <c r="Q106" s="15"/>
      <c r="R106" s="15"/>
    </row>
    <row r="107" spans="1:18" x14ac:dyDescent="0.2">
      <c r="C107" s="7"/>
      <c r="D107" s="7"/>
      <c r="E107" s="7"/>
      <c r="F107" s="7"/>
      <c r="O107" s="15"/>
      <c r="P107" s="15"/>
      <c r="Q107" s="15"/>
      <c r="R107" s="15"/>
    </row>
    <row r="108" spans="1:18" ht="15" x14ac:dyDescent="0.25">
      <c r="A108" s="48"/>
      <c r="B108" s="49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1"/>
      <c r="P108" s="51"/>
      <c r="Q108" s="51"/>
      <c r="R108" s="51"/>
    </row>
    <row r="109" spans="1:18" x14ac:dyDescent="0.2"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</row>
    <row r="110" spans="1:18" x14ac:dyDescent="0.2">
      <c r="B110" s="43"/>
      <c r="C110" s="7"/>
      <c r="D110" s="7"/>
      <c r="E110" s="7"/>
      <c r="F110" s="7"/>
      <c r="O110" s="15"/>
      <c r="P110" s="15"/>
      <c r="Q110" s="15"/>
      <c r="R110" s="15"/>
    </row>
    <row r="111" spans="1:18" x14ac:dyDescent="0.2">
      <c r="C111" s="7"/>
      <c r="D111" s="7"/>
      <c r="E111" s="7"/>
      <c r="F111" s="7"/>
      <c r="O111" s="15"/>
      <c r="P111" s="15"/>
      <c r="Q111" s="15"/>
      <c r="R111" s="15"/>
    </row>
    <row r="112" spans="1:18" x14ac:dyDescent="0.2">
      <c r="C112" s="7"/>
      <c r="D112" s="7"/>
      <c r="E112" s="53"/>
      <c r="F112" s="53"/>
      <c r="L112" s="53"/>
      <c r="M112" s="53"/>
    </row>
    <row r="113" spans="1:13" x14ac:dyDescent="0.2">
      <c r="C113" s="7"/>
      <c r="D113" s="7"/>
      <c r="E113" s="53"/>
      <c r="F113" s="53"/>
      <c r="L113" s="53"/>
      <c r="M113" s="53"/>
    </row>
    <row r="114" spans="1:13" x14ac:dyDescent="0.2">
      <c r="C114" s="7"/>
      <c r="D114" s="7"/>
      <c r="E114" s="53"/>
      <c r="F114" s="53"/>
      <c r="L114" s="53"/>
      <c r="M114" s="53"/>
    </row>
    <row r="115" spans="1:13" x14ac:dyDescent="0.2">
      <c r="C115" s="7"/>
      <c r="D115" s="7"/>
      <c r="E115" s="53"/>
      <c r="F115" s="53"/>
      <c r="L115" s="53"/>
      <c r="M115" s="53"/>
    </row>
    <row r="116" spans="1:13" x14ac:dyDescent="0.2">
      <c r="C116" s="7"/>
      <c r="D116" s="7"/>
      <c r="E116" s="53"/>
      <c r="F116" s="53"/>
      <c r="L116" s="53"/>
      <c r="M116" s="53"/>
    </row>
    <row r="117" spans="1:13" x14ac:dyDescent="0.2">
      <c r="C117" s="7"/>
      <c r="D117" s="7"/>
      <c r="E117" s="53"/>
      <c r="F117" s="53"/>
      <c r="L117" s="53"/>
      <c r="M117" s="53"/>
    </row>
    <row r="118" spans="1:13" x14ac:dyDescent="0.2">
      <c r="C118" s="7"/>
      <c r="D118" s="7"/>
      <c r="E118" s="53"/>
      <c r="F118" s="53"/>
      <c r="L118" s="53"/>
      <c r="M118" s="53"/>
    </row>
    <row r="119" spans="1:13" x14ac:dyDescent="0.2">
      <c r="A119" s="54"/>
      <c r="C119" s="7"/>
      <c r="D119" s="7"/>
      <c r="E119" s="53"/>
      <c r="F119" s="53"/>
      <c r="L119" s="53"/>
      <c r="M119" s="53"/>
    </row>
    <row r="120" spans="1:13" x14ac:dyDescent="0.2">
      <c r="A120" s="54"/>
      <c r="C120" s="7"/>
      <c r="D120" s="7"/>
      <c r="E120" s="53"/>
      <c r="F120" s="53"/>
      <c r="L120" s="53"/>
      <c r="M120" s="53"/>
    </row>
    <row r="121" spans="1:13" x14ac:dyDescent="0.2">
      <c r="C121" s="7"/>
      <c r="D121" s="7"/>
      <c r="E121" s="53"/>
      <c r="F121" s="53"/>
      <c r="L121" s="53"/>
      <c r="M121" s="53"/>
    </row>
    <row r="122" spans="1:13" x14ac:dyDescent="0.2">
      <c r="A122" s="54"/>
      <c r="C122" s="7"/>
      <c r="D122" s="7"/>
      <c r="E122" s="53"/>
      <c r="F122" s="53"/>
      <c r="L122" s="53"/>
      <c r="M122" s="53"/>
    </row>
    <row r="123" spans="1:13" x14ac:dyDescent="0.2">
      <c r="B123" s="43"/>
      <c r="C123" s="7"/>
      <c r="D123" s="7"/>
      <c r="E123" s="55"/>
      <c r="F123" s="55"/>
      <c r="L123" s="53"/>
      <c r="M123" s="53"/>
    </row>
    <row r="124" spans="1:13" x14ac:dyDescent="0.2">
      <c r="B124" s="43"/>
      <c r="C124" s="7"/>
      <c r="D124" s="7"/>
      <c r="E124" s="53"/>
      <c r="F124" s="53"/>
      <c r="L124" s="53"/>
      <c r="M124" s="53"/>
    </row>
    <row r="125" spans="1:13" x14ac:dyDescent="0.2">
      <c r="B125" s="43"/>
      <c r="C125" s="7"/>
      <c r="D125" s="7"/>
      <c r="E125" s="53"/>
      <c r="F125" s="53"/>
      <c r="L125" s="53"/>
      <c r="M125" s="53"/>
    </row>
    <row r="126" spans="1:13" x14ac:dyDescent="0.2">
      <c r="B126" s="43"/>
      <c r="C126" s="7"/>
      <c r="D126" s="7"/>
      <c r="E126" s="53"/>
      <c r="F126" s="53"/>
      <c r="L126" s="53"/>
      <c r="M126" s="53"/>
    </row>
    <row r="137" spans="1:13" x14ac:dyDescent="0.2">
      <c r="B137" s="56"/>
      <c r="C137" s="57"/>
      <c r="D137" s="57"/>
      <c r="E137" s="58"/>
      <c r="F137" s="58"/>
      <c r="G137" s="59"/>
      <c r="H137" s="59"/>
      <c r="I137" s="59"/>
      <c r="J137" s="59"/>
      <c r="K137" s="59"/>
      <c r="L137" s="58"/>
      <c r="M137" s="58"/>
    </row>
    <row r="138" spans="1:13" x14ac:dyDescent="0.2">
      <c r="B138" s="56"/>
      <c r="C138" s="57"/>
      <c r="D138" s="57"/>
      <c r="E138" s="58"/>
      <c r="F138" s="58"/>
      <c r="G138" s="59"/>
      <c r="H138" s="59"/>
      <c r="I138" s="59"/>
      <c r="J138" s="59"/>
      <c r="K138" s="59"/>
      <c r="L138" s="58"/>
      <c r="M138" s="58"/>
    </row>
    <row r="139" spans="1:13" x14ac:dyDescent="0.2">
      <c r="B139" s="56"/>
      <c r="C139" s="57"/>
      <c r="D139" s="57"/>
      <c r="E139" s="58"/>
      <c r="F139" s="58"/>
      <c r="G139" s="59"/>
      <c r="H139" s="59"/>
      <c r="I139" s="59"/>
      <c r="J139" s="59"/>
      <c r="K139" s="59"/>
      <c r="L139" s="58"/>
      <c r="M139" s="58"/>
    </row>
    <row r="140" spans="1:13" x14ac:dyDescent="0.2">
      <c r="B140" s="56"/>
      <c r="C140" s="57"/>
      <c r="D140" s="57"/>
      <c r="E140" s="58"/>
      <c r="F140" s="58"/>
      <c r="G140" s="59"/>
      <c r="H140" s="59"/>
      <c r="I140" s="59"/>
      <c r="J140" s="59"/>
      <c r="K140" s="59"/>
      <c r="L140" s="58"/>
      <c r="M140" s="58"/>
    </row>
    <row r="141" spans="1:13" x14ac:dyDescent="0.2">
      <c r="B141" s="56"/>
      <c r="C141" s="57"/>
      <c r="D141" s="57"/>
      <c r="E141" s="58"/>
      <c r="F141" s="58"/>
      <c r="G141" s="59"/>
      <c r="H141" s="59"/>
      <c r="I141" s="59"/>
      <c r="J141" s="59"/>
      <c r="K141" s="59"/>
      <c r="L141" s="58"/>
      <c r="M141" s="58"/>
    </row>
    <row r="142" spans="1:13" ht="15" x14ac:dyDescent="0.25">
      <c r="A142" s="60"/>
      <c r="B142" s="61"/>
      <c r="C142" s="62"/>
      <c r="D142" s="62"/>
      <c r="E142" s="63"/>
      <c r="F142" s="63"/>
      <c r="G142" s="62"/>
      <c r="H142" s="62"/>
      <c r="I142" s="62"/>
      <c r="J142" s="62"/>
      <c r="K142" s="62"/>
      <c r="L142" s="61"/>
      <c r="M142" s="61"/>
    </row>
    <row r="143" spans="1:13" x14ac:dyDescent="0.2">
      <c r="A143" s="64"/>
      <c r="B143" s="61"/>
      <c r="C143" s="62"/>
      <c r="D143" s="62"/>
      <c r="E143" s="63"/>
      <c r="F143" s="63"/>
      <c r="G143" s="62"/>
      <c r="H143" s="62"/>
      <c r="I143" s="62"/>
      <c r="J143" s="62"/>
      <c r="K143" s="62"/>
      <c r="L143" s="61"/>
      <c r="M143" s="61"/>
    </row>
    <row r="144" spans="1:13" x14ac:dyDescent="0.2">
      <c r="C144" s="7"/>
      <c r="D144" s="7"/>
      <c r="E144" s="53"/>
      <c r="F144" s="53"/>
      <c r="L144" s="3"/>
      <c r="M144" s="3"/>
    </row>
    <row r="145" spans="1:18" x14ac:dyDescent="0.2">
      <c r="C145" s="65"/>
      <c r="D145" s="65"/>
      <c r="E145" s="66"/>
      <c r="F145" s="66"/>
      <c r="G145" s="9"/>
      <c r="H145" s="9"/>
      <c r="I145" s="9"/>
      <c r="J145" s="9"/>
      <c r="K145" s="9"/>
      <c r="L145" s="65"/>
      <c r="M145" s="65"/>
      <c r="N145" s="66"/>
      <c r="O145" s="66"/>
      <c r="P145" s="66"/>
      <c r="Q145" s="66"/>
      <c r="R145" s="66"/>
    </row>
    <row r="146" spans="1:18" x14ac:dyDescent="0.2">
      <c r="C146" s="67"/>
      <c r="D146" s="67"/>
      <c r="E146" s="66"/>
      <c r="F146" s="66"/>
      <c r="G146" s="9"/>
      <c r="H146" s="9"/>
      <c r="I146" s="9"/>
      <c r="J146" s="9"/>
      <c r="K146" s="9"/>
      <c r="L146" s="65"/>
      <c r="M146" s="65"/>
      <c r="N146" s="66"/>
      <c r="O146" s="66"/>
      <c r="P146" s="66"/>
      <c r="Q146" s="66"/>
      <c r="R146" s="66"/>
    </row>
    <row r="147" spans="1:18" x14ac:dyDescent="0.2">
      <c r="E147" s="15"/>
      <c r="F147" s="15"/>
      <c r="L147" s="3"/>
      <c r="M147" s="3"/>
      <c r="N147" s="15"/>
      <c r="O147" s="15"/>
      <c r="P147" s="15"/>
      <c r="Q147" s="15"/>
      <c r="R147" s="15"/>
    </row>
    <row r="148" spans="1:18" x14ac:dyDescent="0.2">
      <c r="A148" s="47"/>
      <c r="C148" s="7"/>
      <c r="D148" s="7"/>
      <c r="E148" s="7"/>
      <c r="F148" s="7"/>
      <c r="O148" s="15"/>
      <c r="P148" s="15"/>
      <c r="Q148" s="15"/>
      <c r="R148" s="15"/>
    </row>
    <row r="149" spans="1:18" x14ac:dyDescent="0.2">
      <c r="A149" s="47"/>
      <c r="C149" s="7"/>
      <c r="D149" s="7"/>
      <c r="E149" s="7"/>
      <c r="F149" s="7"/>
      <c r="O149" s="15"/>
      <c r="P149" s="15"/>
      <c r="Q149" s="15"/>
      <c r="R149" s="15"/>
    </row>
    <row r="150" spans="1:18" x14ac:dyDescent="0.2">
      <c r="A150" s="47"/>
      <c r="C150" s="7"/>
      <c r="D150" s="7"/>
      <c r="E150" s="7"/>
      <c r="F150" s="7"/>
      <c r="O150" s="15"/>
      <c r="P150" s="15"/>
      <c r="Q150" s="15"/>
      <c r="R150" s="15"/>
    </row>
    <row r="151" spans="1:18" x14ac:dyDescent="0.2">
      <c r="A151" s="47"/>
      <c r="C151" s="7"/>
      <c r="D151" s="7"/>
      <c r="E151" s="7"/>
      <c r="F151" s="7"/>
      <c r="O151" s="15"/>
      <c r="P151" s="15"/>
      <c r="Q151" s="15"/>
      <c r="R151" s="15"/>
    </row>
    <row r="152" spans="1:18" x14ac:dyDescent="0.2">
      <c r="A152" s="47"/>
      <c r="C152" s="7"/>
      <c r="D152" s="7"/>
      <c r="E152" s="7"/>
      <c r="F152" s="7"/>
      <c r="O152" s="15"/>
      <c r="P152" s="15"/>
      <c r="Q152" s="15"/>
      <c r="R152" s="15"/>
    </row>
    <row r="153" spans="1:18" x14ac:dyDescent="0.2">
      <c r="C153" s="7"/>
      <c r="D153" s="7"/>
      <c r="E153" s="7"/>
      <c r="F153" s="7"/>
      <c r="O153" s="7"/>
      <c r="P153" s="7"/>
      <c r="Q153" s="7"/>
      <c r="R153" s="7"/>
    </row>
    <row r="155" spans="1:18" x14ac:dyDescent="0.2">
      <c r="A155" s="47"/>
      <c r="C155" s="7"/>
      <c r="D155" s="7"/>
      <c r="E155" s="7"/>
      <c r="F155" s="7"/>
      <c r="L155" s="3"/>
      <c r="M155" s="3"/>
      <c r="N155" s="3"/>
    </row>
    <row r="156" spans="1:18" x14ac:dyDescent="0.2">
      <c r="C156" s="7"/>
      <c r="D156" s="7"/>
      <c r="E156" s="7"/>
      <c r="F156" s="7"/>
      <c r="O156" s="15"/>
      <c r="P156" s="15"/>
      <c r="Q156" s="15"/>
      <c r="R156" s="15"/>
    </row>
    <row r="157" spans="1:18" x14ac:dyDescent="0.2">
      <c r="C157" s="7"/>
      <c r="D157" s="7"/>
      <c r="E157" s="7"/>
      <c r="F157" s="7"/>
      <c r="O157" s="15"/>
      <c r="P157" s="15"/>
      <c r="Q157" s="15"/>
      <c r="R157" s="15"/>
    </row>
    <row r="158" spans="1:18" x14ac:dyDescent="0.2">
      <c r="C158" s="7"/>
      <c r="D158" s="7"/>
      <c r="E158" s="7"/>
      <c r="F158" s="7"/>
      <c r="O158" s="15"/>
      <c r="P158" s="15"/>
      <c r="Q158" s="15"/>
      <c r="R158" s="15"/>
    </row>
    <row r="159" spans="1:18" x14ac:dyDescent="0.2">
      <c r="C159" s="7"/>
      <c r="D159" s="7"/>
      <c r="E159" s="7"/>
      <c r="F159" s="7"/>
      <c r="O159" s="15"/>
      <c r="P159" s="15"/>
      <c r="Q159" s="15"/>
      <c r="R159" s="15"/>
    </row>
    <row r="160" spans="1:18" x14ac:dyDescent="0.2">
      <c r="C160" s="7"/>
      <c r="D160" s="7"/>
      <c r="E160" s="7"/>
      <c r="F160" s="7"/>
      <c r="O160" s="15"/>
      <c r="P160" s="15"/>
      <c r="Q160" s="15"/>
      <c r="R160" s="15"/>
    </row>
    <row r="161" spans="1:18" x14ac:dyDescent="0.2">
      <c r="C161" s="7"/>
      <c r="D161" s="7"/>
      <c r="E161" s="7"/>
      <c r="F161" s="7"/>
      <c r="O161" s="15"/>
      <c r="P161" s="15"/>
      <c r="Q161" s="15"/>
      <c r="R161" s="15"/>
    </row>
    <row r="162" spans="1:18" x14ac:dyDescent="0.2">
      <c r="C162" s="7"/>
      <c r="D162" s="7"/>
      <c r="E162" s="7"/>
      <c r="F162" s="7"/>
      <c r="O162" s="15"/>
      <c r="P162" s="15"/>
      <c r="Q162" s="15"/>
      <c r="R162" s="15"/>
    </row>
    <row r="163" spans="1:18" x14ac:dyDescent="0.2">
      <c r="C163" s="7"/>
      <c r="D163" s="7"/>
      <c r="E163" s="7"/>
      <c r="F163" s="7"/>
      <c r="O163" s="15"/>
      <c r="P163" s="15"/>
      <c r="Q163" s="15"/>
      <c r="R163" s="15"/>
    </row>
    <row r="164" spans="1:18" x14ac:dyDescent="0.2">
      <c r="C164" s="7"/>
      <c r="D164" s="7"/>
      <c r="E164" s="7"/>
      <c r="F164" s="7"/>
      <c r="O164" s="15"/>
      <c r="P164" s="15"/>
      <c r="Q164" s="15"/>
      <c r="R164" s="15"/>
    </row>
    <row r="165" spans="1:18" x14ac:dyDescent="0.2">
      <c r="C165" s="7"/>
      <c r="D165" s="7"/>
      <c r="E165" s="7"/>
      <c r="F165" s="7"/>
      <c r="O165" s="15"/>
      <c r="P165" s="15"/>
      <c r="Q165" s="15"/>
      <c r="R165" s="15"/>
    </row>
    <row r="166" spans="1:18" x14ac:dyDescent="0.2">
      <c r="C166" s="7"/>
      <c r="D166" s="7"/>
      <c r="E166" s="7"/>
      <c r="F166" s="7"/>
      <c r="O166" s="15"/>
      <c r="P166" s="15"/>
      <c r="Q166" s="15"/>
      <c r="R166" s="15"/>
    </row>
    <row r="167" spans="1:18" x14ac:dyDescent="0.2">
      <c r="C167" s="7"/>
      <c r="D167" s="7"/>
      <c r="E167" s="7"/>
      <c r="F167" s="7"/>
      <c r="O167" s="15"/>
      <c r="P167" s="15"/>
      <c r="Q167" s="15"/>
      <c r="R167" s="15"/>
    </row>
    <row r="168" spans="1:18" x14ac:dyDescent="0.2">
      <c r="C168" s="7"/>
      <c r="D168" s="7"/>
      <c r="E168" s="7"/>
      <c r="F168" s="7"/>
      <c r="O168" s="15"/>
      <c r="P168" s="15"/>
      <c r="Q168" s="15"/>
      <c r="R168" s="15"/>
    </row>
    <row r="169" spans="1:18" x14ac:dyDescent="0.2">
      <c r="A169" s="47"/>
      <c r="C169" s="7"/>
      <c r="D169" s="7"/>
      <c r="E169" s="7"/>
      <c r="F169" s="7"/>
      <c r="O169" s="7"/>
      <c r="P169" s="7"/>
      <c r="Q169" s="7"/>
      <c r="R169" s="7"/>
    </row>
    <row r="170" spans="1:18" x14ac:dyDescent="0.2">
      <c r="A170" s="54"/>
      <c r="C170" s="7"/>
      <c r="D170" s="7"/>
      <c r="E170" s="53"/>
      <c r="F170" s="53"/>
      <c r="L170" s="53"/>
      <c r="M170" s="53"/>
    </row>
    <row r="171" spans="1:18" x14ac:dyDescent="0.2">
      <c r="A171" s="54"/>
      <c r="C171" s="7"/>
      <c r="D171" s="7"/>
      <c r="E171" s="7"/>
      <c r="F171" s="7"/>
      <c r="O171" s="7"/>
      <c r="P171" s="7"/>
      <c r="Q171" s="7"/>
      <c r="R171" s="7"/>
    </row>
    <row r="172" spans="1:18" x14ac:dyDescent="0.2">
      <c r="B172" s="56"/>
      <c r="C172" s="57"/>
      <c r="D172" s="57"/>
      <c r="E172" s="58"/>
      <c r="F172" s="58"/>
      <c r="G172" s="59"/>
      <c r="H172" s="59"/>
      <c r="I172" s="59"/>
      <c r="J172" s="59"/>
      <c r="K172" s="59"/>
      <c r="L172" s="58"/>
      <c r="M172" s="58"/>
    </row>
    <row r="173" spans="1:18" x14ac:dyDescent="0.2">
      <c r="C173" s="7"/>
      <c r="D173" s="7"/>
      <c r="E173" s="7"/>
      <c r="F173" s="7"/>
      <c r="O173" s="15"/>
      <c r="P173" s="15"/>
      <c r="Q173" s="15"/>
      <c r="R173" s="15"/>
    </row>
    <row r="174" spans="1:18" x14ac:dyDescent="0.2">
      <c r="C174" s="7"/>
      <c r="D174" s="7"/>
      <c r="E174" s="7"/>
      <c r="F174" s="7"/>
      <c r="O174" s="15"/>
      <c r="P174" s="15"/>
      <c r="Q174" s="15"/>
      <c r="R174" s="15"/>
    </row>
    <row r="175" spans="1:18" x14ac:dyDescent="0.2">
      <c r="C175" s="7"/>
      <c r="D175" s="7"/>
      <c r="E175" s="7"/>
      <c r="F175" s="7"/>
      <c r="O175" s="15"/>
      <c r="P175" s="15"/>
      <c r="Q175" s="15"/>
      <c r="R175" s="15"/>
    </row>
    <row r="176" spans="1:18" x14ac:dyDescent="0.2">
      <c r="C176" s="7"/>
      <c r="D176" s="7"/>
      <c r="E176" s="7"/>
      <c r="F176" s="7"/>
      <c r="O176" s="15"/>
      <c r="P176" s="15"/>
      <c r="Q176" s="15"/>
      <c r="R176" s="15"/>
    </row>
    <row r="177" spans="2:18" x14ac:dyDescent="0.2">
      <c r="C177" s="7"/>
      <c r="D177" s="7"/>
      <c r="E177" s="7"/>
      <c r="F177" s="7"/>
      <c r="L177" s="58"/>
      <c r="M177" s="58"/>
      <c r="N177" s="58"/>
    </row>
    <row r="178" spans="2:18" x14ac:dyDescent="0.2">
      <c r="C178" s="7"/>
      <c r="D178" s="7"/>
      <c r="E178" s="7"/>
      <c r="F178" s="7"/>
      <c r="O178" s="15"/>
      <c r="P178" s="15"/>
      <c r="Q178" s="15"/>
      <c r="R178" s="15"/>
    </row>
    <row r="179" spans="2:18" x14ac:dyDescent="0.2">
      <c r="B179" s="56"/>
      <c r="C179" s="57"/>
      <c r="D179" s="57"/>
      <c r="E179" s="58"/>
      <c r="F179" s="58"/>
      <c r="G179" s="59"/>
      <c r="H179" s="59"/>
      <c r="I179" s="59"/>
      <c r="J179" s="59"/>
      <c r="K179" s="59"/>
      <c r="L179" s="58"/>
      <c r="M179" s="58"/>
    </row>
    <row r="180" spans="2:18" x14ac:dyDescent="0.2">
      <c r="B180" s="56"/>
      <c r="C180" s="57"/>
      <c r="D180" s="57"/>
      <c r="E180" s="58"/>
      <c r="F180" s="58"/>
      <c r="G180" s="59"/>
      <c r="H180" s="59"/>
      <c r="I180" s="59"/>
      <c r="J180" s="59"/>
      <c r="K180" s="59"/>
      <c r="L180" s="58"/>
      <c r="M180" s="58"/>
    </row>
    <row r="181" spans="2:18" x14ac:dyDescent="0.2">
      <c r="B181" s="56"/>
      <c r="C181" s="57"/>
      <c r="D181" s="57"/>
      <c r="E181" s="58"/>
      <c r="F181" s="58"/>
      <c r="G181" s="59"/>
      <c r="H181" s="59"/>
      <c r="I181" s="59"/>
      <c r="J181" s="59"/>
      <c r="K181" s="59"/>
      <c r="L181" s="58"/>
      <c r="M181" s="58"/>
    </row>
    <row r="182" spans="2:18" x14ac:dyDescent="0.2">
      <c r="B182" s="56"/>
      <c r="C182" s="57"/>
      <c r="D182" s="57"/>
      <c r="E182" s="58"/>
      <c r="F182" s="58"/>
      <c r="G182" s="59"/>
      <c r="H182" s="59"/>
      <c r="I182" s="59"/>
      <c r="J182" s="59"/>
      <c r="K182" s="59"/>
      <c r="L182" s="58"/>
      <c r="M182" s="58"/>
    </row>
    <row r="183" spans="2:18" x14ac:dyDescent="0.2">
      <c r="B183" s="56"/>
      <c r="C183" s="57"/>
      <c r="D183" s="57"/>
      <c r="E183" s="58"/>
      <c r="F183" s="58"/>
      <c r="G183" s="59"/>
      <c r="H183" s="59"/>
      <c r="I183" s="59"/>
      <c r="J183" s="59"/>
      <c r="K183" s="59"/>
      <c r="L183" s="58"/>
      <c r="M183" s="58"/>
    </row>
    <row r="184" spans="2:18" x14ac:dyDescent="0.2">
      <c r="C184" s="68"/>
      <c r="D184" s="68"/>
      <c r="L184" s="53"/>
      <c r="M184" s="53"/>
    </row>
    <row r="185" spans="2:18" x14ac:dyDescent="0.2">
      <c r="C185" s="7"/>
      <c r="D185" s="7"/>
      <c r="E185" s="53"/>
      <c r="F185" s="53"/>
      <c r="L185" s="53"/>
      <c r="M185" s="53"/>
    </row>
    <row r="186" spans="2:18" x14ac:dyDescent="0.2">
      <c r="C186" s="7"/>
      <c r="D186" s="7"/>
      <c r="E186" s="53"/>
      <c r="F186" s="53"/>
      <c r="L186" s="53"/>
      <c r="M186" s="53"/>
    </row>
    <row r="187" spans="2:18" x14ac:dyDescent="0.2">
      <c r="C187" s="7"/>
      <c r="D187" s="7"/>
      <c r="E187" s="53"/>
      <c r="F187" s="53"/>
      <c r="L187" s="53"/>
      <c r="M187" s="53"/>
    </row>
    <row r="188" spans="2:18" x14ac:dyDescent="0.2">
      <c r="C188" s="7"/>
      <c r="D188" s="7"/>
      <c r="E188" s="53"/>
      <c r="F188" s="53"/>
      <c r="L188" s="53"/>
      <c r="M188" s="53"/>
    </row>
    <row r="190" spans="2:18" x14ac:dyDescent="0.2">
      <c r="C190" s="44"/>
      <c r="D190" s="44"/>
    </row>
    <row r="191" spans="2:18" x14ac:dyDescent="0.2">
      <c r="C191" s="44"/>
      <c r="D191" s="44"/>
    </row>
    <row r="192" spans="2:18" x14ac:dyDescent="0.2">
      <c r="C192" s="44"/>
      <c r="D192" s="44"/>
    </row>
    <row r="193" spans="2:4" x14ac:dyDescent="0.2">
      <c r="C193" s="44"/>
      <c r="D193" s="44"/>
    </row>
    <row r="194" spans="2:4" x14ac:dyDescent="0.2">
      <c r="C194" s="44"/>
      <c r="D194" s="44"/>
    </row>
    <row r="196" spans="2:4" x14ac:dyDescent="0.2">
      <c r="C196" s="44"/>
      <c r="D196" s="44"/>
    </row>
    <row r="197" spans="2:4" x14ac:dyDescent="0.2">
      <c r="C197" s="44"/>
      <c r="D197" s="44"/>
    </row>
    <row r="198" spans="2:4" x14ac:dyDescent="0.2">
      <c r="B198" s="69"/>
      <c r="C198" s="70"/>
      <c r="D198" s="70"/>
    </row>
    <row r="201" spans="2:4" x14ac:dyDescent="0.2">
      <c r="B201" s="71"/>
      <c r="C201" s="7"/>
      <c r="D201" s="7"/>
    </row>
    <row r="202" spans="2:4" x14ac:dyDescent="0.2">
      <c r="C202" s="7"/>
      <c r="D202" s="7"/>
    </row>
    <row r="203" spans="2:4" x14ac:dyDescent="0.2">
      <c r="C203" s="7"/>
      <c r="D203" s="7"/>
    </row>
    <row r="215" spans="1:13" x14ac:dyDescent="0.2">
      <c r="A215" s="7"/>
      <c r="B215" s="56"/>
      <c r="C215" s="7"/>
      <c r="D215" s="7"/>
      <c r="E215" s="53"/>
      <c r="F215" s="53"/>
      <c r="L215" s="53"/>
      <c r="M215" s="53"/>
    </row>
    <row r="216" spans="1:13" x14ac:dyDescent="0.2">
      <c r="A216" s="7"/>
      <c r="B216" s="46"/>
      <c r="C216" s="7"/>
      <c r="D216" s="7"/>
      <c r="E216" s="53"/>
      <c r="F216" s="53"/>
      <c r="L216" s="53"/>
      <c r="M216" s="53"/>
    </row>
    <row r="217" spans="1:13" x14ac:dyDescent="0.2">
      <c r="A217" s="7"/>
      <c r="B217" s="46"/>
      <c r="C217" s="7"/>
      <c r="D217" s="7"/>
      <c r="E217" s="53"/>
      <c r="F217" s="53"/>
      <c r="L217" s="53"/>
      <c r="M217" s="53"/>
    </row>
    <row r="218" spans="1:13" x14ac:dyDescent="0.2">
      <c r="A218" s="7"/>
      <c r="B218" s="46"/>
      <c r="C218" s="7"/>
      <c r="D218" s="7"/>
      <c r="E218" s="53"/>
      <c r="F218" s="53"/>
      <c r="L218" s="53"/>
      <c r="M218" s="53"/>
    </row>
    <row r="219" spans="1:13" x14ac:dyDescent="0.2">
      <c r="A219" s="7"/>
      <c r="B219" s="46"/>
      <c r="C219" s="7"/>
      <c r="D219" s="7"/>
      <c r="E219" s="53"/>
      <c r="F219" s="53"/>
      <c r="L219" s="53"/>
      <c r="M219" s="53"/>
    </row>
    <row r="220" spans="1:13" x14ac:dyDescent="0.2">
      <c r="A220" s="7"/>
      <c r="B220" s="46"/>
      <c r="C220" s="7"/>
      <c r="D220" s="7"/>
      <c r="E220" s="53"/>
      <c r="F220" s="53"/>
      <c r="L220" s="53"/>
      <c r="M220" s="53"/>
    </row>
    <row r="221" spans="1:13" x14ac:dyDescent="0.2">
      <c r="A221" s="7"/>
      <c r="B221" s="46"/>
      <c r="C221" s="7"/>
      <c r="D221" s="7"/>
      <c r="E221" s="53"/>
      <c r="F221" s="53"/>
      <c r="L221" s="53"/>
      <c r="M221" s="53"/>
    </row>
    <row r="222" spans="1:13" x14ac:dyDescent="0.2">
      <c r="A222" s="7"/>
      <c r="B222" s="46"/>
      <c r="C222" s="7"/>
      <c r="D222" s="7"/>
      <c r="E222" s="53"/>
      <c r="F222" s="53"/>
      <c r="L222" s="53"/>
      <c r="M222" s="53"/>
    </row>
    <row r="223" spans="1:13" x14ac:dyDescent="0.2">
      <c r="A223" s="7"/>
      <c r="B223" s="46"/>
      <c r="C223" s="7"/>
      <c r="D223" s="7"/>
      <c r="E223" s="53"/>
      <c r="F223" s="53"/>
      <c r="L223" s="53"/>
      <c r="M223" s="53"/>
    </row>
    <row r="224" spans="1:13" x14ac:dyDescent="0.2">
      <c r="A224" s="7"/>
      <c r="B224" s="46"/>
      <c r="C224" s="7"/>
      <c r="D224" s="7"/>
      <c r="E224" s="53"/>
      <c r="F224" s="53"/>
      <c r="L224" s="53"/>
      <c r="M224" s="53"/>
    </row>
    <row r="225" spans="1:13" x14ac:dyDescent="0.2">
      <c r="A225" s="7"/>
      <c r="B225" s="46"/>
      <c r="C225" s="7"/>
      <c r="D225" s="7"/>
      <c r="E225" s="53"/>
      <c r="F225" s="53"/>
      <c r="L225" s="53"/>
      <c r="M225" s="53"/>
    </row>
    <row r="226" spans="1:13" x14ac:dyDescent="0.2">
      <c r="A226" s="7"/>
      <c r="B226" s="46"/>
      <c r="C226" s="7"/>
      <c r="D226" s="7"/>
      <c r="E226" s="53"/>
      <c r="F226" s="53"/>
      <c r="L226" s="53"/>
      <c r="M226" s="53"/>
    </row>
    <row r="227" spans="1:13" x14ac:dyDescent="0.2">
      <c r="A227" s="7"/>
      <c r="B227" s="46"/>
      <c r="C227" s="7"/>
      <c r="D227" s="7"/>
      <c r="E227" s="53"/>
      <c r="F227" s="53"/>
      <c r="L227" s="53"/>
      <c r="M227" s="53"/>
    </row>
    <row r="228" spans="1:13" x14ac:dyDescent="0.2">
      <c r="A228" s="7"/>
      <c r="B228" s="46"/>
      <c r="C228" s="7"/>
      <c r="D228" s="7"/>
      <c r="E228" s="53"/>
      <c r="F228" s="53"/>
      <c r="L228" s="53"/>
      <c r="M228" s="53"/>
    </row>
    <row r="229" spans="1:13" x14ac:dyDescent="0.2">
      <c r="A229" s="7"/>
      <c r="B229" s="46"/>
      <c r="C229" s="7"/>
      <c r="D229" s="7"/>
      <c r="E229" s="53"/>
      <c r="F229" s="53"/>
      <c r="L229" s="53"/>
      <c r="M229" s="53"/>
    </row>
    <row r="230" spans="1:13" x14ac:dyDescent="0.2">
      <c r="A230" s="7"/>
      <c r="B230" s="46"/>
      <c r="C230" s="7"/>
      <c r="D230" s="7"/>
      <c r="E230" s="53"/>
      <c r="F230" s="53"/>
      <c r="L230" s="53"/>
      <c r="M230" s="53"/>
    </row>
    <row r="231" spans="1:13" x14ac:dyDescent="0.2">
      <c r="A231" s="7"/>
      <c r="B231" s="46"/>
      <c r="C231" s="7"/>
      <c r="D231" s="7"/>
      <c r="E231" s="53"/>
      <c r="F231" s="53"/>
      <c r="L231" s="53"/>
      <c r="M231" s="53"/>
    </row>
    <row r="232" spans="1:13" x14ac:dyDescent="0.2">
      <c r="A232" s="7"/>
      <c r="B232" s="46"/>
      <c r="C232" s="7"/>
      <c r="D232" s="7"/>
      <c r="E232" s="53"/>
      <c r="F232" s="53"/>
      <c r="L232" s="53"/>
      <c r="M232" s="53"/>
    </row>
    <row r="233" spans="1:13" x14ac:dyDescent="0.2">
      <c r="A233" s="7"/>
      <c r="B233" s="46"/>
      <c r="C233" s="7"/>
      <c r="D233" s="7"/>
      <c r="E233" s="53"/>
      <c r="F233" s="53"/>
      <c r="L233" s="53"/>
      <c r="M233" s="53"/>
    </row>
    <row r="234" spans="1:13" x14ac:dyDescent="0.2">
      <c r="A234" s="7"/>
      <c r="B234" s="46"/>
      <c r="C234" s="7"/>
      <c r="D234" s="7"/>
      <c r="E234" s="53"/>
      <c r="F234" s="53"/>
      <c r="L234" s="53"/>
      <c r="M234" s="53"/>
    </row>
    <row r="235" spans="1:13" x14ac:dyDescent="0.2">
      <c r="A235" s="7"/>
      <c r="B235" s="46"/>
      <c r="C235" s="7"/>
      <c r="D235" s="7"/>
      <c r="E235" s="53"/>
      <c r="F235" s="53"/>
      <c r="L235" s="53"/>
      <c r="M235" s="53"/>
    </row>
    <row r="236" spans="1:13" x14ac:dyDescent="0.2">
      <c r="A236" s="7"/>
      <c r="B236" s="46"/>
      <c r="C236" s="7"/>
      <c r="D236" s="7"/>
      <c r="E236" s="53"/>
      <c r="F236" s="53"/>
      <c r="L236" s="53"/>
      <c r="M236" s="53"/>
    </row>
    <row r="237" spans="1:13" x14ac:dyDescent="0.2">
      <c r="A237" s="7"/>
      <c r="B237" s="46"/>
      <c r="C237" s="7"/>
      <c r="D237" s="7"/>
      <c r="E237" s="53"/>
      <c r="F237" s="53"/>
      <c r="L237" s="53"/>
      <c r="M237" s="53"/>
    </row>
    <row r="238" spans="1:13" x14ac:dyDescent="0.2">
      <c r="A238" s="7"/>
      <c r="B238" s="46"/>
      <c r="C238" s="7"/>
      <c r="D238" s="7"/>
      <c r="E238" s="53"/>
      <c r="F238" s="53"/>
      <c r="L238" s="53"/>
      <c r="M238" s="53"/>
    </row>
    <row r="239" spans="1:13" x14ac:dyDescent="0.2">
      <c r="A239" s="7"/>
      <c r="B239" s="46"/>
      <c r="C239" s="7"/>
      <c r="D239" s="7"/>
      <c r="E239" s="53"/>
      <c r="F239" s="53"/>
      <c r="L239" s="53"/>
      <c r="M239" s="53"/>
    </row>
    <row r="240" spans="1:13" x14ac:dyDescent="0.2">
      <c r="A240" s="7"/>
      <c r="B240" s="46"/>
      <c r="C240" s="7"/>
      <c r="D240" s="7"/>
      <c r="E240" s="53"/>
      <c r="F240" s="53"/>
      <c r="L240" s="53"/>
      <c r="M240" s="53"/>
    </row>
    <row r="241" spans="1:13" x14ac:dyDescent="0.2">
      <c r="A241" s="7"/>
      <c r="B241" s="46"/>
      <c r="C241" s="7"/>
      <c r="D241" s="7"/>
      <c r="E241" s="53"/>
      <c r="F241" s="53"/>
      <c r="L241" s="53"/>
      <c r="M241" s="53"/>
    </row>
    <row r="242" spans="1:13" x14ac:dyDescent="0.2">
      <c r="A242" s="7"/>
      <c r="B242" s="46"/>
      <c r="C242" s="7"/>
      <c r="D242" s="7"/>
      <c r="E242" s="53"/>
      <c r="F242" s="53"/>
      <c r="L242" s="53"/>
      <c r="M242" s="53"/>
    </row>
    <row r="243" spans="1:13" x14ac:dyDescent="0.2">
      <c r="A243" s="7"/>
      <c r="B243" s="46"/>
      <c r="C243" s="7"/>
      <c r="D243" s="7"/>
      <c r="E243" s="53"/>
      <c r="F243" s="53"/>
      <c r="L243" s="53"/>
      <c r="M243" s="53"/>
    </row>
    <row r="244" spans="1:13" x14ac:dyDescent="0.2">
      <c r="A244" s="7"/>
      <c r="B244" s="46"/>
      <c r="C244" s="7"/>
      <c r="D244" s="7"/>
      <c r="E244" s="53"/>
      <c r="F244" s="53"/>
      <c r="L244" s="53"/>
      <c r="M244" s="53"/>
    </row>
    <row r="245" spans="1:13" x14ac:dyDescent="0.2">
      <c r="A245" s="7"/>
      <c r="B245" s="46"/>
      <c r="C245" s="7"/>
      <c r="D245" s="7"/>
      <c r="E245" s="53"/>
      <c r="F245" s="53"/>
      <c r="L245" s="53"/>
      <c r="M245" s="53"/>
    </row>
    <row r="246" spans="1:13" x14ac:dyDescent="0.2">
      <c r="A246" s="7"/>
      <c r="C246" s="7"/>
      <c r="D246" s="7"/>
      <c r="E246" s="53"/>
      <c r="F246" s="53"/>
      <c r="L246" s="53"/>
      <c r="M246" s="53"/>
    </row>
    <row r="247" spans="1:13" x14ac:dyDescent="0.2">
      <c r="A247" s="7"/>
      <c r="B247" s="56"/>
      <c r="C247" s="7"/>
      <c r="D247" s="7"/>
      <c r="E247" s="53"/>
      <c r="F247" s="53"/>
      <c r="L247" s="53"/>
      <c r="M247" s="53"/>
    </row>
    <row r="248" spans="1:13" x14ac:dyDescent="0.2">
      <c r="C248" s="7"/>
      <c r="D248" s="7"/>
    </row>
  </sheetData>
  <mergeCells count="8">
    <mergeCell ref="C5:J5"/>
    <mergeCell ref="L5:S5"/>
    <mergeCell ref="C6:D6"/>
    <mergeCell ref="E6:F6"/>
    <mergeCell ref="H6:J6"/>
    <mergeCell ref="L6:M6"/>
    <mergeCell ref="N6:O6"/>
    <mergeCell ref="Q6:S6"/>
  </mergeCells>
  <conditionalFormatting sqref="C58">
    <cfRule type="expression" dxfId="39" priority="35">
      <formula>$U58=0</formula>
    </cfRule>
    <cfRule type="expression" dxfId="38" priority="34">
      <formula>$U58&gt;=1</formula>
    </cfRule>
    <cfRule type="expression" dxfId="37" priority="33">
      <formula>$V58=-1</formula>
    </cfRule>
    <cfRule type="expression" dxfId="36" priority="32">
      <formula>$AA58="%"</formula>
    </cfRule>
    <cfRule type="expression" dxfId="35" priority="31">
      <formula>$AA58="Dec"</formula>
    </cfRule>
  </conditionalFormatting>
  <conditionalFormatting sqref="E58">
    <cfRule type="expression" dxfId="34" priority="2">
      <formula>$AA58="%"</formula>
    </cfRule>
    <cfRule type="expression" dxfId="33" priority="3">
      <formula>$V58=-1</formula>
    </cfRule>
    <cfRule type="expression" dxfId="32" priority="4">
      <formula>$U58&gt;=1</formula>
    </cfRule>
    <cfRule type="expression" dxfId="31" priority="5">
      <formula>$U58=0</formula>
    </cfRule>
    <cfRule type="expression" dxfId="30" priority="1">
      <formula>$AA58="Dec"</formula>
    </cfRule>
  </conditionalFormatting>
  <conditionalFormatting sqref="H58">
    <cfRule type="expression" dxfId="29" priority="26">
      <formula>$AA58="Dec"</formula>
    </cfRule>
    <cfRule type="expression" dxfId="28" priority="27">
      <formula>$AA58="%"</formula>
    </cfRule>
    <cfRule type="expression" dxfId="27" priority="28">
      <formula>$V58=-1</formula>
    </cfRule>
    <cfRule type="expression" dxfId="26" priority="29">
      <formula>$U58&gt;=1</formula>
    </cfRule>
    <cfRule type="expression" dxfId="25" priority="30">
      <formula>$U58=0</formula>
    </cfRule>
  </conditionalFormatting>
  <conditionalFormatting sqref="J58">
    <cfRule type="expression" dxfId="24" priority="21">
      <formula>$AA58="Dec"</formula>
    </cfRule>
    <cfRule type="expression" dxfId="23" priority="22">
      <formula>$AA58="%"</formula>
    </cfRule>
    <cfRule type="expression" dxfId="22" priority="23">
      <formula>$V58=-1</formula>
    </cfRule>
    <cfRule type="expression" dxfId="21" priority="24">
      <formula>$U58&gt;=1</formula>
    </cfRule>
    <cfRule type="expression" dxfId="20" priority="25">
      <formula>$U58=0</formula>
    </cfRule>
  </conditionalFormatting>
  <conditionalFormatting sqref="L58">
    <cfRule type="expression" dxfId="19" priority="19">
      <formula>$U58&gt;=1</formula>
    </cfRule>
    <cfRule type="expression" dxfId="18" priority="20">
      <formula>$U58=0</formula>
    </cfRule>
    <cfRule type="expression" dxfId="17" priority="17">
      <formula>$AA58="%"</formula>
    </cfRule>
    <cfRule type="expression" dxfId="16" priority="16">
      <formula>$AA58="Dec"</formula>
    </cfRule>
    <cfRule type="expression" dxfId="15" priority="18">
      <formula>$V58=-1</formula>
    </cfRule>
  </conditionalFormatting>
  <conditionalFormatting sqref="Q58">
    <cfRule type="expression" dxfId="14" priority="11">
      <formula>$AA58="Dec"</formula>
    </cfRule>
    <cfRule type="expression" dxfId="13" priority="12">
      <formula>$AA58="%"</formula>
    </cfRule>
    <cfRule type="expression" dxfId="12" priority="13">
      <formula>$V58=-1</formula>
    </cfRule>
    <cfRule type="expression" dxfId="11" priority="15">
      <formula>$U58=0</formula>
    </cfRule>
    <cfRule type="expression" dxfId="10" priority="14">
      <formula>$U58&gt;=1</formula>
    </cfRule>
  </conditionalFormatting>
  <conditionalFormatting sqref="S58">
    <cfRule type="expression" dxfId="9" priority="6">
      <formula>$AA58="Dec"</formula>
    </cfRule>
    <cfRule type="expression" dxfId="8" priority="7">
      <formula>$AA58="%"</formula>
    </cfRule>
    <cfRule type="expression" dxfId="7" priority="8">
      <formula>$V58=-1</formula>
    </cfRule>
    <cfRule type="expression" dxfId="6" priority="9">
      <formula>$U58&gt;=1</formula>
    </cfRule>
    <cfRule type="expression" dxfId="5" priority="10">
      <formula>$U58=0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DCAA-8AC5-4D1E-B2CE-6458A58E3A19}">
  <sheetPr codeName="Sheet76">
    <tabColor rgb="FFE77777"/>
    <pageSetUpPr fitToPage="1"/>
  </sheetPr>
  <dimension ref="A1:S248"/>
  <sheetViews>
    <sheetView showGridLines="0" view="pageBreakPreview" zoomScale="70" zoomScaleNormal="85" zoomScaleSheetLayoutView="70" workbookViewId="0">
      <selection activeCell="K57" sqref="K57"/>
    </sheetView>
  </sheetViews>
  <sheetFormatPr defaultColWidth="8.5703125" defaultRowHeight="15" x14ac:dyDescent="0.25"/>
  <cols>
    <col min="1" max="1" width="2.5703125" style="3" customWidth="1"/>
    <col min="2" max="2" width="38.5703125" style="3" customWidth="1"/>
    <col min="4" max="15" width="14.5703125" style="3" customWidth="1"/>
    <col min="16" max="16" width="15.42578125" style="3" customWidth="1"/>
    <col min="17" max="24" width="0" style="3" hidden="1" customWidth="1"/>
    <col min="25" max="25" width="8.5703125" style="3"/>
    <col min="26" max="26" width="9" style="3" bestFit="1" customWidth="1"/>
    <col min="27" max="16384" width="8.5703125" style="3"/>
  </cols>
  <sheetData>
    <row r="1" spans="1:19" ht="22.5" x14ac:dyDescent="0.3">
      <c r="A1" s="1" t="s">
        <v>45</v>
      </c>
      <c r="B1" s="1"/>
    </row>
    <row r="2" spans="1:19" ht="15" customHeight="1" x14ac:dyDescent="0.25">
      <c r="A2" s="72" t="s">
        <v>41</v>
      </c>
      <c r="B2" s="4"/>
    </row>
    <row r="3" spans="1:19" ht="15.75" x14ac:dyDescent="0.25">
      <c r="A3" s="5" t="s">
        <v>46</v>
      </c>
      <c r="B3" s="5"/>
    </row>
    <row r="4" spans="1:19" ht="15" customHeight="1" x14ac:dyDescent="0.25">
      <c r="A4" s="6"/>
      <c r="B4" s="2"/>
    </row>
    <row r="5" spans="1:19" x14ac:dyDescent="0.25"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74"/>
      <c r="S5" s="74"/>
    </row>
    <row r="6" spans="1:19" x14ac:dyDescent="0.25">
      <c r="D6" s="75">
        <v>45412</v>
      </c>
      <c r="E6" s="75">
        <v>45443</v>
      </c>
      <c r="F6" s="75">
        <v>45473</v>
      </c>
      <c r="G6" s="75">
        <v>45504</v>
      </c>
      <c r="H6" s="75">
        <v>45535</v>
      </c>
      <c r="I6" s="75">
        <v>45565</v>
      </c>
      <c r="J6" s="75">
        <v>45596</v>
      </c>
      <c r="K6" s="75">
        <v>45626</v>
      </c>
      <c r="L6" s="75">
        <v>45657</v>
      </c>
      <c r="M6" s="75">
        <v>45688</v>
      </c>
      <c r="N6" s="75">
        <v>45716</v>
      </c>
      <c r="O6" s="75">
        <v>45747</v>
      </c>
      <c r="P6" s="76" t="s">
        <v>42</v>
      </c>
    </row>
    <row r="7" spans="1:19" x14ac:dyDescent="0.25">
      <c r="D7" s="77" t="s">
        <v>1</v>
      </c>
      <c r="E7" s="77" t="s">
        <v>1</v>
      </c>
      <c r="F7" s="77" t="s">
        <v>1</v>
      </c>
      <c r="G7" s="77" t="s">
        <v>1</v>
      </c>
      <c r="H7" s="77" t="s">
        <v>1</v>
      </c>
      <c r="I7" s="77" t="s">
        <v>1</v>
      </c>
      <c r="J7" s="77" t="s">
        <v>1</v>
      </c>
      <c r="K7" s="77" t="s">
        <v>1</v>
      </c>
      <c r="L7" s="77" t="s">
        <v>1</v>
      </c>
      <c r="M7" s="77" t="s">
        <v>1</v>
      </c>
      <c r="N7" s="77" t="s">
        <v>1</v>
      </c>
      <c r="O7" s="77" t="s">
        <v>1</v>
      </c>
      <c r="P7" s="76"/>
    </row>
    <row r="8" spans="1:19" ht="3" customHeight="1" x14ac:dyDescent="0.25"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8"/>
    </row>
    <row r="9" spans="1:19" s="22" customFormat="1" x14ac:dyDescent="0.25">
      <c r="A9" s="79"/>
      <c r="B9" s="17" t="s">
        <v>7</v>
      </c>
      <c r="D9" s="18">
        <v>3960</v>
      </c>
      <c r="E9" s="18">
        <v>4092</v>
      </c>
      <c r="F9" s="18">
        <v>3960</v>
      </c>
      <c r="G9" s="18">
        <v>4092</v>
      </c>
      <c r="H9" s="18">
        <v>4092</v>
      </c>
      <c r="I9" s="18">
        <v>3960</v>
      </c>
      <c r="J9" s="18">
        <v>4092</v>
      </c>
      <c r="K9" s="18">
        <v>3960</v>
      </c>
      <c r="L9" s="18">
        <v>4092</v>
      </c>
      <c r="M9" s="18">
        <v>4092</v>
      </c>
      <c r="N9" s="18">
        <v>3696</v>
      </c>
      <c r="O9" s="18">
        <v>4092</v>
      </c>
      <c r="P9" s="80">
        <f>+SUM(D9:O9)</f>
        <v>48180</v>
      </c>
    </row>
    <row r="10" spans="1:19" s="22" customFormat="1" x14ac:dyDescent="0.25">
      <c r="A10" s="79"/>
      <c r="B10" s="17" t="s">
        <v>8</v>
      </c>
      <c r="D10" s="18">
        <v>3692</v>
      </c>
      <c r="E10" s="18">
        <v>3471</v>
      </c>
      <c r="F10" s="18">
        <v>3102</v>
      </c>
      <c r="G10" s="18">
        <v>3016</v>
      </c>
      <c r="H10" s="18">
        <v>3030</v>
      </c>
      <c r="I10" s="18">
        <v>2625</v>
      </c>
      <c r="J10" s="18">
        <v>3173</v>
      </c>
      <c r="K10" s="18">
        <v>3516</v>
      </c>
      <c r="L10" s="18">
        <v>3594</v>
      </c>
      <c r="M10" s="18">
        <v>3709</v>
      </c>
      <c r="N10" s="18">
        <v>3426</v>
      </c>
      <c r="O10" s="18">
        <v>3737</v>
      </c>
      <c r="P10" s="80">
        <f>+SUM(D10:O10)</f>
        <v>40091</v>
      </c>
    </row>
    <row r="11" spans="1:19" s="22" customFormat="1" x14ac:dyDescent="0.25">
      <c r="A11" s="79"/>
      <c r="B11" s="17" t="s">
        <v>9</v>
      </c>
      <c r="D11" s="23">
        <v>0.93230000000000002</v>
      </c>
      <c r="E11" s="23">
        <v>0.84819999999999995</v>
      </c>
      <c r="F11" s="23">
        <v>0.7833</v>
      </c>
      <c r="G11" s="23">
        <v>0.73699999999999999</v>
      </c>
      <c r="H11" s="23">
        <v>0.74050000000000005</v>
      </c>
      <c r="I11" s="23">
        <v>0.66290000000000004</v>
      </c>
      <c r="J11" s="23">
        <v>0.77539999999999998</v>
      </c>
      <c r="K11" s="23">
        <v>0.88790000000000002</v>
      </c>
      <c r="L11" s="23">
        <v>0.87829999999999997</v>
      </c>
      <c r="M11" s="23">
        <v>0.90639999999999998</v>
      </c>
      <c r="N11" s="23">
        <v>0.92689999999999995</v>
      </c>
      <c r="O11" s="23">
        <v>0.91320000000000001</v>
      </c>
      <c r="P11" s="81">
        <f>P10/P9</f>
        <v>0.83210875882108759</v>
      </c>
    </row>
    <row r="12" spans="1:19" s="22" customFormat="1" x14ac:dyDescent="0.25">
      <c r="A12" s="79"/>
      <c r="B12" s="17" t="s">
        <v>10</v>
      </c>
      <c r="D12" s="24">
        <v>258.44729999999998</v>
      </c>
      <c r="E12" s="24">
        <v>223.86150000000001</v>
      </c>
      <c r="F12" s="24">
        <v>171.1737</v>
      </c>
      <c r="G12" s="24">
        <v>179.42679999999999</v>
      </c>
      <c r="H12" s="24">
        <v>158.69499999999999</v>
      </c>
      <c r="I12" s="24">
        <v>160.40219999999999</v>
      </c>
      <c r="J12" s="24">
        <v>192.31700000000001</v>
      </c>
      <c r="K12" s="24">
        <v>197.7415</v>
      </c>
      <c r="L12" s="24">
        <v>278.76679999999999</v>
      </c>
      <c r="M12" s="24">
        <v>280.59289999999999</v>
      </c>
      <c r="N12" s="24">
        <v>341.18630000000002</v>
      </c>
      <c r="O12" s="24">
        <v>296.99329999999998</v>
      </c>
      <c r="P12" s="82">
        <f>P17/P10</f>
        <v>232.77293956249531</v>
      </c>
    </row>
    <row r="13" spans="1:19" s="22" customFormat="1" x14ac:dyDescent="0.25">
      <c r="A13" s="79"/>
      <c r="B13" s="17" t="s">
        <v>11</v>
      </c>
      <c r="D13" s="24">
        <v>240.9564</v>
      </c>
      <c r="E13" s="24">
        <v>189.88839999999999</v>
      </c>
      <c r="F13" s="24">
        <v>134.08600000000001</v>
      </c>
      <c r="G13" s="24">
        <v>132.24619999999999</v>
      </c>
      <c r="H13" s="24">
        <v>117.50879999999999</v>
      </c>
      <c r="I13" s="24">
        <v>106.3272</v>
      </c>
      <c r="J13" s="24">
        <v>149.12559999999999</v>
      </c>
      <c r="K13" s="24">
        <v>175.57050000000001</v>
      </c>
      <c r="L13" s="24">
        <v>244.84059999999999</v>
      </c>
      <c r="M13" s="24">
        <v>254.33009999999999</v>
      </c>
      <c r="N13" s="24">
        <v>316.262</v>
      </c>
      <c r="O13" s="24">
        <v>271.22770000000003</v>
      </c>
      <c r="P13" s="82">
        <f>P11*P12</f>
        <v>193.692401826484</v>
      </c>
    </row>
    <row r="14" spans="1:19" s="22" customFormat="1" x14ac:dyDescent="0.25">
      <c r="A14" s="79"/>
      <c r="B14" s="17" t="s">
        <v>12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80"/>
    </row>
    <row r="15" spans="1:19" s="22" customFormat="1" x14ac:dyDescent="0.25">
      <c r="A15" s="79"/>
      <c r="B15" s="17" t="s">
        <v>12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80"/>
    </row>
    <row r="16" spans="1:19" s="33" customFormat="1" x14ac:dyDescent="0.25">
      <c r="A16" s="83"/>
      <c r="B16" s="27" t="s">
        <v>13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5"/>
    </row>
    <row r="17" spans="1:16" s="22" customFormat="1" x14ac:dyDescent="0.25">
      <c r="A17" s="79"/>
      <c r="B17" s="17" t="s">
        <v>14</v>
      </c>
      <c r="D17" s="18">
        <v>954187.37</v>
      </c>
      <c r="E17" s="18">
        <v>777023.21</v>
      </c>
      <c r="F17" s="18">
        <v>530980.69999999995</v>
      </c>
      <c r="G17" s="18">
        <v>541151.31000000006</v>
      </c>
      <c r="H17" s="18">
        <v>480845.86</v>
      </c>
      <c r="I17" s="18">
        <v>421055.73</v>
      </c>
      <c r="J17" s="18">
        <v>610221.82999999996</v>
      </c>
      <c r="K17" s="18">
        <v>695259.21</v>
      </c>
      <c r="L17" s="18">
        <v>1001887.74</v>
      </c>
      <c r="M17" s="18">
        <v>1040718.97</v>
      </c>
      <c r="N17" s="18">
        <v>1168904.21</v>
      </c>
      <c r="O17" s="18">
        <v>1109863.78</v>
      </c>
      <c r="P17" s="80">
        <f>+SUM(D17:O17)</f>
        <v>9332099.9199999999</v>
      </c>
    </row>
    <row r="18" spans="1:16" s="22" customFormat="1" x14ac:dyDescent="0.25">
      <c r="A18" s="79"/>
      <c r="B18" s="17" t="s">
        <v>15</v>
      </c>
      <c r="D18" s="18">
        <v>250971.01</v>
      </c>
      <c r="E18" s="18">
        <v>276217.51</v>
      </c>
      <c r="F18" s="18">
        <v>201588.78</v>
      </c>
      <c r="G18" s="18">
        <v>210893.26</v>
      </c>
      <c r="H18" s="18">
        <v>189691.38</v>
      </c>
      <c r="I18" s="18">
        <v>205467.1</v>
      </c>
      <c r="J18" s="18">
        <v>195962.94</v>
      </c>
      <c r="K18" s="18">
        <v>235866.06</v>
      </c>
      <c r="L18" s="18">
        <v>305129.21999999997</v>
      </c>
      <c r="M18" s="18">
        <v>354251.28</v>
      </c>
      <c r="N18" s="18">
        <v>423507.82</v>
      </c>
      <c r="O18" s="18">
        <v>367074.76</v>
      </c>
      <c r="P18" s="80">
        <f>+SUM(D18:O18)</f>
        <v>3216621.12</v>
      </c>
    </row>
    <row r="19" spans="1:16" s="22" customFormat="1" x14ac:dyDescent="0.25">
      <c r="A19" s="79"/>
      <c r="B19" s="17" t="s">
        <v>16</v>
      </c>
      <c r="D19" s="18">
        <v>1461.55</v>
      </c>
      <c r="E19" s="18">
        <v>686.39</v>
      </c>
      <c r="F19" s="18">
        <v>971.47</v>
      </c>
      <c r="G19" s="18">
        <v>1646.04</v>
      </c>
      <c r="H19" s="18">
        <v>900.7</v>
      </c>
      <c r="I19" s="18">
        <v>865.48</v>
      </c>
      <c r="J19" s="18">
        <v>1388.87</v>
      </c>
      <c r="K19" s="18">
        <v>2028.13</v>
      </c>
      <c r="L19" s="18">
        <v>2112.59</v>
      </c>
      <c r="M19" s="18">
        <v>2237.04</v>
      </c>
      <c r="N19" s="18">
        <v>2324.1799999999998</v>
      </c>
      <c r="O19" s="18">
        <v>2364.48</v>
      </c>
      <c r="P19" s="80">
        <f>+SUM(D19:O19)</f>
        <v>18986.919999999998</v>
      </c>
    </row>
    <row r="20" spans="1:16" s="22" customFormat="1" x14ac:dyDescent="0.25">
      <c r="A20" s="79"/>
      <c r="B20" s="17" t="s">
        <v>17</v>
      </c>
      <c r="D20" s="18">
        <v>112785.17</v>
      </c>
      <c r="E20" s="18">
        <v>110919.27</v>
      </c>
      <c r="F20" s="18">
        <v>93308.28</v>
      </c>
      <c r="G20" s="18">
        <v>102674.98</v>
      </c>
      <c r="H20" s="18">
        <v>101401.82</v>
      </c>
      <c r="I20" s="18">
        <v>75369.05</v>
      </c>
      <c r="J20" s="18">
        <v>102100.27</v>
      </c>
      <c r="K20" s="18">
        <v>114522.56</v>
      </c>
      <c r="L20" s="18">
        <v>125354.13</v>
      </c>
      <c r="M20" s="18">
        <v>107218.88</v>
      </c>
      <c r="N20" s="18">
        <v>91349.99</v>
      </c>
      <c r="O20" s="18">
        <v>110611.64</v>
      </c>
      <c r="P20" s="80">
        <f>+SUM(D20:O20)</f>
        <v>1247616.0399999998</v>
      </c>
    </row>
    <row r="21" spans="1:16" s="33" customFormat="1" x14ac:dyDescent="0.25">
      <c r="A21" s="83"/>
      <c r="B21" s="27" t="s">
        <v>18</v>
      </c>
      <c r="D21" s="29">
        <v>1319405.0999999999</v>
      </c>
      <c r="E21" s="29">
        <v>1164846.3799999999</v>
      </c>
      <c r="F21" s="29">
        <v>826849.23</v>
      </c>
      <c r="G21" s="29">
        <v>856365.59000000008</v>
      </c>
      <c r="H21" s="29">
        <v>772839.76</v>
      </c>
      <c r="I21" s="29">
        <v>702757.36</v>
      </c>
      <c r="J21" s="29">
        <v>909673.91</v>
      </c>
      <c r="K21" s="29">
        <v>1047675.96</v>
      </c>
      <c r="L21" s="29">
        <v>1434483.6800000002</v>
      </c>
      <c r="M21" s="29">
        <v>1504426.17</v>
      </c>
      <c r="N21" s="29">
        <v>1686086.2</v>
      </c>
      <c r="O21" s="29">
        <v>1589914.66</v>
      </c>
      <c r="P21" s="86">
        <f>+SUM(D21:O21)</f>
        <v>13815324</v>
      </c>
    </row>
    <row r="22" spans="1:16" s="22" customFormat="1" x14ac:dyDescent="0.25">
      <c r="A22" s="79"/>
      <c r="B22" s="17" t="s">
        <v>12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80"/>
    </row>
    <row r="23" spans="1:16" s="33" customFormat="1" x14ac:dyDescent="0.25">
      <c r="A23" s="83"/>
      <c r="B23" s="27" t="s">
        <v>19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5"/>
    </row>
    <row r="24" spans="1:16" s="22" customFormat="1" x14ac:dyDescent="0.25">
      <c r="A24" s="79"/>
      <c r="B24" s="17" t="s">
        <v>14</v>
      </c>
      <c r="D24" s="18">
        <v>261858.86</v>
      </c>
      <c r="E24" s="18">
        <v>267324.25</v>
      </c>
      <c r="F24" s="18">
        <v>206882.07</v>
      </c>
      <c r="G24" s="18">
        <v>214773.66</v>
      </c>
      <c r="H24" s="18">
        <v>200502.01</v>
      </c>
      <c r="I24" s="18">
        <v>185458.87</v>
      </c>
      <c r="J24" s="18">
        <v>194298.83</v>
      </c>
      <c r="K24" s="18">
        <v>214598.12</v>
      </c>
      <c r="L24" s="18">
        <v>255145.18</v>
      </c>
      <c r="M24" s="18">
        <v>279344.62</v>
      </c>
      <c r="N24" s="18">
        <v>240150.76</v>
      </c>
      <c r="O24" s="18">
        <v>250429.69</v>
      </c>
      <c r="P24" s="80">
        <f>+SUM(D24:O24)</f>
        <v>2770766.9200000004</v>
      </c>
    </row>
    <row r="25" spans="1:16" s="22" customFormat="1" x14ac:dyDescent="0.25">
      <c r="A25" s="79"/>
      <c r="B25" s="17" t="s">
        <v>15</v>
      </c>
      <c r="D25" s="18">
        <v>228871.12</v>
      </c>
      <c r="E25" s="18">
        <v>226868.58</v>
      </c>
      <c r="F25" s="18">
        <v>181455.91</v>
      </c>
      <c r="G25" s="18">
        <v>187917.75</v>
      </c>
      <c r="H25" s="18">
        <v>183640.15</v>
      </c>
      <c r="I25" s="18">
        <v>144001.82</v>
      </c>
      <c r="J25" s="18">
        <v>168612.12</v>
      </c>
      <c r="K25" s="18">
        <v>192181.82</v>
      </c>
      <c r="L25" s="18">
        <v>231097.5</v>
      </c>
      <c r="M25" s="18">
        <v>248459.71</v>
      </c>
      <c r="N25" s="18">
        <v>275568.11</v>
      </c>
      <c r="O25" s="18">
        <v>264575.75</v>
      </c>
      <c r="P25" s="80">
        <f>+SUM(D25:O25)</f>
        <v>2533250.3400000003</v>
      </c>
    </row>
    <row r="26" spans="1:16" s="22" customFormat="1" x14ac:dyDescent="0.25">
      <c r="A26" s="79"/>
      <c r="B26" s="17" t="s">
        <v>16</v>
      </c>
      <c r="D26" s="18">
        <v>642.24</v>
      </c>
      <c r="E26" s="18">
        <v>294.5</v>
      </c>
      <c r="F26" s="18">
        <v>206.68</v>
      </c>
      <c r="G26" s="18">
        <v>520.26</v>
      </c>
      <c r="H26" s="18">
        <v>165.54</v>
      </c>
      <c r="I26" s="18">
        <v>348.76</v>
      </c>
      <c r="J26" s="18">
        <v>319.45</v>
      </c>
      <c r="K26" s="18">
        <v>767.44</v>
      </c>
      <c r="L26" s="18">
        <v>180.6</v>
      </c>
      <c r="M26" s="18">
        <v>1154.5999999999999</v>
      </c>
      <c r="N26" s="18">
        <v>1424.85</v>
      </c>
      <c r="O26" s="18">
        <v>1387.57</v>
      </c>
      <c r="P26" s="80">
        <f>+SUM(D26:O26)</f>
        <v>7412.49</v>
      </c>
    </row>
    <row r="27" spans="1:16" s="33" customFormat="1" x14ac:dyDescent="0.25">
      <c r="A27" s="83"/>
      <c r="B27" s="27" t="s">
        <v>20</v>
      </c>
      <c r="D27" s="29">
        <v>491372.22</v>
      </c>
      <c r="E27" s="29">
        <v>494487.32999999996</v>
      </c>
      <c r="F27" s="29">
        <v>388544.66</v>
      </c>
      <c r="G27" s="29">
        <v>403211.67000000004</v>
      </c>
      <c r="H27" s="29">
        <v>384307.7</v>
      </c>
      <c r="I27" s="29">
        <v>329809.45</v>
      </c>
      <c r="J27" s="29">
        <v>363230.39999999997</v>
      </c>
      <c r="K27" s="29">
        <v>407547.38</v>
      </c>
      <c r="L27" s="29">
        <v>486423.27999999997</v>
      </c>
      <c r="M27" s="29">
        <v>528958.92999999993</v>
      </c>
      <c r="N27" s="29">
        <v>517143.72</v>
      </c>
      <c r="O27" s="29">
        <v>516393.01</v>
      </c>
      <c r="P27" s="86">
        <f>+SUM(D27:O27)</f>
        <v>5311429.7499999991</v>
      </c>
    </row>
    <row r="28" spans="1:16" s="22" customFormat="1" x14ac:dyDescent="0.25">
      <c r="A28" s="79"/>
      <c r="B28" s="17" t="s">
        <v>12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80"/>
    </row>
    <row r="29" spans="1:16" s="33" customFormat="1" x14ac:dyDescent="0.25">
      <c r="A29" s="83"/>
      <c r="B29" s="27" t="s">
        <v>21</v>
      </c>
      <c r="D29" s="84">
        <v>828032.87999999989</v>
      </c>
      <c r="E29" s="84">
        <v>670359.04999999993</v>
      </c>
      <c r="F29" s="84">
        <v>438304.57</v>
      </c>
      <c r="G29" s="84">
        <v>453153.92000000004</v>
      </c>
      <c r="H29" s="84">
        <v>388532.06</v>
      </c>
      <c r="I29" s="84">
        <v>372947.91</v>
      </c>
      <c r="J29" s="84">
        <v>546443.51</v>
      </c>
      <c r="K29" s="84">
        <v>640128.57999999996</v>
      </c>
      <c r="L29" s="84">
        <v>948060.40000000014</v>
      </c>
      <c r="M29" s="84">
        <v>975467.24</v>
      </c>
      <c r="N29" s="84">
        <v>1168942.48</v>
      </c>
      <c r="O29" s="84">
        <v>1073521.6499999999</v>
      </c>
      <c r="P29" s="85">
        <f>+SUM(D29:O29)</f>
        <v>8503894.2500000019</v>
      </c>
    </row>
    <row r="30" spans="1:16" s="22" customFormat="1" x14ac:dyDescent="0.25">
      <c r="A30" s="79"/>
      <c r="B30" s="17" t="s">
        <v>12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80"/>
    </row>
    <row r="31" spans="1:16" s="33" customFormat="1" x14ac:dyDescent="0.25">
      <c r="A31" s="83"/>
      <c r="B31" s="27" t="s">
        <v>22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5"/>
    </row>
    <row r="32" spans="1:16" s="22" customFormat="1" x14ac:dyDescent="0.25">
      <c r="A32" s="79"/>
      <c r="B32" s="17" t="s">
        <v>23</v>
      </c>
      <c r="D32" s="18">
        <v>118161.63</v>
      </c>
      <c r="E32" s="18">
        <v>111994.31</v>
      </c>
      <c r="F32" s="18">
        <v>82539.25</v>
      </c>
      <c r="G32" s="18">
        <v>90862.62</v>
      </c>
      <c r="H32" s="18">
        <v>94776.16</v>
      </c>
      <c r="I32" s="18">
        <v>100956.57</v>
      </c>
      <c r="J32" s="18">
        <v>101881.17</v>
      </c>
      <c r="K32" s="18">
        <v>97703.56</v>
      </c>
      <c r="L32" s="18">
        <v>130844.77</v>
      </c>
      <c r="M32" s="18">
        <v>124940.54</v>
      </c>
      <c r="N32" s="18">
        <v>116597.61</v>
      </c>
      <c r="O32" s="18">
        <v>120164.19</v>
      </c>
      <c r="P32" s="80">
        <f t="shared" ref="P32:P37" si="0">+SUM(D32:O32)</f>
        <v>1291422.3800000001</v>
      </c>
    </row>
    <row r="33" spans="1:16" s="22" customFormat="1" x14ac:dyDescent="0.25">
      <c r="A33" s="79"/>
      <c r="B33" s="17" t="s">
        <v>24</v>
      </c>
      <c r="D33" s="18">
        <v>15829.8</v>
      </c>
      <c r="E33" s="18">
        <v>15157.74</v>
      </c>
      <c r="F33" s="18">
        <v>11148.06</v>
      </c>
      <c r="G33" s="18">
        <v>12448.49</v>
      </c>
      <c r="H33" s="18">
        <v>9078.4500000000007</v>
      </c>
      <c r="I33" s="18">
        <v>8251.67</v>
      </c>
      <c r="J33" s="18">
        <v>10860.33</v>
      </c>
      <c r="K33" s="18">
        <v>13045.09</v>
      </c>
      <c r="L33" s="18">
        <v>19091.71</v>
      </c>
      <c r="M33" s="18">
        <v>21170.28</v>
      </c>
      <c r="N33" s="18">
        <v>24910.61</v>
      </c>
      <c r="O33" s="18">
        <v>18119.5</v>
      </c>
      <c r="P33" s="80">
        <f t="shared" si="0"/>
        <v>179111.72999999998</v>
      </c>
    </row>
    <row r="34" spans="1:16" s="22" customFormat="1" x14ac:dyDescent="0.25">
      <c r="A34" s="79"/>
      <c r="B34" s="17" t="s">
        <v>25</v>
      </c>
      <c r="D34" s="18">
        <v>115727.72</v>
      </c>
      <c r="E34" s="18">
        <v>106611.29</v>
      </c>
      <c r="F34" s="18">
        <v>96066.240000000005</v>
      </c>
      <c r="G34" s="18">
        <v>97447.53</v>
      </c>
      <c r="H34" s="18">
        <v>91547.39</v>
      </c>
      <c r="I34" s="18">
        <v>90642.09</v>
      </c>
      <c r="J34" s="18">
        <v>89372.2</v>
      </c>
      <c r="K34" s="18">
        <v>96385.97</v>
      </c>
      <c r="L34" s="18">
        <v>83929.4</v>
      </c>
      <c r="M34" s="18">
        <v>103819.96</v>
      </c>
      <c r="N34" s="18">
        <v>95261.58</v>
      </c>
      <c r="O34" s="18">
        <v>94505.39</v>
      </c>
      <c r="P34" s="80">
        <f t="shared" si="0"/>
        <v>1161316.7599999998</v>
      </c>
    </row>
    <row r="35" spans="1:16" s="22" customFormat="1" x14ac:dyDescent="0.25">
      <c r="A35" s="79"/>
      <c r="B35" s="17" t="s">
        <v>43</v>
      </c>
      <c r="D35" s="18">
        <v>37576.639999999999</v>
      </c>
      <c r="E35" s="18">
        <v>53729.18</v>
      </c>
      <c r="F35" s="18">
        <v>45389.36</v>
      </c>
      <c r="G35" s="18">
        <v>48251.05</v>
      </c>
      <c r="H35" s="18">
        <v>50469.87</v>
      </c>
      <c r="I35" s="18">
        <v>54761.56</v>
      </c>
      <c r="J35" s="18">
        <v>53366.78</v>
      </c>
      <c r="K35" s="18">
        <v>55631.99</v>
      </c>
      <c r="L35" s="18">
        <v>51815.5</v>
      </c>
      <c r="M35" s="18">
        <v>63453.34</v>
      </c>
      <c r="N35" s="18">
        <v>52586.01</v>
      </c>
      <c r="O35" s="18">
        <v>47396.59</v>
      </c>
      <c r="P35" s="80">
        <f t="shared" si="0"/>
        <v>614427.86999999988</v>
      </c>
    </row>
    <row r="36" spans="1:16" s="22" customFormat="1" x14ac:dyDescent="0.25">
      <c r="A36" s="79"/>
      <c r="B36" s="17" t="s">
        <v>27</v>
      </c>
      <c r="D36" s="18">
        <v>25806.47</v>
      </c>
      <c r="E36" s="18">
        <v>26430.89</v>
      </c>
      <c r="F36" s="18">
        <v>28545.41</v>
      </c>
      <c r="G36" s="18">
        <v>24940.23</v>
      </c>
      <c r="H36" s="18">
        <v>23587.33</v>
      </c>
      <c r="I36" s="18">
        <v>25144.400000000001</v>
      </c>
      <c r="J36" s="18">
        <v>24473.06</v>
      </c>
      <c r="K36" s="18">
        <v>22625.96</v>
      </c>
      <c r="L36" s="18">
        <v>16277.43</v>
      </c>
      <c r="M36" s="18">
        <v>25067.23</v>
      </c>
      <c r="N36" s="18">
        <v>21552.880000000001</v>
      </c>
      <c r="O36" s="18">
        <v>22703.39</v>
      </c>
      <c r="P36" s="80">
        <f t="shared" si="0"/>
        <v>287154.68</v>
      </c>
    </row>
    <row r="37" spans="1:16" s="33" customFormat="1" x14ac:dyDescent="0.25">
      <c r="A37" s="83"/>
      <c r="B37" s="27" t="s">
        <v>28</v>
      </c>
      <c r="D37" s="29">
        <v>313102.26</v>
      </c>
      <c r="E37" s="29">
        <v>313923.41000000003</v>
      </c>
      <c r="F37" s="29">
        <v>263688.31999999995</v>
      </c>
      <c r="G37" s="29">
        <v>273949.92</v>
      </c>
      <c r="H37" s="29">
        <v>269459.20000000001</v>
      </c>
      <c r="I37" s="29">
        <v>279756.29000000004</v>
      </c>
      <c r="J37" s="29">
        <v>279953.54000000004</v>
      </c>
      <c r="K37" s="29">
        <v>285392.57</v>
      </c>
      <c r="L37" s="29">
        <v>301958.81</v>
      </c>
      <c r="M37" s="29">
        <v>338451.35</v>
      </c>
      <c r="N37" s="29">
        <v>310908.69</v>
      </c>
      <c r="O37" s="29">
        <v>302889.06000000006</v>
      </c>
      <c r="P37" s="86">
        <f t="shared" si="0"/>
        <v>3533433.42</v>
      </c>
    </row>
    <row r="38" spans="1:16" s="22" customFormat="1" x14ac:dyDescent="0.25">
      <c r="A38" s="79"/>
      <c r="B38" s="17" t="s">
        <v>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80"/>
    </row>
    <row r="39" spans="1:16" s="33" customFormat="1" x14ac:dyDescent="0.25">
      <c r="A39" s="83"/>
      <c r="B39" s="27" t="s">
        <v>29</v>
      </c>
      <c r="D39" s="84">
        <v>514930.61999999988</v>
      </c>
      <c r="E39" s="84">
        <v>356435.6399999999</v>
      </c>
      <c r="F39" s="84">
        <v>174616.25000000006</v>
      </c>
      <c r="G39" s="84">
        <v>179204.00000000006</v>
      </c>
      <c r="H39" s="84">
        <v>119072.85999999999</v>
      </c>
      <c r="I39" s="84">
        <v>93191.619999999937</v>
      </c>
      <c r="J39" s="84">
        <v>266489.96999999997</v>
      </c>
      <c r="K39" s="84">
        <v>354736.00999999995</v>
      </c>
      <c r="L39" s="84">
        <v>646101.59000000008</v>
      </c>
      <c r="M39" s="84">
        <v>637015.89</v>
      </c>
      <c r="N39" s="84">
        <v>858033.79</v>
      </c>
      <c r="O39" s="84">
        <v>770632.58999999985</v>
      </c>
      <c r="P39" s="85">
        <f>+SUM(D39:O39)</f>
        <v>4970460.83</v>
      </c>
    </row>
    <row r="40" spans="1:16" s="22" customFormat="1" x14ac:dyDescent="0.25">
      <c r="A40" s="79"/>
      <c r="B40" s="17" t="s">
        <v>12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80"/>
    </row>
    <row r="41" spans="1:16" s="22" customFormat="1" x14ac:dyDescent="0.25">
      <c r="A41" s="79"/>
      <c r="B41" s="17" t="s">
        <v>30</v>
      </c>
      <c r="D41" s="18">
        <v>56917.53</v>
      </c>
      <c r="E41" s="18">
        <v>55821.919999999998</v>
      </c>
      <c r="F41" s="18">
        <v>41157.660000000003</v>
      </c>
      <c r="G41" s="18">
        <v>41987.72</v>
      </c>
      <c r="H41" s="18">
        <v>37762.94</v>
      </c>
      <c r="I41" s="18">
        <v>37196.82</v>
      </c>
      <c r="J41" s="18">
        <v>42657.18</v>
      </c>
      <c r="K41" s="18">
        <v>55537.08</v>
      </c>
      <c r="L41" s="18">
        <v>64343.02</v>
      </c>
      <c r="M41" s="18">
        <v>59537.97</v>
      </c>
      <c r="N41" s="18">
        <v>76013.259999999995</v>
      </c>
      <c r="O41" s="18">
        <v>69990.81</v>
      </c>
      <c r="P41" s="80">
        <f>+SUM(D41:O41)</f>
        <v>638923.90999999992</v>
      </c>
    </row>
    <row r="42" spans="1:16" s="33" customFormat="1" x14ac:dyDescent="0.25">
      <c r="A42" s="83"/>
      <c r="B42" s="27" t="s">
        <v>31</v>
      </c>
      <c r="D42" s="29">
        <v>458013.08999999985</v>
      </c>
      <c r="E42" s="29">
        <v>300613.71999999991</v>
      </c>
      <c r="F42" s="29">
        <v>133458.59000000005</v>
      </c>
      <c r="G42" s="29">
        <v>137216.28000000006</v>
      </c>
      <c r="H42" s="29">
        <v>81309.919999999984</v>
      </c>
      <c r="I42" s="29">
        <v>55994.799999999937</v>
      </c>
      <c r="J42" s="29">
        <v>223832.78999999998</v>
      </c>
      <c r="K42" s="29">
        <v>299198.92999999993</v>
      </c>
      <c r="L42" s="29">
        <v>581758.57000000007</v>
      </c>
      <c r="M42" s="29">
        <v>577477.92000000004</v>
      </c>
      <c r="N42" s="29">
        <v>782020.53</v>
      </c>
      <c r="O42" s="29">
        <v>700641.7799999998</v>
      </c>
      <c r="P42" s="86">
        <f>+SUM(D42:O42)</f>
        <v>4331536.92</v>
      </c>
    </row>
    <row r="43" spans="1:16" s="22" customFormat="1" x14ac:dyDescent="0.25">
      <c r="A43" s="79"/>
      <c r="B43" s="17" t="s">
        <v>12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80"/>
    </row>
    <row r="44" spans="1:16" s="22" customFormat="1" x14ac:dyDescent="0.25">
      <c r="A44" s="79"/>
      <c r="B44" s="17" t="s">
        <v>44</v>
      </c>
      <c r="D44" s="18">
        <v>-1967.65</v>
      </c>
      <c r="E44" s="18">
        <v>-2116.0700000000002</v>
      </c>
      <c r="F44" s="18">
        <v>-2077.4899999999998</v>
      </c>
      <c r="G44" s="18">
        <v>-2152.0300000000002</v>
      </c>
      <c r="H44" s="18">
        <v>-2157.5</v>
      </c>
      <c r="I44" s="18">
        <v>-1997.83</v>
      </c>
      <c r="J44" s="18">
        <v>-1918.92</v>
      </c>
      <c r="K44" s="18">
        <v>0</v>
      </c>
      <c r="L44" s="18">
        <v>0</v>
      </c>
      <c r="M44" s="18">
        <v>-5053.16</v>
      </c>
      <c r="N44" s="18">
        <v>-1517.29</v>
      </c>
      <c r="O44" s="18">
        <v>-1682.8</v>
      </c>
      <c r="P44" s="80">
        <f t="shared" ref="P44:P49" si="1">+SUM(D44:O44)</f>
        <v>-22640.74</v>
      </c>
    </row>
    <row r="45" spans="1:16" s="22" customFormat="1" x14ac:dyDescent="0.25">
      <c r="A45" s="79"/>
      <c r="B45" s="17" t="s">
        <v>33</v>
      </c>
      <c r="D45" s="18">
        <v>-196.17</v>
      </c>
      <c r="E45" s="18">
        <v>1870.24</v>
      </c>
      <c r="F45" s="18">
        <v>658.13</v>
      </c>
      <c r="G45" s="18">
        <v>837.03</v>
      </c>
      <c r="H45" s="18">
        <v>517.89</v>
      </c>
      <c r="I45" s="18">
        <v>3514.57</v>
      </c>
      <c r="J45" s="18">
        <v>-800.55</v>
      </c>
      <c r="K45" s="18">
        <v>2224.88</v>
      </c>
      <c r="L45" s="18">
        <v>-2950.36</v>
      </c>
      <c r="M45" s="18">
        <v>2257.12</v>
      </c>
      <c r="N45" s="18">
        <v>473.27</v>
      </c>
      <c r="O45" s="18">
        <v>924.24</v>
      </c>
      <c r="P45" s="80">
        <f t="shared" si="1"/>
        <v>9330.2899999999991</v>
      </c>
    </row>
    <row r="46" spans="1:16" s="22" customFormat="1" x14ac:dyDescent="0.25">
      <c r="A46" s="79"/>
      <c r="B46" s="17" t="s">
        <v>34</v>
      </c>
      <c r="D46" s="18">
        <v>62050.2</v>
      </c>
      <c r="E46" s="18">
        <v>45461</v>
      </c>
      <c r="F46" s="18">
        <v>45461</v>
      </c>
      <c r="G46" s="18">
        <v>45461</v>
      </c>
      <c r="H46" s="18">
        <v>45461</v>
      </c>
      <c r="I46" s="18">
        <v>45461</v>
      </c>
      <c r="J46" s="18">
        <v>45461</v>
      </c>
      <c r="K46" s="18">
        <v>86358.56</v>
      </c>
      <c r="L46" s="18">
        <v>2281.7199999999998</v>
      </c>
      <c r="M46" s="18">
        <v>48368</v>
      </c>
      <c r="N46" s="18">
        <v>48368</v>
      </c>
      <c r="O46" s="18">
        <v>48368</v>
      </c>
      <c r="P46" s="80">
        <f t="shared" si="1"/>
        <v>568560.48</v>
      </c>
    </row>
    <row r="47" spans="1:16" s="22" customFormat="1" x14ac:dyDescent="0.25">
      <c r="A47" s="79"/>
      <c r="B47" s="17" t="s">
        <v>35</v>
      </c>
      <c r="D47" s="18">
        <v>130984.32000000001</v>
      </c>
      <c r="E47" s="18">
        <v>117207.72</v>
      </c>
      <c r="F47" s="18">
        <v>117470.98</v>
      </c>
      <c r="G47" s="18">
        <v>117470.94</v>
      </c>
      <c r="H47" s="18">
        <v>116313.08</v>
      </c>
      <c r="I47" s="18">
        <v>117717.47</v>
      </c>
      <c r="J47" s="18">
        <v>117717.35</v>
      </c>
      <c r="K47" s="18">
        <v>117717.35</v>
      </c>
      <c r="L47" s="18">
        <v>130965.02</v>
      </c>
      <c r="M47" s="18">
        <v>115247.19</v>
      </c>
      <c r="N47" s="18">
        <v>115553.45</v>
      </c>
      <c r="O47" s="18">
        <v>115207.89</v>
      </c>
      <c r="P47" s="80">
        <f t="shared" si="1"/>
        <v>1429572.7599999998</v>
      </c>
    </row>
    <row r="48" spans="1:16" s="22" customFormat="1" x14ac:dyDescent="0.25">
      <c r="A48" s="79"/>
      <c r="B48" s="17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80">
        <f t="shared" si="1"/>
        <v>0</v>
      </c>
    </row>
    <row r="49" spans="1:16" s="33" customFormat="1" x14ac:dyDescent="0.25">
      <c r="A49" s="83"/>
      <c r="B49" s="27" t="s">
        <v>37</v>
      </c>
      <c r="D49" s="29">
        <v>190870.7</v>
      </c>
      <c r="E49" s="29">
        <v>162422.89000000001</v>
      </c>
      <c r="F49" s="29">
        <v>161512.62</v>
      </c>
      <c r="G49" s="29">
        <v>161616.94</v>
      </c>
      <c r="H49" s="29">
        <v>160134.47</v>
      </c>
      <c r="I49" s="29">
        <v>164695.21</v>
      </c>
      <c r="J49" s="29">
        <v>160458.88</v>
      </c>
      <c r="K49" s="29">
        <v>206300.79</v>
      </c>
      <c r="L49" s="29">
        <v>130296.38</v>
      </c>
      <c r="M49" s="29">
        <v>160819.15</v>
      </c>
      <c r="N49" s="29">
        <v>162877.43</v>
      </c>
      <c r="O49" s="29">
        <v>162817.33000000002</v>
      </c>
      <c r="P49" s="86">
        <f t="shared" si="1"/>
        <v>1984822.7899999998</v>
      </c>
    </row>
    <row r="50" spans="1:16" s="22" customFormat="1" x14ac:dyDescent="0.25">
      <c r="A50" s="79"/>
      <c r="B50" s="17" t="s">
        <v>12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80"/>
    </row>
    <row r="51" spans="1:16" s="33" customFormat="1" x14ac:dyDescent="0.25">
      <c r="A51" s="83"/>
      <c r="B51" s="27" t="s">
        <v>38</v>
      </c>
      <c r="D51" s="84">
        <v>267142.38999999984</v>
      </c>
      <c r="E51" s="84">
        <v>138190.8299999999</v>
      </c>
      <c r="F51" s="84">
        <v>-28054.029999999941</v>
      </c>
      <c r="G51" s="84">
        <v>-24400.659999999945</v>
      </c>
      <c r="H51" s="84">
        <v>-78824.550000000017</v>
      </c>
      <c r="I51" s="84">
        <v>-108700.41000000006</v>
      </c>
      <c r="J51" s="84">
        <v>63373.909999999974</v>
      </c>
      <c r="K51" s="84">
        <v>92898.139999999927</v>
      </c>
      <c r="L51" s="84">
        <v>451462.19000000006</v>
      </c>
      <c r="M51" s="84">
        <v>416658.77</v>
      </c>
      <c r="N51" s="84">
        <v>619143.10000000009</v>
      </c>
      <c r="O51" s="84">
        <v>537824.44999999972</v>
      </c>
      <c r="P51" s="85">
        <f>+SUM(D51:O51)</f>
        <v>2346714.13</v>
      </c>
    </row>
    <row r="52" spans="1:16" s="22" customFormat="1" x14ac:dyDescent="0.25">
      <c r="A52" s="79"/>
      <c r="B52" s="17" t="s">
        <v>12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80"/>
    </row>
    <row r="53" spans="1:16" s="22" customFormat="1" x14ac:dyDescent="0.25">
      <c r="A53" s="79"/>
      <c r="B53" s="17" t="s">
        <v>39</v>
      </c>
      <c r="D53" s="18">
        <v>52776.203999999998</v>
      </c>
      <c r="E53" s="18">
        <v>46593.855199999998</v>
      </c>
      <c r="F53" s="18">
        <v>33073.9692</v>
      </c>
      <c r="G53" s="18">
        <v>34254.623600000006</v>
      </c>
      <c r="H53" s="18">
        <v>30913.590400000001</v>
      </c>
      <c r="I53" s="18">
        <v>28110.294399999999</v>
      </c>
      <c r="J53" s="18">
        <v>36386.956400000003</v>
      </c>
      <c r="K53" s="18">
        <v>41907.038399999998</v>
      </c>
      <c r="L53" s="18">
        <v>57379.347200000011</v>
      </c>
      <c r="M53" s="18">
        <v>60177.046799999996</v>
      </c>
      <c r="N53" s="18">
        <v>67443.448000000004</v>
      </c>
      <c r="O53" s="18">
        <v>63596.5864</v>
      </c>
      <c r="P53" s="80">
        <f>+SUM(D53:O53)</f>
        <v>552612.96000000008</v>
      </c>
    </row>
    <row r="54" spans="1:16" s="33" customFormat="1" ht="15.75" thickBot="1" x14ac:dyDescent="0.3">
      <c r="A54" s="83"/>
      <c r="B54" s="87" t="s">
        <v>40</v>
      </c>
      <c r="D54" s="34">
        <v>214366.18599999984</v>
      </c>
      <c r="E54" s="34">
        <v>91596.974799999909</v>
      </c>
      <c r="F54" s="34">
        <v>-61127.99919999994</v>
      </c>
      <c r="G54" s="34">
        <v>-58655.283599999952</v>
      </c>
      <c r="H54" s="34">
        <v>-109738.14040000002</v>
      </c>
      <c r="I54" s="34">
        <v>-136810.70440000005</v>
      </c>
      <c r="J54" s="34">
        <v>26986.953599999972</v>
      </c>
      <c r="K54" s="34">
        <v>50991.101599999929</v>
      </c>
      <c r="L54" s="34">
        <v>394082.84280000004</v>
      </c>
      <c r="M54" s="34">
        <v>356481.72320000001</v>
      </c>
      <c r="N54" s="34">
        <v>551699.65200000012</v>
      </c>
      <c r="O54" s="34">
        <v>474227.86359999969</v>
      </c>
      <c r="P54" s="88">
        <f>+SUM(D54:O54)</f>
        <v>1794101.1699999995</v>
      </c>
    </row>
    <row r="55" spans="1:16" s="22" customFormat="1" ht="15.75" thickTop="1" x14ac:dyDescent="0.25">
      <c r="A55" s="79"/>
      <c r="B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20"/>
    </row>
    <row r="56" spans="1:16" s="22" customFormat="1" x14ac:dyDescent="0.25">
      <c r="A56" s="79"/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0"/>
    </row>
    <row r="57" spans="1:16" x14ac:dyDescent="0.25">
      <c r="A57" s="7"/>
      <c r="B57" s="7"/>
    </row>
    <row r="58" spans="1:16" s="71" customFormat="1" ht="12.75" x14ac:dyDescent="0.2">
      <c r="A58" s="89"/>
      <c r="B58" s="90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spans="1:16" x14ac:dyDescent="0.25">
      <c r="A59" s="7"/>
      <c r="B59" s="7"/>
    </row>
    <row r="60" spans="1:16" x14ac:dyDescent="0.25">
      <c r="B60" s="43"/>
    </row>
    <row r="67" spans="1:2" x14ac:dyDescent="0.25">
      <c r="B67" s="43"/>
    </row>
    <row r="69" spans="1:2" x14ac:dyDescent="0.25">
      <c r="B69" s="43"/>
    </row>
    <row r="70" spans="1:2" x14ac:dyDescent="0.25">
      <c r="B70" s="43"/>
    </row>
    <row r="72" spans="1:2" ht="15.75" x14ac:dyDescent="0.25">
      <c r="A72" s="45"/>
    </row>
    <row r="92" spans="2:2" x14ac:dyDescent="0.25">
      <c r="B92" s="46"/>
    </row>
    <row r="98" spans="1:2" x14ac:dyDescent="0.25">
      <c r="B98" s="43"/>
    </row>
    <row r="99" spans="1:2" x14ac:dyDescent="0.25">
      <c r="B99" s="47"/>
    </row>
    <row r="108" spans="1:2" x14ac:dyDescent="0.25">
      <c r="A108" s="48"/>
      <c r="B108" s="49"/>
    </row>
    <row r="110" spans="1:2" x14ac:dyDescent="0.25">
      <c r="B110" s="43"/>
    </row>
    <row r="113" spans="1:2" s="7" customFormat="1" ht="12.75" x14ac:dyDescent="0.2">
      <c r="A113" s="3"/>
      <c r="B113" s="3"/>
    </row>
    <row r="114" spans="1:2" s="7" customFormat="1" ht="12.75" x14ac:dyDescent="0.2">
      <c r="A114" s="3"/>
      <c r="B114" s="3"/>
    </row>
    <row r="115" spans="1:2" s="7" customFormat="1" ht="12.75" x14ac:dyDescent="0.2">
      <c r="A115" s="3"/>
      <c r="B115" s="3"/>
    </row>
    <row r="116" spans="1:2" s="7" customFormat="1" ht="12.75" x14ac:dyDescent="0.2">
      <c r="A116" s="3"/>
      <c r="B116" s="3"/>
    </row>
    <row r="117" spans="1:2" s="7" customFormat="1" ht="12.75" x14ac:dyDescent="0.2">
      <c r="A117" s="3"/>
      <c r="B117" s="3"/>
    </row>
    <row r="118" spans="1:2" s="7" customFormat="1" ht="12.75" x14ac:dyDescent="0.2">
      <c r="A118" s="3"/>
      <c r="B118" s="3"/>
    </row>
    <row r="119" spans="1:2" s="7" customFormat="1" ht="12.75" x14ac:dyDescent="0.2">
      <c r="A119" s="54"/>
      <c r="B119" s="3"/>
    </row>
    <row r="120" spans="1:2" s="7" customFormat="1" ht="12.75" x14ac:dyDescent="0.2">
      <c r="A120" s="54"/>
      <c r="B120" s="3"/>
    </row>
    <row r="121" spans="1:2" s="7" customFormat="1" ht="12.75" x14ac:dyDescent="0.2">
      <c r="A121" s="3"/>
      <c r="B121" s="3"/>
    </row>
    <row r="122" spans="1:2" s="7" customFormat="1" ht="12.75" x14ac:dyDescent="0.2">
      <c r="A122" s="54"/>
      <c r="B122" s="3"/>
    </row>
    <row r="123" spans="1:2" s="7" customFormat="1" ht="12.75" x14ac:dyDescent="0.2">
      <c r="A123" s="3"/>
      <c r="B123" s="43"/>
    </row>
    <row r="124" spans="1:2" s="7" customFormat="1" ht="12.75" x14ac:dyDescent="0.2">
      <c r="A124" s="3"/>
      <c r="B124" s="43"/>
    </row>
    <row r="125" spans="1:2" s="7" customFormat="1" ht="12.75" x14ac:dyDescent="0.2">
      <c r="A125" s="3"/>
      <c r="B125" s="43"/>
    </row>
    <row r="126" spans="1:2" s="7" customFormat="1" ht="12.75" x14ac:dyDescent="0.2">
      <c r="A126" s="3"/>
      <c r="B126" s="43"/>
    </row>
    <row r="137" spans="1:2" s="7" customFormat="1" ht="12.75" x14ac:dyDescent="0.2">
      <c r="A137" s="3"/>
      <c r="B137" s="56"/>
    </row>
    <row r="138" spans="1:2" s="7" customFormat="1" ht="12.75" x14ac:dyDescent="0.2">
      <c r="A138" s="3"/>
      <c r="B138" s="56"/>
    </row>
    <row r="139" spans="1:2" s="7" customFormat="1" ht="12.75" x14ac:dyDescent="0.2">
      <c r="A139" s="3"/>
      <c r="B139" s="56"/>
    </row>
    <row r="140" spans="1:2" s="7" customFormat="1" ht="12.75" x14ac:dyDescent="0.2">
      <c r="A140" s="3"/>
      <c r="B140" s="56"/>
    </row>
    <row r="141" spans="1:2" s="7" customFormat="1" ht="12.75" x14ac:dyDescent="0.2">
      <c r="A141" s="3"/>
      <c r="B141" s="56"/>
    </row>
    <row r="142" spans="1:2" s="7" customFormat="1" x14ac:dyDescent="0.25">
      <c r="A142" s="60"/>
      <c r="B142" s="61"/>
    </row>
    <row r="143" spans="1:2" s="7" customFormat="1" ht="12.75" x14ac:dyDescent="0.2">
      <c r="A143" s="64"/>
      <c r="B143" s="61"/>
    </row>
    <row r="144" spans="1:2" s="7" customFormat="1" ht="12.75" x14ac:dyDescent="0.2">
      <c r="A144" s="3"/>
      <c r="B144" s="3"/>
    </row>
    <row r="148" spans="1:1" x14ac:dyDescent="0.25">
      <c r="A148" s="47"/>
    </row>
    <row r="149" spans="1:1" x14ac:dyDescent="0.25">
      <c r="A149" s="47"/>
    </row>
    <row r="150" spans="1:1" x14ac:dyDescent="0.25">
      <c r="A150" s="47"/>
    </row>
    <row r="151" spans="1:1" x14ac:dyDescent="0.25">
      <c r="A151" s="47"/>
    </row>
    <row r="152" spans="1:1" x14ac:dyDescent="0.25">
      <c r="A152" s="47"/>
    </row>
    <row r="155" spans="1:1" x14ac:dyDescent="0.25">
      <c r="A155" s="47"/>
    </row>
    <row r="169" spans="1:2" x14ac:dyDescent="0.25">
      <c r="A169" s="47"/>
    </row>
    <row r="170" spans="1:2" x14ac:dyDescent="0.25">
      <c r="A170" s="54"/>
    </row>
    <row r="171" spans="1:2" x14ac:dyDescent="0.25">
      <c r="A171" s="54"/>
    </row>
    <row r="172" spans="1:2" x14ac:dyDescent="0.25">
      <c r="B172" s="56"/>
    </row>
    <row r="179" spans="2:2" x14ac:dyDescent="0.25">
      <c r="B179" s="56"/>
    </row>
    <row r="180" spans="2:2" x14ac:dyDescent="0.25">
      <c r="B180" s="56"/>
    </row>
    <row r="181" spans="2:2" x14ac:dyDescent="0.25">
      <c r="B181" s="56"/>
    </row>
    <row r="182" spans="2:2" x14ac:dyDescent="0.25">
      <c r="B182" s="56"/>
    </row>
    <row r="183" spans="2:2" x14ac:dyDescent="0.25">
      <c r="B183" s="56"/>
    </row>
    <row r="198" spans="2:2" x14ac:dyDescent="0.25">
      <c r="B198" s="69"/>
    </row>
    <row r="201" spans="2:2" x14ac:dyDescent="0.25">
      <c r="B201" s="71"/>
    </row>
    <row r="215" spans="2:2" s="7" customFormat="1" ht="12.75" x14ac:dyDescent="0.2">
      <c r="B215" s="56"/>
    </row>
    <row r="216" spans="2:2" s="7" customFormat="1" ht="12.75" x14ac:dyDescent="0.2">
      <c r="B216" s="46"/>
    </row>
    <row r="217" spans="2:2" s="7" customFormat="1" ht="12.75" x14ac:dyDescent="0.2">
      <c r="B217" s="46"/>
    </row>
    <row r="218" spans="2:2" s="7" customFormat="1" ht="12.75" x14ac:dyDescent="0.2">
      <c r="B218" s="46"/>
    </row>
    <row r="219" spans="2:2" s="7" customFormat="1" ht="12.75" x14ac:dyDescent="0.2">
      <c r="B219" s="46"/>
    </row>
    <row r="220" spans="2:2" s="7" customFormat="1" ht="12.75" x14ac:dyDescent="0.2">
      <c r="B220" s="46"/>
    </row>
    <row r="221" spans="2:2" s="7" customFormat="1" ht="12.75" x14ac:dyDescent="0.2">
      <c r="B221" s="46"/>
    </row>
    <row r="222" spans="2:2" s="7" customFormat="1" ht="12.75" x14ac:dyDescent="0.2">
      <c r="B222" s="46"/>
    </row>
    <row r="223" spans="2:2" s="7" customFormat="1" ht="12.75" x14ac:dyDescent="0.2">
      <c r="B223" s="46"/>
    </row>
    <row r="224" spans="2:2" s="7" customFormat="1" ht="12.75" x14ac:dyDescent="0.2">
      <c r="B224" s="46"/>
    </row>
    <row r="225" spans="2:2" s="7" customFormat="1" ht="12.75" x14ac:dyDescent="0.2">
      <c r="B225" s="46"/>
    </row>
    <row r="226" spans="2:2" s="7" customFormat="1" ht="12.75" x14ac:dyDescent="0.2">
      <c r="B226" s="46"/>
    </row>
    <row r="227" spans="2:2" s="7" customFormat="1" ht="12.75" x14ac:dyDescent="0.2">
      <c r="B227" s="46"/>
    </row>
    <row r="228" spans="2:2" s="7" customFormat="1" ht="12.75" x14ac:dyDescent="0.2">
      <c r="B228" s="46"/>
    </row>
    <row r="229" spans="2:2" s="7" customFormat="1" ht="12.75" x14ac:dyDescent="0.2">
      <c r="B229" s="46"/>
    </row>
    <row r="230" spans="2:2" s="7" customFormat="1" ht="12.75" x14ac:dyDescent="0.2">
      <c r="B230" s="46"/>
    </row>
    <row r="231" spans="2:2" s="7" customFormat="1" ht="12.75" x14ac:dyDescent="0.2">
      <c r="B231" s="46"/>
    </row>
    <row r="232" spans="2:2" s="7" customFormat="1" ht="12.75" x14ac:dyDescent="0.2">
      <c r="B232" s="46"/>
    </row>
    <row r="233" spans="2:2" s="7" customFormat="1" ht="12.75" x14ac:dyDescent="0.2">
      <c r="B233" s="46"/>
    </row>
    <row r="234" spans="2:2" s="7" customFormat="1" ht="12.75" x14ac:dyDescent="0.2">
      <c r="B234" s="46"/>
    </row>
    <row r="235" spans="2:2" s="7" customFormat="1" ht="12.75" x14ac:dyDescent="0.2">
      <c r="B235" s="46"/>
    </row>
    <row r="236" spans="2:2" s="7" customFormat="1" ht="12.75" x14ac:dyDescent="0.2">
      <c r="B236" s="46"/>
    </row>
    <row r="237" spans="2:2" s="7" customFormat="1" ht="12.75" x14ac:dyDescent="0.2">
      <c r="B237" s="46"/>
    </row>
    <row r="238" spans="2:2" s="7" customFormat="1" ht="12.75" x14ac:dyDescent="0.2">
      <c r="B238" s="46"/>
    </row>
    <row r="239" spans="2:2" s="7" customFormat="1" ht="12.75" x14ac:dyDescent="0.2">
      <c r="B239" s="46"/>
    </row>
    <row r="240" spans="2:2" s="7" customFormat="1" ht="12.75" x14ac:dyDescent="0.2">
      <c r="B240" s="46"/>
    </row>
    <row r="241" spans="1:2" s="7" customFormat="1" ht="12.75" x14ac:dyDescent="0.2">
      <c r="B241" s="46"/>
    </row>
    <row r="242" spans="1:2" s="7" customFormat="1" ht="12.75" x14ac:dyDescent="0.2">
      <c r="B242" s="46"/>
    </row>
    <row r="243" spans="1:2" s="7" customFormat="1" ht="12.75" x14ac:dyDescent="0.2">
      <c r="B243" s="46"/>
    </row>
    <row r="244" spans="1:2" s="7" customFormat="1" ht="12.75" x14ac:dyDescent="0.2">
      <c r="B244" s="46"/>
    </row>
    <row r="245" spans="1:2" s="7" customFormat="1" ht="12.75" x14ac:dyDescent="0.2">
      <c r="B245" s="46"/>
    </row>
    <row r="246" spans="1:2" s="7" customFormat="1" ht="12.75" x14ac:dyDescent="0.2">
      <c r="B246" s="3"/>
    </row>
    <row r="247" spans="1:2" s="7" customFormat="1" ht="12.75" x14ac:dyDescent="0.2">
      <c r="B247" s="56"/>
    </row>
    <row r="248" spans="1:2" s="7" customFormat="1" ht="12.75" x14ac:dyDescent="0.2">
      <c r="A248" s="3"/>
      <c r="B248" s="3"/>
    </row>
  </sheetData>
  <conditionalFormatting sqref="D56:P56">
    <cfRule type="expression" dxfId="4" priority="1">
      <formula>$R108=0</formula>
    </cfRule>
    <cfRule type="expression" dxfId="3" priority="2">
      <formula>$S56=-1</formula>
    </cfRule>
    <cfRule type="expression" dxfId="2" priority="3">
      <formula>$R56&gt;=1</formula>
    </cfRule>
    <cfRule type="expression" dxfId="1" priority="4">
      <formula>$X56="Dec"</formula>
    </cfRule>
    <cfRule type="expression" dxfId="0" priority="5">
      <formula>$X56="%"</formula>
    </cfRule>
  </conditionalFormatting>
  <pageMargins left="0.7" right="0.7" top="0.75" bottom="0.75" header="0.3" footer="0.3"/>
  <pageSetup scale="5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P&amp;L</vt:lpstr>
      <vt:lpstr>T12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Hyun Lee</cp:lastModifiedBy>
  <dcterms:created xsi:type="dcterms:W3CDTF">2025-04-16T21:01:45Z</dcterms:created>
  <dcterms:modified xsi:type="dcterms:W3CDTF">2025-05-05T20:42:30Z</dcterms:modified>
</cp:coreProperties>
</file>