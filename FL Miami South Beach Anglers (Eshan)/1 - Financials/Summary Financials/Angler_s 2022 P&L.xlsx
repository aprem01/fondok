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https://khpcp-my.sharepoint.com/personal/louis_petauton_khpcp_com1/Documents/Documents - KHP Capital Partners Team Site/The Angler's Hotel - Data Room/1 - Financials/"/>
    </mc:Choice>
  </mc:AlternateContent>
  <xr:revisionPtr revIDLastSave="6" documentId="13_ncr:1_{D3F1C8A6-2AEC-49C6-A6BB-AFDA44246BE6}" xr6:coauthVersionLast="47" xr6:coauthVersionMax="47" xr10:uidLastSave="{5DF46B2E-4159-4B5A-8559-1CB6B55157A3}"/>
  <bookViews>
    <workbookView xWindow="0" yWindow="800" windowWidth="19200" windowHeight="11200" xr2:uid="{00000000-000D-0000-FFFF-FFFF00000000}"/>
  </bookViews>
  <sheets>
    <sheet name="P&amp;L" sheetId="11" r:id="rId1"/>
  </sheets>
  <externalReferences>
    <externalReference r:id="rId2"/>
  </externalReferences>
  <definedNames>
    <definedName name="CY">#REF!</definedName>
    <definedName name="Month1">#REF!</definedName>
    <definedName name="_xlnm.Print_Area" localSheetId="0">'P&amp;L'!$A$1:$O$57</definedName>
    <definedName name="Room_Revenue_Factor">[1]Lists!$A$178:$A$198</definedName>
    <definedName name="RPTDATE">#REF!</definedName>
    <definedName name="RPTMONTH">#REF!</definedName>
    <definedName name="wrn.Financial._.Statements." hidden="1">{#N/A,#N/A,FALSE,"BS";#N/A,#N/A,FALSE,"IS";#N/A,#N/A,FALSE,"CF";#N/A,#N/A,FALSE,"EXP";#N/A,#N/A,FALSE,"FURN";#N/A,#N/A,FALSE,"MANNOI"}</definedName>
    <definedName name="ytdhEADER">#REF!</definedName>
  </definedName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<sst xmlns="http://schemas.openxmlformats.org/spreadsheetml/2006/main" count="62" uniqueCount="39">
  <si>
    <t>Occupancy</t>
  </si>
  <si>
    <t xml:space="preserve">    Rooms</t>
  </si>
  <si>
    <t xml:space="preserve">    Food &amp; Beverage</t>
  </si>
  <si>
    <t xml:space="preserve">    Miscellaneous Income</t>
  </si>
  <si>
    <t>Available Rooms</t>
  </si>
  <si>
    <t/>
  </si>
  <si>
    <t>Departmental Expense</t>
  </si>
  <si>
    <t>Total Departmental Expense</t>
  </si>
  <si>
    <t>Total Departmental Profit</t>
  </si>
  <si>
    <t>Undistributed Expenses</t>
  </si>
  <si>
    <t xml:space="preserve">    Administrative &amp; General</t>
  </si>
  <si>
    <t>Actual</t>
  </si>
  <si>
    <t>Total Rooms Sold</t>
  </si>
  <si>
    <t xml:space="preserve">    Other Operated Departments</t>
  </si>
  <si>
    <t>Average Daily Rate</t>
  </si>
  <si>
    <t>Revenue per Available Room</t>
  </si>
  <si>
    <t>Revenues</t>
  </si>
  <si>
    <t>Total Revenues</t>
  </si>
  <si>
    <t xml:space="preserve">    Information &amp; Telecom Systems</t>
  </si>
  <si>
    <t xml:space="preserve">    Property Operation &amp; Maintenan</t>
  </si>
  <si>
    <t>Total Undistributed Expenses</t>
  </si>
  <si>
    <t>Gross Operating Profit</t>
  </si>
  <si>
    <t xml:space="preserve">    Utilities</t>
  </si>
  <si>
    <t xml:space="preserve">    Management Fees</t>
  </si>
  <si>
    <t xml:space="preserve">    Sales &amp; Marketing</t>
  </si>
  <si>
    <t>Income before non-operating inc &amp; expense</t>
  </si>
  <si>
    <t xml:space="preserve">    Rent</t>
  </si>
  <si>
    <t xml:space="preserve">    Property &amp; Other Taxes</t>
  </si>
  <si>
    <t xml:space="preserve">    Insurance</t>
  </si>
  <si>
    <t>Total non-operating income &amp; expenses</t>
  </si>
  <si>
    <t>EBITDA</t>
  </si>
  <si>
    <t xml:space="preserve">    FF&amp;E Proforma Calculation</t>
  </si>
  <si>
    <t>EBITDA: less Replacement Reserve</t>
  </si>
  <si>
    <t>TOTAL</t>
  </si>
  <si>
    <t xml:space="preserve">FORECASTED STATEMENT OF INCOME </t>
  </si>
  <si>
    <t xml:space="preserve">    Other</t>
  </si>
  <si>
    <t>Angler's</t>
  </si>
  <si>
    <t xml:space="preserve">    Income </t>
  </si>
  <si>
    <t>FOR THE PERIOD ENDING DECEMBER 31,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</si>
</sst>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mmm\ yyyy"/>
  </numFmts>
  <fonts count="19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rgb="FF5F554D"/>
      <name val="Calibri"/>
      <family val="2"/>
      <scheme val="minor"/>
    </font>
    <font>
      <b/>
      <sz val="18"/>
      <color rgb="FF00AEC7"/>
      <name val="Verdana"/>
      <family val="2"/>
    </font>
    <font>
      <b/>
      <sz val="12"/>
      <color rgb="FF6E6259"/>
      <name val="Verdana"/>
      <family val="2"/>
    </font>
    <font>
      <b/>
      <sz val="14"/>
      <color rgb="FF6E6259"/>
      <name val="Verdana"/>
      <family val="2"/>
    </font>
    <font>
      <sz val="11"/>
      <name val="Calibri"/>
      <family val="2"/>
      <scheme val="minor"/>
    </font>
    <font>
      <sz val="10"/>
      <color theme="0"/>
      <name val="Arial"/>
      <family val="2"/>
    </font>
    <font>
      <sz val="10"/>
      <name val="Arial"/>
      <family val="2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name val="Arial"/>
      <family val="2"/>
    </font>
    <font>
      <sz val="11"/>
      <color rgb="FF5F554D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1FBF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4.9958800012207406E-2"/>
        <bgColor indexed="64"/>
      </patternFill>
    </fill>
    <fill>
      <patternFill patternType="solid">
        <fgColor rgb="FF00AEC7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/>
      <right/>
      <top style="thin">
        <color theme="1"/>
      </top>
      <bottom style="double">
        <color theme="1"/>
      </bottom>
      <diagonal/>
    </border>
    <border>
      <left style="thin">
        <color theme="4" tint="0.59993285927915285"/>
      </left>
      <right/>
      <top/>
      <bottom/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double">
        <color theme="1"/>
      </bottom>
      <diagonal/>
    </border>
  </borders>
  <cellStyleXfs count="29">
    <xf numFmtId="0" fontId="0" fillId="0" borderId="0"/>
    <xf numFmtId="9" fontId="14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14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4">
    <xf numFmtId="0" fontId="0" fillId="0" borderId="0" xfId="0"/>
    <xf numFmtId="39" fontId="0" fillId="0" borderId="0" xfId="0" applyNumberFormat="1"/>
    <xf numFmtId="39" fontId="0" fillId="0" borderId="0" xfId="0" applyNumberFormat="1" applyAlignment="1">
      <alignment horizontal="center"/>
    </xf>
    <xf numFmtId="43" fontId="0" fillId="0" borderId="0" xfId="0" applyNumberFormat="1"/>
    <xf numFmtId="0" fontId="6" fillId="0" borderId="0" xfId="0" applyFont="1"/>
    <xf numFmtId="0" fontId="3" fillId="0" borderId="0" xfId="0" applyFont="1" applyAlignment="1">
      <alignment horizontal="center" wrapText="1"/>
    </xf>
    <xf numFmtId="0" fontId="9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11" fillId="3" borderId="0" xfId="0" applyFont="1" applyFill="1" applyAlignment="1">
      <alignment horizontal="left"/>
    </xf>
    <xf numFmtId="14" fontId="13" fillId="0" borderId="0" xfId="0" applyNumberFormat="1" applyFont="1"/>
    <xf numFmtId="0" fontId="4" fillId="0" borderId="0" xfId="0" applyFont="1"/>
    <xf numFmtId="10" fontId="0" fillId="0" borderId="0" xfId="0" applyNumberFormat="1"/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2" fontId="0" fillId="0" borderId="0" xfId="0" applyNumberFormat="1"/>
    <xf numFmtId="0" fontId="0" fillId="0" borderId="0" xfId="0" quotePrefix="1"/>
    <xf numFmtId="40" fontId="0" fillId="0" borderId="0" xfId="0" applyNumberFormat="1"/>
    <xf numFmtId="4" fontId="0" fillId="0" borderId="0" xfId="0" applyNumberFormat="1"/>
    <xf numFmtId="10" fontId="4" fillId="0" borderId="0" xfId="0" applyNumberFormat="1" applyFont="1"/>
    <xf numFmtId="39" fontId="4" fillId="0" borderId="0" xfId="0" applyNumberFormat="1" applyFont="1"/>
    <xf numFmtId="40" fontId="4" fillId="0" borderId="0" xfId="0" applyNumberFormat="1" applyFont="1"/>
    <xf numFmtId="0" fontId="4" fillId="0" borderId="0" xfId="0" quotePrefix="1" applyFont="1" applyAlignment="1">
      <alignment horizontal="left"/>
    </xf>
    <xf numFmtId="4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Continuous"/>
    </xf>
    <xf numFmtId="39" fontId="0" fillId="0" borderId="0" xfId="0" applyNumberFormat="1" applyAlignment="1">
      <alignment horizontal="centerContinuous"/>
    </xf>
    <xf numFmtId="10" fontId="0" fillId="0" borderId="0" xfId="0" applyNumberFormat="1" applyAlignment="1">
      <alignment horizontal="centerContinuous"/>
    </xf>
    <xf numFmtId="0" fontId="4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0" fillId="0" borderId="0" xfId="0" quotePrefix="1" applyAlignment="1">
      <alignment horizontal="left"/>
    </xf>
    <xf numFmtId="37" fontId="0" fillId="0" borderId="0" xfId="0" applyNumberFormat="1"/>
    <xf numFmtId="39" fontId="0" fillId="0" borderId="0" xfId="0" quotePrefix="1" applyNumberFormat="1" applyAlignment="1">
      <alignment horizontal="left"/>
    </xf>
    <xf numFmtId="40" fontId="3" fillId="0" borderId="0" xfId="0" applyNumberFormat="1" applyFont="1"/>
    <xf numFmtId="39" fontId="3" fillId="0" borderId="0" xfId="0" applyNumberFormat="1" applyFont="1"/>
    <xf numFmtId="0" fontId="3" fillId="0" borderId="0" xfId="0" quotePrefix="1" applyFont="1" applyAlignment="1">
      <alignment horizontal="left"/>
    </xf>
    <xf numFmtId="0" fontId="3" fillId="0" borderId="0" xfId="0" applyFont="1"/>
    <xf numFmtId="0" fontId="5" fillId="0" borderId="0" xfId="0" applyFont="1"/>
    <xf numFmtId="37" fontId="0" fillId="0" borderId="0" xfId="0" applyNumberFormat="1" applyAlignment="1">
      <alignment horizontal="right"/>
    </xf>
    <xf numFmtId="37" fontId="12" fillId="4" borderId="0" xfId="4" applyNumberFormat="1" applyFont="1" applyFill="1" applyBorder="1" applyAlignment="1">
      <alignment horizontal="right"/>
    </xf>
    <xf numFmtId="37" fontId="0" fillId="4" borderId="0" xfId="0" applyNumberFormat="1" applyFill="1" applyAlignment="1">
      <alignment horizontal="right"/>
    </xf>
    <xf numFmtId="39" fontId="0" fillId="4" borderId="0" xfId="0" applyNumberFormat="1" applyFill="1" applyAlignment="1">
      <alignment horizontal="left"/>
    </xf>
    <xf numFmtId="39" fontId="0" fillId="0" borderId="0" xfId="0" applyNumberFormat="1" applyAlignment="1">
      <alignment horizontal="right"/>
    </xf>
    <xf numFmtId="43" fontId="12" fillId="0" borderId="0" xfId="0" applyNumberFormat="1" applyFont="1"/>
    <xf numFmtId="39" fontId="12" fillId="0" borderId="0" xfId="0" applyNumberFormat="1" applyFont="1"/>
    <xf numFmtId="0" fontId="15" fillId="0" borderId="0" xfId="0" applyFont="1"/>
    <xf numFmtId="0" fontId="16" fillId="0" borderId="0" xfId="0" applyFont="1"/>
    <xf numFmtId="37" fontId="12" fillId="0" borderId="0" xfId="4" applyNumberFormat="1" applyFont="1" applyFill="1" applyBorder="1" applyAlignment="1">
      <alignment horizontal="right"/>
    </xf>
    <xf numFmtId="37" fontId="12" fillId="0" borderId="0" xfId="4" applyNumberFormat="1" applyFont="1" applyBorder="1" applyAlignment="1">
      <alignment horizontal="right"/>
    </xf>
    <xf numFmtId="164" fontId="12" fillId="0" borderId="0" xfId="1" applyNumberFormat="1" applyFont="1" applyFill="1" applyBorder="1" applyAlignment="1">
      <alignment horizontal="right"/>
    </xf>
    <xf numFmtId="0" fontId="12" fillId="0" borderId="0" xfId="0" applyFont="1" applyFill="1"/>
    <xf numFmtId="0" fontId="12" fillId="0" borderId="0" xfId="0" applyFont="1"/>
    <xf numFmtId="0" fontId="0" fillId="0" borderId="0" xfId="0"/>
    <xf numFmtId="0" fontId="17" fillId="0" borderId="0" xfId="0" applyFont="1"/>
    <xf numFmtId="43" fontId="12" fillId="0" borderId="0" xfId="4" applyFont="1" applyFill="1" applyBorder="1" applyAlignment="1">
      <alignment horizontal="right"/>
    </xf>
    <xf numFmtId="39" fontId="12" fillId="0" borderId="0" xfId="4" applyNumberFormat="1" applyFont="1" applyFill="1" applyBorder="1" applyAlignment="1">
      <alignment horizontal="right"/>
    </xf>
    <xf numFmtId="0" fontId="16" fillId="0" borderId="2" xfId="0" applyFont="1" applyBorder="1"/>
    <xf numFmtId="0" fontId="7" fillId="5" borderId="3" xfId="0" applyFont="1" applyFill="1" applyBorder="1" applyAlignment="1"/>
    <xf numFmtId="0" fontId="7" fillId="5" borderId="0" xfId="0" applyFont="1" applyFill="1" applyBorder="1" applyAlignment="1"/>
    <xf numFmtId="165" fontId="8" fillId="2" borderId="0" xfId="0" applyNumberFormat="1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0" fillId="0" borderId="4" xfId="0" applyBorder="1"/>
    <xf numFmtId="37" fontId="12" fillId="0" borderId="4" xfId="4" applyNumberFormat="1" applyFont="1" applyBorder="1" applyAlignment="1">
      <alignment horizontal="right"/>
    </xf>
    <xf numFmtId="164" fontId="12" fillId="0" borderId="4" xfId="1" applyNumberFormat="1" applyFont="1" applyBorder="1" applyAlignment="1">
      <alignment horizontal="right"/>
    </xf>
    <xf numFmtId="39" fontId="12" fillId="0" borderId="4" xfId="4" applyNumberFormat="1" applyFont="1" applyBorder="1" applyAlignment="1">
      <alignment horizontal="right"/>
    </xf>
    <xf numFmtId="0" fontId="18" fillId="2" borderId="0" xfId="0" applyFont="1" applyFill="1" applyBorder="1" applyAlignment="1">
      <alignment horizontal="center"/>
    </xf>
    <xf numFmtId="37" fontId="16" fillId="0" borderId="1" xfId="4" applyNumberFormat="1" applyFont="1" applyFill="1" applyBorder="1" applyAlignment="1">
      <alignment horizontal="right"/>
    </xf>
    <xf numFmtId="37" fontId="16" fillId="0" borderId="2" xfId="4" applyNumberFormat="1" applyFont="1" applyFill="1" applyBorder="1" applyAlignment="1">
      <alignment horizontal="right"/>
    </xf>
    <xf numFmtId="0" fontId="7" fillId="0" borderId="0" xfId="0" applyFont="1"/>
    <xf numFmtId="37" fontId="16" fillId="0" borderId="0" xfId="4" applyNumberFormat="1" applyFont="1" applyFill="1" applyBorder="1" applyAlignment="1">
      <alignment horizontal="right"/>
    </xf>
    <xf numFmtId="37" fontId="16" fillId="0" borderId="4" xfId="4" applyNumberFormat="1" applyFont="1" applyBorder="1" applyAlignment="1">
      <alignment horizontal="right"/>
    </xf>
    <xf numFmtId="37" fontId="16" fillId="0" borderId="5" xfId="4" applyNumberFormat="1" applyFont="1" applyBorder="1" applyAlignment="1">
      <alignment horizontal="right"/>
    </xf>
    <xf numFmtId="37" fontId="16" fillId="0" borderId="6" xfId="4" applyNumberFormat="1" applyFont="1" applyBorder="1" applyAlignment="1">
      <alignment horizontal="right"/>
    </xf>
  </cellXfs>
  <cellStyles count="29">
    <cellStyle name="Comma" xfId="4" xr:uid="{00000000-0005-0000-0000-000004000000}"/>
    <cellStyle name="Comma [0]" xfId="5" xr:uid="{00000000-0005-0000-0000-000005000000}"/>
    <cellStyle name="Comma [0] 2" xfId="26" xr:uid="{FE76716F-C3AD-4005-AF58-C737B3F4E9A1}"/>
    <cellStyle name="Comma 10" xfId="14" xr:uid="{387AA626-2E18-4178-ABF4-DBA60E6231C3}"/>
    <cellStyle name="Comma 11" xfId="15" xr:uid="{8C2C57BA-EEA3-4F13-BA20-660C01D2593D}"/>
    <cellStyle name="Comma 12" xfId="16" xr:uid="{78CE62A8-C44F-49CB-81DD-CD0928FDDAFF}"/>
    <cellStyle name="Comma 13" xfId="17" xr:uid="{68C0A9B5-1F0F-46FC-B641-91D6CF83FA1B}"/>
    <cellStyle name="Comma 14" xfId="18" xr:uid="{DA5493A8-058D-444E-8DC9-98C515B78322}"/>
    <cellStyle name="Comma 15" xfId="20" xr:uid="{6C1DA221-DB5B-4AAE-B47E-579193C69BB4}"/>
    <cellStyle name="Comma 2" xfId="6" xr:uid="{38EB8E77-BE27-407D-94E6-219096C83D43}"/>
    <cellStyle name="Comma 2 2" xfId="25" xr:uid="{51729318-934E-482C-B1D5-0DFC87FB9475}"/>
    <cellStyle name="Comma 3" xfId="7" xr:uid="{3A75A40D-9171-4DB9-846C-95BBB32C126C}"/>
    <cellStyle name="Comma 3 2" xfId="28" xr:uid="{98EF6D49-4A5A-43FD-BF52-B58332F8B05B}"/>
    <cellStyle name="Comma 4" xfId="8" xr:uid="{630B63A1-A993-43A7-81E1-1F232799A030}"/>
    <cellStyle name="Comma 5" xfId="9" xr:uid="{4776048F-55BB-4B0D-AF63-45D1D2C7B207}"/>
    <cellStyle name="Comma 6" xfId="10" xr:uid="{95BA9D15-E363-4ADE-8BDC-0670AB9E07FF}"/>
    <cellStyle name="Comma 7" xfId="11" xr:uid="{131E58E8-7AB6-4F4C-BEE7-8CA91C6734CD}"/>
    <cellStyle name="Comma 8" xfId="12" xr:uid="{9E774173-3787-4EF3-B529-D8A96CB18BC9}"/>
    <cellStyle name="Comma 9" xfId="13" xr:uid="{630BDE04-1A8E-4777-A8CE-077587C4F947}"/>
    <cellStyle name="Currency" xfId="2" xr:uid="{00000000-0005-0000-0000-000002000000}"/>
    <cellStyle name="Currency [0]" xfId="3" xr:uid="{00000000-0005-0000-0000-000003000000}"/>
    <cellStyle name="Currency [0] 2" xfId="24" xr:uid="{16D9D75B-C365-4964-8E54-080F2818ED1E}"/>
    <cellStyle name="Currency 2" xfId="23" xr:uid="{CCCF050A-E555-49CB-8974-A7B457C779BD}"/>
    <cellStyle name="Currency 3" xfId="27" xr:uid="{AD76F921-149B-4E55-89F8-3BC814F929B0}"/>
    <cellStyle name="Normal" xfId="0" builtinId="0"/>
    <cellStyle name="Normal 2" xfId="19" xr:uid="{703E31F0-A43A-4C6A-B8F5-7DB294624D0A}"/>
    <cellStyle name="Percent" xfId="1" xr:uid="{00000000-0005-0000-0000-000001000000}"/>
    <cellStyle name="Percent 2" xfId="22" xr:uid="{3A6F14F1-7592-4B2E-BE9A-DD20734B899F}"/>
    <cellStyle name="Percent 3" xfId="21" xr:uid="{914868DF-DA02-44BC-AFF5-4EEB8C9D0180}"/>
  </cellStyles>
  <dxfs count="6">
    <dxf>
      <numFmt numFmtId="164" formatCode="0.0%"/>
    </dxf>
    <dxf>
      <numFmt numFmtId="166" formatCode="0.00_);\(0.00\)"/>
    </dxf>
    <dxf>
      <border>
        <top style="thin">
          <color auto="1"/>
        </top>
      </border>
    </dxf>
    <dxf>
      <font>
        <b/>
        <i val="0"/>
      </font>
    </dxf>
    <dxf>
      <border>
        <bottom/>
      </border>
    </dxf>
    <dxf>
      <border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yun.lee\AppData\Local\Packages\Microsoft.Office.Desktop_8wekyb3d8bbwe\AC\INetCache\Content.Outlook\8YUWUIJY\Sedona%20Rouge%202020%20Budget%20v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"/>
      <sheetName val="Cover (Copy)"/>
      <sheetName val="Cover"/>
      <sheetName val="Full Budget"/>
      <sheetName val="Upload Data"/>
      <sheetName val="Budget Upload"/>
      <sheetName val="Labor Recap"/>
      <sheetName val="Rooms"/>
      <sheetName val="Rooms Comp Worksheet"/>
      <sheetName val="MSeg"/>
      <sheetName val="F&amp;B"/>
      <sheetName val="Gift"/>
      <sheetName val="SpaPool"/>
      <sheetName val="Spa Support"/>
      <sheetName val="Parking"/>
      <sheetName val="MinorOp"/>
      <sheetName val="MiscInc"/>
      <sheetName val="A&amp;G"/>
      <sheetName val="InfoTele"/>
      <sheetName val="SalesMktg"/>
      <sheetName val="PropOp"/>
      <sheetName val="Utility"/>
      <sheetName val="Lists"/>
      <sheetName val="Utility Worksheet"/>
      <sheetName val="NonOp"/>
      <sheetName val="Laundry"/>
      <sheetName val="StaffDin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>
        <row r="178">
          <cell r="A178" t="str">
            <v>Room Revenue Factor</v>
          </cell>
        </row>
        <row r="179">
          <cell r="A179" t="str">
            <v>$ per Month</v>
          </cell>
        </row>
        <row r="180">
          <cell r="A180" t="str">
            <v>$ per Week</v>
          </cell>
        </row>
        <row r="181">
          <cell r="A181" t="str">
            <v>$ per Day</v>
          </cell>
        </row>
        <row r="182">
          <cell r="A182" t="str">
            <v>$ per Occupied Room</v>
          </cell>
        </row>
        <row r="183">
          <cell r="A183" t="str">
            <v>$ per Available Room</v>
          </cell>
        </row>
        <row r="184">
          <cell r="A184" t="str">
            <v>$ per Group Room</v>
          </cell>
        </row>
        <row r="185">
          <cell r="A185" t="str">
            <v>$ per Group Corporate Room</v>
          </cell>
        </row>
        <row r="186">
          <cell r="A186" t="str">
            <v>$ per Group Association/Convention Room</v>
          </cell>
        </row>
        <row r="187">
          <cell r="A187" t="str">
            <v>$ per Group Government Room</v>
          </cell>
        </row>
        <row r="188">
          <cell r="A188" t="str">
            <v>$ per Group Tour/Wholesalers Room</v>
          </cell>
        </row>
        <row r="189">
          <cell r="A189" t="str">
            <v>$ per Group SMERF Room</v>
          </cell>
        </row>
        <row r="190">
          <cell r="A190" t="str">
            <v>$ per Group Other Room</v>
          </cell>
        </row>
        <row r="191">
          <cell r="A191" t="str">
            <v>$ per Transient Room</v>
          </cell>
        </row>
        <row r="192">
          <cell r="A192" t="str">
            <v>$ per Transient Retail Room</v>
          </cell>
        </row>
        <row r="193">
          <cell r="A193" t="str">
            <v>$ per Transient Discount Room</v>
          </cell>
        </row>
        <row r="194">
          <cell r="A194" t="str">
            <v>$ per Transient Negotiated Room</v>
          </cell>
        </row>
        <row r="195">
          <cell r="A195" t="str">
            <v>$ per Transient Qualified Room</v>
          </cell>
        </row>
        <row r="196">
          <cell r="A196" t="str">
            <v>$ per Transient Wholesale Room</v>
          </cell>
        </row>
        <row r="197">
          <cell r="A197" t="str">
            <v>$ per Transient Other Room</v>
          </cell>
        </row>
        <row r="198">
          <cell r="A198" t="str">
            <v>$ per Contract Room</v>
          </cell>
        </row>
      </sheetData>
      <sheetData sheetId="23" refreshError="1"/>
      <sheetData sheetId="24" refreshError="1"/>
      <sheetData sheetId="25" refreshError="1"/>
      <sheetData sheetId="2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C72-E3F8-4220-8876-082042D9D8AB}">
  <sheetPr>
    <pageSetUpPr fitToPage="1"/>
  </sheetPr>
  <dimension ref="A1:S248"/>
  <sheetViews>
    <sheetView showGridLines="0" tabSelected="1" view="pageBreakPreview" topLeftCell="A6" zoomScale="70" zoomScaleNormal="85" zoomScaleSheetLayoutView="70" workbookViewId="0">
      <selection activeCell="T4" sqref="T4"/>
    </sheetView>
  </sheetViews>
  <sheetFormatPr defaultColWidth="8.7265625" defaultRowHeight="12.5" x14ac:dyDescent="0.25"/>
  <cols>
    <col min="1" max="1" width="2.7265625" style="53" customWidth="1"/>
    <col min="2" max="2" width="38.7265625" style="53" customWidth="1"/>
    <col min="3" max="4" width="14.7265625" style="53" customWidth="1"/>
    <col min="5" max="7" width="14.7265625" style="1" customWidth="1"/>
    <col min="8" max="14" width="14.7265625" style="53" customWidth="1"/>
    <col min="15" max="15" width="15.453125" style="53" customWidth="1"/>
    <col min="16" max="23" width="8.7265625" style="53" customWidth="1"/>
    <col min="24" max="24" width="8.7265625" style="53"/>
    <col min="25" max="25" width="9" style="53" bestFit="1" customWidth="1"/>
    <col min="26" max="16384" width="8.7265625" style="53"/>
  </cols>
  <sheetData>
    <row r="1" spans="1:19" ht="23" x14ac:dyDescent="0.45">
      <c r="A1" s="6" t="s">
        <v>36</v>
      </c>
      <c r="B1" s="6"/>
      <c r="C1" s="6"/>
      <c r="D1" s="6"/>
      <c r="E1" s="6"/>
      <c r="F1" s="6"/>
      <c r="G1" s="6"/>
      <c r="H1" s="5"/>
    </row>
    <row r="2" spans="1:19" ht="15" customHeight="1" x14ac:dyDescent="0.35">
      <c r="A2" s="8" t="s">
        <v>34</v>
      </c>
      <c r="B2" s="8"/>
      <c r="C2" s="8"/>
      <c r="D2" s="8"/>
      <c r="E2" s="8"/>
      <c r="F2" s="8"/>
      <c r="G2" s="8"/>
      <c r="H2" s="5"/>
    </row>
    <row r="3" spans="1:19" ht="15" x14ac:dyDescent="0.3">
      <c r="A3" s="7" t="s">
        <v>38</v>
      </c>
      <c r="B3" s="7"/>
      <c r="C3" s="7"/>
      <c r="D3" s="7"/>
      <c r="E3" s="7"/>
      <c r="F3" s="7"/>
      <c r="G3" s="7"/>
      <c r="H3" s="5"/>
    </row>
    <row r="4" spans="1:19" ht="15" customHeight="1" x14ac:dyDescent="0.3">
      <c r="A4" s="9"/>
      <c r="B4" s="5"/>
      <c r="C4" s="5"/>
      <c r="D4" s="5"/>
      <c r="E4" s="5"/>
      <c r="F4" s="5"/>
      <c r="G4" s="5"/>
      <c r="H4" s="5"/>
    </row>
    <row r="5" spans="1:19" ht="14.5" x14ac:dyDescent="0.35">
      <c r="C5" s="58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</row>
    <row r="6" spans="1:19" ht="14.5" x14ac:dyDescent="0.35">
      <c r="C6" s="60">
        <v>44592</v>
      </c>
      <c r="D6" s="60">
        <v>44620</v>
      </c>
      <c r="E6" s="60">
        <v>44651</v>
      </c>
      <c r="F6" s="60">
        <v>44681</v>
      </c>
      <c r="G6" s="60">
        <v>44712</v>
      </c>
      <c r="H6" s="60">
        <v>44742</v>
      </c>
      <c r="I6" s="60">
        <v>44773</v>
      </c>
      <c r="J6" s="60">
        <v>44804</v>
      </c>
      <c r="K6" s="60">
        <v>44834</v>
      </c>
      <c r="L6" s="60">
        <v>44865</v>
      </c>
      <c r="M6" s="60">
        <v>44895</v>
      </c>
      <c r="N6" s="60">
        <v>44926</v>
      </c>
      <c r="O6" s="61" t="s">
        <v>33</v>
      </c>
    </row>
    <row r="7" spans="1:19" ht="14.5" x14ac:dyDescent="0.35">
      <c r="C7" s="66" t="s">
        <v>11</v>
      </c>
      <c r="D7" s="66" t="s">
        <v>11</v>
      </c>
      <c r="E7" s="66" t="s">
        <v>11</v>
      </c>
      <c r="F7" s="66" t="s">
        <v>11</v>
      </c>
      <c r="G7" s="66" t="s">
        <v>11</v>
      </c>
      <c r="H7" s="66" t="s">
        <v>11</v>
      </c>
      <c r="I7" s="66" t="s">
        <v>11</v>
      </c>
      <c r="J7" s="66" t="s">
        <v>11</v>
      </c>
      <c r="K7" s="66" t="s">
        <v>11</v>
      </c>
      <c r="L7" s="66" t="s">
        <v>11</v>
      </c>
      <c r="M7" s="66" t="s">
        <v>11</v>
      </c>
      <c r="N7" s="66" t="s">
        <v>11</v>
      </c>
      <c r="O7" s="61"/>
    </row>
    <row r="8" spans="1:19" ht="3" customHeight="1" x14ac:dyDescent="0.25">
      <c r="C8" s="1"/>
      <c r="D8" s="1"/>
      <c r="H8" s="3"/>
      <c r="O8" s="62"/>
    </row>
    <row r="9" spans="1:19" s="4" customFormat="1" ht="14.5" x14ac:dyDescent="0.35">
      <c r="A9" s="46"/>
      <c r="B9" s="52" t="s">
        <v>4</v>
      </c>
      <c r="C9" s="48">
        <v>4092</v>
      </c>
      <c r="D9" s="48">
        <v>3696</v>
      </c>
      <c r="E9" s="48">
        <v>4092</v>
      </c>
      <c r="F9" s="48">
        <v>3960</v>
      </c>
      <c r="G9" s="48">
        <v>4092</v>
      </c>
      <c r="H9" s="48">
        <v>3960</v>
      </c>
      <c r="I9" s="48">
        <v>4092</v>
      </c>
      <c r="J9" s="48">
        <v>4092</v>
      </c>
      <c r="K9" s="48">
        <v>3960</v>
      </c>
      <c r="L9" s="48">
        <v>4092</v>
      </c>
      <c r="M9" s="48">
        <v>3960</v>
      </c>
      <c r="N9" s="48">
        <v>4092</v>
      </c>
      <c r="O9" s="63">
        <v>48180</v>
      </c>
      <c r="P9" s="53"/>
      <c r="Q9" s="53"/>
      <c r="R9" s="53"/>
      <c r="S9" s="53"/>
    </row>
    <row r="10" spans="1:19" s="4" customFormat="1" ht="14.5" x14ac:dyDescent="0.35">
      <c r="A10" s="46"/>
      <c r="B10" s="52" t="s">
        <v>12</v>
      </c>
      <c r="C10" s="48">
        <v>3760</v>
      </c>
      <c r="D10" s="48">
        <v>3567</v>
      </c>
      <c r="E10" s="48">
        <v>3855</v>
      </c>
      <c r="F10" s="48">
        <v>3596</v>
      </c>
      <c r="G10" s="48">
        <v>3573</v>
      </c>
      <c r="H10" s="48">
        <v>3209</v>
      </c>
      <c r="I10" s="48">
        <v>3486</v>
      </c>
      <c r="J10" s="48">
        <v>3250</v>
      </c>
      <c r="K10" s="48">
        <v>2677</v>
      </c>
      <c r="L10" s="48">
        <v>3037</v>
      </c>
      <c r="M10" s="48">
        <v>3424</v>
      </c>
      <c r="N10" s="48">
        <v>3533</v>
      </c>
      <c r="O10" s="63">
        <v>40967</v>
      </c>
      <c r="P10" s="53"/>
      <c r="Q10" s="53"/>
      <c r="R10" s="53"/>
      <c r="S10" s="53"/>
    </row>
    <row r="11" spans="1:19" s="4" customFormat="1" ht="14.5" x14ac:dyDescent="0.35">
      <c r="A11" s="46"/>
      <c r="B11" s="52" t="s">
        <v>0</v>
      </c>
      <c r="C11" s="50">
        <v>0.91890000000000005</v>
      </c>
      <c r="D11" s="50">
        <v>0.96509999999999996</v>
      </c>
      <c r="E11" s="50">
        <v>0.94210000000000005</v>
      </c>
      <c r="F11" s="50">
        <v>0.90810000000000002</v>
      </c>
      <c r="G11" s="50">
        <v>0.87319999999999998</v>
      </c>
      <c r="H11" s="50">
        <v>0.81040000000000001</v>
      </c>
      <c r="I11" s="50">
        <v>0.85189999999999999</v>
      </c>
      <c r="J11" s="50">
        <v>0.79420000000000002</v>
      </c>
      <c r="K11" s="50">
        <v>0.67600000000000005</v>
      </c>
      <c r="L11" s="50">
        <v>0.74219999999999997</v>
      </c>
      <c r="M11" s="50">
        <v>0.86460000000000004</v>
      </c>
      <c r="N11" s="50">
        <v>0.86339999999999995</v>
      </c>
      <c r="O11" s="64">
        <v>0.85029057700290578</v>
      </c>
      <c r="P11" s="53"/>
      <c r="Q11" s="53"/>
      <c r="R11" s="53"/>
      <c r="S11" s="53"/>
    </row>
    <row r="12" spans="1:19" s="4" customFormat="1" ht="14.5" x14ac:dyDescent="0.35">
      <c r="A12" s="46"/>
      <c r="B12" s="52" t="s">
        <v>14</v>
      </c>
      <c r="C12" s="56">
        <v>272.61070000000001</v>
      </c>
      <c r="D12" s="56">
        <v>360.4074</v>
      </c>
      <c r="E12" s="56">
        <v>335.71809999999999</v>
      </c>
      <c r="F12" s="56">
        <v>354.76240000000001</v>
      </c>
      <c r="G12" s="56">
        <v>316.92939999999999</v>
      </c>
      <c r="H12" s="56">
        <v>212.63470000000001</v>
      </c>
      <c r="I12" s="56">
        <v>229.13470000000001</v>
      </c>
      <c r="J12" s="56">
        <v>193.21209999999999</v>
      </c>
      <c r="K12" s="56">
        <v>184.57239999999999</v>
      </c>
      <c r="L12" s="56">
        <v>212.23750000000001</v>
      </c>
      <c r="M12" s="56">
        <v>262.93759999999997</v>
      </c>
      <c r="N12" s="56">
        <v>319.73219999999998</v>
      </c>
      <c r="O12" s="65">
        <v>275.60042229111235</v>
      </c>
      <c r="P12" s="53"/>
      <c r="Q12" s="53"/>
      <c r="R12" s="53"/>
      <c r="S12" s="53"/>
    </row>
    <row r="13" spans="1:19" s="4" customFormat="1" ht="14.5" x14ac:dyDescent="0.35">
      <c r="A13" s="46"/>
      <c r="B13" s="52" t="s">
        <v>15</v>
      </c>
      <c r="C13" s="56">
        <v>250.49270000000001</v>
      </c>
      <c r="D13" s="56">
        <v>347.82830000000001</v>
      </c>
      <c r="E13" s="56">
        <v>316.274</v>
      </c>
      <c r="F13" s="56">
        <v>322.15289999999999</v>
      </c>
      <c r="G13" s="56">
        <v>276.73239999999998</v>
      </c>
      <c r="H13" s="56">
        <v>172.30930000000001</v>
      </c>
      <c r="I13" s="56">
        <v>195.2013</v>
      </c>
      <c r="J13" s="56">
        <v>153.4554</v>
      </c>
      <c r="K13" s="56">
        <v>124.7728</v>
      </c>
      <c r="L13" s="56">
        <v>157.51840000000001</v>
      </c>
      <c r="M13" s="56">
        <v>227.34800000000001</v>
      </c>
      <c r="N13" s="56">
        <v>276.05419999999998</v>
      </c>
      <c r="O13" s="65">
        <v>234.3404420921544</v>
      </c>
    </row>
    <row r="14" spans="1:19" s="4" customFormat="1" ht="14.5" x14ac:dyDescent="0.35">
      <c r="A14" s="46"/>
      <c r="B14" s="52" t="s">
        <v>5</v>
      </c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63"/>
    </row>
    <row r="15" spans="1:19" s="4" customFormat="1" ht="14.5" x14ac:dyDescent="0.35">
      <c r="A15" s="46"/>
      <c r="B15" s="52" t="s">
        <v>5</v>
      </c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63"/>
    </row>
    <row r="16" spans="1:19" s="54" customFormat="1" ht="14.5" x14ac:dyDescent="0.35">
      <c r="A16" s="69"/>
      <c r="B16" s="47" t="s">
        <v>16</v>
      </c>
      <c r="C16" s="70"/>
      <c r="D16" s="70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1"/>
    </row>
    <row r="17" spans="1:15" s="4" customFormat="1" ht="14.5" x14ac:dyDescent="0.35">
      <c r="A17" s="46"/>
      <c r="B17" s="52" t="s">
        <v>1</v>
      </c>
      <c r="C17" s="48">
        <v>1025016.2</v>
      </c>
      <c r="D17" s="48">
        <v>1285573.24</v>
      </c>
      <c r="E17" s="48">
        <v>1294193.3600000001</v>
      </c>
      <c r="F17" s="48">
        <v>1275725.45</v>
      </c>
      <c r="G17" s="48">
        <v>1132388.8999999999</v>
      </c>
      <c r="H17" s="48">
        <v>682344.89</v>
      </c>
      <c r="I17" s="48">
        <v>798763.55</v>
      </c>
      <c r="J17" s="48">
        <v>627939.34</v>
      </c>
      <c r="K17" s="48">
        <v>494100.26</v>
      </c>
      <c r="L17" s="48">
        <v>644565.39</v>
      </c>
      <c r="M17" s="48">
        <v>900298.18</v>
      </c>
      <c r="N17" s="48">
        <v>1129613.74</v>
      </c>
      <c r="O17" s="63">
        <v>11290522.5</v>
      </c>
    </row>
    <row r="18" spans="1:15" s="4" customFormat="1" ht="14.5" x14ac:dyDescent="0.35">
      <c r="A18" s="46"/>
      <c r="B18" s="52" t="s">
        <v>2</v>
      </c>
      <c r="C18" s="48">
        <v>181406.37</v>
      </c>
      <c r="D18" s="48">
        <v>274883.40000000002</v>
      </c>
      <c r="E18" s="48">
        <v>307247.40000000002</v>
      </c>
      <c r="F18" s="48">
        <v>278139.68</v>
      </c>
      <c r="G18" s="48">
        <v>249505.86</v>
      </c>
      <c r="H18" s="48">
        <v>177467.23</v>
      </c>
      <c r="I18" s="48">
        <v>199932.96</v>
      </c>
      <c r="J18" s="48">
        <v>143803.66</v>
      </c>
      <c r="K18" s="48">
        <v>115657.53</v>
      </c>
      <c r="L18" s="48">
        <v>140638.94</v>
      </c>
      <c r="M18" s="48">
        <v>202847.39</v>
      </c>
      <c r="N18" s="48">
        <v>188909.88</v>
      </c>
      <c r="O18" s="63">
        <v>2460440.2999999998</v>
      </c>
    </row>
    <row r="19" spans="1:15" s="4" customFormat="1" ht="14.5" x14ac:dyDescent="0.35">
      <c r="A19" s="46"/>
      <c r="B19" s="52" t="s">
        <v>13</v>
      </c>
      <c r="C19" s="48">
        <v>1627.99</v>
      </c>
      <c r="D19" s="48">
        <v>2405.7399999999998</v>
      </c>
      <c r="E19" s="48">
        <v>3553.93</v>
      </c>
      <c r="F19" s="48">
        <v>3896.8</v>
      </c>
      <c r="G19" s="48">
        <v>2556.13</v>
      </c>
      <c r="H19" s="48">
        <v>1693.33</v>
      </c>
      <c r="I19" s="48">
        <v>1428.96</v>
      </c>
      <c r="J19" s="48">
        <v>2055.02</v>
      </c>
      <c r="K19" s="48">
        <v>688.75</v>
      </c>
      <c r="L19" s="48">
        <v>2507.38</v>
      </c>
      <c r="M19" s="48">
        <v>3265.13</v>
      </c>
      <c r="N19" s="48">
        <v>2287.2600000000002</v>
      </c>
      <c r="O19" s="63">
        <v>27966.420000000006</v>
      </c>
    </row>
    <row r="20" spans="1:15" s="4" customFormat="1" ht="14.5" x14ac:dyDescent="0.35">
      <c r="A20" s="46"/>
      <c r="B20" s="52" t="s">
        <v>3</v>
      </c>
      <c r="C20" s="48">
        <v>82578.52</v>
      </c>
      <c r="D20" s="48">
        <v>77923.600000000006</v>
      </c>
      <c r="E20" s="48">
        <v>83350.16</v>
      </c>
      <c r="F20" s="48">
        <v>81892.78</v>
      </c>
      <c r="G20" s="48">
        <v>78127.75</v>
      </c>
      <c r="H20" s="48">
        <v>67095.55</v>
      </c>
      <c r="I20" s="48">
        <v>89746.49</v>
      </c>
      <c r="J20" s="48">
        <v>81964.899999999994</v>
      </c>
      <c r="K20" s="48">
        <v>70160.66</v>
      </c>
      <c r="L20" s="48">
        <v>69117.210000000006</v>
      </c>
      <c r="M20" s="48">
        <v>81824.649999999994</v>
      </c>
      <c r="N20" s="48">
        <v>90027.72</v>
      </c>
      <c r="O20" s="63">
        <v>953809.99</v>
      </c>
    </row>
    <row r="21" spans="1:15" s="54" customFormat="1" ht="14.5" x14ac:dyDescent="0.35">
      <c r="A21" s="69"/>
      <c r="B21" s="47" t="s">
        <v>17</v>
      </c>
      <c r="C21" s="67">
        <v>1290629.0799999998</v>
      </c>
      <c r="D21" s="67">
        <v>1640785.9800000002</v>
      </c>
      <c r="E21" s="67">
        <v>1688344.85</v>
      </c>
      <c r="F21" s="67">
        <v>1639654.71</v>
      </c>
      <c r="G21" s="67">
        <v>1462578.6399999997</v>
      </c>
      <c r="H21" s="67">
        <v>928601</v>
      </c>
      <c r="I21" s="67">
        <v>1089871.96</v>
      </c>
      <c r="J21" s="67">
        <v>855762.92</v>
      </c>
      <c r="K21" s="67">
        <v>680607.20000000007</v>
      </c>
      <c r="L21" s="67">
        <v>856828.92</v>
      </c>
      <c r="M21" s="67">
        <v>1188235.3499999999</v>
      </c>
      <c r="N21" s="67">
        <v>1410838.6</v>
      </c>
      <c r="O21" s="72">
        <v>14732739.209999997</v>
      </c>
    </row>
    <row r="22" spans="1:15" s="4" customFormat="1" ht="14.5" x14ac:dyDescent="0.35">
      <c r="A22" s="46"/>
      <c r="B22" s="52" t="s">
        <v>5</v>
      </c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63"/>
    </row>
    <row r="23" spans="1:15" s="54" customFormat="1" ht="14.5" x14ac:dyDescent="0.35">
      <c r="A23" s="69"/>
      <c r="B23" s="47" t="s">
        <v>6</v>
      </c>
      <c r="C23" s="70"/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1"/>
    </row>
    <row r="24" spans="1:15" s="4" customFormat="1" ht="14.5" x14ac:dyDescent="0.35">
      <c r="A24" s="46"/>
      <c r="B24" s="52" t="s">
        <v>1</v>
      </c>
      <c r="C24" s="48">
        <v>230899.16</v>
      </c>
      <c r="D24" s="48">
        <v>227599.08</v>
      </c>
      <c r="E24" s="48">
        <v>255558.03</v>
      </c>
      <c r="F24" s="48">
        <v>258542.6</v>
      </c>
      <c r="G24" s="48">
        <v>254522.83</v>
      </c>
      <c r="H24" s="48">
        <v>208901.51</v>
      </c>
      <c r="I24" s="48">
        <v>265349.96999999997</v>
      </c>
      <c r="J24" s="48">
        <v>229144.91</v>
      </c>
      <c r="K24" s="48">
        <v>168226.04</v>
      </c>
      <c r="L24" s="48">
        <v>220017.23</v>
      </c>
      <c r="M24" s="48">
        <v>230515.69</v>
      </c>
      <c r="N24" s="48">
        <v>275870.95</v>
      </c>
      <c r="O24" s="63">
        <v>2825148</v>
      </c>
    </row>
    <row r="25" spans="1:15" s="4" customFormat="1" ht="14.5" x14ac:dyDescent="0.35">
      <c r="A25" s="46"/>
      <c r="B25" s="52" t="s">
        <v>2</v>
      </c>
      <c r="C25" s="48">
        <v>167203.54</v>
      </c>
      <c r="D25" s="48">
        <v>239726.71</v>
      </c>
      <c r="E25" s="48">
        <v>246303.64</v>
      </c>
      <c r="F25" s="48">
        <v>243014.06</v>
      </c>
      <c r="G25" s="48">
        <v>249444.43</v>
      </c>
      <c r="H25" s="48">
        <v>186607.58</v>
      </c>
      <c r="I25" s="48">
        <v>205117.24</v>
      </c>
      <c r="J25" s="48">
        <v>175978.63</v>
      </c>
      <c r="K25" s="48">
        <v>169111.76</v>
      </c>
      <c r="L25" s="48">
        <v>155640.19</v>
      </c>
      <c r="M25" s="48">
        <v>197101.9</v>
      </c>
      <c r="N25" s="48">
        <v>211256.37</v>
      </c>
      <c r="O25" s="63">
        <v>2446506.0500000003</v>
      </c>
    </row>
    <row r="26" spans="1:15" s="4" customFormat="1" ht="14.5" x14ac:dyDescent="0.35">
      <c r="A26" s="46"/>
      <c r="B26" s="52" t="s">
        <v>13</v>
      </c>
      <c r="C26" s="48">
        <v>47.08</v>
      </c>
      <c r="D26" s="48">
        <v>972.28</v>
      </c>
      <c r="E26" s="48">
        <v>900.28</v>
      </c>
      <c r="F26" s="48">
        <v>1626.9</v>
      </c>
      <c r="G26" s="48">
        <v>1457.11</v>
      </c>
      <c r="H26" s="48">
        <v>522.07000000000005</v>
      </c>
      <c r="I26" s="48">
        <v>528.16</v>
      </c>
      <c r="J26" s="48">
        <v>736.46</v>
      </c>
      <c r="K26" s="48">
        <v>121</v>
      </c>
      <c r="L26" s="48">
        <v>1209.17</v>
      </c>
      <c r="M26" s="48">
        <v>1649.11</v>
      </c>
      <c r="N26" s="48">
        <v>1629.66</v>
      </c>
      <c r="O26" s="63">
        <v>11399.279999999999</v>
      </c>
    </row>
    <row r="27" spans="1:15" s="54" customFormat="1" ht="14.5" x14ac:dyDescent="0.35">
      <c r="A27" s="69"/>
      <c r="B27" s="47" t="s">
        <v>7</v>
      </c>
      <c r="C27" s="67">
        <v>398149.78</v>
      </c>
      <c r="D27" s="67">
        <v>468298.07</v>
      </c>
      <c r="E27" s="67">
        <v>502761.95000000007</v>
      </c>
      <c r="F27" s="67">
        <v>503183.56000000006</v>
      </c>
      <c r="G27" s="67">
        <v>505424.37</v>
      </c>
      <c r="H27" s="67">
        <v>396031.16</v>
      </c>
      <c r="I27" s="67">
        <v>470995.36999999994</v>
      </c>
      <c r="J27" s="67">
        <v>405860.00000000006</v>
      </c>
      <c r="K27" s="67">
        <v>337458.80000000005</v>
      </c>
      <c r="L27" s="67">
        <v>376866.59</v>
      </c>
      <c r="M27" s="67">
        <v>429266.69999999995</v>
      </c>
      <c r="N27" s="67">
        <v>488756.98</v>
      </c>
      <c r="O27" s="72">
        <v>5283053.33</v>
      </c>
    </row>
    <row r="28" spans="1:15" s="4" customFormat="1" ht="14.5" x14ac:dyDescent="0.35">
      <c r="A28" s="46"/>
      <c r="B28" s="52" t="s">
        <v>5</v>
      </c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63"/>
    </row>
    <row r="29" spans="1:15" s="54" customFormat="1" ht="14.5" x14ac:dyDescent="0.35">
      <c r="A29" s="69"/>
      <c r="B29" s="47" t="s">
        <v>8</v>
      </c>
      <c r="C29" s="70">
        <v>892479.29999999981</v>
      </c>
      <c r="D29" s="70">
        <v>1172487.9100000001</v>
      </c>
      <c r="E29" s="70">
        <v>1185582.8999999999</v>
      </c>
      <c r="F29" s="70">
        <v>1136471.1499999999</v>
      </c>
      <c r="G29" s="70">
        <v>957154.26999999967</v>
      </c>
      <c r="H29" s="70">
        <v>532569.84000000008</v>
      </c>
      <c r="I29" s="70">
        <v>618876.59000000008</v>
      </c>
      <c r="J29" s="70">
        <v>449902.92</v>
      </c>
      <c r="K29" s="70">
        <v>343148.4</v>
      </c>
      <c r="L29" s="70">
        <v>479962.33</v>
      </c>
      <c r="M29" s="70">
        <v>758968.64999999991</v>
      </c>
      <c r="N29" s="70">
        <v>922081.62000000011</v>
      </c>
      <c r="O29" s="71">
        <v>9449685.879999999</v>
      </c>
    </row>
    <row r="30" spans="1:15" s="4" customFormat="1" ht="14.5" x14ac:dyDescent="0.35">
      <c r="A30" s="46"/>
      <c r="B30" s="52" t="s">
        <v>5</v>
      </c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63"/>
    </row>
    <row r="31" spans="1:15" s="54" customFormat="1" ht="14.5" x14ac:dyDescent="0.35">
      <c r="A31" s="69"/>
      <c r="B31" s="47" t="s">
        <v>9</v>
      </c>
      <c r="C31" s="70"/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1"/>
    </row>
    <row r="32" spans="1:15" s="4" customFormat="1" ht="14.5" x14ac:dyDescent="0.35">
      <c r="A32" s="46"/>
      <c r="B32" s="52" t="s">
        <v>10</v>
      </c>
      <c r="C32" s="48">
        <v>107060.05</v>
      </c>
      <c r="D32" s="48">
        <v>120453.12</v>
      </c>
      <c r="E32" s="48">
        <v>109778.41</v>
      </c>
      <c r="F32" s="48">
        <v>108344.26</v>
      </c>
      <c r="G32" s="48">
        <v>108723.67</v>
      </c>
      <c r="H32" s="48">
        <v>104619.03</v>
      </c>
      <c r="I32" s="48">
        <v>103215.33</v>
      </c>
      <c r="J32" s="48">
        <v>117287.33</v>
      </c>
      <c r="K32" s="48">
        <v>95564.29</v>
      </c>
      <c r="L32" s="48">
        <v>109437.9</v>
      </c>
      <c r="M32" s="48">
        <v>115770.24000000001</v>
      </c>
      <c r="N32" s="48">
        <v>153414.39000000001</v>
      </c>
      <c r="O32" s="63">
        <v>1353668.02</v>
      </c>
    </row>
    <row r="33" spans="1:15" s="4" customFormat="1" ht="14.5" x14ac:dyDescent="0.35">
      <c r="A33" s="46"/>
      <c r="B33" s="52" t="s">
        <v>18</v>
      </c>
      <c r="C33" s="48">
        <v>20914.95</v>
      </c>
      <c r="D33" s="48">
        <v>17596.64</v>
      </c>
      <c r="E33" s="48">
        <v>23807.919999999998</v>
      </c>
      <c r="F33" s="48">
        <v>19520.82</v>
      </c>
      <c r="G33" s="48">
        <v>13888.12</v>
      </c>
      <c r="H33" s="48">
        <v>15060.57</v>
      </c>
      <c r="I33" s="48">
        <v>18290.52</v>
      </c>
      <c r="J33" s="48">
        <v>15520.03</v>
      </c>
      <c r="K33" s="48">
        <v>10518.95</v>
      </c>
      <c r="L33" s="48">
        <v>14656.36</v>
      </c>
      <c r="M33" s="48">
        <v>17034.439999999999</v>
      </c>
      <c r="N33" s="48">
        <v>22983.8</v>
      </c>
      <c r="O33" s="63">
        <v>209793.12</v>
      </c>
    </row>
    <row r="34" spans="1:15" s="4" customFormat="1" ht="14.5" x14ac:dyDescent="0.35">
      <c r="A34" s="46"/>
      <c r="B34" s="52" t="s">
        <v>24</v>
      </c>
      <c r="C34" s="48">
        <v>85678.399999999994</v>
      </c>
      <c r="D34" s="48">
        <v>100758.93</v>
      </c>
      <c r="E34" s="48">
        <v>105947.09</v>
      </c>
      <c r="F34" s="48">
        <v>106767.86</v>
      </c>
      <c r="G34" s="48">
        <v>99954.69</v>
      </c>
      <c r="H34" s="48">
        <v>90766.02</v>
      </c>
      <c r="I34" s="48">
        <v>90042.44</v>
      </c>
      <c r="J34" s="48">
        <v>85081.08</v>
      </c>
      <c r="K34" s="48">
        <v>68218.84</v>
      </c>
      <c r="L34" s="48">
        <v>84386.77</v>
      </c>
      <c r="M34" s="48">
        <v>97884.99</v>
      </c>
      <c r="N34" s="48">
        <v>132309.01</v>
      </c>
      <c r="O34" s="63">
        <v>1147796.1199999999</v>
      </c>
    </row>
    <row r="35" spans="1:15" s="4" customFormat="1" ht="14.5" x14ac:dyDescent="0.35">
      <c r="A35" s="46"/>
      <c r="B35" s="52" t="s">
        <v>19</v>
      </c>
      <c r="C35" s="48">
        <v>47934.71</v>
      </c>
      <c r="D35" s="48">
        <v>57509.65</v>
      </c>
      <c r="E35" s="48">
        <v>50816.51</v>
      </c>
      <c r="F35" s="48">
        <v>71066.649999999994</v>
      </c>
      <c r="G35" s="48">
        <v>57639.97</v>
      </c>
      <c r="H35" s="48">
        <v>59045.03</v>
      </c>
      <c r="I35" s="48">
        <v>63315.53</v>
      </c>
      <c r="J35" s="48">
        <v>54919.21</v>
      </c>
      <c r="K35" s="48">
        <v>41685.980000000003</v>
      </c>
      <c r="L35" s="48">
        <v>60401.64</v>
      </c>
      <c r="M35" s="48">
        <v>61510.92</v>
      </c>
      <c r="N35" s="48">
        <v>53033.82</v>
      </c>
      <c r="O35" s="63">
        <v>678879.62</v>
      </c>
    </row>
    <row r="36" spans="1:15" s="4" customFormat="1" ht="14.5" x14ac:dyDescent="0.35">
      <c r="A36" s="46"/>
      <c r="B36" s="52" t="s">
        <v>22</v>
      </c>
      <c r="C36" s="48">
        <v>17547.52</v>
      </c>
      <c r="D36" s="48">
        <v>10544.45</v>
      </c>
      <c r="E36" s="48">
        <v>16235.95</v>
      </c>
      <c r="F36" s="48">
        <v>19111.87</v>
      </c>
      <c r="G36" s="48">
        <v>16173.2</v>
      </c>
      <c r="H36" s="48">
        <v>17326.150000000001</v>
      </c>
      <c r="I36" s="48">
        <v>19955.82</v>
      </c>
      <c r="J36" s="48">
        <v>19600.5</v>
      </c>
      <c r="K36" s="48">
        <v>19475.310000000001</v>
      </c>
      <c r="L36" s="48">
        <v>15449.43</v>
      </c>
      <c r="M36" s="48">
        <v>16503.62</v>
      </c>
      <c r="N36" s="48">
        <v>16114.62</v>
      </c>
      <c r="O36" s="63">
        <v>204038.43999999997</v>
      </c>
    </row>
    <row r="37" spans="1:15" s="54" customFormat="1" ht="14.5" x14ac:dyDescent="0.35">
      <c r="A37" s="69"/>
      <c r="B37" s="47" t="s">
        <v>20</v>
      </c>
      <c r="C37" s="67">
        <v>279135.63</v>
      </c>
      <c r="D37" s="67">
        <v>306862.79000000004</v>
      </c>
      <c r="E37" s="67">
        <v>306585.88</v>
      </c>
      <c r="F37" s="67">
        <v>324811.45999999996</v>
      </c>
      <c r="G37" s="67">
        <v>296379.64999999997</v>
      </c>
      <c r="H37" s="67">
        <v>286816.80000000005</v>
      </c>
      <c r="I37" s="67">
        <v>294819.64</v>
      </c>
      <c r="J37" s="67">
        <v>292408.15000000002</v>
      </c>
      <c r="K37" s="67">
        <v>235463.37</v>
      </c>
      <c r="L37" s="67">
        <v>284332.09999999998</v>
      </c>
      <c r="M37" s="67">
        <v>308704.20999999996</v>
      </c>
      <c r="N37" s="67">
        <v>377855.64</v>
      </c>
      <c r="O37" s="72">
        <v>3594175.3200000003</v>
      </c>
    </row>
    <row r="38" spans="1:15" s="4" customFormat="1" ht="14.5" x14ac:dyDescent="0.35">
      <c r="A38" s="46"/>
      <c r="B38" s="52" t="s">
        <v>5</v>
      </c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63"/>
    </row>
    <row r="39" spans="1:15" s="54" customFormat="1" ht="14.5" x14ac:dyDescent="0.35">
      <c r="A39" s="69"/>
      <c r="B39" s="47" t="s">
        <v>21</v>
      </c>
      <c r="C39" s="70">
        <v>613343.66999999981</v>
      </c>
      <c r="D39" s="70">
        <v>865625.12000000011</v>
      </c>
      <c r="E39" s="70">
        <v>878997.0199999999</v>
      </c>
      <c r="F39" s="70">
        <v>811659.69</v>
      </c>
      <c r="G39" s="70">
        <v>660774.61999999965</v>
      </c>
      <c r="H39" s="70">
        <v>245753.04000000004</v>
      </c>
      <c r="I39" s="70">
        <v>324056.95000000007</v>
      </c>
      <c r="J39" s="70">
        <v>157494.76999999996</v>
      </c>
      <c r="K39" s="70">
        <v>107685.03000000003</v>
      </c>
      <c r="L39" s="70">
        <v>195630.23000000004</v>
      </c>
      <c r="M39" s="70">
        <v>450264.43999999994</v>
      </c>
      <c r="N39" s="70">
        <v>544225.9800000001</v>
      </c>
      <c r="O39" s="71">
        <v>5855510.5600000005</v>
      </c>
    </row>
    <row r="40" spans="1:15" s="4" customFormat="1" ht="14.5" x14ac:dyDescent="0.35">
      <c r="A40" s="46"/>
      <c r="B40" s="52" t="s">
        <v>5</v>
      </c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63"/>
    </row>
    <row r="41" spans="1:15" s="4" customFormat="1" ht="14.5" x14ac:dyDescent="0.35">
      <c r="A41" s="46"/>
      <c r="B41" s="52" t="s">
        <v>23</v>
      </c>
      <c r="C41" s="48">
        <v>52049.120000000003</v>
      </c>
      <c r="D41" s="48">
        <v>47893.5</v>
      </c>
      <c r="E41" s="48">
        <v>53508.480000000003</v>
      </c>
      <c r="F41" s="48">
        <v>52877.47</v>
      </c>
      <c r="G41" s="48">
        <v>46796.98</v>
      </c>
      <c r="H41" s="48">
        <v>29500</v>
      </c>
      <c r="I41" s="48">
        <v>34409.599999999999</v>
      </c>
      <c r="J41" s="48">
        <v>27342.99</v>
      </c>
      <c r="K41" s="48">
        <v>21409.22</v>
      </c>
      <c r="L41" s="48">
        <v>26877.56</v>
      </c>
      <c r="M41" s="48">
        <v>37917.160000000003</v>
      </c>
      <c r="N41" s="48">
        <v>50147.15</v>
      </c>
      <c r="O41" s="63">
        <v>480729.23</v>
      </c>
    </row>
    <row r="42" spans="1:15" s="54" customFormat="1" ht="14.5" x14ac:dyDescent="0.35">
      <c r="A42" s="69"/>
      <c r="B42" s="47" t="s">
        <v>25</v>
      </c>
      <c r="C42" s="67">
        <v>561294.54999999981</v>
      </c>
      <c r="D42" s="67">
        <v>817731.62000000011</v>
      </c>
      <c r="E42" s="67">
        <v>825488.53999999992</v>
      </c>
      <c r="F42" s="67">
        <v>758782.22</v>
      </c>
      <c r="G42" s="67">
        <v>613977.63999999966</v>
      </c>
      <c r="H42" s="67">
        <v>216253.04000000004</v>
      </c>
      <c r="I42" s="67">
        <v>289647.35000000009</v>
      </c>
      <c r="J42" s="67">
        <v>130151.77999999996</v>
      </c>
      <c r="K42" s="67">
        <v>86275.810000000027</v>
      </c>
      <c r="L42" s="67">
        <v>168752.67000000004</v>
      </c>
      <c r="M42" s="67">
        <v>412347.27999999991</v>
      </c>
      <c r="N42" s="67">
        <v>494078.83000000007</v>
      </c>
      <c r="O42" s="72">
        <v>5374781.3299999991</v>
      </c>
    </row>
    <row r="43" spans="1:15" s="4" customFormat="1" ht="14.5" x14ac:dyDescent="0.35">
      <c r="A43" s="46"/>
      <c r="B43" s="52" t="s">
        <v>5</v>
      </c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63"/>
    </row>
    <row r="44" spans="1:15" s="4" customFormat="1" ht="14.5" x14ac:dyDescent="0.35">
      <c r="A44" s="46"/>
      <c r="B44" s="52" t="s">
        <v>37</v>
      </c>
      <c r="C44" s="48">
        <v>0</v>
      </c>
      <c r="D44" s="48">
        <v>0</v>
      </c>
      <c r="E44" s="48">
        <v>0</v>
      </c>
      <c r="F44" s="48">
        <v>0</v>
      </c>
      <c r="G44" s="48">
        <v>0</v>
      </c>
      <c r="H44" s="48">
        <v>0</v>
      </c>
      <c r="I44" s="48">
        <v>0</v>
      </c>
      <c r="J44" s="48">
        <v>0</v>
      </c>
      <c r="K44" s="48">
        <v>0</v>
      </c>
      <c r="L44" s="48">
        <v>0</v>
      </c>
      <c r="M44" s="48">
        <v>0</v>
      </c>
      <c r="N44" s="48">
        <v>0</v>
      </c>
      <c r="O44" s="63">
        <v>0</v>
      </c>
    </row>
    <row r="45" spans="1:15" s="4" customFormat="1" ht="14.5" x14ac:dyDescent="0.35">
      <c r="A45" s="46"/>
      <c r="B45" s="52" t="s">
        <v>26</v>
      </c>
      <c r="C45" s="48">
        <v>743.81</v>
      </c>
      <c r="D45" s="48">
        <v>1522.35</v>
      </c>
      <c r="E45" s="48">
        <v>1703.45</v>
      </c>
      <c r="F45" s="48">
        <v>887.71</v>
      </c>
      <c r="G45" s="48">
        <v>2051.56</v>
      </c>
      <c r="H45" s="48">
        <v>2177.39</v>
      </c>
      <c r="I45" s="48">
        <v>1264.1500000000001</v>
      </c>
      <c r="J45" s="48">
        <v>1751.19</v>
      </c>
      <c r="K45" s="48">
        <v>623.38</v>
      </c>
      <c r="L45" s="48">
        <v>1382.23</v>
      </c>
      <c r="M45" s="48">
        <v>1798.74</v>
      </c>
      <c r="N45" s="48">
        <v>2196.06</v>
      </c>
      <c r="O45" s="63">
        <v>18102.019999999997</v>
      </c>
    </row>
    <row r="46" spans="1:15" s="4" customFormat="1" ht="14.5" x14ac:dyDescent="0.35">
      <c r="A46" s="46"/>
      <c r="B46" s="52" t="s">
        <v>27</v>
      </c>
      <c r="C46" s="48">
        <v>38863.879999999997</v>
      </c>
      <c r="D46" s="48">
        <v>38863.879999999997</v>
      </c>
      <c r="E46" s="48">
        <v>38863.879999999997</v>
      </c>
      <c r="F46" s="48">
        <v>55453.08</v>
      </c>
      <c r="G46" s="48">
        <v>38863.879999999997</v>
      </c>
      <c r="H46" s="48">
        <v>38863.879999999997</v>
      </c>
      <c r="I46" s="48">
        <v>38863.879999999997</v>
      </c>
      <c r="J46" s="48">
        <v>38863.879999999997</v>
      </c>
      <c r="K46" s="48">
        <v>38863.879999999997</v>
      </c>
      <c r="L46" s="48">
        <v>38863.879999999997</v>
      </c>
      <c r="M46" s="48">
        <v>38863.879999999997</v>
      </c>
      <c r="N46" s="48">
        <v>38863.879999999997</v>
      </c>
      <c r="O46" s="63">
        <v>482955.76</v>
      </c>
    </row>
    <row r="47" spans="1:15" s="4" customFormat="1" ht="14.5" x14ac:dyDescent="0.35">
      <c r="A47" s="46"/>
      <c r="B47" s="52" t="s">
        <v>28</v>
      </c>
      <c r="C47" s="48">
        <v>70497.47</v>
      </c>
      <c r="D47" s="48">
        <v>66001.94</v>
      </c>
      <c r="E47" s="48">
        <v>70972.639999999999</v>
      </c>
      <c r="F47" s="48">
        <v>70972.639999999999</v>
      </c>
      <c r="G47" s="48">
        <v>70972.639999999999</v>
      </c>
      <c r="H47" s="48">
        <v>71364.89</v>
      </c>
      <c r="I47" s="48">
        <v>71071.53</v>
      </c>
      <c r="J47" s="48">
        <v>106367.59</v>
      </c>
      <c r="K47" s="48">
        <v>100189.18</v>
      </c>
      <c r="L47" s="48">
        <v>104943.07</v>
      </c>
      <c r="M47" s="48">
        <v>106943.25</v>
      </c>
      <c r="N47" s="48">
        <v>104943.16</v>
      </c>
      <c r="O47" s="63">
        <v>1015240.0000000001</v>
      </c>
    </row>
    <row r="48" spans="1:15" s="4" customFormat="1" ht="14.5" x14ac:dyDescent="0.35">
      <c r="A48" s="46"/>
      <c r="B48" s="52" t="s">
        <v>35</v>
      </c>
      <c r="C48" s="48">
        <v>0</v>
      </c>
      <c r="D48" s="48">
        <v>0</v>
      </c>
      <c r="E48" s="48">
        <v>0</v>
      </c>
      <c r="F48" s="48">
        <v>0</v>
      </c>
      <c r="G48" s="48">
        <v>0</v>
      </c>
      <c r="H48" s="48">
        <v>0</v>
      </c>
      <c r="I48" s="48">
        <v>0</v>
      </c>
      <c r="J48" s="48">
        <v>0</v>
      </c>
      <c r="K48" s="48">
        <v>0</v>
      </c>
      <c r="L48" s="48">
        <v>0</v>
      </c>
      <c r="M48" s="48">
        <v>0</v>
      </c>
      <c r="N48" s="48">
        <v>0</v>
      </c>
      <c r="O48" s="63">
        <v>0</v>
      </c>
    </row>
    <row r="49" spans="1:15" s="54" customFormat="1" ht="14.5" x14ac:dyDescent="0.35">
      <c r="A49" s="69"/>
      <c r="B49" s="47" t="s">
        <v>29</v>
      </c>
      <c r="C49" s="67">
        <v>110105.16</v>
      </c>
      <c r="D49" s="67">
        <v>106388.17</v>
      </c>
      <c r="E49" s="67">
        <v>111539.97</v>
      </c>
      <c r="F49" s="67">
        <v>127313.43</v>
      </c>
      <c r="G49" s="67">
        <v>111888.07999999999</v>
      </c>
      <c r="H49" s="67">
        <v>112406.16</v>
      </c>
      <c r="I49" s="67">
        <v>111199.56</v>
      </c>
      <c r="J49" s="67">
        <v>146982.66</v>
      </c>
      <c r="K49" s="67">
        <v>139676.44</v>
      </c>
      <c r="L49" s="67">
        <v>145189.18</v>
      </c>
      <c r="M49" s="67">
        <v>147605.87</v>
      </c>
      <c r="N49" s="67">
        <v>146003.1</v>
      </c>
      <c r="O49" s="72">
        <v>1516297.7800000003</v>
      </c>
    </row>
    <row r="50" spans="1:15" s="4" customFormat="1" ht="14.5" x14ac:dyDescent="0.35">
      <c r="A50" s="46"/>
      <c r="B50" s="52" t="s">
        <v>5</v>
      </c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63"/>
    </row>
    <row r="51" spans="1:15" s="54" customFormat="1" ht="14.5" x14ac:dyDescent="0.35">
      <c r="A51" s="69"/>
      <c r="B51" s="47" t="s">
        <v>30</v>
      </c>
      <c r="C51" s="70">
        <v>451189.38999999978</v>
      </c>
      <c r="D51" s="70">
        <v>711343.45000000007</v>
      </c>
      <c r="E51" s="70">
        <v>713948.57</v>
      </c>
      <c r="F51" s="70">
        <v>631468.79</v>
      </c>
      <c r="G51" s="70">
        <v>502089.55999999971</v>
      </c>
      <c r="H51" s="70">
        <v>103846.88000000003</v>
      </c>
      <c r="I51" s="70">
        <v>178447.7900000001</v>
      </c>
      <c r="J51" s="70">
        <v>-16830.880000000048</v>
      </c>
      <c r="K51" s="70">
        <v>-53400.629999999976</v>
      </c>
      <c r="L51" s="70">
        <v>23563.490000000049</v>
      </c>
      <c r="M51" s="70">
        <v>264741.40999999992</v>
      </c>
      <c r="N51" s="70">
        <v>348075.7300000001</v>
      </c>
      <c r="O51" s="71">
        <v>3858483.5499999993</v>
      </c>
    </row>
    <row r="52" spans="1:15" s="4" customFormat="1" ht="14.5" x14ac:dyDescent="0.35">
      <c r="A52" s="46"/>
      <c r="B52" s="52" t="s">
        <v>5</v>
      </c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63"/>
    </row>
    <row r="53" spans="1:15" s="4" customFormat="1" ht="14.5" x14ac:dyDescent="0.35">
      <c r="A53" s="46"/>
      <c r="B53" s="52" t="s">
        <v>31</v>
      </c>
      <c r="C53" s="48">
        <v>51625.163199999995</v>
      </c>
      <c r="D53" s="48">
        <v>65631.439200000008</v>
      </c>
      <c r="E53" s="48">
        <v>67533.794000000009</v>
      </c>
      <c r="F53" s="48">
        <v>65586.188399999999</v>
      </c>
      <c r="G53" s="48">
        <v>58503.145599999989</v>
      </c>
      <c r="H53" s="48">
        <v>37144.04</v>
      </c>
      <c r="I53" s="48">
        <v>43594.878400000001</v>
      </c>
      <c r="J53" s="48">
        <v>34230.516800000005</v>
      </c>
      <c r="K53" s="48">
        <v>27224.288000000004</v>
      </c>
      <c r="L53" s="48">
        <v>34273.156800000004</v>
      </c>
      <c r="M53" s="48">
        <v>47529.413999999997</v>
      </c>
      <c r="N53" s="48">
        <v>56433.544000000002</v>
      </c>
      <c r="O53" s="63">
        <v>589309.56839999999</v>
      </c>
    </row>
    <row r="54" spans="1:15" s="54" customFormat="1" ht="15" thickBot="1" x14ac:dyDescent="0.4">
      <c r="A54" s="69"/>
      <c r="B54" s="57" t="s">
        <v>32</v>
      </c>
      <c r="C54" s="68">
        <v>399564.22679999977</v>
      </c>
      <c r="D54" s="68">
        <v>645712.01080000005</v>
      </c>
      <c r="E54" s="68">
        <v>646414.77599999995</v>
      </c>
      <c r="F54" s="68">
        <v>565882.60160000005</v>
      </c>
      <c r="G54" s="68">
        <v>443586.41439999972</v>
      </c>
      <c r="H54" s="68">
        <v>66702.840000000026</v>
      </c>
      <c r="I54" s="68">
        <v>134852.91160000011</v>
      </c>
      <c r="J54" s="68">
        <v>-51061.396800000053</v>
      </c>
      <c r="K54" s="68">
        <v>-80624.917999999976</v>
      </c>
      <c r="L54" s="68">
        <v>-10709.666799999955</v>
      </c>
      <c r="M54" s="68">
        <v>217211.99599999993</v>
      </c>
      <c r="N54" s="68">
        <v>291642.1860000001</v>
      </c>
      <c r="O54" s="73">
        <v>3269173.9815999996</v>
      </c>
    </row>
    <row r="55" spans="1:15" s="4" customFormat="1" ht="15" thickTop="1" x14ac:dyDescent="0.35">
      <c r="A55" s="46"/>
      <c r="B55" s="51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9"/>
    </row>
    <row r="56" spans="1:15" s="4" customFormat="1" ht="14.5" x14ac:dyDescent="0.35">
      <c r="A56" s="46"/>
      <c r="B56" s="52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9"/>
    </row>
    <row r="57" spans="1:15" ht="14.5" x14ac:dyDescent="0.35">
      <c r="A57" s="1"/>
      <c r="B57" s="1"/>
      <c r="C57" s="45"/>
      <c r="D57" s="45"/>
      <c r="E57" s="45"/>
      <c r="F57" s="45"/>
      <c r="G57" s="45"/>
      <c r="H57" s="44"/>
      <c r="I57" s="52"/>
      <c r="J57" s="52"/>
    </row>
    <row r="58" spans="1:15" s="14" customFormat="1" ht="14.5" x14ac:dyDescent="0.35">
      <c r="A58" s="43"/>
      <c r="B58" s="42"/>
      <c r="C58" s="40"/>
      <c r="D58" s="41"/>
      <c r="E58" s="40"/>
      <c r="F58" s="40"/>
      <c r="G58" s="41"/>
      <c r="H58" s="40"/>
      <c r="I58" s="40"/>
      <c r="J58" s="39"/>
      <c r="K58" s="39"/>
      <c r="L58" s="39"/>
      <c r="M58" s="39"/>
      <c r="N58" s="39"/>
      <c r="O58" s="39"/>
    </row>
    <row r="59" spans="1:15" x14ac:dyDescent="0.25">
      <c r="A59" s="1"/>
      <c r="B59" s="1"/>
      <c r="C59" s="1"/>
      <c r="D59" s="1"/>
      <c r="H59" s="3"/>
    </row>
    <row r="60" spans="1:15" x14ac:dyDescent="0.25">
      <c r="B60" s="31"/>
      <c r="C60" s="1"/>
      <c r="D60" s="1"/>
      <c r="H60" s="17"/>
    </row>
    <row r="61" spans="1:15" x14ac:dyDescent="0.25">
      <c r="C61" s="1"/>
      <c r="D61" s="1"/>
      <c r="H61" s="3"/>
    </row>
    <row r="62" spans="1:15" x14ac:dyDescent="0.25">
      <c r="C62" s="1"/>
      <c r="D62" s="1"/>
      <c r="H62" s="3"/>
    </row>
    <row r="63" spans="1:15" x14ac:dyDescent="0.25">
      <c r="C63" s="1"/>
      <c r="D63" s="1"/>
      <c r="H63" s="3"/>
    </row>
    <row r="64" spans="1:15" x14ac:dyDescent="0.25">
      <c r="C64" s="1"/>
      <c r="D64" s="1"/>
      <c r="H64" s="3"/>
    </row>
    <row r="65" spans="1:8" x14ac:dyDescent="0.25">
      <c r="C65" s="1"/>
      <c r="D65" s="1"/>
      <c r="H65" s="3"/>
    </row>
    <row r="66" spans="1:8" x14ac:dyDescent="0.25">
      <c r="C66" s="1"/>
      <c r="D66" s="1"/>
      <c r="H66" s="3"/>
    </row>
    <row r="67" spans="1:8" x14ac:dyDescent="0.25">
      <c r="B67" s="31"/>
      <c r="C67" s="1"/>
      <c r="D67" s="1"/>
      <c r="H67" s="3"/>
    </row>
    <row r="68" spans="1:8" x14ac:dyDescent="0.25">
      <c r="C68" s="1"/>
      <c r="D68" s="1"/>
      <c r="H68" s="3"/>
    </row>
    <row r="69" spans="1:8" x14ac:dyDescent="0.25">
      <c r="B69" s="31"/>
      <c r="C69" s="1"/>
      <c r="D69" s="1"/>
      <c r="H69" s="1"/>
    </row>
    <row r="70" spans="1:8" x14ac:dyDescent="0.25">
      <c r="B70" s="31"/>
      <c r="C70" s="1"/>
      <c r="D70" s="1"/>
      <c r="H70" s="1"/>
    </row>
    <row r="71" spans="1:8" x14ac:dyDescent="0.25">
      <c r="C71" s="1"/>
      <c r="D71" s="1"/>
    </row>
    <row r="72" spans="1:8" ht="15.5" x14ac:dyDescent="0.35">
      <c r="A72" s="38"/>
      <c r="C72" s="1"/>
      <c r="D72" s="1"/>
    </row>
    <row r="73" spans="1:8" x14ac:dyDescent="0.25">
      <c r="C73" s="1"/>
      <c r="D73" s="1"/>
      <c r="H73" s="3"/>
    </row>
    <row r="74" spans="1:8" x14ac:dyDescent="0.25">
      <c r="C74" s="17"/>
      <c r="D74" s="17"/>
      <c r="F74" s="17"/>
      <c r="G74" s="17"/>
      <c r="H74" s="3"/>
    </row>
    <row r="75" spans="1:8" x14ac:dyDescent="0.25">
      <c r="C75" s="1"/>
      <c r="D75" s="1"/>
      <c r="H75" s="3"/>
    </row>
    <row r="76" spans="1:8" x14ac:dyDescent="0.25">
      <c r="C76" s="1"/>
      <c r="D76" s="1"/>
      <c r="H76" s="3"/>
    </row>
    <row r="77" spans="1:8" x14ac:dyDescent="0.25">
      <c r="C77" s="1"/>
      <c r="D77" s="1"/>
      <c r="H77" s="3"/>
    </row>
    <row r="78" spans="1:8" x14ac:dyDescent="0.25">
      <c r="C78" s="1"/>
      <c r="D78" s="1"/>
      <c r="H78" s="3"/>
    </row>
    <row r="79" spans="1:8" x14ac:dyDescent="0.25">
      <c r="C79" s="1"/>
      <c r="D79" s="1"/>
      <c r="H79" s="3"/>
    </row>
    <row r="80" spans="1:8" x14ac:dyDescent="0.25">
      <c r="C80" s="1"/>
      <c r="D80" s="1"/>
      <c r="H80" s="3"/>
    </row>
    <row r="81" spans="2:8" x14ac:dyDescent="0.25">
      <c r="C81" s="1"/>
      <c r="D81" s="1"/>
      <c r="H81" s="3"/>
    </row>
    <row r="82" spans="2:8" x14ac:dyDescent="0.25">
      <c r="C82" s="1"/>
      <c r="D82" s="1"/>
      <c r="H82" s="3"/>
    </row>
    <row r="83" spans="2:8" x14ac:dyDescent="0.25">
      <c r="C83" s="1"/>
      <c r="D83" s="1"/>
      <c r="H83" s="3"/>
    </row>
    <row r="84" spans="2:8" x14ac:dyDescent="0.25">
      <c r="C84" s="1"/>
      <c r="D84" s="1"/>
      <c r="H84" s="3"/>
    </row>
    <row r="85" spans="2:8" x14ac:dyDescent="0.25">
      <c r="C85" s="1"/>
      <c r="D85" s="1"/>
      <c r="H85" s="3"/>
    </row>
    <row r="86" spans="2:8" x14ac:dyDescent="0.25">
      <c r="C86" s="1"/>
      <c r="D86" s="1"/>
      <c r="H86" s="3"/>
    </row>
    <row r="87" spans="2:8" x14ac:dyDescent="0.25">
      <c r="C87" s="1"/>
      <c r="D87" s="1"/>
      <c r="H87" s="3"/>
    </row>
    <row r="88" spans="2:8" x14ac:dyDescent="0.25">
      <c r="C88" s="1"/>
      <c r="D88" s="1"/>
      <c r="H88" s="3"/>
    </row>
    <row r="89" spans="2:8" x14ac:dyDescent="0.25">
      <c r="C89" s="1"/>
      <c r="D89" s="1"/>
      <c r="H89" s="3"/>
    </row>
    <row r="90" spans="2:8" x14ac:dyDescent="0.25">
      <c r="C90" s="1"/>
      <c r="D90" s="1"/>
      <c r="H90" s="3"/>
    </row>
    <row r="91" spans="2:8" x14ac:dyDescent="0.25">
      <c r="C91" s="1"/>
      <c r="D91" s="1"/>
      <c r="H91" s="3"/>
    </row>
    <row r="92" spans="2:8" x14ac:dyDescent="0.25">
      <c r="B92" s="13"/>
      <c r="C92" s="1"/>
      <c r="D92" s="1"/>
      <c r="H92" s="3"/>
    </row>
    <row r="93" spans="2:8" x14ac:dyDescent="0.25">
      <c r="C93" s="1"/>
      <c r="D93" s="1"/>
      <c r="H93" s="3"/>
    </row>
    <row r="94" spans="2:8" x14ac:dyDescent="0.25">
      <c r="C94" s="1"/>
      <c r="D94" s="1"/>
      <c r="H94" s="3"/>
    </row>
    <row r="95" spans="2:8" x14ac:dyDescent="0.25">
      <c r="C95" s="1"/>
      <c r="D95" s="1"/>
      <c r="H95" s="3"/>
    </row>
    <row r="96" spans="2:8" x14ac:dyDescent="0.25">
      <c r="C96" s="1"/>
      <c r="D96" s="1"/>
      <c r="H96" s="3"/>
    </row>
    <row r="97" spans="1:8" x14ac:dyDescent="0.25">
      <c r="C97" s="1"/>
      <c r="D97" s="1"/>
      <c r="H97" s="3"/>
    </row>
    <row r="98" spans="1:8" x14ac:dyDescent="0.25">
      <c r="B98" s="31"/>
      <c r="C98" s="1"/>
      <c r="D98" s="1"/>
      <c r="H98" s="1"/>
    </row>
    <row r="99" spans="1:8" ht="13" x14ac:dyDescent="0.3">
      <c r="B99" s="22"/>
      <c r="C99" s="1"/>
      <c r="D99" s="1"/>
      <c r="H99" s="1"/>
    </row>
    <row r="100" spans="1:8" x14ac:dyDescent="0.25">
      <c r="C100" s="1"/>
      <c r="D100" s="1"/>
    </row>
    <row r="101" spans="1:8" x14ac:dyDescent="0.25">
      <c r="C101" s="1"/>
      <c r="D101" s="1"/>
      <c r="H101" s="3"/>
    </row>
    <row r="102" spans="1:8" x14ac:dyDescent="0.25">
      <c r="C102" s="1"/>
      <c r="D102" s="1"/>
      <c r="H102" s="3"/>
    </row>
    <row r="103" spans="1:8" x14ac:dyDescent="0.25">
      <c r="C103" s="1"/>
      <c r="D103" s="1"/>
      <c r="H103" s="3"/>
    </row>
    <row r="104" spans="1:8" x14ac:dyDescent="0.25">
      <c r="C104" s="1"/>
      <c r="D104" s="1"/>
      <c r="H104" s="3"/>
    </row>
    <row r="105" spans="1:8" x14ac:dyDescent="0.25">
      <c r="C105" s="1"/>
      <c r="D105" s="1"/>
      <c r="H105" s="3"/>
    </row>
    <row r="106" spans="1:8" x14ac:dyDescent="0.25">
      <c r="C106" s="1"/>
      <c r="D106" s="17"/>
      <c r="G106" s="17"/>
      <c r="H106" s="3"/>
    </row>
    <row r="107" spans="1:8" x14ac:dyDescent="0.25">
      <c r="C107" s="1"/>
      <c r="D107" s="1"/>
      <c r="H107" s="3"/>
    </row>
    <row r="108" spans="1:8" ht="14" x14ac:dyDescent="0.3">
      <c r="A108" s="37"/>
      <c r="B108" s="36"/>
      <c r="C108" s="35"/>
      <c r="D108" s="35"/>
      <c r="E108" s="35"/>
      <c r="F108" s="35"/>
      <c r="G108" s="35"/>
      <c r="H108" s="34"/>
    </row>
    <row r="109" spans="1:8" x14ac:dyDescent="0.25">
      <c r="C109" s="33"/>
      <c r="D109" s="33"/>
      <c r="E109" s="33"/>
      <c r="F109" s="33"/>
      <c r="G109" s="33"/>
    </row>
    <row r="110" spans="1:8" x14ac:dyDescent="0.25">
      <c r="B110" s="31"/>
      <c r="C110" s="1"/>
      <c r="D110" s="1"/>
      <c r="H110" s="3"/>
    </row>
    <row r="111" spans="1:8" x14ac:dyDescent="0.25">
      <c r="C111" s="1"/>
      <c r="D111" s="1"/>
      <c r="H111" s="3"/>
    </row>
    <row r="112" spans="1:8" x14ac:dyDescent="0.25">
      <c r="C112" s="1"/>
      <c r="D112" s="11"/>
      <c r="F112" s="11"/>
    </row>
    <row r="113" spans="1:6" x14ac:dyDescent="0.25">
      <c r="C113" s="1"/>
      <c r="D113" s="11"/>
      <c r="F113" s="11"/>
    </row>
    <row r="114" spans="1:6" x14ac:dyDescent="0.25">
      <c r="C114" s="1"/>
      <c r="D114" s="11"/>
      <c r="F114" s="11"/>
    </row>
    <row r="115" spans="1:6" x14ac:dyDescent="0.25">
      <c r="C115" s="1"/>
      <c r="D115" s="11"/>
      <c r="F115" s="11"/>
    </row>
    <row r="116" spans="1:6" x14ac:dyDescent="0.25">
      <c r="C116" s="1"/>
      <c r="D116" s="11"/>
      <c r="F116" s="11"/>
    </row>
    <row r="117" spans="1:6" x14ac:dyDescent="0.25">
      <c r="C117" s="1"/>
      <c r="D117" s="11"/>
      <c r="F117" s="11"/>
    </row>
    <row r="118" spans="1:6" x14ac:dyDescent="0.25">
      <c r="C118" s="1"/>
      <c r="D118" s="11"/>
      <c r="F118" s="11"/>
    </row>
    <row r="119" spans="1:6" ht="13" x14ac:dyDescent="0.3">
      <c r="A119" s="10"/>
      <c r="C119" s="1"/>
      <c r="D119" s="11"/>
      <c r="F119" s="11"/>
    </row>
    <row r="120" spans="1:6" ht="13" x14ac:dyDescent="0.3">
      <c r="A120" s="10"/>
      <c r="C120" s="1"/>
      <c r="D120" s="11"/>
      <c r="F120" s="11"/>
    </row>
    <row r="121" spans="1:6" x14ac:dyDescent="0.25">
      <c r="C121" s="1"/>
      <c r="D121" s="11"/>
      <c r="F121" s="11"/>
    </row>
    <row r="122" spans="1:6" ht="13" x14ac:dyDescent="0.3">
      <c r="A122" s="10"/>
      <c r="C122" s="1"/>
      <c r="D122" s="11"/>
      <c r="F122" s="11"/>
    </row>
    <row r="123" spans="1:6" x14ac:dyDescent="0.25">
      <c r="B123" s="31"/>
      <c r="C123" s="1"/>
      <c r="D123" s="32"/>
      <c r="F123" s="11"/>
    </row>
    <row r="124" spans="1:6" x14ac:dyDescent="0.25">
      <c r="B124" s="31"/>
      <c r="C124" s="1"/>
      <c r="D124" s="11"/>
      <c r="F124" s="11"/>
    </row>
    <row r="125" spans="1:6" x14ac:dyDescent="0.25">
      <c r="B125" s="31"/>
      <c r="C125" s="1"/>
      <c r="D125" s="11"/>
      <c r="F125" s="11"/>
    </row>
    <row r="126" spans="1:6" x14ac:dyDescent="0.25">
      <c r="B126" s="31"/>
      <c r="C126" s="1"/>
      <c r="D126" s="11"/>
      <c r="F126" s="11"/>
    </row>
    <row r="137" spans="1:6" ht="13" x14ac:dyDescent="0.3">
      <c r="B137" s="12"/>
      <c r="C137" s="21"/>
      <c r="D137" s="19"/>
      <c r="E137" s="20"/>
      <c r="F137" s="19"/>
    </row>
    <row r="138" spans="1:6" ht="13" x14ac:dyDescent="0.3">
      <c r="B138" s="12"/>
      <c r="C138" s="21"/>
      <c r="D138" s="19"/>
      <c r="E138" s="20"/>
      <c r="F138" s="19"/>
    </row>
    <row r="139" spans="1:6" ht="13" x14ac:dyDescent="0.3">
      <c r="B139" s="12"/>
      <c r="C139" s="21"/>
      <c r="D139" s="19"/>
      <c r="E139" s="20"/>
      <c r="F139" s="19"/>
    </row>
    <row r="140" spans="1:6" ht="13" x14ac:dyDescent="0.3">
      <c r="B140" s="12"/>
      <c r="C140" s="21"/>
      <c r="D140" s="19"/>
      <c r="E140" s="20"/>
      <c r="F140" s="19"/>
    </row>
    <row r="141" spans="1:6" ht="13" x14ac:dyDescent="0.3">
      <c r="B141" s="12"/>
      <c r="C141" s="21"/>
      <c r="D141" s="19"/>
      <c r="E141" s="20"/>
      <c r="F141" s="19"/>
    </row>
    <row r="142" spans="1:6" ht="14" x14ac:dyDescent="0.3">
      <c r="A142" s="30"/>
      <c r="B142" s="26"/>
      <c r="C142" s="27"/>
      <c r="D142" s="28"/>
      <c r="E142" s="27"/>
      <c r="F142" s="26"/>
    </row>
    <row r="143" spans="1:6" ht="13" x14ac:dyDescent="0.3">
      <c r="A143" s="29"/>
      <c r="B143" s="26"/>
      <c r="C143" s="27"/>
      <c r="D143" s="28"/>
      <c r="E143" s="27"/>
      <c r="F143" s="26"/>
    </row>
    <row r="144" spans="1:6" x14ac:dyDescent="0.25">
      <c r="C144" s="1"/>
      <c r="D144" s="11"/>
      <c r="F144" s="53"/>
    </row>
    <row r="145" spans="1:8" x14ac:dyDescent="0.25">
      <c r="C145" s="24"/>
      <c r="D145" s="23"/>
      <c r="E145" s="2"/>
      <c r="F145" s="24"/>
      <c r="G145" s="23"/>
      <c r="H145" s="23"/>
    </row>
    <row r="146" spans="1:8" x14ac:dyDescent="0.25">
      <c r="C146" s="25"/>
      <c r="D146" s="23"/>
      <c r="E146" s="2"/>
      <c r="F146" s="24"/>
      <c r="G146" s="23"/>
      <c r="H146" s="23"/>
    </row>
    <row r="147" spans="1:8" x14ac:dyDescent="0.25">
      <c r="D147" s="3"/>
      <c r="F147" s="53"/>
      <c r="G147" s="3"/>
      <c r="H147" s="3"/>
    </row>
    <row r="148" spans="1:8" ht="13" x14ac:dyDescent="0.3">
      <c r="A148" s="22"/>
      <c r="C148" s="1"/>
      <c r="D148" s="1"/>
      <c r="H148" s="3"/>
    </row>
    <row r="149" spans="1:8" ht="13" x14ac:dyDescent="0.3">
      <c r="A149" s="22"/>
      <c r="C149" s="1"/>
      <c r="D149" s="1"/>
      <c r="H149" s="3"/>
    </row>
    <row r="150" spans="1:8" ht="13" x14ac:dyDescent="0.3">
      <c r="A150" s="22"/>
      <c r="C150" s="1"/>
      <c r="D150" s="1"/>
      <c r="H150" s="3"/>
    </row>
    <row r="151" spans="1:8" ht="13" x14ac:dyDescent="0.3">
      <c r="A151" s="22"/>
      <c r="C151" s="1"/>
      <c r="D151" s="1"/>
      <c r="H151" s="3"/>
    </row>
    <row r="152" spans="1:8" ht="13" x14ac:dyDescent="0.3">
      <c r="A152" s="22"/>
      <c r="C152" s="1"/>
      <c r="D152" s="1"/>
      <c r="H152" s="3"/>
    </row>
    <row r="153" spans="1:8" x14ac:dyDescent="0.25">
      <c r="C153" s="1"/>
      <c r="D153" s="1"/>
      <c r="H153" s="1"/>
    </row>
    <row r="155" spans="1:8" ht="13" x14ac:dyDescent="0.3">
      <c r="A155" s="22"/>
      <c r="C155" s="1"/>
      <c r="D155" s="1"/>
      <c r="F155" s="53"/>
      <c r="G155" s="53"/>
    </row>
    <row r="156" spans="1:8" x14ac:dyDescent="0.25">
      <c r="C156" s="1"/>
      <c r="D156" s="1"/>
      <c r="H156" s="3"/>
    </row>
    <row r="157" spans="1:8" x14ac:dyDescent="0.25">
      <c r="C157" s="1"/>
      <c r="D157" s="1"/>
      <c r="H157" s="3"/>
    </row>
    <row r="158" spans="1:8" x14ac:dyDescent="0.25">
      <c r="C158" s="1"/>
      <c r="D158" s="1"/>
      <c r="H158" s="3"/>
    </row>
    <row r="159" spans="1:8" x14ac:dyDescent="0.25">
      <c r="C159" s="1"/>
      <c r="D159" s="1"/>
      <c r="H159" s="3"/>
    </row>
    <row r="160" spans="1:8" x14ac:dyDescent="0.25">
      <c r="C160" s="1"/>
      <c r="D160" s="1"/>
      <c r="H160" s="3"/>
    </row>
    <row r="161" spans="1:8" x14ac:dyDescent="0.25">
      <c r="C161" s="1"/>
      <c r="D161" s="1"/>
      <c r="H161" s="3"/>
    </row>
    <row r="162" spans="1:8" x14ac:dyDescent="0.25">
      <c r="C162" s="1"/>
      <c r="D162" s="1"/>
      <c r="H162" s="3"/>
    </row>
    <row r="163" spans="1:8" x14ac:dyDescent="0.25">
      <c r="C163" s="1"/>
      <c r="D163" s="1"/>
      <c r="H163" s="3"/>
    </row>
    <row r="164" spans="1:8" x14ac:dyDescent="0.25">
      <c r="C164" s="1"/>
      <c r="D164" s="1"/>
      <c r="H164" s="3"/>
    </row>
    <row r="165" spans="1:8" x14ac:dyDescent="0.25">
      <c r="C165" s="1"/>
      <c r="D165" s="1"/>
      <c r="H165" s="3"/>
    </row>
    <row r="166" spans="1:8" x14ac:dyDescent="0.25">
      <c r="C166" s="1"/>
      <c r="D166" s="1"/>
      <c r="H166" s="3"/>
    </row>
    <row r="167" spans="1:8" x14ac:dyDescent="0.25">
      <c r="C167" s="1"/>
      <c r="D167" s="1"/>
      <c r="H167" s="3"/>
    </row>
    <row r="168" spans="1:8" x14ac:dyDescent="0.25">
      <c r="C168" s="1"/>
      <c r="D168" s="1"/>
      <c r="H168" s="3"/>
    </row>
    <row r="169" spans="1:8" ht="13" x14ac:dyDescent="0.3">
      <c r="A169" s="22"/>
      <c r="C169" s="1"/>
      <c r="D169" s="1"/>
      <c r="H169" s="1"/>
    </row>
    <row r="170" spans="1:8" ht="13" x14ac:dyDescent="0.3">
      <c r="A170" s="10"/>
      <c r="C170" s="1"/>
      <c r="D170" s="11"/>
      <c r="F170" s="11"/>
    </row>
    <row r="171" spans="1:8" ht="13" x14ac:dyDescent="0.3">
      <c r="A171" s="10"/>
      <c r="C171" s="1"/>
      <c r="D171" s="1"/>
      <c r="H171" s="1"/>
    </row>
    <row r="172" spans="1:8" ht="13" x14ac:dyDescent="0.3">
      <c r="B172" s="12"/>
      <c r="C172" s="21"/>
      <c r="D172" s="19"/>
      <c r="E172" s="20"/>
      <c r="F172" s="19"/>
    </row>
    <row r="173" spans="1:8" x14ac:dyDescent="0.25">
      <c r="C173" s="1"/>
      <c r="D173" s="1"/>
      <c r="H173" s="3"/>
    </row>
    <row r="174" spans="1:8" x14ac:dyDescent="0.25">
      <c r="C174" s="1"/>
      <c r="D174" s="1"/>
      <c r="H174" s="3"/>
    </row>
    <row r="175" spans="1:8" x14ac:dyDescent="0.25">
      <c r="C175" s="1"/>
      <c r="D175" s="1"/>
      <c r="H175" s="3"/>
    </row>
    <row r="176" spans="1:8" x14ac:dyDescent="0.25">
      <c r="C176" s="1"/>
      <c r="D176" s="1"/>
      <c r="H176" s="3"/>
    </row>
    <row r="177" spans="2:8" ht="13" x14ac:dyDescent="0.3">
      <c r="C177" s="1"/>
      <c r="D177" s="1"/>
      <c r="F177" s="19"/>
      <c r="G177" s="19"/>
    </row>
    <row r="178" spans="2:8" x14ac:dyDescent="0.25">
      <c r="C178" s="1"/>
      <c r="D178" s="1"/>
      <c r="H178" s="3"/>
    </row>
    <row r="179" spans="2:8" ht="13" x14ac:dyDescent="0.3">
      <c r="B179" s="12"/>
      <c r="C179" s="21"/>
      <c r="D179" s="19"/>
      <c r="E179" s="20"/>
      <c r="F179" s="19"/>
    </row>
    <row r="180" spans="2:8" ht="13" x14ac:dyDescent="0.3">
      <c r="B180" s="12"/>
      <c r="C180" s="21"/>
      <c r="D180" s="19"/>
      <c r="E180" s="20"/>
      <c r="F180" s="19"/>
    </row>
    <row r="181" spans="2:8" ht="13" x14ac:dyDescent="0.3">
      <c r="B181" s="12"/>
      <c r="C181" s="21"/>
      <c r="D181" s="19"/>
      <c r="E181" s="20"/>
      <c r="F181" s="19"/>
    </row>
    <row r="182" spans="2:8" ht="13" x14ac:dyDescent="0.3">
      <c r="B182" s="12"/>
      <c r="C182" s="21"/>
      <c r="D182" s="19"/>
      <c r="E182" s="20"/>
      <c r="F182" s="19"/>
    </row>
    <row r="183" spans="2:8" ht="13" x14ac:dyDescent="0.3">
      <c r="B183" s="12"/>
      <c r="C183" s="21"/>
      <c r="D183" s="19"/>
      <c r="E183" s="20"/>
      <c r="F183" s="19"/>
    </row>
    <row r="184" spans="2:8" x14ac:dyDescent="0.25">
      <c r="C184" s="18"/>
      <c r="F184" s="11"/>
    </row>
    <row r="185" spans="2:8" x14ac:dyDescent="0.25">
      <c r="C185" s="1"/>
      <c r="D185" s="11"/>
      <c r="F185" s="11"/>
    </row>
    <row r="186" spans="2:8" x14ac:dyDescent="0.25">
      <c r="C186" s="1"/>
      <c r="D186" s="11"/>
      <c r="F186" s="11"/>
    </row>
    <row r="187" spans="2:8" x14ac:dyDescent="0.25">
      <c r="C187" s="1"/>
      <c r="D187" s="11"/>
      <c r="F187" s="11"/>
    </row>
    <row r="188" spans="2:8" x14ac:dyDescent="0.25">
      <c r="C188" s="1"/>
      <c r="D188" s="11"/>
      <c r="F188" s="11"/>
    </row>
    <row r="190" spans="2:8" x14ac:dyDescent="0.25">
      <c r="C190" s="17"/>
    </row>
    <row r="191" spans="2:8" x14ac:dyDescent="0.25">
      <c r="C191" s="17"/>
    </row>
    <row r="192" spans="2:8" x14ac:dyDescent="0.25">
      <c r="C192" s="17"/>
    </row>
    <row r="193" spans="2:3" x14ac:dyDescent="0.25">
      <c r="C193" s="17"/>
    </row>
    <row r="194" spans="2:3" x14ac:dyDescent="0.25">
      <c r="C194" s="17"/>
    </row>
    <row r="196" spans="2:3" x14ac:dyDescent="0.25">
      <c r="C196" s="17"/>
    </row>
    <row r="197" spans="2:3" x14ac:dyDescent="0.25">
      <c r="C197" s="17"/>
    </row>
    <row r="198" spans="2:3" x14ac:dyDescent="0.25">
      <c r="B198" s="16"/>
      <c r="C198" s="15"/>
    </row>
    <row r="201" spans="2:3" x14ac:dyDescent="0.25">
      <c r="B201" s="14"/>
      <c r="C201" s="1"/>
    </row>
    <row r="202" spans="2:3" x14ac:dyDescent="0.25">
      <c r="C202" s="1"/>
    </row>
    <row r="203" spans="2:3" x14ac:dyDescent="0.25">
      <c r="C203" s="1"/>
    </row>
    <row r="215" spans="1:6" ht="13" x14ac:dyDescent="0.3">
      <c r="A215" s="1"/>
      <c r="B215" s="12"/>
      <c r="C215" s="1"/>
      <c r="D215" s="11"/>
      <c r="F215" s="11"/>
    </row>
    <row r="216" spans="1:6" x14ac:dyDescent="0.25">
      <c r="A216" s="1"/>
      <c r="B216" s="13"/>
      <c r="C216" s="1"/>
      <c r="D216" s="11"/>
      <c r="F216" s="11"/>
    </row>
    <row r="217" spans="1:6" x14ac:dyDescent="0.25">
      <c r="A217" s="1"/>
      <c r="B217" s="13"/>
      <c r="C217" s="1"/>
      <c r="D217" s="11"/>
      <c r="F217" s="11"/>
    </row>
    <row r="218" spans="1:6" x14ac:dyDescent="0.25">
      <c r="A218" s="1"/>
      <c r="B218" s="13"/>
      <c r="C218" s="1"/>
      <c r="D218" s="11"/>
      <c r="F218" s="11"/>
    </row>
    <row r="219" spans="1:6" x14ac:dyDescent="0.25">
      <c r="A219" s="1"/>
      <c r="B219" s="13"/>
      <c r="C219" s="1"/>
      <c r="D219" s="11"/>
      <c r="F219" s="11"/>
    </row>
    <row r="220" spans="1:6" x14ac:dyDescent="0.25">
      <c r="A220" s="1"/>
      <c r="B220" s="13"/>
      <c r="C220" s="1"/>
      <c r="D220" s="11"/>
      <c r="F220" s="11"/>
    </row>
    <row r="221" spans="1:6" x14ac:dyDescent="0.25">
      <c r="A221" s="1"/>
      <c r="B221" s="13"/>
      <c r="C221" s="1"/>
      <c r="D221" s="11"/>
      <c r="F221" s="11"/>
    </row>
    <row r="222" spans="1:6" x14ac:dyDescent="0.25">
      <c r="A222" s="1"/>
      <c r="B222" s="13"/>
      <c r="C222" s="1"/>
      <c r="D222" s="11"/>
      <c r="F222" s="11"/>
    </row>
    <row r="223" spans="1:6" x14ac:dyDescent="0.25">
      <c r="A223" s="1"/>
      <c r="B223" s="13"/>
      <c r="C223" s="1"/>
      <c r="D223" s="11"/>
      <c r="F223" s="11"/>
    </row>
    <row r="224" spans="1:6" x14ac:dyDescent="0.25">
      <c r="A224" s="1"/>
      <c r="B224" s="13"/>
      <c r="C224" s="1"/>
      <c r="D224" s="11"/>
      <c r="F224" s="11"/>
    </row>
    <row r="225" spans="1:6" x14ac:dyDescent="0.25">
      <c r="A225" s="1"/>
      <c r="B225" s="13"/>
      <c r="C225" s="1"/>
      <c r="D225" s="11"/>
      <c r="F225" s="11"/>
    </row>
    <row r="226" spans="1:6" x14ac:dyDescent="0.25">
      <c r="A226" s="1"/>
      <c r="B226" s="13"/>
      <c r="C226" s="1"/>
      <c r="D226" s="11"/>
      <c r="F226" s="11"/>
    </row>
    <row r="227" spans="1:6" x14ac:dyDescent="0.25">
      <c r="A227" s="1"/>
      <c r="B227" s="13"/>
      <c r="C227" s="1"/>
      <c r="D227" s="11"/>
      <c r="F227" s="11"/>
    </row>
    <row r="228" spans="1:6" x14ac:dyDescent="0.25">
      <c r="A228" s="1"/>
      <c r="B228" s="13"/>
      <c r="C228" s="1"/>
      <c r="D228" s="11"/>
      <c r="F228" s="11"/>
    </row>
    <row r="229" spans="1:6" x14ac:dyDescent="0.25">
      <c r="A229" s="1"/>
      <c r="B229" s="13"/>
      <c r="C229" s="1"/>
      <c r="D229" s="11"/>
      <c r="F229" s="11"/>
    </row>
    <row r="230" spans="1:6" x14ac:dyDescent="0.25">
      <c r="A230" s="1"/>
      <c r="B230" s="13"/>
      <c r="C230" s="1"/>
      <c r="D230" s="11"/>
      <c r="F230" s="11"/>
    </row>
    <row r="231" spans="1:6" x14ac:dyDescent="0.25">
      <c r="A231" s="1"/>
      <c r="B231" s="13"/>
      <c r="C231" s="1"/>
      <c r="D231" s="11"/>
      <c r="F231" s="11"/>
    </row>
    <row r="232" spans="1:6" x14ac:dyDescent="0.25">
      <c r="A232" s="1"/>
      <c r="B232" s="13"/>
      <c r="C232" s="1"/>
      <c r="D232" s="11"/>
      <c r="F232" s="11"/>
    </row>
    <row r="233" spans="1:6" x14ac:dyDescent="0.25">
      <c r="A233" s="1"/>
      <c r="B233" s="13"/>
      <c r="C233" s="1"/>
      <c r="D233" s="11"/>
      <c r="F233" s="11"/>
    </row>
    <row r="234" spans="1:6" x14ac:dyDescent="0.25">
      <c r="A234" s="1"/>
      <c r="B234" s="13"/>
      <c r="C234" s="1"/>
      <c r="D234" s="11"/>
      <c r="F234" s="11"/>
    </row>
    <row r="235" spans="1:6" x14ac:dyDescent="0.25">
      <c r="A235" s="1"/>
      <c r="B235" s="13"/>
      <c r="C235" s="1"/>
      <c r="D235" s="11"/>
      <c r="F235" s="11"/>
    </row>
    <row r="236" spans="1:6" x14ac:dyDescent="0.25">
      <c r="A236" s="1"/>
      <c r="B236" s="13"/>
      <c r="C236" s="1"/>
      <c r="D236" s="11"/>
      <c r="F236" s="11"/>
    </row>
    <row r="237" spans="1:6" x14ac:dyDescent="0.25">
      <c r="A237" s="1"/>
      <c r="B237" s="13"/>
      <c r="C237" s="1"/>
      <c r="D237" s="11"/>
      <c r="F237" s="11"/>
    </row>
    <row r="238" spans="1:6" x14ac:dyDescent="0.25">
      <c r="A238" s="1"/>
      <c r="B238" s="13"/>
      <c r="C238" s="1"/>
      <c r="D238" s="11"/>
      <c r="F238" s="11"/>
    </row>
    <row r="239" spans="1:6" x14ac:dyDescent="0.25">
      <c r="A239" s="1"/>
      <c r="B239" s="13"/>
      <c r="C239" s="1"/>
      <c r="D239" s="11"/>
      <c r="F239" s="11"/>
    </row>
    <row r="240" spans="1:6" x14ac:dyDescent="0.25">
      <c r="A240" s="1"/>
      <c r="B240" s="13"/>
      <c r="C240" s="1"/>
      <c r="D240" s="11"/>
      <c r="F240" s="11"/>
    </row>
    <row r="241" spans="1:6" x14ac:dyDescent="0.25">
      <c r="A241" s="1"/>
      <c r="B241" s="13"/>
      <c r="C241" s="1"/>
      <c r="D241" s="11"/>
      <c r="F241" s="11"/>
    </row>
    <row r="242" spans="1:6" x14ac:dyDescent="0.25">
      <c r="A242" s="1"/>
      <c r="B242" s="13"/>
      <c r="C242" s="1"/>
      <c r="D242" s="11"/>
      <c r="F242" s="11"/>
    </row>
    <row r="243" spans="1:6" x14ac:dyDescent="0.25">
      <c r="A243" s="1"/>
      <c r="B243" s="13"/>
      <c r="C243" s="1"/>
      <c r="D243" s="11"/>
      <c r="F243" s="11"/>
    </row>
    <row r="244" spans="1:6" x14ac:dyDescent="0.25">
      <c r="A244" s="1"/>
      <c r="B244" s="13"/>
      <c r="C244" s="1"/>
      <c r="D244" s="11"/>
      <c r="F244" s="11"/>
    </row>
    <row r="245" spans="1:6" x14ac:dyDescent="0.25">
      <c r="A245" s="1"/>
      <c r="B245" s="13"/>
      <c r="C245" s="1"/>
      <c r="D245" s="11"/>
      <c r="F245" s="11"/>
    </row>
    <row r="246" spans="1:6" x14ac:dyDescent="0.25">
      <c r="A246" s="1"/>
      <c r="C246" s="1"/>
      <c r="D246" s="11"/>
      <c r="F246" s="11"/>
    </row>
    <row r="247" spans="1:6" ht="13" x14ac:dyDescent="0.3">
      <c r="A247" s="1"/>
      <c r="B247" s="12"/>
      <c r="C247" s="1"/>
      <c r="D247" s="11"/>
      <c r="F247" s="11"/>
    </row>
    <row r="248" spans="1:6" x14ac:dyDescent="0.25">
      <c r="C248" s="1"/>
    </row>
  </sheetData>
  <conditionalFormatting sqref="C58">
    <cfRule type="expression" dxfId="5" priority="12">
      <formula>$K58=0</formula>
    </cfRule>
  </conditionalFormatting>
  <conditionalFormatting sqref="C56:O56">
    <cfRule type="expression" dxfId="4" priority="1">
      <formula>$Q108=0</formula>
    </cfRule>
    <cfRule type="expression" dxfId="3" priority="2">
      <formula>$R56=-1</formula>
    </cfRule>
    <cfRule type="expression" dxfId="2" priority="3">
      <formula>$Q56&gt;=1</formula>
    </cfRule>
    <cfRule type="expression" dxfId="1" priority="4">
      <formula>$W56="Dec"</formula>
    </cfRule>
    <cfRule type="expression" dxfId="0" priority="5">
      <formula>$W56="%"</formula>
    </cfRule>
  </conditionalFormatting>
  <pageMargins left="0.7" right="0.7" top="0.75" bottom="0.75" header="0.3" footer="0.3"/>
  <pageSetup scale="53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P&amp;L</vt:lpstr>
      <vt:lpstr>'P&amp;L'!Print_Area</vt:lpstr>
    </vt:vector>
  </TitlesOfParts>
  <Manager/>
  <Company>Lindsey Management Co.,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Joe Nelson</dc:creator>
  <cp:keywords/>
  <dc:description/>
  <cp:lastModifiedBy>Louis Petauton</cp:lastModifiedBy>
  <cp:lastPrinted>2022-05-27T19:46:29Z</cp:lastPrinted>
  <dcterms:created xsi:type="dcterms:W3CDTF">2016-12-13T20:15:22Z</dcterms:created>
  <dcterms:modified xsi:type="dcterms:W3CDTF">2024-09-27T19:23:58Z</dcterms:modified>
  <cp:category/>
  <cp:contentStatus/>
</cp:coreProperties>
</file>