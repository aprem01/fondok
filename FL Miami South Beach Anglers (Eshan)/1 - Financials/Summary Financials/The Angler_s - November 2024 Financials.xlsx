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\Debt Management\Compliance\Monthly Compliance\2024\11 - Oct 2024\"/>
    </mc:Choice>
  </mc:AlternateContent>
  <xr:revisionPtr revIDLastSave="0" documentId="13_ncr:1_{00DD307E-A66E-4EB9-A648-1B4F5BAE61D7}" xr6:coauthVersionLast="47" xr6:coauthVersionMax="47" xr10:uidLastSave="{00000000-0000-0000-0000-000000000000}"/>
  <bookViews>
    <workbookView xWindow="-120" yWindow="-120" windowWidth="29040" windowHeight="15720" activeTab="1" xr2:uid="{4CFB73EB-F29A-4634-B675-9D3A3C3B4851}"/>
  </bookViews>
  <sheets>
    <sheet name="P&amp;L" sheetId="2" r:id="rId1"/>
    <sheet name="T12" sheetId="3" r:id="rId2"/>
    <sheet name="FORECAST" sheetId="4" r:id="rId3"/>
  </sheets>
  <definedNames>
    <definedName name="CY">#REF!</definedName>
    <definedName name="Month1">#REF!</definedName>
    <definedName name="_xlnm.Print_Area" localSheetId="2">FORECAST!$A$1:$O$57</definedName>
    <definedName name="_xlnm.Print_Area" localSheetId="0">'P&amp;L'!$A$1:$T$57</definedName>
    <definedName name="_xlnm.Print_Area" localSheetId="1">'T12'!$A$1:$O$57</definedName>
    <definedName name="Room_Revenue_Factor">#REF!</definedName>
    <definedName name="RPTDATE">#REF!</definedName>
    <definedName name="RPTMONTH">#REF!</definedName>
    <definedName name="wrn.Financial._.Statements." localSheetId="2" hidden="1">{#N/A,#N/A,FALSE,"BS";#N/A,#N/A,FALSE,"IS";#N/A,#N/A,FALSE,"CF";#N/A,#N/A,FALSE,"EXP";#N/A,#N/A,FALSE,"FURN";#N/A,#N/A,FALSE,"MANNOI"}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4" l="1"/>
  <c r="G49" i="4"/>
  <c r="J49" i="4"/>
  <c r="H49" i="4"/>
  <c r="O48" i="4"/>
  <c r="K49" i="4"/>
  <c r="O47" i="4"/>
  <c r="L49" i="4"/>
  <c r="M49" i="4"/>
  <c r="O45" i="4"/>
  <c r="N49" i="4"/>
  <c r="F49" i="4"/>
  <c r="E49" i="4"/>
  <c r="D49" i="4"/>
  <c r="C49" i="4"/>
  <c r="O41" i="4"/>
  <c r="F37" i="4"/>
  <c r="D37" i="4"/>
  <c r="G37" i="4"/>
  <c r="E37" i="4"/>
  <c r="O36" i="4"/>
  <c r="H37" i="4"/>
  <c r="O35" i="4"/>
  <c r="I37" i="4"/>
  <c r="O34" i="4"/>
  <c r="J37" i="4"/>
  <c r="O33" i="4"/>
  <c r="N37" i="4"/>
  <c r="M37" i="4"/>
  <c r="L37" i="4"/>
  <c r="K37" i="4"/>
  <c r="C37" i="4"/>
  <c r="M27" i="4"/>
  <c r="K27" i="4"/>
  <c r="N27" i="4"/>
  <c r="L27" i="4"/>
  <c r="O26" i="4"/>
  <c r="C27" i="4"/>
  <c r="J27" i="4"/>
  <c r="I27" i="4"/>
  <c r="H27" i="4"/>
  <c r="G27" i="4"/>
  <c r="F27" i="4"/>
  <c r="E27" i="4"/>
  <c r="D27" i="4"/>
  <c r="O24" i="4"/>
  <c r="E21" i="4"/>
  <c r="E29" i="4" s="1"/>
  <c r="E39" i="4" s="1"/>
  <c r="E42" i="4" s="1"/>
  <c r="C21" i="4"/>
  <c r="C53" i="4" s="1"/>
  <c r="F21" i="4"/>
  <c r="D21" i="4"/>
  <c r="O20" i="4"/>
  <c r="G21" i="4"/>
  <c r="O19" i="4"/>
  <c r="H21" i="4"/>
  <c r="O18" i="4"/>
  <c r="N21" i="4"/>
  <c r="M21" i="4"/>
  <c r="L21" i="4"/>
  <c r="K21" i="4"/>
  <c r="J21" i="4"/>
  <c r="I21" i="4"/>
  <c r="O17" i="4"/>
  <c r="O10" i="4"/>
  <c r="O11" i="4" s="1"/>
  <c r="O9" i="4"/>
  <c r="O54" i="3"/>
  <c r="O53" i="3"/>
  <c r="O51" i="3"/>
  <c r="O49" i="3"/>
  <c r="O48" i="3"/>
  <c r="O47" i="3"/>
  <c r="O46" i="3"/>
  <c r="O45" i="3"/>
  <c r="O44" i="3"/>
  <c r="O42" i="3"/>
  <c r="O41" i="3"/>
  <c r="O39" i="3"/>
  <c r="O37" i="3"/>
  <c r="O36" i="3"/>
  <c r="O35" i="3"/>
  <c r="O34" i="3"/>
  <c r="O33" i="3"/>
  <c r="O32" i="3"/>
  <c r="O29" i="3"/>
  <c r="O27" i="3"/>
  <c r="O26" i="3"/>
  <c r="O25" i="3"/>
  <c r="O24" i="3"/>
  <c r="O21" i="3"/>
  <c r="O20" i="3"/>
  <c r="O19" i="3"/>
  <c r="O18" i="3"/>
  <c r="O17" i="3"/>
  <c r="O10" i="3"/>
  <c r="O9" i="3"/>
  <c r="J53" i="2"/>
  <c r="O48" i="2"/>
  <c r="J48" i="2"/>
  <c r="P47" i="2"/>
  <c r="S46" i="2"/>
  <c r="J46" i="2"/>
  <c r="G46" i="2"/>
  <c r="J45" i="2"/>
  <c r="Q49" i="2"/>
  <c r="P44" i="2"/>
  <c r="E49" i="2"/>
  <c r="O41" i="2"/>
  <c r="J41" i="2"/>
  <c r="J36" i="2"/>
  <c r="P35" i="2"/>
  <c r="S34" i="2"/>
  <c r="G34" i="2"/>
  <c r="J33" i="2"/>
  <c r="P32" i="2"/>
  <c r="O32" i="2"/>
  <c r="E37" i="2"/>
  <c r="L27" i="2"/>
  <c r="P26" i="2"/>
  <c r="O26" i="2"/>
  <c r="M26" i="2"/>
  <c r="I26" i="2"/>
  <c r="F26" i="2"/>
  <c r="D26" i="2"/>
  <c r="O25" i="2"/>
  <c r="S25" i="2"/>
  <c r="G25" i="2"/>
  <c r="F25" i="2"/>
  <c r="D25" i="2"/>
  <c r="R24" i="2"/>
  <c r="O24" i="2"/>
  <c r="M24" i="2"/>
  <c r="F24" i="2"/>
  <c r="J24" i="2"/>
  <c r="C21" i="2"/>
  <c r="O20" i="2"/>
  <c r="S20" i="2"/>
  <c r="G20" i="2"/>
  <c r="J19" i="2"/>
  <c r="Q21" i="2"/>
  <c r="P18" i="2"/>
  <c r="D18" i="2"/>
  <c r="N21" i="2"/>
  <c r="S17" i="2"/>
  <c r="G17" i="2"/>
  <c r="N12" i="2"/>
  <c r="E12" i="2"/>
  <c r="C12" i="2"/>
  <c r="H11" i="2"/>
  <c r="E11" i="2"/>
  <c r="E13" i="2" s="1"/>
  <c r="C11" i="2"/>
  <c r="C13" i="2" s="1"/>
  <c r="P10" i="2"/>
  <c r="J10" i="2"/>
  <c r="S9" i="2"/>
  <c r="N11" i="2"/>
  <c r="N13" i="2" s="1"/>
  <c r="G9" i="2"/>
  <c r="J9" i="2"/>
  <c r="K53" i="4" l="1"/>
  <c r="K29" i="4"/>
  <c r="K39" i="4" s="1"/>
  <c r="K42" i="4" s="1"/>
  <c r="K51" i="4" s="1"/>
  <c r="K54" i="4" s="1"/>
  <c r="L29" i="4"/>
  <c r="L39" i="4" s="1"/>
  <c r="L42" i="4" s="1"/>
  <c r="L51" i="4" s="1"/>
  <c r="L54" i="4" s="1"/>
  <c r="L53" i="4"/>
  <c r="M53" i="4"/>
  <c r="M29" i="4"/>
  <c r="M39" i="4" s="1"/>
  <c r="M42" i="4" s="1"/>
  <c r="M51" i="4" s="1"/>
  <c r="M54" i="4" s="1"/>
  <c r="D53" i="4"/>
  <c r="O53" i="4" s="1"/>
  <c r="D29" i="4"/>
  <c r="D39" i="4" s="1"/>
  <c r="D42" i="4" s="1"/>
  <c r="D51" i="4" s="1"/>
  <c r="D54" i="4" s="1"/>
  <c r="F29" i="4"/>
  <c r="F39" i="4" s="1"/>
  <c r="F42" i="4" s="1"/>
  <c r="F51" i="4" s="1"/>
  <c r="F53" i="4"/>
  <c r="G29" i="4"/>
  <c r="G39" i="4" s="1"/>
  <c r="G42" i="4" s="1"/>
  <c r="G51" i="4" s="1"/>
  <c r="G54" i="4" s="1"/>
  <c r="G53" i="4"/>
  <c r="O37" i="4"/>
  <c r="H29" i="4"/>
  <c r="H39" i="4" s="1"/>
  <c r="H42" i="4" s="1"/>
  <c r="H51" i="4" s="1"/>
  <c r="H54" i="4" s="1"/>
  <c r="H53" i="4"/>
  <c r="N29" i="4"/>
  <c r="N39" i="4" s="1"/>
  <c r="N42" i="4" s="1"/>
  <c r="N51" i="4" s="1"/>
  <c r="N53" i="4"/>
  <c r="O12" i="4"/>
  <c r="O13" i="4" s="1"/>
  <c r="E51" i="4"/>
  <c r="E54" i="4" s="1"/>
  <c r="O27" i="4"/>
  <c r="C29" i="4"/>
  <c r="I29" i="4"/>
  <c r="I39" i="4" s="1"/>
  <c r="I42" i="4" s="1"/>
  <c r="I51" i="4" s="1"/>
  <c r="I54" i="4" s="1"/>
  <c r="I53" i="4"/>
  <c r="J53" i="4"/>
  <c r="J29" i="4"/>
  <c r="J39" i="4" s="1"/>
  <c r="J42" i="4" s="1"/>
  <c r="J51" i="4" s="1"/>
  <c r="J54" i="4" s="1"/>
  <c r="O21" i="4"/>
  <c r="E53" i="4"/>
  <c r="O44" i="4"/>
  <c r="O46" i="4"/>
  <c r="O32" i="4"/>
  <c r="O25" i="4"/>
  <c r="O11" i="3"/>
  <c r="O13" i="3" s="1"/>
  <c r="O12" i="3"/>
  <c r="R21" i="2"/>
  <c r="Q11" i="2"/>
  <c r="Q13" i="2" s="1"/>
  <c r="Q12" i="2"/>
  <c r="R46" i="2"/>
  <c r="J13" i="2"/>
  <c r="J21" i="2"/>
  <c r="G21" i="2"/>
  <c r="R41" i="2"/>
  <c r="P36" i="2"/>
  <c r="S36" i="2"/>
  <c r="P9" i="2"/>
  <c r="G35" i="2"/>
  <c r="D35" i="2"/>
  <c r="J35" i="2"/>
  <c r="R36" i="2"/>
  <c r="F49" i="2"/>
  <c r="D46" i="2"/>
  <c r="R35" i="2"/>
  <c r="S35" i="2"/>
  <c r="S10" i="2"/>
  <c r="J47" i="2"/>
  <c r="G47" i="2"/>
  <c r="D47" i="2"/>
  <c r="H37" i="2"/>
  <c r="J34" i="2"/>
  <c r="F47" i="2"/>
  <c r="I19" i="2"/>
  <c r="I47" i="2"/>
  <c r="R26" i="2"/>
  <c r="S26" i="2"/>
  <c r="G12" i="2"/>
  <c r="H12" i="2"/>
  <c r="H13" i="2" s="1"/>
  <c r="J17" i="2"/>
  <c r="H21" i="2"/>
  <c r="I48" i="2" s="1"/>
  <c r="M32" i="2"/>
  <c r="F45" i="2"/>
  <c r="R20" i="2"/>
  <c r="O21" i="2"/>
  <c r="J25" i="2"/>
  <c r="I25" i="2"/>
  <c r="R34" i="2"/>
  <c r="R45" i="2"/>
  <c r="F33" i="2"/>
  <c r="I33" i="2"/>
  <c r="R48" i="2"/>
  <c r="R17" i="2"/>
  <c r="D21" i="2"/>
  <c r="O34" i="2"/>
  <c r="D44" i="2"/>
  <c r="C49" i="2"/>
  <c r="J44" i="2"/>
  <c r="G44" i="2"/>
  <c r="R19" i="2"/>
  <c r="I44" i="2"/>
  <c r="R47" i="2"/>
  <c r="G13" i="2"/>
  <c r="D20" i="2"/>
  <c r="R25" i="2"/>
  <c r="M44" i="2"/>
  <c r="C37" i="2"/>
  <c r="G32" i="2"/>
  <c r="J32" i="2"/>
  <c r="M35" i="2"/>
  <c r="O44" i="2"/>
  <c r="O53" i="2"/>
  <c r="D17" i="2"/>
  <c r="O18" i="2"/>
  <c r="P24" i="2"/>
  <c r="S24" i="2"/>
  <c r="D32" i="2"/>
  <c r="R33" i="2"/>
  <c r="O35" i="2"/>
  <c r="R53" i="2"/>
  <c r="S18" i="2"/>
  <c r="R18" i="2"/>
  <c r="F34" i="2"/>
  <c r="M41" i="2"/>
  <c r="S41" i="2"/>
  <c r="P41" i="2"/>
  <c r="L49" i="2"/>
  <c r="M45" i="2"/>
  <c r="S45" i="2"/>
  <c r="P45" i="2"/>
  <c r="S19" i="2"/>
  <c r="P19" i="2"/>
  <c r="Q37" i="2"/>
  <c r="R37" i="2" s="1"/>
  <c r="O45" i="2"/>
  <c r="G18" i="2"/>
  <c r="J18" i="2"/>
  <c r="O36" i="2"/>
  <c r="O47" i="2"/>
  <c r="O19" i="2"/>
  <c r="M27" i="2"/>
  <c r="I53" i="2"/>
  <c r="I18" i="2"/>
  <c r="M33" i="2"/>
  <c r="P33" i="2"/>
  <c r="S33" i="2"/>
  <c r="L37" i="2"/>
  <c r="M53" i="2"/>
  <c r="S53" i="2"/>
  <c r="P53" i="2"/>
  <c r="M18" i="2"/>
  <c r="I24" i="2"/>
  <c r="J26" i="2"/>
  <c r="G26" i="2"/>
  <c r="O33" i="2"/>
  <c r="F48" i="2"/>
  <c r="F17" i="2"/>
  <c r="J20" i="2"/>
  <c r="D34" i="2"/>
  <c r="R49" i="2"/>
  <c r="O46" i="2"/>
  <c r="P48" i="2"/>
  <c r="M48" i="2"/>
  <c r="S48" i="2"/>
  <c r="Q27" i="2"/>
  <c r="R27" i="2" s="1"/>
  <c r="M46" i="2"/>
  <c r="D48" i="2"/>
  <c r="D53" i="2"/>
  <c r="G10" i="2"/>
  <c r="J11" i="2"/>
  <c r="E27" i="2"/>
  <c r="N37" i="2"/>
  <c r="O37" i="2" s="1"/>
  <c r="N49" i="2"/>
  <c r="O49" i="2" s="1"/>
  <c r="E21" i="2"/>
  <c r="N27" i="2"/>
  <c r="O27" i="2" s="1"/>
  <c r="R44" i="2"/>
  <c r="I46" i="2"/>
  <c r="G11" i="2"/>
  <c r="D36" i="2"/>
  <c r="D45" i="2"/>
  <c r="L11" i="2"/>
  <c r="O17" i="2"/>
  <c r="H49" i="2"/>
  <c r="S44" i="2"/>
  <c r="S47" i="2"/>
  <c r="C27" i="2"/>
  <c r="L12" i="2"/>
  <c r="M17" i="2"/>
  <c r="D24" i="2"/>
  <c r="L21" i="2"/>
  <c r="M19" i="2" s="1"/>
  <c r="G36" i="2"/>
  <c r="G41" i="2"/>
  <c r="G45" i="2"/>
  <c r="P46" i="2"/>
  <c r="G48" i="2"/>
  <c r="G53" i="2"/>
  <c r="R32" i="2"/>
  <c r="S32" i="2"/>
  <c r="F44" i="2"/>
  <c r="M20" i="2"/>
  <c r="M25" i="2"/>
  <c r="P25" i="2"/>
  <c r="P34" i="2"/>
  <c r="H27" i="2"/>
  <c r="P17" i="2"/>
  <c r="G19" i="2"/>
  <c r="P20" i="2"/>
  <c r="G24" i="2"/>
  <c r="G33" i="2"/>
  <c r="D19" i="2"/>
  <c r="D33" i="2"/>
  <c r="D41" i="2"/>
  <c r="O29" i="4" l="1"/>
  <c r="C39" i="4"/>
  <c r="N54" i="4"/>
  <c r="O49" i="4"/>
  <c r="F54" i="4"/>
  <c r="S12" i="2"/>
  <c r="P12" i="2"/>
  <c r="J27" i="2"/>
  <c r="G27" i="2"/>
  <c r="D27" i="2"/>
  <c r="C29" i="2"/>
  <c r="E29" i="2"/>
  <c r="F21" i="2"/>
  <c r="F53" i="2"/>
  <c r="F46" i="2"/>
  <c r="F35" i="2"/>
  <c r="F36" i="2"/>
  <c r="F32" i="2"/>
  <c r="F18" i="2"/>
  <c r="I49" i="2"/>
  <c r="I37" i="2"/>
  <c r="I21" i="2"/>
  <c r="H29" i="2"/>
  <c r="F27" i="2"/>
  <c r="F41" i="2"/>
  <c r="D37" i="2"/>
  <c r="J37" i="2"/>
  <c r="G37" i="2"/>
  <c r="I41" i="2"/>
  <c r="F19" i="2"/>
  <c r="I34" i="2"/>
  <c r="I27" i="2"/>
  <c r="S11" i="2"/>
  <c r="L13" i="2"/>
  <c r="P11" i="2"/>
  <c r="F20" i="2"/>
  <c r="D49" i="2"/>
  <c r="J49" i="2"/>
  <c r="G49" i="2"/>
  <c r="I32" i="2"/>
  <c r="I36" i="2"/>
  <c r="F37" i="2"/>
  <c r="S21" i="2"/>
  <c r="M21" i="2"/>
  <c r="L29" i="2"/>
  <c r="P21" i="2"/>
  <c r="S37" i="2"/>
  <c r="M37" i="2"/>
  <c r="P37" i="2"/>
  <c r="S27" i="2"/>
  <c r="I45" i="2"/>
  <c r="I35" i="2"/>
  <c r="M47" i="2"/>
  <c r="N29" i="2"/>
  <c r="J12" i="2"/>
  <c r="M36" i="2"/>
  <c r="I17" i="2"/>
  <c r="S49" i="2"/>
  <c r="P49" i="2"/>
  <c r="M49" i="2"/>
  <c r="M34" i="2"/>
  <c r="I20" i="2"/>
  <c r="P27" i="2"/>
  <c r="Q29" i="2"/>
  <c r="C42" i="4" l="1"/>
  <c r="O39" i="4"/>
  <c r="R29" i="2"/>
  <c r="Q39" i="2"/>
  <c r="F29" i="2"/>
  <c r="E39" i="2"/>
  <c r="I29" i="2"/>
  <c r="H39" i="2"/>
  <c r="J29" i="2"/>
  <c r="D29" i="2"/>
  <c r="G29" i="2"/>
  <c r="C39" i="2"/>
  <c r="S13" i="2"/>
  <c r="P13" i="2"/>
  <c r="S29" i="2"/>
  <c r="P29" i="2"/>
  <c r="M29" i="2"/>
  <c r="L39" i="2"/>
  <c r="N39" i="2"/>
  <c r="O29" i="2"/>
  <c r="C51" i="4" l="1"/>
  <c r="O42" i="4"/>
  <c r="C42" i="2"/>
  <c r="G39" i="2"/>
  <c r="J39" i="2"/>
  <c r="D39" i="2"/>
  <c r="H42" i="2"/>
  <c r="I39" i="2"/>
  <c r="O39" i="2"/>
  <c r="N42" i="2"/>
  <c r="M39" i="2"/>
  <c r="L42" i="2"/>
  <c r="S39" i="2"/>
  <c r="P39" i="2"/>
  <c r="E42" i="2"/>
  <c r="F39" i="2"/>
  <c r="Q42" i="2"/>
  <c r="R39" i="2"/>
  <c r="C54" i="4" l="1"/>
  <c r="O54" i="4" s="1"/>
  <c r="O51" i="4"/>
  <c r="S42" i="2"/>
  <c r="P42" i="2"/>
  <c r="M42" i="2"/>
  <c r="L51" i="2"/>
  <c r="N51" i="2"/>
  <c r="O42" i="2"/>
  <c r="I42" i="2"/>
  <c r="H51" i="2"/>
  <c r="R42" i="2"/>
  <c r="Q51" i="2"/>
  <c r="F42" i="2"/>
  <c r="E51" i="2"/>
  <c r="D42" i="2"/>
  <c r="J42" i="2"/>
  <c r="G42" i="2"/>
  <c r="C51" i="2"/>
  <c r="O51" i="2" l="1"/>
  <c r="N54" i="2"/>
  <c r="O54" i="2" s="1"/>
  <c r="Q54" i="2"/>
  <c r="R54" i="2" s="1"/>
  <c r="R51" i="2"/>
  <c r="S51" i="2"/>
  <c r="M51" i="2"/>
  <c r="L54" i="2"/>
  <c r="P51" i="2"/>
  <c r="E54" i="2"/>
  <c r="F54" i="2" s="1"/>
  <c r="F51" i="2"/>
  <c r="H54" i="2"/>
  <c r="I54" i="2" s="1"/>
  <c r="I51" i="2"/>
  <c r="G51" i="2"/>
  <c r="C54" i="2"/>
  <c r="D51" i="2"/>
  <c r="J51" i="2"/>
  <c r="S54" i="2" l="1"/>
  <c r="P54" i="2"/>
  <c r="M54" i="2"/>
  <c r="D54" i="2"/>
  <c r="J54" i="2"/>
  <c r="G54" i="2"/>
</calcChain>
</file>

<file path=xl/sharedStrings.xml><?xml version="1.0" encoding="utf-8"?>
<sst xmlns="http://schemas.openxmlformats.org/spreadsheetml/2006/main" count="197" uniqueCount="52">
  <si>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</si>
  <si>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</si>
  <si>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</si>
  <si>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</si>
  <si>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</si>
  <si>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</si>
  <si>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</si>
  <si>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</si>
  <si>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</si>
  <si>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</si>
  <si>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</si>
  <si>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</si>
  <si>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</si>
  <si>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</si>
  <si>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</si>
  <si>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</si>
  <si>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</si>
  <si>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</si>
  <si>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</si>
  <si>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</si>
  <si>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</si>
  <si>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</si>
  <si>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</si>
  <si>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</si>
  <si>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</si>
  <si>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</si>
  <si>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</si>
  <si>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</si>
  <si>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</si>
  <si>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</si>
  <si>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</si>
  <si>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</si>
  <si>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</si>
  <si>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</si>
  <si>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</si>
  <si>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</si>
  <si>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</si>
  <si>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</si>
  <si>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</si>
  <si>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</si>
  <si>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</si>
  <si>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</si>
  <si>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</si>
  <si>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</si>
  <si>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</si>
  <si>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</si>
  <si>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 xml:space="preserve">FORECASTED STATEMENT OF INCOME </t>
  </si>
  <si>
    <t>Forecast</t>
  </si>
  <si>
    <t>FOR THE PERIOD ENDING NOVEMBER 30, 2024</t>
  </si>
  <si>
    <t>NOVEMBER 2024 - PERIODIC</t>
  </si>
  <si>
    <t>NOVEMBER 2024 - YEAR TO DATE</t>
  </si>
  <si>
    <t>FOR THE PERIOD ENDING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</si>
</sst>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Calibri"/>
      <family val="2"/>
      <scheme val="minor"/>
    </font>
    <font>
      <sz val="9"/>
      <color theme="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6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/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/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 style="thin">
        <color theme="4" tint="0.59993285927915285"/>
      </left>
      <right/>
      <top/>
      <bottom/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0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39" fontId="3" fillId="0" borderId="0" xfId="1" applyNumberFormat="1"/>
    <xf numFmtId="0" fontId="9" fillId="4" borderId="5" xfId="1" applyFont="1" applyFill="1" applyBorder="1" applyAlignment="1">
      <alignment horizontal="centerContinuous"/>
    </xf>
    <xf numFmtId="39" fontId="3" fillId="0" borderId="0" xfId="1" applyNumberFormat="1" applyAlignment="1">
      <alignment horizontal="center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4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4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9" xfId="2" applyNumberFormat="1" applyFont="1" applyFill="1" applyBorder="1" applyAlignment="1">
      <alignment horizontal="right"/>
    </xf>
    <xf numFmtId="164" fontId="13" fillId="0" borderId="9" xfId="3" applyNumberFormat="1" applyFont="1" applyBorder="1" applyAlignment="1">
      <alignment horizontal="right"/>
    </xf>
    <xf numFmtId="37" fontId="13" fillId="0" borderId="9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10" xfId="2" applyNumberFormat="1" applyFont="1" applyFill="1" applyBorder="1" applyAlignment="1">
      <alignment horizontal="right"/>
    </xf>
    <xf numFmtId="164" fontId="13" fillId="0" borderId="10" xfId="3" applyNumberFormat="1" applyFont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11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37" fontId="3" fillId="0" borderId="0" xfId="1" applyNumberForma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5" fontId="9" fillId="4" borderId="0" xfId="1" applyNumberFormat="1" applyFont="1" applyFill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2" xfId="1" applyBorder="1"/>
    <xf numFmtId="0" fontId="2" fillId="0" borderId="0" xfId="1" applyFont="1"/>
    <xf numFmtId="37" fontId="11" fillId="0" borderId="12" xfId="2" applyNumberFormat="1" applyFont="1" applyBorder="1" applyAlignment="1">
      <alignment horizontal="right"/>
    </xf>
    <xf numFmtId="164" fontId="11" fillId="0" borderId="12" xfId="3" applyNumberFormat="1" applyFont="1" applyBorder="1" applyAlignment="1">
      <alignment horizontal="right"/>
    </xf>
    <xf numFmtId="39" fontId="11" fillId="0" borderId="12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2" xfId="2" applyNumberFormat="1" applyFont="1" applyBorder="1" applyAlignment="1">
      <alignment horizontal="right"/>
    </xf>
    <xf numFmtId="37" fontId="13" fillId="0" borderId="13" xfId="2" applyNumberFormat="1" applyFont="1" applyBorder="1" applyAlignment="1">
      <alignment horizontal="right"/>
    </xf>
    <xf numFmtId="0" fontId="13" fillId="0" borderId="10" xfId="1" applyFont="1" applyBorder="1"/>
    <xf numFmtId="37" fontId="13" fillId="0" borderId="14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  <xf numFmtId="0" fontId="1" fillId="3" borderId="15" xfId="1" applyFont="1" applyFill="1" applyBorder="1"/>
    <xf numFmtId="37" fontId="11" fillId="5" borderId="0" xfId="2" applyNumberFormat="1" applyFont="1" applyFill="1" applyBorder="1" applyAlignment="1">
      <alignment horizontal="right"/>
    </xf>
    <xf numFmtId="37" fontId="3" fillId="5" borderId="0" xfId="1" applyNumberFormat="1" applyFill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</cellXfs>
  <cellStyles count="4">
    <cellStyle name="Comma 2" xfId="2" xr:uid="{D77548E6-E960-432E-BDF6-C402F2F635BF}"/>
    <cellStyle name="Normal" xfId="0" builtinId="0"/>
    <cellStyle name="Normal 2" xfId="1" xr:uid="{D85A071F-4134-47F3-81E4-8E51ECB78B56}"/>
    <cellStyle name="Percent 2" xfId="3" xr:uid="{CFF2D2B0-88D7-440D-96F5-8316D01DC2BB}"/>
  </cellStyles>
  <dxfs count="4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D4FE-F591-466B-859C-4F50537A6A31}">
  <sheetPr codeName="Sheet95">
    <tabColor theme="4" tint="0.39997558519241921"/>
    <pageSetUpPr fitToPage="1"/>
  </sheetPr>
  <dimension ref="A1:U248"/>
  <sheetViews>
    <sheetView showGridLines="0" view="pageBreakPreview" topLeftCell="A5" zoomScale="70" zoomScaleNormal="85" zoomScaleSheetLayoutView="70" workbookViewId="0">
      <selection activeCell="C24" sqref="C24"/>
    </sheetView>
  </sheetViews>
  <sheetFormatPr defaultColWidth="9.140625" defaultRowHeight="12.75" x14ac:dyDescent="0.2"/>
  <cols>
    <col min="1" max="1" width="2.85546875" style="3" customWidth="1"/>
    <col min="2" max="2" width="38.85546875" style="3" customWidth="1"/>
    <col min="3" max="3" width="15.140625" style="3" customWidth="1"/>
    <col min="4" max="4" width="8.85546875" style="3" customWidth="1"/>
    <col min="5" max="5" width="16" style="3" customWidth="1"/>
    <col min="6" max="6" width="8.85546875" style="3" customWidth="1"/>
    <col min="7" max="8" width="15.5703125" style="7" customWidth="1"/>
    <col min="9" max="9" width="8.85546875" style="7" customWidth="1"/>
    <col min="10" max="10" width="15.5703125" style="7" customWidth="1"/>
    <col min="11" max="11" width="2.85546875" style="7" customWidth="1"/>
    <col min="12" max="12" width="15.42578125" style="7" customWidth="1"/>
    <col min="13" max="13" width="8.85546875" style="7" customWidth="1"/>
    <col min="14" max="14" width="18.140625" style="7" customWidth="1"/>
    <col min="15" max="15" width="8.85546875" style="3" customWidth="1"/>
    <col min="16" max="16" width="15.5703125" style="3" customWidth="1"/>
    <col min="17" max="17" width="15.42578125" style="3" customWidth="1"/>
    <col min="18" max="18" width="8.85546875" style="3" customWidth="1"/>
    <col min="19" max="19" width="13.85546875" style="3" customWidth="1"/>
    <col min="20" max="20" width="11.5703125" style="3" customWidth="1"/>
    <col min="21" max="21" width="10.140625" style="3" bestFit="1" customWidth="1"/>
    <col min="22" max="23" width="9.140625" style="3" customWidth="1"/>
    <col min="24" max="24" width="9.140625" style="3"/>
    <col min="25" max="25" width="9.140625" style="3" customWidth="1"/>
    <col min="26" max="26" width="9.140625" style="3"/>
    <col min="27" max="27" width="8.85546875" style="3" customWidth="1"/>
    <col min="28" max="16384" width="9.140625" style="3"/>
  </cols>
  <sheetData>
    <row r="1" spans="1:21" ht="22.5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21" ht="1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</row>
    <row r="3" spans="1:21" ht="15.75" x14ac:dyDescent="0.25">
      <c r="A3" s="5" t="s">
        <v>48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spans="1:21" ht="15" customHeight="1" x14ac:dyDescent="0.25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1" ht="15" x14ac:dyDescent="0.25">
      <c r="C5" s="95" t="s">
        <v>49</v>
      </c>
      <c r="D5" s="96"/>
      <c r="E5" s="96"/>
      <c r="F5" s="96"/>
      <c r="G5" s="96"/>
      <c r="H5" s="96"/>
      <c r="I5" s="96"/>
      <c r="J5" s="96"/>
      <c r="L5" s="95" t="s">
        <v>50</v>
      </c>
      <c r="M5" s="96"/>
      <c r="N5" s="96"/>
      <c r="O5" s="96"/>
      <c r="P5" s="96"/>
      <c r="Q5" s="96"/>
      <c r="R5" s="96"/>
      <c r="S5" s="96"/>
    </row>
    <row r="6" spans="1:21" ht="15" x14ac:dyDescent="0.25">
      <c r="C6" s="97" t="s">
        <v>1</v>
      </c>
      <c r="D6" s="98"/>
      <c r="E6" s="97" t="s">
        <v>2</v>
      </c>
      <c r="F6" s="98"/>
      <c r="G6" s="8"/>
      <c r="H6" s="97" t="s">
        <v>3</v>
      </c>
      <c r="I6" s="99"/>
      <c r="J6" s="98"/>
      <c r="K6" s="9"/>
      <c r="L6" s="97" t="s">
        <v>1</v>
      </c>
      <c r="M6" s="98"/>
      <c r="N6" s="97" t="s">
        <v>2</v>
      </c>
      <c r="O6" s="98"/>
      <c r="P6" s="8"/>
      <c r="Q6" s="97" t="s">
        <v>3</v>
      </c>
      <c r="R6" s="99"/>
      <c r="S6" s="99"/>
    </row>
    <row r="7" spans="1:21" ht="15" x14ac:dyDescent="0.25">
      <c r="C7" s="10" t="s">
        <v>4</v>
      </c>
      <c r="D7" s="10" t="s">
        <v>5</v>
      </c>
      <c r="E7" s="10" t="s">
        <v>4</v>
      </c>
      <c r="F7" s="10" t="s">
        <v>5</v>
      </c>
      <c r="G7" s="11" t="s">
        <v>6</v>
      </c>
      <c r="H7" s="10" t="s">
        <v>4</v>
      </c>
      <c r="I7" s="10" t="s">
        <v>5</v>
      </c>
      <c r="J7" s="12" t="s">
        <v>6</v>
      </c>
      <c r="K7" s="9"/>
      <c r="L7" s="13" t="s">
        <v>4</v>
      </c>
      <c r="M7" s="10" t="s">
        <v>5</v>
      </c>
      <c r="N7" s="10" t="s">
        <v>4</v>
      </c>
      <c r="O7" s="10" t="s">
        <v>5</v>
      </c>
      <c r="P7" s="11" t="s">
        <v>6</v>
      </c>
      <c r="Q7" s="10" t="s">
        <v>4</v>
      </c>
      <c r="R7" s="10" t="s">
        <v>5</v>
      </c>
      <c r="S7" s="14" t="s">
        <v>6</v>
      </c>
    </row>
    <row r="8" spans="1:21" ht="3" customHeight="1" x14ac:dyDescent="0.2">
      <c r="C8" s="7"/>
      <c r="D8" s="7"/>
      <c r="E8" s="7"/>
      <c r="F8" s="7"/>
      <c r="O8" s="15"/>
      <c r="P8" s="15"/>
      <c r="Q8" s="15"/>
      <c r="R8" s="15"/>
    </row>
    <row r="9" spans="1:21" s="22" customFormat="1" ht="15" x14ac:dyDescent="0.25">
      <c r="A9" s="16"/>
      <c r="B9" s="17" t="s">
        <v>7</v>
      </c>
      <c r="C9" s="18">
        <v>3960</v>
      </c>
      <c r="D9" s="19"/>
      <c r="E9" s="18">
        <v>3960</v>
      </c>
      <c r="F9" s="19"/>
      <c r="G9" s="20">
        <f>C9-E9</f>
        <v>0</v>
      </c>
      <c r="H9" s="18">
        <v>3960</v>
      </c>
      <c r="I9" s="19"/>
      <c r="J9" s="20">
        <f>C9-H9</f>
        <v>0</v>
      </c>
      <c r="K9" s="21"/>
      <c r="L9" s="18">
        <v>44220</v>
      </c>
      <c r="M9" s="19"/>
      <c r="N9" s="18">
        <v>44220</v>
      </c>
      <c r="O9" s="19"/>
      <c r="P9" s="20">
        <f>L9-N9</f>
        <v>0</v>
      </c>
      <c r="Q9" s="18">
        <v>44088</v>
      </c>
      <c r="R9" s="19"/>
      <c r="S9" s="20">
        <f>L9-Q9</f>
        <v>132</v>
      </c>
      <c r="T9" s="3"/>
      <c r="U9" s="3"/>
    </row>
    <row r="10" spans="1:21" s="22" customFormat="1" ht="15" x14ac:dyDescent="0.25">
      <c r="A10" s="16"/>
      <c r="B10" s="17" t="s">
        <v>8</v>
      </c>
      <c r="C10" s="18">
        <v>3516</v>
      </c>
      <c r="D10" s="19"/>
      <c r="E10" s="18">
        <v>3209</v>
      </c>
      <c r="F10" s="19"/>
      <c r="G10" s="20">
        <f t="shared" ref="G10:G13" si="0">C10-E10</f>
        <v>307</v>
      </c>
      <c r="H10" s="18">
        <v>2944</v>
      </c>
      <c r="I10" s="19"/>
      <c r="J10" s="20">
        <f t="shared" ref="J10:J13" si="1">C10-H10</f>
        <v>572</v>
      </c>
      <c r="K10" s="21"/>
      <c r="L10" s="18">
        <v>36629</v>
      </c>
      <c r="M10" s="19"/>
      <c r="N10" s="18">
        <v>36639</v>
      </c>
      <c r="O10" s="19"/>
      <c r="P10" s="20">
        <f>L10-N10</f>
        <v>-10</v>
      </c>
      <c r="Q10" s="18">
        <v>36253</v>
      </c>
      <c r="R10" s="19"/>
      <c r="S10" s="20">
        <f t="shared" ref="S10:S13" si="2">L10-Q10</f>
        <v>376</v>
      </c>
      <c r="T10" s="3"/>
      <c r="U10" s="3"/>
    </row>
    <row r="11" spans="1:21" s="22" customFormat="1" ht="15" x14ac:dyDescent="0.25">
      <c r="A11" s="16"/>
      <c r="B11" s="17" t="s">
        <v>9</v>
      </c>
      <c r="C11" s="23">
        <f>C10/C9</f>
        <v>0.88787878787878793</v>
      </c>
      <c r="D11" s="19"/>
      <c r="E11" s="23">
        <f>E10/E9</f>
        <v>0.81035353535353538</v>
      </c>
      <c r="F11" s="19"/>
      <c r="G11" s="19">
        <f t="shared" si="0"/>
        <v>7.7525252525252553E-2</v>
      </c>
      <c r="H11" s="23">
        <f>H10/H9</f>
        <v>0.74343434343434345</v>
      </c>
      <c r="I11" s="19"/>
      <c r="J11" s="19">
        <f t="shared" si="1"/>
        <v>0.14444444444444449</v>
      </c>
      <c r="K11" s="19"/>
      <c r="L11" s="23">
        <f>L10/L9</f>
        <v>0.82833559475350516</v>
      </c>
      <c r="M11" s="19"/>
      <c r="N11" s="23">
        <f>N10/N9</f>
        <v>0.828561736770692</v>
      </c>
      <c r="O11" s="19"/>
      <c r="P11" s="19">
        <f>L11-N11</f>
        <v>-2.2614201718684779E-4</v>
      </c>
      <c r="Q11" s="23">
        <f>Q10/Q9</f>
        <v>0.82228724369442929</v>
      </c>
      <c r="R11" s="19"/>
      <c r="S11" s="19">
        <f t="shared" si="2"/>
        <v>6.0483510590758627E-3</v>
      </c>
      <c r="T11" s="3"/>
      <c r="U11" s="3"/>
    </row>
    <row r="12" spans="1:21" s="22" customFormat="1" ht="15" x14ac:dyDescent="0.25">
      <c r="A12" s="16"/>
      <c r="B12" s="17" t="s">
        <v>10</v>
      </c>
      <c r="C12" s="24">
        <f>C17/C10</f>
        <v>197.74152730375425</v>
      </c>
      <c r="D12" s="25"/>
      <c r="E12" s="24">
        <f>E17/E10</f>
        <v>236.35844811467749</v>
      </c>
      <c r="F12" s="25"/>
      <c r="G12" s="26">
        <f t="shared" si="0"/>
        <v>-38.616920810923233</v>
      </c>
      <c r="H12" s="24">
        <f>H17/H10</f>
        <v>228.61937160326087</v>
      </c>
      <c r="I12" s="25"/>
      <c r="J12" s="26">
        <f t="shared" si="1"/>
        <v>-30.87784429950662</v>
      </c>
      <c r="K12" s="26"/>
      <c r="L12" s="24">
        <f>L17/L10</f>
        <v>231.90694477053702</v>
      </c>
      <c r="M12" s="25"/>
      <c r="N12" s="24">
        <f>N17/N10</f>
        <v>240.53502060645764</v>
      </c>
      <c r="O12" s="25"/>
      <c r="P12" s="26">
        <f>L12-N12</f>
        <v>-8.6280758359206118</v>
      </c>
      <c r="Q12" s="24">
        <f>Q17/Q10</f>
        <v>239.02247455383002</v>
      </c>
      <c r="R12" s="25"/>
      <c r="S12" s="26">
        <f t="shared" si="2"/>
        <v>-7.1155297832929989</v>
      </c>
      <c r="T12" s="3"/>
      <c r="U12" s="3"/>
    </row>
    <row r="13" spans="1:21" s="22" customFormat="1" ht="15" x14ac:dyDescent="0.25">
      <c r="A13" s="16"/>
      <c r="B13" s="17" t="s">
        <v>11</v>
      </c>
      <c r="C13" s="24">
        <f>C11*C12</f>
        <v>175.57050757575757</v>
      </c>
      <c r="D13" s="25"/>
      <c r="E13" s="24">
        <f>E11*E12</f>
        <v>191.53390404040405</v>
      </c>
      <c r="F13" s="25"/>
      <c r="G13" s="26">
        <f t="shared" si="0"/>
        <v>-15.963396464646479</v>
      </c>
      <c r="H13" s="24">
        <f>H11*H12</f>
        <v>169.96349242424242</v>
      </c>
      <c r="I13" s="25"/>
      <c r="J13" s="26">
        <f t="shared" si="1"/>
        <v>5.6070151515151565</v>
      </c>
      <c r="K13" s="26"/>
      <c r="L13" s="24">
        <f>L11*L12</f>
        <v>192.09677702397107</v>
      </c>
      <c r="M13" s="25"/>
      <c r="N13" s="24">
        <f>N11*N12</f>
        <v>199.29811442786072</v>
      </c>
      <c r="O13" s="25"/>
      <c r="P13" s="26">
        <f>L13-N13</f>
        <v>-7.2013374038896529</v>
      </c>
      <c r="Q13" s="24">
        <f>Q11*Q12</f>
        <v>196.54513178189075</v>
      </c>
      <c r="R13" s="25"/>
      <c r="S13" s="26">
        <f t="shared" si="2"/>
        <v>-4.4483547579196738</v>
      </c>
      <c r="T13" s="17"/>
    </row>
    <row r="14" spans="1:21" s="22" customFormat="1" ht="15" x14ac:dyDescent="0.25">
      <c r="A14" s="16"/>
      <c r="B14" s="17" t="s">
        <v>12</v>
      </c>
      <c r="C14" s="18"/>
      <c r="D14" s="19"/>
      <c r="E14" s="18"/>
      <c r="F14" s="19"/>
      <c r="G14" s="20"/>
      <c r="H14" s="18"/>
      <c r="I14" s="19"/>
      <c r="J14" s="20"/>
      <c r="K14" s="21"/>
      <c r="L14" s="18"/>
      <c r="M14" s="19"/>
      <c r="N14" s="18"/>
      <c r="O14" s="19"/>
      <c r="P14" s="20"/>
      <c r="Q14" s="18"/>
      <c r="R14" s="19"/>
      <c r="S14" s="20"/>
      <c r="T14" s="17"/>
    </row>
    <row r="15" spans="1:21" s="22" customFormat="1" ht="15" x14ac:dyDescent="0.25">
      <c r="A15" s="16"/>
      <c r="B15" s="17" t="s">
        <v>12</v>
      </c>
      <c r="C15" s="18"/>
      <c r="D15" s="19"/>
      <c r="E15" s="18"/>
      <c r="F15" s="19"/>
      <c r="G15" s="20"/>
      <c r="H15" s="18"/>
      <c r="I15" s="19"/>
      <c r="J15" s="20"/>
      <c r="K15" s="21"/>
      <c r="L15" s="18"/>
      <c r="M15" s="19"/>
      <c r="N15" s="18"/>
      <c r="O15" s="19"/>
      <c r="P15" s="20"/>
      <c r="Q15" s="18"/>
      <c r="R15" s="19"/>
      <c r="S15" s="20"/>
      <c r="T15" s="17"/>
    </row>
    <row r="16" spans="1:21" s="22" customFormat="1" ht="15" x14ac:dyDescent="0.25">
      <c r="A16" s="16"/>
      <c r="B16" s="27" t="s">
        <v>13</v>
      </c>
      <c r="C16" s="18"/>
      <c r="D16" s="19"/>
      <c r="E16" s="18"/>
      <c r="F16" s="19"/>
      <c r="G16" s="20"/>
      <c r="H16" s="18"/>
      <c r="I16" s="19"/>
      <c r="J16" s="20"/>
      <c r="K16" s="21"/>
      <c r="L16" s="18"/>
      <c r="M16" s="19"/>
      <c r="N16" s="18"/>
      <c r="O16" s="19"/>
      <c r="P16" s="20"/>
      <c r="Q16" s="18"/>
      <c r="R16" s="19"/>
      <c r="S16" s="20"/>
      <c r="T16" s="17"/>
    </row>
    <row r="17" spans="1:20" s="22" customFormat="1" ht="15" x14ac:dyDescent="0.25">
      <c r="A17" s="16"/>
      <c r="B17" s="17" t="s">
        <v>14</v>
      </c>
      <c r="C17" s="18">
        <v>695259.21</v>
      </c>
      <c r="D17" s="19">
        <f>C17/C21</f>
        <v>0.66362046715283984</v>
      </c>
      <c r="E17" s="18">
        <v>758474.26</v>
      </c>
      <c r="F17" s="19">
        <f>E17/E$21</f>
        <v>0.56590880412972699</v>
      </c>
      <c r="G17" s="20">
        <f t="shared" ref="G17:G21" si="3">C17-E17</f>
        <v>-63215.050000000047</v>
      </c>
      <c r="H17" s="18">
        <v>673055.43</v>
      </c>
      <c r="I17" s="19">
        <f>H17/H$21</f>
        <v>0.76522164849094687</v>
      </c>
      <c r="J17" s="20">
        <f t="shared" ref="J17:J21" si="4">C17-H17</f>
        <v>22203.779999999912</v>
      </c>
      <c r="K17" s="21"/>
      <c r="L17" s="18">
        <v>8494519.4800000004</v>
      </c>
      <c r="M17" s="19">
        <f>L17/L$21</f>
        <v>0.69938994079038197</v>
      </c>
      <c r="N17" s="18">
        <v>8812962.620000001</v>
      </c>
      <c r="O17" s="19">
        <f>N17/N$21</f>
        <v>0.65491672561035097</v>
      </c>
      <c r="P17" s="20">
        <f>L17-N17</f>
        <v>-318443.1400000006</v>
      </c>
      <c r="Q17" s="18">
        <v>8665281.7699999996</v>
      </c>
      <c r="R17" s="19">
        <f>Q17/Q$21</f>
        <v>0.75337695455327891</v>
      </c>
      <c r="S17" s="20">
        <f t="shared" ref="S17:S21" si="5">L17-Q17</f>
        <v>-170762.28999999911</v>
      </c>
      <c r="T17" s="17"/>
    </row>
    <row r="18" spans="1:20" s="22" customFormat="1" ht="15" x14ac:dyDescent="0.25">
      <c r="A18" s="16"/>
      <c r="B18" s="17" t="s">
        <v>15</v>
      </c>
      <c r="C18" s="18">
        <v>235866.06</v>
      </c>
      <c r="D18" s="19">
        <f>C18/C21</f>
        <v>0.22513264502127167</v>
      </c>
      <c r="E18" s="18">
        <v>485526.73</v>
      </c>
      <c r="F18" s="19">
        <f>E18/E$21</f>
        <v>0.36225863636732625</v>
      </c>
      <c r="G18" s="20">
        <f t="shared" si="3"/>
        <v>-249660.66999999998</v>
      </c>
      <c r="H18" s="18">
        <v>125378.51</v>
      </c>
      <c r="I18" s="19">
        <f>H18/H$21</f>
        <v>0.14254747206710547</v>
      </c>
      <c r="J18" s="20">
        <f t="shared" si="4"/>
        <v>110487.55</v>
      </c>
      <c r="K18" s="21"/>
      <c r="L18" s="18">
        <v>2432277.77</v>
      </c>
      <c r="M18" s="19">
        <f>L18/L$21</f>
        <v>0.20025978038560718</v>
      </c>
      <c r="N18" s="18">
        <v>3573427.83</v>
      </c>
      <c r="O18" s="19">
        <f>N18/N$21</f>
        <v>0.26555175081730936</v>
      </c>
      <c r="P18" s="20">
        <f>L18-N18</f>
        <v>-1141150.06</v>
      </c>
      <c r="Q18" s="18">
        <v>1892449.43</v>
      </c>
      <c r="R18" s="19">
        <f>Q18/Q$21</f>
        <v>0.16453334421916768</v>
      </c>
      <c r="S18" s="20">
        <f t="shared" si="5"/>
        <v>539828.34000000008</v>
      </c>
      <c r="T18" s="17"/>
    </row>
    <row r="19" spans="1:20" s="22" customFormat="1" ht="15" x14ac:dyDescent="0.25">
      <c r="A19" s="16"/>
      <c r="B19" s="17" t="s">
        <v>16</v>
      </c>
      <c r="C19" s="18">
        <v>2028.13</v>
      </c>
      <c r="D19" s="19">
        <f>C19/C21</f>
        <v>1.9358371074964821E-3</v>
      </c>
      <c r="E19" s="18">
        <v>1283.5999999999999</v>
      </c>
      <c r="F19" s="19">
        <f>E19/E$21</f>
        <v>9.5771284444236455E-4</v>
      </c>
      <c r="G19" s="20">
        <f t="shared" si="3"/>
        <v>744.5300000000002</v>
      </c>
      <c r="H19" s="18">
        <v>1538.01</v>
      </c>
      <c r="I19" s="19">
        <f>H19/H$21</f>
        <v>1.7486205372350403E-3</v>
      </c>
      <c r="J19" s="20">
        <f t="shared" si="4"/>
        <v>490.12000000000012</v>
      </c>
      <c r="K19" s="21"/>
      <c r="L19" s="18">
        <v>15693.830000000002</v>
      </c>
      <c r="M19" s="19">
        <f>L19/L$21</f>
        <v>1.292139815597235E-3</v>
      </c>
      <c r="N19" s="18">
        <v>14655.600000000002</v>
      </c>
      <c r="O19" s="19">
        <f>N19/N$21</f>
        <v>1.0890999970966698E-3</v>
      </c>
      <c r="P19" s="20">
        <f>L19-N19</f>
        <v>1038.2299999999996</v>
      </c>
      <c r="Q19" s="18">
        <v>16221.84</v>
      </c>
      <c r="R19" s="19">
        <f>Q19/Q$21</f>
        <v>1.4103592636492608E-3</v>
      </c>
      <c r="S19" s="20">
        <f t="shared" si="5"/>
        <v>-528.0099999999984</v>
      </c>
      <c r="T19" s="17"/>
    </row>
    <row r="20" spans="1:20" s="22" customFormat="1" ht="15" x14ac:dyDescent="0.25">
      <c r="A20" s="16"/>
      <c r="B20" s="17" t="s">
        <v>17</v>
      </c>
      <c r="C20" s="18">
        <v>114522.56</v>
      </c>
      <c r="D20" s="19">
        <f>C20/C21</f>
        <v>0.10931105071839198</v>
      </c>
      <c r="E20" s="18">
        <v>94991.89</v>
      </c>
      <c r="F20" s="19">
        <f>E20/E$21</f>
        <v>7.0874846658504367E-2</v>
      </c>
      <c r="G20" s="20">
        <f t="shared" si="3"/>
        <v>19530.669999999998</v>
      </c>
      <c r="H20" s="18">
        <v>79584.23</v>
      </c>
      <c r="I20" s="19">
        <f>H20/H$21</f>
        <v>9.0482258904712592E-2</v>
      </c>
      <c r="J20" s="20">
        <f t="shared" si="4"/>
        <v>34938.33</v>
      </c>
      <c r="K20" s="21"/>
      <c r="L20" s="18">
        <v>1203121.81</v>
      </c>
      <c r="M20" s="19">
        <f>L20/L$21</f>
        <v>9.9058139008413593E-2</v>
      </c>
      <c r="N20" s="18">
        <v>1055569.5399999998</v>
      </c>
      <c r="O20" s="19">
        <f>N20/N$21</f>
        <v>7.84424235752431E-2</v>
      </c>
      <c r="P20" s="20">
        <f>L20-N20</f>
        <v>147552.27000000025</v>
      </c>
      <c r="Q20" s="18">
        <v>927967.37</v>
      </c>
      <c r="R20" s="19">
        <f>Q20/Q$21</f>
        <v>8.0679341963904277E-2</v>
      </c>
      <c r="S20" s="20">
        <f t="shared" si="5"/>
        <v>275154.44000000006</v>
      </c>
      <c r="T20" s="17"/>
    </row>
    <row r="21" spans="1:20" s="33" customFormat="1" ht="15" x14ac:dyDescent="0.25">
      <c r="A21" s="28"/>
      <c r="B21" s="27" t="s">
        <v>18</v>
      </c>
      <c r="C21" s="29">
        <f>SUM(C17:C20)</f>
        <v>1047675.96</v>
      </c>
      <c r="D21" s="30">
        <f>C21/C21</f>
        <v>1</v>
      </c>
      <c r="E21" s="29">
        <f>SUM(E17:E20)</f>
        <v>1340276.48</v>
      </c>
      <c r="F21" s="30">
        <f>E21/E$21</f>
        <v>1</v>
      </c>
      <c r="G21" s="31">
        <f t="shared" si="3"/>
        <v>-292600.52</v>
      </c>
      <c r="H21" s="29">
        <f>SUM(H17:H20)</f>
        <v>879556.18</v>
      </c>
      <c r="I21" s="30">
        <f>H21/H$21</f>
        <v>1</v>
      </c>
      <c r="J21" s="31">
        <f t="shared" si="4"/>
        <v>168119.77999999991</v>
      </c>
      <c r="K21" s="32"/>
      <c r="L21" s="29">
        <f>SUM(L17:L20)</f>
        <v>12145612.890000001</v>
      </c>
      <c r="M21" s="30">
        <f>L21/L$21</f>
        <v>1</v>
      </c>
      <c r="N21" s="29">
        <f>SUM(N17:N20)</f>
        <v>13456615.59</v>
      </c>
      <c r="O21" s="30">
        <f>N21/N$21</f>
        <v>1</v>
      </c>
      <c r="P21" s="31">
        <f>L21-N21</f>
        <v>-1311002.6999999993</v>
      </c>
      <c r="Q21" s="29">
        <f>SUM(Q17:Q20)</f>
        <v>11501920.409999998</v>
      </c>
      <c r="R21" s="30">
        <f>Q21/Q$21</f>
        <v>1</v>
      </c>
      <c r="S21" s="31">
        <f t="shared" si="5"/>
        <v>643692.48000000231</v>
      </c>
      <c r="T21" s="27"/>
    </row>
    <row r="22" spans="1:20" s="22" customFormat="1" ht="15" x14ac:dyDescent="0.25">
      <c r="A22" s="16"/>
      <c r="B22" s="17" t="s">
        <v>12</v>
      </c>
      <c r="C22" s="18"/>
      <c r="D22" s="19"/>
      <c r="E22" s="18"/>
      <c r="F22" s="19"/>
      <c r="G22" s="20"/>
      <c r="H22" s="18"/>
      <c r="I22" s="19"/>
      <c r="J22" s="20"/>
      <c r="K22" s="21"/>
      <c r="L22" s="18"/>
      <c r="M22" s="19"/>
      <c r="N22" s="18"/>
      <c r="O22" s="19"/>
      <c r="P22" s="20"/>
      <c r="Q22" s="18"/>
      <c r="R22" s="19"/>
      <c r="S22" s="20"/>
      <c r="T22" s="17"/>
    </row>
    <row r="23" spans="1:20" s="22" customFormat="1" ht="15" x14ac:dyDescent="0.25">
      <c r="A23" s="16"/>
      <c r="B23" s="27" t="s">
        <v>19</v>
      </c>
      <c r="C23" s="18"/>
      <c r="D23" s="19"/>
      <c r="E23" s="18"/>
      <c r="F23" s="19"/>
      <c r="G23" s="20"/>
      <c r="H23" s="18"/>
      <c r="I23" s="19"/>
      <c r="J23" s="20"/>
      <c r="K23" s="21"/>
      <c r="L23" s="18"/>
      <c r="M23" s="19"/>
      <c r="N23" s="18"/>
      <c r="O23" s="19"/>
      <c r="P23" s="20"/>
      <c r="Q23" s="18"/>
      <c r="R23" s="19"/>
      <c r="S23" s="20"/>
      <c r="T23" s="17"/>
    </row>
    <row r="24" spans="1:20" s="22" customFormat="1" ht="15" x14ac:dyDescent="0.25">
      <c r="A24" s="16"/>
      <c r="B24" s="17" t="s">
        <v>14</v>
      </c>
      <c r="C24" s="18">
        <v>214598.12</v>
      </c>
      <c r="D24" s="19">
        <f>C24/C17</f>
        <v>0.30865915461946919</v>
      </c>
      <c r="E24" s="18">
        <v>197466.55</v>
      </c>
      <c r="F24" s="19">
        <f>E24/E17</f>
        <v>0.26034706833690041</v>
      </c>
      <c r="G24" s="20">
        <f t="shared" ref="G24:G27" si="6">C24-E24</f>
        <v>17131.570000000007</v>
      </c>
      <c r="H24" s="18">
        <v>204793.19</v>
      </c>
      <c r="I24" s="19">
        <f>H24/H17</f>
        <v>0.30427388424754254</v>
      </c>
      <c r="J24" s="20">
        <f t="shared" ref="J24:J27" si="7">C24-H24</f>
        <v>9804.929999999993</v>
      </c>
      <c r="K24" s="21"/>
      <c r="L24" s="18">
        <v>2514631.75</v>
      </c>
      <c r="M24" s="19">
        <f>L24/L17</f>
        <v>0.29602989973954358</v>
      </c>
      <c r="N24" s="18">
        <v>2282340.7999999998</v>
      </c>
      <c r="O24" s="19">
        <f>N24/N17</f>
        <v>0.25897543180547378</v>
      </c>
      <c r="P24" s="20">
        <f>L24-N24</f>
        <v>232290.95000000019</v>
      </c>
      <c r="Q24" s="18">
        <v>2358503.6599999997</v>
      </c>
      <c r="R24" s="19">
        <f>Q24/Q17</f>
        <v>0.27217853066998415</v>
      </c>
      <c r="S24" s="20">
        <f t="shared" ref="S24:S27" si="8">L24-Q24</f>
        <v>156128.09000000032</v>
      </c>
      <c r="T24" s="17"/>
    </row>
    <row r="25" spans="1:20" s="22" customFormat="1" ht="15" x14ac:dyDescent="0.25">
      <c r="A25" s="16"/>
      <c r="B25" s="17" t="s">
        <v>15</v>
      </c>
      <c r="C25" s="18">
        <v>192181.82</v>
      </c>
      <c r="D25" s="19">
        <f>C25/C18</f>
        <v>0.8147921748470297</v>
      </c>
      <c r="E25" s="18">
        <v>293265.88</v>
      </c>
      <c r="F25" s="19">
        <f>E25/E18</f>
        <v>0.60401593131649012</v>
      </c>
      <c r="G25" s="20">
        <f t="shared" si="6"/>
        <v>-101084.06</v>
      </c>
      <c r="H25" s="18">
        <v>131989.10999999999</v>
      </c>
      <c r="I25" s="19">
        <f>H25/H18</f>
        <v>1.0527251440458176</v>
      </c>
      <c r="J25" s="20">
        <f t="shared" si="7"/>
        <v>60192.710000000021</v>
      </c>
      <c r="K25" s="21"/>
      <c r="L25" s="18">
        <v>2059257.7699999998</v>
      </c>
      <c r="M25" s="19">
        <f>L25/L18</f>
        <v>0.84663758202254991</v>
      </c>
      <c r="N25" s="18">
        <v>2265174.56</v>
      </c>
      <c r="O25" s="19">
        <f>N25/N18</f>
        <v>0.63389402774086523</v>
      </c>
      <c r="P25" s="20">
        <f>L25-N25</f>
        <v>-205916.79000000027</v>
      </c>
      <c r="Q25" s="18">
        <v>1841483.06</v>
      </c>
      <c r="R25" s="19">
        <f>Q25/Q18</f>
        <v>0.97306856965789579</v>
      </c>
      <c r="S25" s="20">
        <f t="shared" si="8"/>
        <v>217774.70999999973</v>
      </c>
      <c r="T25" s="17"/>
    </row>
    <row r="26" spans="1:20" s="22" customFormat="1" ht="15" x14ac:dyDescent="0.25">
      <c r="A26" s="16"/>
      <c r="B26" s="17" t="s">
        <v>16</v>
      </c>
      <c r="C26" s="18">
        <v>767.44</v>
      </c>
      <c r="D26" s="19">
        <f>C26/C19</f>
        <v>0.37839783445834341</v>
      </c>
      <c r="E26" s="18">
        <v>563.95000000000005</v>
      </c>
      <c r="F26" s="19">
        <f>E26/E19</f>
        <v>0.43935026488002499</v>
      </c>
      <c r="G26" s="20">
        <f t="shared" si="6"/>
        <v>203.49</v>
      </c>
      <c r="H26" s="18">
        <v>547.54999999999995</v>
      </c>
      <c r="I26" s="19">
        <f>H26/H19</f>
        <v>0.35601198951892377</v>
      </c>
      <c r="J26" s="20">
        <f t="shared" si="7"/>
        <v>219.8900000000001</v>
      </c>
      <c r="K26" s="21"/>
      <c r="L26" s="18">
        <v>4944.3999999999996</v>
      </c>
      <c r="M26" s="19">
        <f>L26/L19</f>
        <v>0.31505375042293687</v>
      </c>
      <c r="N26" s="18">
        <v>6438.9400000000005</v>
      </c>
      <c r="O26" s="19">
        <f>N26/N19</f>
        <v>0.43935014601926903</v>
      </c>
      <c r="P26" s="20">
        <f>L26-N26</f>
        <v>-1494.5400000000009</v>
      </c>
      <c r="Q26" s="18">
        <v>7149.8099999999986</v>
      </c>
      <c r="R26" s="19">
        <f>Q26/Q19</f>
        <v>0.44075209717270042</v>
      </c>
      <c r="S26" s="20">
        <f t="shared" si="8"/>
        <v>-2205.4099999999989</v>
      </c>
      <c r="T26" s="17"/>
    </row>
    <row r="27" spans="1:20" s="33" customFormat="1" ht="15" x14ac:dyDescent="0.25">
      <c r="A27" s="28"/>
      <c r="B27" s="27" t="s">
        <v>20</v>
      </c>
      <c r="C27" s="29">
        <f>SUM(C24:C26)</f>
        <v>407547.38</v>
      </c>
      <c r="D27" s="30">
        <f>C27/C21</f>
        <v>0.38900136641485983</v>
      </c>
      <c r="E27" s="29">
        <f>SUM(E24:E26)</f>
        <v>491296.38</v>
      </c>
      <c r="F27" s="30">
        <f>E27/E$21</f>
        <v>0.36656345711595267</v>
      </c>
      <c r="G27" s="31">
        <f t="shared" si="6"/>
        <v>-83749</v>
      </c>
      <c r="H27" s="29">
        <f>SUM(H24:H26)</f>
        <v>337329.85</v>
      </c>
      <c r="I27" s="30">
        <f>H27/H$21</f>
        <v>0.38352280123823351</v>
      </c>
      <c r="J27" s="31">
        <f t="shared" si="7"/>
        <v>70217.530000000028</v>
      </c>
      <c r="K27" s="32"/>
      <c r="L27" s="29">
        <f>SUM(L24:L26)</f>
        <v>4578833.92</v>
      </c>
      <c r="M27" s="30">
        <f>L27/L$21</f>
        <v>0.37699488378803414</v>
      </c>
      <c r="N27" s="29">
        <f>SUM(N24:N26)</f>
        <v>4553954.3</v>
      </c>
      <c r="O27" s="30">
        <f>N27/N$21</f>
        <v>0.33841750695354444</v>
      </c>
      <c r="P27" s="31">
        <f>L27-N27</f>
        <v>24879.620000000112</v>
      </c>
      <c r="Q27" s="29">
        <f>SUM(Q24:Q26)</f>
        <v>4207136.5299999993</v>
      </c>
      <c r="R27" s="30">
        <f>Q27/Q$21</f>
        <v>0.36577687725453489</v>
      </c>
      <c r="S27" s="31">
        <f t="shared" si="8"/>
        <v>371697.3900000006</v>
      </c>
      <c r="T27" s="27"/>
    </row>
    <row r="28" spans="1:20" s="22" customFormat="1" ht="15" x14ac:dyDescent="0.25">
      <c r="A28" s="16"/>
      <c r="B28" s="17" t="s">
        <v>12</v>
      </c>
      <c r="C28" s="18"/>
      <c r="D28" s="19"/>
      <c r="E28" s="18"/>
      <c r="F28" s="19"/>
      <c r="G28" s="20"/>
      <c r="H28" s="18"/>
      <c r="I28" s="19"/>
      <c r="J28" s="20"/>
      <c r="K28" s="21"/>
      <c r="L28" s="18"/>
      <c r="M28" s="19"/>
      <c r="N28" s="18"/>
      <c r="O28" s="19"/>
      <c r="P28" s="20"/>
      <c r="Q28" s="18"/>
      <c r="R28" s="19"/>
      <c r="S28" s="20"/>
      <c r="T28" s="17"/>
    </row>
    <row r="29" spans="1:20" s="22" customFormat="1" ht="15" x14ac:dyDescent="0.25">
      <c r="A29" s="16"/>
      <c r="B29" s="27" t="s">
        <v>21</v>
      </c>
      <c r="C29" s="29">
        <f>C21-C27</f>
        <v>640128.57999999996</v>
      </c>
      <c r="D29" s="30">
        <f>C29/C21</f>
        <v>0.61099863358514017</v>
      </c>
      <c r="E29" s="29">
        <f>E21-E27</f>
        <v>848980.1</v>
      </c>
      <c r="F29" s="30">
        <f>E29/E$21</f>
        <v>0.63343654288404727</v>
      </c>
      <c r="G29" s="31">
        <f>C29-E29</f>
        <v>-208851.52000000002</v>
      </c>
      <c r="H29" s="29">
        <f>H21-H27</f>
        <v>542226.33000000007</v>
      </c>
      <c r="I29" s="30">
        <f>H29/H$21</f>
        <v>0.61647719876176643</v>
      </c>
      <c r="J29" s="31">
        <f>C29-H29</f>
        <v>97902.249999999884</v>
      </c>
      <c r="K29" s="21"/>
      <c r="L29" s="29">
        <f>L21-L27</f>
        <v>7566778.9700000007</v>
      </c>
      <c r="M29" s="30">
        <f>L29/L$21</f>
        <v>0.62300511621196586</v>
      </c>
      <c r="N29" s="29">
        <f>N21-N27</f>
        <v>8902661.2899999991</v>
      </c>
      <c r="O29" s="30">
        <f>N29/N$21</f>
        <v>0.66158249304645544</v>
      </c>
      <c r="P29" s="31">
        <f>L29-N29</f>
        <v>-1335882.3199999984</v>
      </c>
      <c r="Q29" s="29">
        <f>Q21-Q27</f>
        <v>7294783.879999999</v>
      </c>
      <c r="R29" s="30">
        <f>Q29/Q$21</f>
        <v>0.63422312274546511</v>
      </c>
      <c r="S29" s="31">
        <f>L29-Q29</f>
        <v>271995.09000000171</v>
      </c>
      <c r="T29" s="17"/>
    </row>
    <row r="30" spans="1:20" s="22" customFormat="1" ht="15" x14ac:dyDescent="0.25">
      <c r="A30" s="16"/>
      <c r="B30" s="17" t="s">
        <v>12</v>
      </c>
      <c r="C30" s="18"/>
      <c r="D30" s="19"/>
      <c r="E30" s="18"/>
      <c r="F30" s="19"/>
      <c r="G30" s="20"/>
      <c r="H30" s="18"/>
      <c r="I30" s="19"/>
      <c r="J30" s="20"/>
      <c r="K30" s="21"/>
      <c r="L30" s="18"/>
      <c r="M30" s="19"/>
      <c r="N30" s="18"/>
      <c r="O30" s="19"/>
      <c r="P30" s="20"/>
      <c r="Q30" s="18"/>
      <c r="R30" s="19"/>
      <c r="S30" s="20"/>
      <c r="T30" s="17"/>
    </row>
    <row r="31" spans="1:20" s="22" customFormat="1" ht="15" x14ac:dyDescent="0.25">
      <c r="A31" s="16"/>
      <c r="B31" s="27" t="s">
        <v>22</v>
      </c>
      <c r="C31" s="18"/>
      <c r="D31" s="19"/>
      <c r="E31" s="18"/>
      <c r="F31" s="19"/>
      <c r="G31" s="20"/>
      <c r="H31" s="18"/>
      <c r="I31" s="19"/>
      <c r="J31" s="20"/>
      <c r="K31" s="21"/>
      <c r="L31" s="18"/>
      <c r="M31" s="19"/>
      <c r="N31" s="18"/>
      <c r="O31" s="19"/>
      <c r="P31" s="20"/>
      <c r="Q31" s="18"/>
      <c r="R31" s="19"/>
      <c r="S31" s="20"/>
      <c r="T31" s="17"/>
    </row>
    <row r="32" spans="1:20" s="22" customFormat="1" ht="15" x14ac:dyDescent="0.25">
      <c r="A32" s="16"/>
      <c r="B32" s="17" t="s">
        <v>23</v>
      </c>
      <c r="C32" s="18">
        <v>97703.56</v>
      </c>
      <c r="D32" s="19">
        <f>C32/C21</f>
        <v>9.3257422839023621E-2</v>
      </c>
      <c r="E32" s="18">
        <v>112981.78</v>
      </c>
      <c r="F32" s="19">
        <f t="shared" ref="F32:F37" si="9">E32/E$21</f>
        <v>8.4297368256436161E-2</v>
      </c>
      <c r="G32" s="20">
        <f t="shared" ref="G32:G37" si="10">C32-E32</f>
        <v>-15278.220000000001</v>
      </c>
      <c r="H32" s="18">
        <v>106068.75</v>
      </c>
      <c r="I32" s="19">
        <f t="shared" ref="I32:I37" si="11">H32/H$21</f>
        <v>0.1205934906852681</v>
      </c>
      <c r="J32" s="20">
        <f t="shared" ref="J32:J37" si="12">C32-H32</f>
        <v>-8365.1900000000023</v>
      </c>
      <c r="K32" s="21"/>
      <c r="L32" s="18">
        <v>1138263.3500000001</v>
      </c>
      <c r="M32" s="19">
        <f t="shared" ref="M32:M37" si="13">L32/L$21</f>
        <v>9.371806596414585E-2</v>
      </c>
      <c r="N32" s="18">
        <v>1197746.93</v>
      </c>
      <c r="O32" s="19">
        <f t="shared" ref="O32:O37" si="14">N32/N$21</f>
        <v>8.9008036381011013E-2</v>
      </c>
      <c r="P32" s="20">
        <f t="shared" ref="P32:P37" si="15">L32-N32</f>
        <v>-59483.579999999842</v>
      </c>
      <c r="Q32" s="18">
        <v>1095365.3900000001</v>
      </c>
      <c r="R32" s="19">
        <f t="shared" ref="R32:R37" si="16">Q32/Q$21</f>
        <v>9.5233261138519765E-2</v>
      </c>
      <c r="S32" s="20">
        <f t="shared" ref="S32:S37" si="17">L32-Q32</f>
        <v>42897.959999999963</v>
      </c>
      <c r="T32" s="17"/>
    </row>
    <row r="33" spans="1:20" s="22" customFormat="1" ht="15" x14ac:dyDescent="0.25">
      <c r="A33" s="16"/>
      <c r="B33" s="17" t="s">
        <v>24</v>
      </c>
      <c r="C33" s="18">
        <v>13045.09</v>
      </c>
      <c r="D33" s="19">
        <f>C33/C21</f>
        <v>1.2451454932687393E-2</v>
      </c>
      <c r="E33" s="18">
        <v>14856.46</v>
      </c>
      <c r="F33" s="19">
        <f t="shared" si="9"/>
        <v>1.1084623375618738E-2</v>
      </c>
      <c r="G33" s="20">
        <f t="shared" si="10"/>
        <v>-1811.369999999999</v>
      </c>
      <c r="H33" s="18">
        <v>15845</v>
      </c>
      <c r="I33" s="19">
        <f t="shared" si="11"/>
        <v>1.8014767402350581E-2</v>
      </c>
      <c r="J33" s="20">
        <f>C33-H33</f>
        <v>-2799.91</v>
      </c>
      <c r="K33" s="21"/>
      <c r="L33" s="18">
        <v>158035.28999999998</v>
      </c>
      <c r="M33" s="19">
        <f t="shared" si="13"/>
        <v>1.3011718011374886E-2</v>
      </c>
      <c r="N33" s="18">
        <v>195980.32</v>
      </c>
      <c r="O33" s="19">
        <f t="shared" si="14"/>
        <v>1.4563864048077486E-2</v>
      </c>
      <c r="P33" s="20">
        <f t="shared" si="15"/>
        <v>-37945.030000000028</v>
      </c>
      <c r="Q33" s="18">
        <v>191689.62000000002</v>
      </c>
      <c r="R33" s="19">
        <f t="shared" si="16"/>
        <v>1.6665879537241558E-2</v>
      </c>
      <c r="S33" s="20">
        <f t="shared" si="17"/>
        <v>-33654.330000000045</v>
      </c>
      <c r="T33" s="17"/>
    </row>
    <row r="34" spans="1:20" s="22" customFormat="1" ht="15" x14ac:dyDescent="0.25">
      <c r="A34" s="16"/>
      <c r="B34" s="17" t="s">
        <v>25</v>
      </c>
      <c r="C34" s="18">
        <v>96385.97</v>
      </c>
      <c r="D34" s="19">
        <f>C34/C21</f>
        <v>9.1999791614956986E-2</v>
      </c>
      <c r="E34" s="18">
        <v>100288.41</v>
      </c>
      <c r="F34" s="19">
        <f t="shared" si="9"/>
        <v>7.4826658153398326E-2</v>
      </c>
      <c r="G34" s="20">
        <f t="shared" si="10"/>
        <v>-3902.4400000000023</v>
      </c>
      <c r="H34" s="18">
        <v>78008.490000000005</v>
      </c>
      <c r="I34" s="19">
        <f t="shared" si="11"/>
        <v>8.8690741732949913E-2</v>
      </c>
      <c r="J34" s="20">
        <f t="shared" si="12"/>
        <v>18377.479999999996</v>
      </c>
      <c r="K34" s="21"/>
      <c r="L34" s="18">
        <v>1085463.47</v>
      </c>
      <c r="M34" s="19">
        <f t="shared" si="13"/>
        <v>8.9370827131639297E-2</v>
      </c>
      <c r="N34" s="18">
        <v>1123041.47</v>
      </c>
      <c r="O34" s="19">
        <f t="shared" si="14"/>
        <v>8.3456457716943669E-2</v>
      </c>
      <c r="P34" s="20">
        <f t="shared" si="15"/>
        <v>-37578</v>
      </c>
      <c r="Q34" s="18">
        <v>1064176.04</v>
      </c>
      <c r="R34" s="19">
        <f t="shared" si="16"/>
        <v>9.2521596573975962E-2</v>
      </c>
      <c r="S34" s="20">
        <f t="shared" si="17"/>
        <v>21287.429999999935</v>
      </c>
      <c r="T34" s="17"/>
    </row>
    <row r="35" spans="1:20" s="22" customFormat="1" ht="15" x14ac:dyDescent="0.25">
      <c r="A35" s="16"/>
      <c r="B35" s="17" t="s">
        <v>26</v>
      </c>
      <c r="C35" s="18">
        <v>55631.99</v>
      </c>
      <c r="D35" s="19">
        <f>C35/C21</f>
        <v>5.3100378479620743E-2</v>
      </c>
      <c r="E35" s="18">
        <v>65639.02</v>
      </c>
      <c r="F35" s="19">
        <f t="shared" si="9"/>
        <v>4.8974238509355922E-2</v>
      </c>
      <c r="G35" s="20">
        <f t="shared" si="10"/>
        <v>-10007.030000000006</v>
      </c>
      <c r="H35" s="18">
        <v>72131.02</v>
      </c>
      <c r="I35" s="19">
        <f t="shared" si="11"/>
        <v>8.2008428387144075E-2</v>
      </c>
      <c r="J35" s="20">
        <f t="shared" si="12"/>
        <v>-16499.030000000006</v>
      </c>
      <c r="K35" s="21"/>
      <c r="L35" s="18">
        <v>587070.05999999994</v>
      </c>
      <c r="M35" s="19">
        <f t="shared" si="13"/>
        <v>4.833597656346842E-2</v>
      </c>
      <c r="N35" s="18">
        <v>664841.21000000008</v>
      </c>
      <c r="O35" s="19">
        <f t="shared" si="14"/>
        <v>4.9406271997103256E-2</v>
      </c>
      <c r="P35" s="20">
        <f t="shared" si="15"/>
        <v>-77771.15000000014</v>
      </c>
      <c r="Q35" s="18">
        <v>664789.48</v>
      </c>
      <c r="R35" s="19">
        <f t="shared" si="16"/>
        <v>5.7798129034349673E-2</v>
      </c>
      <c r="S35" s="20">
        <f t="shared" si="17"/>
        <v>-77719.420000000042</v>
      </c>
      <c r="T35" s="17"/>
    </row>
    <row r="36" spans="1:20" s="22" customFormat="1" ht="15" x14ac:dyDescent="0.25">
      <c r="A36" s="16"/>
      <c r="B36" s="17" t="s">
        <v>27</v>
      </c>
      <c r="C36" s="18">
        <v>22625.96</v>
      </c>
      <c r="D36" s="19">
        <f>C36/C21</f>
        <v>2.1596334042063924E-2</v>
      </c>
      <c r="E36" s="18">
        <v>18121</v>
      </c>
      <c r="F36" s="19">
        <f t="shared" si="9"/>
        <v>1.3520344697834285E-2</v>
      </c>
      <c r="G36" s="20">
        <f t="shared" si="10"/>
        <v>4504.9599999999991</v>
      </c>
      <c r="H36" s="18">
        <v>23434.55</v>
      </c>
      <c r="I36" s="19">
        <f t="shared" si="11"/>
        <v>2.6643607915983261E-2</v>
      </c>
      <c r="J36" s="20">
        <f t="shared" si="12"/>
        <v>-808.59000000000015</v>
      </c>
      <c r="K36" s="21"/>
      <c r="L36" s="18">
        <v>271721.89</v>
      </c>
      <c r="M36" s="19">
        <f t="shared" si="13"/>
        <v>2.2372019630538382E-2</v>
      </c>
      <c r="N36" s="18">
        <v>235453</v>
      </c>
      <c r="O36" s="19">
        <f t="shared" si="14"/>
        <v>1.7497192992194259E-2</v>
      </c>
      <c r="P36" s="20">
        <f t="shared" si="15"/>
        <v>36268.890000000014</v>
      </c>
      <c r="Q36" s="18">
        <v>213951.53</v>
      </c>
      <c r="R36" s="19">
        <f t="shared" si="16"/>
        <v>1.8601374585585403E-2</v>
      </c>
      <c r="S36" s="20">
        <f t="shared" si="17"/>
        <v>57770.360000000015</v>
      </c>
      <c r="T36" s="17"/>
    </row>
    <row r="37" spans="1:20" s="33" customFormat="1" ht="15" x14ac:dyDescent="0.25">
      <c r="A37" s="28"/>
      <c r="B37" s="27" t="s">
        <v>28</v>
      </c>
      <c r="C37" s="29">
        <f>SUM(C32:C36)</f>
        <v>285392.57</v>
      </c>
      <c r="D37" s="30">
        <f>C37/C21</f>
        <v>0.27240538190835267</v>
      </c>
      <c r="E37" s="29">
        <f>SUM(E32:E36)</f>
        <v>311886.67</v>
      </c>
      <c r="F37" s="30">
        <f t="shared" si="9"/>
        <v>0.23270323299264342</v>
      </c>
      <c r="G37" s="31">
        <f t="shared" si="10"/>
        <v>-26494.099999999977</v>
      </c>
      <c r="H37" s="29">
        <f>SUM(H32:H36)</f>
        <v>295487.81</v>
      </c>
      <c r="I37" s="30">
        <f t="shared" si="11"/>
        <v>0.33595103612369592</v>
      </c>
      <c r="J37" s="31">
        <f t="shared" si="12"/>
        <v>-10095.239999999991</v>
      </c>
      <c r="K37" s="32"/>
      <c r="L37" s="29">
        <f>SUM(L32:L36)</f>
        <v>3240554.0600000005</v>
      </c>
      <c r="M37" s="30">
        <f t="shared" si="13"/>
        <v>0.26680860730116684</v>
      </c>
      <c r="N37" s="29">
        <f>SUM(N32:N36)</f>
        <v>3417062.9299999997</v>
      </c>
      <c r="O37" s="30">
        <f t="shared" si="14"/>
        <v>0.25393182313532964</v>
      </c>
      <c r="P37" s="31">
        <f t="shared" si="15"/>
        <v>-176508.86999999918</v>
      </c>
      <c r="Q37" s="29">
        <f>SUM(Q32:Q36)</f>
        <v>3229972.06</v>
      </c>
      <c r="R37" s="30">
        <f t="shared" si="16"/>
        <v>0.28082024086967233</v>
      </c>
      <c r="S37" s="31">
        <f t="shared" si="17"/>
        <v>10582.000000000466</v>
      </c>
      <c r="T37" s="27"/>
    </row>
    <row r="38" spans="1:20" s="22" customFormat="1" ht="15" x14ac:dyDescent="0.25">
      <c r="A38" s="16"/>
      <c r="B38" s="17" t="s">
        <v>12</v>
      </c>
      <c r="C38" s="18"/>
      <c r="D38" s="19"/>
      <c r="E38" s="18"/>
      <c r="F38" s="19"/>
      <c r="G38" s="20"/>
      <c r="H38" s="18"/>
      <c r="I38" s="19"/>
      <c r="J38" s="20"/>
      <c r="K38" s="21"/>
      <c r="L38" s="18"/>
      <c r="M38" s="19"/>
      <c r="N38" s="18"/>
      <c r="O38" s="19"/>
      <c r="P38" s="20"/>
      <c r="Q38" s="18"/>
      <c r="R38" s="19"/>
      <c r="S38" s="20"/>
      <c r="T38" s="17"/>
    </row>
    <row r="39" spans="1:20" s="22" customFormat="1" ht="15" x14ac:dyDescent="0.25">
      <c r="A39" s="16"/>
      <c r="B39" s="27" t="s">
        <v>29</v>
      </c>
      <c r="C39" s="29">
        <f>C29-C37</f>
        <v>354736.00999999995</v>
      </c>
      <c r="D39" s="30">
        <f>C39/C21</f>
        <v>0.3385932516767875</v>
      </c>
      <c r="E39" s="29">
        <f>E29-E37</f>
        <v>537093.42999999993</v>
      </c>
      <c r="F39" s="30">
        <f>E39/E$21</f>
        <v>0.40073330989140388</v>
      </c>
      <c r="G39" s="31">
        <f>C39-E39</f>
        <v>-182357.41999999998</v>
      </c>
      <c r="H39" s="29">
        <f>H29-H37</f>
        <v>246738.52000000008</v>
      </c>
      <c r="I39" s="30">
        <f>H39/H$21</f>
        <v>0.28052616263807056</v>
      </c>
      <c r="J39" s="31">
        <f>C39-H39</f>
        <v>107997.48999999987</v>
      </c>
      <c r="K39" s="21"/>
      <c r="L39" s="29">
        <f>L29-L37</f>
        <v>4326224.91</v>
      </c>
      <c r="M39" s="30">
        <f>L39/L$21</f>
        <v>0.35619650891079896</v>
      </c>
      <c r="N39" s="29">
        <f>N29-N37</f>
        <v>5485598.3599999994</v>
      </c>
      <c r="O39" s="30">
        <f>N39/N$21</f>
        <v>0.40765066991112581</v>
      </c>
      <c r="P39" s="31">
        <f>L39-N39</f>
        <v>-1159373.4499999993</v>
      </c>
      <c r="Q39" s="29">
        <f>Q29-Q37</f>
        <v>4064811.8199999989</v>
      </c>
      <c r="R39" s="30">
        <f>Q39/Q$21</f>
        <v>0.35340288187579272</v>
      </c>
      <c r="S39" s="31">
        <f>L39-Q39</f>
        <v>261413.09000000125</v>
      </c>
      <c r="T39" s="17"/>
    </row>
    <row r="40" spans="1:20" s="22" customFormat="1" ht="15" x14ac:dyDescent="0.25">
      <c r="A40" s="16"/>
      <c r="B40" s="17" t="s">
        <v>12</v>
      </c>
      <c r="C40" s="18"/>
      <c r="D40" s="19"/>
      <c r="E40" s="18"/>
      <c r="F40" s="19"/>
      <c r="G40" s="20"/>
      <c r="H40" s="18"/>
      <c r="I40" s="19"/>
      <c r="J40" s="20"/>
      <c r="K40" s="21"/>
      <c r="L40" s="18"/>
      <c r="M40" s="19"/>
      <c r="N40" s="18"/>
      <c r="O40" s="19"/>
      <c r="P40" s="20"/>
      <c r="Q40" s="18"/>
      <c r="R40" s="19"/>
      <c r="S40" s="20"/>
      <c r="T40" s="17"/>
    </row>
    <row r="41" spans="1:20" s="22" customFormat="1" ht="15" x14ac:dyDescent="0.25">
      <c r="A41" s="16"/>
      <c r="B41" s="17" t="s">
        <v>30</v>
      </c>
      <c r="C41" s="18">
        <v>55537.08</v>
      </c>
      <c r="D41" s="19">
        <f>C41/C21</f>
        <v>5.3009787491926419E-2</v>
      </c>
      <c r="E41" s="18">
        <v>90396.45</v>
      </c>
      <c r="F41" s="19">
        <f>E41/E$21</f>
        <v>6.744612126596447E-2</v>
      </c>
      <c r="G41" s="20">
        <f t="shared" ref="G41:G42" si="18">C41-E41</f>
        <v>-34859.369999999995</v>
      </c>
      <c r="H41" s="18">
        <v>28126.04</v>
      </c>
      <c r="I41" s="19">
        <f>H41/H$21</f>
        <v>3.197753667082414E-2</v>
      </c>
      <c r="J41" s="20">
        <f t="shared" ref="J41:J42" si="19">C41-H41</f>
        <v>27411.040000000001</v>
      </c>
      <c r="K41" s="21"/>
      <c r="L41" s="18">
        <v>555490.62</v>
      </c>
      <c r="M41" s="19">
        <f>L41/L$21</f>
        <v>4.5735906868673466E-2</v>
      </c>
      <c r="N41" s="18">
        <v>737240.83</v>
      </c>
      <c r="O41" s="19">
        <f>N41/N$21</f>
        <v>5.4786497025884055E-2</v>
      </c>
      <c r="P41" s="20">
        <f>L41-N41</f>
        <v>-181750.20999999996</v>
      </c>
      <c r="Q41" s="18">
        <v>362165.32</v>
      </c>
      <c r="R41" s="19">
        <f>Q41/Q$21</f>
        <v>3.1487378375973311E-2</v>
      </c>
      <c r="S41" s="20">
        <f t="shared" ref="S41:S42" si="20">L41-Q41</f>
        <v>193325.3</v>
      </c>
      <c r="T41" s="17"/>
    </row>
    <row r="42" spans="1:20" s="33" customFormat="1" ht="15" x14ac:dyDescent="0.25">
      <c r="A42" s="28"/>
      <c r="B42" s="27" t="s">
        <v>31</v>
      </c>
      <c r="C42" s="29">
        <f>C39-C41</f>
        <v>299198.92999999993</v>
      </c>
      <c r="D42" s="30">
        <f>C42/C21</f>
        <v>0.28558346418486108</v>
      </c>
      <c r="E42" s="29">
        <f>E39-E41</f>
        <v>446696.97999999992</v>
      </c>
      <c r="F42" s="30">
        <f>E42/E$21</f>
        <v>0.33328718862543938</v>
      </c>
      <c r="G42" s="31">
        <f t="shared" si="18"/>
        <v>-147498.04999999999</v>
      </c>
      <c r="H42" s="29">
        <f>H39-H41</f>
        <v>218612.48000000007</v>
      </c>
      <c r="I42" s="30">
        <f>H42/H$21</f>
        <v>0.24854862596724642</v>
      </c>
      <c r="J42" s="31">
        <f t="shared" si="19"/>
        <v>80586.449999999866</v>
      </c>
      <c r="K42" s="32"/>
      <c r="L42" s="29">
        <f>L39-L41</f>
        <v>3770734.29</v>
      </c>
      <c r="M42" s="30">
        <f>L42/L$21</f>
        <v>0.3104606020421255</v>
      </c>
      <c r="N42" s="29">
        <f>N39-N41</f>
        <v>4748357.5299999993</v>
      </c>
      <c r="O42" s="30">
        <f>N42/N$21</f>
        <v>0.35286417288524174</v>
      </c>
      <c r="P42" s="31">
        <f>L42-N42</f>
        <v>-977623.23999999929</v>
      </c>
      <c r="Q42" s="29">
        <f>Q39-Q41</f>
        <v>3702646.4999999991</v>
      </c>
      <c r="R42" s="30">
        <f>Q42/Q$21</f>
        <v>0.32191550349981946</v>
      </c>
      <c r="S42" s="31">
        <f t="shared" si="20"/>
        <v>68087.790000000969</v>
      </c>
      <c r="T42" s="27"/>
    </row>
    <row r="43" spans="1:20" s="22" customFormat="1" ht="15" x14ac:dyDescent="0.25">
      <c r="A43" s="16"/>
      <c r="B43" s="17" t="s">
        <v>12</v>
      </c>
      <c r="C43" s="18"/>
      <c r="D43" s="19"/>
      <c r="E43" s="18"/>
      <c r="F43" s="19"/>
      <c r="G43" s="20"/>
      <c r="H43" s="18"/>
      <c r="I43" s="19"/>
      <c r="J43" s="20"/>
      <c r="K43" s="21"/>
      <c r="L43" s="18"/>
      <c r="M43" s="19"/>
      <c r="N43" s="18"/>
      <c r="O43" s="19"/>
      <c r="P43" s="20"/>
      <c r="Q43" s="18"/>
      <c r="R43" s="19"/>
      <c r="S43" s="20"/>
      <c r="T43" s="17"/>
    </row>
    <row r="44" spans="1:20" s="22" customFormat="1" ht="15" x14ac:dyDescent="0.25">
      <c r="A44" s="16"/>
      <c r="B44" s="17" t="s">
        <v>32</v>
      </c>
      <c r="C44" s="18">
        <v>0</v>
      </c>
      <c r="D44" s="19">
        <f>C44/C21</f>
        <v>0</v>
      </c>
      <c r="E44" s="18">
        <v>0</v>
      </c>
      <c r="F44" s="19">
        <f t="shared" ref="F44:F49" si="21">E44/E$21</f>
        <v>0</v>
      </c>
      <c r="G44" s="20">
        <f t="shared" ref="G44:G49" si="22">C44-E44</f>
        <v>0</v>
      </c>
      <c r="H44" s="18">
        <v>0</v>
      </c>
      <c r="I44" s="19">
        <f t="shared" ref="I44:I49" si="23">H44/H$21</f>
        <v>0</v>
      </c>
      <c r="J44" s="20">
        <f t="shared" ref="J44:J49" si="24">C44-H44</f>
        <v>0</v>
      </c>
      <c r="K44" s="21"/>
      <c r="L44" s="18">
        <v>-20168.089999999997</v>
      </c>
      <c r="M44" s="19">
        <f t="shared" ref="M44:M49" si="25">L44/L$21</f>
        <v>-1.6605246834933494E-3</v>
      </c>
      <c r="N44" s="18">
        <v>0</v>
      </c>
      <c r="O44" s="19">
        <f t="shared" ref="O44:O49" si="26">N44/N$21</f>
        <v>0</v>
      </c>
      <c r="P44" s="20">
        <f t="shared" ref="P44:P49" si="27">L44-N44</f>
        <v>-20168.089999999997</v>
      </c>
      <c r="Q44" s="18">
        <v>0</v>
      </c>
      <c r="R44" s="19">
        <f t="shared" ref="R44:R49" si="28">Q44/Q$21</f>
        <v>0</v>
      </c>
      <c r="S44" s="20">
        <f t="shared" ref="S44:S49" si="29">L44-Q44</f>
        <v>-20168.089999999997</v>
      </c>
      <c r="T44" s="17"/>
    </row>
    <row r="45" spans="1:20" s="22" customFormat="1" ht="15" x14ac:dyDescent="0.25">
      <c r="A45" s="16"/>
      <c r="B45" s="17" t="s">
        <v>33</v>
      </c>
      <c r="C45" s="18">
        <v>2224.88</v>
      </c>
      <c r="D45" s="19">
        <f>C45/C21</f>
        <v>2.1236337235417718E-3</v>
      </c>
      <c r="E45" s="18">
        <v>1217.42</v>
      </c>
      <c r="F45" s="19">
        <f t="shared" si="21"/>
        <v>9.0833497279606073E-4</v>
      </c>
      <c r="G45" s="20">
        <f t="shared" si="22"/>
        <v>1007.46</v>
      </c>
      <c r="H45" s="18">
        <v>2440.4899999999998</v>
      </c>
      <c r="I45" s="19">
        <f t="shared" si="23"/>
        <v>2.7746834772964697E-3</v>
      </c>
      <c r="J45" s="20">
        <f t="shared" si="24"/>
        <v>-215.60999999999967</v>
      </c>
      <c r="K45" s="21"/>
      <c r="L45" s="18">
        <v>12994.310000000001</v>
      </c>
      <c r="M45" s="19">
        <f t="shared" si="25"/>
        <v>1.0698768450539675E-3</v>
      </c>
      <c r="N45" s="18">
        <v>14354.62</v>
      </c>
      <c r="O45" s="19">
        <f t="shared" si="26"/>
        <v>1.0667333033327737E-3</v>
      </c>
      <c r="P45" s="20">
        <f t="shared" si="27"/>
        <v>-1360.3099999999995</v>
      </c>
      <c r="Q45" s="18">
        <v>16451.859999999997</v>
      </c>
      <c r="R45" s="19">
        <f t="shared" si="28"/>
        <v>1.4303576632034788E-3</v>
      </c>
      <c r="S45" s="20">
        <f t="shared" si="29"/>
        <v>-3457.5499999999956</v>
      </c>
      <c r="T45" s="17"/>
    </row>
    <row r="46" spans="1:20" s="22" customFormat="1" ht="15" x14ac:dyDescent="0.25">
      <c r="A46" s="16"/>
      <c r="B46" s="17" t="s">
        <v>34</v>
      </c>
      <c r="C46" s="18">
        <v>86358.56</v>
      </c>
      <c r="D46" s="19">
        <f>C46/C21</f>
        <v>8.2428692932879744E-2</v>
      </c>
      <c r="E46" s="18">
        <v>45711.86</v>
      </c>
      <c r="F46" s="19">
        <f t="shared" si="21"/>
        <v>3.4106291263128037E-2</v>
      </c>
      <c r="G46" s="20">
        <f t="shared" si="22"/>
        <v>40646.699999999997</v>
      </c>
      <c r="H46" s="18">
        <v>40030</v>
      </c>
      <c r="I46" s="19">
        <f t="shared" si="23"/>
        <v>4.5511589720170005E-2</v>
      </c>
      <c r="J46" s="20">
        <f t="shared" si="24"/>
        <v>46328.56</v>
      </c>
      <c r="K46" s="21"/>
      <c r="L46" s="18">
        <v>561023.76</v>
      </c>
      <c r="M46" s="19">
        <f t="shared" si="25"/>
        <v>4.6191473833478977E-2</v>
      </c>
      <c r="N46" s="18">
        <v>520375.49999999988</v>
      </c>
      <c r="O46" s="19">
        <f t="shared" si="26"/>
        <v>3.8670607517889262E-2</v>
      </c>
      <c r="P46" s="20">
        <f t="shared" si="27"/>
        <v>40648.260000000126</v>
      </c>
      <c r="Q46" s="18">
        <v>456919.2</v>
      </c>
      <c r="R46" s="19">
        <f t="shared" si="28"/>
        <v>3.9725470505146722E-2</v>
      </c>
      <c r="S46" s="20">
        <f t="shared" si="29"/>
        <v>104104.56</v>
      </c>
      <c r="T46" s="17"/>
    </row>
    <row r="47" spans="1:20" s="22" customFormat="1" ht="15" x14ac:dyDescent="0.25">
      <c r="A47" s="16"/>
      <c r="B47" s="17" t="s">
        <v>35</v>
      </c>
      <c r="C47" s="18">
        <v>117717.35</v>
      </c>
      <c r="D47" s="19">
        <f>C47/C21</f>
        <v>0.11236045733071895</v>
      </c>
      <c r="E47" s="18">
        <v>140497.67000000001</v>
      </c>
      <c r="F47" s="19">
        <f t="shared" si="21"/>
        <v>0.10482737860176433</v>
      </c>
      <c r="G47" s="20">
        <f t="shared" si="22"/>
        <v>-22780.320000000007</v>
      </c>
      <c r="H47" s="18">
        <v>123613.87</v>
      </c>
      <c r="I47" s="19">
        <f t="shared" si="23"/>
        <v>0.14054118748844444</v>
      </c>
      <c r="J47" s="20">
        <f t="shared" si="24"/>
        <v>-5896.5199999999895</v>
      </c>
      <c r="K47" s="21"/>
      <c r="L47" s="18">
        <v>1343494.4400000002</v>
      </c>
      <c r="M47" s="19">
        <f t="shared" si="25"/>
        <v>0.11061561505110674</v>
      </c>
      <c r="N47" s="18">
        <v>1461800.3699999999</v>
      </c>
      <c r="O47" s="19">
        <f t="shared" si="26"/>
        <v>0.10863061073739121</v>
      </c>
      <c r="P47" s="20">
        <f t="shared" si="27"/>
        <v>-118305.9299999997</v>
      </c>
      <c r="Q47" s="18">
        <v>1228114.2399999998</v>
      </c>
      <c r="R47" s="19">
        <f t="shared" si="28"/>
        <v>0.10677471206740857</v>
      </c>
      <c r="S47" s="20">
        <f t="shared" si="29"/>
        <v>115380.20000000042</v>
      </c>
      <c r="T47" s="17"/>
    </row>
    <row r="48" spans="1:20" s="22" customFormat="1" ht="15" x14ac:dyDescent="0.25">
      <c r="A48" s="16"/>
      <c r="B48" s="17" t="s">
        <v>36</v>
      </c>
      <c r="C48" s="18">
        <v>0</v>
      </c>
      <c r="D48" s="19">
        <f>C48/C21</f>
        <v>0</v>
      </c>
      <c r="E48" s="18">
        <v>0</v>
      </c>
      <c r="F48" s="19">
        <f t="shared" si="21"/>
        <v>0</v>
      </c>
      <c r="G48" s="20">
        <f t="shared" si="22"/>
        <v>0</v>
      </c>
      <c r="H48" s="18">
        <v>0</v>
      </c>
      <c r="I48" s="19">
        <f t="shared" si="23"/>
        <v>0</v>
      </c>
      <c r="J48" s="20">
        <f t="shared" si="24"/>
        <v>0</v>
      </c>
      <c r="K48" s="21"/>
      <c r="L48" s="18">
        <v>0</v>
      </c>
      <c r="M48" s="19">
        <f t="shared" si="25"/>
        <v>0</v>
      </c>
      <c r="N48" s="18">
        <v>0</v>
      </c>
      <c r="O48" s="19">
        <f t="shared" si="26"/>
        <v>0</v>
      </c>
      <c r="P48" s="20">
        <f t="shared" si="27"/>
        <v>0</v>
      </c>
      <c r="Q48" s="18">
        <v>0</v>
      </c>
      <c r="R48" s="19">
        <f t="shared" si="28"/>
        <v>0</v>
      </c>
      <c r="S48" s="20">
        <f t="shared" si="29"/>
        <v>0</v>
      </c>
      <c r="T48" s="17"/>
    </row>
    <row r="49" spans="1:20" s="33" customFormat="1" ht="15" x14ac:dyDescent="0.25">
      <c r="A49" s="28"/>
      <c r="B49" s="27" t="s">
        <v>37</v>
      </c>
      <c r="C49" s="29">
        <f>SUM(C44:C48)</f>
        <v>206300.79</v>
      </c>
      <c r="D49" s="30">
        <f>C49/C21</f>
        <v>0.19691278398714046</v>
      </c>
      <c r="E49" s="29">
        <f>SUM(E44:E48)</f>
        <v>187426.95</v>
      </c>
      <c r="F49" s="30">
        <f t="shared" si="21"/>
        <v>0.13984200483768844</v>
      </c>
      <c r="G49" s="31">
        <f t="shared" si="22"/>
        <v>18873.839999999997</v>
      </c>
      <c r="H49" s="29">
        <f>SUM(H44:H48)</f>
        <v>166084.35999999999</v>
      </c>
      <c r="I49" s="30">
        <f t="shared" si="23"/>
        <v>0.18882746068591091</v>
      </c>
      <c r="J49" s="31">
        <f t="shared" si="24"/>
        <v>40216.430000000022</v>
      </c>
      <c r="K49" s="32"/>
      <c r="L49" s="29">
        <f>SUM(L44:L48)</f>
        <v>1897344.4200000002</v>
      </c>
      <c r="M49" s="30">
        <f t="shared" si="25"/>
        <v>0.15621644104614635</v>
      </c>
      <c r="N49" s="29">
        <f>SUM(N44:N48)</f>
        <v>1996530.4899999998</v>
      </c>
      <c r="O49" s="30">
        <f t="shared" si="26"/>
        <v>0.14836795155861324</v>
      </c>
      <c r="P49" s="31">
        <f t="shared" si="27"/>
        <v>-99186.0699999996</v>
      </c>
      <c r="Q49" s="29">
        <f>SUM(Q44:Q48)</f>
        <v>1701485.2999999998</v>
      </c>
      <c r="R49" s="30">
        <f t="shared" si="28"/>
        <v>0.14793054023575877</v>
      </c>
      <c r="S49" s="31">
        <f t="shared" si="29"/>
        <v>195859.12000000034</v>
      </c>
      <c r="T49" s="27"/>
    </row>
    <row r="50" spans="1:20" s="22" customFormat="1" ht="15" x14ac:dyDescent="0.25">
      <c r="A50" s="16"/>
      <c r="B50" s="17" t="s">
        <v>12</v>
      </c>
      <c r="C50" s="18"/>
      <c r="D50" s="19"/>
      <c r="E50" s="18"/>
      <c r="F50" s="19"/>
      <c r="G50" s="20"/>
      <c r="H50" s="18"/>
      <c r="I50" s="19"/>
      <c r="J50" s="20"/>
      <c r="K50" s="21"/>
      <c r="L50" s="18"/>
      <c r="M50" s="19"/>
      <c r="N50" s="18"/>
      <c r="O50" s="19"/>
      <c r="P50" s="20"/>
      <c r="Q50" s="18"/>
      <c r="R50" s="19"/>
      <c r="S50" s="20"/>
      <c r="T50" s="17"/>
    </row>
    <row r="51" spans="1:20" s="33" customFormat="1" ht="15" x14ac:dyDescent="0.25">
      <c r="A51" s="28"/>
      <c r="B51" s="27" t="s">
        <v>38</v>
      </c>
      <c r="C51" s="29">
        <f>C42-C49</f>
        <v>92898.139999999927</v>
      </c>
      <c r="D51" s="30">
        <f>C51/C21</f>
        <v>8.8670680197720605E-2</v>
      </c>
      <c r="E51" s="29">
        <f>E42-E49</f>
        <v>259270.02999999991</v>
      </c>
      <c r="F51" s="30">
        <f>E51/E$21</f>
        <v>0.19344518378775094</v>
      </c>
      <c r="G51" s="31">
        <f>C51-E51</f>
        <v>-166371.88999999998</v>
      </c>
      <c r="H51" s="29">
        <f>H42-H49</f>
        <v>52528.120000000083</v>
      </c>
      <c r="I51" s="30">
        <f>H51/H$21</f>
        <v>5.9721165281335503E-2</v>
      </c>
      <c r="J51" s="31">
        <f>C51-H51</f>
        <v>40370.019999999844</v>
      </c>
      <c r="K51" s="32"/>
      <c r="L51" s="29">
        <f>L42-L49</f>
        <v>1873389.8699999999</v>
      </c>
      <c r="M51" s="30">
        <f>L51/L$21</f>
        <v>0.15424416099597915</v>
      </c>
      <c r="N51" s="29">
        <f>N42-N49</f>
        <v>2751827.0399999996</v>
      </c>
      <c r="O51" s="30">
        <f>N51/N$21</f>
        <v>0.20449622132662851</v>
      </c>
      <c r="P51" s="31">
        <f>L51-N51</f>
        <v>-878437.16999999969</v>
      </c>
      <c r="Q51" s="29">
        <f>Q42-Q49</f>
        <v>2001161.1999999993</v>
      </c>
      <c r="R51" s="30">
        <f>Q51/Q$21</f>
        <v>0.17398496326406065</v>
      </c>
      <c r="S51" s="31">
        <f>L51-Q51</f>
        <v>-127771.32999999938</v>
      </c>
      <c r="T51" s="27"/>
    </row>
    <row r="52" spans="1:20" s="22" customFormat="1" ht="15" x14ac:dyDescent="0.25">
      <c r="A52" s="16"/>
      <c r="B52" s="17" t="s">
        <v>12</v>
      </c>
      <c r="C52" s="18"/>
      <c r="D52" s="19"/>
      <c r="E52" s="18"/>
      <c r="F52" s="19"/>
      <c r="G52" s="20"/>
      <c r="H52" s="18"/>
      <c r="I52" s="19"/>
      <c r="J52" s="20"/>
      <c r="K52" s="21"/>
      <c r="L52" s="18"/>
      <c r="M52" s="19"/>
      <c r="N52" s="18"/>
      <c r="O52" s="19"/>
      <c r="P52" s="20"/>
      <c r="Q52" s="18"/>
      <c r="R52" s="19"/>
      <c r="S52" s="20"/>
      <c r="T52" s="17"/>
    </row>
    <row r="53" spans="1:20" s="22" customFormat="1" ht="15" x14ac:dyDescent="0.25">
      <c r="A53" s="16"/>
      <c r="B53" s="17" t="s">
        <v>39</v>
      </c>
      <c r="C53" s="18">
        <v>41907.038399999998</v>
      </c>
      <c r="D53" s="19">
        <f>C53/C21</f>
        <v>0.04</v>
      </c>
      <c r="E53" s="18">
        <v>53611.059200000003</v>
      </c>
      <c r="F53" s="19">
        <f>E53/E$21</f>
        <v>0.04</v>
      </c>
      <c r="G53" s="20">
        <f t="shared" ref="G53" si="30">C53-E53</f>
        <v>-11704.020800000006</v>
      </c>
      <c r="H53" s="18">
        <v>35182.247200000005</v>
      </c>
      <c r="I53" s="19">
        <f>H53/H$21</f>
        <v>0.04</v>
      </c>
      <c r="J53" s="20">
        <f t="shared" ref="J53:J54" si="31">C53-H53</f>
        <v>6724.7911999999924</v>
      </c>
      <c r="K53" s="21"/>
      <c r="L53" s="18">
        <v>485824.51560000004</v>
      </c>
      <c r="M53" s="19">
        <f>L53/L$21</f>
        <v>0.04</v>
      </c>
      <c r="N53" s="18">
        <v>538264.62360000005</v>
      </c>
      <c r="O53" s="19">
        <f>N53/N$21</f>
        <v>0.04</v>
      </c>
      <c r="P53" s="20">
        <f>L53-N53</f>
        <v>-52440.108000000007</v>
      </c>
      <c r="Q53" s="18">
        <v>460076.81640000001</v>
      </c>
      <c r="R53" s="19">
        <f>Q53/Q$21</f>
        <v>4.0000000000000008E-2</v>
      </c>
      <c r="S53" s="20">
        <f t="shared" ref="S53:S54" si="32">L53-Q53</f>
        <v>25747.699200000032</v>
      </c>
      <c r="T53" s="17"/>
    </row>
    <row r="54" spans="1:20" s="33" customFormat="1" ht="15.75" thickBot="1" x14ac:dyDescent="0.3">
      <c r="A54" s="28"/>
      <c r="B54" s="27" t="s">
        <v>40</v>
      </c>
      <c r="C54" s="34">
        <f>C51-C53</f>
        <v>50991.101599999929</v>
      </c>
      <c r="D54" s="35">
        <f>C54/C21</f>
        <v>4.8670680197720612E-2</v>
      </c>
      <c r="E54" s="34">
        <f>E51-E53</f>
        <v>205658.97079999989</v>
      </c>
      <c r="F54" s="35">
        <f>E54/E$21</f>
        <v>0.15344518378775093</v>
      </c>
      <c r="G54" s="36">
        <f>C54-E54</f>
        <v>-154667.86919999996</v>
      </c>
      <c r="H54" s="34">
        <f>H51-H53</f>
        <v>17345.872800000077</v>
      </c>
      <c r="I54" s="35">
        <f>H54/H$21</f>
        <v>1.9721165281335499E-2</v>
      </c>
      <c r="J54" s="36">
        <f t="shared" si="31"/>
        <v>33645.228799999852</v>
      </c>
      <c r="K54" s="32"/>
      <c r="L54" s="34">
        <f>L51-L53</f>
        <v>1387565.3543999998</v>
      </c>
      <c r="M54" s="35">
        <f>L54/L$21</f>
        <v>0.11424416099597916</v>
      </c>
      <c r="N54" s="34">
        <f>N51-N53</f>
        <v>2213562.4163999995</v>
      </c>
      <c r="O54" s="35">
        <f>N54/N$21</f>
        <v>0.1644962213266285</v>
      </c>
      <c r="P54" s="36">
        <f>L54-N54</f>
        <v>-825997.06199999969</v>
      </c>
      <c r="Q54" s="34">
        <f>Q51-Q53</f>
        <v>1541084.3835999994</v>
      </c>
      <c r="R54" s="35">
        <f>Q54/Q$21</f>
        <v>0.13398496326406067</v>
      </c>
      <c r="S54" s="36">
        <f t="shared" si="32"/>
        <v>-153519.02919999952</v>
      </c>
      <c r="T54" s="27"/>
    </row>
    <row r="55" spans="1:20" s="22" customFormat="1" ht="15.75" thickTop="1" x14ac:dyDescent="0.25">
      <c r="A55" s="16"/>
      <c r="B55" s="17"/>
      <c r="C55" s="18"/>
      <c r="D55" s="19"/>
      <c r="E55" s="20"/>
      <c r="F55" s="19"/>
      <c r="G55" s="18"/>
      <c r="H55" s="18"/>
      <c r="I55" s="23"/>
      <c r="J55" s="18"/>
      <c r="K55" s="37"/>
      <c r="L55" s="18"/>
      <c r="M55" s="23"/>
      <c r="N55" s="18"/>
      <c r="O55" s="23"/>
      <c r="P55" s="18"/>
      <c r="Q55" s="18"/>
      <c r="R55" s="23"/>
      <c r="S55" s="20"/>
      <c r="T55" s="17"/>
    </row>
    <row r="56" spans="1:20" s="22" customFormat="1" ht="15" x14ac:dyDescent="0.25">
      <c r="A56" s="16"/>
      <c r="B56" s="17"/>
      <c r="C56" s="18"/>
      <c r="D56" s="19"/>
      <c r="E56" s="20"/>
      <c r="F56" s="19"/>
      <c r="G56" s="18"/>
      <c r="H56" s="18"/>
      <c r="I56" s="23"/>
      <c r="J56" s="18"/>
      <c r="K56" s="37"/>
      <c r="L56" s="18"/>
      <c r="M56" s="23"/>
      <c r="N56" s="18"/>
      <c r="O56" s="23"/>
      <c r="P56" s="18"/>
      <c r="Q56" s="18"/>
      <c r="R56" s="23"/>
      <c r="S56" s="20"/>
      <c r="T56" s="17"/>
    </row>
    <row r="57" spans="1:20" ht="15" x14ac:dyDescent="0.25">
      <c r="A57" s="7"/>
      <c r="B57" s="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  <c r="P57" s="39"/>
      <c r="Q57" s="39"/>
      <c r="R57" s="39"/>
      <c r="S57" s="17"/>
      <c r="T57" s="17"/>
    </row>
    <row r="58" spans="1:20" ht="15.75" thickBot="1" x14ac:dyDescent="0.3">
      <c r="A58" s="7"/>
      <c r="B58" s="40"/>
      <c r="C58" s="41"/>
      <c r="D58" s="40"/>
      <c r="E58" s="41"/>
      <c r="F58" s="40"/>
      <c r="G58" s="40"/>
      <c r="H58" s="41"/>
      <c r="I58" s="40"/>
      <c r="J58" s="41"/>
      <c r="K58" s="40"/>
      <c r="L58" s="41"/>
      <c r="M58" s="40"/>
      <c r="N58" s="40"/>
      <c r="O58" s="42"/>
      <c r="P58" s="42"/>
      <c r="Q58" s="41"/>
      <c r="R58" s="42"/>
      <c r="S58" s="41"/>
    </row>
    <row r="59" spans="1:20" ht="13.5" thickTop="1" x14ac:dyDescent="0.2">
      <c r="A59" s="7"/>
      <c r="B59" s="7"/>
      <c r="C59" s="7"/>
      <c r="D59" s="7"/>
      <c r="E59" s="7"/>
      <c r="F59" s="7"/>
      <c r="O59" s="15"/>
      <c r="P59" s="15"/>
      <c r="Q59" s="15"/>
      <c r="R59" s="15"/>
    </row>
    <row r="60" spans="1:20" x14ac:dyDescent="0.2">
      <c r="B60" s="43"/>
      <c r="C60" s="7"/>
      <c r="D60" s="7"/>
      <c r="E60" s="7"/>
      <c r="F60" s="7"/>
      <c r="O60" s="44"/>
      <c r="P60" s="44"/>
      <c r="Q60" s="44"/>
      <c r="R60" s="44"/>
    </row>
    <row r="61" spans="1:20" x14ac:dyDescent="0.2">
      <c r="C61" s="7"/>
      <c r="D61" s="7"/>
      <c r="E61" s="7"/>
      <c r="F61" s="7"/>
      <c r="O61" s="15"/>
      <c r="P61" s="15"/>
      <c r="Q61" s="15"/>
      <c r="R61" s="15"/>
    </row>
    <row r="62" spans="1:20" x14ac:dyDescent="0.2">
      <c r="C62" s="7"/>
      <c r="D62" s="7"/>
      <c r="E62" s="7"/>
      <c r="F62" s="7"/>
      <c r="O62" s="15"/>
      <c r="P62" s="15"/>
      <c r="Q62" s="15"/>
      <c r="R62" s="15"/>
    </row>
    <row r="63" spans="1:20" x14ac:dyDescent="0.2">
      <c r="C63" s="7"/>
      <c r="D63" s="7"/>
      <c r="E63" s="7"/>
      <c r="F63" s="7"/>
      <c r="O63" s="15"/>
      <c r="P63" s="15"/>
      <c r="Q63" s="15"/>
      <c r="R63" s="15"/>
    </row>
    <row r="64" spans="1:20" x14ac:dyDescent="0.2">
      <c r="C64" s="7"/>
      <c r="D64" s="7"/>
      <c r="E64" s="7"/>
      <c r="F64" s="7"/>
      <c r="O64" s="15"/>
      <c r="P64" s="15"/>
      <c r="Q64" s="15"/>
      <c r="R64" s="15"/>
    </row>
    <row r="65" spans="1:18" x14ac:dyDescent="0.2">
      <c r="C65" s="7"/>
      <c r="D65" s="7"/>
      <c r="E65" s="7"/>
      <c r="F65" s="7"/>
      <c r="O65" s="15"/>
      <c r="P65" s="15"/>
      <c r="Q65" s="15"/>
      <c r="R65" s="15"/>
    </row>
    <row r="66" spans="1:18" x14ac:dyDescent="0.2">
      <c r="C66" s="7"/>
      <c r="D66" s="7"/>
      <c r="E66" s="7"/>
      <c r="F66" s="7"/>
      <c r="O66" s="15"/>
      <c r="P66" s="15"/>
      <c r="Q66" s="15"/>
      <c r="R66" s="15"/>
    </row>
    <row r="67" spans="1:18" x14ac:dyDescent="0.2">
      <c r="B67" s="43"/>
      <c r="C67" s="7"/>
      <c r="D67" s="7"/>
      <c r="E67" s="7"/>
      <c r="F67" s="7"/>
      <c r="O67" s="15"/>
      <c r="P67" s="15"/>
      <c r="Q67" s="15"/>
      <c r="R67" s="15"/>
    </row>
    <row r="68" spans="1:18" x14ac:dyDescent="0.2">
      <c r="C68" s="7"/>
      <c r="D68" s="7"/>
      <c r="E68" s="7"/>
      <c r="F68" s="7"/>
      <c r="O68" s="15"/>
      <c r="P68" s="15"/>
      <c r="Q68" s="15"/>
      <c r="R68" s="15"/>
    </row>
    <row r="69" spans="1:18" x14ac:dyDescent="0.2">
      <c r="B69" s="43"/>
      <c r="C69" s="7"/>
      <c r="D69" s="7"/>
      <c r="E69" s="7"/>
      <c r="F69" s="7"/>
      <c r="O69" s="7"/>
      <c r="P69" s="7"/>
      <c r="Q69" s="7"/>
      <c r="R69" s="7"/>
    </row>
    <row r="70" spans="1:18" x14ac:dyDescent="0.2">
      <c r="B70" s="43"/>
      <c r="C70" s="7"/>
      <c r="D70" s="7"/>
      <c r="E70" s="7"/>
      <c r="F70" s="7"/>
      <c r="O70" s="7"/>
      <c r="P70" s="7"/>
      <c r="Q70" s="7"/>
      <c r="R70" s="7"/>
    </row>
    <row r="71" spans="1:18" x14ac:dyDescent="0.2">
      <c r="C71" s="7"/>
      <c r="D71" s="7"/>
      <c r="E71" s="7"/>
      <c r="F71" s="7"/>
    </row>
    <row r="72" spans="1:18" ht="15.75" x14ac:dyDescent="0.25">
      <c r="A72" s="45"/>
      <c r="C72" s="7"/>
      <c r="D72" s="7"/>
      <c r="E72" s="7"/>
      <c r="F72" s="7"/>
    </row>
    <row r="73" spans="1:18" x14ac:dyDescent="0.2">
      <c r="C73" s="7"/>
      <c r="D73" s="7"/>
      <c r="E73" s="7"/>
      <c r="F73" s="7"/>
      <c r="O73" s="15"/>
      <c r="P73" s="15"/>
      <c r="Q73" s="15"/>
      <c r="R73" s="15"/>
    </row>
    <row r="74" spans="1:18" x14ac:dyDescent="0.2">
      <c r="C74" s="44"/>
      <c r="D74" s="44"/>
      <c r="E74" s="44"/>
      <c r="F74" s="44"/>
      <c r="L74" s="44"/>
      <c r="M74" s="44"/>
      <c r="N74" s="44"/>
      <c r="O74" s="15"/>
      <c r="P74" s="15"/>
      <c r="Q74" s="15"/>
      <c r="R74" s="15"/>
    </row>
    <row r="75" spans="1:18" x14ac:dyDescent="0.2">
      <c r="C75" s="7"/>
      <c r="D75" s="7"/>
      <c r="E75" s="7"/>
      <c r="F75" s="7"/>
      <c r="O75" s="15"/>
      <c r="P75" s="15"/>
      <c r="Q75" s="15"/>
      <c r="R75" s="15"/>
    </row>
    <row r="76" spans="1:18" x14ac:dyDescent="0.2">
      <c r="C76" s="7"/>
      <c r="D76" s="7"/>
      <c r="E76" s="7"/>
      <c r="F76" s="7"/>
      <c r="O76" s="15"/>
      <c r="P76" s="15"/>
      <c r="Q76" s="15"/>
      <c r="R76" s="15"/>
    </row>
    <row r="77" spans="1:18" x14ac:dyDescent="0.2">
      <c r="C77" s="7"/>
      <c r="D77" s="7"/>
      <c r="E77" s="7"/>
      <c r="F77" s="7"/>
      <c r="O77" s="15"/>
      <c r="P77" s="15"/>
      <c r="Q77" s="15"/>
      <c r="R77" s="15"/>
    </row>
    <row r="78" spans="1:18" x14ac:dyDescent="0.2">
      <c r="C78" s="7"/>
      <c r="D78" s="7"/>
      <c r="E78" s="7"/>
      <c r="F78" s="7"/>
      <c r="O78" s="15"/>
      <c r="P78" s="15"/>
      <c r="Q78" s="15"/>
      <c r="R78" s="15"/>
    </row>
    <row r="79" spans="1:18" x14ac:dyDescent="0.2">
      <c r="C79" s="7"/>
      <c r="D79" s="7"/>
      <c r="E79" s="7"/>
      <c r="F79" s="7"/>
      <c r="O79" s="15"/>
      <c r="P79" s="15"/>
      <c r="Q79" s="15"/>
      <c r="R79" s="15"/>
    </row>
    <row r="80" spans="1:18" x14ac:dyDescent="0.2">
      <c r="C80" s="7"/>
      <c r="D80" s="7"/>
      <c r="E80" s="7"/>
      <c r="F80" s="7"/>
      <c r="O80" s="15"/>
      <c r="P80" s="15"/>
      <c r="Q80" s="15"/>
      <c r="R80" s="15"/>
    </row>
    <row r="81" spans="2:18" x14ac:dyDescent="0.2">
      <c r="C81" s="7"/>
      <c r="D81" s="7"/>
      <c r="E81" s="7"/>
      <c r="F81" s="7"/>
      <c r="O81" s="15"/>
      <c r="P81" s="15"/>
      <c r="Q81" s="15"/>
      <c r="R81" s="15"/>
    </row>
    <row r="82" spans="2:18" x14ac:dyDescent="0.2">
      <c r="C82" s="7"/>
      <c r="D82" s="7"/>
      <c r="E82" s="7"/>
      <c r="F82" s="7"/>
      <c r="O82" s="15"/>
      <c r="P82" s="15"/>
      <c r="Q82" s="15"/>
      <c r="R82" s="15"/>
    </row>
    <row r="83" spans="2:18" x14ac:dyDescent="0.2">
      <c r="C83" s="7"/>
      <c r="D83" s="7"/>
      <c r="E83" s="7"/>
      <c r="F83" s="7"/>
      <c r="O83" s="15"/>
      <c r="P83" s="15"/>
      <c r="Q83" s="15"/>
      <c r="R83" s="15"/>
    </row>
    <row r="84" spans="2:18" x14ac:dyDescent="0.2">
      <c r="C84" s="7"/>
      <c r="D84" s="7"/>
      <c r="E84" s="7"/>
      <c r="F84" s="7"/>
      <c r="O84" s="15"/>
      <c r="P84" s="15"/>
      <c r="Q84" s="15"/>
      <c r="R84" s="15"/>
    </row>
    <row r="85" spans="2:18" x14ac:dyDescent="0.2">
      <c r="C85" s="7"/>
      <c r="D85" s="7"/>
      <c r="E85" s="7"/>
      <c r="F85" s="7"/>
      <c r="O85" s="15"/>
      <c r="P85" s="15"/>
      <c r="Q85" s="15"/>
      <c r="R85" s="15"/>
    </row>
    <row r="86" spans="2:18" x14ac:dyDescent="0.2">
      <c r="C86" s="7"/>
      <c r="D86" s="7"/>
      <c r="E86" s="7"/>
      <c r="F86" s="7"/>
      <c r="O86" s="15"/>
      <c r="P86" s="15"/>
      <c r="Q86" s="15"/>
      <c r="R86" s="15"/>
    </row>
    <row r="87" spans="2:18" x14ac:dyDescent="0.2">
      <c r="C87" s="7"/>
      <c r="D87" s="7"/>
      <c r="E87" s="7"/>
      <c r="F87" s="7"/>
      <c r="O87" s="15"/>
      <c r="P87" s="15"/>
      <c r="Q87" s="15"/>
      <c r="R87" s="15"/>
    </row>
    <row r="88" spans="2:18" x14ac:dyDescent="0.2">
      <c r="C88" s="7"/>
      <c r="D88" s="7"/>
      <c r="E88" s="7"/>
      <c r="F88" s="7"/>
      <c r="O88" s="15"/>
      <c r="P88" s="15"/>
      <c r="Q88" s="15"/>
      <c r="R88" s="15"/>
    </row>
    <row r="89" spans="2:18" x14ac:dyDescent="0.2">
      <c r="C89" s="7"/>
      <c r="D89" s="7"/>
      <c r="E89" s="7"/>
      <c r="F89" s="7"/>
      <c r="O89" s="15"/>
      <c r="P89" s="15"/>
      <c r="Q89" s="15"/>
      <c r="R89" s="15"/>
    </row>
    <row r="90" spans="2:18" x14ac:dyDescent="0.2">
      <c r="C90" s="7"/>
      <c r="D90" s="7"/>
      <c r="E90" s="7"/>
      <c r="F90" s="7"/>
      <c r="O90" s="15"/>
      <c r="P90" s="15"/>
      <c r="Q90" s="15"/>
      <c r="R90" s="15"/>
    </row>
    <row r="91" spans="2:18" x14ac:dyDescent="0.2">
      <c r="C91" s="7"/>
      <c r="D91" s="7"/>
      <c r="E91" s="7"/>
      <c r="F91" s="7"/>
      <c r="O91" s="15"/>
      <c r="P91" s="15"/>
      <c r="Q91" s="15"/>
      <c r="R91" s="15"/>
    </row>
    <row r="92" spans="2:18" x14ac:dyDescent="0.2">
      <c r="B92" s="46"/>
      <c r="C92" s="7"/>
      <c r="D92" s="7"/>
      <c r="E92" s="7"/>
      <c r="F92" s="7"/>
      <c r="O92" s="15"/>
      <c r="P92" s="15"/>
      <c r="Q92" s="15"/>
      <c r="R92" s="15"/>
    </row>
    <row r="93" spans="2:18" x14ac:dyDescent="0.2">
      <c r="C93" s="7"/>
      <c r="D93" s="7"/>
      <c r="E93" s="7"/>
      <c r="F93" s="7"/>
      <c r="O93" s="15"/>
      <c r="P93" s="15"/>
      <c r="Q93" s="15"/>
      <c r="R93" s="15"/>
    </row>
    <row r="94" spans="2:18" x14ac:dyDescent="0.2">
      <c r="C94" s="7"/>
      <c r="D94" s="7"/>
      <c r="E94" s="7"/>
      <c r="F94" s="7"/>
      <c r="O94" s="15"/>
      <c r="P94" s="15"/>
      <c r="Q94" s="15"/>
      <c r="R94" s="15"/>
    </row>
    <row r="95" spans="2:18" x14ac:dyDescent="0.2">
      <c r="C95" s="7"/>
      <c r="D95" s="7"/>
      <c r="E95" s="7"/>
      <c r="F95" s="7"/>
      <c r="O95" s="15"/>
      <c r="P95" s="15"/>
      <c r="Q95" s="15"/>
      <c r="R95" s="15"/>
    </row>
    <row r="96" spans="2:18" x14ac:dyDescent="0.2">
      <c r="C96" s="7"/>
      <c r="D96" s="7"/>
      <c r="E96" s="7"/>
      <c r="F96" s="7"/>
      <c r="O96" s="15"/>
      <c r="P96" s="15"/>
      <c r="Q96" s="15"/>
      <c r="R96" s="15"/>
    </row>
    <row r="97" spans="1:18" x14ac:dyDescent="0.2">
      <c r="C97" s="7"/>
      <c r="D97" s="7"/>
      <c r="E97" s="7"/>
      <c r="F97" s="7"/>
      <c r="O97" s="15"/>
      <c r="P97" s="15"/>
      <c r="Q97" s="15"/>
      <c r="R97" s="15"/>
    </row>
    <row r="98" spans="1:18" x14ac:dyDescent="0.2">
      <c r="B98" s="43"/>
      <c r="C98" s="7"/>
      <c r="D98" s="7"/>
      <c r="E98" s="7"/>
      <c r="F98" s="7"/>
      <c r="O98" s="7"/>
      <c r="P98" s="7"/>
      <c r="Q98" s="7"/>
      <c r="R98" s="7"/>
    </row>
    <row r="99" spans="1:18" x14ac:dyDescent="0.2">
      <c r="B99" s="47"/>
      <c r="C99" s="7"/>
      <c r="D99" s="7"/>
      <c r="E99" s="7"/>
      <c r="F99" s="7"/>
      <c r="O99" s="7"/>
      <c r="P99" s="7"/>
      <c r="Q99" s="7"/>
      <c r="R99" s="7"/>
    </row>
    <row r="100" spans="1:18" x14ac:dyDescent="0.2">
      <c r="C100" s="7"/>
      <c r="D100" s="7"/>
      <c r="E100" s="7"/>
      <c r="F100" s="7"/>
    </row>
    <row r="101" spans="1:18" x14ac:dyDescent="0.2">
      <c r="C101" s="7"/>
      <c r="D101" s="7"/>
      <c r="E101" s="7"/>
      <c r="F101" s="7"/>
      <c r="O101" s="15"/>
      <c r="P101" s="15"/>
      <c r="Q101" s="15"/>
      <c r="R101" s="15"/>
    </row>
    <row r="102" spans="1:18" x14ac:dyDescent="0.2">
      <c r="C102" s="7"/>
      <c r="D102" s="7"/>
      <c r="E102" s="7"/>
      <c r="F102" s="7"/>
      <c r="O102" s="15"/>
      <c r="P102" s="15"/>
      <c r="Q102" s="15"/>
      <c r="R102" s="15"/>
    </row>
    <row r="103" spans="1:18" x14ac:dyDescent="0.2">
      <c r="C103" s="7"/>
      <c r="D103" s="7"/>
      <c r="E103" s="7"/>
      <c r="F103" s="7"/>
      <c r="O103" s="15"/>
      <c r="P103" s="15"/>
      <c r="Q103" s="15"/>
      <c r="R103" s="15"/>
    </row>
    <row r="104" spans="1:18" x14ac:dyDescent="0.2">
      <c r="C104" s="7"/>
      <c r="D104" s="7"/>
      <c r="E104" s="7"/>
      <c r="F104" s="7"/>
      <c r="O104" s="15"/>
      <c r="P104" s="15"/>
      <c r="Q104" s="15"/>
      <c r="R104" s="15"/>
    </row>
    <row r="105" spans="1:18" x14ac:dyDescent="0.2">
      <c r="C105" s="7"/>
      <c r="D105" s="7"/>
      <c r="E105" s="7"/>
      <c r="F105" s="7"/>
      <c r="O105" s="15"/>
      <c r="P105" s="15"/>
      <c r="Q105" s="15"/>
      <c r="R105" s="15"/>
    </row>
    <row r="106" spans="1:18" x14ac:dyDescent="0.2">
      <c r="C106" s="7"/>
      <c r="D106" s="7"/>
      <c r="E106" s="44"/>
      <c r="F106" s="44"/>
      <c r="N106" s="44"/>
      <c r="O106" s="15"/>
      <c r="P106" s="15"/>
      <c r="Q106" s="15"/>
      <c r="R106" s="15"/>
    </row>
    <row r="107" spans="1:18" x14ac:dyDescent="0.2">
      <c r="C107" s="7"/>
      <c r="D107" s="7"/>
      <c r="E107" s="7"/>
      <c r="F107" s="7"/>
      <c r="O107" s="15"/>
      <c r="P107" s="15"/>
      <c r="Q107" s="15"/>
      <c r="R107" s="15"/>
    </row>
    <row r="108" spans="1:18" ht="15" x14ac:dyDescent="0.25">
      <c r="A108" s="48"/>
      <c r="B108" s="49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1"/>
      <c r="P108" s="51"/>
      <c r="Q108" s="51"/>
      <c r="R108" s="51"/>
    </row>
    <row r="109" spans="1:18" x14ac:dyDescent="0.2"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</row>
    <row r="110" spans="1:18" x14ac:dyDescent="0.2">
      <c r="B110" s="43"/>
      <c r="C110" s="7"/>
      <c r="D110" s="7"/>
      <c r="E110" s="7"/>
      <c r="F110" s="7"/>
      <c r="O110" s="15"/>
      <c r="P110" s="15"/>
      <c r="Q110" s="15"/>
      <c r="R110" s="15"/>
    </row>
    <row r="111" spans="1:18" x14ac:dyDescent="0.2">
      <c r="C111" s="7"/>
      <c r="D111" s="7"/>
      <c r="E111" s="7"/>
      <c r="F111" s="7"/>
      <c r="O111" s="15"/>
      <c r="P111" s="15"/>
      <c r="Q111" s="15"/>
      <c r="R111" s="15"/>
    </row>
    <row r="112" spans="1:18" x14ac:dyDescent="0.2">
      <c r="C112" s="7"/>
      <c r="D112" s="7"/>
      <c r="E112" s="53"/>
      <c r="F112" s="53"/>
      <c r="L112" s="53"/>
      <c r="M112" s="53"/>
    </row>
    <row r="113" spans="1:13" x14ac:dyDescent="0.2">
      <c r="C113" s="7"/>
      <c r="D113" s="7"/>
      <c r="E113" s="53"/>
      <c r="F113" s="53"/>
      <c r="L113" s="53"/>
      <c r="M113" s="53"/>
    </row>
    <row r="114" spans="1:13" x14ac:dyDescent="0.2">
      <c r="C114" s="7"/>
      <c r="D114" s="7"/>
      <c r="E114" s="53"/>
      <c r="F114" s="53"/>
      <c r="L114" s="53"/>
      <c r="M114" s="53"/>
    </row>
    <row r="115" spans="1:13" x14ac:dyDescent="0.2">
      <c r="C115" s="7"/>
      <c r="D115" s="7"/>
      <c r="E115" s="53"/>
      <c r="F115" s="53"/>
      <c r="L115" s="53"/>
      <c r="M115" s="53"/>
    </row>
    <row r="116" spans="1:13" x14ac:dyDescent="0.2">
      <c r="C116" s="7"/>
      <c r="D116" s="7"/>
      <c r="E116" s="53"/>
      <c r="F116" s="53"/>
      <c r="L116" s="53"/>
      <c r="M116" s="53"/>
    </row>
    <row r="117" spans="1:13" x14ac:dyDescent="0.2">
      <c r="C117" s="7"/>
      <c r="D117" s="7"/>
      <c r="E117" s="53"/>
      <c r="F117" s="53"/>
      <c r="L117" s="53"/>
      <c r="M117" s="53"/>
    </row>
    <row r="118" spans="1:13" x14ac:dyDescent="0.2">
      <c r="C118" s="7"/>
      <c r="D118" s="7"/>
      <c r="E118" s="53"/>
      <c r="F118" s="53"/>
      <c r="L118" s="53"/>
      <c r="M118" s="53"/>
    </row>
    <row r="119" spans="1:13" x14ac:dyDescent="0.2">
      <c r="A119" s="54"/>
      <c r="C119" s="7"/>
      <c r="D119" s="7"/>
      <c r="E119" s="53"/>
      <c r="F119" s="53"/>
      <c r="L119" s="53"/>
      <c r="M119" s="53"/>
    </row>
    <row r="120" spans="1:13" x14ac:dyDescent="0.2">
      <c r="A120" s="54"/>
      <c r="C120" s="7"/>
      <c r="D120" s="7"/>
      <c r="E120" s="53"/>
      <c r="F120" s="53"/>
      <c r="L120" s="53"/>
      <c r="M120" s="53"/>
    </row>
    <row r="121" spans="1:13" x14ac:dyDescent="0.2">
      <c r="C121" s="7"/>
      <c r="D121" s="7"/>
      <c r="E121" s="53"/>
      <c r="F121" s="53"/>
      <c r="L121" s="53"/>
      <c r="M121" s="53"/>
    </row>
    <row r="122" spans="1:13" x14ac:dyDescent="0.2">
      <c r="A122" s="54"/>
      <c r="C122" s="7"/>
      <c r="D122" s="7"/>
      <c r="E122" s="53"/>
      <c r="F122" s="53"/>
      <c r="L122" s="53"/>
      <c r="M122" s="53"/>
    </row>
    <row r="123" spans="1:13" x14ac:dyDescent="0.2">
      <c r="B123" s="43"/>
      <c r="C123" s="7"/>
      <c r="D123" s="7"/>
      <c r="E123" s="55"/>
      <c r="F123" s="55"/>
      <c r="L123" s="53"/>
      <c r="M123" s="53"/>
    </row>
    <row r="124" spans="1:13" x14ac:dyDescent="0.2">
      <c r="B124" s="43"/>
      <c r="C124" s="7"/>
      <c r="D124" s="7"/>
      <c r="E124" s="53"/>
      <c r="F124" s="53"/>
      <c r="L124" s="53"/>
      <c r="M124" s="53"/>
    </row>
    <row r="125" spans="1:13" x14ac:dyDescent="0.2">
      <c r="B125" s="43"/>
      <c r="C125" s="7"/>
      <c r="D125" s="7"/>
      <c r="E125" s="53"/>
      <c r="F125" s="53"/>
      <c r="L125" s="53"/>
      <c r="M125" s="53"/>
    </row>
    <row r="126" spans="1:13" x14ac:dyDescent="0.2">
      <c r="B126" s="43"/>
      <c r="C126" s="7"/>
      <c r="D126" s="7"/>
      <c r="E126" s="53"/>
      <c r="F126" s="53"/>
      <c r="L126" s="53"/>
      <c r="M126" s="53"/>
    </row>
    <row r="137" spans="1:13" x14ac:dyDescent="0.2">
      <c r="B137" s="56"/>
      <c r="C137" s="57"/>
      <c r="D137" s="57"/>
      <c r="E137" s="58"/>
      <c r="F137" s="58"/>
      <c r="G137" s="59"/>
      <c r="H137" s="59"/>
      <c r="I137" s="59"/>
      <c r="J137" s="59"/>
      <c r="K137" s="59"/>
      <c r="L137" s="58"/>
      <c r="M137" s="58"/>
    </row>
    <row r="138" spans="1:13" x14ac:dyDescent="0.2">
      <c r="B138" s="56"/>
      <c r="C138" s="57"/>
      <c r="D138" s="57"/>
      <c r="E138" s="58"/>
      <c r="F138" s="58"/>
      <c r="G138" s="59"/>
      <c r="H138" s="59"/>
      <c r="I138" s="59"/>
      <c r="J138" s="59"/>
      <c r="K138" s="59"/>
      <c r="L138" s="58"/>
      <c r="M138" s="58"/>
    </row>
    <row r="139" spans="1:13" x14ac:dyDescent="0.2">
      <c r="B139" s="56"/>
      <c r="C139" s="57"/>
      <c r="D139" s="57"/>
      <c r="E139" s="58"/>
      <c r="F139" s="58"/>
      <c r="G139" s="59"/>
      <c r="H139" s="59"/>
      <c r="I139" s="59"/>
      <c r="J139" s="59"/>
      <c r="K139" s="59"/>
      <c r="L139" s="58"/>
      <c r="M139" s="58"/>
    </row>
    <row r="140" spans="1:13" x14ac:dyDescent="0.2">
      <c r="B140" s="56"/>
      <c r="C140" s="57"/>
      <c r="D140" s="57"/>
      <c r="E140" s="58"/>
      <c r="F140" s="58"/>
      <c r="G140" s="59"/>
      <c r="H140" s="59"/>
      <c r="I140" s="59"/>
      <c r="J140" s="59"/>
      <c r="K140" s="59"/>
      <c r="L140" s="58"/>
      <c r="M140" s="58"/>
    </row>
    <row r="141" spans="1:13" x14ac:dyDescent="0.2">
      <c r="B141" s="56"/>
      <c r="C141" s="57"/>
      <c r="D141" s="57"/>
      <c r="E141" s="58"/>
      <c r="F141" s="58"/>
      <c r="G141" s="59"/>
      <c r="H141" s="59"/>
      <c r="I141" s="59"/>
      <c r="J141" s="59"/>
      <c r="K141" s="59"/>
      <c r="L141" s="58"/>
      <c r="M141" s="58"/>
    </row>
    <row r="142" spans="1:13" ht="15" x14ac:dyDescent="0.25">
      <c r="A142" s="60"/>
      <c r="B142" s="61"/>
      <c r="C142" s="62"/>
      <c r="D142" s="62"/>
      <c r="E142" s="63"/>
      <c r="F142" s="63"/>
      <c r="G142" s="62"/>
      <c r="H142" s="62"/>
      <c r="I142" s="62"/>
      <c r="J142" s="62"/>
      <c r="K142" s="62"/>
      <c r="L142" s="61"/>
      <c r="M142" s="61"/>
    </row>
    <row r="143" spans="1:13" x14ac:dyDescent="0.2">
      <c r="A143" s="64"/>
      <c r="B143" s="61"/>
      <c r="C143" s="62"/>
      <c r="D143" s="62"/>
      <c r="E143" s="63"/>
      <c r="F143" s="63"/>
      <c r="G143" s="62"/>
      <c r="H143" s="62"/>
      <c r="I143" s="62"/>
      <c r="J143" s="62"/>
      <c r="K143" s="62"/>
      <c r="L143" s="61"/>
      <c r="M143" s="61"/>
    </row>
    <row r="144" spans="1:13" x14ac:dyDescent="0.2">
      <c r="C144" s="7"/>
      <c r="D144" s="7"/>
      <c r="E144" s="53"/>
      <c r="F144" s="53"/>
      <c r="L144" s="3"/>
      <c r="M144" s="3"/>
    </row>
    <row r="145" spans="1:18" x14ac:dyDescent="0.2">
      <c r="C145" s="65"/>
      <c r="D145" s="65"/>
      <c r="E145" s="66"/>
      <c r="F145" s="66"/>
      <c r="G145" s="9"/>
      <c r="H145" s="9"/>
      <c r="I145" s="9"/>
      <c r="J145" s="9"/>
      <c r="K145" s="9"/>
      <c r="L145" s="65"/>
      <c r="M145" s="65"/>
      <c r="N145" s="66"/>
      <c r="O145" s="66"/>
      <c r="P145" s="66"/>
      <c r="Q145" s="66"/>
      <c r="R145" s="66"/>
    </row>
    <row r="146" spans="1:18" x14ac:dyDescent="0.2">
      <c r="C146" s="67"/>
      <c r="D146" s="67"/>
      <c r="E146" s="66"/>
      <c r="F146" s="66"/>
      <c r="G146" s="9"/>
      <c r="H146" s="9"/>
      <c r="I146" s="9"/>
      <c r="J146" s="9"/>
      <c r="K146" s="9"/>
      <c r="L146" s="65"/>
      <c r="M146" s="65"/>
      <c r="N146" s="66"/>
      <c r="O146" s="66"/>
      <c r="P146" s="66"/>
      <c r="Q146" s="66"/>
      <c r="R146" s="66"/>
    </row>
    <row r="147" spans="1:18" x14ac:dyDescent="0.2">
      <c r="E147" s="15"/>
      <c r="F147" s="15"/>
      <c r="L147" s="3"/>
      <c r="M147" s="3"/>
      <c r="N147" s="15"/>
      <c r="O147" s="15"/>
      <c r="P147" s="15"/>
      <c r="Q147" s="15"/>
      <c r="R147" s="15"/>
    </row>
    <row r="148" spans="1:18" x14ac:dyDescent="0.2">
      <c r="A148" s="47"/>
      <c r="C148" s="7"/>
      <c r="D148" s="7"/>
      <c r="E148" s="7"/>
      <c r="F148" s="7"/>
      <c r="O148" s="15"/>
      <c r="P148" s="15"/>
      <c r="Q148" s="15"/>
      <c r="R148" s="15"/>
    </row>
    <row r="149" spans="1:18" x14ac:dyDescent="0.2">
      <c r="A149" s="47"/>
      <c r="C149" s="7"/>
      <c r="D149" s="7"/>
      <c r="E149" s="7"/>
      <c r="F149" s="7"/>
      <c r="O149" s="15"/>
      <c r="P149" s="15"/>
      <c r="Q149" s="15"/>
      <c r="R149" s="15"/>
    </row>
    <row r="150" spans="1:18" x14ac:dyDescent="0.2">
      <c r="A150" s="47"/>
      <c r="C150" s="7"/>
      <c r="D150" s="7"/>
      <c r="E150" s="7"/>
      <c r="F150" s="7"/>
      <c r="O150" s="15"/>
      <c r="P150" s="15"/>
      <c r="Q150" s="15"/>
      <c r="R150" s="15"/>
    </row>
    <row r="151" spans="1:18" x14ac:dyDescent="0.2">
      <c r="A151" s="47"/>
      <c r="C151" s="7"/>
      <c r="D151" s="7"/>
      <c r="E151" s="7"/>
      <c r="F151" s="7"/>
      <c r="O151" s="15"/>
      <c r="P151" s="15"/>
      <c r="Q151" s="15"/>
      <c r="R151" s="15"/>
    </row>
    <row r="152" spans="1:18" x14ac:dyDescent="0.2">
      <c r="A152" s="47"/>
      <c r="C152" s="7"/>
      <c r="D152" s="7"/>
      <c r="E152" s="7"/>
      <c r="F152" s="7"/>
      <c r="O152" s="15"/>
      <c r="P152" s="15"/>
      <c r="Q152" s="15"/>
      <c r="R152" s="15"/>
    </row>
    <row r="153" spans="1:18" x14ac:dyDescent="0.2">
      <c r="C153" s="7"/>
      <c r="D153" s="7"/>
      <c r="E153" s="7"/>
      <c r="F153" s="7"/>
      <c r="O153" s="7"/>
      <c r="P153" s="7"/>
      <c r="Q153" s="7"/>
      <c r="R153" s="7"/>
    </row>
    <row r="155" spans="1:18" x14ac:dyDescent="0.2">
      <c r="A155" s="47"/>
      <c r="C155" s="7"/>
      <c r="D155" s="7"/>
      <c r="E155" s="7"/>
      <c r="F155" s="7"/>
      <c r="L155" s="3"/>
      <c r="M155" s="3"/>
      <c r="N155" s="3"/>
    </row>
    <row r="156" spans="1:18" x14ac:dyDescent="0.2">
      <c r="C156" s="7"/>
      <c r="D156" s="7"/>
      <c r="E156" s="7"/>
      <c r="F156" s="7"/>
      <c r="O156" s="15"/>
      <c r="P156" s="15"/>
      <c r="Q156" s="15"/>
      <c r="R156" s="15"/>
    </row>
    <row r="157" spans="1:18" x14ac:dyDescent="0.2">
      <c r="C157" s="7"/>
      <c r="D157" s="7"/>
      <c r="E157" s="7"/>
      <c r="F157" s="7"/>
      <c r="O157" s="15"/>
      <c r="P157" s="15"/>
      <c r="Q157" s="15"/>
      <c r="R157" s="15"/>
    </row>
    <row r="158" spans="1:18" x14ac:dyDescent="0.2">
      <c r="C158" s="7"/>
      <c r="D158" s="7"/>
      <c r="E158" s="7"/>
      <c r="F158" s="7"/>
      <c r="O158" s="15"/>
      <c r="P158" s="15"/>
      <c r="Q158" s="15"/>
      <c r="R158" s="15"/>
    </row>
    <row r="159" spans="1:18" x14ac:dyDescent="0.2">
      <c r="C159" s="7"/>
      <c r="D159" s="7"/>
      <c r="E159" s="7"/>
      <c r="F159" s="7"/>
      <c r="O159" s="15"/>
      <c r="P159" s="15"/>
      <c r="Q159" s="15"/>
      <c r="R159" s="15"/>
    </row>
    <row r="160" spans="1:18" x14ac:dyDescent="0.2">
      <c r="C160" s="7"/>
      <c r="D160" s="7"/>
      <c r="E160" s="7"/>
      <c r="F160" s="7"/>
      <c r="O160" s="15"/>
      <c r="P160" s="15"/>
      <c r="Q160" s="15"/>
      <c r="R160" s="15"/>
    </row>
    <row r="161" spans="1:18" x14ac:dyDescent="0.2">
      <c r="C161" s="7"/>
      <c r="D161" s="7"/>
      <c r="E161" s="7"/>
      <c r="F161" s="7"/>
      <c r="O161" s="15"/>
      <c r="P161" s="15"/>
      <c r="Q161" s="15"/>
      <c r="R161" s="15"/>
    </row>
    <row r="162" spans="1:18" x14ac:dyDescent="0.2">
      <c r="C162" s="7"/>
      <c r="D162" s="7"/>
      <c r="E162" s="7"/>
      <c r="F162" s="7"/>
      <c r="O162" s="15"/>
      <c r="P162" s="15"/>
      <c r="Q162" s="15"/>
      <c r="R162" s="15"/>
    </row>
    <row r="163" spans="1:18" x14ac:dyDescent="0.2">
      <c r="C163" s="7"/>
      <c r="D163" s="7"/>
      <c r="E163" s="7"/>
      <c r="F163" s="7"/>
      <c r="O163" s="15"/>
      <c r="P163" s="15"/>
      <c r="Q163" s="15"/>
      <c r="R163" s="15"/>
    </row>
    <row r="164" spans="1:18" x14ac:dyDescent="0.2">
      <c r="C164" s="7"/>
      <c r="D164" s="7"/>
      <c r="E164" s="7"/>
      <c r="F164" s="7"/>
      <c r="O164" s="15"/>
      <c r="P164" s="15"/>
      <c r="Q164" s="15"/>
      <c r="R164" s="15"/>
    </row>
    <row r="165" spans="1:18" x14ac:dyDescent="0.2">
      <c r="C165" s="7"/>
      <c r="D165" s="7"/>
      <c r="E165" s="7"/>
      <c r="F165" s="7"/>
      <c r="O165" s="15"/>
      <c r="P165" s="15"/>
      <c r="Q165" s="15"/>
      <c r="R165" s="15"/>
    </row>
    <row r="166" spans="1:18" x14ac:dyDescent="0.2">
      <c r="C166" s="7"/>
      <c r="D166" s="7"/>
      <c r="E166" s="7"/>
      <c r="F166" s="7"/>
      <c r="O166" s="15"/>
      <c r="P166" s="15"/>
      <c r="Q166" s="15"/>
      <c r="R166" s="15"/>
    </row>
    <row r="167" spans="1:18" x14ac:dyDescent="0.2">
      <c r="C167" s="7"/>
      <c r="D167" s="7"/>
      <c r="E167" s="7"/>
      <c r="F167" s="7"/>
      <c r="O167" s="15"/>
      <c r="P167" s="15"/>
      <c r="Q167" s="15"/>
      <c r="R167" s="15"/>
    </row>
    <row r="168" spans="1:18" x14ac:dyDescent="0.2">
      <c r="C168" s="7"/>
      <c r="D168" s="7"/>
      <c r="E168" s="7"/>
      <c r="F168" s="7"/>
      <c r="O168" s="15"/>
      <c r="P168" s="15"/>
      <c r="Q168" s="15"/>
      <c r="R168" s="15"/>
    </row>
    <row r="169" spans="1:18" x14ac:dyDescent="0.2">
      <c r="A169" s="47"/>
      <c r="C169" s="7"/>
      <c r="D169" s="7"/>
      <c r="E169" s="7"/>
      <c r="F169" s="7"/>
      <c r="O169" s="7"/>
      <c r="P169" s="7"/>
      <c r="Q169" s="7"/>
      <c r="R169" s="7"/>
    </row>
    <row r="170" spans="1:18" x14ac:dyDescent="0.2">
      <c r="A170" s="54"/>
      <c r="C170" s="7"/>
      <c r="D170" s="7"/>
      <c r="E170" s="53"/>
      <c r="F170" s="53"/>
      <c r="L170" s="53"/>
      <c r="M170" s="53"/>
    </row>
    <row r="171" spans="1:18" x14ac:dyDescent="0.2">
      <c r="A171" s="54"/>
      <c r="C171" s="7"/>
      <c r="D171" s="7"/>
      <c r="E171" s="7"/>
      <c r="F171" s="7"/>
      <c r="O171" s="7"/>
      <c r="P171" s="7"/>
      <c r="Q171" s="7"/>
      <c r="R171" s="7"/>
    </row>
    <row r="172" spans="1:18" x14ac:dyDescent="0.2">
      <c r="B172" s="56"/>
      <c r="C172" s="57"/>
      <c r="D172" s="57"/>
      <c r="E172" s="58"/>
      <c r="F172" s="58"/>
      <c r="G172" s="59"/>
      <c r="H172" s="59"/>
      <c r="I172" s="59"/>
      <c r="J172" s="59"/>
      <c r="K172" s="59"/>
      <c r="L172" s="58"/>
      <c r="M172" s="58"/>
    </row>
    <row r="173" spans="1:18" x14ac:dyDescent="0.2">
      <c r="C173" s="7"/>
      <c r="D173" s="7"/>
      <c r="E173" s="7"/>
      <c r="F173" s="7"/>
      <c r="O173" s="15"/>
      <c r="P173" s="15"/>
      <c r="Q173" s="15"/>
      <c r="R173" s="15"/>
    </row>
    <row r="174" spans="1:18" x14ac:dyDescent="0.2">
      <c r="C174" s="7"/>
      <c r="D174" s="7"/>
      <c r="E174" s="7"/>
      <c r="F174" s="7"/>
      <c r="O174" s="15"/>
      <c r="P174" s="15"/>
      <c r="Q174" s="15"/>
      <c r="R174" s="15"/>
    </row>
    <row r="175" spans="1:18" x14ac:dyDescent="0.2">
      <c r="C175" s="7"/>
      <c r="D175" s="7"/>
      <c r="E175" s="7"/>
      <c r="F175" s="7"/>
      <c r="O175" s="15"/>
      <c r="P175" s="15"/>
      <c r="Q175" s="15"/>
      <c r="R175" s="15"/>
    </row>
    <row r="176" spans="1:18" x14ac:dyDescent="0.2">
      <c r="C176" s="7"/>
      <c r="D176" s="7"/>
      <c r="E176" s="7"/>
      <c r="F176" s="7"/>
      <c r="O176" s="15"/>
      <c r="P176" s="15"/>
      <c r="Q176" s="15"/>
      <c r="R176" s="15"/>
    </row>
    <row r="177" spans="2:18" x14ac:dyDescent="0.2">
      <c r="C177" s="7"/>
      <c r="D177" s="7"/>
      <c r="E177" s="7"/>
      <c r="F177" s="7"/>
      <c r="L177" s="58"/>
      <c r="M177" s="58"/>
      <c r="N177" s="58"/>
    </row>
    <row r="178" spans="2:18" x14ac:dyDescent="0.2">
      <c r="C178" s="7"/>
      <c r="D178" s="7"/>
      <c r="E178" s="7"/>
      <c r="F178" s="7"/>
      <c r="O178" s="15"/>
      <c r="P178" s="15"/>
      <c r="Q178" s="15"/>
      <c r="R178" s="15"/>
    </row>
    <row r="179" spans="2:18" x14ac:dyDescent="0.2">
      <c r="B179" s="56"/>
      <c r="C179" s="57"/>
      <c r="D179" s="57"/>
      <c r="E179" s="58"/>
      <c r="F179" s="58"/>
      <c r="G179" s="59"/>
      <c r="H179" s="59"/>
      <c r="I179" s="59"/>
      <c r="J179" s="59"/>
      <c r="K179" s="59"/>
      <c r="L179" s="58"/>
      <c r="M179" s="58"/>
    </row>
    <row r="180" spans="2:18" x14ac:dyDescent="0.2">
      <c r="B180" s="56"/>
      <c r="C180" s="57"/>
      <c r="D180" s="57"/>
      <c r="E180" s="58"/>
      <c r="F180" s="58"/>
      <c r="G180" s="59"/>
      <c r="H180" s="59"/>
      <c r="I180" s="59"/>
      <c r="J180" s="59"/>
      <c r="K180" s="59"/>
      <c r="L180" s="58"/>
      <c r="M180" s="58"/>
    </row>
    <row r="181" spans="2:18" x14ac:dyDescent="0.2">
      <c r="B181" s="56"/>
      <c r="C181" s="57"/>
      <c r="D181" s="57"/>
      <c r="E181" s="58"/>
      <c r="F181" s="58"/>
      <c r="G181" s="59"/>
      <c r="H181" s="59"/>
      <c r="I181" s="59"/>
      <c r="J181" s="59"/>
      <c r="K181" s="59"/>
      <c r="L181" s="58"/>
      <c r="M181" s="58"/>
    </row>
    <row r="182" spans="2:18" x14ac:dyDescent="0.2">
      <c r="B182" s="56"/>
      <c r="C182" s="57"/>
      <c r="D182" s="57"/>
      <c r="E182" s="58"/>
      <c r="F182" s="58"/>
      <c r="G182" s="59"/>
      <c r="H182" s="59"/>
      <c r="I182" s="59"/>
      <c r="J182" s="59"/>
      <c r="K182" s="59"/>
      <c r="L182" s="58"/>
      <c r="M182" s="58"/>
    </row>
    <row r="183" spans="2:18" x14ac:dyDescent="0.2">
      <c r="B183" s="56"/>
      <c r="C183" s="57"/>
      <c r="D183" s="57"/>
      <c r="E183" s="58"/>
      <c r="F183" s="58"/>
      <c r="G183" s="59"/>
      <c r="H183" s="59"/>
      <c r="I183" s="59"/>
      <c r="J183" s="59"/>
      <c r="K183" s="59"/>
      <c r="L183" s="58"/>
      <c r="M183" s="58"/>
    </row>
    <row r="184" spans="2:18" x14ac:dyDescent="0.2">
      <c r="C184" s="68"/>
      <c r="D184" s="68"/>
      <c r="L184" s="53"/>
      <c r="M184" s="53"/>
    </row>
    <row r="185" spans="2:18" x14ac:dyDescent="0.2">
      <c r="C185" s="7"/>
      <c r="D185" s="7"/>
      <c r="E185" s="53"/>
      <c r="F185" s="53"/>
      <c r="L185" s="53"/>
      <c r="M185" s="53"/>
    </row>
    <row r="186" spans="2:18" x14ac:dyDescent="0.2">
      <c r="C186" s="7"/>
      <c r="D186" s="7"/>
      <c r="E186" s="53"/>
      <c r="F186" s="53"/>
      <c r="L186" s="53"/>
      <c r="M186" s="53"/>
    </row>
    <row r="187" spans="2:18" x14ac:dyDescent="0.2">
      <c r="C187" s="7"/>
      <c r="D187" s="7"/>
      <c r="E187" s="53"/>
      <c r="F187" s="53"/>
      <c r="L187" s="53"/>
      <c r="M187" s="53"/>
    </row>
    <row r="188" spans="2:18" x14ac:dyDescent="0.2">
      <c r="C188" s="7"/>
      <c r="D188" s="7"/>
      <c r="E188" s="53"/>
      <c r="F188" s="53"/>
      <c r="L188" s="53"/>
      <c r="M188" s="53"/>
    </row>
    <row r="190" spans="2:18" x14ac:dyDescent="0.2">
      <c r="C190" s="44"/>
      <c r="D190" s="44"/>
    </row>
    <row r="191" spans="2:18" x14ac:dyDescent="0.2">
      <c r="C191" s="44"/>
      <c r="D191" s="44"/>
    </row>
    <row r="192" spans="2:18" x14ac:dyDescent="0.2">
      <c r="C192" s="44"/>
      <c r="D192" s="44"/>
    </row>
    <row r="193" spans="2:4" x14ac:dyDescent="0.2">
      <c r="C193" s="44"/>
      <c r="D193" s="44"/>
    </row>
    <row r="194" spans="2:4" x14ac:dyDescent="0.2">
      <c r="C194" s="44"/>
      <c r="D194" s="44"/>
    </row>
    <row r="196" spans="2:4" x14ac:dyDescent="0.2">
      <c r="C196" s="44"/>
      <c r="D196" s="44"/>
    </row>
    <row r="197" spans="2:4" x14ac:dyDescent="0.2">
      <c r="C197" s="44"/>
      <c r="D197" s="44"/>
    </row>
    <row r="198" spans="2:4" x14ac:dyDescent="0.2">
      <c r="B198" s="69"/>
      <c r="C198" s="70"/>
      <c r="D198" s="70"/>
    </row>
    <row r="201" spans="2:4" x14ac:dyDescent="0.2">
      <c r="B201" s="71"/>
      <c r="C201" s="7"/>
      <c r="D201" s="7"/>
    </row>
    <row r="202" spans="2:4" x14ac:dyDescent="0.2">
      <c r="C202" s="7"/>
      <c r="D202" s="7"/>
    </row>
    <row r="203" spans="2:4" x14ac:dyDescent="0.2">
      <c r="C203" s="7"/>
      <c r="D203" s="7"/>
    </row>
    <row r="215" spans="1:13" x14ac:dyDescent="0.2">
      <c r="A215" s="7"/>
      <c r="B215" s="56"/>
      <c r="C215" s="7"/>
      <c r="D215" s="7"/>
      <c r="E215" s="53"/>
      <c r="F215" s="53"/>
      <c r="L215" s="53"/>
      <c r="M215" s="53"/>
    </row>
    <row r="216" spans="1:13" x14ac:dyDescent="0.2">
      <c r="A216" s="7"/>
      <c r="B216" s="46"/>
      <c r="C216" s="7"/>
      <c r="D216" s="7"/>
      <c r="E216" s="53"/>
      <c r="F216" s="53"/>
      <c r="L216" s="53"/>
      <c r="M216" s="53"/>
    </row>
    <row r="217" spans="1:13" x14ac:dyDescent="0.2">
      <c r="A217" s="7"/>
      <c r="B217" s="46"/>
      <c r="C217" s="7"/>
      <c r="D217" s="7"/>
      <c r="E217" s="53"/>
      <c r="F217" s="53"/>
      <c r="L217" s="53"/>
      <c r="M217" s="53"/>
    </row>
    <row r="218" spans="1:13" x14ac:dyDescent="0.2">
      <c r="A218" s="7"/>
      <c r="B218" s="46"/>
      <c r="C218" s="7"/>
      <c r="D218" s="7"/>
      <c r="E218" s="53"/>
      <c r="F218" s="53"/>
      <c r="L218" s="53"/>
      <c r="M218" s="53"/>
    </row>
    <row r="219" spans="1:13" x14ac:dyDescent="0.2">
      <c r="A219" s="7"/>
      <c r="B219" s="46"/>
      <c r="C219" s="7"/>
      <c r="D219" s="7"/>
      <c r="E219" s="53"/>
      <c r="F219" s="53"/>
      <c r="L219" s="53"/>
      <c r="M219" s="53"/>
    </row>
    <row r="220" spans="1:13" x14ac:dyDescent="0.2">
      <c r="A220" s="7"/>
      <c r="B220" s="46"/>
      <c r="C220" s="7"/>
      <c r="D220" s="7"/>
      <c r="E220" s="53"/>
      <c r="F220" s="53"/>
      <c r="L220" s="53"/>
      <c r="M220" s="53"/>
    </row>
    <row r="221" spans="1:13" x14ac:dyDescent="0.2">
      <c r="A221" s="7"/>
      <c r="B221" s="46"/>
      <c r="C221" s="7"/>
      <c r="D221" s="7"/>
      <c r="E221" s="53"/>
      <c r="F221" s="53"/>
      <c r="L221" s="53"/>
      <c r="M221" s="53"/>
    </row>
    <row r="222" spans="1:13" x14ac:dyDescent="0.2">
      <c r="A222" s="7"/>
      <c r="B222" s="46"/>
      <c r="C222" s="7"/>
      <c r="D222" s="7"/>
      <c r="E222" s="53"/>
      <c r="F222" s="53"/>
      <c r="L222" s="53"/>
      <c r="M222" s="53"/>
    </row>
    <row r="223" spans="1:13" x14ac:dyDescent="0.2">
      <c r="A223" s="7"/>
      <c r="B223" s="46"/>
      <c r="C223" s="7"/>
      <c r="D223" s="7"/>
      <c r="E223" s="53"/>
      <c r="F223" s="53"/>
      <c r="L223" s="53"/>
      <c r="M223" s="53"/>
    </row>
    <row r="224" spans="1:13" x14ac:dyDescent="0.2">
      <c r="A224" s="7"/>
      <c r="B224" s="46"/>
      <c r="C224" s="7"/>
      <c r="D224" s="7"/>
      <c r="E224" s="53"/>
      <c r="F224" s="53"/>
      <c r="L224" s="53"/>
      <c r="M224" s="53"/>
    </row>
    <row r="225" spans="1:13" x14ac:dyDescent="0.2">
      <c r="A225" s="7"/>
      <c r="B225" s="46"/>
      <c r="C225" s="7"/>
      <c r="D225" s="7"/>
      <c r="E225" s="53"/>
      <c r="F225" s="53"/>
      <c r="L225" s="53"/>
      <c r="M225" s="53"/>
    </row>
    <row r="226" spans="1:13" x14ac:dyDescent="0.2">
      <c r="A226" s="7"/>
      <c r="B226" s="46"/>
      <c r="C226" s="7"/>
      <c r="D226" s="7"/>
      <c r="E226" s="53"/>
      <c r="F226" s="53"/>
      <c r="L226" s="53"/>
      <c r="M226" s="53"/>
    </row>
    <row r="227" spans="1:13" x14ac:dyDescent="0.2">
      <c r="A227" s="7"/>
      <c r="B227" s="46"/>
      <c r="C227" s="7"/>
      <c r="D227" s="7"/>
      <c r="E227" s="53"/>
      <c r="F227" s="53"/>
      <c r="L227" s="53"/>
      <c r="M227" s="53"/>
    </row>
    <row r="228" spans="1:13" x14ac:dyDescent="0.2">
      <c r="A228" s="7"/>
      <c r="B228" s="46"/>
      <c r="C228" s="7"/>
      <c r="D228" s="7"/>
      <c r="E228" s="53"/>
      <c r="F228" s="53"/>
      <c r="L228" s="53"/>
      <c r="M228" s="53"/>
    </row>
    <row r="229" spans="1:13" x14ac:dyDescent="0.2">
      <c r="A229" s="7"/>
      <c r="B229" s="46"/>
      <c r="C229" s="7"/>
      <c r="D229" s="7"/>
      <c r="E229" s="53"/>
      <c r="F229" s="53"/>
      <c r="L229" s="53"/>
      <c r="M229" s="53"/>
    </row>
    <row r="230" spans="1:13" x14ac:dyDescent="0.2">
      <c r="A230" s="7"/>
      <c r="B230" s="46"/>
      <c r="C230" s="7"/>
      <c r="D230" s="7"/>
      <c r="E230" s="53"/>
      <c r="F230" s="53"/>
      <c r="L230" s="53"/>
      <c r="M230" s="53"/>
    </row>
    <row r="231" spans="1:13" x14ac:dyDescent="0.2">
      <c r="A231" s="7"/>
      <c r="B231" s="46"/>
      <c r="C231" s="7"/>
      <c r="D231" s="7"/>
      <c r="E231" s="53"/>
      <c r="F231" s="53"/>
      <c r="L231" s="53"/>
      <c r="M231" s="53"/>
    </row>
    <row r="232" spans="1:13" x14ac:dyDescent="0.2">
      <c r="A232" s="7"/>
      <c r="B232" s="46"/>
      <c r="C232" s="7"/>
      <c r="D232" s="7"/>
      <c r="E232" s="53"/>
      <c r="F232" s="53"/>
      <c r="L232" s="53"/>
      <c r="M232" s="53"/>
    </row>
    <row r="233" spans="1:13" x14ac:dyDescent="0.2">
      <c r="A233" s="7"/>
      <c r="B233" s="46"/>
      <c r="C233" s="7"/>
      <c r="D233" s="7"/>
      <c r="E233" s="53"/>
      <c r="F233" s="53"/>
      <c r="L233" s="53"/>
      <c r="M233" s="53"/>
    </row>
    <row r="234" spans="1:13" x14ac:dyDescent="0.2">
      <c r="A234" s="7"/>
      <c r="B234" s="46"/>
      <c r="C234" s="7"/>
      <c r="D234" s="7"/>
      <c r="E234" s="53"/>
      <c r="F234" s="53"/>
      <c r="L234" s="53"/>
      <c r="M234" s="53"/>
    </row>
    <row r="235" spans="1:13" x14ac:dyDescent="0.2">
      <c r="A235" s="7"/>
      <c r="B235" s="46"/>
      <c r="C235" s="7"/>
      <c r="D235" s="7"/>
      <c r="E235" s="53"/>
      <c r="F235" s="53"/>
      <c r="L235" s="53"/>
      <c r="M235" s="53"/>
    </row>
    <row r="236" spans="1:13" x14ac:dyDescent="0.2">
      <c r="A236" s="7"/>
      <c r="B236" s="46"/>
      <c r="C236" s="7"/>
      <c r="D236" s="7"/>
      <c r="E236" s="53"/>
      <c r="F236" s="53"/>
      <c r="L236" s="53"/>
      <c r="M236" s="53"/>
    </row>
    <row r="237" spans="1:13" x14ac:dyDescent="0.2">
      <c r="A237" s="7"/>
      <c r="B237" s="46"/>
      <c r="C237" s="7"/>
      <c r="D237" s="7"/>
      <c r="E237" s="53"/>
      <c r="F237" s="53"/>
      <c r="L237" s="53"/>
      <c r="M237" s="53"/>
    </row>
    <row r="238" spans="1:13" x14ac:dyDescent="0.2">
      <c r="A238" s="7"/>
      <c r="B238" s="46"/>
      <c r="C238" s="7"/>
      <c r="D238" s="7"/>
      <c r="E238" s="53"/>
      <c r="F238" s="53"/>
      <c r="L238" s="53"/>
      <c r="M238" s="53"/>
    </row>
    <row r="239" spans="1:13" x14ac:dyDescent="0.2">
      <c r="A239" s="7"/>
      <c r="B239" s="46"/>
      <c r="C239" s="7"/>
      <c r="D239" s="7"/>
      <c r="E239" s="53"/>
      <c r="F239" s="53"/>
      <c r="L239" s="53"/>
      <c r="M239" s="53"/>
    </row>
    <row r="240" spans="1:13" x14ac:dyDescent="0.2">
      <c r="A240" s="7"/>
      <c r="B240" s="46"/>
      <c r="C240" s="7"/>
      <c r="D240" s="7"/>
      <c r="E240" s="53"/>
      <c r="F240" s="53"/>
      <c r="L240" s="53"/>
      <c r="M240" s="53"/>
    </row>
    <row r="241" spans="1:13" x14ac:dyDescent="0.2">
      <c r="A241" s="7"/>
      <c r="B241" s="46"/>
      <c r="C241" s="7"/>
      <c r="D241" s="7"/>
      <c r="E241" s="53"/>
      <c r="F241" s="53"/>
      <c r="L241" s="53"/>
      <c r="M241" s="53"/>
    </row>
    <row r="242" spans="1:13" x14ac:dyDescent="0.2">
      <c r="A242" s="7"/>
      <c r="B242" s="46"/>
      <c r="C242" s="7"/>
      <c r="D242" s="7"/>
      <c r="E242" s="53"/>
      <c r="F242" s="53"/>
      <c r="L242" s="53"/>
      <c r="M242" s="53"/>
    </row>
    <row r="243" spans="1:13" x14ac:dyDescent="0.2">
      <c r="A243" s="7"/>
      <c r="B243" s="46"/>
      <c r="C243" s="7"/>
      <c r="D243" s="7"/>
      <c r="E243" s="53"/>
      <c r="F243" s="53"/>
      <c r="L243" s="53"/>
      <c r="M243" s="53"/>
    </row>
    <row r="244" spans="1:13" x14ac:dyDescent="0.2">
      <c r="A244" s="7"/>
      <c r="B244" s="46"/>
      <c r="C244" s="7"/>
      <c r="D244" s="7"/>
      <c r="E244" s="53"/>
      <c r="F244" s="53"/>
      <c r="L244" s="53"/>
      <c r="M244" s="53"/>
    </row>
    <row r="245" spans="1:13" x14ac:dyDescent="0.2">
      <c r="A245" s="7"/>
      <c r="B245" s="46"/>
      <c r="C245" s="7"/>
      <c r="D245" s="7"/>
      <c r="E245" s="53"/>
      <c r="F245" s="53"/>
      <c r="L245" s="53"/>
      <c r="M245" s="53"/>
    </row>
    <row r="246" spans="1:13" x14ac:dyDescent="0.2">
      <c r="A246" s="7"/>
      <c r="C246" s="7"/>
      <c r="D246" s="7"/>
      <c r="E246" s="53"/>
      <c r="F246" s="53"/>
      <c r="L246" s="53"/>
      <c r="M246" s="53"/>
    </row>
    <row r="247" spans="1:13" x14ac:dyDescent="0.2">
      <c r="A247" s="7"/>
      <c r="B247" s="56"/>
      <c r="C247" s="7"/>
      <c r="D247" s="7"/>
      <c r="E247" s="53"/>
      <c r="F247" s="53"/>
      <c r="L247" s="53"/>
      <c r="M247" s="53"/>
    </row>
    <row r="248" spans="1:13" x14ac:dyDescent="0.2">
      <c r="C248" s="7"/>
      <c r="D248" s="7"/>
    </row>
  </sheetData>
  <mergeCells count="8">
    <mergeCell ref="C5:J5"/>
    <mergeCell ref="L5:S5"/>
    <mergeCell ref="C6:D6"/>
    <mergeCell ref="E6:F6"/>
    <mergeCell ref="H6:J6"/>
    <mergeCell ref="L6:M6"/>
    <mergeCell ref="N6:O6"/>
    <mergeCell ref="Q6:S6"/>
  </mergeCells>
  <conditionalFormatting sqref="J58">
    <cfRule type="expression" dxfId="45" priority="23">
      <formula>$V58=-1</formula>
    </cfRule>
  </conditionalFormatting>
  <conditionalFormatting sqref="J58">
    <cfRule type="expression" dxfId="44" priority="24">
      <formula>$U58&gt;=1</formula>
    </cfRule>
    <cfRule type="expression" dxfId="43" priority="25">
      <formula>$U58=0</formula>
    </cfRule>
  </conditionalFormatting>
  <conditionalFormatting sqref="C58">
    <cfRule type="expression" dxfId="42" priority="33">
      <formula>$V58=-1</formula>
    </cfRule>
  </conditionalFormatting>
  <conditionalFormatting sqref="C58">
    <cfRule type="expression" dxfId="41" priority="34">
      <formula>$U58&gt;=1</formula>
    </cfRule>
    <cfRule type="expression" dxfId="40" priority="35">
      <formula>$U58=0</formula>
    </cfRule>
  </conditionalFormatting>
  <conditionalFormatting sqref="C58">
    <cfRule type="expression" dxfId="39" priority="31">
      <formula>$AA58="Dec"</formula>
    </cfRule>
    <cfRule type="expression" dxfId="38" priority="32">
      <formula>$AA58="%"</formula>
    </cfRule>
  </conditionalFormatting>
  <conditionalFormatting sqref="H58">
    <cfRule type="expression" dxfId="37" priority="28">
      <formula>$V58=-1</formula>
    </cfRule>
  </conditionalFormatting>
  <conditionalFormatting sqref="H58">
    <cfRule type="expression" dxfId="36" priority="29">
      <formula>$U58&gt;=1</formula>
    </cfRule>
    <cfRule type="expression" dxfId="35" priority="30">
      <formula>$U58=0</formula>
    </cfRule>
  </conditionalFormatting>
  <conditionalFormatting sqref="H58">
    <cfRule type="expression" dxfId="34" priority="26">
      <formula>$AA58="Dec"</formula>
    </cfRule>
    <cfRule type="expression" dxfId="33" priority="27">
      <formula>$AA58="%"</formula>
    </cfRule>
  </conditionalFormatting>
  <conditionalFormatting sqref="J58">
    <cfRule type="expression" dxfId="32" priority="21">
      <formula>$AA58="Dec"</formula>
    </cfRule>
    <cfRule type="expression" dxfId="31" priority="22">
      <formula>$AA58="%"</formula>
    </cfRule>
  </conditionalFormatting>
  <conditionalFormatting sqref="L58">
    <cfRule type="expression" dxfId="30" priority="18">
      <formula>$V58=-1</formula>
    </cfRule>
  </conditionalFormatting>
  <conditionalFormatting sqref="L58">
    <cfRule type="expression" dxfId="29" priority="19">
      <formula>$U58&gt;=1</formula>
    </cfRule>
    <cfRule type="expression" dxfId="28" priority="20">
      <formula>$U58=0</formula>
    </cfRule>
  </conditionalFormatting>
  <conditionalFormatting sqref="L58">
    <cfRule type="expression" dxfId="27" priority="16">
      <formula>$AA58="Dec"</formula>
    </cfRule>
    <cfRule type="expression" dxfId="26" priority="17">
      <formula>$AA58="%"</formula>
    </cfRule>
  </conditionalFormatting>
  <conditionalFormatting sqref="Q58">
    <cfRule type="expression" dxfId="25" priority="13">
      <formula>$V58=-1</formula>
    </cfRule>
  </conditionalFormatting>
  <conditionalFormatting sqref="Q58">
    <cfRule type="expression" dxfId="24" priority="14">
      <formula>$U58&gt;=1</formula>
    </cfRule>
    <cfRule type="expression" dxfId="23" priority="15">
      <formula>$U58=0</formula>
    </cfRule>
  </conditionalFormatting>
  <conditionalFormatting sqref="Q58">
    <cfRule type="expression" dxfId="22" priority="11">
      <formula>$AA58="Dec"</formula>
    </cfRule>
    <cfRule type="expression" dxfId="21" priority="12">
      <formula>$AA58="%"</formula>
    </cfRule>
  </conditionalFormatting>
  <conditionalFormatting sqref="S58">
    <cfRule type="expression" dxfId="20" priority="8">
      <formula>$V58=-1</formula>
    </cfRule>
  </conditionalFormatting>
  <conditionalFormatting sqref="S58">
    <cfRule type="expression" dxfId="19" priority="9">
      <formula>$U58&gt;=1</formula>
    </cfRule>
    <cfRule type="expression" dxfId="18" priority="10">
      <formula>$U58=0</formula>
    </cfRule>
  </conditionalFormatting>
  <conditionalFormatting sqref="S58">
    <cfRule type="expression" dxfId="17" priority="6">
      <formula>$AA58="Dec"</formula>
    </cfRule>
    <cfRule type="expression" dxfId="16" priority="7">
      <formula>$AA58="%"</formula>
    </cfRule>
  </conditionalFormatting>
  <conditionalFormatting sqref="E58">
    <cfRule type="expression" dxfId="15" priority="3">
      <formula>$V58=-1</formula>
    </cfRule>
  </conditionalFormatting>
  <conditionalFormatting sqref="E58">
    <cfRule type="expression" dxfId="14" priority="4">
      <formula>$U58&gt;=1</formula>
    </cfRule>
    <cfRule type="expression" dxfId="13" priority="5">
      <formula>$U58=0</formula>
    </cfRule>
  </conditionalFormatting>
  <conditionalFormatting sqref="E58">
    <cfRule type="expression" dxfId="12" priority="1">
      <formula>$AA58="Dec"</formula>
    </cfRule>
    <cfRule type="expression" dxfId="11" priority="2">
      <formula>$AA58="%"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7A71-BC8A-4930-B7C6-22FD284B6BF7}">
  <sheetPr codeName="Sheet76">
    <tabColor rgb="FFE77777"/>
    <pageSetUpPr fitToPage="1"/>
  </sheetPr>
  <dimension ref="A1:R248"/>
  <sheetViews>
    <sheetView showGridLines="0" tabSelected="1" view="pageBreakPreview" zoomScale="70" zoomScaleNormal="85" zoomScaleSheetLayoutView="70" workbookViewId="0">
      <selection activeCell="AF38" sqref="AF38"/>
    </sheetView>
  </sheetViews>
  <sheetFormatPr defaultColWidth="8.5703125" defaultRowHeight="12.75" x14ac:dyDescent="0.2"/>
  <cols>
    <col min="1" max="1" width="2.5703125" style="3" customWidth="1"/>
    <col min="2" max="2" width="38.5703125" style="3" customWidth="1"/>
    <col min="3" max="14" width="14.5703125" style="3" customWidth="1"/>
    <col min="15" max="15" width="15.42578125" style="3" customWidth="1"/>
    <col min="16" max="23" width="0" style="3" hidden="1" customWidth="1"/>
    <col min="24" max="24" width="8.5703125" style="3"/>
    <col min="25" max="25" width="9" style="3" bestFit="1" customWidth="1"/>
    <col min="26" max="16384" width="8.5703125" style="3"/>
  </cols>
  <sheetData>
    <row r="1" spans="1:18" ht="22.5" x14ac:dyDescent="0.3">
      <c r="A1" s="1" t="s">
        <v>45</v>
      </c>
      <c r="B1" s="1"/>
    </row>
    <row r="2" spans="1:18" ht="15" customHeight="1" x14ac:dyDescent="0.25">
      <c r="A2" s="72" t="s">
        <v>41</v>
      </c>
      <c r="B2" s="4"/>
    </row>
    <row r="3" spans="1:18" ht="15" x14ac:dyDescent="0.2">
      <c r="A3" s="5" t="s">
        <v>48</v>
      </c>
      <c r="B3" s="5"/>
    </row>
    <row r="4" spans="1:18" ht="15" customHeight="1" x14ac:dyDescent="0.25">
      <c r="A4" s="6"/>
      <c r="B4" s="2"/>
    </row>
    <row r="5" spans="1:18" ht="15" x14ac:dyDescent="0.25"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Q5" s="74"/>
      <c r="R5" s="74"/>
    </row>
    <row r="6" spans="1:18" ht="15" x14ac:dyDescent="0.25">
      <c r="C6" s="75">
        <v>45260</v>
      </c>
      <c r="D6" s="75">
        <v>45657</v>
      </c>
      <c r="E6" s="75">
        <v>45351</v>
      </c>
      <c r="F6" s="75">
        <v>45382</v>
      </c>
      <c r="G6" s="75">
        <v>45412</v>
      </c>
      <c r="H6" s="75">
        <v>45443</v>
      </c>
      <c r="I6" s="75">
        <v>45473</v>
      </c>
      <c r="J6" s="75">
        <v>45504</v>
      </c>
      <c r="K6" s="75">
        <v>45535</v>
      </c>
      <c r="L6" s="75">
        <v>45565</v>
      </c>
      <c r="M6" s="75">
        <v>45596</v>
      </c>
      <c r="N6" s="75">
        <v>45626</v>
      </c>
      <c r="O6" s="76" t="s">
        <v>42</v>
      </c>
    </row>
    <row r="7" spans="1:18" ht="15" x14ac:dyDescent="0.25">
      <c r="C7" s="77" t="s">
        <v>1</v>
      </c>
      <c r="D7" s="77" t="s">
        <v>47</v>
      </c>
      <c r="E7" s="77" t="s">
        <v>1</v>
      </c>
      <c r="F7" s="77" t="s">
        <v>1</v>
      </c>
      <c r="G7" s="77" t="s">
        <v>1</v>
      </c>
      <c r="H7" s="77" t="s">
        <v>1</v>
      </c>
      <c r="I7" s="77" t="s">
        <v>1</v>
      </c>
      <c r="J7" s="77" t="s">
        <v>1</v>
      </c>
      <c r="K7" s="77" t="s">
        <v>1</v>
      </c>
      <c r="L7" s="77" t="s">
        <v>1</v>
      </c>
      <c r="M7" s="77" t="s">
        <v>1</v>
      </c>
      <c r="N7" s="77" t="s">
        <v>1</v>
      </c>
      <c r="O7" s="76"/>
    </row>
    <row r="8" spans="1:18" ht="3" customHeight="1" x14ac:dyDescent="0.2"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8"/>
    </row>
    <row r="9" spans="1:18" s="22" customFormat="1" ht="15" x14ac:dyDescent="0.25">
      <c r="A9" s="79"/>
      <c r="B9" s="17" t="s">
        <v>7</v>
      </c>
      <c r="C9" s="18">
        <v>3960</v>
      </c>
      <c r="D9" s="18">
        <v>4092</v>
      </c>
      <c r="E9" s="18">
        <v>3828</v>
      </c>
      <c r="F9" s="18">
        <v>4092</v>
      </c>
      <c r="G9" s="18">
        <v>3960</v>
      </c>
      <c r="H9" s="18">
        <v>4092</v>
      </c>
      <c r="I9" s="18">
        <v>3960</v>
      </c>
      <c r="J9" s="18">
        <v>4092</v>
      </c>
      <c r="K9" s="18">
        <v>4092</v>
      </c>
      <c r="L9" s="18">
        <v>3960</v>
      </c>
      <c r="M9" s="18">
        <v>4092</v>
      </c>
      <c r="N9" s="18">
        <v>3960</v>
      </c>
      <c r="O9" s="80">
        <f>+SUM(C9:N9)</f>
        <v>48180</v>
      </c>
    </row>
    <row r="10" spans="1:18" s="22" customFormat="1" ht="15" x14ac:dyDescent="0.25">
      <c r="A10" s="79"/>
      <c r="B10" s="17" t="s">
        <v>8</v>
      </c>
      <c r="C10" s="18">
        <v>2944</v>
      </c>
      <c r="D10" s="18">
        <v>3523</v>
      </c>
      <c r="E10" s="18">
        <v>3557</v>
      </c>
      <c r="F10" s="18">
        <v>3793</v>
      </c>
      <c r="G10" s="18">
        <v>3692</v>
      </c>
      <c r="H10" s="18">
        <v>3471</v>
      </c>
      <c r="I10" s="18">
        <v>3102</v>
      </c>
      <c r="J10" s="18">
        <v>3016</v>
      </c>
      <c r="K10" s="18">
        <v>3030</v>
      </c>
      <c r="L10" s="18">
        <v>2625</v>
      </c>
      <c r="M10" s="18">
        <v>3173</v>
      </c>
      <c r="N10" s="18">
        <v>3516</v>
      </c>
      <c r="O10" s="80">
        <f>+SUM(C10:N10)</f>
        <v>39442</v>
      </c>
    </row>
    <row r="11" spans="1:18" s="22" customFormat="1" ht="15" x14ac:dyDescent="0.25">
      <c r="A11" s="79"/>
      <c r="B11" s="17" t="s">
        <v>9</v>
      </c>
      <c r="C11" s="23">
        <v>0.74339999999999995</v>
      </c>
      <c r="D11" s="23">
        <v>0.8609</v>
      </c>
      <c r="E11" s="23">
        <v>0.92920000000000003</v>
      </c>
      <c r="F11" s="23">
        <v>0.92689999999999995</v>
      </c>
      <c r="G11" s="23">
        <v>0.93230000000000002</v>
      </c>
      <c r="H11" s="23">
        <v>0.84819999999999995</v>
      </c>
      <c r="I11" s="23">
        <v>0.7833</v>
      </c>
      <c r="J11" s="23">
        <v>0.73699999999999999</v>
      </c>
      <c r="K11" s="23">
        <v>0.74050000000000005</v>
      </c>
      <c r="L11" s="23">
        <v>0.66290000000000004</v>
      </c>
      <c r="M11" s="23">
        <v>0.77539999999999998</v>
      </c>
      <c r="N11" s="23">
        <v>0.88790000000000002</v>
      </c>
      <c r="O11" s="81">
        <f>O10/O9</f>
        <v>0.81863843918638435</v>
      </c>
    </row>
    <row r="12" spans="1:18" s="22" customFormat="1" ht="15" x14ac:dyDescent="0.25">
      <c r="A12" s="79"/>
      <c r="B12" s="17" t="s">
        <v>10</v>
      </c>
      <c r="C12" s="24">
        <v>228.61940000000001</v>
      </c>
      <c r="D12" s="24">
        <v>297.19490000000002</v>
      </c>
      <c r="E12" s="24">
        <v>351.08139999999997</v>
      </c>
      <c r="F12" s="24">
        <v>312.21690000000001</v>
      </c>
      <c r="G12" s="24">
        <v>258.44729999999998</v>
      </c>
      <c r="H12" s="24">
        <v>223.86150000000001</v>
      </c>
      <c r="I12" s="24">
        <v>171.1737</v>
      </c>
      <c r="J12" s="24">
        <v>179.42679999999999</v>
      </c>
      <c r="K12" s="24">
        <v>158.69499999999999</v>
      </c>
      <c r="L12" s="24">
        <v>160.40219999999999</v>
      </c>
      <c r="M12" s="24">
        <v>192.31700000000001</v>
      </c>
      <c r="N12" s="24">
        <v>197.7415</v>
      </c>
      <c r="O12" s="82">
        <f>O17/O10</f>
        <v>232.33694893768069</v>
      </c>
    </row>
    <row r="13" spans="1:18" s="22" customFormat="1" ht="15" x14ac:dyDescent="0.25">
      <c r="A13" s="79"/>
      <c r="B13" s="17" t="s">
        <v>11</v>
      </c>
      <c r="C13" s="24">
        <v>169.96350000000001</v>
      </c>
      <c r="D13" s="24">
        <v>255.86949999999999</v>
      </c>
      <c r="E13" s="24">
        <v>326.2269</v>
      </c>
      <c r="F13" s="24">
        <v>289.40339999999998</v>
      </c>
      <c r="G13" s="24">
        <v>240.9564</v>
      </c>
      <c r="H13" s="24">
        <v>189.88839999999999</v>
      </c>
      <c r="I13" s="24">
        <v>134.08600000000001</v>
      </c>
      <c r="J13" s="24">
        <v>132.24619999999999</v>
      </c>
      <c r="K13" s="24">
        <v>117.50879999999999</v>
      </c>
      <c r="L13" s="24">
        <v>106.3272</v>
      </c>
      <c r="M13" s="24">
        <v>149.12559999999999</v>
      </c>
      <c r="N13" s="24">
        <v>175.57050000000001</v>
      </c>
      <c r="O13" s="82">
        <f>O11*O12</f>
        <v>190.19995724366959</v>
      </c>
    </row>
    <row r="14" spans="1:18" s="22" customFormat="1" ht="15" x14ac:dyDescent="0.25">
      <c r="A14" s="79"/>
      <c r="B14" s="17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80"/>
    </row>
    <row r="15" spans="1:18" s="22" customFormat="1" ht="15" x14ac:dyDescent="0.25">
      <c r="A15" s="79"/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80"/>
    </row>
    <row r="16" spans="1:18" s="33" customFormat="1" ht="15" x14ac:dyDescent="0.25">
      <c r="A16" s="83"/>
      <c r="B16" s="27" t="s">
        <v>13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</row>
    <row r="17" spans="1:15" s="22" customFormat="1" ht="15" x14ac:dyDescent="0.25">
      <c r="A17" s="79"/>
      <c r="B17" s="17" t="s">
        <v>14</v>
      </c>
      <c r="C17" s="18">
        <v>673055.43</v>
      </c>
      <c r="D17" s="18">
        <v>1047017.79</v>
      </c>
      <c r="E17" s="18">
        <v>1248796.71</v>
      </c>
      <c r="F17" s="18">
        <v>1184238.79</v>
      </c>
      <c r="G17" s="18">
        <v>954187.37</v>
      </c>
      <c r="H17" s="18">
        <v>777023.21</v>
      </c>
      <c r="I17" s="18">
        <v>530980.69999999995</v>
      </c>
      <c r="J17" s="18">
        <v>541151.31000000006</v>
      </c>
      <c r="K17" s="18">
        <v>480845.86</v>
      </c>
      <c r="L17" s="18">
        <v>421055.73</v>
      </c>
      <c r="M17" s="18">
        <v>610221.82999999996</v>
      </c>
      <c r="N17" s="18">
        <v>695259.21</v>
      </c>
      <c r="O17" s="80">
        <f>+SUM(C17:N17)</f>
        <v>9163833.9400000013</v>
      </c>
    </row>
    <row r="18" spans="1:15" s="22" customFormat="1" ht="15" x14ac:dyDescent="0.25">
      <c r="A18" s="79"/>
      <c r="B18" s="17" t="s">
        <v>15</v>
      </c>
      <c r="C18" s="18">
        <v>125378.51</v>
      </c>
      <c r="D18" s="18">
        <v>510833.95752578118</v>
      </c>
      <c r="E18" s="18">
        <v>271863.27</v>
      </c>
      <c r="F18" s="18">
        <v>239649.25</v>
      </c>
      <c r="G18" s="18">
        <v>250971.01</v>
      </c>
      <c r="H18" s="18">
        <v>276217.51</v>
      </c>
      <c r="I18" s="18">
        <v>201588.78</v>
      </c>
      <c r="J18" s="18">
        <v>210893.26</v>
      </c>
      <c r="K18" s="18">
        <v>189691.38</v>
      </c>
      <c r="L18" s="18">
        <v>205467.1</v>
      </c>
      <c r="M18" s="18">
        <v>195962.94</v>
      </c>
      <c r="N18" s="18">
        <v>235866.06</v>
      </c>
      <c r="O18" s="80">
        <f>+SUM(C18:N18)</f>
        <v>2914383.0275257812</v>
      </c>
    </row>
    <row r="19" spans="1:15" s="22" customFormat="1" ht="15" x14ac:dyDescent="0.25">
      <c r="A19" s="79"/>
      <c r="B19" s="17" t="s">
        <v>16</v>
      </c>
      <c r="C19" s="18">
        <v>1538.01</v>
      </c>
      <c r="D19" s="18">
        <v>1409.2</v>
      </c>
      <c r="E19" s="18">
        <v>1452.64</v>
      </c>
      <c r="F19" s="18">
        <v>2514.5100000000002</v>
      </c>
      <c r="G19" s="18">
        <v>1461.55</v>
      </c>
      <c r="H19" s="18">
        <v>686.39</v>
      </c>
      <c r="I19" s="18">
        <v>971.47</v>
      </c>
      <c r="J19" s="18">
        <v>1646.04</v>
      </c>
      <c r="K19" s="18">
        <v>900.7</v>
      </c>
      <c r="L19" s="18">
        <v>865.48</v>
      </c>
      <c r="M19" s="18">
        <v>1388.87</v>
      </c>
      <c r="N19" s="18">
        <v>2028.13</v>
      </c>
      <c r="O19" s="80">
        <f>+SUM(C19:N19)</f>
        <v>16862.989999999998</v>
      </c>
    </row>
    <row r="20" spans="1:15" s="22" customFormat="1" ht="15" x14ac:dyDescent="0.25">
      <c r="A20" s="79"/>
      <c r="B20" s="17" t="s">
        <v>17</v>
      </c>
      <c r="C20" s="18">
        <v>79584.23</v>
      </c>
      <c r="D20" s="18">
        <v>116816.56</v>
      </c>
      <c r="E20" s="18">
        <v>100878.61</v>
      </c>
      <c r="F20" s="18">
        <v>101604.17</v>
      </c>
      <c r="G20" s="18">
        <v>112785.17</v>
      </c>
      <c r="H20" s="18">
        <v>110919.27</v>
      </c>
      <c r="I20" s="18">
        <v>93308.28</v>
      </c>
      <c r="J20" s="18">
        <v>102674.98</v>
      </c>
      <c r="K20" s="18">
        <v>101401.82</v>
      </c>
      <c r="L20" s="18">
        <v>75369.05</v>
      </c>
      <c r="M20" s="18">
        <v>102100.27</v>
      </c>
      <c r="N20" s="18">
        <v>114522.56</v>
      </c>
      <c r="O20" s="80">
        <f>+SUM(C20:N20)</f>
        <v>1211964.97</v>
      </c>
    </row>
    <row r="21" spans="1:15" s="33" customFormat="1" ht="15" x14ac:dyDescent="0.25">
      <c r="A21" s="83"/>
      <c r="B21" s="27" t="s">
        <v>18</v>
      </c>
      <c r="C21" s="29">
        <v>879556.18</v>
      </c>
      <c r="D21" s="29">
        <v>1676077.5075257812</v>
      </c>
      <c r="E21" s="29">
        <v>1622991.23</v>
      </c>
      <c r="F21" s="29">
        <v>1528006.72</v>
      </c>
      <c r="G21" s="29">
        <v>1319405.0999999999</v>
      </c>
      <c r="H21" s="29">
        <v>1164846.3799999999</v>
      </c>
      <c r="I21" s="29">
        <v>826849.23</v>
      </c>
      <c r="J21" s="29">
        <v>856365.59000000008</v>
      </c>
      <c r="K21" s="29">
        <v>772839.76</v>
      </c>
      <c r="L21" s="29">
        <v>702757.36</v>
      </c>
      <c r="M21" s="29">
        <v>909673.91</v>
      </c>
      <c r="N21" s="29">
        <v>1047675.96</v>
      </c>
      <c r="O21" s="86">
        <f>+SUM(C21:N21)</f>
        <v>13307044.927525781</v>
      </c>
    </row>
    <row r="22" spans="1:15" s="22" customFormat="1" ht="15" x14ac:dyDescent="0.25">
      <c r="A22" s="79"/>
      <c r="B22" s="17" t="s">
        <v>12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80"/>
    </row>
    <row r="23" spans="1:15" s="33" customFormat="1" ht="15" x14ac:dyDescent="0.25">
      <c r="A23" s="83"/>
      <c r="B23" s="27" t="s">
        <v>19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5"/>
    </row>
    <row r="24" spans="1:15" s="22" customFormat="1" ht="15" x14ac:dyDescent="0.25">
      <c r="A24" s="79"/>
      <c r="B24" s="17" t="s">
        <v>14</v>
      </c>
      <c r="C24" s="18">
        <v>204793.19</v>
      </c>
      <c r="D24" s="18">
        <v>237007.64</v>
      </c>
      <c r="E24" s="18">
        <v>255398.29</v>
      </c>
      <c r="F24" s="18">
        <v>263735.28000000003</v>
      </c>
      <c r="G24" s="18">
        <v>261858.86</v>
      </c>
      <c r="H24" s="18">
        <v>267324.25</v>
      </c>
      <c r="I24" s="18">
        <v>206882.07</v>
      </c>
      <c r="J24" s="18">
        <v>214773.66</v>
      </c>
      <c r="K24" s="18">
        <v>200502.01</v>
      </c>
      <c r="L24" s="18">
        <v>185458.87</v>
      </c>
      <c r="M24" s="18">
        <v>194298.83</v>
      </c>
      <c r="N24" s="18">
        <v>214598.12</v>
      </c>
      <c r="O24" s="80">
        <f>+SUM(C24:N24)</f>
        <v>2706631.0700000003</v>
      </c>
    </row>
    <row r="25" spans="1:15" s="22" customFormat="1" ht="15" x14ac:dyDescent="0.25">
      <c r="A25" s="79"/>
      <c r="B25" s="17" t="s">
        <v>15</v>
      </c>
      <c r="C25" s="18">
        <v>131989.10999999999</v>
      </c>
      <c r="D25" s="18">
        <v>354057.30202886311</v>
      </c>
      <c r="E25" s="18">
        <v>220413.37</v>
      </c>
      <c r="F25" s="18">
        <v>190760.21</v>
      </c>
      <c r="G25" s="18">
        <v>228871.12</v>
      </c>
      <c r="H25" s="18">
        <v>226868.58</v>
      </c>
      <c r="I25" s="18">
        <v>181455.91</v>
      </c>
      <c r="J25" s="18">
        <v>187917.75</v>
      </c>
      <c r="K25" s="18">
        <v>183640.15</v>
      </c>
      <c r="L25" s="18">
        <v>144001.82</v>
      </c>
      <c r="M25" s="18">
        <v>168612.12</v>
      </c>
      <c r="N25" s="18">
        <v>192181.82</v>
      </c>
      <c r="O25" s="80">
        <f>+SUM(C25:N25)</f>
        <v>2410769.2620288627</v>
      </c>
    </row>
    <row r="26" spans="1:15" s="22" customFormat="1" ht="15" x14ac:dyDescent="0.25">
      <c r="A26" s="79"/>
      <c r="B26" s="17" t="s">
        <v>16</v>
      </c>
      <c r="C26" s="18">
        <v>547.54999999999995</v>
      </c>
      <c r="D26" s="18">
        <v>619.13</v>
      </c>
      <c r="E26" s="18">
        <v>291.47000000000003</v>
      </c>
      <c r="F26" s="18">
        <v>711</v>
      </c>
      <c r="G26" s="18">
        <v>642.24</v>
      </c>
      <c r="H26" s="18">
        <v>294.5</v>
      </c>
      <c r="I26" s="18">
        <v>206.68</v>
      </c>
      <c r="J26" s="18">
        <v>520.26</v>
      </c>
      <c r="K26" s="18">
        <v>165.54</v>
      </c>
      <c r="L26" s="18">
        <v>348.76</v>
      </c>
      <c r="M26" s="18">
        <v>319.45</v>
      </c>
      <c r="N26" s="18">
        <v>767.44</v>
      </c>
      <c r="O26" s="80">
        <f>+SUM(C26:N26)</f>
        <v>5434.0199999999986</v>
      </c>
    </row>
    <row r="27" spans="1:15" s="33" customFormat="1" ht="15" x14ac:dyDescent="0.25">
      <c r="A27" s="83"/>
      <c r="B27" s="27" t="s">
        <v>20</v>
      </c>
      <c r="C27" s="29">
        <v>337329.85</v>
      </c>
      <c r="D27" s="29">
        <v>591684.07202886313</v>
      </c>
      <c r="E27" s="29">
        <v>476103.13</v>
      </c>
      <c r="F27" s="29">
        <v>455206.49</v>
      </c>
      <c r="G27" s="29">
        <v>491372.22</v>
      </c>
      <c r="H27" s="29">
        <v>494487.32999999996</v>
      </c>
      <c r="I27" s="29">
        <v>388544.66</v>
      </c>
      <c r="J27" s="29">
        <v>403211.67000000004</v>
      </c>
      <c r="K27" s="29">
        <v>384307.7</v>
      </c>
      <c r="L27" s="29">
        <v>329809.45</v>
      </c>
      <c r="M27" s="29">
        <v>363230.39999999997</v>
      </c>
      <c r="N27" s="29">
        <v>407547.38</v>
      </c>
      <c r="O27" s="86">
        <f>+SUM(C27:N27)</f>
        <v>5122834.3520288635</v>
      </c>
    </row>
    <row r="28" spans="1:15" s="22" customFormat="1" ht="15" x14ac:dyDescent="0.25">
      <c r="A28" s="79"/>
      <c r="B28" s="17" t="s">
        <v>12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80"/>
    </row>
    <row r="29" spans="1:15" s="33" customFormat="1" ht="15" x14ac:dyDescent="0.25">
      <c r="A29" s="83"/>
      <c r="B29" s="27" t="s">
        <v>21</v>
      </c>
      <c r="C29" s="84">
        <v>542226.33000000007</v>
      </c>
      <c r="D29" s="84">
        <v>1084393.4354969179</v>
      </c>
      <c r="E29" s="84">
        <v>1146888.1000000001</v>
      </c>
      <c r="F29" s="84">
        <v>1072800.23</v>
      </c>
      <c r="G29" s="84">
        <v>828032.87999999989</v>
      </c>
      <c r="H29" s="84">
        <v>670359.04999999993</v>
      </c>
      <c r="I29" s="84">
        <v>438304.57</v>
      </c>
      <c r="J29" s="84">
        <v>453153.92000000004</v>
      </c>
      <c r="K29" s="84">
        <v>388532.06</v>
      </c>
      <c r="L29" s="84">
        <v>372947.91</v>
      </c>
      <c r="M29" s="84">
        <v>546443.51</v>
      </c>
      <c r="N29" s="84">
        <v>640128.57999999996</v>
      </c>
      <c r="O29" s="85">
        <f>+SUM(C29:N29)</f>
        <v>8184210.5754969176</v>
      </c>
    </row>
    <row r="30" spans="1:15" s="22" customFormat="1" ht="15" x14ac:dyDescent="0.25">
      <c r="A30" s="79"/>
      <c r="B30" s="17" t="s">
        <v>12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80"/>
    </row>
    <row r="31" spans="1:15" s="33" customFormat="1" ht="15" x14ac:dyDescent="0.25">
      <c r="A31" s="83"/>
      <c r="B31" s="27" t="s">
        <v>22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5"/>
    </row>
    <row r="32" spans="1:15" s="22" customFormat="1" ht="15" x14ac:dyDescent="0.25">
      <c r="A32" s="79"/>
      <c r="B32" s="17" t="s">
        <v>23</v>
      </c>
      <c r="C32" s="18">
        <v>106068.75</v>
      </c>
      <c r="D32" s="18">
        <v>122952.37672082538</v>
      </c>
      <c r="E32" s="18">
        <v>115314.2</v>
      </c>
      <c r="F32" s="18">
        <v>116519.95</v>
      </c>
      <c r="G32" s="18">
        <v>118161.63</v>
      </c>
      <c r="H32" s="18">
        <v>111994.31</v>
      </c>
      <c r="I32" s="18">
        <v>82539.25</v>
      </c>
      <c r="J32" s="18">
        <v>90862.62</v>
      </c>
      <c r="K32" s="18">
        <v>94776.16</v>
      </c>
      <c r="L32" s="18">
        <v>100956.57</v>
      </c>
      <c r="M32" s="18">
        <v>101881.17</v>
      </c>
      <c r="N32" s="18">
        <v>97703.56</v>
      </c>
      <c r="O32" s="80">
        <f t="shared" ref="O32:O37" si="0">+SUM(C32:N32)</f>
        <v>1259730.5467208256</v>
      </c>
    </row>
    <row r="33" spans="1:15" s="22" customFormat="1" ht="15" x14ac:dyDescent="0.25">
      <c r="A33" s="79"/>
      <c r="B33" s="17" t="s">
        <v>24</v>
      </c>
      <c r="C33" s="18">
        <v>15845</v>
      </c>
      <c r="D33" s="18">
        <v>15150.69</v>
      </c>
      <c r="E33" s="18">
        <v>22136.12</v>
      </c>
      <c r="F33" s="18">
        <v>20844.099999999999</v>
      </c>
      <c r="G33" s="18">
        <v>15829.8</v>
      </c>
      <c r="H33" s="18">
        <v>15157.74</v>
      </c>
      <c r="I33" s="18">
        <v>11148.06</v>
      </c>
      <c r="J33" s="18">
        <v>12448.49</v>
      </c>
      <c r="K33" s="18">
        <v>9078.4500000000007</v>
      </c>
      <c r="L33" s="18">
        <v>8251.67</v>
      </c>
      <c r="M33" s="18">
        <v>10860.33</v>
      </c>
      <c r="N33" s="18">
        <v>13045.09</v>
      </c>
      <c r="O33" s="80">
        <f t="shared" si="0"/>
        <v>169795.54</v>
      </c>
    </row>
    <row r="34" spans="1:15" s="22" customFormat="1" ht="15" x14ac:dyDescent="0.25">
      <c r="A34" s="79"/>
      <c r="B34" s="17" t="s">
        <v>25</v>
      </c>
      <c r="C34" s="18">
        <v>78008.490000000005</v>
      </c>
      <c r="D34" s="18">
        <v>104359.80518981481</v>
      </c>
      <c r="E34" s="18">
        <v>100245.07</v>
      </c>
      <c r="F34" s="18">
        <v>104713.14</v>
      </c>
      <c r="G34" s="18">
        <v>115727.72</v>
      </c>
      <c r="H34" s="18">
        <v>106611.29</v>
      </c>
      <c r="I34" s="18">
        <v>96066.240000000005</v>
      </c>
      <c r="J34" s="18">
        <v>97447.53</v>
      </c>
      <c r="K34" s="18">
        <v>91547.39</v>
      </c>
      <c r="L34" s="18">
        <v>90642.09</v>
      </c>
      <c r="M34" s="18">
        <v>89372.2</v>
      </c>
      <c r="N34" s="18">
        <v>96385.97</v>
      </c>
      <c r="O34" s="80">
        <f t="shared" si="0"/>
        <v>1171126.9351898148</v>
      </c>
    </row>
    <row r="35" spans="1:15" s="22" customFormat="1" ht="15" x14ac:dyDescent="0.25">
      <c r="A35" s="79"/>
      <c r="B35" s="17" t="s">
        <v>43</v>
      </c>
      <c r="C35" s="18">
        <v>72131.02</v>
      </c>
      <c r="D35" s="18">
        <v>60560.561250000006</v>
      </c>
      <c r="E35" s="18">
        <v>58692.34</v>
      </c>
      <c r="F35" s="18">
        <v>66393.509999999995</v>
      </c>
      <c r="G35" s="18">
        <v>37576.639999999999</v>
      </c>
      <c r="H35" s="18">
        <v>53729.18</v>
      </c>
      <c r="I35" s="18">
        <v>45389.36</v>
      </c>
      <c r="J35" s="18">
        <v>48251.05</v>
      </c>
      <c r="K35" s="18">
        <v>50469.87</v>
      </c>
      <c r="L35" s="18">
        <v>54761.56</v>
      </c>
      <c r="M35" s="18">
        <v>53366.78</v>
      </c>
      <c r="N35" s="18">
        <v>55631.99</v>
      </c>
      <c r="O35" s="80">
        <f t="shared" si="0"/>
        <v>656953.86125000007</v>
      </c>
    </row>
    <row r="36" spans="1:15" s="22" customFormat="1" ht="15" x14ac:dyDescent="0.25">
      <c r="A36" s="79"/>
      <c r="B36" s="17" t="s">
        <v>27</v>
      </c>
      <c r="C36" s="18">
        <v>23434.55</v>
      </c>
      <c r="D36" s="18">
        <v>19326.172500000001</v>
      </c>
      <c r="E36" s="18">
        <v>22948.04</v>
      </c>
      <c r="F36" s="18">
        <v>24386.98</v>
      </c>
      <c r="G36" s="18">
        <v>25806.47</v>
      </c>
      <c r="H36" s="18">
        <v>26430.89</v>
      </c>
      <c r="I36" s="18">
        <v>28545.41</v>
      </c>
      <c r="J36" s="18">
        <v>24940.23</v>
      </c>
      <c r="K36" s="18">
        <v>23587.33</v>
      </c>
      <c r="L36" s="18">
        <v>25144.400000000001</v>
      </c>
      <c r="M36" s="18">
        <v>24473.06</v>
      </c>
      <c r="N36" s="18">
        <v>22625.96</v>
      </c>
      <c r="O36" s="80">
        <f t="shared" si="0"/>
        <v>291649.49250000005</v>
      </c>
    </row>
    <row r="37" spans="1:15" s="33" customFormat="1" ht="15" x14ac:dyDescent="0.25">
      <c r="A37" s="83"/>
      <c r="B37" s="27" t="s">
        <v>28</v>
      </c>
      <c r="C37" s="29">
        <v>295487.81</v>
      </c>
      <c r="D37" s="29">
        <v>322349.60566064023</v>
      </c>
      <c r="E37" s="29">
        <v>319335.76999999996</v>
      </c>
      <c r="F37" s="29">
        <v>332857.68</v>
      </c>
      <c r="G37" s="29">
        <v>313102.26</v>
      </c>
      <c r="H37" s="29">
        <v>313923.41000000003</v>
      </c>
      <c r="I37" s="29">
        <v>263688.31999999995</v>
      </c>
      <c r="J37" s="29">
        <v>273949.92</v>
      </c>
      <c r="K37" s="29">
        <v>269459.20000000001</v>
      </c>
      <c r="L37" s="29">
        <v>279756.29000000004</v>
      </c>
      <c r="M37" s="29">
        <v>279953.54000000004</v>
      </c>
      <c r="N37" s="29">
        <v>285392.57</v>
      </c>
      <c r="O37" s="86">
        <f t="shared" si="0"/>
        <v>3549256.3756606402</v>
      </c>
    </row>
    <row r="38" spans="1:15" s="22" customFormat="1" ht="15" x14ac:dyDescent="0.25">
      <c r="A38" s="79"/>
      <c r="B38" s="17" t="s">
        <v>12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80"/>
    </row>
    <row r="39" spans="1:15" s="33" customFormat="1" ht="15" x14ac:dyDescent="0.25">
      <c r="A39" s="83"/>
      <c r="B39" s="27" t="s">
        <v>29</v>
      </c>
      <c r="C39" s="84">
        <v>246738.52000000008</v>
      </c>
      <c r="D39" s="84">
        <v>762043.82983627776</v>
      </c>
      <c r="E39" s="84">
        <v>827552.33000000007</v>
      </c>
      <c r="F39" s="84">
        <v>739942.55</v>
      </c>
      <c r="G39" s="84">
        <v>514930.61999999988</v>
      </c>
      <c r="H39" s="84">
        <v>356435.6399999999</v>
      </c>
      <c r="I39" s="84">
        <v>174616.25000000006</v>
      </c>
      <c r="J39" s="84">
        <v>179204.00000000006</v>
      </c>
      <c r="K39" s="84">
        <v>119072.85999999999</v>
      </c>
      <c r="L39" s="84">
        <v>93191.619999999937</v>
      </c>
      <c r="M39" s="84">
        <v>266489.96999999997</v>
      </c>
      <c r="N39" s="84">
        <v>354736.00999999995</v>
      </c>
      <c r="O39" s="85">
        <f>+SUM(C39:N39)</f>
        <v>4634954.1998362774</v>
      </c>
    </row>
    <row r="40" spans="1:15" s="22" customFormat="1" ht="15" x14ac:dyDescent="0.25">
      <c r="A40" s="79"/>
      <c r="B40" s="17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80"/>
    </row>
    <row r="41" spans="1:15" s="22" customFormat="1" ht="15" x14ac:dyDescent="0.25">
      <c r="A41" s="79"/>
      <c r="B41" s="17" t="s">
        <v>30</v>
      </c>
      <c r="C41" s="18">
        <v>28126.04</v>
      </c>
      <c r="D41" s="18">
        <v>79731.675326804689</v>
      </c>
      <c r="E41" s="18">
        <v>67958.77</v>
      </c>
      <c r="F41" s="18">
        <v>64662.33</v>
      </c>
      <c r="G41" s="18">
        <v>56917.53</v>
      </c>
      <c r="H41" s="18">
        <v>55821.919999999998</v>
      </c>
      <c r="I41" s="18">
        <v>41157.660000000003</v>
      </c>
      <c r="J41" s="18">
        <v>41987.72</v>
      </c>
      <c r="K41" s="18">
        <v>37762.94</v>
      </c>
      <c r="L41" s="18">
        <v>37196.82</v>
      </c>
      <c r="M41" s="18">
        <v>42657.18</v>
      </c>
      <c r="N41" s="18">
        <v>55537.08</v>
      </c>
      <c r="O41" s="80">
        <f>+SUM(C41:N41)</f>
        <v>609517.66532680462</v>
      </c>
    </row>
    <row r="42" spans="1:15" s="33" customFormat="1" ht="15" x14ac:dyDescent="0.25">
      <c r="A42" s="83"/>
      <c r="B42" s="27" t="s">
        <v>31</v>
      </c>
      <c r="C42" s="29">
        <v>218612.48000000007</v>
      </c>
      <c r="D42" s="29">
        <v>682312.15450947313</v>
      </c>
      <c r="E42" s="29">
        <v>759593.56</v>
      </c>
      <c r="F42" s="29">
        <v>675280.22000000009</v>
      </c>
      <c r="G42" s="29">
        <v>458013.08999999985</v>
      </c>
      <c r="H42" s="29">
        <v>300613.71999999991</v>
      </c>
      <c r="I42" s="29">
        <v>133458.59000000005</v>
      </c>
      <c r="J42" s="29">
        <v>137216.28000000006</v>
      </c>
      <c r="K42" s="29">
        <v>81309.919999999984</v>
      </c>
      <c r="L42" s="29">
        <v>55994.799999999937</v>
      </c>
      <c r="M42" s="29">
        <v>223832.78999999998</v>
      </c>
      <c r="N42" s="29">
        <v>299198.92999999993</v>
      </c>
      <c r="O42" s="86">
        <f>+SUM(C42:N42)</f>
        <v>4025436.5345094725</v>
      </c>
    </row>
    <row r="43" spans="1:15" s="22" customFormat="1" ht="15" x14ac:dyDescent="0.25">
      <c r="A43" s="79"/>
      <c r="B43" s="17" t="s">
        <v>12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80"/>
    </row>
    <row r="44" spans="1:15" s="22" customFormat="1" ht="15" x14ac:dyDescent="0.25">
      <c r="A44" s="79"/>
      <c r="B44" s="17" t="s">
        <v>44</v>
      </c>
      <c r="C44" s="18">
        <v>0</v>
      </c>
      <c r="D44" s="18">
        <v>-2031</v>
      </c>
      <c r="E44" s="18">
        <v>-1838.2</v>
      </c>
      <c r="F44" s="18">
        <v>-2002.55</v>
      </c>
      <c r="G44" s="18">
        <v>-1967.65</v>
      </c>
      <c r="H44" s="18">
        <v>-2116.0700000000002</v>
      </c>
      <c r="I44" s="18">
        <v>-2077.4899999999998</v>
      </c>
      <c r="J44" s="18">
        <v>-2152.0300000000002</v>
      </c>
      <c r="K44" s="18">
        <v>-2157.5</v>
      </c>
      <c r="L44" s="18">
        <v>-1997.83</v>
      </c>
      <c r="M44" s="18">
        <v>-1918.92</v>
      </c>
      <c r="N44" s="18">
        <v>0</v>
      </c>
      <c r="O44" s="80">
        <f t="shared" ref="O44:O49" si="1">+SUM(C44:N44)</f>
        <v>-20259.239999999998</v>
      </c>
    </row>
    <row r="45" spans="1:15" s="22" customFormat="1" ht="15" x14ac:dyDescent="0.25">
      <c r="A45" s="79"/>
      <c r="B45" s="17" t="s">
        <v>33</v>
      </c>
      <c r="C45" s="18">
        <v>2440.4899999999998</v>
      </c>
      <c r="D45" s="18">
        <v>1967.42</v>
      </c>
      <c r="E45" s="18">
        <v>1697.89</v>
      </c>
      <c r="F45" s="18">
        <v>1671.22</v>
      </c>
      <c r="G45" s="18">
        <v>-196.17</v>
      </c>
      <c r="H45" s="18">
        <v>1870.24</v>
      </c>
      <c r="I45" s="18">
        <v>658.13</v>
      </c>
      <c r="J45" s="18">
        <v>837.03</v>
      </c>
      <c r="K45" s="18">
        <v>517.89</v>
      </c>
      <c r="L45" s="18">
        <v>3514.57</v>
      </c>
      <c r="M45" s="18">
        <v>-800.55</v>
      </c>
      <c r="N45" s="18">
        <v>2224.88</v>
      </c>
      <c r="O45" s="80">
        <f t="shared" si="1"/>
        <v>16403.04</v>
      </c>
    </row>
    <row r="46" spans="1:15" s="22" customFormat="1" ht="15" x14ac:dyDescent="0.25">
      <c r="A46" s="79"/>
      <c r="B46" s="17" t="s">
        <v>34</v>
      </c>
      <c r="C46" s="18">
        <v>40030</v>
      </c>
      <c r="D46" s="18">
        <v>45711.86</v>
      </c>
      <c r="E46" s="18">
        <v>45461</v>
      </c>
      <c r="F46" s="18">
        <v>45461</v>
      </c>
      <c r="G46" s="18">
        <v>62050.2</v>
      </c>
      <c r="H46" s="18">
        <v>45461</v>
      </c>
      <c r="I46" s="18">
        <v>45461</v>
      </c>
      <c r="J46" s="18">
        <v>45461</v>
      </c>
      <c r="K46" s="18">
        <v>45461</v>
      </c>
      <c r="L46" s="18">
        <v>45461</v>
      </c>
      <c r="M46" s="18">
        <v>45461</v>
      </c>
      <c r="N46" s="18">
        <v>86358.56</v>
      </c>
      <c r="O46" s="80">
        <f t="shared" si="1"/>
        <v>597838.62</v>
      </c>
    </row>
    <row r="47" spans="1:15" s="22" customFormat="1" ht="15" x14ac:dyDescent="0.25">
      <c r="A47" s="79"/>
      <c r="B47" s="17" t="s">
        <v>35</v>
      </c>
      <c r="C47" s="18">
        <v>123613.87</v>
      </c>
      <c r="D47" s="18">
        <v>118195.22</v>
      </c>
      <c r="E47" s="18">
        <v>130720.95</v>
      </c>
      <c r="F47" s="18">
        <v>130720.95</v>
      </c>
      <c r="G47" s="18">
        <v>130984.32000000001</v>
      </c>
      <c r="H47" s="18">
        <v>117207.72</v>
      </c>
      <c r="I47" s="18">
        <v>117470.98</v>
      </c>
      <c r="J47" s="18">
        <v>117470.94</v>
      </c>
      <c r="K47" s="18">
        <v>116313.08</v>
      </c>
      <c r="L47" s="18">
        <v>117717.47</v>
      </c>
      <c r="M47" s="18">
        <v>117717.35</v>
      </c>
      <c r="N47" s="18">
        <v>117717.35</v>
      </c>
      <c r="O47" s="80">
        <f t="shared" si="1"/>
        <v>1455850.2000000002</v>
      </c>
    </row>
    <row r="48" spans="1:15" s="22" customFormat="1" ht="15" x14ac:dyDescent="0.25">
      <c r="A48" s="79"/>
      <c r="B48" s="17" t="s">
        <v>36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80">
        <f t="shared" si="1"/>
        <v>0</v>
      </c>
    </row>
    <row r="49" spans="1:15" s="33" customFormat="1" ht="15" x14ac:dyDescent="0.25">
      <c r="A49" s="83"/>
      <c r="B49" s="27" t="s">
        <v>37</v>
      </c>
      <c r="C49" s="29">
        <v>166084.35999999999</v>
      </c>
      <c r="D49" s="29">
        <v>163843.5</v>
      </c>
      <c r="E49" s="29">
        <v>176041.64</v>
      </c>
      <c r="F49" s="29">
        <v>175850.62</v>
      </c>
      <c r="G49" s="29">
        <v>190870.7</v>
      </c>
      <c r="H49" s="29">
        <v>162422.89000000001</v>
      </c>
      <c r="I49" s="29">
        <v>161512.62</v>
      </c>
      <c r="J49" s="29">
        <v>161616.94</v>
      </c>
      <c r="K49" s="29">
        <v>160134.47</v>
      </c>
      <c r="L49" s="29">
        <v>164695.21</v>
      </c>
      <c r="M49" s="29">
        <v>160458.88</v>
      </c>
      <c r="N49" s="29">
        <v>206300.79</v>
      </c>
      <c r="O49" s="86">
        <f t="shared" si="1"/>
        <v>2049832.62</v>
      </c>
    </row>
    <row r="50" spans="1:15" s="22" customFormat="1" ht="15" x14ac:dyDescent="0.25">
      <c r="A50" s="79"/>
      <c r="B50" s="17" t="s">
        <v>12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80"/>
    </row>
    <row r="51" spans="1:15" s="33" customFormat="1" ht="15" x14ac:dyDescent="0.25">
      <c r="A51" s="83"/>
      <c r="B51" s="27" t="s">
        <v>38</v>
      </c>
      <c r="C51" s="84">
        <v>52528.120000000083</v>
      </c>
      <c r="D51" s="84">
        <v>518468.65450947313</v>
      </c>
      <c r="E51" s="84">
        <v>583551.92000000004</v>
      </c>
      <c r="F51" s="84">
        <v>499429.60000000009</v>
      </c>
      <c r="G51" s="84">
        <v>267142.38999999984</v>
      </c>
      <c r="H51" s="84">
        <v>138190.8299999999</v>
      </c>
      <c r="I51" s="84">
        <v>-28054.029999999941</v>
      </c>
      <c r="J51" s="84">
        <v>-24400.659999999945</v>
      </c>
      <c r="K51" s="84">
        <v>-78824.550000000017</v>
      </c>
      <c r="L51" s="84">
        <v>-108700.41000000006</v>
      </c>
      <c r="M51" s="84">
        <v>63373.909999999974</v>
      </c>
      <c r="N51" s="84">
        <v>92898.139999999927</v>
      </c>
      <c r="O51" s="85">
        <f>+SUM(C51:N51)</f>
        <v>1975603.9145094727</v>
      </c>
    </row>
    <row r="52" spans="1:15" s="22" customFormat="1" ht="15" x14ac:dyDescent="0.25">
      <c r="A52" s="79"/>
      <c r="B52" s="17" t="s">
        <v>12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80"/>
    </row>
    <row r="53" spans="1:15" s="22" customFormat="1" ht="15" x14ac:dyDescent="0.25">
      <c r="A53" s="79"/>
      <c r="B53" s="17" t="s">
        <v>39</v>
      </c>
      <c r="C53" s="18">
        <v>35182.247200000005</v>
      </c>
      <c r="D53" s="18">
        <v>67043.100301031242</v>
      </c>
      <c r="E53" s="18">
        <v>64919.6492</v>
      </c>
      <c r="F53" s="18">
        <v>61120.268799999998</v>
      </c>
      <c r="G53" s="18">
        <v>52776.203999999998</v>
      </c>
      <c r="H53" s="18">
        <v>46593.855199999998</v>
      </c>
      <c r="I53" s="18">
        <v>33073.9692</v>
      </c>
      <c r="J53" s="18">
        <v>34254.623600000006</v>
      </c>
      <c r="K53" s="18">
        <v>30913.590400000001</v>
      </c>
      <c r="L53" s="18">
        <v>28110.294399999999</v>
      </c>
      <c r="M53" s="18">
        <v>36386.956400000003</v>
      </c>
      <c r="N53" s="18">
        <v>41907.038399999998</v>
      </c>
      <c r="O53" s="80">
        <f>+SUM(C53:N53)</f>
        <v>532281.79710103117</v>
      </c>
    </row>
    <row r="54" spans="1:15" s="33" customFormat="1" ht="15.75" thickBot="1" x14ac:dyDescent="0.3">
      <c r="A54" s="83"/>
      <c r="B54" s="87" t="s">
        <v>40</v>
      </c>
      <c r="C54" s="34">
        <v>17345.872800000077</v>
      </c>
      <c r="D54" s="34">
        <v>451425.55420844187</v>
      </c>
      <c r="E54" s="34">
        <v>518632.27080000006</v>
      </c>
      <c r="F54" s="34">
        <v>438309.33120000007</v>
      </c>
      <c r="G54" s="34">
        <v>214366.18599999984</v>
      </c>
      <c r="H54" s="34">
        <v>91596.974799999909</v>
      </c>
      <c r="I54" s="34">
        <v>-61127.99919999994</v>
      </c>
      <c r="J54" s="34">
        <v>-58655.283599999952</v>
      </c>
      <c r="K54" s="34">
        <v>-109738.14040000002</v>
      </c>
      <c r="L54" s="34">
        <v>-136810.70440000005</v>
      </c>
      <c r="M54" s="34">
        <v>26986.953599999972</v>
      </c>
      <c r="N54" s="34">
        <v>50991.101599999929</v>
      </c>
      <c r="O54" s="88">
        <f>+SUM(C54:N54)</f>
        <v>1443322.1174084418</v>
      </c>
    </row>
    <row r="55" spans="1:15" s="22" customFormat="1" ht="15.75" thickTop="1" x14ac:dyDescent="0.25">
      <c r="A55" s="79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0"/>
    </row>
    <row r="56" spans="1:15" s="22" customFormat="1" ht="15" x14ac:dyDescent="0.25">
      <c r="A56" s="79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0"/>
    </row>
    <row r="57" spans="1:15" x14ac:dyDescent="0.2">
      <c r="A57" s="7"/>
      <c r="B57" s="7"/>
    </row>
    <row r="58" spans="1:15" s="71" customFormat="1" x14ac:dyDescent="0.2">
      <c r="A58" s="89"/>
      <c r="B58" s="90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</row>
    <row r="59" spans="1:15" x14ac:dyDescent="0.2">
      <c r="A59" s="7"/>
      <c r="B59" s="7"/>
    </row>
    <row r="60" spans="1:15" x14ac:dyDescent="0.2">
      <c r="B60" s="43"/>
    </row>
    <row r="67" spans="1:2" x14ac:dyDescent="0.2">
      <c r="B67" s="43"/>
    </row>
    <row r="69" spans="1:2" x14ac:dyDescent="0.2">
      <c r="B69" s="43"/>
    </row>
    <row r="70" spans="1:2" x14ac:dyDescent="0.2">
      <c r="B70" s="43"/>
    </row>
    <row r="72" spans="1:2" ht="15.75" x14ac:dyDescent="0.25">
      <c r="A72" s="45"/>
    </row>
    <row r="92" spans="2:2" x14ac:dyDescent="0.2">
      <c r="B92" s="46"/>
    </row>
    <row r="98" spans="1:2" x14ac:dyDescent="0.2">
      <c r="B98" s="43"/>
    </row>
    <row r="99" spans="1:2" x14ac:dyDescent="0.2">
      <c r="B99" s="47"/>
    </row>
    <row r="108" spans="1:2" ht="15" x14ac:dyDescent="0.25">
      <c r="A108" s="48"/>
      <c r="B108" s="49"/>
    </row>
    <row r="110" spans="1:2" x14ac:dyDescent="0.2">
      <c r="B110" s="43"/>
    </row>
    <row r="113" spans="1:2" s="7" customFormat="1" x14ac:dyDescent="0.2">
      <c r="A113" s="3"/>
      <c r="B113" s="3"/>
    </row>
    <row r="114" spans="1:2" s="7" customFormat="1" x14ac:dyDescent="0.2">
      <c r="A114" s="3"/>
      <c r="B114" s="3"/>
    </row>
    <row r="115" spans="1:2" s="7" customFormat="1" x14ac:dyDescent="0.2">
      <c r="A115" s="3"/>
      <c r="B115" s="3"/>
    </row>
    <row r="116" spans="1:2" s="7" customFormat="1" x14ac:dyDescent="0.2">
      <c r="A116" s="3"/>
      <c r="B116" s="3"/>
    </row>
    <row r="117" spans="1:2" s="7" customFormat="1" x14ac:dyDescent="0.2">
      <c r="A117" s="3"/>
      <c r="B117" s="3"/>
    </row>
    <row r="118" spans="1:2" s="7" customFormat="1" x14ac:dyDescent="0.2">
      <c r="A118" s="3"/>
      <c r="B118" s="3"/>
    </row>
    <row r="119" spans="1:2" s="7" customFormat="1" x14ac:dyDescent="0.2">
      <c r="A119" s="54"/>
      <c r="B119" s="3"/>
    </row>
    <row r="120" spans="1:2" s="7" customFormat="1" x14ac:dyDescent="0.2">
      <c r="A120" s="54"/>
      <c r="B120" s="3"/>
    </row>
    <row r="121" spans="1:2" s="7" customFormat="1" x14ac:dyDescent="0.2">
      <c r="A121" s="3"/>
      <c r="B121" s="3"/>
    </row>
    <row r="122" spans="1:2" s="7" customFormat="1" x14ac:dyDescent="0.2">
      <c r="A122" s="54"/>
      <c r="B122" s="3"/>
    </row>
    <row r="123" spans="1:2" s="7" customFormat="1" x14ac:dyDescent="0.2">
      <c r="A123" s="3"/>
      <c r="B123" s="43"/>
    </row>
    <row r="124" spans="1:2" s="7" customFormat="1" x14ac:dyDescent="0.2">
      <c r="A124" s="3"/>
      <c r="B124" s="43"/>
    </row>
    <row r="125" spans="1:2" s="7" customFormat="1" x14ac:dyDescent="0.2">
      <c r="A125" s="3"/>
      <c r="B125" s="43"/>
    </row>
    <row r="126" spans="1:2" s="7" customFormat="1" x14ac:dyDescent="0.2">
      <c r="A126" s="3"/>
      <c r="B126" s="43"/>
    </row>
    <row r="137" spans="1:2" s="7" customFormat="1" x14ac:dyDescent="0.2">
      <c r="A137" s="3"/>
      <c r="B137" s="56"/>
    </row>
    <row r="138" spans="1:2" s="7" customFormat="1" x14ac:dyDescent="0.2">
      <c r="A138" s="3"/>
      <c r="B138" s="56"/>
    </row>
    <row r="139" spans="1:2" s="7" customFormat="1" x14ac:dyDescent="0.2">
      <c r="A139" s="3"/>
      <c r="B139" s="56"/>
    </row>
    <row r="140" spans="1:2" s="7" customFormat="1" x14ac:dyDescent="0.2">
      <c r="A140" s="3"/>
      <c r="B140" s="56"/>
    </row>
    <row r="141" spans="1:2" s="7" customFormat="1" x14ac:dyDescent="0.2">
      <c r="A141" s="3"/>
      <c r="B141" s="56"/>
    </row>
    <row r="142" spans="1:2" s="7" customFormat="1" ht="15" x14ac:dyDescent="0.25">
      <c r="A142" s="60"/>
      <c r="B142" s="61"/>
    </row>
    <row r="143" spans="1:2" s="7" customFormat="1" x14ac:dyDescent="0.2">
      <c r="A143" s="64"/>
      <c r="B143" s="61"/>
    </row>
    <row r="144" spans="1:2" s="7" customFormat="1" x14ac:dyDescent="0.2">
      <c r="A144" s="3"/>
      <c r="B144" s="3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5" spans="1:1" x14ac:dyDescent="0.2">
      <c r="A155" s="47"/>
    </row>
    <row r="169" spans="1:2" x14ac:dyDescent="0.2">
      <c r="A169" s="47"/>
    </row>
    <row r="170" spans="1:2" x14ac:dyDescent="0.2">
      <c r="A170" s="54"/>
    </row>
    <row r="171" spans="1:2" x14ac:dyDescent="0.2">
      <c r="A171" s="54"/>
    </row>
    <row r="172" spans="1:2" x14ac:dyDescent="0.2">
      <c r="B172" s="56"/>
    </row>
    <row r="179" spans="2:2" x14ac:dyDescent="0.2">
      <c r="B179" s="56"/>
    </row>
    <row r="180" spans="2:2" x14ac:dyDescent="0.2">
      <c r="B180" s="56"/>
    </row>
    <row r="181" spans="2:2" x14ac:dyDescent="0.2">
      <c r="B181" s="56"/>
    </row>
    <row r="182" spans="2:2" x14ac:dyDescent="0.2">
      <c r="B182" s="56"/>
    </row>
    <row r="183" spans="2:2" x14ac:dyDescent="0.2">
      <c r="B183" s="56"/>
    </row>
    <row r="198" spans="2:2" x14ac:dyDescent="0.2">
      <c r="B198" s="69"/>
    </row>
    <row r="201" spans="2:2" x14ac:dyDescent="0.2">
      <c r="B201" s="71"/>
    </row>
    <row r="215" spans="2:2" s="7" customFormat="1" x14ac:dyDescent="0.2">
      <c r="B215" s="56"/>
    </row>
    <row r="216" spans="2:2" s="7" customFormat="1" x14ac:dyDescent="0.2">
      <c r="B216" s="46"/>
    </row>
    <row r="217" spans="2:2" s="7" customFormat="1" x14ac:dyDescent="0.2">
      <c r="B217" s="46"/>
    </row>
    <row r="218" spans="2:2" s="7" customFormat="1" x14ac:dyDescent="0.2">
      <c r="B218" s="46"/>
    </row>
    <row r="219" spans="2:2" s="7" customFormat="1" x14ac:dyDescent="0.2">
      <c r="B219" s="46"/>
    </row>
    <row r="220" spans="2:2" s="7" customFormat="1" x14ac:dyDescent="0.2">
      <c r="B220" s="46"/>
    </row>
    <row r="221" spans="2:2" s="7" customFormat="1" x14ac:dyDescent="0.2">
      <c r="B221" s="46"/>
    </row>
    <row r="222" spans="2:2" s="7" customFormat="1" x14ac:dyDescent="0.2">
      <c r="B222" s="46"/>
    </row>
    <row r="223" spans="2:2" s="7" customFormat="1" x14ac:dyDescent="0.2">
      <c r="B223" s="46"/>
    </row>
    <row r="224" spans="2:2" s="7" customFormat="1" x14ac:dyDescent="0.2">
      <c r="B224" s="46"/>
    </row>
    <row r="225" spans="2:2" s="7" customFormat="1" x14ac:dyDescent="0.2">
      <c r="B225" s="46"/>
    </row>
    <row r="226" spans="2:2" s="7" customFormat="1" x14ac:dyDescent="0.2">
      <c r="B226" s="46"/>
    </row>
    <row r="227" spans="2:2" s="7" customFormat="1" x14ac:dyDescent="0.2">
      <c r="B227" s="46"/>
    </row>
    <row r="228" spans="2:2" s="7" customFormat="1" x14ac:dyDescent="0.2">
      <c r="B228" s="46"/>
    </row>
    <row r="229" spans="2:2" s="7" customFormat="1" x14ac:dyDescent="0.2">
      <c r="B229" s="46"/>
    </row>
    <row r="230" spans="2:2" s="7" customFormat="1" x14ac:dyDescent="0.2">
      <c r="B230" s="46"/>
    </row>
    <row r="231" spans="2:2" s="7" customFormat="1" x14ac:dyDescent="0.2">
      <c r="B231" s="46"/>
    </row>
    <row r="232" spans="2:2" s="7" customFormat="1" x14ac:dyDescent="0.2">
      <c r="B232" s="46"/>
    </row>
    <row r="233" spans="2:2" s="7" customFormat="1" x14ac:dyDescent="0.2">
      <c r="B233" s="46"/>
    </row>
    <row r="234" spans="2:2" s="7" customFormat="1" x14ac:dyDescent="0.2">
      <c r="B234" s="46"/>
    </row>
    <row r="235" spans="2:2" s="7" customFormat="1" x14ac:dyDescent="0.2">
      <c r="B235" s="46"/>
    </row>
    <row r="236" spans="2:2" s="7" customFormat="1" x14ac:dyDescent="0.2">
      <c r="B236" s="46"/>
    </row>
    <row r="237" spans="2:2" s="7" customFormat="1" x14ac:dyDescent="0.2">
      <c r="B237" s="46"/>
    </row>
    <row r="238" spans="2:2" s="7" customFormat="1" x14ac:dyDescent="0.2">
      <c r="B238" s="46"/>
    </row>
    <row r="239" spans="2:2" s="7" customFormat="1" x14ac:dyDescent="0.2">
      <c r="B239" s="46"/>
    </row>
    <row r="240" spans="2:2" s="7" customFormat="1" x14ac:dyDescent="0.2">
      <c r="B240" s="46"/>
    </row>
    <row r="241" spans="1:2" s="7" customFormat="1" x14ac:dyDescent="0.2">
      <c r="B241" s="46"/>
    </row>
    <row r="242" spans="1:2" s="7" customFormat="1" x14ac:dyDescent="0.2">
      <c r="B242" s="46"/>
    </row>
    <row r="243" spans="1:2" s="7" customFormat="1" x14ac:dyDescent="0.2">
      <c r="B243" s="46"/>
    </row>
    <row r="244" spans="1:2" s="7" customFormat="1" x14ac:dyDescent="0.2">
      <c r="B244" s="46"/>
    </row>
    <row r="245" spans="1:2" s="7" customFormat="1" x14ac:dyDescent="0.2">
      <c r="B245" s="46"/>
    </row>
    <row r="246" spans="1:2" s="7" customFormat="1" x14ac:dyDescent="0.2">
      <c r="B246" s="3"/>
    </row>
    <row r="247" spans="1:2" s="7" customFormat="1" x14ac:dyDescent="0.2">
      <c r="B247" s="56"/>
    </row>
    <row r="248" spans="1:2" s="7" customFormat="1" x14ac:dyDescent="0.2">
      <c r="A248" s="3"/>
      <c r="B248" s="3"/>
    </row>
  </sheetData>
  <conditionalFormatting sqref="C56:O56">
    <cfRule type="expression" dxfId="10" priority="1">
      <formula>$Q108=0</formula>
    </cfRule>
    <cfRule type="expression" dxfId="9" priority="2">
      <formula>$R56=-1</formula>
    </cfRule>
    <cfRule type="expression" dxfId="8" priority="3">
      <formula>$Q56&gt;=1</formula>
    </cfRule>
    <cfRule type="expression" dxfId="7" priority="4">
      <formula>$W56="Dec"</formula>
    </cfRule>
    <cfRule type="expression" dxfId="6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3BFE-2658-431F-B7E7-AB4C0D997049}">
  <sheetPr codeName="Sheet56">
    <tabColor theme="9" tint="0.39997558519241921"/>
    <pageSetUpPr fitToPage="1"/>
  </sheetPr>
  <dimension ref="A1:R248"/>
  <sheetViews>
    <sheetView showGridLines="0" view="pageBreakPreview" topLeftCell="A5" zoomScale="70" zoomScaleNormal="85" zoomScaleSheetLayoutView="70" workbookViewId="0">
      <selection activeCell="AA18" sqref="Z18:AA18"/>
    </sheetView>
  </sheetViews>
  <sheetFormatPr defaultColWidth="8.5703125" defaultRowHeight="12.75" x14ac:dyDescent="0.2"/>
  <cols>
    <col min="1" max="1" width="2.5703125" style="3" customWidth="1"/>
    <col min="2" max="2" width="38.5703125" style="3" customWidth="1"/>
    <col min="3" max="4" width="14.5703125" style="3" customWidth="1"/>
    <col min="5" max="7" width="14.5703125" style="7" customWidth="1"/>
    <col min="8" max="14" width="14.5703125" style="3" customWidth="1"/>
    <col min="15" max="15" width="15.42578125" style="3" customWidth="1"/>
    <col min="16" max="23" width="0" style="3" hidden="1" customWidth="1"/>
    <col min="24" max="24" width="8.5703125" style="3"/>
    <col min="25" max="25" width="9" style="3" bestFit="1" customWidth="1"/>
    <col min="26" max="16384" width="8.5703125" style="3"/>
  </cols>
  <sheetData>
    <row r="1" spans="1:18" ht="22.5" x14ac:dyDescent="0.3">
      <c r="A1" s="1" t="s">
        <v>45</v>
      </c>
      <c r="B1" s="1"/>
      <c r="C1" s="1"/>
      <c r="D1" s="1"/>
      <c r="E1" s="1"/>
      <c r="F1" s="1"/>
      <c r="G1" s="1"/>
      <c r="H1" s="2"/>
    </row>
    <row r="2" spans="1:18" ht="15" customHeight="1" x14ac:dyDescent="0.25">
      <c r="A2" s="4" t="s">
        <v>46</v>
      </c>
      <c r="B2" s="4"/>
      <c r="C2" s="4"/>
      <c r="D2" s="4"/>
      <c r="E2" s="4"/>
      <c r="F2" s="4"/>
      <c r="G2" s="4"/>
      <c r="H2" s="2"/>
    </row>
    <row r="3" spans="1:18" ht="15.75" x14ac:dyDescent="0.25">
      <c r="A3" s="5" t="s">
        <v>51</v>
      </c>
      <c r="B3" s="5"/>
      <c r="C3" s="5"/>
      <c r="D3" s="5"/>
      <c r="E3" s="5"/>
      <c r="F3" s="5"/>
      <c r="G3" s="5"/>
      <c r="H3" s="2"/>
    </row>
    <row r="4" spans="1:18" ht="15" customHeight="1" x14ac:dyDescent="0.25">
      <c r="A4" s="6"/>
      <c r="B4" s="2"/>
      <c r="C4" s="2"/>
      <c r="D4" s="2"/>
      <c r="E4" s="2"/>
      <c r="F4" s="2"/>
      <c r="G4" s="2"/>
      <c r="H4" s="2"/>
    </row>
    <row r="5" spans="1:18" ht="15" x14ac:dyDescent="0.25">
      <c r="C5" s="9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Q5" s="74"/>
      <c r="R5" s="74"/>
    </row>
    <row r="6" spans="1:18" ht="15" x14ac:dyDescent="0.25">
      <c r="C6" s="75">
        <v>45322</v>
      </c>
      <c r="D6" s="75">
        <v>45351</v>
      </c>
      <c r="E6" s="75">
        <v>45382</v>
      </c>
      <c r="F6" s="75">
        <v>45412</v>
      </c>
      <c r="G6" s="75">
        <v>45443</v>
      </c>
      <c r="H6" s="75">
        <v>45473</v>
      </c>
      <c r="I6" s="75">
        <v>45504</v>
      </c>
      <c r="J6" s="75">
        <v>45535</v>
      </c>
      <c r="K6" s="75">
        <v>45565</v>
      </c>
      <c r="L6" s="75">
        <v>45596</v>
      </c>
      <c r="M6" s="75">
        <v>45626</v>
      </c>
      <c r="N6" s="75">
        <v>45657</v>
      </c>
      <c r="O6" s="76" t="s">
        <v>42</v>
      </c>
    </row>
    <row r="7" spans="1:18" ht="15" x14ac:dyDescent="0.25">
      <c r="C7" s="77" t="s">
        <v>1</v>
      </c>
      <c r="D7" s="77" t="s">
        <v>1</v>
      </c>
      <c r="E7" s="77" t="s">
        <v>1</v>
      </c>
      <c r="F7" s="77" t="s">
        <v>1</v>
      </c>
      <c r="G7" s="77" t="s">
        <v>1</v>
      </c>
      <c r="H7" s="77" t="s">
        <v>1</v>
      </c>
      <c r="I7" s="77" t="s">
        <v>1</v>
      </c>
      <c r="J7" s="77" t="s">
        <v>1</v>
      </c>
      <c r="K7" s="77" t="s">
        <v>1</v>
      </c>
      <c r="L7" s="77" t="s">
        <v>1</v>
      </c>
      <c r="M7" s="77" t="s">
        <v>1</v>
      </c>
      <c r="N7" s="77" t="s">
        <v>47</v>
      </c>
      <c r="O7" s="76"/>
    </row>
    <row r="8" spans="1:18" ht="3" customHeight="1" x14ac:dyDescent="0.2">
      <c r="C8" s="7"/>
      <c r="D8" s="7"/>
      <c r="H8" s="15"/>
      <c r="O8" s="78"/>
    </row>
    <row r="9" spans="1:18" s="22" customFormat="1" ht="15" x14ac:dyDescent="0.25">
      <c r="A9" s="79"/>
      <c r="B9" s="17" t="s">
        <v>7</v>
      </c>
      <c r="C9" s="18">
        <v>4092</v>
      </c>
      <c r="D9" s="18">
        <v>3828</v>
      </c>
      <c r="E9" s="18">
        <v>4092</v>
      </c>
      <c r="F9" s="18">
        <v>3960</v>
      </c>
      <c r="G9" s="18">
        <v>4092</v>
      </c>
      <c r="H9" s="18">
        <v>3960</v>
      </c>
      <c r="I9" s="18">
        <v>4092</v>
      </c>
      <c r="J9" s="18">
        <v>4092</v>
      </c>
      <c r="K9" s="18">
        <v>3960</v>
      </c>
      <c r="L9" s="18">
        <v>4092</v>
      </c>
      <c r="M9" s="18">
        <v>3960</v>
      </c>
      <c r="N9" s="18">
        <v>4092</v>
      </c>
      <c r="O9" s="80">
        <f>SUM(C9:N9)</f>
        <v>48312</v>
      </c>
    </row>
    <row r="10" spans="1:18" s="22" customFormat="1" ht="15" x14ac:dyDescent="0.25">
      <c r="A10" s="79"/>
      <c r="B10" s="17" t="s">
        <v>8</v>
      </c>
      <c r="C10" s="18">
        <v>3654</v>
      </c>
      <c r="D10" s="18">
        <v>3557</v>
      </c>
      <c r="E10" s="18">
        <v>3793</v>
      </c>
      <c r="F10" s="18">
        <v>3692</v>
      </c>
      <c r="G10" s="18">
        <v>3471</v>
      </c>
      <c r="H10" s="18">
        <v>3102</v>
      </c>
      <c r="I10" s="18">
        <v>3016</v>
      </c>
      <c r="J10" s="18">
        <v>3030</v>
      </c>
      <c r="K10" s="18">
        <v>2625</v>
      </c>
      <c r="L10" s="18">
        <v>3173</v>
      </c>
      <c r="M10" s="18">
        <v>3516</v>
      </c>
      <c r="N10" s="18">
        <v>3523</v>
      </c>
      <c r="O10" s="80">
        <f>SUM(C10:N10)</f>
        <v>40152</v>
      </c>
    </row>
    <row r="11" spans="1:18" s="22" customFormat="1" ht="15" x14ac:dyDescent="0.25">
      <c r="A11" s="79"/>
      <c r="B11" s="17" t="s">
        <v>9</v>
      </c>
      <c r="C11" s="23">
        <v>0.89300000000000002</v>
      </c>
      <c r="D11" s="23">
        <v>0.92920000000000003</v>
      </c>
      <c r="E11" s="23">
        <v>0.92689999999999995</v>
      </c>
      <c r="F11" s="23">
        <v>0.93230000000000002</v>
      </c>
      <c r="G11" s="23">
        <v>0.84819999999999995</v>
      </c>
      <c r="H11" s="23">
        <v>0.7833</v>
      </c>
      <c r="I11" s="23">
        <v>0.73699999999999999</v>
      </c>
      <c r="J11" s="23">
        <v>0.74050000000000005</v>
      </c>
      <c r="K11" s="23">
        <v>0.66290000000000004</v>
      </c>
      <c r="L11" s="23">
        <v>0.77539999999999998</v>
      </c>
      <c r="M11" s="23">
        <v>0.88790000000000002</v>
      </c>
      <c r="N11" s="23">
        <v>0.8609</v>
      </c>
      <c r="O11" s="81">
        <f>O10/O9</f>
        <v>0.83109786388474916</v>
      </c>
    </row>
    <row r="12" spans="1:18" s="22" customFormat="1" ht="15" x14ac:dyDescent="0.25">
      <c r="A12" s="79"/>
      <c r="B12" s="17" t="s">
        <v>10</v>
      </c>
      <c r="C12" s="24">
        <v>287.56400000000002</v>
      </c>
      <c r="D12" s="24">
        <v>351.08139999999997</v>
      </c>
      <c r="E12" s="24">
        <v>312.21690000000001</v>
      </c>
      <c r="F12" s="24">
        <v>258.44729999999998</v>
      </c>
      <c r="G12" s="24">
        <v>223.86150000000001</v>
      </c>
      <c r="H12" s="24">
        <v>171.1737</v>
      </c>
      <c r="I12" s="24">
        <v>179.42679999999999</v>
      </c>
      <c r="J12" s="24">
        <v>158.69499999999999</v>
      </c>
      <c r="K12" s="24">
        <v>160.40219999999999</v>
      </c>
      <c r="L12" s="24">
        <v>192.31700000000001</v>
      </c>
      <c r="M12" s="24">
        <v>197.7415</v>
      </c>
      <c r="N12" s="24">
        <v>297.19490000000002</v>
      </c>
      <c r="O12" s="82">
        <f>O17/O10</f>
        <v>237.63541716477386</v>
      </c>
    </row>
    <row r="13" spans="1:18" s="22" customFormat="1" ht="15" x14ac:dyDescent="0.25">
      <c r="A13" s="79"/>
      <c r="B13" s="17" t="s">
        <v>11</v>
      </c>
      <c r="C13" s="24">
        <v>256.78370000000001</v>
      </c>
      <c r="D13" s="24">
        <v>326.2269</v>
      </c>
      <c r="E13" s="24">
        <v>289.40339999999998</v>
      </c>
      <c r="F13" s="24">
        <v>240.9564</v>
      </c>
      <c r="G13" s="24">
        <v>189.88839999999999</v>
      </c>
      <c r="H13" s="24">
        <v>134.08600000000001</v>
      </c>
      <c r="I13" s="24">
        <v>132.24619999999999</v>
      </c>
      <c r="J13" s="24">
        <v>117.50879999999999</v>
      </c>
      <c r="K13" s="24">
        <v>106.3272</v>
      </c>
      <c r="L13" s="24">
        <v>149.12559999999999</v>
      </c>
      <c r="M13" s="24">
        <v>175.57050000000001</v>
      </c>
      <c r="N13" s="24">
        <v>255.86949999999999</v>
      </c>
      <c r="O13" s="82">
        <f>O11*O12</f>
        <v>197.4982875890048</v>
      </c>
    </row>
    <row r="14" spans="1:18" s="22" customFormat="1" ht="15" x14ac:dyDescent="0.25">
      <c r="A14" s="79"/>
      <c r="B14" s="17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80"/>
    </row>
    <row r="15" spans="1:18" s="22" customFormat="1" ht="15" x14ac:dyDescent="0.25">
      <c r="A15" s="79"/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80"/>
    </row>
    <row r="16" spans="1:18" s="33" customFormat="1" ht="15" x14ac:dyDescent="0.25">
      <c r="A16" s="83"/>
      <c r="B16" s="27" t="s">
        <v>13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</row>
    <row r="17" spans="1:15" s="22" customFormat="1" ht="15" x14ac:dyDescent="0.25">
      <c r="A17" s="79"/>
      <c r="B17" s="17" t="s">
        <v>14</v>
      </c>
      <c r="C17" s="18">
        <v>1050758.76</v>
      </c>
      <c r="D17" s="18">
        <v>1248796.71</v>
      </c>
      <c r="E17" s="18">
        <v>1184238.79</v>
      </c>
      <c r="F17" s="18">
        <v>954187.37</v>
      </c>
      <c r="G17" s="18">
        <v>777023.21</v>
      </c>
      <c r="H17" s="18">
        <v>530980.69999999995</v>
      </c>
      <c r="I17" s="18">
        <v>541151.31000000006</v>
      </c>
      <c r="J17" s="18">
        <v>480845.86</v>
      </c>
      <c r="K17" s="18">
        <v>421055.73</v>
      </c>
      <c r="L17" s="18">
        <v>610221.82999999996</v>
      </c>
      <c r="M17" s="18">
        <v>695259.21</v>
      </c>
      <c r="N17" s="18">
        <v>1047017.79</v>
      </c>
      <c r="O17" s="80">
        <f>SUM(C17:N17)</f>
        <v>9541537.2699999996</v>
      </c>
    </row>
    <row r="18" spans="1:15" s="22" customFormat="1" ht="15" x14ac:dyDescent="0.25">
      <c r="A18" s="79"/>
      <c r="B18" s="17" t="s">
        <v>15</v>
      </c>
      <c r="C18" s="18">
        <v>154107.21</v>
      </c>
      <c r="D18" s="18">
        <v>271863.27</v>
      </c>
      <c r="E18" s="18">
        <v>239649.25</v>
      </c>
      <c r="F18" s="18">
        <v>250971.01</v>
      </c>
      <c r="G18" s="18">
        <v>276217.51</v>
      </c>
      <c r="H18" s="18">
        <v>201588.78</v>
      </c>
      <c r="I18" s="18">
        <v>210893.26</v>
      </c>
      <c r="J18" s="18">
        <v>189691.38</v>
      </c>
      <c r="K18" s="18">
        <v>205467.1</v>
      </c>
      <c r="L18" s="18">
        <v>195962.94</v>
      </c>
      <c r="M18" s="18">
        <v>235866.06</v>
      </c>
      <c r="N18" s="18">
        <v>510833.95752578118</v>
      </c>
      <c r="O18" s="80">
        <f>SUM(C18:N18)</f>
        <v>2943111.7275257814</v>
      </c>
    </row>
    <row r="19" spans="1:15" s="22" customFormat="1" ht="15" x14ac:dyDescent="0.25">
      <c r="A19" s="79"/>
      <c r="B19" s="17" t="s">
        <v>16</v>
      </c>
      <c r="C19" s="18">
        <v>1778.05</v>
      </c>
      <c r="D19" s="18">
        <v>1452.64</v>
      </c>
      <c r="E19" s="18">
        <v>2514.5100000000002</v>
      </c>
      <c r="F19" s="18">
        <v>1461.55</v>
      </c>
      <c r="G19" s="18">
        <v>686.39</v>
      </c>
      <c r="H19" s="18">
        <v>971.47</v>
      </c>
      <c r="I19" s="18">
        <v>1646.04</v>
      </c>
      <c r="J19" s="18">
        <v>900.7</v>
      </c>
      <c r="K19" s="18">
        <v>865.48</v>
      </c>
      <c r="L19" s="18">
        <v>1388.87</v>
      </c>
      <c r="M19" s="18">
        <v>2028.13</v>
      </c>
      <c r="N19" s="18">
        <v>1409.2</v>
      </c>
      <c r="O19" s="80">
        <f>SUM(C19:N19)</f>
        <v>17103.030000000002</v>
      </c>
    </row>
    <row r="20" spans="1:15" s="22" customFormat="1" ht="15" x14ac:dyDescent="0.25">
      <c r="A20" s="79"/>
      <c r="B20" s="17" t="s">
        <v>17</v>
      </c>
      <c r="C20" s="18">
        <v>187557.63</v>
      </c>
      <c r="D20" s="18">
        <v>100878.61</v>
      </c>
      <c r="E20" s="18">
        <v>101604.17</v>
      </c>
      <c r="F20" s="18">
        <v>112785.17</v>
      </c>
      <c r="G20" s="18">
        <v>110919.27</v>
      </c>
      <c r="H20" s="18">
        <v>93308.28</v>
      </c>
      <c r="I20" s="18">
        <v>102674.98</v>
      </c>
      <c r="J20" s="18">
        <v>101401.82</v>
      </c>
      <c r="K20" s="18">
        <v>75369.05</v>
      </c>
      <c r="L20" s="18">
        <v>102100.27</v>
      </c>
      <c r="M20" s="18">
        <v>114522.56</v>
      </c>
      <c r="N20" s="18">
        <v>116816.56</v>
      </c>
      <c r="O20" s="80">
        <f>SUM(C20:N20)</f>
        <v>1319938.3700000001</v>
      </c>
    </row>
    <row r="21" spans="1:15" s="33" customFormat="1" ht="15" x14ac:dyDescent="0.25">
      <c r="A21" s="83"/>
      <c r="B21" s="27" t="s">
        <v>18</v>
      </c>
      <c r="C21" s="29">
        <f t="shared" ref="C21:N21" si="0">SUM(C17:C20)</f>
        <v>1394201.65</v>
      </c>
      <c r="D21" s="29">
        <f t="shared" si="0"/>
        <v>1622991.23</v>
      </c>
      <c r="E21" s="29">
        <f t="shared" si="0"/>
        <v>1528006.72</v>
      </c>
      <c r="F21" s="29">
        <f t="shared" si="0"/>
        <v>1319405.0999999999</v>
      </c>
      <c r="G21" s="29">
        <f t="shared" si="0"/>
        <v>1164846.3799999999</v>
      </c>
      <c r="H21" s="29">
        <f t="shared" si="0"/>
        <v>826849.23</v>
      </c>
      <c r="I21" s="29">
        <f t="shared" si="0"/>
        <v>856365.59000000008</v>
      </c>
      <c r="J21" s="29">
        <f t="shared" si="0"/>
        <v>772839.76</v>
      </c>
      <c r="K21" s="29">
        <f t="shared" si="0"/>
        <v>702757.36</v>
      </c>
      <c r="L21" s="29">
        <f t="shared" si="0"/>
        <v>909673.91</v>
      </c>
      <c r="M21" s="29">
        <f t="shared" si="0"/>
        <v>1047675.96</v>
      </c>
      <c r="N21" s="29">
        <f t="shared" si="0"/>
        <v>1676077.5075257812</v>
      </c>
      <c r="O21" s="86">
        <f>SUM(C21:N21)</f>
        <v>13821690.397525778</v>
      </c>
    </row>
    <row r="22" spans="1:15" s="22" customFormat="1" ht="15" x14ac:dyDescent="0.25">
      <c r="A22" s="79"/>
      <c r="B22" s="17" t="s">
        <v>12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80"/>
    </row>
    <row r="23" spans="1:15" s="33" customFormat="1" ht="15" x14ac:dyDescent="0.25">
      <c r="A23" s="83"/>
      <c r="B23" s="27" t="s">
        <v>19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5"/>
    </row>
    <row r="24" spans="1:15" s="22" customFormat="1" ht="15" x14ac:dyDescent="0.25">
      <c r="A24" s="79"/>
      <c r="B24" s="17" t="s">
        <v>14</v>
      </c>
      <c r="C24" s="18">
        <v>249801.51</v>
      </c>
      <c r="D24" s="18">
        <v>255398.29</v>
      </c>
      <c r="E24" s="18">
        <v>263735.28000000003</v>
      </c>
      <c r="F24" s="18">
        <v>261858.86</v>
      </c>
      <c r="G24" s="18">
        <v>267324.25</v>
      </c>
      <c r="H24" s="18">
        <v>206882.07</v>
      </c>
      <c r="I24" s="18">
        <v>214773.66</v>
      </c>
      <c r="J24" s="18">
        <v>200502.01</v>
      </c>
      <c r="K24" s="18">
        <v>185458.87</v>
      </c>
      <c r="L24" s="18">
        <v>194298.83</v>
      </c>
      <c r="M24" s="18">
        <v>214598.12</v>
      </c>
      <c r="N24" s="18">
        <v>237007.64</v>
      </c>
      <c r="O24" s="80">
        <f>SUM(C24:N24)</f>
        <v>2751639.39</v>
      </c>
    </row>
    <row r="25" spans="1:15" s="22" customFormat="1" ht="15" x14ac:dyDescent="0.25">
      <c r="A25" s="79"/>
      <c r="B25" s="17" t="s">
        <v>15</v>
      </c>
      <c r="C25" s="18">
        <v>134534.92000000001</v>
      </c>
      <c r="D25" s="18">
        <v>220413.37</v>
      </c>
      <c r="E25" s="18">
        <v>190760.21</v>
      </c>
      <c r="F25" s="18">
        <v>228871.12</v>
      </c>
      <c r="G25" s="18">
        <v>226868.58</v>
      </c>
      <c r="H25" s="18">
        <v>181455.91</v>
      </c>
      <c r="I25" s="18">
        <v>187917.75</v>
      </c>
      <c r="J25" s="18">
        <v>183640.15</v>
      </c>
      <c r="K25" s="18">
        <v>144001.82</v>
      </c>
      <c r="L25" s="18">
        <v>168612.12</v>
      </c>
      <c r="M25" s="18">
        <v>192181.82</v>
      </c>
      <c r="N25" s="18">
        <v>354057.30202886311</v>
      </c>
      <c r="O25" s="80">
        <f>SUM(C25:N25)</f>
        <v>2413315.0720288628</v>
      </c>
    </row>
    <row r="26" spans="1:15" s="22" customFormat="1" ht="15" x14ac:dyDescent="0.25">
      <c r="A26" s="79"/>
      <c r="B26" s="17" t="s">
        <v>16</v>
      </c>
      <c r="C26" s="18">
        <v>677.06</v>
      </c>
      <c r="D26" s="18">
        <v>291.47000000000003</v>
      </c>
      <c r="E26" s="18">
        <v>711</v>
      </c>
      <c r="F26" s="18">
        <v>642.24</v>
      </c>
      <c r="G26" s="18">
        <v>294.5</v>
      </c>
      <c r="H26" s="18">
        <v>206.68</v>
      </c>
      <c r="I26" s="18">
        <v>520.26</v>
      </c>
      <c r="J26" s="18">
        <v>165.54</v>
      </c>
      <c r="K26" s="18">
        <v>348.76</v>
      </c>
      <c r="L26" s="18">
        <v>319.45</v>
      </c>
      <c r="M26" s="18">
        <v>767.44</v>
      </c>
      <c r="N26" s="18">
        <v>619.13</v>
      </c>
      <c r="O26" s="80">
        <f>SUM(C26:N26)</f>
        <v>5563.53</v>
      </c>
    </row>
    <row r="27" spans="1:15" s="33" customFormat="1" ht="15" x14ac:dyDescent="0.25">
      <c r="A27" s="83"/>
      <c r="B27" s="27" t="s">
        <v>20</v>
      </c>
      <c r="C27" s="29">
        <f t="shared" ref="C27:N27" si="1">SUM(C24:C26)</f>
        <v>385013.49000000005</v>
      </c>
      <c r="D27" s="29">
        <f t="shared" si="1"/>
        <v>476103.13</v>
      </c>
      <c r="E27" s="29">
        <f t="shared" si="1"/>
        <v>455206.49</v>
      </c>
      <c r="F27" s="29">
        <f t="shared" si="1"/>
        <v>491372.22</v>
      </c>
      <c r="G27" s="29">
        <f t="shared" si="1"/>
        <v>494487.32999999996</v>
      </c>
      <c r="H27" s="29">
        <f t="shared" si="1"/>
        <v>388544.66</v>
      </c>
      <c r="I27" s="29">
        <f t="shared" si="1"/>
        <v>403211.67000000004</v>
      </c>
      <c r="J27" s="29">
        <f t="shared" si="1"/>
        <v>384307.7</v>
      </c>
      <c r="K27" s="29">
        <f t="shared" si="1"/>
        <v>329809.45</v>
      </c>
      <c r="L27" s="29">
        <f t="shared" si="1"/>
        <v>363230.39999999997</v>
      </c>
      <c r="M27" s="29">
        <f t="shared" si="1"/>
        <v>407547.38</v>
      </c>
      <c r="N27" s="29">
        <f t="shared" si="1"/>
        <v>591684.07202886313</v>
      </c>
      <c r="O27" s="86">
        <f>SUM(C27:N27)</f>
        <v>5170517.9920288641</v>
      </c>
    </row>
    <row r="28" spans="1:15" s="22" customFormat="1" ht="15" x14ac:dyDescent="0.25">
      <c r="A28" s="79"/>
      <c r="B28" s="17" t="s">
        <v>12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80"/>
    </row>
    <row r="29" spans="1:15" s="33" customFormat="1" ht="15" x14ac:dyDescent="0.25">
      <c r="A29" s="83"/>
      <c r="B29" s="27" t="s">
        <v>21</v>
      </c>
      <c r="C29" s="84">
        <f t="shared" ref="C29:N29" si="2">C21-C27</f>
        <v>1009188.1599999999</v>
      </c>
      <c r="D29" s="84">
        <f t="shared" si="2"/>
        <v>1146888.1000000001</v>
      </c>
      <c r="E29" s="84">
        <f t="shared" si="2"/>
        <v>1072800.23</v>
      </c>
      <c r="F29" s="84">
        <f t="shared" si="2"/>
        <v>828032.87999999989</v>
      </c>
      <c r="G29" s="84">
        <f t="shared" si="2"/>
        <v>670359.04999999993</v>
      </c>
      <c r="H29" s="84">
        <f t="shared" si="2"/>
        <v>438304.57</v>
      </c>
      <c r="I29" s="84">
        <f t="shared" si="2"/>
        <v>453153.92000000004</v>
      </c>
      <c r="J29" s="84">
        <f t="shared" si="2"/>
        <v>388532.06</v>
      </c>
      <c r="K29" s="84">
        <f t="shared" si="2"/>
        <v>372947.91</v>
      </c>
      <c r="L29" s="84">
        <f t="shared" si="2"/>
        <v>546443.51</v>
      </c>
      <c r="M29" s="84">
        <f t="shared" si="2"/>
        <v>640128.57999999996</v>
      </c>
      <c r="N29" s="84">
        <f t="shared" si="2"/>
        <v>1084393.4354969179</v>
      </c>
      <c r="O29" s="85">
        <f>SUM(C29:N29)</f>
        <v>8651172.4054969177</v>
      </c>
    </row>
    <row r="30" spans="1:15" s="22" customFormat="1" ht="15" x14ac:dyDescent="0.25">
      <c r="A30" s="79"/>
      <c r="B30" s="17" t="s">
        <v>12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80"/>
    </row>
    <row r="31" spans="1:15" s="33" customFormat="1" ht="15" x14ac:dyDescent="0.25">
      <c r="A31" s="83"/>
      <c r="B31" s="27" t="s">
        <v>22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5"/>
    </row>
    <row r="32" spans="1:15" s="22" customFormat="1" ht="15" x14ac:dyDescent="0.25">
      <c r="A32" s="79"/>
      <c r="B32" s="17" t="s">
        <v>23</v>
      </c>
      <c r="C32" s="18">
        <v>107553.93</v>
      </c>
      <c r="D32" s="18">
        <v>115314.2</v>
      </c>
      <c r="E32" s="18">
        <v>116519.95</v>
      </c>
      <c r="F32" s="18">
        <v>118161.63</v>
      </c>
      <c r="G32" s="18">
        <v>111994.31</v>
      </c>
      <c r="H32" s="18">
        <v>82539.25</v>
      </c>
      <c r="I32" s="18">
        <v>90862.62</v>
      </c>
      <c r="J32" s="18">
        <v>94776.16</v>
      </c>
      <c r="K32" s="18">
        <v>100956.57</v>
      </c>
      <c r="L32" s="18">
        <v>101881.17</v>
      </c>
      <c r="M32" s="18">
        <v>97703.56</v>
      </c>
      <c r="N32" s="18">
        <v>122952.37672082538</v>
      </c>
      <c r="O32" s="80">
        <f t="shared" ref="O32:O37" si="3">SUM(C32:N32)</f>
        <v>1261215.7267208255</v>
      </c>
    </row>
    <row r="33" spans="1:15" s="22" customFormat="1" ht="15" x14ac:dyDescent="0.25">
      <c r="A33" s="79"/>
      <c r="B33" s="17" t="s">
        <v>24</v>
      </c>
      <c r="C33" s="18">
        <v>19235.439999999999</v>
      </c>
      <c r="D33" s="18">
        <v>22136.12</v>
      </c>
      <c r="E33" s="18">
        <v>20844.099999999999</v>
      </c>
      <c r="F33" s="18">
        <v>15829.8</v>
      </c>
      <c r="G33" s="18">
        <v>15157.74</v>
      </c>
      <c r="H33" s="18">
        <v>11148.06</v>
      </c>
      <c r="I33" s="18">
        <v>12448.49</v>
      </c>
      <c r="J33" s="18">
        <v>9078.4500000000007</v>
      </c>
      <c r="K33" s="18">
        <v>8251.67</v>
      </c>
      <c r="L33" s="18">
        <v>10860.33</v>
      </c>
      <c r="M33" s="18">
        <v>13045.09</v>
      </c>
      <c r="N33" s="18">
        <v>15150.69</v>
      </c>
      <c r="O33" s="80">
        <f t="shared" si="3"/>
        <v>173185.97999999998</v>
      </c>
    </row>
    <row r="34" spans="1:15" s="22" customFormat="1" ht="15" x14ac:dyDescent="0.25">
      <c r="A34" s="79"/>
      <c r="B34" s="17" t="s">
        <v>25</v>
      </c>
      <c r="C34" s="18">
        <v>96704.83</v>
      </c>
      <c r="D34" s="18">
        <v>100245.07</v>
      </c>
      <c r="E34" s="18">
        <v>104713.14</v>
      </c>
      <c r="F34" s="18">
        <v>115727.72</v>
      </c>
      <c r="G34" s="18">
        <v>106611.29</v>
      </c>
      <c r="H34" s="18">
        <v>96066.240000000005</v>
      </c>
      <c r="I34" s="18">
        <v>97447.53</v>
      </c>
      <c r="J34" s="18">
        <v>91547.39</v>
      </c>
      <c r="K34" s="18">
        <v>90642.09</v>
      </c>
      <c r="L34" s="18">
        <v>89372.2</v>
      </c>
      <c r="M34" s="18">
        <v>96385.97</v>
      </c>
      <c r="N34" s="18">
        <v>104359.80518981481</v>
      </c>
      <c r="O34" s="80">
        <f t="shared" si="3"/>
        <v>1189823.2751898149</v>
      </c>
    </row>
    <row r="35" spans="1:15" s="22" customFormat="1" ht="15" x14ac:dyDescent="0.25">
      <c r="A35" s="79"/>
      <c r="B35" s="17" t="s">
        <v>43</v>
      </c>
      <c r="C35" s="18">
        <v>62807.78</v>
      </c>
      <c r="D35" s="18">
        <v>58692.34</v>
      </c>
      <c r="E35" s="18">
        <v>66393.509999999995</v>
      </c>
      <c r="F35" s="18">
        <v>37576.639999999999</v>
      </c>
      <c r="G35" s="18">
        <v>53729.18</v>
      </c>
      <c r="H35" s="18">
        <v>45389.36</v>
      </c>
      <c r="I35" s="18">
        <v>48251.05</v>
      </c>
      <c r="J35" s="18">
        <v>50469.87</v>
      </c>
      <c r="K35" s="18">
        <v>54761.56</v>
      </c>
      <c r="L35" s="18">
        <v>53366.78</v>
      </c>
      <c r="M35" s="18">
        <v>55631.99</v>
      </c>
      <c r="N35" s="18">
        <v>60560.561250000006</v>
      </c>
      <c r="O35" s="80">
        <f t="shared" si="3"/>
        <v>647630.62124999997</v>
      </c>
    </row>
    <row r="36" spans="1:15" s="22" customFormat="1" ht="15" x14ac:dyDescent="0.25">
      <c r="A36" s="79"/>
      <c r="B36" s="17" t="s">
        <v>27</v>
      </c>
      <c r="C36" s="18">
        <v>22833.119999999999</v>
      </c>
      <c r="D36" s="18">
        <v>22948.04</v>
      </c>
      <c r="E36" s="18">
        <v>24386.98</v>
      </c>
      <c r="F36" s="18">
        <v>25806.47</v>
      </c>
      <c r="G36" s="18">
        <v>26430.89</v>
      </c>
      <c r="H36" s="18">
        <v>28545.41</v>
      </c>
      <c r="I36" s="18">
        <v>24940.23</v>
      </c>
      <c r="J36" s="18">
        <v>23587.33</v>
      </c>
      <c r="K36" s="18">
        <v>25144.400000000001</v>
      </c>
      <c r="L36" s="18">
        <v>24473.06</v>
      </c>
      <c r="M36" s="18">
        <v>22625.96</v>
      </c>
      <c r="N36" s="18">
        <v>19326.172500000001</v>
      </c>
      <c r="O36" s="80">
        <f t="shared" si="3"/>
        <v>291048.0625</v>
      </c>
    </row>
    <row r="37" spans="1:15" s="33" customFormat="1" ht="15" x14ac:dyDescent="0.25">
      <c r="A37" s="83"/>
      <c r="B37" s="27" t="s">
        <v>28</v>
      </c>
      <c r="C37" s="29">
        <f t="shared" ref="C37:N37" si="4">SUM(C32:C36)</f>
        <v>309135.09999999998</v>
      </c>
      <c r="D37" s="29">
        <f t="shared" si="4"/>
        <v>319335.76999999996</v>
      </c>
      <c r="E37" s="29">
        <f t="shared" si="4"/>
        <v>332857.68</v>
      </c>
      <c r="F37" s="29">
        <f t="shared" si="4"/>
        <v>313102.26</v>
      </c>
      <c r="G37" s="29">
        <f t="shared" si="4"/>
        <v>313923.41000000003</v>
      </c>
      <c r="H37" s="29">
        <f t="shared" si="4"/>
        <v>263688.31999999995</v>
      </c>
      <c r="I37" s="29">
        <f t="shared" si="4"/>
        <v>273949.92</v>
      </c>
      <c r="J37" s="29">
        <f t="shared" si="4"/>
        <v>269459.20000000001</v>
      </c>
      <c r="K37" s="29">
        <f t="shared" si="4"/>
        <v>279756.29000000004</v>
      </c>
      <c r="L37" s="29">
        <f t="shared" si="4"/>
        <v>279953.54000000004</v>
      </c>
      <c r="M37" s="29">
        <f t="shared" si="4"/>
        <v>285392.57</v>
      </c>
      <c r="N37" s="29">
        <f t="shared" si="4"/>
        <v>322349.60566064023</v>
      </c>
      <c r="O37" s="86">
        <f t="shared" si="3"/>
        <v>3562903.6656606398</v>
      </c>
    </row>
    <row r="38" spans="1:15" s="22" customFormat="1" ht="15" x14ac:dyDescent="0.25">
      <c r="A38" s="79"/>
      <c r="B38" s="17" t="s">
        <v>12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80"/>
    </row>
    <row r="39" spans="1:15" s="33" customFormat="1" ht="15" x14ac:dyDescent="0.25">
      <c r="A39" s="83"/>
      <c r="B39" s="27" t="s">
        <v>29</v>
      </c>
      <c r="C39" s="84">
        <f t="shared" ref="C39:N39" si="5">C29-C37</f>
        <v>700053.05999999994</v>
      </c>
      <c r="D39" s="84">
        <f t="shared" si="5"/>
        <v>827552.33000000007</v>
      </c>
      <c r="E39" s="84">
        <f t="shared" si="5"/>
        <v>739942.55</v>
      </c>
      <c r="F39" s="84">
        <f t="shared" si="5"/>
        <v>514930.61999999988</v>
      </c>
      <c r="G39" s="84">
        <f t="shared" si="5"/>
        <v>356435.6399999999</v>
      </c>
      <c r="H39" s="84">
        <f t="shared" si="5"/>
        <v>174616.25000000006</v>
      </c>
      <c r="I39" s="84">
        <f t="shared" si="5"/>
        <v>179204.00000000006</v>
      </c>
      <c r="J39" s="84">
        <f t="shared" si="5"/>
        <v>119072.85999999999</v>
      </c>
      <c r="K39" s="84">
        <f t="shared" si="5"/>
        <v>93191.619999999937</v>
      </c>
      <c r="L39" s="84">
        <f t="shared" si="5"/>
        <v>266489.96999999997</v>
      </c>
      <c r="M39" s="84">
        <f t="shared" si="5"/>
        <v>354736.00999999995</v>
      </c>
      <c r="N39" s="84">
        <f t="shared" si="5"/>
        <v>762043.82983627776</v>
      </c>
      <c r="O39" s="85">
        <f>SUM(C39:N39)</f>
        <v>5088268.7398362774</v>
      </c>
    </row>
    <row r="40" spans="1:15" s="22" customFormat="1" ht="15" x14ac:dyDescent="0.25">
      <c r="A40" s="79"/>
      <c r="B40" s="17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80"/>
    </row>
    <row r="41" spans="1:15" s="22" customFormat="1" ht="15" x14ac:dyDescent="0.25">
      <c r="A41" s="79"/>
      <c r="B41" s="17" t="s">
        <v>30</v>
      </c>
      <c r="C41" s="18">
        <v>53830.67</v>
      </c>
      <c r="D41" s="18">
        <v>67958.77</v>
      </c>
      <c r="E41" s="18">
        <v>64662.33</v>
      </c>
      <c r="F41" s="18">
        <v>56917.53</v>
      </c>
      <c r="G41" s="18">
        <v>55821.919999999998</v>
      </c>
      <c r="H41" s="18">
        <v>41157.660000000003</v>
      </c>
      <c r="I41" s="18">
        <v>41987.72</v>
      </c>
      <c r="J41" s="18">
        <v>37762.94</v>
      </c>
      <c r="K41" s="18">
        <v>37196.82</v>
      </c>
      <c r="L41" s="18">
        <v>42657.18</v>
      </c>
      <c r="M41" s="18">
        <v>55537.08</v>
      </c>
      <c r="N41" s="18">
        <v>79731.675326804689</v>
      </c>
      <c r="O41" s="80">
        <f>SUM(C41:N41)</f>
        <v>635222.29532680474</v>
      </c>
    </row>
    <row r="42" spans="1:15" s="33" customFormat="1" ht="15" x14ac:dyDescent="0.25">
      <c r="A42" s="83"/>
      <c r="B42" s="27" t="s">
        <v>31</v>
      </c>
      <c r="C42" s="29">
        <f t="shared" ref="C42:N42" si="6">C39-C41</f>
        <v>646222.3899999999</v>
      </c>
      <c r="D42" s="29">
        <f t="shared" si="6"/>
        <v>759593.56</v>
      </c>
      <c r="E42" s="29">
        <f t="shared" si="6"/>
        <v>675280.22000000009</v>
      </c>
      <c r="F42" s="29">
        <f t="shared" si="6"/>
        <v>458013.08999999985</v>
      </c>
      <c r="G42" s="29">
        <f t="shared" si="6"/>
        <v>300613.71999999991</v>
      </c>
      <c r="H42" s="29">
        <f t="shared" si="6"/>
        <v>133458.59000000005</v>
      </c>
      <c r="I42" s="29">
        <f t="shared" si="6"/>
        <v>137216.28000000006</v>
      </c>
      <c r="J42" s="29">
        <f t="shared" si="6"/>
        <v>81309.919999999984</v>
      </c>
      <c r="K42" s="29">
        <f t="shared" si="6"/>
        <v>55994.799999999937</v>
      </c>
      <c r="L42" s="29">
        <f t="shared" si="6"/>
        <v>223832.78999999998</v>
      </c>
      <c r="M42" s="29">
        <f t="shared" si="6"/>
        <v>299198.92999999993</v>
      </c>
      <c r="N42" s="29">
        <f t="shared" si="6"/>
        <v>682312.15450947313</v>
      </c>
      <c r="O42" s="86">
        <f>SUM(C42:N42)</f>
        <v>4453046.4445094727</v>
      </c>
    </row>
    <row r="43" spans="1:15" s="22" customFormat="1" ht="15" x14ac:dyDescent="0.25">
      <c r="A43" s="79"/>
      <c r="B43" s="17" t="s">
        <v>12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80"/>
    </row>
    <row r="44" spans="1:15" s="22" customFormat="1" ht="15" x14ac:dyDescent="0.25">
      <c r="A44" s="79"/>
      <c r="B44" s="17" t="s">
        <v>44</v>
      </c>
      <c r="C44" s="18">
        <v>-1939.85</v>
      </c>
      <c r="D44" s="18">
        <v>-1838.2</v>
      </c>
      <c r="E44" s="18">
        <v>-2002.55</v>
      </c>
      <c r="F44" s="18">
        <v>-1967.65</v>
      </c>
      <c r="G44" s="18">
        <v>-2116.0700000000002</v>
      </c>
      <c r="H44" s="18">
        <v>-2077.4899999999998</v>
      </c>
      <c r="I44" s="18">
        <v>-2152.0300000000002</v>
      </c>
      <c r="J44" s="18">
        <v>-2157.5</v>
      </c>
      <c r="K44" s="18">
        <v>-1997.83</v>
      </c>
      <c r="L44" s="18">
        <v>-1918.92</v>
      </c>
      <c r="M44" s="18">
        <v>0</v>
      </c>
      <c r="N44" s="18">
        <v>-2031</v>
      </c>
      <c r="O44" s="80">
        <f>SUM(C44:N44)</f>
        <v>-22199.089999999997</v>
      </c>
    </row>
    <row r="45" spans="1:15" s="22" customFormat="1" ht="15" x14ac:dyDescent="0.25">
      <c r="A45" s="79"/>
      <c r="B45" s="17" t="s">
        <v>33</v>
      </c>
      <c r="C45" s="18">
        <v>999.18</v>
      </c>
      <c r="D45" s="18">
        <v>1697.89</v>
      </c>
      <c r="E45" s="18">
        <v>1671.22</v>
      </c>
      <c r="F45" s="18">
        <v>-196.17</v>
      </c>
      <c r="G45" s="18">
        <v>1870.24</v>
      </c>
      <c r="H45" s="18">
        <v>658.13</v>
      </c>
      <c r="I45" s="18">
        <v>837.03</v>
      </c>
      <c r="J45" s="18">
        <v>517.89</v>
      </c>
      <c r="K45" s="18">
        <v>3514.57</v>
      </c>
      <c r="L45" s="18">
        <v>-800.55</v>
      </c>
      <c r="M45" s="18">
        <v>2224.88</v>
      </c>
      <c r="N45" s="18">
        <v>1967.42</v>
      </c>
      <c r="O45" s="80">
        <f>SUM(C45:N45)</f>
        <v>14961.730000000001</v>
      </c>
    </row>
    <row r="46" spans="1:15" s="22" customFormat="1" ht="15" x14ac:dyDescent="0.25">
      <c r="A46" s="79"/>
      <c r="B46" s="17" t="s">
        <v>34</v>
      </c>
      <c r="C46" s="18">
        <v>48927</v>
      </c>
      <c r="D46" s="18">
        <v>45461</v>
      </c>
      <c r="E46" s="18">
        <v>45461</v>
      </c>
      <c r="F46" s="18">
        <v>62050.2</v>
      </c>
      <c r="G46" s="18">
        <v>45461</v>
      </c>
      <c r="H46" s="18">
        <v>45461</v>
      </c>
      <c r="I46" s="18">
        <v>45461</v>
      </c>
      <c r="J46" s="18">
        <v>45461</v>
      </c>
      <c r="K46" s="18">
        <v>45461</v>
      </c>
      <c r="L46" s="18">
        <v>45461</v>
      </c>
      <c r="M46" s="18">
        <v>86358.56</v>
      </c>
      <c r="N46" s="18">
        <v>45711.86</v>
      </c>
      <c r="O46" s="80">
        <f>SUM(C46:N46)</f>
        <v>606735.62</v>
      </c>
    </row>
    <row r="47" spans="1:15" s="22" customFormat="1" ht="15" x14ac:dyDescent="0.25">
      <c r="A47" s="79"/>
      <c r="B47" s="17" t="s">
        <v>35</v>
      </c>
      <c r="C47" s="18">
        <v>129453.33</v>
      </c>
      <c r="D47" s="18">
        <v>130720.95</v>
      </c>
      <c r="E47" s="18">
        <v>130720.95</v>
      </c>
      <c r="F47" s="18">
        <v>130984.32000000001</v>
      </c>
      <c r="G47" s="18">
        <v>117207.72</v>
      </c>
      <c r="H47" s="18">
        <v>117470.98</v>
      </c>
      <c r="I47" s="18">
        <v>117470.94</v>
      </c>
      <c r="J47" s="18">
        <v>116313.08</v>
      </c>
      <c r="K47" s="18">
        <v>117717.47</v>
      </c>
      <c r="L47" s="18">
        <v>117717.35</v>
      </c>
      <c r="M47" s="18">
        <v>117717.35</v>
      </c>
      <c r="N47" s="18">
        <v>118195.22</v>
      </c>
      <c r="O47" s="80">
        <f>SUM(C47:N47)</f>
        <v>1461689.6600000001</v>
      </c>
    </row>
    <row r="48" spans="1:15" s="22" customFormat="1" ht="15" x14ac:dyDescent="0.25">
      <c r="A48" s="79"/>
      <c r="B48" s="17" t="s">
        <v>36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80">
        <f>SUM(C48:N48)</f>
        <v>0</v>
      </c>
    </row>
    <row r="49" spans="1:15" s="33" customFormat="1" ht="15" x14ac:dyDescent="0.25">
      <c r="A49" s="83"/>
      <c r="B49" s="27" t="s">
        <v>37</v>
      </c>
      <c r="C49" s="29">
        <f t="shared" ref="C49:O49" si="7">SUM(C44:C48)</f>
        <v>177439.66</v>
      </c>
      <c r="D49" s="29">
        <f t="shared" si="7"/>
        <v>176041.64</v>
      </c>
      <c r="E49" s="29">
        <f t="shared" si="7"/>
        <v>175850.62</v>
      </c>
      <c r="F49" s="29">
        <f t="shared" si="7"/>
        <v>190870.7</v>
      </c>
      <c r="G49" s="29">
        <f t="shared" si="7"/>
        <v>162422.89000000001</v>
      </c>
      <c r="H49" s="29">
        <f t="shared" si="7"/>
        <v>161512.62</v>
      </c>
      <c r="I49" s="29">
        <f t="shared" si="7"/>
        <v>161616.94</v>
      </c>
      <c r="J49" s="29">
        <f t="shared" si="7"/>
        <v>160134.47</v>
      </c>
      <c r="K49" s="29">
        <f t="shared" si="7"/>
        <v>164695.21</v>
      </c>
      <c r="L49" s="29">
        <f t="shared" si="7"/>
        <v>160458.88</v>
      </c>
      <c r="M49" s="29">
        <f t="shared" si="7"/>
        <v>206300.79</v>
      </c>
      <c r="N49" s="29">
        <f t="shared" si="7"/>
        <v>163843.5</v>
      </c>
      <c r="O49" s="86">
        <f t="shared" si="7"/>
        <v>2061187.9200000002</v>
      </c>
    </row>
    <row r="50" spans="1:15" s="22" customFormat="1" ht="15" x14ac:dyDescent="0.25">
      <c r="A50" s="79"/>
      <c r="B50" s="17" t="s">
        <v>12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80"/>
    </row>
    <row r="51" spans="1:15" s="33" customFormat="1" ht="15" x14ac:dyDescent="0.25">
      <c r="A51" s="83"/>
      <c r="B51" s="27" t="s">
        <v>38</v>
      </c>
      <c r="C51" s="84">
        <f t="shared" ref="C51:N51" si="8">C42-C49</f>
        <v>468782.72999999986</v>
      </c>
      <c r="D51" s="84">
        <f t="shared" si="8"/>
        <v>583551.92000000004</v>
      </c>
      <c r="E51" s="84">
        <f t="shared" si="8"/>
        <v>499429.60000000009</v>
      </c>
      <c r="F51" s="84">
        <f t="shared" si="8"/>
        <v>267142.38999999984</v>
      </c>
      <c r="G51" s="84">
        <f t="shared" si="8"/>
        <v>138190.8299999999</v>
      </c>
      <c r="H51" s="84">
        <f t="shared" si="8"/>
        <v>-28054.029999999941</v>
      </c>
      <c r="I51" s="84">
        <f t="shared" si="8"/>
        <v>-24400.659999999945</v>
      </c>
      <c r="J51" s="84">
        <f t="shared" si="8"/>
        <v>-78824.550000000017</v>
      </c>
      <c r="K51" s="84">
        <f t="shared" si="8"/>
        <v>-108700.41000000006</v>
      </c>
      <c r="L51" s="84">
        <f t="shared" si="8"/>
        <v>63373.909999999974</v>
      </c>
      <c r="M51" s="84">
        <f t="shared" si="8"/>
        <v>92898.139999999927</v>
      </c>
      <c r="N51" s="84">
        <f t="shared" si="8"/>
        <v>518468.65450947313</v>
      </c>
      <c r="O51" s="85">
        <f>SUM(C51:N51)</f>
        <v>2391858.5245094728</v>
      </c>
    </row>
    <row r="52" spans="1:15" s="22" customFormat="1" ht="15" x14ac:dyDescent="0.25">
      <c r="A52" s="79"/>
      <c r="B52" s="17" t="s">
        <v>12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80"/>
    </row>
    <row r="53" spans="1:15" s="22" customFormat="1" ht="15" x14ac:dyDescent="0.25">
      <c r="A53" s="79"/>
      <c r="B53" s="17" t="s">
        <v>39</v>
      </c>
      <c r="C53" s="18">
        <f t="shared" ref="C53:N53" si="9">C21*0.04</f>
        <v>55768.065999999999</v>
      </c>
      <c r="D53" s="18">
        <f t="shared" si="9"/>
        <v>64919.6492</v>
      </c>
      <c r="E53" s="18">
        <f t="shared" si="9"/>
        <v>61120.268799999998</v>
      </c>
      <c r="F53" s="18">
        <f t="shared" si="9"/>
        <v>52776.203999999998</v>
      </c>
      <c r="G53" s="18">
        <f t="shared" si="9"/>
        <v>46593.855199999998</v>
      </c>
      <c r="H53" s="18">
        <f t="shared" si="9"/>
        <v>33073.9692</v>
      </c>
      <c r="I53" s="18">
        <f t="shared" si="9"/>
        <v>34254.623600000006</v>
      </c>
      <c r="J53" s="18">
        <f t="shared" si="9"/>
        <v>30913.590400000001</v>
      </c>
      <c r="K53" s="18">
        <f t="shared" si="9"/>
        <v>28110.294399999999</v>
      </c>
      <c r="L53" s="18">
        <f t="shared" si="9"/>
        <v>36386.956400000003</v>
      </c>
      <c r="M53" s="18">
        <f t="shared" si="9"/>
        <v>41907.038399999998</v>
      </c>
      <c r="N53" s="18">
        <f t="shared" si="9"/>
        <v>67043.100301031242</v>
      </c>
      <c r="O53" s="80">
        <f>SUM(C53:N53)</f>
        <v>552867.6159010313</v>
      </c>
    </row>
    <row r="54" spans="1:15" s="33" customFormat="1" ht="15.75" thickBot="1" x14ac:dyDescent="0.3">
      <c r="A54" s="83"/>
      <c r="B54" s="87" t="s">
        <v>40</v>
      </c>
      <c r="C54" s="34">
        <f t="shared" ref="C54:N54" si="10">C51-C53</f>
        <v>413014.66399999987</v>
      </c>
      <c r="D54" s="34">
        <f t="shared" si="10"/>
        <v>518632.27080000006</v>
      </c>
      <c r="E54" s="34">
        <f t="shared" si="10"/>
        <v>438309.33120000007</v>
      </c>
      <c r="F54" s="34">
        <f t="shared" si="10"/>
        <v>214366.18599999984</v>
      </c>
      <c r="G54" s="34">
        <f t="shared" si="10"/>
        <v>91596.974799999909</v>
      </c>
      <c r="H54" s="34">
        <f t="shared" si="10"/>
        <v>-61127.99919999994</v>
      </c>
      <c r="I54" s="34">
        <f t="shared" si="10"/>
        <v>-58655.283599999952</v>
      </c>
      <c r="J54" s="34">
        <f t="shared" si="10"/>
        <v>-109738.14040000002</v>
      </c>
      <c r="K54" s="34">
        <f t="shared" si="10"/>
        <v>-136810.70440000005</v>
      </c>
      <c r="L54" s="34">
        <f t="shared" si="10"/>
        <v>26986.953599999972</v>
      </c>
      <c r="M54" s="34">
        <f t="shared" si="10"/>
        <v>50991.101599999929</v>
      </c>
      <c r="N54" s="34">
        <f t="shared" si="10"/>
        <v>451425.55420844187</v>
      </c>
      <c r="O54" s="88">
        <f>SUM(C54:N54)</f>
        <v>1838990.9086084415</v>
      </c>
    </row>
    <row r="55" spans="1:15" s="22" customFormat="1" ht="15.75" thickTop="1" x14ac:dyDescent="0.25">
      <c r="A55" s="79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0"/>
    </row>
    <row r="56" spans="1:15" s="22" customFormat="1" ht="15" x14ac:dyDescent="0.25">
      <c r="A56" s="79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0"/>
    </row>
    <row r="57" spans="1:15" ht="15" x14ac:dyDescent="0.25">
      <c r="A57" s="7"/>
      <c r="B57" s="7"/>
      <c r="C57" s="38"/>
      <c r="D57" s="38"/>
      <c r="E57" s="38"/>
      <c r="F57" s="38"/>
      <c r="G57" s="38"/>
      <c r="H57" s="39"/>
      <c r="I57" s="17"/>
      <c r="J57" s="17"/>
    </row>
    <row r="58" spans="1:15" s="71" customFormat="1" ht="15" x14ac:dyDescent="0.25">
      <c r="A58" s="89"/>
      <c r="B58" s="90"/>
      <c r="C58" s="93"/>
      <c r="D58" s="94"/>
      <c r="E58" s="93"/>
      <c r="F58" s="93"/>
      <c r="G58" s="94"/>
      <c r="H58" s="93"/>
      <c r="I58" s="93"/>
      <c r="J58" s="91"/>
      <c r="K58" s="91"/>
      <c r="L58" s="91"/>
      <c r="M58" s="91"/>
      <c r="N58" s="91"/>
      <c r="O58" s="91"/>
    </row>
    <row r="59" spans="1:15" x14ac:dyDescent="0.2">
      <c r="A59" s="7"/>
      <c r="B59" s="7"/>
      <c r="C59" s="7"/>
      <c r="D59" s="7"/>
      <c r="H59" s="15"/>
    </row>
    <row r="60" spans="1:15" x14ac:dyDescent="0.2">
      <c r="B60" s="43"/>
      <c r="C60" s="7"/>
      <c r="D60" s="7"/>
      <c r="H60" s="44"/>
    </row>
    <row r="61" spans="1:15" x14ac:dyDescent="0.2">
      <c r="C61" s="7"/>
      <c r="D61" s="7"/>
      <c r="H61" s="15"/>
    </row>
    <row r="62" spans="1:15" x14ac:dyDescent="0.2">
      <c r="C62" s="7"/>
      <c r="D62" s="7"/>
      <c r="H62" s="15"/>
    </row>
    <row r="63" spans="1:15" x14ac:dyDescent="0.2">
      <c r="C63" s="7"/>
      <c r="D63" s="7"/>
      <c r="H63" s="15"/>
    </row>
    <row r="64" spans="1:15" x14ac:dyDescent="0.2">
      <c r="C64" s="7"/>
      <c r="D64" s="7"/>
      <c r="H64" s="15"/>
    </row>
    <row r="65" spans="1:8" x14ac:dyDescent="0.2">
      <c r="C65" s="7"/>
      <c r="D65" s="7"/>
      <c r="H65" s="15"/>
    </row>
    <row r="66" spans="1:8" x14ac:dyDescent="0.2">
      <c r="C66" s="7"/>
      <c r="D66" s="7"/>
      <c r="H66" s="15"/>
    </row>
    <row r="67" spans="1:8" x14ac:dyDescent="0.2">
      <c r="B67" s="43"/>
      <c r="C67" s="7"/>
      <c r="D67" s="7"/>
      <c r="H67" s="15"/>
    </row>
    <row r="68" spans="1:8" x14ac:dyDescent="0.2">
      <c r="C68" s="7"/>
      <c r="D68" s="7"/>
      <c r="H68" s="15"/>
    </row>
    <row r="69" spans="1:8" x14ac:dyDescent="0.2">
      <c r="B69" s="43"/>
      <c r="C69" s="7"/>
      <c r="D69" s="7"/>
      <c r="H69" s="7"/>
    </row>
    <row r="70" spans="1:8" x14ac:dyDescent="0.2">
      <c r="B70" s="43"/>
      <c r="C70" s="7"/>
      <c r="D70" s="7"/>
      <c r="H70" s="7"/>
    </row>
    <row r="71" spans="1:8" x14ac:dyDescent="0.2">
      <c r="C71" s="7"/>
      <c r="D71" s="7"/>
    </row>
    <row r="72" spans="1:8" ht="15.75" x14ac:dyDescent="0.25">
      <c r="A72" s="45"/>
      <c r="C72" s="7"/>
      <c r="D72" s="7"/>
    </row>
    <row r="73" spans="1:8" x14ac:dyDescent="0.2">
      <c r="C73" s="7"/>
      <c r="D73" s="7"/>
      <c r="H73" s="15"/>
    </row>
    <row r="74" spans="1:8" x14ac:dyDescent="0.2">
      <c r="C74" s="44"/>
      <c r="D74" s="44"/>
      <c r="F74" s="44"/>
      <c r="G74" s="44"/>
      <c r="H74" s="15"/>
    </row>
    <row r="75" spans="1:8" x14ac:dyDescent="0.2">
      <c r="C75" s="7"/>
      <c r="D75" s="7"/>
      <c r="H75" s="15"/>
    </row>
    <row r="76" spans="1:8" x14ac:dyDescent="0.2">
      <c r="C76" s="7"/>
      <c r="D76" s="7"/>
      <c r="H76" s="15"/>
    </row>
    <row r="77" spans="1:8" x14ac:dyDescent="0.2">
      <c r="C77" s="7"/>
      <c r="D77" s="7"/>
      <c r="H77" s="15"/>
    </row>
    <row r="78" spans="1:8" x14ac:dyDescent="0.2">
      <c r="C78" s="7"/>
      <c r="D78" s="7"/>
      <c r="H78" s="15"/>
    </row>
    <row r="79" spans="1:8" x14ac:dyDescent="0.2">
      <c r="C79" s="7"/>
      <c r="D79" s="7"/>
      <c r="H79" s="15"/>
    </row>
    <row r="80" spans="1:8" x14ac:dyDescent="0.2">
      <c r="C80" s="7"/>
      <c r="D80" s="7"/>
      <c r="H80" s="15"/>
    </row>
    <row r="81" spans="2:8" x14ac:dyDescent="0.2">
      <c r="C81" s="7"/>
      <c r="D81" s="7"/>
      <c r="H81" s="15"/>
    </row>
    <row r="82" spans="2:8" x14ac:dyDescent="0.2">
      <c r="C82" s="7"/>
      <c r="D82" s="7"/>
      <c r="H82" s="15"/>
    </row>
    <row r="83" spans="2:8" x14ac:dyDescent="0.2">
      <c r="C83" s="7"/>
      <c r="D83" s="7"/>
      <c r="H83" s="15"/>
    </row>
    <row r="84" spans="2:8" x14ac:dyDescent="0.2">
      <c r="C84" s="7"/>
      <c r="D84" s="7"/>
      <c r="H84" s="15"/>
    </row>
    <row r="85" spans="2:8" x14ac:dyDescent="0.2">
      <c r="C85" s="7"/>
      <c r="D85" s="7"/>
      <c r="H85" s="15"/>
    </row>
    <row r="86" spans="2:8" x14ac:dyDescent="0.2">
      <c r="C86" s="7"/>
      <c r="D86" s="7"/>
      <c r="H86" s="15"/>
    </row>
    <row r="87" spans="2:8" x14ac:dyDescent="0.2">
      <c r="C87" s="7"/>
      <c r="D87" s="7"/>
      <c r="H87" s="15"/>
    </row>
    <row r="88" spans="2:8" x14ac:dyDescent="0.2">
      <c r="C88" s="7"/>
      <c r="D88" s="7"/>
      <c r="H88" s="15"/>
    </row>
    <row r="89" spans="2:8" x14ac:dyDescent="0.2">
      <c r="C89" s="7"/>
      <c r="D89" s="7"/>
      <c r="H89" s="15"/>
    </row>
    <row r="90" spans="2:8" x14ac:dyDescent="0.2">
      <c r="C90" s="7"/>
      <c r="D90" s="7"/>
      <c r="H90" s="15"/>
    </row>
    <row r="91" spans="2:8" x14ac:dyDescent="0.2">
      <c r="C91" s="7"/>
      <c r="D91" s="7"/>
      <c r="H91" s="15"/>
    </row>
    <row r="92" spans="2:8" x14ac:dyDescent="0.2">
      <c r="B92" s="46"/>
      <c r="C92" s="7"/>
      <c r="D92" s="7"/>
      <c r="H92" s="15"/>
    </row>
    <row r="93" spans="2:8" x14ac:dyDescent="0.2">
      <c r="C93" s="7"/>
      <c r="D93" s="7"/>
      <c r="H93" s="15"/>
    </row>
    <row r="94" spans="2:8" x14ac:dyDescent="0.2">
      <c r="C94" s="7"/>
      <c r="D94" s="7"/>
      <c r="H94" s="15"/>
    </row>
    <row r="95" spans="2:8" x14ac:dyDescent="0.2">
      <c r="C95" s="7"/>
      <c r="D95" s="7"/>
      <c r="H95" s="15"/>
    </row>
    <row r="96" spans="2:8" x14ac:dyDescent="0.2">
      <c r="C96" s="7"/>
      <c r="D96" s="7"/>
      <c r="H96" s="15"/>
    </row>
    <row r="97" spans="1:8" x14ac:dyDescent="0.2">
      <c r="C97" s="7"/>
      <c r="D97" s="7"/>
      <c r="H97" s="15"/>
    </row>
    <row r="98" spans="1:8" x14ac:dyDescent="0.2">
      <c r="B98" s="43"/>
      <c r="C98" s="7"/>
      <c r="D98" s="7"/>
      <c r="H98" s="7"/>
    </row>
    <row r="99" spans="1:8" x14ac:dyDescent="0.2">
      <c r="B99" s="47"/>
      <c r="C99" s="7"/>
      <c r="D99" s="7"/>
      <c r="H99" s="7"/>
    </row>
    <row r="100" spans="1:8" x14ac:dyDescent="0.2">
      <c r="C100" s="7"/>
      <c r="D100" s="7"/>
    </row>
    <row r="101" spans="1:8" x14ac:dyDescent="0.2">
      <c r="C101" s="7"/>
      <c r="D101" s="7"/>
      <c r="H101" s="15"/>
    </row>
    <row r="102" spans="1:8" x14ac:dyDescent="0.2">
      <c r="C102" s="7"/>
      <c r="D102" s="7"/>
      <c r="H102" s="15"/>
    </row>
    <row r="103" spans="1:8" x14ac:dyDescent="0.2">
      <c r="C103" s="7"/>
      <c r="D103" s="7"/>
      <c r="H103" s="15"/>
    </row>
    <row r="104" spans="1:8" x14ac:dyDescent="0.2">
      <c r="C104" s="7"/>
      <c r="D104" s="7"/>
      <c r="H104" s="15"/>
    </row>
    <row r="105" spans="1:8" x14ac:dyDescent="0.2">
      <c r="C105" s="7"/>
      <c r="D105" s="7"/>
      <c r="H105" s="15"/>
    </row>
    <row r="106" spans="1:8" x14ac:dyDescent="0.2">
      <c r="C106" s="7"/>
      <c r="D106" s="44"/>
      <c r="G106" s="44"/>
      <c r="H106" s="15"/>
    </row>
    <row r="107" spans="1:8" x14ac:dyDescent="0.2">
      <c r="C107" s="7"/>
      <c r="D107" s="7"/>
      <c r="H107" s="15"/>
    </row>
    <row r="108" spans="1:8" ht="15" x14ac:dyDescent="0.25">
      <c r="A108" s="48"/>
      <c r="B108" s="49"/>
      <c r="C108" s="50"/>
      <c r="D108" s="50"/>
      <c r="E108" s="50"/>
      <c r="F108" s="50"/>
      <c r="G108" s="50"/>
      <c r="H108" s="51"/>
    </row>
    <row r="109" spans="1:8" x14ac:dyDescent="0.2">
      <c r="C109" s="52"/>
      <c r="D109" s="52"/>
      <c r="E109" s="52"/>
      <c r="F109" s="52"/>
      <c r="G109" s="52"/>
    </row>
    <row r="110" spans="1:8" x14ac:dyDescent="0.2">
      <c r="B110" s="43"/>
      <c r="C110" s="7"/>
      <c r="D110" s="7"/>
      <c r="H110" s="15"/>
    </row>
    <row r="111" spans="1:8" x14ac:dyDescent="0.2">
      <c r="C111" s="7"/>
      <c r="D111" s="7"/>
      <c r="H111" s="15"/>
    </row>
    <row r="112" spans="1:8" x14ac:dyDescent="0.2">
      <c r="C112" s="7"/>
      <c r="D112" s="53"/>
      <c r="F112" s="53"/>
    </row>
    <row r="113" spans="1:6" s="7" customFormat="1" x14ac:dyDescent="0.2">
      <c r="A113" s="3"/>
      <c r="B113" s="3"/>
      <c r="D113" s="53"/>
      <c r="F113" s="53"/>
    </row>
    <row r="114" spans="1:6" s="7" customFormat="1" x14ac:dyDescent="0.2">
      <c r="A114" s="3"/>
      <c r="B114" s="3"/>
      <c r="D114" s="53"/>
      <c r="F114" s="53"/>
    </row>
    <row r="115" spans="1:6" s="7" customFormat="1" x14ac:dyDescent="0.2">
      <c r="A115" s="3"/>
      <c r="B115" s="3"/>
      <c r="D115" s="53"/>
      <c r="F115" s="53"/>
    </row>
    <row r="116" spans="1:6" s="7" customFormat="1" x14ac:dyDescent="0.2">
      <c r="A116" s="3"/>
      <c r="B116" s="3"/>
      <c r="D116" s="53"/>
      <c r="F116" s="53"/>
    </row>
    <row r="117" spans="1:6" s="7" customFormat="1" x14ac:dyDescent="0.2">
      <c r="A117" s="3"/>
      <c r="B117" s="3"/>
      <c r="D117" s="53"/>
      <c r="F117" s="53"/>
    </row>
    <row r="118" spans="1:6" s="7" customFormat="1" x14ac:dyDescent="0.2">
      <c r="A118" s="3"/>
      <c r="B118" s="3"/>
      <c r="D118" s="53"/>
      <c r="F118" s="53"/>
    </row>
    <row r="119" spans="1:6" s="7" customFormat="1" x14ac:dyDescent="0.2">
      <c r="A119" s="54"/>
      <c r="B119" s="3"/>
      <c r="D119" s="53"/>
      <c r="F119" s="53"/>
    </row>
    <row r="120" spans="1:6" s="7" customFormat="1" x14ac:dyDescent="0.2">
      <c r="A120" s="54"/>
      <c r="B120" s="3"/>
      <c r="D120" s="53"/>
      <c r="F120" s="53"/>
    </row>
    <row r="121" spans="1:6" s="7" customFormat="1" x14ac:dyDescent="0.2">
      <c r="A121" s="3"/>
      <c r="B121" s="3"/>
      <c r="D121" s="53"/>
      <c r="F121" s="53"/>
    </row>
    <row r="122" spans="1:6" s="7" customFormat="1" x14ac:dyDescent="0.2">
      <c r="A122" s="54"/>
      <c r="B122" s="3"/>
      <c r="D122" s="53"/>
      <c r="F122" s="53"/>
    </row>
    <row r="123" spans="1:6" s="7" customFormat="1" x14ac:dyDescent="0.2">
      <c r="A123" s="3"/>
      <c r="B123" s="43"/>
      <c r="D123" s="55"/>
      <c r="F123" s="53"/>
    </row>
    <row r="124" spans="1:6" s="7" customFormat="1" x14ac:dyDescent="0.2">
      <c r="A124" s="3"/>
      <c r="B124" s="43"/>
      <c r="D124" s="53"/>
      <c r="F124" s="53"/>
    </row>
    <row r="125" spans="1:6" s="7" customFormat="1" x14ac:dyDescent="0.2">
      <c r="A125" s="3"/>
      <c r="B125" s="43"/>
      <c r="D125" s="53"/>
      <c r="F125" s="53"/>
    </row>
    <row r="126" spans="1:6" s="7" customFormat="1" x14ac:dyDescent="0.2">
      <c r="A126" s="3"/>
      <c r="B126" s="43"/>
      <c r="D126" s="53"/>
      <c r="F126" s="53"/>
    </row>
    <row r="137" spans="1:6" s="7" customFormat="1" x14ac:dyDescent="0.2">
      <c r="A137" s="3"/>
      <c r="B137" s="56"/>
      <c r="C137" s="57"/>
      <c r="D137" s="58"/>
      <c r="E137" s="59"/>
      <c r="F137" s="58"/>
    </row>
    <row r="138" spans="1:6" s="7" customFormat="1" x14ac:dyDescent="0.2">
      <c r="A138" s="3"/>
      <c r="B138" s="56"/>
      <c r="C138" s="57"/>
      <c r="D138" s="58"/>
      <c r="E138" s="59"/>
      <c r="F138" s="58"/>
    </row>
    <row r="139" spans="1:6" s="7" customFormat="1" x14ac:dyDescent="0.2">
      <c r="A139" s="3"/>
      <c r="B139" s="56"/>
      <c r="C139" s="57"/>
      <c r="D139" s="58"/>
      <c r="E139" s="59"/>
      <c r="F139" s="58"/>
    </row>
    <row r="140" spans="1:6" s="7" customFormat="1" x14ac:dyDescent="0.2">
      <c r="A140" s="3"/>
      <c r="B140" s="56"/>
      <c r="C140" s="57"/>
      <c r="D140" s="58"/>
      <c r="E140" s="59"/>
      <c r="F140" s="58"/>
    </row>
    <row r="141" spans="1:6" s="7" customFormat="1" x14ac:dyDescent="0.2">
      <c r="A141" s="3"/>
      <c r="B141" s="56"/>
      <c r="C141" s="57"/>
      <c r="D141" s="58"/>
      <c r="E141" s="59"/>
      <c r="F141" s="58"/>
    </row>
    <row r="142" spans="1:6" s="7" customFormat="1" ht="15" x14ac:dyDescent="0.25">
      <c r="A142" s="60"/>
      <c r="B142" s="61"/>
      <c r="C142" s="62"/>
      <c r="D142" s="63"/>
      <c r="E142" s="62"/>
      <c r="F142" s="61"/>
    </row>
    <row r="143" spans="1:6" s="7" customFormat="1" x14ac:dyDescent="0.2">
      <c r="A143" s="64"/>
      <c r="B143" s="61"/>
      <c r="C143" s="62"/>
      <c r="D143" s="63"/>
      <c r="E143" s="62"/>
      <c r="F143" s="61"/>
    </row>
    <row r="144" spans="1:6" s="7" customFormat="1" x14ac:dyDescent="0.2">
      <c r="A144" s="3"/>
      <c r="B144" s="3"/>
      <c r="D144" s="53"/>
      <c r="F144" s="3"/>
    </row>
    <row r="145" spans="1:8" x14ac:dyDescent="0.2">
      <c r="C145" s="65"/>
      <c r="D145" s="66"/>
      <c r="E145" s="9"/>
      <c r="F145" s="65"/>
      <c r="G145" s="66"/>
      <c r="H145" s="66"/>
    </row>
    <row r="146" spans="1:8" x14ac:dyDescent="0.2">
      <c r="C146" s="67"/>
      <c r="D146" s="66"/>
      <c r="E146" s="9"/>
      <c r="F146" s="65"/>
      <c r="G146" s="66"/>
      <c r="H146" s="66"/>
    </row>
    <row r="147" spans="1:8" x14ac:dyDescent="0.2">
      <c r="D147" s="15"/>
      <c r="F147" s="3"/>
      <c r="G147" s="15"/>
      <c r="H147" s="15"/>
    </row>
    <row r="148" spans="1:8" x14ac:dyDescent="0.2">
      <c r="A148" s="47"/>
      <c r="C148" s="7"/>
      <c r="D148" s="7"/>
      <c r="H148" s="15"/>
    </row>
    <row r="149" spans="1:8" x14ac:dyDescent="0.2">
      <c r="A149" s="47"/>
      <c r="C149" s="7"/>
      <c r="D149" s="7"/>
      <c r="H149" s="15"/>
    </row>
    <row r="150" spans="1:8" x14ac:dyDescent="0.2">
      <c r="A150" s="47"/>
      <c r="C150" s="7"/>
      <c r="D150" s="7"/>
      <c r="H150" s="15"/>
    </row>
    <row r="151" spans="1:8" x14ac:dyDescent="0.2">
      <c r="A151" s="47"/>
      <c r="C151" s="7"/>
      <c r="D151" s="7"/>
      <c r="H151" s="15"/>
    </row>
    <row r="152" spans="1:8" x14ac:dyDescent="0.2">
      <c r="A152" s="47"/>
      <c r="C152" s="7"/>
      <c r="D152" s="7"/>
      <c r="H152" s="15"/>
    </row>
    <row r="153" spans="1:8" x14ac:dyDescent="0.2">
      <c r="C153" s="7"/>
      <c r="D153" s="7"/>
      <c r="H153" s="7"/>
    </row>
    <row r="155" spans="1:8" x14ac:dyDescent="0.2">
      <c r="A155" s="47"/>
      <c r="C155" s="7"/>
      <c r="D155" s="7"/>
      <c r="F155" s="3"/>
      <c r="G155" s="3"/>
    </row>
    <row r="156" spans="1:8" x14ac:dyDescent="0.2">
      <c r="C156" s="7"/>
      <c r="D156" s="7"/>
      <c r="H156" s="15"/>
    </row>
    <row r="157" spans="1:8" x14ac:dyDescent="0.2">
      <c r="C157" s="7"/>
      <c r="D157" s="7"/>
      <c r="H157" s="15"/>
    </row>
    <row r="158" spans="1:8" x14ac:dyDescent="0.2">
      <c r="C158" s="7"/>
      <c r="D158" s="7"/>
      <c r="H158" s="15"/>
    </row>
    <row r="159" spans="1:8" x14ac:dyDescent="0.2">
      <c r="C159" s="7"/>
      <c r="D159" s="7"/>
      <c r="H159" s="15"/>
    </row>
    <row r="160" spans="1:8" x14ac:dyDescent="0.2">
      <c r="C160" s="7"/>
      <c r="D160" s="7"/>
      <c r="H160" s="15"/>
    </row>
    <row r="161" spans="1:8" x14ac:dyDescent="0.2">
      <c r="C161" s="7"/>
      <c r="D161" s="7"/>
      <c r="H161" s="15"/>
    </row>
    <row r="162" spans="1:8" x14ac:dyDescent="0.2">
      <c r="C162" s="7"/>
      <c r="D162" s="7"/>
      <c r="H162" s="15"/>
    </row>
    <row r="163" spans="1:8" x14ac:dyDescent="0.2">
      <c r="C163" s="7"/>
      <c r="D163" s="7"/>
      <c r="H163" s="15"/>
    </row>
    <row r="164" spans="1:8" x14ac:dyDescent="0.2">
      <c r="C164" s="7"/>
      <c r="D164" s="7"/>
      <c r="H164" s="15"/>
    </row>
    <row r="165" spans="1:8" x14ac:dyDescent="0.2">
      <c r="C165" s="7"/>
      <c r="D165" s="7"/>
      <c r="H165" s="15"/>
    </row>
    <row r="166" spans="1:8" x14ac:dyDescent="0.2">
      <c r="C166" s="7"/>
      <c r="D166" s="7"/>
      <c r="H166" s="15"/>
    </row>
    <row r="167" spans="1:8" x14ac:dyDescent="0.2">
      <c r="C167" s="7"/>
      <c r="D167" s="7"/>
      <c r="H167" s="15"/>
    </row>
    <row r="168" spans="1:8" x14ac:dyDescent="0.2">
      <c r="C168" s="7"/>
      <c r="D168" s="7"/>
      <c r="H168" s="15"/>
    </row>
    <row r="169" spans="1:8" x14ac:dyDescent="0.2">
      <c r="A169" s="47"/>
      <c r="C169" s="7"/>
      <c r="D169" s="7"/>
      <c r="H169" s="7"/>
    </row>
    <row r="170" spans="1:8" x14ac:dyDescent="0.2">
      <c r="A170" s="54"/>
      <c r="C170" s="7"/>
      <c r="D170" s="53"/>
      <c r="F170" s="53"/>
    </row>
    <row r="171" spans="1:8" x14ac:dyDescent="0.2">
      <c r="A171" s="54"/>
      <c r="C171" s="7"/>
      <c r="D171" s="7"/>
      <c r="H171" s="7"/>
    </row>
    <row r="172" spans="1:8" x14ac:dyDescent="0.2">
      <c r="B172" s="56"/>
      <c r="C172" s="57"/>
      <c r="D172" s="58"/>
      <c r="E172" s="59"/>
      <c r="F172" s="58"/>
    </row>
    <row r="173" spans="1:8" x14ac:dyDescent="0.2">
      <c r="C173" s="7"/>
      <c r="D173" s="7"/>
      <c r="H173" s="15"/>
    </row>
    <row r="174" spans="1:8" x14ac:dyDescent="0.2">
      <c r="C174" s="7"/>
      <c r="D174" s="7"/>
      <c r="H174" s="15"/>
    </row>
    <row r="175" spans="1:8" x14ac:dyDescent="0.2">
      <c r="C175" s="7"/>
      <c r="D175" s="7"/>
      <c r="H175" s="15"/>
    </row>
    <row r="176" spans="1:8" x14ac:dyDescent="0.2">
      <c r="C176" s="7"/>
      <c r="D176" s="7"/>
      <c r="H176" s="15"/>
    </row>
    <row r="177" spans="2:8" x14ac:dyDescent="0.2">
      <c r="C177" s="7"/>
      <c r="D177" s="7"/>
      <c r="F177" s="58"/>
      <c r="G177" s="58"/>
    </row>
    <row r="178" spans="2:8" x14ac:dyDescent="0.2">
      <c r="C178" s="7"/>
      <c r="D178" s="7"/>
      <c r="H178" s="15"/>
    </row>
    <row r="179" spans="2:8" x14ac:dyDescent="0.2">
      <c r="B179" s="56"/>
      <c r="C179" s="57"/>
      <c r="D179" s="58"/>
      <c r="E179" s="59"/>
      <c r="F179" s="58"/>
    </row>
    <row r="180" spans="2:8" x14ac:dyDescent="0.2">
      <c r="B180" s="56"/>
      <c r="C180" s="57"/>
      <c r="D180" s="58"/>
      <c r="E180" s="59"/>
      <c r="F180" s="58"/>
    </row>
    <row r="181" spans="2:8" x14ac:dyDescent="0.2">
      <c r="B181" s="56"/>
      <c r="C181" s="57"/>
      <c r="D181" s="58"/>
      <c r="E181" s="59"/>
      <c r="F181" s="58"/>
    </row>
    <row r="182" spans="2:8" x14ac:dyDescent="0.2">
      <c r="B182" s="56"/>
      <c r="C182" s="57"/>
      <c r="D182" s="58"/>
      <c r="E182" s="59"/>
      <c r="F182" s="58"/>
    </row>
    <row r="183" spans="2:8" x14ac:dyDescent="0.2">
      <c r="B183" s="56"/>
      <c r="C183" s="57"/>
      <c r="D183" s="58"/>
      <c r="E183" s="59"/>
      <c r="F183" s="58"/>
    </row>
    <row r="184" spans="2:8" x14ac:dyDescent="0.2">
      <c r="C184" s="68"/>
      <c r="F184" s="53"/>
    </row>
    <row r="185" spans="2:8" x14ac:dyDescent="0.2">
      <c r="C185" s="7"/>
      <c r="D185" s="53"/>
      <c r="F185" s="53"/>
    </row>
    <row r="186" spans="2:8" x14ac:dyDescent="0.2">
      <c r="C186" s="7"/>
      <c r="D186" s="53"/>
      <c r="F186" s="53"/>
    </row>
    <row r="187" spans="2:8" x14ac:dyDescent="0.2">
      <c r="C187" s="7"/>
      <c r="D187" s="53"/>
      <c r="F187" s="53"/>
    </row>
    <row r="188" spans="2:8" x14ac:dyDescent="0.2">
      <c r="C188" s="7"/>
      <c r="D188" s="53"/>
      <c r="F188" s="53"/>
    </row>
    <row r="190" spans="2:8" x14ac:dyDescent="0.2">
      <c r="C190" s="44"/>
    </row>
    <row r="191" spans="2:8" x14ac:dyDescent="0.2">
      <c r="C191" s="44"/>
    </row>
    <row r="192" spans="2:8" x14ac:dyDescent="0.2">
      <c r="C192" s="44"/>
    </row>
    <row r="193" spans="2:3" x14ac:dyDescent="0.2">
      <c r="C193" s="44"/>
    </row>
    <row r="194" spans="2:3" x14ac:dyDescent="0.2">
      <c r="C194" s="44"/>
    </row>
    <row r="196" spans="2:3" x14ac:dyDescent="0.2">
      <c r="C196" s="44"/>
    </row>
    <row r="197" spans="2:3" x14ac:dyDescent="0.2">
      <c r="C197" s="44"/>
    </row>
    <row r="198" spans="2:3" x14ac:dyDescent="0.2">
      <c r="B198" s="69"/>
      <c r="C198" s="70"/>
    </row>
    <row r="201" spans="2:3" x14ac:dyDescent="0.2">
      <c r="B201" s="71"/>
      <c r="C201" s="7"/>
    </row>
    <row r="202" spans="2:3" x14ac:dyDescent="0.2">
      <c r="C202" s="7"/>
    </row>
    <row r="203" spans="2:3" x14ac:dyDescent="0.2">
      <c r="C203" s="7"/>
    </row>
    <row r="215" spans="2:6" s="7" customFormat="1" x14ac:dyDescent="0.2">
      <c r="B215" s="56"/>
      <c r="D215" s="53"/>
      <c r="F215" s="53"/>
    </row>
    <row r="216" spans="2:6" s="7" customFormat="1" x14ac:dyDescent="0.2">
      <c r="B216" s="46"/>
      <c r="D216" s="53"/>
      <c r="F216" s="53"/>
    </row>
    <row r="217" spans="2:6" s="7" customFormat="1" x14ac:dyDescent="0.2">
      <c r="B217" s="46"/>
      <c r="D217" s="53"/>
      <c r="F217" s="53"/>
    </row>
    <row r="218" spans="2:6" s="7" customFormat="1" x14ac:dyDescent="0.2">
      <c r="B218" s="46"/>
      <c r="D218" s="53"/>
      <c r="F218" s="53"/>
    </row>
    <row r="219" spans="2:6" s="7" customFormat="1" x14ac:dyDescent="0.2">
      <c r="B219" s="46"/>
      <c r="D219" s="53"/>
      <c r="F219" s="53"/>
    </row>
    <row r="220" spans="2:6" s="7" customFormat="1" x14ac:dyDescent="0.2">
      <c r="B220" s="46"/>
      <c r="D220" s="53"/>
      <c r="F220" s="53"/>
    </row>
    <row r="221" spans="2:6" s="7" customFormat="1" x14ac:dyDescent="0.2">
      <c r="B221" s="46"/>
      <c r="D221" s="53"/>
      <c r="F221" s="53"/>
    </row>
    <row r="222" spans="2:6" s="7" customFormat="1" x14ac:dyDescent="0.2">
      <c r="B222" s="46"/>
      <c r="D222" s="53"/>
      <c r="F222" s="53"/>
    </row>
    <row r="223" spans="2:6" s="7" customFormat="1" x14ac:dyDescent="0.2">
      <c r="B223" s="46"/>
      <c r="D223" s="53"/>
      <c r="F223" s="53"/>
    </row>
    <row r="224" spans="2:6" s="7" customFormat="1" x14ac:dyDescent="0.2">
      <c r="B224" s="46"/>
      <c r="D224" s="53"/>
      <c r="F224" s="53"/>
    </row>
    <row r="225" spans="2:6" s="7" customFormat="1" x14ac:dyDescent="0.2">
      <c r="B225" s="46"/>
      <c r="D225" s="53"/>
      <c r="F225" s="53"/>
    </row>
    <row r="226" spans="2:6" s="7" customFormat="1" x14ac:dyDescent="0.2">
      <c r="B226" s="46"/>
      <c r="D226" s="53"/>
      <c r="F226" s="53"/>
    </row>
    <row r="227" spans="2:6" s="7" customFormat="1" x14ac:dyDescent="0.2">
      <c r="B227" s="46"/>
      <c r="D227" s="53"/>
      <c r="F227" s="53"/>
    </row>
    <row r="228" spans="2:6" s="7" customFormat="1" x14ac:dyDescent="0.2">
      <c r="B228" s="46"/>
      <c r="D228" s="53"/>
      <c r="F228" s="53"/>
    </row>
    <row r="229" spans="2:6" s="7" customFormat="1" x14ac:dyDescent="0.2">
      <c r="B229" s="46"/>
      <c r="D229" s="53"/>
      <c r="F229" s="53"/>
    </row>
    <row r="230" spans="2:6" s="7" customFormat="1" x14ac:dyDescent="0.2">
      <c r="B230" s="46"/>
      <c r="D230" s="53"/>
      <c r="F230" s="53"/>
    </row>
    <row r="231" spans="2:6" s="7" customFormat="1" x14ac:dyDescent="0.2">
      <c r="B231" s="46"/>
      <c r="D231" s="53"/>
      <c r="F231" s="53"/>
    </row>
    <row r="232" spans="2:6" s="7" customFormat="1" x14ac:dyDescent="0.2">
      <c r="B232" s="46"/>
      <c r="D232" s="53"/>
      <c r="F232" s="53"/>
    </row>
    <row r="233" spans="2:6" s="7" customFormat="1" x14ac:dyDescent="0.2">
      <c r="B233" s="46"/>
      <c r="D233" s="53"/>
      <c r="F233" s="53"/>
    </row>
    <row r="234" spans="2:6" s="7" customFormat="1" x14ac:dyDescent="0.2">
      <c r="B234" s="46"/>
      <c r="D234" s="53"/>
      <c r="F234" s="53"/>
    </row>
    <row r="235" spans="2:6" s="7" customFormat="1" x14ac:dyDescent="0.2">
      <c r="B235" s="46"/>
      <c r="D235" s="53"/>
      <c r="F235" s="53"/>
    </row>
    <row r="236" spans="2:6" s="7" customFormat="1" x14ac:dyDescent="0.2">
      <c r="B236" s="46"/>
      <c r="D236" s="53"/>
      <c r="F236" s="53"/>
    </row>
    <row r="237" spans="2:6" s="7" customFormat="1" x14ac:dyDescent="0.2">
      <c r="B237" s="46"/>
      <c r="D237" s="53"/>
      <c r="F237" s="53"/>
    </row>
    <row r="238" spans="2:6" s="7" customFormat="1" x14ac:dyDescent="0.2">
      <c r="B238" s="46"/>
      <c r="D238" s="53"/>
      <c r="F238" s="53"/>
    </row>
    <row r="239" spans="2:6" s="7" customFormat="1" x14ac:dyDescent="0.2">
      <c r="B239" s="46"/>
      <c r="D239" s="53"/>
      <c r="F239" s="53"/>
    </row>
    <row r="240" spans="2:6" s="7" customFormat="1" x14ac:dyDescent="0.2">
      <c r="B240" s="46"/>
      <c r="D240" s="53"/>
      <c r="F240" s="53"/>
    </row>
    <row r="241" spans="1:6" s="7" customFormat="1" x14ac:dyDescent="0.2">
      <c r="B241" s="46"/>
      <c r="D241" s="53"/>
      <c r="F241" s="53"/>
    </row>
    <row r="242" spans="1:6" s="7" customFormat="1" x14ac:dyDescent="0.2">
      <c r="B242" s="46"/>
      <c r="D242" s="53"/>
      <c r="F242" s="53"/>
    </row>
    <row r="243" spans="1:6" s="7" customFormat="1" x14ac:dyDescent="0.2">
      <c r="B243" s="46"/>
      <c r="D243" s="53"/>
      <c r="F243" s="53"/>
    </row>
    <row r="244" spans="1:6" s="7" customFormat="1" x14ac:dyDescent="0.2">
      <c r="B244" s="46"/>
      <c r="D244" s="53"/>
      <c r="F244" s="53"/>
    </row>
    <row r="245" spans="1:6" s="7" customFormat="1" x14ac:dyDescent="0.2">
      <c r="B245" s="46"/>
      <c r="D245" s="53"/>
      <c r="F245" s="53"/>
    </row>
    <row r="246" spans="1:6" s="7" customFormat="1" x14ac:dyDescent="0.2">
      <c r="B246" s="3"/>
      <c r="D246" s="53"/>
      <c r="F246" s="53"/>
    </row>
    <row r="247" spans="1:6" s="7" customFormat="1" x14ac:dyDescent="0.2">
      <c r="B247" s="56"/>
      <c r="D247" s="53"/>
      <c r="F247" s="53"/>
    </row>
    <row r="248" spans="1:6" s="7" customFormat="1" x14ac:dyDescent="0.2">
      <c r="A248" s="3"/>
      <c r="B248" s="3"/>
      <c r="D248" s="3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P&amp;L</vt:lpstr>
      <vt:lpstr>T12</vt:lpstr>
      <vt:lpstr>FORECAST</vt:lpstr>
      <vt:lpstr>FORECAST!Print_Area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2025-01-09T22:23:57Z</dcterms:created>
  <dcterms:modified xsi:type="dcterms:W3CDTF">2025-01-09T22:35:51Z</dcterms:modified>
</cp:coreProperties>
</file>