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hpcp-my.sharepoint.com/personal/louis_petauton_khpcp_com1/Documents/Documents - KHP Capital Partners Team Site/The Angler's Hotel - Data Room/1 - Financials/"/>
    </mc:Choice>
  </mc:AlternateContent>
  <xr:revisionPtr revIDLastSave="12" documentId="8_{8AFB1C61-928B-4D14-A839-DD97B7EE815B}" xr6:coauthVersionLast="47" xr6:coauthVersionMax="47" xr10:uidLastSave="{66A5EAE5-0187-43B6-A364-6390E1CD7C6C}"/>
  <bookViews>
    <workbookView xWindow="-110" yWindow="-110" windowWidth="19420" windowHeight="11500" xr2:uid="{576F1BC1-6A6F-4377-AFAB-FE091FE9BCAE}"/>
  </bookViews>
  <sheets>
    <sheet name="P&amp;L" sheetId="2" r:id="rId1"/>
  </sheets>
  <externalReferences>
    <externalReference r:id="rId2"/>
  </externalReferences>
  <definedNames>
    <definedName name="CY">#REF!</definedName>
    <definedName name="Month1">#REF!</definedName>
    <definedName name="_xlnm.Print_Area" localSheetId="0">'P&amp;L'!$A$1:$O$57</definedName>
    <definedName name="Room_Revenue_Factor">[1]Lists!$A$178:$A$198</definedName>
    <definedName name="RPTDATE">#REF!</definedName>
    <definedName name="RPTMONTH">#REF!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<sst xmlns="http://schemas.openxmlformats.org/spreadsheetml/2006/main" count="62" uniqueCount="39">
  <si>
    <t>TOTAL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</si>
  <si>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</si>
  <si>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</si>
  <si>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</si>
  <si>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</si>
  <si>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</si>
  <si>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</si>
  <si>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</si>
  <si>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</si>
  <si>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</si>
  <si>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</si>
  <si>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</si>
  <si>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</si>
  <si>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</si>
  <si>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</si>
  <si>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</si>
  <si>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</si>
  <si>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</si>
  <si>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</si>
  <si>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</si>
  <si>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 &amp; Maintenan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</si>
  <si>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</si>
  <si>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</si>
  <si>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</si>
  <si>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</si>
  <si>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</si>
  <si>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</si>
  <si>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</si>
  <si>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</si>
  <si>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</si>
  <si>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</si>
  <si>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</si>
  <si>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</si>
  <si>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</si>
  <si>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FOR THE PERIOD ENDING DECEMBER 31, 2020</t>
  </si>
  <si>
    <t>Actual</t>
  </si>
  <si>
    <t>Angler's</t>
  </si>
  <si>
    <t xml:space="preserve">FORECASTED STATEMENT OF INCOME </t>
  </si>
  <si>
    <t xml:space="preserve">   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</si>
</sst>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name val="Arial"/>
      <family val="2"/>
    </font>
    <font>
      <b/>
      <sz val="11"/>
      <color rgb="FF5F554D"/>
      <name val="Calibri"/>
      <family val="2"/>
      <scheme val="minor"/>
    </font>
    <font>
      <sz val="11"/>
      <color rgb="FF5F554D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7">
    <border>
      <left/>
      <right/>
      <top/>
      <bottom/>
      <diagonal/>
    </border>
    <border>
      <left style="thin">
        <color theme="4" tint="0.59993285927915285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4">
    <xf numFmtId="0" fontId="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2" borderId="0" xfId="1" applyFont="1" applyFill="1" applyAlignment="1">
      <alignment horizontal="left"/>
    </xf>
    <xf numFmtId="0" fontId="3" fillId="0" borderId="0" xfId="1" applyFont="1" applyAlignment="1">
      <alignment horizontal="center" wrapText="1"/>
    </xf>
    <xf numFmtId="0" fontId="6" fillId="0" borderId="0" xfId="1"/>
    <xf numFmtId="0" fontId="4" fillId="2" borderId="0" xfId="1" applyFont="1" applyFill="1" applyAlignment="1">
      <alignment horizontal="left"/>
    </xf>
    <xf numFmtId="0" fontId="5" fillId="2" borderId="0" xfId="1" applyFont="1" applyFill="1" applyAlignment="1">
      <alignment horizontal="left"/>
    </xf>
    <xf numFmtId="14" fontId="13" fillId="0" borderId="0" xfId="1" applyNumberFormat="1" applyFont="1"/>
    <xf numFmtId="165" fontId="7" fillId="4" borderId="0" xfId="1" applyNumberFormat="1" applyFont="1" applyFill="1" applyAlignment="1">
      <alignment horizontal="center"/>
    </xf>
    <xf numFmtId="0" fontId="7" fillId="4" borderId="2" xfId="1" applyFont="1" applyFill="1" applyBorder="1" applyAlignment="1">
      <alignment horizontal="center"/>
    </xf>
    <xf numFmtId="0" fontId="8" fillId="4" borderId="0" xfId="1" applyFont="1" applyFill="1" applyAlignment="1">
      <alignment horizontal="center"/>
    </xf>
    <xf numFmtId="39" fontId="6" fillId="0" borderId="0" xfId="1" applyNumberFormat="1"/>
    <xf numFmtId="43" fontId="6" fillId="0" borderId="0" xfId="1" applyNumberFormat="1"/>
    <xf numFmtId="0" fontId="6" fillId="0" borderId="2" xfId="1" applyBorder="1"/>
    <xf numFmtId="0" fontId="12" fillId="0" borderId="0" xfId="1" applyFont="1"/>
    <xf numFmtId="0" fontId="9" fillId="0" borderId="0" xfId="1" applyFont="1"/>
    <xf numFmtId="37" fontId="9" fillId="0" borderId="0" xfId="2" applyNumberFormat="1" applyFont="1" applyFill="1" applyBorder="1" applyAlignment="1">
      <alignment horizontal="right"/>
    </xf>
    <xf numFmtId="37" fontId="9" fillId="0" borderId="2" xfId="2" applyNumberFormat="1" applyFont="1" applyBorder="1" applyAlignment="1">
      <alignment horizontal="right"/>
    </xf>
    <xf numFmtId="164" fontId="9" fillId="0" borderId="0" xfId="3" applyNumberFormat="1" applyFont="1" applyFill="1" applyBorder="1" applyAlignment="1">
      <alignment horizontal="right"/>
    </xf>
    <xf numFmtId="164" fontId="9" fillId="0" borderId="2" xfId="3" applyNumberFormat="1" applyFont="1" applyBorder="1" applyAlignment="1">
      <alignment horizontal="right"/>
    </xf>
    <xf numFmtId="39" fontId="9" fillId="0" borderId="0" xfId="2" applyNumberFormat="1" applyFont="1" applyFill="1" applyBorder="1" applyAlignment="1">
      <alignment horizontal="right"/>
    </xf>
    <xf numFmtId="39" fontId="9" fillId="0" borderId="2" xfId="2" applyNumberFormat="1" applyFont="1" applyBorder="1" applyAlignment="1">
      <alignment horizontal="right"/>
    </xf>
    <xf numFmtId="43" fontId="9" fillId="0" borderId="0" xfId="2" applyFont="1" applyFill="1" applyBorder="1" applyAlignment="1">
      <alignment horizontal="right"/>
    </xf>
    <xf numFmtId="0" fontId="1" fillId="0" borderId="0" xfId="1" applyFont="1"/>
    <xf numFmtId="0" fontId="11" fillId="0" borderId="0" xfId="1" applyFont="1"/>
    <xf numFmtId="37" fontId="11" fillId="0" borderId="0" xfId="2" applyNumberFormat="1" applyFont="1" applyFill="1" applyBorder="1" applyAlignment="1">
      <alignment horizontal="right"/>
    </xf>
    <xf numFmtId="37" fontId="11" fillId="0" borderId="2" xfId="2" applyNumberFormat="1" applyFont="1" applyBorder="1" applyAlignment="1">
      <alignment horizontal="right"/>
    </xf>
    <xf numFmtId="37" fontId="11" fillId="0" borderId="3" xfId="2" applyNumberFormat="1" applyFont="1" applyFill="1" applyBorder="1" applyAlignment="1">
      <alignment horizontal="right"/>
    </xf>
    <xf numFmtId="37" fontId="11" fillId="0" borderId="4" xfId="2" applyNumberFormat="1" applyFont="1" applyBorder="1" applyAlignment="1">
      <alignment horizontal="right"/>
    </xf>
    <xf numFmtId="0" fontId="1" fillId="3" borderId="1" xfId="0" applyFont="1" applyFill="1" applyBorder="1"/>
    <xf numFmtId="0" fontId="1" fillId="3" borderId="0" xfId="0" applyFont="1" applyFill="1"/>
    <xf numFmtId="0" fontId="10" fillId="0" borderId="0" xfId="1" applyFont="1"/>
    <xf numFmtId="0" fontId="14" fillId="0" borderId="0" xfId="1" applyFont="1"/>
    <xf numFmtId="0" fontId="11" fillId="0" borderId="5" xfId="1" applyFont="1" applyBorder="1"/>
    <xf numFmtId="37" fontId="11" fillId="0" borderId="5" xfId="2" applyNumberFormat="1" applyFont="1" applyFill="1" applyBorder="1" applyAlignment="1">
      <alignment horizontal="right"/>
    </xf>
    <xf numFmtId="37" fontId="11" fillId="0" borderId="6" xfId="2" applyNumberFormat="1" applyFont="1" applyBorder="1" applyAlignment="1">
      <alignment horizontal="right"/>
    </xf>
    <xf numFmtId="37" fontId="9" fillId="0" borderId="0" xfId="2" applyNumberFormat="1" applyFont="1" applyBorder="1" applyAlignment="1">
      <alignment horizontal="right"/>
    </xf>
    <xf numFmtId="39" fontId="9" fillId="0" borderId="0" xfId="1" applyNumberFormat="1" applyFont="1"/>
    <xf numFmtId="43" fontId="9" fillId="0" borderId="0" xfId="1" applyNumberFormat="1" applyFont="1"/>
    <xf numFmtId="39" fontId="6" fillId="0" borderId="0" xfId="1" applyNumberFormat="1" applyAlignment="1">
      <alignment horizontal="right"/>
    </xf>
    <xf numFmtId="39" fontId="6" fillId="5" borderId="0" xfId="1" applyNumberFormat="1" applyFill="1" applyAlignment="1">
      <alignment horizontal="left"/>
    </xf>
    <xf numFmtId="37" fontId="9" fillId="5" borderId="0" xfId="2" applyNumberFormat="1" applyFont="1" applyFill="1" applyBorder="1" applyAlignment="1">
      <alignment horizontal="right"/>
    </xf>
    <xf numFmtId="37" fontId="6" fillId="5" borderId="0" xfId="1" applyNumberFormat="1" applyFill="1" applyAlignment="1">
      <alignment horizontal="right"/>
    </xf>
    <xf numFmtId="37" fontId="6" fillId="0" borderId="0" xfId="1" applyNumberFormat="1" applyAlignment="1">
      <alignment horizontal="right"/>
    </xf>
    <xf numFmtId="0" fontId="6" fillId="0" borderId="0" xfId="1" applyAlignment="1">
      <alignment horizontal="right"/>
    </xf>
    <xf numFmtId="0" fontId="6" fillId="0" borderId="0" xfId="1" quotePrefix="1" applyAlignment="1">
      <alignment horizontal="left"/>
    </xf>
    <xf numFmtId="40" fontId="6" fillId="0" borderId="0" xfId="1" applyNumberFormat="1"/>
    <xf numFmtId="0" fontId="15" fillId="0" borderId="0" xfId="1" applyFont="1"/>
    <xf numFmtId="0" fontId="6" fillId="0" borderId="0" xfId="1" applyAlignment="1">
      <alignment horizontal="left"/>
    </xf>
    <xf numFmtId="0" fontId="16" fillId="0" borderId="0" xfId="1" quotePrefix="1" applyFont="1" applyAlignment="1">
      <alignment horizontal="left"/>
    </xf>
    <xf numFmtId="0" fontId="3" fillId="0" borderId="0" xfId="1" applyFont="1"/>
    <xf numFmtId="0" fontId="3" fillId="0" borderId="0" xfId="1" quotePrefix="1" applyFont="1" applyAlignment="1">
      <alignment horizontal="left"/>
    </xf>
    <xf numFmtId="39" fontId="3" fillId="0" borderId="0" xfId="1" applyNumberFormat="1" applyFont="1"/>
    <xf numFmtId="40" fontId="3" fillId="0" borderId="0" xfId="1" applyNumberFormat="1" applyFont="1"/>
    <xf numFmtId="39" fontId="6" fillId="0" borderId="0" xfId="1" quotePrefix="1" applyNumberFormat="1" applyAlignment="1">
      <alignment horizontal="left"/>
    </xf>
    <xf numFmtId="10" fontId="6" fillId="0" borderId="0" xfId="1" applyNumberFormat="1"/>
    <xf numFmtId="0" fontId="16" fillId="0" borderId="0" xfId="1" applyFont="1"/>
    <xf numFmtId="37" fontId="6" fillId="0" borderId="0" xfId="1" applyNumberFormat="1"/>
    <xf numFmtId="0" fontId="16" fillId="0" borderId="0" xfId="1" applyFont="1" applyAlignment="1">
      <alignment horizontal="left"/>
    </xf>
    <xf numFmtId="40" fontId="16" fillId="0" borderId="0" xfId="1" applyNumberFormat="1" applyFont="1"/>
    <xf numFmtId="10" fontId="16" fillId="0" borderId="0" xfId="1" applyNumberFormat="1" applyFont="1"/>
    <xf numFmtId="39" fontId="16" fillId="0" borderId="0" xfId="1" applyNumberFormat="1" applyFont="1"/>
    <xf numFmtId="0" fontId="3" fillId="0" borderId="0" xfId="1" applyFont="1" applyAlignment="1">
      <alignment horizontal="centerContinuous"/>
    </xf>
    <xf numFmtId="0" fontId="6" fillId="0" borderId="0" xfId="1" applyAlignment="1">
      <alignment horizontal="centerContinuous"/>
    </xf>
    <xf numFmtId="39" fontId="6" fillId="0" borderId="0" xfId="1" applyNumberFormat="1" applyAlignment="1">
      <alignment horizontal="centerContinuous"/>
    </xf>
    <xf numFmtId="10" fontId="6" fillId="0" borderId="0" xfId="1" applyNumberFormat="1" applyAlignment="1">
      <alignment horizontal="centerContinuous"/>
    </xf>
    <xf numFmtId="0" fontId="16" fillId="0" borderId="0" xfId="1" applyFont="1" applyAlignment="1">
      <alignment horizontal="centerContinuous"/>
    </xf>
    <xf numFmtId="0" fontId="6" fillId="0" borderId="0" xfId="1" applyAlignment="1">
      <alignment horizontal="center"/>
    </xf>
    <xf numFmtId="43" fontId="6" fillId="0" borderId="0" xfId="1" applyNumberFormat="1" applyAlignment="1">
      <alignment horizontal="center"/>
    </xf>
    <xf numFmtId="39" fontId="6" fillId="0" borderId="0" xfId="1" applyNumberFormat="1" applyAlignment="1">
      <alignment horizontal="center"/>
    </xf>
    <xf numFmtId="0" fontId="6" fillId="0" borderId="0" xfId="1" applyAlignment="1">
      <alignment horizontal="center" vertical="center"/>
    </xf>
    <xf numFmtId="4" fontId="6" fillId="0" borderId="0" xfId="1" applyNumberFormat="1"/>
    <xf numFmtId="0" fontId="6" fillId="0" borderId="0" xfId="1" quotePrefix="1"/>
    <xf numFmtId="2" fontId="6" fillId="0" borderId="0" xfId="1" applyNumberFormat="1"/>
  </cellXfs>
  <cellStyles count="4">
    <cellStyle name="Comma 2" xfId="2" xr:uid="{14C97106-1E22-46E7-B5CA-40C30A64118E}"/>
    <cellStyle name="Normal" xfId="0" builtinId="0"/>
    <cellStyle name="Normal 2" xfId="1" xr:uid="{EA8DB9CB-CE5D-4EA9-8BB5-2E9F087ADB83}"/>
    <cellStyle name="Percent 2" xfId="3" xr:uid="{6DC7EB19-CA3B-4A44-B9AF-26A6BF78634A}"/>
  </cellStyles>
  <dxfs count="6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yun.lee\AppData\Local\Packages\Microsoft.Office.Desktop_8wekyb3d8bbwe\AC\INetCache\Content.Outlook\8YUWUIJY\Sedona%20Rouge%202020%20Budget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Cover (Copy)"/>
      <sheetName val="Cover"/>
      <sheetName val="Full Budget"/>
      <sheetName val="Upload Data"/>
      <sheetName val="Budget Upload"/>
      <sheetName val="Labor Recap"/>
      <sheetName val="Rooms"/>
      <sheetName val="Rooms Comp Worksheet"/>
      <sheetName val="MSeg"/>
      <sheetName val="F&amp;B"/>
      <sheetName val="Gift"/>
      <sheetName val="SpaPool"/>
      <sheetName val="Spa Support"/>
      <sheetName val="Parking"/>
      <sheetName val="MinorOp"/>
      <sheetName val="MiscInc"/>
      <sheetName val="A&amp;G"/>
      <sheetName val="InfoTele"/>
      <sheetName val="SalesMktg"/>
      <sheetName val="PropOp"/>
      <sheetName val="Utility"/>
      <sheetName val="Lists"/>
      <sheetName val="Utility Worksheet"/>
      <sheetName val="NonOp"/>
      <sheetName val="Laundry"/>
      <sheetName val="StaffDi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78">
          <cell r="A178" t="str">
            <v>Room Revenue Factor</v>
          </cell>
        </row>
        <row r="179">
          <cell r="A179" t="str">
            <v>$ per Month</v>
          </cell>
        </row>
        <row r="180">
          <cell r="A180" t="str">
            <v>$ per Week</v>
          </cell>
        </row>
        <row r="181">
          <cell r="A181" t="str">
            <v>$ per Day</v>
          </cell>
        </row>
        <row r="182">
          <cell r="A182" t="str">
            <v>$ per Occupied Room</v>
          </cell>
        </row>
        <row r="183">
          <cell r="A183" t="str">
            <v>$ per Available Room</v>
          </cell>
        </row>
        <row r="184">
          <cell r="A184" t="str">
            <v>$ per Group Room</v>
          </cell>
        </row>
        <row r="185">
          <cell r="A185" t="str">
            <v>$ per Group Corporate Room</v>
          </cell>
        </row>
        <row r="186">
          <cell r="A186" t="str">
            <v>$ per Group Association/Convention Room</v>
          </cell>
        </row>
        <row r="187">
          <cell r="A187" t="str">
            <v>$ per Group Government Room</v>
          </cell>
        </row>
        <row r="188">
          <cell r="A188" t="str">
            <v>$ per Group Tour/Wholesalers Room</v>
          </cell>
        </row>
        <row r="189">
          <cell r="A189" t="str">
            <v>$ per Group SMERF Room</v>
          </cell>
        </row>
        <row r="190">
          <cell r="A190" t="str">
            <v>$ per Group Other Room</v>
          </cell>
        </row>
        <row r="191">
          <cell r="A191" t="str">
            <v>$ per Transient Room</v>
          </cell>
        </row>
        <row r="192">
          <cell r="A192" t="str">
            <v>$ per Transient Retail Room</v>
          </cell>
        </row>
        <row r="193">
          <cell r="A193" t="str">
            <v>$ per Transient Discount Room</v>
          </cell>
        </row>
        <row r="194">
          <cell r="A194" t="str">
            <v>$ per Transient Negotiated Room</v>
          </cell>
        </row>
        <row r="195">
          <cell r="A195" t="str">
            <v>$ per Transient Qualified Room</v>
          </cell>
        </row>
        <row r="196">
          <cell r="A196" t="str">
            <v>$ per Transient Wholesale Room</v>
          </cell>
        </row>
        <row r="197">
          <cell r="A197" t="str">
            <v>$ per Transient Other Room</v>
          </cell>
        </row>
        <row r="198">
          <cell r="A198" t="str">
            <v>$ per Contract Room</v>
          </cell>
        </row>
      </sheetData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E31D-412B-455B-82D3-38933249341F}">
  <sheetPr>
    <pageSetUpPr fitToPage="1"/>
  </sheetPr>
  <dimension ref="A1:S248"/>
  <sheetViews>
    <sheetView showGridLines="0" tabSelected="1" view="pageBreakPreview" zoomScale="70" zoomScaleNormal="85" zoomScaleSheetLayoutView="70" workbookViewId="0">
      <selection activeCell="N12" sqref="N12"/>
    </sheetView>
  </sheetViews>
  <sheetFormatPr defaultColWidth="8.7265625" defaultRowHeight="12.5" x14ac:dyDescent="0.25"/>
  <cols>
    <col min="1" max="1" width="2.7265625" style="3" customWidth="1"/>
    <col min="2" max="2" width="38.7265625" style="3" customWidth="1"/>
    <col min="3" max="4" width="14.7265625" style="3" customWidth="1"/>
    <col min="5" max="7" width="14.7265625" style="10" customWidth="1"/>
    <col min="8" max="14" width="14.7265625" style="3" customWidth="1"/>
    <col min="15" max="15" width="15.453125" style="3" customWidth="1"/>
    <col min="16" max="23" width="8.7265625" style="3" customWidth="1"/>
    <col min="24" max="24" width="8.7265625" style="3"/>
    <col min="25" max="25" width="9" style="3" bestFit="1" customWidth="1"/>
    <col min="26" max="16384" width="8.7265625" style="3"/>
  </cols>
  <sheetData>
    <row r="1" spans="1:19" ht="23" x14ac:dyDescent="0.45">
      <c r="A1" s="1" t="s">
        <v>36</v>
      </c>
      <c r="B1" s="1"/>
      <c r="C1" s="1"/>
      <c r="D1" s="1"/>
      <c r="E1" s="1"/>
      <c r="F1" s="1"/>
      <c r="G1" s="1"/>
      <c r="H1" s="2"/>
    </row>
    <row r="2" spans="1:19" ht="15" customHeight="1" x14ac:dyDescent="0.35">
      <c r="A2" s="4" t="s">
        <v>37</v>
      </c>
      <c r="B2" s="4"/>
      <c r="C2" s="4"/>
      <c r="D2" s="4"/>
      <c r="E2" s="4"/>
      <c r="F2" s="4"/>
      <c r="G2" s="4"/>
      <c r="H2" s="2"/>
    </row>
    <row r="3" spans="1:19" ht="15" x14ac:dyDescent="0.3">
      <c r="A3" s="5" t="s">
        <v>34</v>
      </c>
      <c r="B3" s="5"/>
      <c r="C3" s="5"/>
      <c r="D3" s="5"/>
      <c r="E3" s="5"/>
      <c r="F3" s="5"/>
      <c r="G3" s="5"/>
      <c r="H3" s="2"/>
    </row>
    <row r="4" spans="1:19" ht="15" customHeight="1" x14ac:dyDescent="0.3">
      <c r="A4" s="6"/>
      <c r="B4" s="2"/>
      <c r="C4" s="2"/>
      <c r="D4" s="2"/>
      <c r="E4" s="2"/>
      <c r="F4" s="2"/>
      <c r="G4" s="2"/>
      <c r="H4" s="2"/>
    </row>
    <row r="5" spans="1:19" customFormat="1" ht="14.5" x14ac:dyDescent="0.35">
      <c r="A5" s="3"/>
      <c r="B5" s="3"/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3"/>
      <c r="Q5" s="3"/>
      <c r="R5" s="3"/>
      <c r="S5" s="3"/>
    </row>
    <row r="6" spans="1:19" ht="14.5" x14ac:dyDescent="0.35">
      <c r="C6" s="7">
        <v>43861</v>
      </c>
      <c r="D6" s="7">
        <v>43889</v>
      </c>
      <c r="E6" s="7">
        <v>43917</v>
      </c>
      <c r="F6" s="7">
        <v>43945</v>
      </c>
      <c r="G6" s="7">
        <v>43973</v>
      </c>
      <c r="H6" s="7">
        <v>44001</v>
      </c>
      <c r="I6" s="7">
        <v>44029</v>
      </c>
      <c r="J6" s="7">
        <v>44057</v>
      </c>
      <c r="K6" s="7">
        <v>44085</v>
      </c>
      <c r="L6" s="7">
        <v>44113</v>
      </c>
      <c r="M6" s="7">
        <v>44141</v>
      </c>
      <c r="N6" s="7">
        <v>44169</v>
      </c>
      <c r="O6" s="8" t="s">
        <v>0</v>
      </c>
    </row>
    <row r="7" spans="1:19" ht="14.5" x14ac:dyDescent="0.35">
      <c r="C7" s="9" t="s">
        <v>35</v>
      </c>
      <c r="D7" s="9" t="s">
        <v>35</v>
      </c>
      <c r="E7" s="9" t="s">
        <v>35</v>
      </c>
      <c r="F7" s="9" t="s">
        <v>35</v>
      </c>
      <c r="G7" s="9" t="s">
        <v>35</v>
      </c>
      <c r="H7" s="9" t="s">
        <v>35</v>
      </c>
      <c r="I7" s="9" t="s">
        <v>35</v>
      </c>
      <c r="J7" s="9" t="s">
        <v>35</v>
      </c>
      <c r="K7" s="9" t="s">
        <v>35</v>
      </c>
      <c r="L7" s="9" t="s">
        <v>35</v>
      </c>
      <c r="M7" s="9" t="s">
        <v>35</v>
      </c>
      <c r="N7" s="9" t="s">
        <v>35</v>
      </c>
      <c r="O7" s="8"/>
    </row>
    <row r="8" spans="1:19" ht="3" customHeight="1" x14ac:dyDescent="0.25">
      <c r="C8" s="10"/>
      <c r="D8" s="10"/>
      <c r="H8" s="11"/>
      <c r="O8" s="12"/>
    </row>
    <row r="9" spans="1:19" s="30" customFormat="1" ht="14.5" x14ac:dyDescent="0.35">
      <c r="A9" s="13"/>
      <c r="B9" s="14" t="s">
        <v>1</v>
      </c>
      <c r="C9" s="15">
        <v>4092</v>
      </c>
      <c r="D9" s="15">
        <v>3828</v>
      </c>
      <c r="E9" s="15">
        <v>4092</v>
      </c>
      <c r="F9" s="15">
        <v>3960</v>
      </c>
      <c r="G9" s="15">
        <v>4092</v>
      </c>
      <c r="H9" s="15">
        <v>3960</v>
      </c>
      <c r="I9" s="15">
        <v>4092</v>
      </c>
      <c r="J9" s="15">
        <v>4092</v>
      </c>
      <c r="K9" s="15">
        <v>3960</v>
      </c>
      <c r="L9" s="15">
        <v>4092</v>
      </c>
      <c r="M9" s="15">
        <v>3960</v>
      </c>
      <c r="N9" s="15">
        <v>4092</v>
      </c>
      <c r="O9" s="16">
        <v>48312</v>
      </c>
      <c r="P9" s="3"/>
      <c r="Q9" s="3"/>
      <c r="R9" s="3"/>
      <c r="S9" s="3"/>
    </row>
    <row r="10" spans="1:19" s="30" customFormat="1" ht="14.5" x14ac:dyDescent="0.35">
      <c r="A10" s="13"/>
      <c r="B10" s="14" t="s">
        <v>2</v>
      </c>
      <c r="C10" s="15">
        <v>3561</v>
      </c>
      <c r="D10" s="15">
        <v>3350</v>
      </c>
      <c r="E10" s="15">
        <v>1624</v>
      </c>
      <c r="F10" s="15">
        <v>0</v>
      </c>
      <c r="G10" s="15">
        <v>0</v>
      </c>
      <c r="H10" s="15">
        <v>718</v>
      </c>
      <c r="I10" s="15">
        <v>536</v>
      </c>
      <c r="J10" s="15">
        <v>1045</v>
      </c>
      <c r="K10" s="15">
        <v>1878</v>
      </c>
      <c r="L10" s="15">
        <v>2165</v>
      </c>
      <c r="M10" s="15">
        <v>2053</v>
      </c>
      <c r="N10" s="15">
        <v>2933</v>
      </c>
      <c r="O10" s="16">
        <v>19863</v>
      </c>
      <c r="P10" s="3"/>
      <c r="Q10" s="3"/>
      <c r="R10" s="3"/>
      <c r="S10" s="3"/>
    </row>
    <row r="11" spans="1:19" s="30" customFormat="1" ht="14.5" x14ac:dyDescent="0.35">
      <c r="A11" s="13"/>
      <c r="B11" s="14" t="s">
        <v>3</v>
      </c>
      <c r="C11" s="17">
        <v>0.87019999999999997</v>
      </c>
      <c r="D11" s="17">
        <v>0.87509999999999999</v>
      </c>
      <c r="E11" s="17">
        <v>0.39689999999999998</v>
      </c>
      <c r="F11" s="17">
        <v>0</v>
      </c>
      <c r="G11" s="17">
        <v>0</v>
      </c>
      <c r="H11" s="17">
        <v>0.18129999999999999</v>
      </c>
      <c r="I11" s="17">
        <v>0.13100000000000001</v>
      </c>
      <c r="J11" s="17">
        <v>0.25540000000000002</v>
      </c>
      <c r="K11" s="17">
        <v>0.47420000000000001</v>
      </c>
      <c r="L11" s="17">
        <v>0.52910000000000001</v>
      </c>
      <c r="M11" s="17">
        <v>0.51839999999999997</v>
      </c>
      <c r="N11" s="17">
        <v>0.71679999999999999</v>
      </c>
      <c r="O11" s="18">
        <v>0.41114008941877794</v>
      </c>
      <c r="P11" s="3"/>
      <c r="Q11" s="3"/>
      <c r="R11" s="3"/>
      <c r="S11" s="3"/>
    </row>
    <row r="12" spans="1:19" s="30" customFormat="1" ht="14.5" x14ac:dyDescent="0.35">
      <c r="A12" s="13"/>
      <c r="B12" s="14" t="s">
        <v>4</v>
      </c>
      <c r="C12" s="19">
        <v>311.19670000000002</v>
      </c>
      <c r="D12" s="19">
        <v>334.91789999999997</v>
      </c>
      <c r="E12" s="19">
        <v>223.30930000000001</v>
      </c>
      <c r="F12" s="19">
        <v>0</v>
      </c>
      <c r="G12" s="19">
        <v>0</v>
      </c>
      <c r="H12" s="19">
        <v>125.16070000000001</v>
      </c>
      <c r="I12" s="19">
        <v>137.3399</v>
      </c>
      <c r="J12" s="19">
        <v>110.25320000000001</v>
      </c>
      <c r="K12" s="19">
        <v>112.3091</v>
      </c>
      <c r="L12" s="19">
        <v>119.2529</v>
      </c>
      <c r="M12" s="19">
        <v>126.342</v>
      </c>
      <c r="N12" s="19">
        <v>165.2089</v>
      </c>
      <c r="O12" s="20">
        <v>204.82499169309773</v>
      </c>
      <c r="P12" s="3"/>
      <c r="Q12" s="3"/>
      <c r="R12" s="3"/>
      <c r="S12" s="3"/>
    </row>
    <row r="13" spans="1:19" s="30" customFormat="1" ht="14.5" x14ac:dyDescent="0.35">
      <c r="A13" s="13"/>
      <c r="B13" s="14" t="s">
        <v>5</v>
      </c>
      <c r="C13" s="19">
        <v>270.8141</v>
      </c>
      <c r="D13" s="19">
        <v>293.09690000000001</v>
      </c>
      <c r="E13" s="19">
        <v>88.625200000000007</v>
      </c>
      <c r="F13" s="19">
        <v>-1.5801000000000001</v>
      </c>
      <c r="G13" s="19">
        <v>-2.4037000000000002</v>
      </c>
      <c r="H13" s="19">
        <v>22.693300000000001</v>
      </c>
      <c r="I13" s="19">
        <v>17.989799999999999</v>
      </c>
      <c r="J13" s="19">
        <v>28.156099999999999</v>
      </c>
      <c r="K13" s="19">
        <v>53.261800000000001</v>
      </c>
      <c r="L13" s="19">
        <v>63.0944</v>
      </c>
      <c r="M13" s="19">
        <v>65.500100000000003</v>
      </c>
      <c r="N13" s="19">
        <v>118.41589999999999</v>
      </c>
      <c r="O13" s="20">
        <v>84.211765399900642</v>
      </c>
      <c r="P13" s="3"/>
      <c r="Q13" s="3"/>
      <c r="R13" s="3"/>
      <c r="S13" s="3"/>
    </row>
    <row r="14" spans="1:19" s="30" customFormat="1" ht="14.5" x14ac:dyDescent="0.35">
      <c r="A14" s="13"/>
      <c r="B14" s="14" t="s">
        <v>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16"/>
      <c r="P14" s="3"/>
      <c r="Q14" s="3"/>
      <c r="R14" s="3"/>
      <c r="S14" s="3"/>
    </row>
    <row r="15" spans="1:19" s="30" customFormat="1" ht="14.5" x14ac:dyDescent="0.35">
      <c r="A15" s="13"/>
      <c r="B15" s="14" t="s">
        <v>6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  <c r="P15" s="3"/>
      <c r="Q15" s="3"/>
      <c r="R15" s="3"/>
      <c r="S15" s="3"/>
    </row>
    <row r="16" spans="1:19" s="31" customFormat="1" ht="14.5" x14ac:dyDescent="0.35">
      <c r="A16" s="22"/>
      <c r="B16" s="23" t="s">
        <v>7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3"/>
      <c r="Q16" s="3"/>
      <c r="R16" s="3"/>
      <c r="S16" s="3"/>
    </row>
    <row r="17" spans="1:19" s="30" customFormat="1" ht="14.5" x14ac:dyDescent="0.35">
      <c r="A17" s="13"/>
      <c r="B17" s="14" t="s">
        <v>8</v>
      </c>
      <c r="C17" s="15">
        <v>1108171.46</v>
      </c>
      <c r="D17" s="15">
        <v>1121974.83</v>
      </c>
      <c r="E17" s="15">
        <v>362654.36</v>
      </c>
      <c r="F17" s="15">
        <v>-6257.08</v>
      </c>
      <c r="G17" s="15">
        <v>-9836</v>
      </c>
      <c r="H17" s="15">
        <v>89865.39</v>
      </c>
      <c r="I17" s="15">
        <v>73614.19</v>
      </c>
      <c r="J17" s="15">
        <v>115214.64</v>
      </c>
      <c r="K17" s="15">
        <v>210916.56</v>
      </c>
      <c r="L17" s="15">
        <v>258182.46</v>
      </c>
      <c r="M17" s="15">
        <v>259380.21</v>
      </c>
      <c r="N17" s="15">
        <v>484557.79</v>
      </c>
      <c r="O17" s="16">
        <v>4068438.81</v>
      </c>
      <c r="P17" s="3"/>
      <c r="Q17" s="3"/>
      <c r="R17" s="3"/>
      <c r="S17" s="3"/>
    </row>
    <row r="18" spans="1:19" s="30" customFormat="1" ht="14.5" x14ac:dyDescent="0.35">
      <c r="A18" s="13"/>
      <c r="B18" s="14" t="s">
        <v>9</v>
      </c>
      <c r="C18" s="15">
        <v>192802.88</v>
      </c>
      <c r="D18" s="15">
        <v>222249.1</v>
      </c>
      <c r="E18" s="15">
        <v>79381.27</v>
      </c>
      <c r="F18" s="15">
        <v>0</v>
      </c>
      <c r="G18" s="15">
        <v>-15122.49</v>
      </c>
      <c r="H18" s="15">
        <v>911</v>
      </c>
      <c r="I18" s="15">
        <v>4840.53</v>
      </c>
      <c r="J18" s="15">
        <v>9387.86</v>
      </c>
      <c r="K18" s="15">
        <v>15198.3</v>
      </c>
      <c r="L18" s="15">
        <v>25025.279999999999</v>
      </c>
      <c r="M18" s="15">
        <v>27590.53</v>
      </c>
      <c r="N18" s="15">
        <v>50971.63</v>
      </c>
      <c r="O18" s="16">
        <v>613235.89</v>
      </c>
      <c r="P18" s="3"/>
      <c r="Q18" s="3"/>
      <c r="R18" s="3"/>
      <c r="S18" s="3"/>
    </row>
    <row r="19" spans="1:19" s="30" customFormat="1" ht="14.5" x14ac:dyDescent="0.35">
      <c r="A19" s="13"/>
      <c r="B19" s="14" t="s">
        <v>10</v>
      </c>
      <c r="C19" s="15">
        <v>27910.84</v>
      </c>
      <c r="D19" s="15">
        <v>24134.17</v>
      </c>
      <c r="E19" s="15">
        <v>13133.12</v>
      </c>
      <c r="F19" s="15">
        <v>71.78</v>
      </c>
      <c r="G19" s="15">
        <v>-72.900000000000006</v>
      </c>
      <c r="H19" s="15">
        <v>181.69</v>
      </c>
      <c r="I19" s="15">
        <v>403.74</v>
      </c>
      <c r="J19" s="15">
        <v>264.17</v>
      </c>
      <c r="K19" s="15">
        <v>1140.21</v>
      </c>
      <c r="L19" s="15">
        <v>863.46</v>
      </c>
      <c r="M19" s="15">
        <v>-32.57</v>
      </c>
      <c r="N19" s="15">
        <v>415.66</v>
      </c>
      <c r="O19" s="16">
        <v>68413.37000000001</v>
      </c>
      <c r="P19" s="3"/>
      <c r="Q19" s="3"/>
      <c r="R19" s="3"/>
      <c r="S19" s="3"/>
    </row>
    <row r="20" spans="1:19" s="30" customFormat="1" ht="14.5" x14ac:dyDescent="0.35">
      <c r="A20" s="13"/>
      <c r="B20" s="14" t="s">
        <v>11</v>
      </c>
      <c r="C20" s="15">
        <v>73882.67</v>
      </c>
      <c r="D20" s="15">
        <v>64589.75</v>
      </c>
      <c r="E20" s="15">
        <v>69741.899999999994</v>
      </c>
      <c r="F20" s="15">
        <v>2109.7800000000002</v>
      </c>
      <c r="G20" s="15">
        <v>-510</v>
      </c>
      <c r="H20" s="15">
        <v>10468.26</v>
      </c>
      <c r="I20" s="15">
        <v>8161.45</v>
      </c>
      <c r="J20" s="15">
        <v>25861.61</v>
      </c>
      <c r="K20" s="15">
        <v>43949.85</v>
      </c>
      <c r="L20" s="15">
        <v>51275.02</v>
      </c>
      <c r="M20" s="15">
        <v>48855.08</v>
      </c>
      <c r="N20" s="15">
        <v>64872.03</v>
      </c>
      <c r="O20" s="16">
        <v>463257.4</v>
      </c>
      <c r="P20" s="3"/>
      <c r="Q20" s="3"/>
      <c r="R20" s="3"/>
      <c r="S20" s="3"/>
    </row>
    <row r="21" spans="1:19" s="31" customFormat="1" ht="14.5" x14ac:dyDescent="0.35">
      <c r="A21" s="22"/>
      <c r="B21" s="23" t="s">
        <v>12</v>
      </c>
      <c r="C21" s="26">
        <v>1402767.8499999999</v>
      </c>
      <c r="D21" s="26">
        <v>1432947.85</v>
      </c>
      <c r="E21" s="26">
        <v>524910.65</v>
      </c>
      <c r="F21" s="26">
        <v>-4075.52</v>
      </c>
      <c r="G21" s="26">
        <v>-25541.39</v>
      </c>
      <c r="H21" s="26">
        <v>101426.34</v>
      </c>
      <c r="I21" s="26">
        <v>87019.91</v>
      </c>
      <c r="J21" s="26">
        <v>150728.28</v>
      </c>
      <c r="K21" s="26">
        <v>271204.92</v>
      </c>
      <c r="L21" s="26">
        <v>335346.22000000003</v>
      </c>
      <c r="M21" s="26">
        <v>335793.25</v>
      </c>
      <c r="N21" s="26">
        <v>600817.11</v>
      </c>
      <c r="O21" s="27">
        <v>5213345.47</v>
      </c>
      <c r="P21" s="3"/>
      <c r="Q21" s="3"/>
      <c r="R21" s="3"/>
      <c r="S21" s="3"/>
    </row>
    <row r="22" spans="1:19" s="30" customFormat="1" ht="14.5" x14ac:dyDescent="0.35">
      <c r="A22" s="13"/>
      <c r="B22" s="14" t="s">
        <v>6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6"/>
      <c r="P22" s="3"/>
      <c r="Q22" s="3"/>
      <c r="R22" s="3"/>
      <c r="S22" s="3"/>
    </row>
    <row r="23" spans="1:19" s="31" customFormat="1" ht="14.5" x14ac:dyDescent="0.35">
      <c r="A23" s="22"/>
      <c r="B23" s="23" t="s">
        <v>13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3"/>
      <c r="Q23" s="3"/>
      <c r="R23" s="3"/>
      <c r="S23" s="3"/>
    </row>
    <row r="24" spans="1:19" s="30" customFormat="1" ht="14.5" x14ac:dyDescent="0.35">
      <c r="A24" s="13"/>
      <c r="B24" s="14" t="s">
        <v>8</v>
      </c>
      <c r="C24" s="15">
        <v>171745.21</v>
      </c>
      <c r="D24" s="15">
        <v>194456.39</v>
      </c>
      <c r="E24" s="15">
        <v>124369.9</v>
      </c>
      <c r="F24" s="15">
        <v>19311.11</v>
      </c>
      <c r="G24" s="15">
        <v>18005.8</v>
      </c>
      <c r="H24" s="15">
        <v>46823.3</v>
      </c>
      <c r="I24" s="15">
        <v>46628.43</v>
      </c>
      <c r="J24" s="15">
        <v>53961.3</v>
      </c>
      <c r="K24" s="15">
        <v>78564.56</v>
      </c>
      <c r="L24" s="15">
        <v>77900.289999999994</v>
      </c>
      <c r="M24" s="15">
        <v>97462.58</v>
      </c>
      <c r="N24" s="15">
        <v>110595.93</v>
      </c>
      <c r="O24" s="16">
        <v>1039824.8000000003</v>
      </c>
      <c r="P24" s="3"/>
      <c r="Q24" s="3"/>
      <c r="R24" s="3"/>
      <c r="S24" s="3"/>
    </row>
    <row r="25" spans="1:19" s="30" customFormat="1" ht="14.5" x14ac:dyDescent="0.35">
      <c r="A25" s="13"/>
      <c r="B25" s="14" t="s">
        <v>9</v>
      </c>
      <c r="C25" s="15">
        <v>200593.92000000001</v>
      </c>
      <c r="D25" s="15">
        <v>242064.23</v>
      </c>
      <c r="E25" s="15">
        <v>153043.31</v>
      </c>
      <c r="F25" s="15">
        <v>6576.54</v>
      </c>
      <c r="G25" s="15">
        <v>50.05</v>
      </c>
      <c r="H25" s="15">
        <v>3085.81</v>
      </c>
      <c r="I25" s="15">
        <v>21550.46</v>
      </c>
      <c r="J25" s="15">
        <v>15956.98</v>
      </c>
      <c r="K25" s="15">
        <v>19947.61</v>
      </c>
      <c r="L25" s="15">
        <v>16429.740000000002</v>
      </c>
      <c r="M25" s="15">
        <v>33936.03</v>
      </c>
      <c r="N25" s="15">
        <v>48456.800000000003</v>
      </c>
      <c r="O25" s="16">
        <v>761691.4800000001</v>
      </c>
      <c r="P25" s="3"/>
      <c r="Q25" s="3"/>
      <c r="R25" s="3"/>
      <c r="S25" s="3"/>
    </row>
    <row r="26" spans="1:19" s="30" customFormat="1" ht="14.5" x14ac:dyDescent="0.35">
      <c r="A26" s="13"/>
      <c r="B26" s="14" t="s">
        <v>10</v>
      </c>
      <c r="C26" s="15">
        <v>27949.41</v>
      </c>
      <c r="D26" s="15">
        <v>19708.86</v>
      </c>
      <c r="E26" s="15">
        <v>13826.15</v>
      </c>
      <c r="F26" s="15">
        <v>14.45</v>
      </c>
      <c r="G26" s="15">
        <v>0</v>
      </c>
      <c r="H26" s="15">
        <v>72</v>
      </c>
      <c r="I26" s="15">
        <v>0</v>
      </c>
      <c r="J26" s="15">
        <v>0</v>
      </c>
      <c r="K26" s="15">
        <v>0</v>
      </c>
      <c r="L26" s="15">
        <v>282</v>
      </c>
      <c r="M26" s="15">
        <v>0</v>
      </c>
      <c r="N26" s="15">
        <v>136.91</v>
      </c>
      <c r="O26" s="16">
        <v>61989.780000000006</v>
      </c>
      <c r="P26" s="3"/>
      <c r="Q26" s="3"/>
      <c r="R26" s="3"/>
      <c r="S26" s="3"/>
    </row>
    <row r="27" spans="1:19" s="31" customFormat="1" ht="14.5" x14ac:dyDescent="0.35">
      <c r="A27" s="22"/>
      <c r="B27" s="23" t="s">
        <v>14</v>
      </c>
      <c r="C27" s="26">
        <v>400288.54</v>
      </c>
      <c r="D27" s="26">
        <v>456229.48</v>
      </c>
      <c r="E27" s="26">
        <v>291239.36</v>
      </c>
      <c r="F27" s="26">
        <v>25902.100000000002</v>
      </c>
      <c r="G27" s="26">
        <v>18055.849999999999</v>
      </c>
      <c r="H27" s="26">
        <v>49981.11</v>
      </c>
      <c r="I27" s="26">
        <v>68178.89</v>
      </c>
      <c r="J27" s="26">
        <v>69918.28</v>
      </c>
      <c r="K27" s="26">
        <v>98512.17</v>
      </c>
      <c r="L27" s="26">
        <v>94612.03</v>
      </c>
      <c r="M27" s="26">
        <v>131398.60999999999</v>
      </c>
      <c r="N27" s="26">
        <v>159189.63999999998</v>
      </c>
      <c r="O27" s="27">
        <v>1863506.0599999998</v>
      </c>
      <c r="P27" s="3"/>
      <c r="Q27" s="3"/>
      <c r="R27" s="3"/>
      <c r="S27" s="3"/>
    </row>
    <row r="28" spans="1:19" s="30" customFormat="1" ht="14.5" x14ac:dyDescent="0.35">
      <c r="A28" s="13"/>
      <c r="B28" s="14" t="s">
        <v>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>
        <v>0</v>
      </c>
      <c r="N28" s="15"/>
      <c r="O28" s="16"/>
      <c r="P28" s="3"/>
      <c r="Q28" s="3"/>
      <c r="R28" s="3"/>
      <c r="S28" s="3"/>
    </row>
    <row r="29" spans="1:19" s="31" customFormat="1" ht="14.5" x14ac:dyDescent="0.35">
      <c r="A29" s="22"/>
      <c r="B29" s="23" t="s">
        <v>15</v>
      </c>
      <c r="C29" s="24">
        <v>1002479.3099999998</v>
      </c>
      <c r="D29" s="24">
        <v>976718.37000000011</v>
      </c>
      <c r="E29" s="24">
        <v>233671.29000000004</v>
      </c>
      <c r="F29" s="24">
        <v>-29977.620000000003</v>
      </c>
      <c r="G29" s="24">
        <v>-43597.24</v>
      </c>
      <c r="H29" s="24">
        <v>51445.229999999996</v>
      </c>
      <c r="I29" s="24">
        <v>18841.020000000004</v>
      </c>
      <c r="J29" s="24">
        <v>80810</v>
      </c>
      <c r="K29" s="24">
        <v>172692.75</v>
      </c>
      <c r="L29" s="24">
        <v>240734.19000000003</v>
      </c>
      <c r="M29" s="24">
        <v>204394.64</v>
      </c>
      <c r="N29" s="24">
        <v>441627.47</v>
      </c>
      <c r="O29" s="25">
        <v>3349839.4099999992</v>
      </c>
      <c r="P29" s="3"/>
      <c r="Q29" s="3"/>
      <c r="R29" s="3"/>
      <c r="S29" s="3"/>
    </row>
    <row r="30" spans="1:19" s="30" customFormat="1" ht="14.5" x14ac:dyDescent="0.35">
      <c r="A30" s="13"/>
      <c r="B30" s="14" t="s">
        <v>6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3"/>
      <c r="Q30" s="3"/>
      <c r="R30" s="3"/>
      <c r="S30" s="3"/>
    </row>
    <row r="31" spans="1:19" s="31" customFormat="1" ht="14.5" x14ac:dyDescent="0.35">
      <c r="A31" s="22"/>
      <c r="B31" s="23" t="s">
        <v>16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/>
      <c r="P31" s="3"/>
      <c r="Q31" s="3"/>
      <c r="R31" s="3"/>
      <c r="S31" s="3"/>
    </row>
    <row r="32" spans="1:19" s="30" customFormat="1" ht="14.5" x14ac:dyDescent="0.35">
      <c r="A32" s="13"/>
      <c r="B32" s="14" t="s">
        <v>17</v>
      </c>
      <c r="C32" s="15">
        <v>111922.54</v>
      </c>
      <c r="D32" s="15">
        <v>106909.66</v>
      </c>
      <c r="E32" s="15">
        <v>87361.44</v>
      </c>
      <c r="F32" s="15">
        <v>43404.57</v>
      </c>
      <c r="G32" s="15">
        <v>26654.7</v>
      </c>
      <c r="H32" s="15">
        <v>38821.870000000003</v>
      </c>
      <c r="I32" s="15">
        <v>43420.78</v>
      </c>
      <c r="J32" s="15">
        <v>55682.3</v>
      </c>
      <c r="K32" s="15">
        <v>46875.54</v>
      </c>
      <c r="L32" s="15">
        <v>37668.660000000003</v>
      </c>
      <c r="M32" s="15">
        <v>45886.3</v>
      </c>
      <c r="N32" s="15">
        <v>67924.52</v>
      </c>
      <c r="O32" s="16">
        <v>712532.88000000012</v>
      </c>
      <c r="P32" s="3"/>
      <c r="Q32" s="3"/>
      <c r="R32" s="3"/>
      <c r="S32" s="3"/>
    </row>
    <row r="33" spans="1:19" s="30" customFormat="1" ht="14.5" x14ac:dyDescent="0.35">
      <c r="A33" s="13"/>
      <c r="B33" s="14" t="s">
        <v>18</v>
      </c>
      <c r="C33" s="15">
        <v>20330.12</v>
      </c>
      <c r="D33" s="15">
        <v>20971.55</v>
      </c>
      <c r="E33" s="15">
        <v>11769.67</v>
      </c>
      <c r="F33" s="15">
        <v>2603.1799999999998</v>
      </c>
      <c r="G33" s="15">
        <v>3641.21</v>
      </c>
      <c r="H33" s="15">
        <v>8711.1299999999992</v>
      </c>
      <c r="I33" s="15">
        <v>4309.97</v>
      </c>
      <c r="J33" s="15">
        <v>8306.7900000000009</v>
      </c>
      <c r="K33" s="15">
        <v>11182.72</v>
      </c>
      <c r="L33" s="15">
        <v>8858.98</v>
      </c>
      <c r="M33" s="15">
        <v>8406.16</v>
      </c>
      <c r="N33" s="15">
        <v>15262.56</v>
      </c>
      <c r="O33" s="16">
        <v>124354.04</v>
      </c>
      <c r="P33" s="3"/>
      <c r="Q33" s="3"/>
      <c r="R33" s="3"/>
      <c r="S33" s="3"/>
    </row>
    <row r="34" spans="1:19" s="30" customFormat="1" ht="14.5" x14ac:dyDescent="0.35">
      <c r="A34" s="13"/>
      <c r="B34" s="14" t="s">
        <v>19</v>
      </c>
      <c r="C34" s="15">
        <v>125142.41</v>
      </c>
      <c r="D34" s="15">
        <v>115237.57</v>
      </c>
      <c r="E34" s="15">
        <v>64992.31</v>
      </c>
      <c r="F34" s="15">
        <v>6947.3</v>
      </c>
      <c r="G34" s="15">
        <v>13546.36</v>
      </c>
      <c r="H34" s="15">
        <v>14090.49</v>
      </c>
      <c r="I34" s="15">
        <v>19406.59</v>
      </c>
      <c r="J34" s="15">
        <v>20379.53</v>
      </c>
      <c r="K34" s="15">
        <v>28753.4</v>
      </c>
      <c r="L34" s="15">
        <v>34936.31</v>
      </c>
      <c r="M34" s="15">
        <v>29197.35</v>
      </c>
      <c r="N34" s="15">
        <v>38642.71</v>
      </c>
      <c r="O34" s="16">
        <v>511272.33000000007</v>
      </c>
      <c r="P34" s="3"/>
      <c r="Q34" s="3"/>
      <c r="R34" s="3"/>
      <c r="S34" s="3"/>
    </row>
    <row r="35" spans="1:19" s="30" customFormat="1" ht="14.5" x14ac:dyDescent="0.35">
      <c r="A35" s="13"/>
      <c r="B35" s="14" t="s">
        <v>20</v>
      </c>
      <c r="C35" s="15">
        <v>42091.85</v>
      </c>
      <c r="D35" s="15">
        <v>36072.050000000003</v>
      </c>
      <c r="E35" s="15">
        <v>29110.19</v>
      </c>
      <c r="F35" s="15">
        <v>16286.66</v>
      </c>
      <c r="G35" s="15">
        <v>15178.05</v>
      </c>
      <c r="H35" s="15">
        <v>26818.85</v>
      </c>
      <c r="I35" s="15">
        <v>29858.17</v>
      </c>
      <c r="J35" s="15">
        <v>26045.7</v>
      </c>
      <c r="K35" s="15">
        <v>30015.19</v>
      </c>
      <c r="L35" s="15">
        <v>34219.660000000003</v>
      </c>
      <c r="M35" s="15">
        <v>30573.5</v>
      </c>
      <c r="N35" s="15">
        <v>33887.67</v>
      </c>
      <c r="O35" s="16">
        <v>350157.54</v>
      </c>
      <c r="P35" s="3"/>
      <c r="Q35" s="3"/>
      <c r="R35" s="3"/>
      <c r="S35" s="3"/>
    </row>
    <row r="36" spans="1:19" s="30" customFormat="1" ht="14.5" x14ac:dyDescent="0.35">
      <c r="A36" s="13"/>
      <c r="B36" s="14" t="s">
        <v>21</v>
      </c>
      <c r="C36" s="15">
        <v>14340.78</v>
      </c>
      <c r="D36" s="15">
        <v>11962.25</v>
      </c>
      <c r="E36" s="15">
        <v>14139.37</v>
      </c>
      <c r="F36" s="15">
        <v>5243.19</v>
      </c>
      <c r="G36" s="15">
        <v>5611.75</v>
      </c>
      <c r="H36" s="15">
        <v>5918.02</v>
      </c>
      <c r="I36" s="15">
        <v>14010.16</v>
      </c>
      <c r="J36" s="15">
        <v>15004.53</v>
      </c>
      <c r="K36" s="15">
        <v>15934.09</v>
      </c>
      <c r="L36" s="15">
        <v>14448.02</v>
      </c>
      <c r="M36" s="15">
        <v>12871.81</v>
      </c>
      <c r="N36" s="15">
        <v>14047.42</v>
      </c>
      <c r="O36" s="16">
        <v>143531.39000000001</v>
      </c>
      <c r="P36" s="3"/>
      <c r="Q36" s="3"/>
      <c r="R36" s="3"/>
      <c r="S36" s="3"/>
    </row>
    <row r="37" spans="1:19" s="31" customFormat="1" ht="14.5" x14ac:dyDescent="0.35">
      <c r="A37" s="22"/>
      <c r="B37" s="23" t="s">
        <v>22</v>
      </c>
      <c r="C37" s="26">
        <v>313827.7</v>
      </c>
      <c r="D37" s="26">
        <v>291153.08</v>
      </c>
      <c r="E37" s="26">
        <v>207372.97999999998</v>
      </c>
      <c r="F37" s="26">
        <v>74484.900000000009</v>
      </c>
      <c r="G37" s="26">
        <v>64632.070000000007</v>
      </c>
      <c r="H37" s="26">
        <v>94360.36</v>
      </c>
      <c r="I37" s="26">
        <v>111005.67</v>
      </c>
      <c r="J37" s="26">
        <v>125418.84999999999</v>
      </c>
      <c r="K37" s="26">
        <v>132760.94</v>
      </c>
      <c r="L37" s="26">
        <v>130131.63</v>
      </c>
      <c r="M37" s="26">
        <v>126935.12</v>
      </c>
      <c r="N37" s="26">
        <v>169764.88000000003</v>
      </c>
      <c r="O37" s="27">
        <v>1841848.1800000004</v>
      </c>
      <c r="P37" s="3"/>
      <c r="Q37" s="3"/>
      <c r="R37" s="3"/>
      <c r="S37" s="3"/>
    </row>
    <row r="38" spans="1:19" s="30" customFormat="1" ht="14.5" x14ac:dyDescent="0.35">
      <c r="A38" s="13"/>
      <c r="B38" s="14" t="s">
        <v>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420</v>
      </c>
      <c r="N38" s="15"/>
      <c r="O38" s="16"/>
      <c r="P38" s="3"/>
      <c r="Q38" s="3"/>
      <c r="R38" s="3"/>
      <c r="S38" s="3"/>
    </row>
    <row r="39" spans="1:19" s="31" customFormat="1" ht="14.5" x14ac:dyDescent="0.35">
      <c r="A39" s="22"/>
      <c r="B39" s="23" t="s">
        <v>23</v>
      </c>
      <c r="C39" s="24">
        <v>688651.60999999987</v>
      </c>
      <c r="D39" s="24">
        <v>685565.29</v>
      </c>
      <c r="E39" s="24">
        <v>26298.310000000056</v>
      </c>
      <c r="F39" s="24">
        <v>-104462.52000000002</v>
      </c>
      <c r="G39" s="24">
        <v>-108229.31</v>
      </c>
      <c r="H39" s="24">
        <v>-42915.130000000005</v>
      </c>
      <c r="I39" s="24">
        <v>-92164.65</v>
      </c>
      <c r="J39" s="24">
        <v>-44608.849999999991</v>
      </c>
      <c r="K39" s="24">
        <v>39931.81</v>
      </c>
      <c r="L39" s="24">
        <v>110602.56000000003</v>
      </c>
      <c r="M39" s="24">
        <v>77459.520000000019</v>
      </c>
      <c r="N39" s="24">
        <v>271862.58999999997</v>
      </c>
      <c r="O39" s="25">
        <v>1507991.23</v>
      </c>
      <c r="P39" s="3"/>
      <c r="Q39" s="3"/>
      <c r="R39" s="3"/>
      <c r="S39" s="3"/>
    </row>
    <row r="40" spans="1:19" s="30" customFormat="1" ht="14.5" x14ac:dyDescent="0.35">
      <c r="A40" s="13"/>
      <c r="B40" s="14" t="s">
        <v>6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3"/>
      <c r="Q40" s="3"/>
      <c r="R40" s="3"/>
      <c r="S40" s="3"/>
    </row>
    <row r="41" spans="1:19" s="30" customFormat="1" ht="14.5" x14ac:dyDescent="0.35">
      <c r="A41" s="13"/>
      <c r="B41" s="14" t="s">
        <v>24</v>
      </c>
      <c r="C41" s="15">
        <v>44718.96</v>
      </c>
      <c r="D41" s="15">
        <v>45513.32</v>
      </c>
      <c r="E41" s="15">
        <v>16478.310000000001</v>
      </c>
      <c r="F41" s="15">
        <v>-281.18</v>
      </c>
      <c r="G41" s="15">
        <v>-750.84</v>
      </c>
      <c r="H41" s="15">
        <v>3335.78</v>
      </c>
      <c r="I41" s="15">
        <v>2814.26</v>
      </c>
      <c r="J41" s="15">
        <v>4988.68</v>
      </c>
      <c r="K41" s="15">
        <v>8638.75</v>
      </c>
      <c r="L41" s="15">
        <v>10919.12</v>
      </c>
      <c r="M41" s="15">
        <v>10860.5</v>
      </c>
      <c r="N41" s="15">
        <v>19031.28</v>
      </c>
      <c r="O41" s="16">
        <v>166266.94</v>
      </c>
      <c r="P41" s="3"/>
      <c r="Q41" s="3"/>
      <c r="R41" s="3"/>
      <c r="S41" s="3"/>
    </row>
    <row r="42" spans="1:19" s="31" customFormat="1" ht="14.5" x14ac:dyDescent="0.35">
      <c r="A42" s="22"/>
      <c r="B42" s="23" t="s">
        <v>25</v>
      </c>
      <c r="C42" s="26">
        <v>643932.64999999991</v>
      </c>
      <c r="D42" s="26">
        <v>640051.97000000009</v>
      </c>
      <c r="E42" s="26">
        <v>9820.0000000000546</v>
      </c>
      <c r="F42" s="26">
        <v>-104181.34000000003</v>
      </c>
      <c r="G42" s="26">
        <v>-107478.47</v>
      </c>
      <c r="H42" s="26">
        <v>-46250.91</v>
      </c>
      <c r="I42" s="26">
        <v>-94978.909999999989</v>
      </c>
      <c r="J42" s="26">
        <v>-49597.529999999992</v>
      </c>
      <c r="K42" s="26">
        <v>31293.059999999998</v>
      </c>
      <c r="L42" s="26">
        <v>99683.440000000031</v>
      </c>
      <c r="M42" s="26">
        <v>66599.020000000019</v>
      </c>
      <c r="N42" s="26">
        <v>252831.30999999997</v>
      </c>
      <c r="O42" s="27">
        <v>1341724.29</v>
      </c>
      <c r="P42" s="3"/>
      <c r="Q42" s="3"/>
      <c r="R42" s="3"/>
      <c r="S42" s="3"/>
    </row>
    <row r="43" spans="1:19" s="30" customFormat="1" ht="14.5" x14ac:dyDescent="0.35">
      <c r="A43" s="13"/>
      <c r="B43" s="14" t="s">
        <v>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6"/>
      <c r="P43" s="3"/>
      <c r="Q43" s="3"/>
      <c r="R43" s="3"/>
      <c r="S43" s="3"/>
    </row>
    <row r="44" spans="1:19" s="30" customFormat="1" ht="14.5" x14ac:dyDescent="0.35">
      <c r="A44" s="13"/>
      <c r="B44" s="14" t="s">
        <v>38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6">
        <v>0</v>
      </c>
      <c r="P44" s="3"/>
      <c r="Q44" s="3"/>
      <c r="R44" s="3"/>
      <c r="S44" s="3"/>
    </row>
    <row r="45" spans="1:19" s="30" customFormat="1" ht="14.5" x14ac:dyDescent="0.35">
      <c r="A45" s="13"/>
      <c r="B45" s="14" t="s">
        <v>26</v>
      </c>
      <c r="C45" s="15">
        <v>970.13</v>
      </c>
      <c r="D45" s="15">
        <v>1033.1500000000001</v>
      </c>
      <c r="E45" s="15">
        <v>615.44000000000005</v>
      </c>
      <c r="F45" s="15">
        <v>110.18</v>
      </c>
      <c r="G45" s="15">
        <v>0</v>
      </c>
      <c r="H45" s="15">
        <v>386.94</v>
      </c>
      <c r="I45" s="15">
        <v>458.52</v>
      </c>
      <c r="J45" s="15">
        <v>664.16</v>
      </c>
      <c r="K45" s="15">
        <v>732.22</v>
      </c>
      <c r="L45" s="15">
        <v>1226</v>
      </c>
      <c r="M45" s="15">
        <v>780.24</v>
      </c>
      <c r="N45" s="15">
        <v>444.57</v>
      </c>
      <c r="O45" s="16">
        <v>7421.55</v>
      </c>
      <c r="P45" s="3"/>
      <c r="Q45" s="3"/>
      <c r="R45" s="3"/>
      <c r="S45" s="3"/>
    </row>
    <row r="46" spans="1:19" s="30" customFormat="1" ht="14.5" x14ac:dyDescent="0.35">
      <c r="A46" s="13"/>
      <c r="B46" s="14" t="s">
        <v>27</v>
      </c>
      <c r="C46" s="15">
        <v>45173.75</v>
      </c>
      <c r="D46" s="15">
        <v>44119.24</v>
      </c>
      <c r="E46" s="15">
        <v>45173.78</v>
      </c>
      <c r="F46" s="15">
        <v>61762.98</v>
      </c>
      <c r="G46" s="15">
        <v>45773.78</v>
      </c>
      <c r="H46" s="15">
        <v>45173.78</v>
      </c>
      <c r="I46" s="15">
        <v>45173.78</v>
      </c>
      <c r="J46" s="15">
        <v>45173.78</v>
      </c>
      <c r="K46" s="15">
        <v>45173.78</v>
      </c>
      <c r="L46" s="15">
        <v>45701.78</v>
      </c>
      <c r="M46" s="15">
        <v>45173.78</v>
      </c>
      <c r="N46" s="15">
        <v>45173.78</v>
      </c>
      <c r="O46" s="16">
        <v>558747.99000000011</v>
      </c>
      <c r="P46" s="3"/>
      <c r="Q46" s="3"/>
      <c r="R46" s="3"/>
      <c r="S46" s="3"/>
    </row>
    <row r="47" spans="1:19" s="30" customFormat="1" ht="14.5" x14ac:dyDescent="0.35">
      <c r="A47" s="13"/>
      <c r="B47" s="14" t="s">
        <v>28</v>
      </c>
      <c r="C47" s="15">
        <v>60494.34</v>
      </c>
      <c r="D47" s="15">
        <v>60818.05</v>
      </c>
      <c r="E47" s="15">
        <v>60818.06</v>
      </c>
      <c r="F47" s="15">
        <v>59814.06</v>
      </c>
      <c r="G47" s="15">
        <v>59814.01</v>
      </c>
      <c r="H47" s="15">
        <v>59894.55</v>
      </c>
      <c r="I47" s="15">
        <v>57454.69</v>
      </c>
      <c r="J47" s="15">
        <v>67236.97</v>
      </c>
      <c r="K47" s="15">
        <v>63796.41</v>
      </c>
      <c r="L47" s="15">
        <v>68295.990000000005</v>
      </c>
      <c r="M47" s="15">
        <v>68295.990000000005</v>
      </c>
      <c r="N47" s="15">
        <v>68296.210000000006</v>
      </c>
      <c r="O47" s="16">
        <v>755029.33</v>
      </c>
      <c r="P47" s="3"/>
      <c r="Q47" s="3"/>
      <c r="R47" s="3"/>
      <c r="S47" s="3"/>
    </row>
    <row r="48" spans="1:19" s="30" customFormat="1" ht="14.5" x14ac:dyDescent="0.35">
      <c r="A48" s="13"/>
      <c r="B48" s="14" t="s">
        <v>29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6">
        <v>0</v>
      </c>
      <c r="P48" s="3"/>
      <c r="Q48" s="3"/>
      <c r="R48" s="3"/>
      <c r="S48" s="3"/>
    </row>
    <row r="49" spans="1:19" s="31" customFormat="1" ht="14.5" x14ac:dyDescent="0.35">
      <c r="A49" s="22"/>
      <c r="B49" s="23" t="s">
        <v>30</v>
      </c>
      <c r="C49" s="26">
        <v>106638.22</v>
      </c>
      <c r="D49" s="26">
        <v>105970.44</v>
      </c>
      <c r="E49" s="26">
        <v>106607.28</v>
      </c>
      <c r="F49" s="26">
        <v>121687.22</v>
      </c>
      <c r="G49" s="26">
        <v>105587.79000000001</v>
      </c>
      <c r="H49" s="26">
        <v>105455.27</v>
      </c>
      <c r="I49" s="26">
        <v>103086.98999999999</v>
      </c>
      <c r="J49" s="26">
        <v>113074.91</v>
      </c>
      <c r="K49" s="26">
        <v>109702.41</v>
      </c>
      <c r="L49" s="26">
        <v>115223.77</v>
      </c>
      <c r="M49" s="26">
        <v>114250.01000000001</v>
      </c>
      <c r="N49" s="26">
        <v>113914.56</v>
      </c>
      <c r="O49" s="27">
        <v>1321198.8700000001</v>
      </c>
      <c r="P49" s="3"/>
      <c r="Q49" s="3"/>
      <c r="R49" s="3"/>
      <c r="S49" s="3"/>
    </row>
    <row r="50" spans="1:19" s="30" customFormat="1" ht="14.5" x14ac:dyDescent="0.35">
      <c r="A50" s="13"/>
      <c r="B50" s="14" t="s">
        <v>6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6"/>
      <c r="P50" s="3"/>
      <c r="Q50" s="3"/>
      <c r="R50" s="3"/>
      <c r="S50" s="3"/>
    </row>
    <row r="51" spans="1:19" s="31" customFormat="1" ht="14.5" x14ac:dyDescent="0.35">
      <c r="A51" s="22"/>
      <c r="B51" s="23" t="s">
        <v>31</v>
      </c>
      <c r="C51" s="24">
        <v>537294.42999999993</v>
      </c>
      <c r="D51" s="24">
        <v>534081.53</v>
      </c>
      <c r="E51" s="24">
        <v>-96787.279999999941</v>
      </c>
      <c r="F51" s="24">
        <v>-225868.56000000003</v>
      </c>
      <c r="G51" s="24">
        <v>-213066.26</v>
      </c>
      <c r="H51" s="24">
        <v>-151706.18</v>
      </c>
      <c r="I51" s="24">
        <v>-198065.89999999997</v>
      </c>
      <c r="J51" s="24">
        <v>-162672.44</v>
      </c>
      <c r="K51" s="24">
        <v>-78409.350000000006</v>
      </c>
      <c r="L51" s="24">
        <v>-15540.329999999973</v>
      </c>
      <c r="M51" s="24">
        <v>-47650.989999999991</v>
      </c>
      <c r="N51" s="24">
        <v>138916.74999999997</v>
      </c>
      <c r="O51" s="25">
        <v>20525.420000000027</v>
      </c>
      <c r="P51" s="3"/>
      <c r="Q51" s="3"/>
      <c r="R51" s="3"/>
      <c r="S51" s="3"/>
    </row>
    <row r="52" spans="1:19" s="30" customFormat="1" ht="14.5" x14ac:dyDescent="0.35">
      <c r="A52" s="13"/>
      <c r="B52" s="14" t="s">
        <v>6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6"/>
      <c r="P52" s="3"/>
      <c r="Q52" s="3"/>
      <c r="R52" s="3"/>
      <c r="S52" s="3"/>
    </row>
    <row r="53" spans="1:19" s="30" customFormat="1" ht="14.5" x14ac:dyDescent="0.35">
      <c r="A53" s="13"/>
      <c r="B53" s="14" t="s">
        <v>32</v>
      </c>
      <c r="C53" s="15">
        <v>56110.713999999993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>
        <v>56110.713999999993</v>
      </c>
      <c r="P53" s="3"/>
      <c r="Q53" s="3"/>
      <c r="R53" s="3"/>
      <c r="S53" s="3"/>
    </row>
    <row r="54" spans="1:19" s="31" customFormat="1" ht="15" thickBot="1" x14ac:dyDescent="0.4">
      <c r="A54" s="22"/>
      <c r="B54" s="32" t="s">
        <v>33</v>
      </c>
      <c r="C54" s="33">
        <v>481183.71599999996</v>
      </c>
      <c r="D54" s="33">
        <v>534081.53</v>
      </c>
      <c r="E54" s="33">
        <v>-96787.279999999941</v>
      </c>
      <c r="F54" s="33">
        <v>-225868.56000000003</v>
      </c>
      <c r="G54" s="33">
        <v>-213066.26</v>
      </c>
      <c r="H54" s="33">
        <v>-151706.18</v>
      </c>
      <c r="I54" s="33">
        <v>-198065.89999999997</v>
      </c>
      <c r="J54" s="33">
        <v>-162672.44</v>
      </c>
      <c r="K54" s="33">
        <v>-78409.350000000006</v>
      </c>
      <c r="L54" s="33">
        <v>-15540.329999999973</v>
      </c>
      <c r="M54" s="33">
        <v>-47650.989999999991</v>
      </c>
      <c r="N54" s="33">
        <v>138916.74999999997</v>
      </c>
      <c r="O54" s="34">
        <v>-35585.293999999907</v>
      </c>
      <c r="P54" s="3"/>
      <c r="Q54" s="3"/>
      <c r="R54" s="3"/>
      <c r="S54" s="3"/>
    </row>
    <row r="55" spans="1:19" s="30" customFormat="1" ht="15" thickTop="1" x14ac:dyDescent="0.35">
      <c r="A55" s="13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35"/>
      <c r="P55" s="3"/>
      <c r="Q55" s="3"/>
      <c r="R55" s="3"/>
      <c r="S55" s="3"/>
    </row>
    <row r="56" spans="1:19" s="30" customFormat="1" ht="14.5" x14ac:dyDescent="0.35">
      <c r="A56" s="13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35"/>
      <c r="P56" s="3"/>
      <c r="Q56" s="3"/>
      <c r="R56" s="3"/>
      <c r="S56" s="3"/>
    </row>
    <row r="57" spans="1:19" ht="14.5" x14ac:dyDescent="0.35">
      <c r="A57" s="10"/>
      <c r="B57" s="10"/>
      <c r="C57" s="36"/>
      <c r="D57" s="36"/>
      <c r="E57" s="36"/>
      <c r="F57" s="36"/>
      <c r="G57" s="36"/>
      <c r="H57" s="37"/>
      <c r="I57" s="14"/>
      <c r="J57" s="14"/>
    </row>
    <row r="58" spans="1:19" s="43" customFormat="1" ht="14.5" x14ac:dyDescent="0.35">
      <c r="A58" s="38"/>
      <c r="B58" s="39"/>
      <c r="C58" s="40"/>
      <c r="D58" s="41"/>
      <c r="E58" s="40"/>
      <c r="F58" s="40"/>
      <c r="G58" s="41"/>
      <c r="H58" s="40"/>
      <c r="I58" s="40"/>
      <c r="J58" s="42"/>
      <c r="K58" s="42"/>
      <c r="L58" s="42"/>
      <c r="M58" s="42"/>
      <c r="N58" s="42"/>
      <c r="O58" s="42"/>
      <c r="P58" s="3"/>
      <c r="Q58" s="3"/>
      <c r="R58" s="3"/>
      <c r="S58" s="3"/>
    </row>
    <row r="59" spans="1:19" x14ac:dyDescent="0.25">
      <c r="A59" s="10"/>
      <c r="B59" s="10"/>
      <c r="C59" s="10"/>
      <c r="D59" s="10"/>
      <c r="H59" s="11"/>
    </row>
    <row r="60" spans="1:19" x14ac:dyDescent="0.25">
      <c r="B60" s="44"/>
      <c r="C60" s="10"/>
      <c r="D60" s="10"/>
      <c r="H60" s="45"/>
    </row>
    <row r="61" spans="1:19" x14ac:dyDescent="0.25">
      <c r="C61" s="10"/>
      <c r="D61" s="10"/>
      <c r="H61" s="11"/>
    </row>
    <row r="62" spans="1:19" x14ac:dyDescent="0.25">
      <c r="C62" s="10"/>
      <c r="D62" s="10"/>
      <c r="H62" s="11"/>
    </row>
    <row r="63" spans="1:19" x14ac:dyDescent="0.25">
      <c r="C63" s="10"/>
      <c r="D63" s="10"/>
      <c r="H63" s="11"/>
    </row>
    <row r="64" spans="1:19" x14ac:dyDescent="0.25">
      <c r="C64" s="10"/>
      <c r="D64" s="10"/>
      <c r="H64" s="11"/>
    </row>
    <row r="65" spans="1:8" x14ac:dyDescent="0.25">
      <c r="C65" s="10"/>
      <c r="D65" s="10"/>
      <c r="H65" s="11"/>
    </row>
    <row r="66" spans="1:8" x14ac:dyDescent="0.25">
      <c r="C66" s="10"/>
      <c r="D66" s="10"/>
      <c r="H66" s="11"/>
    </row>
    <row r="67" spans="1:8" x14ac:dyDescent="0.25">
      <c r="B67" s="44"/>
      <c r="C67" s="10"/>
      <c r="D67" s="10"/>
      <c r="H67" s="11"/>
    </row>
    <row r="68" spans="1:8" x14ac:dyDescent="0.25">
      <c r="C68" s="10"/>
      <c r="D68" s="10"/>
      <c r="H68" s="11"/>
    </row>
    <row r="69" spans="1:8" x14ac:dyDescent="0.25">
      <c r="B69" s="44"/>
      <c r="C69" s="10"/>
      <c r="D69" s="10"/>
      <c r="H69" s="10"/>
    </row>
    <row r="70" spans="1:8" x14ac:dyDescent="0.25">
      <c r="B70" s="44"/>
      <c r="C70" s="10"/>
      <c r="D70" s="10"/>
      <c r="H70" s="10"/>
    </row>
    <row r="71" spans="1:8" x14ac:dyDescent="0.25">
      <c r="C71" s="10"/>
      <c r="D71" s="10"/>
    </row>
    <row r="72" spans="1:8" ht="15.5" x14ac:dyDescent="0.35">
      <c r="A72" s="46"/>
      <c r="C72" s="10"/>
      <c r="D72" s="10"/>
    </row>
    <row r="73" spans="1:8" x14ac:dyDescent="0.25">
      <c r="C73" s="10"/>
      <c r="D73" s="10"/>
      <c r="H73" s="11"/>
    </row>
    <row r="74" spans="1:8" x14ac:dyDescent="0.25">
      <c r="C74" s="45"/>
      <c r="D74" s="45"/>
      <c r="F74" s="45"/>
      <c r="G74" s="45"/>
      <c r="H74" s="11"/>
    </row>
    <row r="75" spans="1:8" x14ac:dyDescent="0.25">
      <c r="C75" s="10"/>
      <c r="D75" s="10"/>
      <c r="H75" s="11"/>
    </row>
    <row r="76" spans="1:8" x14ac:dyDescent="0.25">
      <c r="C76" s="10"/>
      <c r="D76" s="10"/>
      <c r="H76" s="11"/>
    </row>
    <row r="77" spans="1:8" x14ac:dyDescent="0.25">
      <c r="C77" s="10"/>
      <c r="D77" s="10"/>
      <c r="H77" s="11"/>
    </row>
    <row r="78" spans="1:8" x14ac:dyDescent="0.25">
      <c r="C78" s="10"/>
      <c r="D78" s="10"/>
      <c r="H78" s="11"/>
    </row>
    <row r="79" spans="1:8" x14ac:dyDescent="0.25">
      <c r="C79" s="10"/>
      <c r="D79" s="10"/>
      <c r="H79" s="11"/>
    </row>
    <row r="80" spans="1:8" x14ac:dyDescent="0.25">
      <c r="C80" s="10"/>
      <c r="D80" s="10"/>
      <c r="H80" s="11"/>
    </row>
    <row r="81" spans="2:8" x14ac:dyDescent="0.25">
      <c r="C81" s="10"/>
      <c r="D81" s="10"/>
      <c r="H81" s="11"/>
    </row>
    <row r="82" spans="2:8" x14ac:dyDescent="0.25">
      <c r="C82" s="10"/>
      <c r="D82" s="10"/>
      <c r="H82" s="11"/>
    </row>
    <row r="83" spans="2:8" x14ac:dyDescent="0.25">
      <c r="C83" s="10"/>
      <c r="D83" s="10"/>
      <c r="H83" s="11"/>
    </row>
    <row r="84" spans="2:8" x14ac:dyDescent="0.25">
      <c r="C84" s="10"/>
      <c r="D84" s="10"/>
      <c r="H84" s="11"/>
    </row>
    <row r="85" spans="2:8" x14ac:dyDescent="0.25">
      <c r="C85" s="10"/>
      <c r="D85" s="10"/>
      <c r="H85" s="11"/>
    </row>
    <row r="86" spans="2:8" x14ac:dyDescent="0.25">
      <c r="C86" s="10"/>
      <c r="D86" s="10"/>
      <c r="H86" s="11"/>
    </row>
    <row r="87" spans="2:8" x14ac:dyDescent="0.25">
      <c r="C87" s="10"/>
      <c r="D87" s="10"/>
      <c r="H87" s="11"/>
    </row>
    <row r="88" spans="2:8" x14ac:dyDescent="0.25">
      <c r="C88" s="10"/>
      <c r="D88" s="10"/>
      <c r="H88" s="11"/>
    </row>
    <row r="89" spans="2:8" x14ac:dyDescent="0.25">
      <c r="C89" s="10"/>
      <c r="D89" s="10"/>
      <c r="H89" s="11"/>
    </row>
    <row r="90" spans="2:8" x14ac:dyDescent="0.25">
      <c r="C90" s="10"/>
      <c r="D90" s="10"/>
      <c r="H90" s="11"/>
    </row>
    <row r="91" spans="2:8" x14ac:dyDescent="0.25">
      <c r="C91" s="10"/>
      <c r="D91" s="10"/>
      <c r="H91" s="11"/>
    </row>
    <row r="92" spans="2:8" x14ac:dyDescent="0.25">
      <c r="B92" s="47"/>
      <c r="C92" s="10"/>
      <c r="D92" s="10"/>
      <c r="H92" s="11"/>
    </row>
    <row r="93" spans="2:8" x14ac:dyDescent="0.25">
      <c r="C93" s="10"/>
      <c r="D93" s="10"/>
      <c r="H93" s="11"/>
    </row>
    <row r="94" spans="2:8" x14ac:dyDescent="0.25">
      <c r="C94" s="10"/>
      <c r="D94" s="10"/>
      <c r="H94" s="11"/>
    </row>
    <row r="95" spans="2:8" x14ac:dyDescent="0.25">
      <c r="C95" s="10"/>
      <c r="D95" s="10"/>
      <c r="H95" s="11"/>
    </row>
    <row r="96" spans="2:8" x14ac:dyDescent="0.25">
      <c r="C96" s="10"/>
      <c r="D96" s="10"/>
      <c r="H96" s="11"/>
    </row>
    <row r="97" spans="1:8" x14ac:dyDescent="0.25">
      <c r="C97" s="10"/>
      <c r="D97" s="10"/>
      <c r="H97" s="11"/>
    </row>
    <row r="98" spans="1:8" x14ac:dyDescent="0.25">
      <c r="B98" s="44"/>
      <c r="C98" s="10"/>
      <c r="D98" s="10"/>
      <c r="H98" s="10"/>
    </row>
    <row r="99" spans="1:8" ht="13" x14ac:dyDescent="0.3">
      <c r="B99" s="48"/>
      <c r="C99" s="10"/>
      <c r="D99" s="10"/>
      <c r="H99" s="10"/>
    </row>
    <row r="100" spans="1:8" x14ac:dyDescent="0.25">
      <c r="C100" s="10"/>
      <c r="D100" s="10"/>
    </row>
    <row r="101" spans="1:8" x14ac:dyDescent="0.25">
      <c r="C101" s="10"/>
      <c r="D101" s="10"/>
      <c r="H101" s="11"/>
    </row>
    <row r="102" spans="1:8" x14ac:dyDescent="0.25">
      <c r="C102" s="10"/>
      <c r="D102" s="10"/>
      <c r="H102" s="11"/>
    </row>
    <row r="103" spans="1:8" x14ac:dyDescent="0.25">
      <c r="C103" s="10"/>
      <c r="D103" s="10"/>
      <c r="H103" s="11"/>
    </row>
    <row r="104" spans="1:8" x14ac:dyDescent="0.25">
      <c r="C104" s="10"/>
      <c r="D104" s="10"/>
      <c r="H104" s="11"/>
    </row>
    <row r="105" spans="1:8" x14ac:dyDescent="0.25">
      <c r="C105" s="10"/>
      <c r="D105" s="10"/>
      <c r="H105" s="11"/>
    </row>
    <row r="106" spans="1:8" x14ac:dyDescent="0.25">
      <c r="C106" s="10"/>
      <c r="D106" s="45"/>
      <c r="G106" s="45"/>
      <c r="H106" s="11"/>
    </row>
    <row r="107" spans="1:8" x14ac:dyDescent="0.25">
      <c r="C107" s="10"/>
      <c r="D107" s="10"/>
      <c r="H107" s="11"/>
    </row>
    <row r="108" spans="1:8" ht="14" x14ac:dyDescent="0.3">
      <c r="A108" s="49"/>
      <c r="B108" s="50"/>
      <c r="C108" s="51"/>
      <c r="D108" s="51"/>
      <c r="E108" s="51"/>
      <c r="F108" s="51"/>
      <c r="G108" s="51"/>
      <c r="H108" s="52"/>
    </row>
    <row r="109" spans="1:8" x14ac:dyDescent="0.25">
      <c r="C109" s="53"/>
      <c r="D109" s="53"/>
      <c r="E109" s="53"/>
      <c r="F109" s="53"/>
      <c r="G109" s="53"/>
    </row>
    <row r="110" spans="1:8" x14ac:dyDescent="0.25">
      <c r="B110" s="44"/>
      <c r="C110" s="10"/>
      <c r="D110" s="10"/>
      <c r="H110" s="11"/>
    </row>
    <row r="111" spans="1:8" x14ac:dyDescent="0.25">
      <c r="C111" s="10"/>
      <c r="D111" s="10"/>
      <c r="H111" s="11"/>
    </row>
    <row r="112" spans="1:8" x14ac:dyDescent="0.25">
      <c r="C112" s="10"/>
      <c r="D112" s="54"/>
      <c r="F112" s="54"/>
    </row>
    <row r="113" spans="1:6" x14ac:dyDescent="0.25">
      <c r="C113" s="10"/>
      <c r="D113" s="54"/>
      <c r="F113" s="54"/>
    </row>
    <row r="114" spans="1:6" x14ac:dyDescent="0.25">
      <c r="C114" s="10"/>
      <c r="D114" s="54"/>
      <c r="F114" s="54"/>
    </row>
    <row r="115" spans="1:6" x14ac:dyDescent="0.25">
      <c r="C115" s="10"/>
      <c r="D115" s="54"/>
      <c r="F115" s="54"/>
    </row>
    <row r="116" spans="1:6" x14ac:dyDescent="0.25">
      <c r="C116" s="10"/>
      <c r="D116" s="54"/>
      <c r="F116" s="54"/>
    </row>
    <row r="117" spans="1:6" x14ac:dyDescent="0.25">
      <c r="C117" s="10"/>
      <c r="D117" s="54"/>
      <c r="F117" s="54"/>
    </row>
    <row r="118" spans="1:6" x14ac:dyDescent="0.25">
      <c r="C118" s="10"/>
      <c r="D118" s="54"/>
      <c r="F118" s="54"/>
    </row>
    <row r="119" spans="1:6" ht="13" x14ac:dyDescent="0.3">
      <c r="A119" s="55"/>
      <c r="C119" s="10"/>
      <c r="D119" s="54"/>
      <c r="F119" s="54"/>
    </row>
    <row r="120" spans="1:6" ht="13" x14ac:dyDescent="0.3">
      <c r="A120" s="55"/>
      <c r="C120" s="10"/>
      <c r="D120" s="54"/>
      <c r="F120" s="54"/>
    </row>
    <row r="121" spans="1:6" x14ac:dyDescent="0.25">
      <c r="C121" s="10"/>
      <c r="D121" s="54"/>
      <c r="F121" s="54"/>
    </row>
    <row r="122" spans="1:6" ht="13" x14ac:dyDescent="0.3">
      <c r="A122" s="55"/>
      <c r="C122" s="10"/>
      <c r="D122" s="54"/>
      <c r="F122" s="54"/>
    </row>
    <row r="123" spans="1:6" x14ac:dyDescent="0.25">
      <c r="B123" s="44"/>
      <c r="C123" s="10"/>
      <c r="D123" s="56"/>
      <c r="F123" s="54"/>
    </row>
    <row r="124" spans="1:6" x14ac:dyDescent="0.25">
      <c r="B124" s="44"/>
      <c r="C124" s="10"/>
      <c r="D124" s="54"/>
      <c r="F124" s="54"/>
    </row>
    <row r="125" spans="1:6" x14ac:dyDescent="0.25">
      <c r="B125" s="44"/>
      <c r="C125" s="10"/>
      <c r="D125" s="54"/>
      <c r="F125" s="54"/>
    </row>
    <row r="126" spans="1:6" x14ac:dyDescent="0.25">
      <c r="B126" s="44"/>
      <c r="C126" s="10"/>
      <c r="D126" s="54"/>
      <c r="F126" s="54"/>
    </row>
    <row r="137" spans="1:6" ht="13" x14ac:dyDescent="0.3">
      <c r="B137" s="57"/>
      <c r="C137" s="58"/>
      <c r="D137" s="59"/>
      <c r="E137" s="60"/>
      <c r="F137" s="59"/>
    </row>
    <row r="138" spans="1:6" ht="13" x14ac:dyDescent="0.3">
      <c r="B138" s="57"/>
      <c r="C138" s="58"/>
      <c r="D138" s="59"/>
      <c r="E138" s="60"/>
      <c r="F138" s="59"/>
    </row>
    <row r="139" spans="1:6" ht="13" x14ac:dyDescent="0.3">
      <c r="B139" s="57"/>
      <c r="C139" s="58"/>
      <c r="D139" s="59"/>
      <c r="E139" s="60"/>
      <c r="F139" s="59"/>
    </row>
    <row r="140" spans="1:6" ht="13" x14ac:dyDescent="0.3">
      <c r="B140" s="57"/>
      <c r="C140" s="58"/>
      <c r="D140" s="59"/>
      <c r="E140" s="60"/>
      <c r="F140" s="59"/>
    </row>
    <row r="141" spans="1:6" ht="13" x14ac:dyDescent="0.3">
      <c r="B141" s="57"/>
      <c r="C141" s="58"/>
      <c r="D141" s="59"/>
      <c r="E141" s="60"/>
      <c r="F141" s="59"/>
    </row>
    <row r="142" spans="1:6" ht="14" x14ac:dyDescent="0.3">
      <c r="A142" s="61"/>
      <c r="B142" s="62"/>
      <c r="C142" s="63"/>
      <c r="D142" s="64"/>
      <c r="E142" s="63"/>
      <c r="F142" s="62"/>
    </row>
    <row r="143" spans="1:6" ht="13" x14ac:dyDescent="0.3">
      <c r="A143" s="65"/>
      <c r="B143" s="62"/>
      <c r="C143" s="63"/>
      <c r="D143" s="64"/>
      <c r="E143" s="63"/>
      <c r="F143" s="62"/>
    </row>
    <row r="144" spans="1:6" x14ac:dyDescent="0.25">
      <c r="C144" s="10"/>
      <c r="D144" s="54"/>
      <c r="F144" s="3"/>
    </row>
    <row r="145" spans="1:8" x14ac:dyDescent="0.25">
      <c r="C145" s="66"/>
      <c r="D145" s="67"/>
      <c r="E145" s="68"/>
      <c r="F145" s="66"/>
      <c r="G145" s="67"/>
      <c r="H145" s="67"/>
    </row>
    <row r="146" spans="1:8" x14ac:dyDescent="0.25">
      <c r="C146" s="69"/>
      <c r="D146" s="67"/>
      <c r="E146" s="68"/>
      <c r="F146" s="66"/>
      <c r="G146" s="67"/>
      <c r="H146" s="67"/>
    </row>
    <row r="147" spans="1:8" x14ac:dyDescent="0.25">
      <c r="D147" s="11"/>
      <c r="F147" s="3"/>
      <c r="G147" s="11"/>
      <c r="H147" s="11"/>
    </row>
    <row r="148" spans="1:8" ht="13" x14ac:dyDescent="0.3">
      <c r="A148" s="48"/>
      <c r="C148" s="10"/>
      <c r="D148" s="10"/>
      <c r="H148" s="11"/>
    </row>
    <row r="149" spans="1:8" ht="13" x14ac:dyDescent="0.3">
      <c r="A149" s="48"/>
      <c r="C149" s="10"/>
      <c r="D149" s="10"/>
      <c r="H149" s="11"/>
    </row>
    <row r="150" spans="1:8" ht="13" x14ac:dyDescent="0.3">
      <c r="A150" s="48"/>
      <c r="C150" s="10"/>
      <c r="D150" s="10"/>
      <c r="H150" s="11"/>
    </row>
    <row r="151" spans="1:8" ht="13" x14ac:dyDescent="0.3">
      <c r="A151" s="48"/>
      <c r="C151" s="10"/>
      <c r="D151" s="10"/>
      <c r="H151" s="11"/>
    </row>
    <row r="152" spans="1:8" ht="13" x14ac:dyDescent="0.3">
      <c r="A152" s="48"/>
      <c r="C152" s="10"/>
      <c r="D152" s="10"/>
      <c r="H152" s="11"/>
    </row>
    <row r="153" spans="1:8" x14ac:dyDescent="0.25">
      <c r="C153" s="10"/>
      <c r="D153" s="10"/>
      <c r="H153" s="10"/>
    </row>
    <row r="155" spans="1:8" ht="13" x14ac:dyDescent="0.3">
      <c r="A155" s="48"/>
      <c r="C155" s="10"/>
      <c r="D155" s="10"/>
      <c r="F155" s="3"/>
      <c r="G155" s="3"/>
    </row>
    <row r="156" spans="1:8" x14ac:dyDescent="0.25">
      <c r="C156" s="10"/>
      <c r="D156" s="10"/>
      <c r="H156" s="11"/>
    </row>
    <row r="157" spans="1:8" x14ac:dyDescent="0.25">
      <c r="C157" s="10"/>
      <c r="D157" s="10"/>
      <c r="H157" s="11"/>
    </row>
    <row r="158" spans="1:8" x14ac:dyDescent="0.25">
      <c r="C158" s="10"/>
      <c r="D158" s="10"/>
      <c r="H158" s="11"/>
    </row>
    <row r="159" spans="1:8" x14ac:dyDescent="0.25">
      <c r="C159" s="10"/>
      <c r="D159" s="10"/>
      <c r="H159" s="11"/>
    </row>
    <row r="160" spans="1:8" x14ac:dyDescent="0.25">
      <c r="C160" s="10"/>
      <c r="D160" s="10"/>
      <c r="H160" s="11"/>
    </row>
    <row r="161" spans="1:8" x14ac:dyDescent="0.25">
      <c r="C161" s="10"/>
      <c r="D161" s="10"/>
      <c r="H161" s="11"/>
    </row>
    <row r="162" spans="1:8" x14ac:dyDescent="0.25">
      <c r="C162" s="10"/>
      <c r="D162" s="10"/>
      <c r="H162" s="11"/>
    </row>
    <row r="163" spans="1:8" x14ac:dyDescent="0.25">
      <c r="C163" s="10"/>
      <c r="D163" s="10"/>
      <c r="H163" s="11"/>
    </row>
    <row r="164" spans="1:8" x14ac:dyDescent="0.25">
      <c r="C164" s="10"/>
      <c r="D164" s="10"/>
      <c r="H164" s="11"/>
    </row>
    <row r="165" spans="1:8" x14ac:dyDescent="0.25">
      <c r="C165" s="10"/>
      <c r="D165" s="10"/>
      <c r="H165" s="11"/>
    </row>
    <row r="166" spans="1:8" x14ac:dyDescent="0.25">
      <c r="C166" s="10"/>
      <c r="D166" s="10"/>
      <c r="H166" s="11"/>
    </row>
    <row r="167" spans="1:8" x14ac:dyDescent="0.25">
      <c r="C167" s="10"/>
      <c r="D167" s="10"/>
      <c r="H167" s="11"/>
    </row>
    <row r="168" spans="1:8" x14ac:dyDescent="0.25">
      <c r="C168" s="10"/>
      <c r="D168" s="10"/>
      <c r="H168" s="11"/>
    </row>
    <row r="169" spans="1:8" ht="13" x14ac:dyDescent="0.3">
      <c r="A169" s="48"/>
      <c r="C169" s="10"/>
      <c r="D169" s="10"/>
      <c r="H169" s="10"/>
    </row>
    <row r="170" spans="1:8" ht="13" x14ac:dyDescent="0.3">
      <c r="A170" s="55"/>
      <c r="C170" s="10"/>
      <c r="D170" s="54"/>
      <c r="F170" s="54"/>
    </row>
    <row r="171" spans="1:8" ht="13" x14ac:dyDescent="0.3">
      <c r="A171" s="55"/>
      <c r="C171" s="10"/>
      <c r="D171" s="10"/>
      <c r="H171" s="10"/>
    </row>
    <row r="172" spans="1:8" ht="13" x14ac:dyDescent="0.3">
      <c r="B172" s="57"/>
      <c r="C172" s="58"/>
      <c r="D172" s="59"/>
      <c r="E172" s="60"/>
      <c r="F172" s="59"/>
    </row>
    <row r="173" spans="1:8" x14ac:dyDescent="0.25">
      <c r="C173" s="10"/>
      <c r="D173" s="10"/>
      <c r="H173" s="11"/>
    </row>
    <row r="174" spans="1:8" x14ac:dyDescent="0.25">
      <c r="C174" s="10"/>
      <c r="D174" s="10"/>
      <c r="H174" s="11"/>
    </row>
    <row r="175" spans="1:8" x14ac:dyDescent="0.25">
      <c r="C175" s="10"/>
      <c r="D175" s="10"/>
      <c r="H175" s="11"/>
    </row>
    <row r="176" spans="1:8" x14ac:dyDescent="0.25">
      <c r="C176" s="10"/>
      <c r="D176" s="10"/>
      <c r="H176" s="11"/>
    </row>
    <row r="177" spans="2:8" ht="13" x14ac:dyDescent="0.3">
      <c r="C177" s="10"/>
      <c r="D177" s="10"/>
      <c r="F177" s="59"/>
      <c r="G177" s="59"/>
    </row>
    <row r="178" spans="2:8" x14ac:dyDescent="0.25">
      <c r="C178" s="10"/>
      <c r="D178" s="10"/>
      <c r="H178" s="11"/>
    </row>
    <row r="179" spans="2:8" ht="13" x14ac:dyDescent="0.3">
      <c r="B179" s="57"/>
      <c r="C179" s="58"/>
      <c r="D179" s="59"/>
      <c r="E179" s="60"/>
      <c r="F179" s="59"/>
    </row>
    <row r="180" spans="2:8" ht="13" x14ac:dyDescent="0.3">
      <c r="B180" s="57"/>
      <c r="C180" s="58"/>
      <c r="D180" s="59"/>
      <c r="E180" s="60"/>
      <c r="F180" s="59"/>
    </row>
    <row r="181" spans="2:8" ht="13" x14ac:dyDescent="0.3">
      <c r="B181" s="57"/>
      <c r="C181" s="58"/>
      <c r="D181" s="59"/>
      <c r="E181" s="60"/>
      <c r="F181" s="59"/>
    </row>
    <row r="182" spans="2:8" ht="13" x14ac:dyDescent="0.3">
      <c r="B182" s="57"/>
      <c r="C182" s="58"/>
      <c r="D182" s="59"/>
      <c r="E182" s="60"/>
      <c r="F182" s="59"/>
    </row>
    <row r="183" spans="2:8" ht="13" x14ac:dyDescent="0.3">
      <c r="B183" s="57"/>
      <c r="C183" s="58"/>
      <c r="D183" s="59"/>
      <c r="E183" s="60"/>
      <c r="F183" s="59"/>
    </row>
    <row r="184" spans="2:8" x14ac:dyDescent="0.25">
      <c r="C184" s="70"/>
      <c r="F184" s="54"/>
    </row>
    <row r="185" spans="2:8" x14ac:dyDescent="0.25">
      <c r="C185" s="10"/>
      <c r="D185" s="54"/>
      <c r="F185" s="54"/>
    </row>
    <row r="186" spans="2:8" x14ac:dyDescent="0.25">
      <c r="C186" s="10"/>
      <c r="D186" s="54"/>
      <c r="F186" s="54"/>
    </row>
    <row r="187" spans="2:8" x14ac:dyDescent="0.25">
      <c r="C187" s="10"/>
      <c r="D187" s="54"/>
      <c r="F187" s="54"/>
    </row>
    <row r="188" spans="2:8" x14ac:dyDescent="0.25">
      <c r="C188" s="10"/>
      <c r="D188" s="54"/>
      <c r="F188" s="54"/>
    </row>
    <row r="190" spans="2:8" x14ac:dyDescent="0.25">
      <c r="C190" s="45"/>
    </row>
    <row r="191" spans="2:8" x14ac:dyDescent="0.25">
      <c r="C191" s="45"/>
    </row>
    <row r="192" spans="2:8" x14ac:dyDescent="0.25">
      <c r="C192" s="45"/>
    </row>
    <row r="193" spans="2:3" x14ac:dyDescent="0.25">
      <c r="C193" s="45"/>
    </row>
    <row r="194" spans="2:3" x14ac:dyDescent="0.25">
      <c r="C194" s="45"/>
    </row>
    <row r="196" spans="2:3" x14ac:dyDescent="0.25">
      <c r="C196" s="45"/>
    </row>
    <row r="197" spans="2:3" x14ac:dyDescent="0.25">
      <c r="C197" s="45"/>
    </row>
    <row r="198" spans="2:3" x14ac:dyDescent="0.25">
      <c r="B198" s="71"/>
      <c r="C198" s="72"/>
    </row>
    <row r="201" spans="2:3" x14ac:dyDescent="0.25">
      <c r="B201" s="43"/>
      <c r="C201" s="10"/>
    </row>
    <row r="202" spans="2:3" x14ac:dyDescent="0.25">
      <c r="C202" s="10"/>
    </row>
    <row r="203" spans="2:3" x14ac:dyDescent="0.25">
      <c r="C203" s="10"/>
    </row>
    <row r="215" spans="1:6" ht="13" x14ac:dyDescent="0.3">
      <c r="A215" s="10"/>
      <c r="B215" s="57"/>
      <c r="C215" s="10"/>
      <c r="D215" s="54"/>
      <c r="F215" s="54"/>
    </row>
    <row r="216" spans="1:6" x14ac:dyDescent="0.25">
      <c r="A216" s="10"/>
      <c r="B216" s="47"/>
      <c r="C216" s="10"/>
      <c r="D216" s="54"/>
      <c r="F216" s="54"/>
    </row>
    <row r="217" spans="1:6" x14ac:dyDescent="0.25">
      <c r="A217" s="10"/>
      <c r="B217" s="47"/>
      <c r="C217" s="10"/>
      <c r="D217" s="54"/>
      <c r="F217" s="54"/>
    </row>
    <row r="218" spans="1:6" x14ac:dyDescent="0.25">
      <c r="A218" s="10"/>
      <c r="B218" s="47"/>
      <c r="C218" s="10"/>
      <c r="D218" s="54"/>
      <c r="F218" s="54"/>
    </row>
    <row r="219" spans="1:6" x14ac:dyDescent="0.25">
      <c r="A219" s="10"/>
      <c r="B219" s="47"/>
      <c r="C219" s="10"/>
      <c r="D219" s="54"/>
      <c r="F219" s="54"/>
    </row>
    <row r="220" spans="1:6" x14ac:dyDescent="0.25">
      <c r="A220" s="10"/>
      <c r="B220" s="47"/>
      <c r="C220" s="10"/>
      <c r="D220" s="54"/>
      <c r="F220" s="54"/>
    </row>
    <row r="221" spans="1:6" x14ac:dyDescent="0.25">
      <c r="A221" s="10"/>
      <c r="B221" s="47"/>
      <c r="C221" s="10"/>
      <c r="D221" s="54"/>
      <c r="F221" s="54"/>
    </row>
    <row r="222" spans="1:6" x14ac:dyDescent="0.25">
      <c r="A222" s="10"/>
      <c r="B222" s="47"/>
      <c r="C222" s="10"/>
      <c r="D222" s="54"/>
      <c r="F222" s="54"/>
    </row>
    <row r="223" spans="1:6" x14ac:dyDescent="0.25">
      <c r="A223" s="10"/>
      <c r="B223" s="47"/>
      <c r="C223" s="10"/>
      <c r="D223" s="54"/>
      <c r="F223" s="54"/>
    </row>
    <row r="224" spans="1:6" x14ac:dyDescent="0.25">
      <c r="A224" s="10"/>
      <c r="B224" s="47"/>
      <c r="C224" s="10"/>
      <c r="D224" s="54"/>
      <c r="F224" s="54"/>
    </row>
    <row r="225" spans="1:6" x14ac:dyDescent="0.25">
      <c r="A225" s="10"/>
      <c r="B225" s="47"/>
      <c r="C225" s="10"/>
      <c r="D225" s="54"/>
      <c r="F225" s="54"/>
    </row>
    <row r="226" spans="1:6" x14ac:dyDescent="0.25">
      <c r="A226" s="10"/>
      <c r="B226" s="47"/>
      <c r="C226" s="10"/>
      <c r="D226" s="54"/>
      <c r="F226" s="54"/>
    </row>
    <row r="227" spans="1:6" x14ac:dyDescent="0.25">
      <c r="A227" s="10"/>
      <c r="B227" s="47"/>
      <c r="C227" s="10"/>
      <c r="D227" s="54"/>
      <c r="F227" s="54"/>
    </row>
    <row r="228" spans="1:6" x14ac:dyDescent="0.25">
      <c r="A228" s="10"/>
      <c r="B228" s="47"/>
      <c r="C228" s="10"/>
      <c r="D228" s="54"/>
      <c r="F228" s="54"/>
    </row>
    <row r="229" spans="1:6" x14ac:dyDescent="0.25">
      <c r="A229" s="10"/>
      <c r="B229" s="47"/>
      <c r="C229" s="10"/>
      <c r="D229" s="54"/>
      <c r="F229" s="54"/>
    </row>
    <row r="230" spans="1:6" x14ac:dyDescent="0.25">
      <c r="A230" s="10"/>
      <c r="B230" s="47"/>
      <c r="C230" s="10"/>
      <c r="D230" s="54"/>
      <c r="F230" s="54"/>
    </row>
    <row r="231" spans="1:6" x14ac:dyDescent="0.25">
      <c r="A231" s="10"/>
      <c r="B231" s="47"/>
      <c r="C231" s="10"/>
      <c r="D231" s="54"/>
      <c r="F231" s="54"/>
    </row>
    <row r="232" spans="1:6" x14ac:dyDescent="0.25">
      <c r="A232" s="10"/>
      <c r="B232" s="47"/>
      <c r="C232" s="10"/>
      <c r="D232" s="54"/>
      <c r="F232" s="54"/>
    </row>
    <row r="233" spans="1:6" x14ac:dyDescent="0.25">
      <c r="A233" s="10"/>
      <c r="B233" s="47"/>
      <c r="C233" s="10"/>
      <c r="D233" s="54"/>
      <c r="F233" s="54"/>
    </row>
    <row r="234" spans="1:6" x14ac:dyDescent="0.25">
      <c r="A234" s="10"/>
      <c r="B234" s="47"/>
      <c r="C234" s="10"/>
      <c r="D234" s="54"/>
      <c r="F234" s="54"/>
    </row>
    <row r="235" spans="1:6" x14ac:dyDescent="0.25">
      <c r="A235" s="10"/>
      <c r="B235" s="47"/>
      <c r="C235" s="10"/>
      <c r="D235" s="54"/>
      <c r="F235" s="54"/>
    </row>
    <row r="236" spans="1:6" x14ac:dyDescent="0.25">
      <c r="A236" s="10"/>
      <c r="B236" s="47"/>
      <c r="C236" s="10"/>
      <c r="D236" s="54"/>
      <c r="F236" s="54"/>
    </row>
    <row r="237" spans="1:6" x14ac:dyDescent="0.25">
      <c r="A237" s="10"/>
      <c r="B237" s="47"/>
      <c r="C237" s="10"/>
      <c r="D237" s="54"/>
      <c r="F237" s="54"/>
    </row>
    <row r="238" spans="1:6" x14ac:dyDescent="0.25">
      <c r="A238" s="10"/>
      <c r="B238" s="47"/>
      <c r="C238" s="10"/>
      <c r="D238" s="54"/>
      <c r="F238" s="54"/>
    </row>
    <row r="239" spans="1:6" x14ac:dyDescent="0.25">
      <c r="A239" s="10"/>
      <c r="B239" s="47"/>
      <c r="C239" s="10"/>
      <c r="D239" s="54"/>
      <c r="F239" s="54"/>
    </row>
    <row r="240" spans="1:6" x14ac:dyDescent="0.25">
      <c r="A240" s="10"/>
      <c r="B240" s="47"/>
      <c r="C240" s="10"/>
      <c r="D240" s="54"/>
      <c r="F240" s="54"/>
    </row>
    <row r="241" spans="1:6" x14ac:dyDescent="0.25">
      <c r="A241" s="10"/>
      <c r="B241" s="47"/>
      <c r="C241" s="10"/>
      <c r="D241" s="54"/>
      <c r="F241" s="54"/>
    </row>
    <row r="242" spans="1:6" x14ac:dyDescent="0.25">
      <c r="A242" s="10"/>
      <c r="B242" s="47"/>
      <c r="C242" s="10"/>
      <c r="D242" s="54"/>
      <c r="F242" s="54"/>
    </row>
    <row r="243" spans="1:6" x14ac:dyDescent="0.25">
      <c r="A243" s="10"/>
      <c r="B243" s="47"/>
      <c r="C243" s="10"/>
      <c r="D243" s="54"/>
      <c r="F243" s="54"/>
    </row>
    <row r="244" spans="1:6" x14ac:dyDescent="0.25">
      <c r="A244" s="10"/>
      <c r="B244" s="47"/>
      <c r="C244" s="10"/>
      <c r="D244" s="54"/>
      <c r="F244" s="54"/>
    </row>
    <row r="245" spans="1:6" x14ac:dyDescent="0.25">
      <c r="A245" s="10"/>
      <c r="B245" s="47"/>
      <c r="C245" s="10"/>
      <c r="D245" s="54"/>
      <c r="F245" s="54"/>
    </row>
    <row r="246" spans="1:6" x14ac:dyDescent="0.25">
      <c r="A246" s="10"/>
      <c r="C246" s="10"/>
      <c r="D246" s="54"/>
      <c r="F246" s="54"/>
    </row>
    <row r="247" spans="1:6" ht="13" x14ac:dyDescent="0.3">
      <c r="A247" s="10"/>
      <c r="B247" s="57"/>
      <c r="C247" s="10"/>
      <c r="D247" s="54"/>
      <c r="F247" s="54"/>
    </row>
    <row r="248" spans="1:6" x14ac:dyDescent="0.25">
      <c r="C248" s="10"/>
    </row>
  </sheetData>
  <conditionalFormatting sqref="C58">
    <cfRule type="expression" dxfId="5" priority="6">
      <formula>$K58=0</formula>
    </cfRule>
  </conditionalFormatting>
  <conditionalFormatting sqref="C56: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5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</vt:lpstr>
      <vt:lpstr>'P&amp;L'!Print_Area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Louis Petauton</cp:lastModifiedBy>
  <dcterms:created xsi:type="dcterms:W3CDTF">2022-12-02T23:14:04Z</dcterms:created>
  <dcterms:modified xsi:type="dcterms:W3CDTF">2024-09-27T19:24:32Z</dcterms:modified>
</cp:coreProperties>
</file>