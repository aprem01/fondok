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eht\OneDrive\Desktop\Sanctum Capital Group\Deals\Florida\FL Miami South Beach Anglers\1 - Financials\Summary Financials\"/>
    </mc:Choice>
  </mc:AlternateContent>
  <xr:revisionPtr revIDLastSave="0" documentId="13_ncr:1_{54D5D750-2129-41A8-B616-442EC2A999F7}" xr6:coauthVersionLast="47" xr6:coauthVersionMax="47" xr10:uidLastSave="{00000000-0000-0000-0000-000000000000}"/>
  <bookViews>
    <workbookView xWindow="28680" yWindow="-120" windowWidth="38640" windowHeight="15720" activeTab="3" xr2:uid="{FB912A86-BEBD-4A22-8439-6D996D9F5C94}"/>
  </bookViews>
  <sheets>
    <sheet name="P&amp;L" sheetId="2" r:id="rId1"/>
    <sheet name="T12" sheetId="3" r:id="rId2"/>
    <sheet name="Adjusted T12" sheetId="6" r:id="rId3"/>
    <sheet name="FORECAST" sheetId="4" r:id="rId4"/>
    <sheet name="Adjusted Forecast" sheetId="5" r:id="rId5"/>
  </sheets>
  <externalReferences>
    <externalReference r:id="rId6"/>
  </externalReferences>
  <definedNames>
    <definedName name="CY">#REF!</definedName>
    <definedName name="Month1">#REF!</definedName>
    <definedName name="_xlnm.Print_Area" localSheetId="4">'Adjusted Forecast'!$A$1:$O$57</definedName>
    <definedName name="_xlnm.Print_Area" localSheetId="2">'Adjusted T12'!$A$1:$P$57</definedName>
    <definedName name="_xlnm.Print_Area" localSheetId="3">FORECAST!$A$1:$O$57</definedName>
    <definedName name="_xlnm.Print_Area" localSheetId="0">'P&amp;L'!$A$1:$T$58</definedName>
    <definedName name="_xlnm.Print_Area" localSheetId="1">'T12'!$A$1:$P$57</definedName>
    <definedName name="Room_Revenue_Factor">#REF!</definedName>
    <definedName name="RPTDATE">#REF!</definedName>
    <definedName name="RPTMONTH">#REF!</definedName>
    <definedName name="wrn.Financial._.Statements." localSheetId="4" hidden="1">{#N/A,#N/A,FALSE,"BS";#N/A,#N/A,FALSE,"IS";#N/A,#N/A,FALSE,"CF";#N/A,#N/A,FALSE,"EXP";#N/A,#N/A,FALSE,"FURN";#N/A,#N/A,FALSE,"MANNOI"}</definedName>
    <definedName name="wrn.Financial._.Statements." localSheetId="2" hidden="1">{#N/A,#N/A,FALSE,"BS";#N/A,#N/A,FALSE,"IS";#N/A,#N/A,FALSE,"CF";#N/A,#N/A,FALSE,"EXP";#N/A,#N/A,FALSE,"FURN";#N/A,#N/A,FALSE,"MANNOI"}</definedName>
    <definedName name="wrn.Financial._.Statements." localSheetId="3" hidden="1">{#N/A,#N/A,FALSE,"BS";#N/A,#N/A,FALSE,"IS";#N/A,#N/A,FALSE,"CF";#N/A,#N/A,FALSE,"EXP";#N/A,#N/A,FALSE,"FURN";#N/A,#N/A,FALSE,"MANNOI"}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4" i="6" l="1"/>
  <c r="E42" i="6"/>
  <c r="F42" i="6"/>
  <c r="G42" i="6"/>
  <c r="H42" i="6"/>
  <c r="I42" i="6"/>
  <c r="J42" i="6"/>
  <c r="K42" i="6"/>
  <c r="L42" i="6"/>
  <c r="M42" i="6"/>
  <c r="N42" i="6"/>
  <c r="O42" i="6"/>
  <c r="E41" i="6"/>
  <c r="F41" i="6"/>
  <c r="G41" i="6"/>
  <c r="H41" i="6"/>
  <c r="I41" i="6"/>
  <c r="J41" i="6"/>
  <c r="K41" i="6"/>
  <c r="L41" i="6"/>
  <c r="M41" i="6"/>
  <c r="N41" i="6"/>
  <c r="O41" i="6"/>
  <c r="D42" i="6"/>
  <c r="D41" i="6"/>
  <c r="C49" i="5"/>
  <c r="D49" i="5"/>
  <c r="D51" i="5" s="1"/>
  <c r="E49" i="5"/>
  <c r="C51" i="5"/>
  <c r="E51" i="5"/>
  <c r="E54" i="5" s="1"/>
  <c r="C53" i="5"/>
  <c r="D53" i="5"/>
  <c r="E53" i="5"/>
  <c r="F53" i="5"/>
  <c r="F54" i="5"/>
  <c r="C42" i="5"/>
  <c r="D42" i="5"/>
  <c r="O42" i="5"/>
  <c r="C39" i="5"/>
  <c r="D39" i="5"/>
  <c r="E39" i="5"/>
  <c r="E42" i="5"/>
  <c r="C54" i="5" l="1"/>
  <c r="D54" i="5"/>
  <c r="O47" i="6" l="1"/>
  <c r="N47" i="6"/>
  <c r="M47" i="6"/>
  <c r="L47" i="6"/>
  <c r="K47" i="6"/>
  <c r="K49" i="6" s="1"/>
  <c r="K51" i="6" s="1"/>
  <c r="K54" i="6" s="1"/>
  <c r="J47" i="6"/>
  <c r="J49" i="6" s="1"/>
  <c r="J51" i="6" s="1"/>
  <c r="J54" i="6" s="1"/>
  <c r="I47" i="6"/>
  <c r="H47" i="6"/>
  <c r="G47" i="6"/>
  <c r="G49" i="6" s="1"/>
  <c r="G51" i="6" s="1"/>
  <c r="G54" i="6" s="1"/>
  <c r="F47" i="6"/>
  <c r="F49" i="6" s="1"/>
  <c r="F51" i="6" s="1"/>
  <c r="F54" i="6" s="1"/>
  <c r="E47" i="6"/>
  <c r="D47" i="6"/>
  <c r="D49" i="6" s="1"/>
  <c r="D51" i="6" s="1"/>
  <c r="D54" i="6" s="1"/>
  <c r="I51" i="6"/>
  <c r="I54" i="6" s="1"/>
  <c r="E51" i="6"/>
  <c r="E54" i="6" s="1"/>
  <c r="O49" i="6"/>
  <c r="N49" i="6"/>
  <c r="N51" i="6" s="1"/>
  <c r="N54" i="6" s="1"/>
  <c r="M49" i="6"/>
  <c r="M51" i="6" s="1"/>
  <c r="M54" i="6" s="1"/>
  <c r="L49" i="6"/>
  <c r="L51" i="6" s="1"/>
  <c r="L54" i="6" s="1"/>
  <c r="I49" i="6"/>
  <c r="H49" i="6"/>
  <c r="H51" i="6" s="1"/>
  <c r="H54" i="6" s="1"/>
  <c r="E49" i="6"/>
  <c r="P53" i="6"/>
  <c r="P48" i="6"/>
  <c r="P46" i="6"/>
  <c r="P45" i="6"/>
  <c r="P41" i="6"/>
  <c r="O37" i="6"/>
  <c r="P37" i="6" s="1"/>
  <c r="P36" i="6"/>
  <c r="P35" i="6"/>
  <c r="P34" i="6"/>
  <c r="P33" i="6"/>
  <c r="P32" i="6"/>
  <c r="O27" i="6"/>
  <c r="P27" i="6" s="1"/>
  <c r="P26" i="6"/>
  <c r="P25" i="6"/>
  <c r="P24" i="6"/>
  <c r="O21" i="6"/>
  <c r="O29" i="6" s="1"/>
  <c r="P20" i="6"/>
  <c r="P19" i="6"/>
  <c r="P18" i="6"/>
  <c r="P17" i="6"/>
  <c r="P12" i="6"/>
  <c r="O12" i="6"/>
  <c r="O11" i="6"/>
  <c r="O13" i="6" s="1"/>
  <c r="P10" i="6"/>
  <c r="P11" i="6" s="1"/>
  <c r="P13" i="6" s="1"/>
  <c r="P9" i="6"/>
  <c r="N41" i="5"/>
  <c r="M41" i="5"/>
  <c r="L41" i="5"/>
  <c r="K41" i="5"/>
  <c r="J41" i="5"/>
  <c r="I41" i="5"/>
  <c r="H41" i="5"/>
  <c r="G41" i="5"/>
  <c r="F41" i="5"/>
  <c r="E41" i="5"/>
  <c r="D41" i="5"/>
  <c r="O41" i="5"/>
  <c r="C41" i="5"/>
  <c r="N53" i="5"/>
  <c r="M53" i="5"/>
  <c r="N49" i="5"/>
  <c r="M49" i="5"/>
  <c r="L49" i="5"/>
  <c r="K49" i="5"/>
  <c r="J49" i="5"/>
  <c r="I49" i="5"/>
  <c r="H49" i="5"/>
  <c r="G49" i="5"/>
  <c r="F49" i="5"/>
  <c r="O48" i="5"/>
  <c r="O47" i="5"/>
  <c r="O46" i="5"/>
  <c r="O45" i="5"/>
  <c r="O44" i="5"/>
  <c r="O49" i="5" s="1"/>
  <c r="N37" i="5"/>
  <c r="M37" i="5"/>
  <c r="L37" i="5"/>
  <c r="K37" i="5"/>
  <c r="J37" i="5"/>
  <c r="I37" i="5"/>
  <c r="H37" i="5"/>
  <c r="G37" i="5"/>
  <c r="F37" i="5"/>
  <c r="O37" i="5" s="1"/>
  <c r="O36" i="5"/>
  <c r="O35" i="5"/>
  <c r="O34" i="5"/>
  <c r="O33" i="5"/>
  <c r="O32" i="5"/>
  <c r="M29" i="5"/>
  <c r="M39" i="5" s="1"/>
  <c r="K29" i="5"/>
  <c r="K39" i="5" s="1"/>
  <c r="K42" i="5" s="1"/>
  <c r="K51" i="5" s="1"/>
  <c r="I29" i="5"/>
  <c r="I39" i="5" s="1"/>
  <c r="H29" i="5"/>
  <c r="H39" i="5" s="1"/>
  <c r="H42" i="5" s="1"/>
  <c r="H51" i="5" s="1"/>
  <c r="H54" i="5" s="1"/>
  <c r="N27" i="5"/>
  <c r="M27" i="5"/>
  <c r="L27" i="5"/>
  <c r="K27" i="5"/>
  <c r="J27" i="5"/>
  <c r="I27" i="5"/>
  <c r="H27" i="5"/>
  <c r="G27" i="5"/>
  <c r="F27" i="5"/>
  <c r="O27" i="5" s="1"/>
  <c r="O26" i="5"/>
  <c r="O25" i="5"/>
  <c r="O24" i="5"/>
  <c r="N21" i="5"/>
  <c r="N29" i="5" s="1"/>
  <c r="N39" i="5" s="1"/>
  <c r="N42" i="5" s="1"/>
  <c r="N51" i="5" s="1"/>
  <c r="N54" i="5" s="1"/>
  <c r="M21" i="5"/>
  <c r="L21" i="5"/>
  <c r="L53" i="5" s="1"/>
  <c r="K21" i="5"/>
  <c r="K53" i="5" s="1"/>
  <c r="J21" i="5"/>
  <c r="J53" i="5" s="1"/>
  <c r="I21" i="5"/>
  <c r="I53" i="5" s="1"/>
  <c r="H21" i="5"/>
  <c r="H53" i="5" s="1"/>
  <c r="G21" i="5"/>
  <c r="G29" i="5" s="1"/>
  <c r="G39" i="5" s="1"/>
  <c r="F21" i="5"/>
  <c r="F29" i="5" s="1"/>
  <c r="O20" i="5"/>
  <c r="O19" i="5"/>
  <c r="O18" i="5"/>
  <c r="O17" i="5"/>
  <c r="N13" i="5"/>
  <c r="M13" i="5"/>
  <c r="L13" i="5"/>
  <c r="K13" i="5"/>
  <c r="J13" i="5"/>
  <c r="I13" i="5"/>
  <c r="N12" i="5"/>
  <c r="M12" i="5"/>
  <c r="L12" i="5"/>
  <c r="K12" i="5"/>
  <c r="J12" i="5"/>
  <c r="I12" i="5"/>
  <c r="H12" i="5"/>
  <c r="G12" i="5"/>
  <c r="F12" i="5"/>
  <c r="N11" i="5"/>
  <c r="M11" i="5"/>
  <c r="L11" i="5"/>
  <c r="K11" i="5"/>
  <c r="J11" i="5"/>
  <c r="I11" i="5"/>
  <c r="H11" i="5"/>
  <c r="H13" i="5" s="1"/>
  <c r="G11" i="5"/>
  <c r="G13" i="5" s="1"/>
  <c r="F11" i="5"/>
  <c r="F13" i="5" s="1"/>
  <c r="O10" i="5"/>
  <c r="O11" i="5" s="1"/>
  <c r="O9" i="5"/>
  <c r="H41" i="4"/>
  <c r="I41" i="4"/>
  <c r="J41" i="4"/>
  <c r="K41" i="4"/>
  <c r="L41" i="4"/>
  <c r="M41" i="4"/>
  <c r="N41" i="4"/>
  <c r="P47" i="6" l="1"/>
  <c r="P49" i="6"/>
  <c r="P29" i="6"/>
  <c r="O39" i="6"/>
  <c r="P21" i="6"/>
  <c r="G42" i="5"/>
  <c r="G51" i="5" s="1"/>
  <c r="M42" i="5"/>
  <c r="M51" i="5" s="1"/>
  <c r="M54" i="5" s="1"/>
  <c r="I42" i="5"/>
  <c r="I51" i="5" s="1"/>
  <c r="I54" i="5" s="1"/>
  <c r="K54" i="5"/>
  <c r="F39" i="5"/>
  <c r="J29" i="5"/>
  <c r="J39" i="5" s="1"/>
  <c r="J42" i="5" s="1"/>
  <c r="J51" i="5" s="1"/>
  <c r="J54" i="5" s="1"/>
  <c r="L29" i="5"/>
  <c r="L39" i="5" s="1"/>
  <c r="L42" i="5" s="1"/>
  <c r="L51" i="5" s="1"/>
  <c r="L54" i="5" s="1"/>
  <c r="G53" i="5"/>
  <c r="O53" i="5" s="1"/>
  <c r="O12" i="5"/>
  <c r="O13" i="5" s="1"/>
  <c r="O21" i="5"/>
  <c r="O51" i="6" l="1"/>
  <c r="O54" i="6" s="1"/>
  <c r="P39" i="6"/>
  <c r="O29" i="5"/>
  <c r="O39" i="5"/>
  <c r="F42" i="5"/>
  <c r="G54" i="5"/>
  <c r="P42" i="6" l="1"/>
  <c r="F51" i="5"/>
  <c r="P54" i="6" l="1"/>
  <c r="P51" i="6"/>
  <c r="O51" i="5"/>
  <c r="O54" i="5" s="1"/>
  <c r="G41" i="4" l="1"/>
  <c r="G27" i="4"/>
  <c r="H27" i="4"/>
  <c r="I27" i="4"/>
  <c r="J27" i="4"/>
  <c r="K27" i="4"/>
  <c r="L27" i="4"/>
  <c r="M27" i="4"/>
  <c r="N27" i="4"/>
  <c r="G12" i="4" l="1"/>
  <c r="H12" i="4"/>
  <c r="I12" i="4"/>
  <c r="J12" i="4"/>
  <c r="K12" i="4"/>
  <c r="L12" i="4"/>
  <c r="M12" i="4"/>
  <c r="N12" i="4"/>
  <c r="J13" i="4"/>
  <c r="G11" i="4"/>
  <c r="H11" i="4"/>
  <c r="I11" i="4"/>
  <c r="J11" i="4"/>
  <c r="K11" i="4"/>
  <c r="L11" i="4"/>
  <c r="M11" i="4"/>
  <c r="N11" i="4"/>
  <c r="F49" i="4"/>
  <c r="F37" i="4"/>
  <c r="F27" i="4"/>
  <c r="F21" i="4"/>
  <c r="F29" i="4" s="1"/>
  <c r="F39" i="4" s="1"/>
  <c r="F42" i="4" s="1"/>
  <c r="F51" i="4" s="1"/>
  <c r="F54" i="4" s="1"/>
  <c r="F12" i="4"/>
  <c r="F11" i="4"/>
  <c r="F13" i="4" s="1"/>
  <c r="O27" i="4"/>
  <c r="H53" i="4"/>
  <c r="N49" i="4"/>
  <c r="M49" i="4"/>
  <c r="L49" i="4"/>
  <c r="K49" i="4"/>
  <c r="J49" i="4"/>
  <c r="I49" i="4"/>
  <c r="H49" i="4"/>
  <c r="G49" i="4"/>
  <c r="O48" i="4"/>
  <c r="O47" i="4"/>
  <c r="O46" i="4"/>
  <c r="O45" i="4"/>
  <c r="O44" i="4"/>
  <c r="O41" i="4"/>
  <c r="N37" i="4"/>
  <c r="M37" i="4"/>
  <c r="L37" i="4"/>
  <c r="K37" i="4"/>
  <c r="J37" i="4"/>
  <c r="I37" i="4"/>
  <c r="H37" i="4"/>
  <c r="G37" i="4"/>
  <c r="O36" i="4"/>
  <c r="O35" i="4"/>
  <c r="O34" i="4"/>
  <c r="O33" i="4"/>
  <c r="O32" i="4"/>
  <c r="O26" i="4"/>
  <c r="O25" i="4"/>
  <c r="O24" i="4"/>
  <c r="N21" i="4"/>
  <c r="N53" i="4" s="1"/>
  <c r="M21" i="4"/>
  <c r="M53" i="4" s="1"/>
  <c r="L21" i="4"/>
  <c r="L53" i="4" s="1"/>
  <c r="K21" i="4"/>
  <c r="K53" i="4" s="1"/>
  <c r="J21" i="4"/>
  <c r="J29" i="4" s="1"/>
  <c r="I21" i="4"/>
  <c r="I29" i="4" s="1"/>
  <c r="H21" i="4"/>
  <c r="H29" i="4" s="1"/>
  <c r="H39" i="4" s="1"/>
  <c r="H42" i="4" s="1"/>
  <c r="H51" i="4" s="1"/>
  <c r="G21" i="4"/>
  <c r="G29" i="4" s="1"/>
  <c r="O20" i="4"/>
  <c r="O19" i="4"/>
  <c r="O18" i="4"/>
  <c r="O17" i="4"/>
  <c r="O10" i="4"/>
  <c r="O9" i="4"/>
  <c r="Q54" i="2"/>
  <c r="N54" i="2"/>
  <c r="L54" i="2"/>
  <c r="H54" i="2"/>
  <c r="E54" i="2"/>
  <c r="C54" i="2"/>
  <c r="I39" i="4" l="1"/>
  <c r="I42" i="4" s="1"/>
  <c r="I51" i="4" s="1"/>
  <c r="J39" i="4"/>
  <c r="J42" i="4" s="1"/>
  <c r="J51" i="4" s="1"/>
  <c r="O37" i="4"/>
  <c r="G39" i="4"/>
  <c r="G42" i="4" s="1"/>
  <c r="G51" i="4" s="1"/>
  <c r="K29" i="4"/>
  <c r="K39" i="4" s="1"/>
  <c r="K42" i="4" s="1"/>
  <c r="K51" i="4" s="1"/>
  <c r="K54" i="4" s="1"/>
  <c r="M29" i="4"/>
  <c r="M39" i="4" s="1"/>
  <c r="M42" i="4" s="1"/>
  <c r="M51" i="4" s="1"/>
  <c r="I53" i="4"/>
  <c r="H54" i="4"/>
  <c r="I54" i="4"/>
  <c r="J53" i="4"/>
  <c r="J54" i="4" s="1"/>
  <c r="K13" i="4"/>
  <c r="N29" i="4"/>
  <c r="N39" i="4" s="1"/>
  <c r="N42" i="4" s="1"/>
  <c r="N51" i="4" s="1"/>
  <c r="N54" i="4" s="1"/>
  <c r="N13" i="4"/>
  <c r="M13" i="4"/>
  <c r="L13" i="4"/>
  <c r="I13" i="4"/>
  <c r="H13" i="4"/>
  <c r="G13" i="4"/>
  <c r="O11" i="4"/>
  <c r="O49" i="4"/>
  <c r="M54" i="4"/>
  <c r="O21" i="4"/>
  <c r="L29" i="4"/>
  <c r="L39" i="4" s="1"/>
  <c r="L42" i="4" s="1"/>
  <c r="L51" i="4" s="1"/>
  <c r="L54" i="4" s="1"/>
  <c r="G53" i="4"/>
  <c r="O12" i="4"/>
  <c r="P33" i="3"/>
  <c r="P54" i="3"/>
  <c r="O49" i="3"/>
  <c r="O37" i="3"/>
  <c r="O27" i="3"/>
  <c r="O12" i="3"/>
  <c r="O11" i="3"/>
  <c r="O13" i="3" s="1"/>
  <c r="O21" i="3"/>
  <c r="G54" i="4" l="1"/>
  <c r="O13" i="4"/>
  <c r="O53" i="4"/>
  <c r="O29" i="4"/>
  <c r="O29" i="3"/>
  <c r="O39" i="3"/>
  <c r="O42" i="3" s="1"/>
  <c r="O51" i="3" s="1"/>
  <c r="O54" i="3" s="1"/>
  <c r="O39" i="4" l="1"/>
  <c r="P17" i="3"/>
  <c r="P53" i="3"/>
  <c r="P51" i="3"/>
  <c r="P49" i="3"/>
  <c r="P48" i="3"/>
  <c r="P47" i="3"/>
  <c r="P46" i="3"/>
  <c r="P45" i="3"/>
  <c r="P44" i="3"/>
  <c r="P42" i="3"/>
  <c r="P41" i="3"/>
  <c r="P39" i="3"/>
  <c r="P37" i="3"/>
  <c r="P36" i="3"/>
  <c r="P35" i="3"/>
  <c r="P34" i="3"/>
  <c r="P32" i="3"/>
  <c r="P29" i="3"/>
  <c r="P27" i="3"/>
  <c r="P26" i="3"/>
  <c r="P25" i="3"/>
  <c r="P24" i="3"/>
  <c r="P21" i="3"/>
  <c r="P20" i="3"/>
  <c r="P19" i="3"/>
  <c r="P18" i="3"/>
  <c r="P10" i="3"/>
  <c r="P9" i="3"/>
  <c r="S54" i="2"/>
  <c r="J54" i="2"/>
  <c r="S49" i="2"/>
  <c r="J49" i="2"/>
  <c r="S48" i="2"/>
  <c r="P48" i="2"/>
  <c r="J48" i="2"/>
  <c r="S47" i="2"/>
  <c r="J47" i="2"/>
  <c r="G47" i="2"/>
  <c r="N50" i="2"/>
  <c r="J46" i="2"/>
  <c r="Q50" i="2"/>
  <c r="P45" i="2"/>
  <c r="L50" i="2"/>
  <c r="E50" i="2"/>
  <c r="C50" i="2"/>
  <c r="S42" i="2"/>
  <c r="J42" i="2"/>
  <c r="S37" i="2"/>
  <c r="J37" i="2"/>
  <c r="S36" i="2"/>
  <c r="P36" i="2"/>
  <c r="J36" i="2"/>
  <c r="S35" i="2"/>
  <c r="J35" i="2"/>
  <c r="G35" i="2"/>
  <c r="N38" i="2"/>
  <c r="S34" i="2"/>
  <c r="G34" i="2"/>
  <c r="J34" i="2"/>
  <c r="Q38" i="2"/>
  <c r="P33" i="2"/>
  <c r="L38" i="2"/>
  <c r="E38" i="2"/>
  <c r="C38" i="2"/>
  <c r="S27" i="2"/>
  <c r="P27" i="2"/>
  <c r="O27" i="2"/>
  <c r="F27" i="2"/>
  <c r="D27" i="2"/>
  <c r="R26" i="2"/>
  <c r="P26" i="2"/>
  <c r="S26" i="2"/>
  <c r="J26" i="2"/>
  <c r="G26" i="2"/>
  <c r="F26" i="2"/>
  <c r="Q28" i="2"/>
  <c r="O25" i="2"/>
  <c r="N28" i="2"/>
  <c r="L28" i="2"/>
  <c r="I25" i="2"/>
  <c r="G25" i="2"/>
  <c r="J25" i="2"/>
  <c r="Q21" i="2"/>
  <c r="R17" i="2" s="1"/>
  <c r="P20" i="2"/>
  <c r="S20" i="2"/>
  <c r="J20" i="2"/>
  <c r="G20" i="2"/>
  <c r="M27" i="2"/>
  <c r="G19" i="2"/>
  <c r="J19" i="2"/>
  <c r="S18" i="2"/>
  <c r="P18" i="2"/>
  <c r="O18" i="2"/>
  <c r="L21" i="2"/>
  <c r="E21" i="2"/>
  <c r="N21" i="2"/>
  <c r="O47" i="2" s="1"/>
  <c r="S17" i="2"/>
  <c r="H12" i="2"/>
  <c r="G17" i="2"/>
  <c r="D25" i="2"/>
  <c r="E12" i="2"/>
  <c r="C12" i="2"/>
  <c r="E11" i="2"/>
  <c r="E13" i="2" s="1"/>
  <c r="C11" i="2"/>
  <c r="Q11" i="2"/>
  <c r="P10" i="2"/>
  <c r="J10" i="2"/>
  <c r="G10" i="2"/>
  <c r="S9" i="2"/>
  <c r="P9" i="2"/>
  <c r="H11" i="2"/>
  <c r="J9" i="2"/>
  <c r="O42" i="4" l="1"/>
  <c r="O35" i="2"/>
  <c r="O45" i="2"/>
  <c r="R35" i="2"/>
  <c r="R20" i="2"/>
  <c r="R38" i="2"/>
  <c r="R28" i="2"/>
  <c r="C13" i="2"/>
  <c r="G13" i="2" s="1"/>
  <c r="R47" i="2"/>
  <c r="O28" i="2"/>
  <c r="R54" i="2"/>
  <c r="J12" i="2"/>
  <c r="R50" i="2"/>
  <c r="P12" i="3"/>
  <c r="P11" i="3"/>
  <c r="P13" i="3" s="1"/>
  <c r="F49" i="2"/>
  <c r="F20" i="2"/>
  <c r="S50" i="2"/>
  <c r="P50" i="2"/>
  <c r="M50" i="2"/>
  <c r="F48" i="2"/>
  <c r="F45" i="2"/>
  <c r="F36" i="2"/>
  <c r="F33" i="2"/>
  <c r="F21" i="2"/>
  <c r="F18" i="2"/>
  <c r="F42" i="2"/>
  <c r="F17" i="2"/>
  <c r="O38" i="2"/>
  <c r="F46" i="2"/>
  <c r="G38" i="2"/>
  <c r="O36" i="2"/>
  <c r="M33" i="2"/>
  <c r="M48" i="2"/>
  <c r="M45" i="2"/>
  <c r="M36" i="2"/>
  <c r="M21" i="2"/>
  <c r="M18" i="2"/>
  <c r="M20" i="2"/>
  <c r="M17" i="2"/>
  <c r="L30" i="2"/>
  <c r="S21" i="2"/>
  <c r="P21" i="2"/>
  <c r="F38" i="2"/>
  <c r="M46" i="2"/>
  <c r="F54" i="2"/>
  <c r="Q30" i="2"/>
  <c r="F35" i="2"/>
  <c r="O50" i="2"/>
  <c r="O21" i="2"/>
  <c r="N30" i="2"/>
  <c r="O54" i="2"/>
  <c r="O49" i="2"/>
  <c r="O46" i="2"/>
  <c r="O42" i="2"/>
  <c r="O37" i="2"/>
  <c r="O34" i="2"/>
  <c r="O19" i="2"/>
  <c r="S38" i="2"/>
  <c r="P38" i="2"/>
  <c r="M38" i="2"/>
  <c r="D50" i="2"/>
  <c r="G50" i="2"/>
  <c r="O48" i="2"/>
  <c r="O33" i="2"/>
  <c r="F37" i="2"/>
  <c r="F50" i="2"/>
  <c r="H13" i="2"/>
  <c r="J13" i="2" s="1"/>
  <c r="S28" i="2"/>
  <c r="P28" i="2"/>
  <c r="M28" i="2"/>
  <c r="F47" i="2"/>
  <c r="H38" i="2"/>
  <c r="J38" i="2" s="1"/>
  <c r="M49" i="2"/>
  <c r="S10" i="2"/>
  <c r="M34" i="2"/>
  <c r="M37" i="2"/>
  <c r="M42" i="2"/>
  <c r="H50" i="2"/>
  <c r="M54" i="2"/>
  <c r="G12" i="2"/>
  <c r="R18" i="2"/>
  <c r="R21" i="2"/>
  <c r="I26" i="2"/>
  <c r="R27" i="2"/>
  <c r="R33" i="2"/>
  <c r="R36" i="2"/>
  <c r="R45" i="2"/>
  <c r="R48" i="2"/>
  <c r="J17" i="2"/>
  <c r="S33" i="2"/>
  <c r="S45" i="2"/>
  <c r="G11" i="2"/>
  <c r="G18" i="2"/>
  <c r="P19" i="2"/>
  <c r="P25" i="2"/>
  <c r="G27" i="2"/>
  <c r="C28" i="2"/>
  <c r="G33" i="2"/>
  <c r="P34" i="2"/>
  <c r="G36" i="2"/>
  <c r="P37" i="2"/>
  <c r="P42" i="2"/>
  <c r="G45" i="2"/>
  <c r="P46" i="2"/>
  <c r="G48" i="2"/>
  <c r="P49" i="2"/>
  <c r="P54" i="2"/>
  <c r="L12" i="2"/>
  <c r="H21" i="2"/>
  <c r="I49" i="2" s="1"/>
  <c r="M26" i="2"/>
  <c r="M35" i="2"/>
  <c r="M47" i="2"/>
  <c r="M25" i="2"/>
  <c r="J11" i="2"/>
  <c r="N12" i="2"/>
  <c r="R19" i="2"/>
  <c r="R25" i="2"/>
  <c r="I27" i="2"/>
  <c r="E28" i="2"/>
  <c r="F28" i="2" s="1"/>
  <c r="R34" i="2"/>
  <c r="R37" i="2"/>
  <c r="R42" i="2"/>
  <c r="R46" i="2"/>
  <c r="R49" i="2"/>
  <c r="C21" i="2"/>
  <c r="D38" i="2" s="1"/>
  <c r="L11" i="2"/>
  <c r="O17" i="2"/>
  <c r="J18" i="2"/>
  <c r="F19" i="2"/>
  <c r="S19" i="2"/>
  <c r="O20" i="2"/>
  <c r="F25" i="2"/>
  <c r="S25" i="2"/>
  <c r="O26" i="2"/>
  <c r="J27" i="2"/>
  <c r="J33" i="2"/>
  <c r="F34" i="2"/>
  <c r="J45" i="2"/>
  <c r="S46" i="2"/>
  <c r="G9" i="2"/>
  <c r="N11" i="2"/>
  <c r="N13" i="2" s="1"/>
  <c r="Q12" i="2"/>
  <c r="Q13" i="2" s="1"/>
  <c r="P17" i="2"/>
  <c r="P35" i="2"/>
  <c r="G37" i="2"/>
  <c r="G42" i="2"/>
  <c r="G46" i="2"/>
  <c r="P47" i="2"/>
  <c r="G49" i="2"/>
  <c r="G54" i="2"/>
  <c r="M19" i="2"/>
  <c r="D26" i="2"/>
  <c r="H28" i="2"/>
  <c r="O54" i="4" l="1"/>
  <c r="O51" i="4"/>
  <c r="D34" i="2"/>
  <c r="I50" i="2"/>
  <c r="I37" i="2"/>
  <c r="I28" i="2"/>
  <c r="I47" i="2"/>
  <c r="E30" i="2"/>
  <c r="E40" i="2" s="1"/>
  <c r="S11" i="2"/>
  <c r="P11" i="2"/>
  <c r="L13" i="2"/>
  <c r="I54" i="2"/>
  <c r="I48" i="2"/>
  <c r="I45" i="2"/>
  <c r="I36" i="2"/>
  <c r="I33" i="2"/>
  <c r="I21" i="2"/>
  <c r="I18" i="2"/>
  <c r="H30" i="2"/>
  <c r="F30" i="2"/>
  <c r="S12" i="2"/>
  <c r="P12" i="2"/>
  <c r="N40" i="2"/>
  <c r="O30" i="2"/>
  <c r="J28" i="2"/>
  <c r="G28" i="2"/>
  <c r="D28" i="2"/>
  <c r="I35" i="2"/>
  <c r="D47" i="2"/>
  <c r="D35" i="2"/>
  <c r="D17" i="2"/>
  <c r="D20" i="2"/>
  <c r="C30" i="2"/>
  <c r="J21" i="2"/>
  <c r="D54" i="2"/>
  <c r="D19" i="2"/>
  <c r="G21" i="2"/>
  <c r="D21" i="2"/>
  <c r="D48" i="2"/>
  <c r="D36" i="2"/>
  <c r="D18" i="2"/>
  <c r="I42" i="2"/>
  <c r="J50" i="2"/>
  <c r="D49" i="2"/>
  <c r="I19" i="2"/>
  <c r="I34" i="2"/>
  <c r="R30" i="2"/>
  <c r="Q40" i="2"/>
  <c r="S30" i="2"/>
  <c r="L40" i="2"/>
  <c r="P30" i="2"/>
  <c r="M30" i="2"/>
  <c r="D45" i="2"/>
  <c r="D46" i="2"/>
  <c r="I20" i="2"/>
  <c r="D42" i="2"/>
  <c r="I38" i="2"/>
  <c r="D37" i="2"/>
  <c r="I17" i="2"/>
  <c r="D33" i="2"/>
  <c r="I46" i="2"/>
  <c r="H40" i="2" l="1"/>
  <c r="I30" i="2"/>
  <c r="M40" i="2"/>
  <c r="P40" i="2"/>
  <c r="L43" i="2"/>
  <c r="S40" i="2"/>
  <c r="Q43" i="2"/>
  <c r="R40" i="2"/>
  <c r="O40" i="2"/>
  <c r="N43" i="2"/>
  <c r="S13" i="2"/>
  <c r="P13" i="2"/>
  <c r="D30" i="2"/>
  <c r="C40" i="2"/>
  <c r="J30" i="2"/>
  <c r="G30" i="2"/>
  <c r="E43" i="2"/>
  <c r="F40" i="2"/>
  <c r="N52" i="2" l="1"/>
  <c r="O43" i="2"/>
  <c r="R43" i="2"/>
  <c r="Q52" i="2"/>
  <c r="F43" i="2"/>
  <c r="E52" i="2"/>
  <c r="S43" i="2"/>
  <c r="L52" i="2"/>
  <c r="P43" i="2"/>
  <c r="M43" i="2"/>
  <c r="C43" i="2"/>
  <c r="J40" i="2"/>
  <c r="G40" i="2"/>
  <c r="D40" i="2"/>
  <c r="H43" i="2"/>
  <c r="I40" i="2"/>
  <c r="C52" i="2" l="1"/>
  <c r="G43" i="2"/>
  <c r="D43" i="2"/>
  <c r="J43" i="2"/>
  <c r="P52" i="2"/>
  <c r="M52" i="2"/>
  <c r="L55" i="2"/>
  <c r="S52" i="2"/>
  <c r="E55" i="2"/>
  <c r="F52" i="2"/>
  <c r="H52" i="2"/>
  <c r="I43" i="2"/>
  <c r="Q55" i="2"/>
  <c r="R55" i="2" s="1"/>
  <c r="R52" i="2"/>
  <c r="O52" i="2"/>
  <c r="N55" i="2"/>
  <c r="O55" i="2" s="1"/>
  <c r="F55" i="2" l="1"/>
  <c r="I52" i="2"/>
  <c r="H55" i="2"/>
  <c r="S55" i="2"/>
  <c r="P55" i="2"/>
  <c r="M55" i="2"/>
  <c r="C55" i="2"/>
  <c r="J52" i="2"/>
  <c r="G52" i="2"/>
  <c r="D52" i="2"/>
  <c r="I55" i="2" l="1"/>
  <c r="D55" i="2"/>
  <c r="J55" i="2"/>
  <c r="G55" i="2"/>
</calcChain>
</file>

<file path=xl/sharedStrings.xml><?xml version="1.0" encoding="utf-8"?>
<sst xmlns="http://schemas.openxmlformats.org/spreadsheetml/2006/main" count="321" uniqueCount="52">
  <si>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</si>
  <si>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</si>
  <si>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</si>
  <si>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</si>
  <si>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</si>
  <si>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</si>
  <si>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</si>
  <si>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</si>
  <si>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</si>
  <si>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</si>
  <si>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</si>
  <si>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</si>
  <si>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</si>
  <si>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</si>
  <si>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</si>
  <si>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</si>
  <si>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</si>
  <si>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</si>
  <si>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</si>
  <si>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</si>
  <si>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</si>
  <si>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</si>
  <si>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</si>
  <si>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</si>
  <si>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</si>
  <si>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</si>
  <si>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</si>
  <si>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</si>
  <si>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</si>
  <si>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</si>
  <si>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</si>
  <si>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</si>
  <si>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</si>
  <si>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</si>
  <si>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</si>
  <si>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</si>
  <si>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</si>
  <si>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</si>
  <si>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</si>
  <si>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</si>
  <si>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</si>
  <si>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</si>
  <si>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</si>
  <si>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</si>
  <si>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</si>
  <si>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</si>
  <si>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>FOR THE PERIOD ENDING APRIL 30, 2025</t>
  </si>
  <si>
    <t>APRIL 2025 - PERIODIC</t>
  </si>
  <si>
    <t>APRIL 2025 - YEAR TO DATE</t>
  </si>
  <si>
    <t xml:space="preserve">FORECASTED STATEMENT OF INCOME </t>
  </si>
  <si>
    <t>FOR THE PERIOD ENDING DECEMBER 31, 2025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</si>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</sst>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6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/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/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 style="thin">
        <color theme="4" tint="0.59993285927915285"/>
      </left>
      <right/>
      <top/>
      <bottom/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4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39" fontId="3" fillId="0" borderId="0" xfId="1" applyNumberFormat="1"/>
    <xf numFmtId="0" fontId="9" fillId="4" borderId="5" xfId="1" applyFont="1" applyFill="1" applyBorder="1" applyAlignment="1">
      <alignment horizontal="centerContinuous"/>
    </xf>
    <xf numFmtId="39" fontId="3" fillId="0" borderId="0" xfId="1" applyNumberFormat="1" applyAlignment="1">
      <alignment horizontal="center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4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4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9" xfId="2" applyNumberFormat="1" applyFont="1" applyFill="1" applyBorder="1" applyAlignment="1">
      <alignment horizontal="right"/>
    </xf>
    <xf numFmtId="164" fontId="13" fillId="0" borderId="9" xfId="3" applyNumberFormat="1" applyFont="1" applyBorder="1" applyAlignment="1">
      <alignment horizontal="right"/>
    </xf>
    <xf numFmtId="37" fontId="13" fillId="0" borderId="9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10" xfId="2" applyNumberFormat="1" applyFont="1" applyFill="1" applyBorder="1" applyAlignment="1">
      <alignment horizontal="right"/>
    </xf>
    <xf numFmtId="164" fontId="13" fillId="0" borderId="10" xfId="3" applyNumberFormat="1" applyFont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11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37" fontId="3" fillId="0" borderId="0" xfId="1" applyNumberForma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5" fontId="9" fillId="4" borderId="0" xfId="1" applyNumberFormat="1" applyFont="1" applyFill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2" xfId="1" applyBorder="1"/>
    <xf numFmtId="0" fontId="2" fillId="0" borderId="0" xfId="1" applyFont="1"/>
    <xf numFmtId="37" fontId="11" fillId="0" borderId="12" xfId="2" applyNumberFormat="1" applyFont="1" applyBorder="1" applyAlignment="1">
      <alignment horizontal="right"/>
    </xf>
    <xf numFmtId="164" fontId="11" fillId="0" borderId="12" xfId="3" applyNumberFormat="1" applyFont="1" applyBorder="1" applyAlignment="1">
      <alignment horizontal="right"/>
    </xf>
    <xf numFmtId="39" fontId="11" fillId="0" borderId="12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2" xfId="2" applyNumberFormat="1" applyFont="1" applyBorder="1" applyAlignment="1">
      <alignment horizontal="right"/>
    </xf>
    <xf numFmtId="37" fontId="13" fillId="0" borderId="13" xfId="2" applyNumberFormat="1" applyFont="1" applyBorder="1" applyAlignment="1">
      <alignment horizontal="right"/>
    </xf>
    <xf numFmtId="0" fontId="13" fillId="0" borderId="10" xfId="1" applyFont="1" applyBorder="1"/>
    <xf numFmtId="37" fontId="13" fillId="0" borderId="14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  <xf numFmtId="164" fontId="13" fillId="0" borderId="0" xfId="3" applyNumberFormat="1" applyFont="1" applyBorder="1" applyAlignment="1">
      <alignment horizontal="right"/>
    </xf>
    <xf numFmtId="37" fontId="13" fillId="0" borderId="0" xfId="2" applyNumberFormat="1" applyFont="1" applyBorder="1" applyAlignment="1">
      <alignment horizontal="right"/>
    </xf>
    <xf numFmtId="0" fontId="1" fillId="3" borderId="15" xfId="1" applyFont="1" applyFill="1" applyBorder="1"/>
    <xf numFmtId="37" fontId="11" fillId="5" borderId="0" xfId="2" applyNumberFormat="1" applyFont="1" applyFill="1" applyBorder="1" applyAlignment="1">
      <alignment horizontal="right"/>
    </xf>
    <xf numFmtId="37" fontId="3" fillId="5" borderId="0" xfId="1" applyNumberFormat="1" applyFill="1" applyAlignment="1">
      <alignment horizontal="right"/>
    </xf>
    <xf numFmtId="37" fontId="11" fillId="0" borderId="12" xfId="2" applyNumberFormat="1" applyFont="1" applyFill="1" applyBorder="1" applyAlignment="1">
      <alignment horizontal="right"/>
    </xf>
    <xf numFmtId="37" fontId="13" fillId="0" borderId="12" xfId="2" applyNumberFormat="1" applyFont="1" applyFill="1" applyBorder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</cellXfs>
  <cellStyles count="4">
    <cellStyle name="Comma 2" xfId="2" xr:uid="{7F7CDECD-4DA8-4103-9B0B-3A5BC87A13A9}"/>
    <cellStyle name="Normal" xfId="0" builtinId="0"/>
    <cellStyle name="Normal 2" xfId="1" xr:uid="{526B77F9-5436-47CE-AF8C-72F511C0F104}"/>
    <cellStyle name="Percent 2" xfId="3" xr:uid="{DBC67186-DAD4-41F4-BC9E-9FA4C91BA884}"/>
  </cellStyles>
  <dxfs count="57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border>
        <top/>
        <bottom/>
      </border>
    </dxf>
    <dxf>
      <font>
        <b/>
        <i val="0"/>
      </font>
    </dxf>
    <dxf>
      <numFmt numFmtId="164" formatCode="0.0%"/>
    </dxf>
    <dxf>
      <numFmt numFmtId="166" formatCode="0.00_);\(0.00\)"/>
    </dxf>
    <dxf>
      <font>
        <b/>
        <i val="0"/>
      </font>
    </dxf>
    <dxf>
      <numFmt numFmtId="166" formatCode="0.00_);\(0.00\)"/>
    </dxf>
    <dxf>
      <numFmt numFmtId="164" formatCode="0.0%"/>
    </dxf>
    <dxf>
      <border>
        <top/>
        <bottom/>
      </border>
    </dxf>
    <dxf>
      <border>
        <top style="thin">
          <color auto="1"/>
        </top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hpcp-my.sharepoint.com/personal/josefina_radcliffe_khpcp_com/Documents/Desktop/ANG.xlsx" TargetMode="External"/><Relationship Id="rId1" Type="http://schemas.openxmlformats.org/officeDocument/2006/relationships/externalLinkPath" Target="https://khpcp-my.sharepoint.com/personal/josefina_radcliffe_khpcp_com/Documents/Desktop/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y Properties"/>
      <sheetName val="Usali Reference"/>
      <sheetName val="Revenue Summary"/>
      <sheetName val="P&amp;L Summary"/>
      <sheetName val="P&amp;L Summary (POR)"/>
      <sheetName val="F&amp;B Summary"/>
      <sheetName val="Month Variance (POR)"/>
      <sheetName val="Month Variance (R)"/>
      <sheetName val="Month Variance (R)(PC)"/>
      <sheetName val="Forecast (POR)"/>
      <sheetName val="Month Variance"/>
      <sheetName val="F to F"/>
      <sheetName val="Forecast Accuracy"/>
      <sheetName val="F to B"/>
      <sheetName val="Forecast"/>
      <sheetName val="Internal Recast"/>
      <sheetName val="P Forecast"/>
      <sheetName val="Budget"/>
      <sheetName val="2024"/>
      <sheetName val="2023"/>
      <sheetName val="2022"/>
      <sheetName val="2021"/>
      <sheetName val="2020"/>
      <sheetName val="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5">
          <cell r="K45">
            <v>58018.889000000003</v>
          </cell>
          <cell r="L45">
            <v>46459.938000000002</v>
          </cell>
          <cell r="M45">
            <v>46558.637999999999</v>
          </cell>
          <cell r="N45">
            <v>43665.224999999999</v>
          </cell>
          <cell r="O45">
            <v>42449.15</v>
          </cell>
          <cell r="P45">
            <v>53563.11</v>
          </cell>
          <cell r="Q45">
            <v>59902.392</v>
          </cell>
          <cell r="R45">
            <v>76471.615999999995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6A8A-FE9E-4901-ABD2-0CB5B2949052}">
  <sheetPr codeName="Sheet95">
    <tabColor theme="4" tint="0.39997558519241921"/>
    <pageSetUpPr fitToPage="1"/>
  </sheetPr>
  <dimension ref="A1:U249"/>
  <sheetViews>
    <sheetView showGridLines="0" view="pageBreakPreview" zoomScale="70" zoomScaleNormal="85" zoomScaleSheetLayoutView="70" workbookViewId="0">
      <selection activeCell="D22" sqref="D22"/>
    </sheetView>
  </sheetViews>
  <sheetFormatPr defaultColWidth="9.1796875" defaultRowHeight="12.5" x14ac:dyDescent="0.25"/>
  <cols>
    <col min="1" max="1" width="2.81640625" style="3" customWidth="1"/>
    <col min="2" max="2" width="38.81640625" style="3" customWidth="1"/>
    <col min="3" max="3" width="15.1796875" style="3" customWidth="1"/>
    <col min="4" max="4" width="8.81640625" style="3" customWidth="1"/>
    <col min="5" max="5" width="16" style="3" customWidth="1"/>
    <col min="6" max="6" width="8.81640625" style="3" customWidth="1"/>
    <col min="7" max="8" width="15.453125" style="7" customWidth="1"/>
    <col min="9" max="9" width="8.81640625" style="7" customWidth="1"/>
    <col min="10" max="10" width="15.453125" style="7" customWidth="1"/>
    <col min="11" max="11" width="2.81640625" style="7" customWidth="1"/>
    <col min="12" max="12" width="15.453125" style="7" customWidth="1"/>
    <col min="13" max="13" width="10" style="7" bestFit="1" customWidth="1"/>
    <col min="14" max="14" width="18.1796875" style="7" customWidth="1"/>
    <col min="15" max="15" width="8.81640625" style="3" customWidth="1"/>
    <col min="16" max="17" width="15.453125" style="3" customWidth="1"/>
    <col min="18" max="18" width="8.81640625" style="3" customWidth="1"/>
    <col min="19" max="19" width="13.81640625" style="3" customWidth="1"/>
    <col min="20" max="20" width="11.453125" style="3" customWidth="1"/>
    <col min="21" max="21" width="10.1796875" style="3" bestFit="1" customWidth="1"/>
    <col min="22" max="23" width="9.1796875" style="3" customWidth="1"/>
    <col min="24" max="24" width="9.1796875" style="3"/>
    <col min="25" max="25" width="9.1796875" style="3" customWidth="1"/>
    <col min="26" max="26" width="9.1796875" style="3"/>
    <col min="27" max="27" width="8.81640625" style="3" customWidth="1"/>
    <col min="28" max="16384" width="9.1796875" style="3"/>
  </cols>
  <sheetData>
    <row r="1" spans="1:21" ht="23" x14ac:dyDescent="0.4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21" ht="15" customHeight="1" x14ac:dyDescent="0.3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</row>
    <row r="3" spans="1:21" ht="15" x14ac:dyDescent="0.3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spans="1:21" ht="15" customHeight="1" x14ac:dyDescent="0.3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1" ht="14.5" x14ac:dyDescent="0.35">
      <c r="C5" s="99" t="s">
        <v>47</v>
      </c>
      <c r="D5" s="100"/>
      <c r="E5" s="100"/>
      <c r="F5" s="100"/>
      <c r="G5" s="100"/>
      <c r="H5" s="100"/>
      <c r="I5" s="100"/>
      <c r="J5" s="100"/>
      <c r="L5" s="99" t="s">
        <v>48</v>
      </c>
      <c r="M5" s="100"/>
      <c r="N5" s="100"/>
      <c r="O5" s="100"/>
      <c r="P5" s="100"/>
      <c r="Q5" s="100"/>
      <c r="R5" s="100"/>
      <c r="S5" s="100"/>
    </row>
    <row r="6" spans="1:21" ht="14.5" x14ac:dyDescent="0.35">
      <c r="C6" s="101" t="s">
        <v>1</v>
      </c>
      <c r="D6" s="102"/>
      <c r="E6" s="101" t="s">
        <v>2</v>
      </c>
      <c r="F6" s="102"/>
      <c r="G6" s="8"/>
      <c r="H6" s="101" t="s">
        <v>3</v>
      </c>
      <c r="I6" s="103"/>
      <c r="J6" s="102"/>
      <c r="K6" s="9"/>
      <c r="L6" s="101" t="s">
        <v>1</v>
      </c>
      <c r="M6" s="102"/>
      <c r="N6" s="101" t="s">
        <v>2</v>
      </c>
      <c r="O6" s="102"/>
      <c r="P6" s="8"/>
      <c r="Q6" s="101" t="s">
        <v>3</v>
      </c>
      <c r="R6" s="103"/>
      <c r="S6" s="103"/>
    </row>
    <row r="7" spans="1:21" ht="14.5" x14ac:dyDescent="0.35">
      <c r="C7" s="10" t="s">
        <v>4</v>
      </c>
      <c r="D7" s="10" t="s">
        <v>5</v>
      </c>
      <c r="E7" s="10" t="s">
        <v>4</v>
      </c>
      <c r="F7" s="10" t="s">
        <v>5</v>
      </c>
      <c r="G7" s="11" t="s">
        <v>6</v>
      </c>
      <c r="H7" s="10" t="s">
        <v>4</v>
      </c>
      <c r="I7" s="10" t="s">
        <v>5</v>
      </c>
      <c r="J7" s="12" t="s">
        <v>6</v>
      </c>
      <c r="K7" s="9"/>
      <c r="L7" s="13" t="s">
        <v>4</v>
      </c>
      <c r="M7" s="10" t="s">
        <v>5</v>
      </c>
      <c r="N7" s="10" t="s">
        <v>4</v>
      </c>
      <c r="O7" s="10" t="s">
        <v>5</v>
      </c>
      <c r="P7" s="11" t="s">
        <v>6</v>
      </c>
      <c r="Q7" s="10" t="s">
        <v>4</v>
      </c>
      <c r="R7" s="10" t="s">
        <v>5</v>
      </c>
      <c r="S7" s="14" t="s">
        <v>6</v>
      </c>
    </row>
    <row r="8" spans="1:21" ht="3" customHeight="1" x14ac:dyDescent="0.25">
      <c r="C8" s="7"/>
      <c r="D8" s="7"/>
      <c r="E8" s="7"/>
      <c r="F8" s="7"/>
      <c r="O8" s="15"/>
      <c r="P8" s="15"/>
      <c r="Q8" s="15"/>
      <c r="R8" s="15"/>
    </row>
    <row r="9" spans="1:21" s="22" customFormat="1" ht="14.5" x14ac:dyDescent="0.35">
      <c r="A9" s="16"/>
      <c r="B9" s="17" t="s">
        <v>7</v>
      </c>
      <c r="C9" s="18">
        <v>3960</v>
      </c>
      <c r="D9" s="19"/>
      <c r="E9" s="18">
        <v>3960</v>
      </c>
      <c r="F9" s="19"/>
      <c r="G9" s="20">
        <f>C9-E9</f>
        <v>0</v>
      </c>
      <c r="H9" s="18">
        <v>3960</v>
      </c>
      <c r="I9" s="19"/>
      <c r="J9" s="20">
        <f>C9-H9</f>
        <v>0</v>
      </c>
      <c r="K9" s="21"/>
      <c r="L9" s="18">
        <v>15840</v>
      </c>
      <c r="M9" s="19"/>
      <c r="N9" s="18">
        <v>15840</v>
      </c>
      <c r="O9" s="19"/>
      <c r="P9" s="20">
        <f>L9-N9</f>
        <v>0</v>
      </c>
      <c r="Q9" s="18">
        <v>15972</v>
      </c>
      <c r="R9" s="19"/>
      <c r="S9" s="20">
        <f>L9-Q9</f>
        <v>-132</v>
      </c>
      <c r="T9" s="3"/>
      <c r="U9" s="3"/>
    </row>
    <row r="10" spans="1:21" s="22" customFormat="1" ht="14.5" x14ac:dyDescent="0.35">
      <c r="A10" s="16"/>
      <c r="B10" s="17" t="s">
        <v>8</v>
      </c>
      <c r="C10" s="18">
        <v>3684</v>
      </c>
      <c r="D10" s="19"/>
      <c r="E10" s="18">
        <v>3645</v>
      </c>
      <c r="F10" s="19"/>
      <c r="G10" s="20">
        <f t="shared" ref="G10:G13" si="0">C10-E10</f>
        <v>39</v>
      </c>
      <c r="H10" s="18">
        <v>3692</v>
      </c>
      <c r="I10" s="19"/>
      <c r="J10" s="20">
        <f t="shared" ref="J10:J13" si="1">C10-H10</f>
        <v>-8</v>
      </c>
      <c r="K10" s="21"/>
      <c r="L10" s="18">
        <v>14556</v>
      </c>
      <c r="M10" s="19"/>
      <c r="N10" s="18">
        <v>14563</v>
      </c>
      <c r="O10" s="19"/>
      <c r="P10" s="20">
        <f>L10-N10</f>
        <v>-7</v>
      </c>
      <c r="Q10" s="18">
        <v>14696</v>
      </c>
      <c r="R10" s="19"/>
      <c r="S10" s="20">
        <f t="shared" ref="S10:S13" si="2">L10-Q10</f>
        <v>-140</v>
      </c>
      <c r="T10" s="3"/>
      <c r="U10" s="3"/>
    </row>
    <row r="11" spans="1:21" s="22" customFormat="1" ht="14.5" x14ac:dyDescent="0.35">
      <c r="A11" s="16"/>
      <c r="B11" s="17" t="s">
        <v>9</v>
      </c>
      <c r="C11" s="23">
        <f>C10/C9</f>
        <v>0.9303030303030303</v>
      </c>
      <c r="D11" s="19"/>
      <c r="E11" s="23">
        <f>E10/E9</f>
        <v>0.92045454545454541</v>
      </c>
      <c r="F11" s="19"/>
      <c r="G11" s="19">
        <f t="shared" si="0"/>
        <v>9.8484848484848841E-3</v>
      </c>
      <c r="H11" s="23">
        <f>H10/H9</f>
        <v>0.93232323232323233</v>
      </c>
      <c r="I11" s="19"/>
      <c r="J11" s="19">
        <f t="shared" si="1"/>
        <v>-2.0202020202020332E-3</v>
      </c>
      <c r="K11" s="19"/>
      <c r="L11" s="23">
        <f>L10/L9</f>
        <v>0.91893939393939394</v>
      </c>
      <c r="M11" s="19"/>
      <c r="N11" s="23">
        <f>N10/N9</f>
        <v>0.9193813131313131</v>
      </c>
      <c r="O11" s="19"/>
      <c r="P11" s="19">
        <f>L11-N11</f>
        <v>-4.4191919191916007E-4</v>
      </c>
      <c r="Q11" s="23">
        <f>Q10/Q9</f>
        <v>0.92011019283746553</v>
      </c>
      <c r="R11" s="19"/>
      <c r="S11" s="19">
        <f t="shared" si="2"/>
        <v>-1.17079889807159E-3</v>
      </c>
      <c r="T11" s="3"/>
      <c r="U11" s="3"/>
    </row>
    <row r="12" spans="1:21" s="22" customFormat="1" ht="14.5" x14ac:dyDescent="0.35">
      <c r="A12" s="16"/>
      <c r="B12" s="17" t="s">
        <v>10</v>
      </c>
      <c r="C12" s="24">
        <f>C17/C10</f>
        <v>266.56628393051028</v>
      </c>
      <c r="D12" s="25"/>
      <c r="E12" s="24">
        <f>E17/E10</f>
        <v>263.21160219478742</v>
      </c>
      <c r="F12" s="25"/>
      <c r="G12" s="26">
        <f t="shared" si="0"/>
        <v>3.3546817357228633</v>
      </c>
      <c r="H12" s="24">
        <f>H17/H10</f>
        <v>258.44728331527625</v>
      </c>
      <c r="I12" s="25"/>
      <c r="J12" s="26">
        <f t="shared" si="1"/>
        <v>8.1190006152340288</v>
      </c>
      <c r="K12" s="26"/>
      <c r="L12" s="24">
        <f>L17/L10</f>
        <v>295.51505564715586</v>
      </c>
      <c r="M12" s="25"/>
      <c r="N12" s="24">
        <f>N17/N10</f>
        <v>307.02472498798329</v>
      </c>
      <c r="O12" s="25"/>
      <c r="P12" s="26">
        <f>L12-N12</f>
        <v>-11.509669340827429</v>
      </c>
      <c r="Q12" s="24">
        <f>Q17/Q10</f>
        <v>301.98568522046816</v>
      </c>
      <c r="R12" s="25"/>
      <c r="S12" s="26">
        <f t="shared" si="2"/>
        <v>-6.4706295733122943</v>
      </c>
      <c r="T12" s="3"/>
      <c r="U12" s="3"/>
    </row>
    <row r="13" spans="1:21" s="22" customFormat="1" ht="14.5" x14ac:dyDescent="0.35">
      <c r="A13" s="16"/>
      <c r="B13" s="17" t="s">
        <v>11</v>
      </c>
      <c r="C13" s="24">
        <f>C11*C12</f>
        <v>247.98742171717169</v>
      </c>
      <c r="D13" s="25"/>
      <c r="E13" s="24">
        <f>E11*E12</f>
        <v>242.27431565656568</v>
      </c>
      <c r="F13" s="25"/>
      <c r="G13" s="26">
        <f t="shared" si="0"/>
        <v>5.7131060606060089</v>
      </c>
      <c r="H13" s="24">
        <f>H11*H12</f>
        <v>240.95640656565655</v>
      </c>
      <c r="I13" s="25"/>
      <c r="J13" s="26">
        <f t="shared" si="1"/>
        <v>7.0310151515151347</v>
      </c>
      <c r="K13" s="26"/>
      <c r="L13" s="24">
        <f>L11*L12</f>
        <v>271.56042613636367</v>
      </c>
      <c r="M13" s="25"/>
      <c r="N13" s="24">
        <f>N11*N12</f>
        <v>282.27279482323235</v>
      </c>
      <c r="O13" s="25"/>
      <c r="P13" s="26">
        <f>L13-N13</f>
        <v>-10.712368686868672</v>
      </c>
      <c r="Q13" s="24">
        <f>Q11*Q12</f>
        <v>277.86010706235913</v>
      </c>
      <c r="R13" s="25"/>
      <c r="S13" s="26">
        <f t="shared" si="2"/>
        <v>-6.2996809259954603</v>
      </c>
      <c r="T13" s="17"/>
    </row>
    <row r="14" spans="1:21" s="22" customFormat="1" ht="14.5" x14ac:dyDescent="0.35">
      <c r="A14" s="16"/>
      <c r="B14" s="17" t="s">
        <v>12</v>
      </c>
      <c r="C14" s="18"/>
      <c r="D14" s="19"/>
      <c r="E14" s="18"/>
      <c r="F14" s="19"/>
      <c r="G14" s="20"/>
      <c r="H14" s="18"/>
      <c r="I14" s="19"/>
      <c r="J14" s="20"/>
      <c r="K14" s="21"/>
      <c r="L14" s="18"/>
      <c r="M14" s="19"/>
      <c r="N14" s="18"/>
      <c r="O14" s="19"/>
      <c r="P14" s="20"/>
      <c r="Q14" s="18"/>
      <c r="R14" s="19"/>
      <c r="S14" s="20"/>
      <c r="T14" s="17"/>
    </row>
    <row r="15" spans="1:21" s="22" customFormat="1" ht="14.5" x14ac:dyDescent="0.35">
      <c r="A15" s="16"/>
      <c r="B15" s="17" t="s">
        <v>12</v>
      </c>
      <c r="C15" s="18"/>
      <c r="D15" s="19"/>
      <c r="E15" s="18"/>
      <c r="F15" s="19"/>
      <c r="G15" s="20"/>
      <c r="H15" s="18"/>
      <c r="I15" s="19"/>
      <c r="J15" s="20"/>
      <c r="K15" s="21"/>
      <c r="L15" s="18"/>
      <c r="M15" s="19"/>
      <c r="N15" s="18"/>
      <c r="O15" s="19"/>
      <c r="P15" s="20"/>
      <c r="Q15" s="18"/>
      <c r="R15" s="19"/>
      <c r="S15" s="20"/>
      <c r="T15" s="17"/>
    </row>
    <row r="16" spans="1:21" s="22" customFormat="1" ht="14.5" x14ac:dyDescent="0.35">
      <c r="A16" s="16"/>
      <c r="B16" s="27" t="s">
        <v>13</v>
      </c>
      <c r="C16" s="18"/>
      <c r="D16" s="19"/>
      <c r="E16" s="18"/>
      <c r="F16" s="19"/>
      <c r="G16" s="20"/>
      <c r="H16" s="18"/>
      <c r="I16" s="19"/>
      <c r="J16" s="20"/>
      <c r="K16" s="21"/>
      <c r="L16" s="18"/>
      <c r="M16" s="19"/>
      <c r="N16" s="18"/>
      <c r="O16" s="19"/>
      <c r="P16" s="20"/>
      <c r="Q16" s="18"/>
      <c r="R16" s="19"/>
      <c r="S16" s="20"/>
      <c r="T16" s="17"/>
    </row>
    <row r="17" spans="1:20" s="22" customFormat="1" ht="14.5" x14ac:dyDescent="0.35">
      <c r="A17" s="16"/>
      <c r="B17" s="17" t="s">
        <v>14</v>
      </c>
      <c r="C17" s="18">
        <v>982030.19</v>
      </c>
      <c r="D17" s="19">
        <f>C17/C21</f>
        <v>0.65086038512915911</v>
      </c>
      <c r="E17" s="18">
        <v>959406.29</v>
      </c>
      <c r="F17" s="19">
        <f>E17/E$21</f>
        <v>0.63166500226378053</v>
      </c>
      <c r="G17" s="20">
        <f t="shared" ref="G17:G21" si="3">C17-E17</f>
        <v>22623.899999999907</v>
      </c>
      <c r="H17" s="18">
        <v>954187.37</v>
      </c>
      <c r="I17" s="19">
        <f>H17/H$21</f>
        <v>0.72319515060234352</v>
      </c>
      <c r="J17" s="20">
        <f t="shared" ref="J17:J21" si="4">C17-H17</f>
        <v>27842.819999999949</v>
      </c>
      <c r="K17" s="21"/>
      <c r="L17" s="18">
        <v>4301517.1500000004</v>
      </c>
      <c r="M17" s="19">
        <f>L17/L$21</f>
        <v>0.6839480394717552</v>
      </c>
      <c r="N17" s="18">
        <v>4471201.07</v>
      </c>
      <c r="O17" s="19">
        <f>N17/N$21</f>
        <v>0.66098689216236783</v>
      </c>
      <c r="P17" s="20">
        <f>L17-N17</f>
        <v>-169683.91999999993</v>
      </c>
      <c r="Q17" s="18">
        <v>4437981.63</v>
      </c>
      <c r="R17" s="19">
        <f>Q17/Q$21</f>
        <v>0.75674011412909037</v>
      </c>
      <c r="S17" s="20">
        <f t="shared" ref="S17:S21" si="5">L17-Q17</f>
        <v>-136464.47999999952</v>
      </c>
      <c r="T17" s="17"/>
    </row>
    <row r="18" spans="1:20" s="22" customFormat="1" ht="14.5" x14ac:dyDescent="0.35">
      <c r="A18" s="16"/>
      <c r="B18" s="17" t="s">
        <v>15</v>
      </c>
      <c r="C18" s="18">
        <v>379131.93</v>
      </c>
      <c r="D18" s="19">
        <f>C18/C21</f>
        <v>0.25127736039821891</v>
      </c>
      <c r="E18" s="18">
        <v>437605.85</v>
      </c>
      <c r="F18" s="19">
        <f>E18/E$21</f>
        <v>0.28811599747891331</v>
      </c>
      <c r="G18" s="20">
        <f t="shared" si="3"/>
        <v>-58473.919999999984</v>
      </c>
      <c r="H18" s="18">
        <v>250971.01</v>
      </c>
      <c r="I18" s="19">
        <f>H18/H$21</f>
        <v>0.19021527959835841</v>
      </c>
      <c r="J18" s="20">
        <f t="shared" si="4"/>
        <v>128160.91999999998</v>
      </c>
      <c r="K18" s="21"/>
      <c r="L18" s="18">
        <v>1523965.79</v>
      </c>
      <c r="M18" s="19">
        <f>L18/L$21</f>
        <v>0.24231297422411174</v>
      </c>
      <c r="N18" s="18">
        <v>1792693.9900000002</v>
      </c>
      <c r="O18" s="19">
        <f>N18/N$21</f>
        <v>0.26501765644108127</v>
      </c>
      <c r="P18" s="20">
        <f>L18-N18</f>
        <v>-268728.20000000019</v>
      </c>
      <c r="Q18" s="18">
        <v>916590.74</v>
      </c>
      <c r="R18" s="19">
        <f>Q18/Q$21</f>
        <v>0.15629199014896947</v>
      </c>
      <c r="S18" s="20">
        <f t="shared" si="5"/>
        <v>607375.05000000005</v>
      </c>
      <c r="T18" s="17"/>
    </row>
    <row r="19" spans="1:20" s="22" customFormat="1" ht="14.5" x14ac:dyDescent="0.35">
      <c r="A19" s="16"/>
      <c r="B19" s="17" t="s">
        <v>16</v>
      </c>
      <c r="C19" s="18">
        <v>2948.44</v>
      </c>
      <c r="D19" s="19">
        <f>C19/C21</f>
        <v>1.9541382876734348E-3</v>
      </c>
      <c r="E19" s="18">
        <v>1557.87</v>
      </c>
      <c r="F19" s="19">
        <f>E19/E$21</f>
        <v>1.0256884568441548E-3</v>
      </c>
      <c r="G19" s="20">
        <f t="shared" si="3"/>
        <v>1390.5700000000002</v>
      </c>
      <c r="H19" s="18">
        <v>1461.55</v>
      </c>
      <c r="I19" s="19">
        <f>H19/H$21</f>
        <v>1.1077340840959309E-3</v>
      </c>
      <c r="J19" s="20">
        <f t="shared" si="4"/>
        <v>1486.89</v>
      </c>
      <c r="K19" s="21"/>
      <c r="L19" s="18">
        <v>9874.14</v>
      </c>
      <c r="M19" s="19">
        <f>L19/L$21</f>
        <v>1.5700038983849306E-3</v>
      </c>
      <c r="N19" s="18">
        <v>6224.22</v>
      </c>
      <c r="O19" s="19">
        <f>N19/N$21</f>
        <v>9.2013930251069048E-4</v>
      </c>
      <c r="P19" s="20">
        <f>L19-N19</f>
        <v>3649.9199999999992</v>
      </c>
      <c r="Q19" s="18">
        <v>7206.7500000000009</v>
      </c>
      <c r="R19" s="19">
        <f>Q19/Q$21</f>
        <v>1.2288552031477929E-3</v>
      </c>
      <c r="S19" s="20">
        <f t="shared" si="5"/>
        <v>2667.3899999999985</v>
      </c>
      <c r="T19" s="17"/>
    </row>
    <row r="20" spans="1:20" s="22" customFormat="1" ht="14.5" x14ac:dyDescent="0.35">
      <c r="A20" s="16"/>
      <c r="B20" s="17" t="s">
        <v>17</v>
      </c>
      <c r="C20" s="18">
        <v>144707.94</v>
      </c>
      <c r="D20" s="19">
        <f>C20/C21</f>
        <v>9.5908116184948697E-2</v>
      </c>
      <c r="E20" s="18">
        <v>120283</v>
      </c>
      <c r="F20" s="19">
        <f>E20/E$21</f>
        <v>7.9193311800461838E-2</v>
      </c>
      <c r="G20" s="20">
        <f t="shared" si="3"/>
        <v>24424.940000000002</v>
      </c>
      <c r="H20" s="18">
        <v>112785.17</v>
      </c>
      <c r="I20" s="19">
        <f>H20/H$21</f>
        <v>8.5481835715202265E-2</v>
      </c>
      <c r="J20" s="20">
        <f t="shared" si="4"/>
        <v>31922.770000000004</v>
      </c>
      <c r="K20" s="21"/>
      <c r="L20" s="18">
        <v>453888.45</v>
      </c>
      <c r="M20" s="19">
        <f>L20/L$21</f>
        <v>7.2168982405748122E-2</v>
      </c>
      <c r="N20" s="18">
        <v>494313</v>
      </c>
      <c r="O20" s="19">
        <f>N20/N$21</f>
        <v>7.307531209404021E-2</v>
      </c>
      <c r="P20" s="20">
        <f>L20-N20</f>
        <v>-40424.549999999988</v>
      </c>
      <c r="Q20" s="18">
        <v>502825.57999999996</v>
      </c>
      <c r="R20" s="19">
        <f>Q20/Q$21</f>
        <v>8.5739040518792331E-2</v>
      </c>
      <c r="S20" s="20">
        <f t="shared" si="5"/>
        <v>-48937.129999999946</v>
      </c>
      <c r="T20" s="17"/>
    </row>
    <row r="21" spans="1:20" s="33" customFormat="1" ht="14.5" x14ac:dyDescent="0.35">
      <c r="A21" s="28"/>
      <c r="B21" s="27" t="s">
        <v>18</v>
      </c>
      <c r="C21" s="29">
        <f>SUM(C17:C20)</f>
        <v>1508818.4999999998</v>
      </c>
      <c r="D21" s="30">
        <f>C21/C21</f>
        <v>1</v>
      </c>
      <c r="E21" s="29">
        <f>SUM(E17:E20)</f>
        <v>1518853.0100000002</v>
      </c>
      <c r="F21" s="30">
        <f>E21/E$21</f>
        <v>1</v>
      </c>
      <c r="G21" s="31">
        <f t="shared" si="3"/>
        <v>-10034.510000000475</v>
      </c>
      <c r="H21" s="29">
        <f>SUM(H17:H20)</f>
        <v>1319405.0999999999</v>
      </c>
      <c r="I21" s="30">
        <f>H21/H$21</f>
        <v>1</v>
      </c>
      <c r="J21" s="31">
        <f t="shared" si="4"/>
        <v>189413.39999999991</v>
      </c>
      <c r="K21" s="32"/>
      <c r="L21" s="29">
        <f>SUM(L17:L20)</f>
        <v>6289245.5300000003</v>
      </c>
      <c r="M21" s="30">
        <f>L21/L$21</f>
        <v>1</v>
      </c>
      <c r="N21" s="29">
        <f>SUM(N17:N20)</f>
        <v>6764432.2800000003</v>
      </c>
      <c r="O21" s="30">
        <f>N21/N$21</f>
        <v>1</v>
      </c>
      <c r="P21" s="31">
        <f>L21-N21</f>
        <v>-475186.75</v>
      </c>
      <c r="Q21" s="29">
        <f>SUM(Q17:Q20)</f>
        <v>5864604.7000000002</v>
      </c>
      <c r="R21" s="30">
        <f>Q21/Q$21</f>
        <v>1</v>
      </c>
      <c r="S21" s="31">
        <f t="shared" si="5"/>
        <v>424640.83000000007</v>
      </c>
      <c r="T21" s="27"/>
    </row>
    <row r="22" spans="1:20" s="33" customFormat="1" ht="14.5" x14ac:dyDescent="0.35">
      <c r="A22" s="28"/>
      <c r="B22" s="27"/>
      <c r="C22" s="84"/>
      <c r="D22" s="92"/>
      <c r="E22" s="84"/>
      <c r="F22" s="92"/>
      <c r="G22" s="93"/>
      <c r="H22" s="84"/>
      <c r="I22" s="92"/>
      <c r="J22" s="93"/>
      <c r="K22" s="32"/>
      <c r="L22" s="84"/>
      <c r="M22" s="92"/>
      <c r="N22" s="84"/>
      <c r="O22" s="92"/>
      <c r="P22" s="93"/>
      <c r="Q22" s="84"/>
      <c r="R22" s="92"/>
      <c r="S22" s="93"/>
      <c r="T22" s="27"/>
    </row>
    <row r="23" spans="1:20" s="22" customFormat="1" ht="14.5" x14ac:dyDescent="0.35">
      <c r="A23" s="16"/>
      <c r="B23" s="17" t="s">
        <v>12</v>
      </c>
      <c r="C23" s="18"/>
      <c r="D23" s="19"/>
      <c r="E23" s="18"/>
      <c r="F23" s="19"/>
      <c r="G23" s="20"/>
      <c r="H23" s="18"/>
      <c r="I23" s="19"/>
      <c r="J23" s="20"/>
      <c r="K23" s="21"/>
      <c r="L23" s="18"/>
      <c r="M23" s="19"/>
      <c r="N23" s="18"/>
      <c r="O23" s="19"/>
      <c r="P23" s="20"/>
      <c r="Q23" s="18"/>
      <c r="R23" s="19"/>
      <c r="S23" s="20"/>
      <c r="T23" s="17"/>
    </row>
    <row r="24" spans="1:20" s="22" customFormat="1" ht="14.5" x14ac:dyDescent="0.35">
      <c r="A24" s="16"/>
      <c r="B24" s="27" t="s">
        <v>19</v>
      </c>
      <c r="C24" s="18"/>
      <c r="D24" s="19"/>
      <c r="E24" s="18"/>
      <c r="F24" s="19"/>
      <c r="G24" s="20"/>
      <c r="H24" s="18"/>
      <c r="I24" s="19"/>
      <c r="J24" s="20"/>
      <c r="K24" s="21"/>
      <c r="L24" s="18"/>
      <c r="M24" s="19"/>
      <c r="N24" s="18"/>
      <c r="O24" s="19"/>
      <c r="P24" s="20"/>
      <c r="Q24" s="18"/>
      <c r="R24" s="19"/>
      <c r="S24" s="20"/>
      <c r="T24" s="17"/>
    </row>
    <row r="25" spans="1:20" s="22" customFormat="1" ht="14.5" x14ac:dyDescent="0.35">
      <c r="A25" s="16"/>
      <c r="B25" s="17" t="s">
        <v>14</v>
      </c>
      <c r="C25" s="18">
        <v>278444.2</v>
      </c>
      <c r="D25" s="19">
        <f>C25/C17</f>
        <v>0.28353934821494647</v>
      </c>
      <c r="E25" s="18">
        <v>245118.34</v>
      </c>
      <c r="F25" s="19">
        <f>E25/E17</f>
        <v>0.25548961118443364</v>
      </c>
      <c r="G25" s="20">
        <f t="shared" ref="G25:G28" si="6">C25-E25</f>
        <v>33325.860000000015</v>
      </c>
      <c r="H25" s="18">
        <v>261858.86</v>
      </c>
      <c r="I25" s="19">
        <f>H25/H17</f>
        <v>0.27443127862822159</v>
      </c>
      <c r="J25" s="20">
        <f t="shared" ref="J25:J28" si="7">C25-H25</f>
        <v>16585.340000000026</v>
      </c>
      <c r="K25" s="21"/>
      <c r="L25" s="18">
        <v>1048369.27</v>
      </c>
      <c r="M25" s="19">
        <f>L25/L17</f>
        <v>0.24372081603812737</v>
      </c>
      <c r="N25" s="18">
        <v>1019678.1900000001</v>
      </c>
      <c r="O25" s="19">
        <f>N25/N17</f>
        <v>0.22805464885970783</v>
      </c>
      <c r="P25" s="20">
        <f>L25-N25</f>
        <v>28691.079999999958</v>
      </c>
      <c r="Q25" s="18">
        <v>1030793.9400000001</v>
      </c>
      <c r="R25" s="19">
        <f>Q25/Q17</f>
        <v>0.23226638277004316</v>
      </c>
      <c r="S25" s="20">
        <f t="shared" ref="S25:S28" si="8">L25-Q25</f>
        <v>17575.329999999958</v>
      </c>
      <c r="T25" s="17"/>
    </row>
    <row r="26" spans="1:20" s="22" customFormat="1" ht="14.5" x14ac:dyDescent="0.35">
      <c r="A26" s="16"/>
      <c r="B26" s="17" t="s">
        <v>15</v>
      </c>
      <c r="C26" s="18">
        <v>291396.90000000002</v>
      </c>
      <c r="D26" s="19">
        <f>C26/C18</f>
        <v>0.76858970965595019</v>
      </c>
      <c r="E26" s="18">
        <v>298555.95395301736</v>
      </c>
      <c r="F26" s="19">
        <f>E26/E18</f>
        <v>0.68224854387348199</v>
      </c>
      <c r="G26" s="20">
        <f t="shared" si="6"/>
        <v>-7159.053953017341</v>
      </c>
      <c r="H26" s="18">
        <v>228871.12</v>
      </c>
      <c r="I26" s="19">
        <f>H26/H18</f>
        <v>0.91194245901150095</v>
      </c>
      <c r="J26" s="20">
        <f t="shared" si="7"/>
        <v>62525.780000000028</v>
      </c>
      <c r="K26" s="21"/>
      <c r="L26" s="18">
        <v>1080000.47</v>
      </c>
      <c r="M26" s="19">
        <f>L26/L18</f>
        <v>0.70867763376761883</v>
      </c>
      <c r="N26" s="18">
        <v>1223767.9498561514</v>
      </c>
      <c r="O26" s="19">
        <f>N26/N18</f>
        <v>0.68264185448412817</v>
      </c>
      <c r="P26" s="20">
        <f>L26-N26</f>
        <v>-143767.47985615139</v>
      </c>
      <c r="Q26" s="18">
        <v>774579.62</v>
      </c>
      <c r="R26" s="19">
        <f>Q26/Q18</f>
        <v>0.84506594513490285</v>
      </c>
      <c r="S26" s="20">
        <f t="shared" si="8"/>
        <v>305420.84999999998</v>
      </c>
      <c r="T26" s="17"/>
    </row>
    <row r="27" spans="1:20" s="22" customFormat="1" ht="14.5" x14ac:dyDescent="0.35">
      <c r="A27" s="16"/>
      <c r="B27" s="17" t="s">
        <v>16</v>
      </c>
      <c r="C27" s="18">
        <v>1105.98</v>
      </c>
      <c r="D27" s="19">
        <f>C27/C19</f>
        <v>0.37510683615742563</v>
      </c>
      <c r="E27" s="18">
        <v>531.38</v>
      </c>
      <c r="F27" s="19">
        <f>E27/E19</f>
        <v>0.34109392953198919</v>
      </c>
      <c r="G27" s="20">
        <f t="shared" si="6"/>
        <v>574.6</v>
      </c>
      <c r="H27" s="18">
        <v>642.24</v>
      </c>
      <c r="I27" s="19">
        <f>H27/H19</f>
        <v>0.43942389928500564</v>
      </c>
      <c r="J27" s="20">
        <f t="shared" si="7"/>
        <v>463.74</v>
      </c>
      <c r="K27" s="21"/>
      <c r="L27" s="18">
        <v>5073</v>
      </c>
      <c r="M27" s="19">
        <f>L27/L19</f>
        <v>0.51376626217574395</v>
      </c>
      <c r="N27" s="18">
        <v>2123.0500000000002</v>
      </c>
      <c r="O27" s="19">
        <f>N27/N19</f>
        <v>0.3410949484433391</v>
      </c>
      <c r="P27" s="20">
        <f>L27-N27</f>
        <v>2949.95</v>
      </c>
      <c r="Q27" s="18">
        <v>2321.77</v>
      </c>
      <c r="R27" s="19">
        <f>Q27/Q19</f>
        <v>0.32216602490720503</v>
      </c>
      <c r="S27" s="20">
        <f t="shared" si="8"/>
        <v>2751.23</v>
      </c>
      <c r="T27" s="17"/>
    </row>
    <row r="28" spans="1:20" s="33" customFormat="1" ht="14.5" x14ac:dyDescent="0.35">
      <c r="A28" s="28"/>
      <c r="B28" s="27" t="s">
        <v>20</v>
      </c>
      <c r="C28" s="29">
        <f>SUM(C25:C27)</f>
        <v>570947.08000000007</v>
      </c>
      <c r="D28" s="30">
        <f>C28/C21</f>
        <v>0.37840673348053472</v>
      </c>
      <c r="E28" s="29">
        <f>SUM(E25:E27)</f>
        <v>544205.67395301734</v>
      </c>
      <c r="F28" s="30">
        <f>E28/E$21</f>
        <v>0.35830042168005266</v>
      </c>
      <c r="G28" s="31">
        <f t="shared" si="6"/>
        <v>26741.406046982738</v>
      </c>
      <c r="H28" s="29">
        <f>SUM(H25:H27)</f>
        <v>491372.22</v>
      </c>
      <c r="I28" s="30">
        <f>H28/H$21</f>
        <v>0.37241952452662191</v>
      </c>
      <c r="J28" s="31">
        <f t="shared" si="7"/>
        <v>79574.860000000102</v>
      </c>
      <c r="K28" s="32"/>
      <c r="L28" s="29">
        <f>SUM(L25:L27)</f>
        <v>2133442.7400000002</v>
      </c>
      <c r="M28" s="30">
        <f>L28/L$21</f>
        <v>0.33922077454654564</v>
      </c>
      <c r="N28" s="29">
        <f>SUM(N25:N27)</f>
        <v>2245569.1898561511</v>
      </c>
      <c r="O28" s="30">
        <f>N28/N$21</f>
        <v>0.33196713292488622</v>
      </c>
      <c r="P28" s="31">
        <f>L28-N28</f>
        <v>-112126.4498561509</v>
      </c>
      <c r="Q28" s="29">
        <f>SUM(Q25:Q27)</f>
        <v>1807695.33</v>
      </c>
      <c r="R28" s="30">
        <f>Q28/Q$21</f>
        <v>0.30823822277399193</v>
      </c>
      <c r="S28" s="31">
        <f t="shared" si="8"/>
        <v>325747.41000000015</v>
      </c>
      <c r="T28" s="27"/>
    </row>
    <row r="29" spans="1:20" s="22" customFormat="1" ht="14.5" x14ac:dyDescent="0.35">
      <c r="A29" s="16"/>
      <c r="B29" s="17" t="s">
        <v>12</v>
      </c>
      <c r="C29" s="18"/>
      <c r="D29" s="19"/>
      <c r="E29" s="18"/>
      <c r="F29" s="19"/>
      <c r="G29" s="20"/>
      <c r="H29" s="18"/>
      <c r="I29" s="19"/>
      <c r="J29" s="20"/>
      <c r="K29" s="21"/>
      <c r="L29" s="18"/>
      <c r="M29" s="19"/>
      <c r="N29" s="18"/>
      <c r="O29" s="19"/>
      <c r="P29" s="20"/>
      <c r="Q29" s="18"/>
      <c r="R29" s="19"/>
      <c r="S29" s="20"/>
      <c r="T29" s="17"/>
    </row>
    <row r="30" spans="1:20" s="22" customFormat="1" ht="14.5" x14ac:dyDescent="0.35">
      <c r="A30" s="16"/>
      <c r="B30" s="27" t="s">
        <v>21</v>
      </c>
      <c r="C30" s="29">
        <f>C21-C28</f>
        <v>937871.41999999969</v>
      </c>
      <c r="D30" s="30">
        <f>C30/C21</f>
        <v>0.62159326651946534</v>
      </c>
      <c r="E30" s="29">
        <f>E21-E28</f>
        <v>974647.33604698291</v>
      </c>
      <c r="F30" s="30">
        <f>E30/E$21</f>
        <v>0.64169957831994728</v>
      </c>
      <c r="G30" s="31">
        <f>C30-E30</f>
        <v>-36775.916046983213</v>
      </c>
      <c r="H30" s="29">
        <f>H21-H28</f>
        <v>828032.87999999989</v>
      </c>
      <c r="I30" s="30">
        <f>H30/H$21</f>
        <v>0.62758047547337814</v>
      </c>
      <c r="J30" s="31">
        <f>C30-H30</f>
        <v>109838.5399999998</v>
      </c>
      <c r="K30" s="21"/>
      <c r="L30" s="29">
        <f>L21-L28</f>
        <v>4155802.79</v>
      </c>
      <c r="M30" s="30">
        <f>L30/L$21</f>
        <v>0.66077922545345436</v>
      </c>
      <c r="N30" s="29">
        <f>N21-N28</f>
        <v>4518863.0901438491</v>
      </c>
      <c r="O30" s="30">
        <f>N30/N$21</f>
        <v>0.66803286707511378</v>
      </c>
      <c r="P30" s="31">
        <f>L30-N30</f>
        <v>-363060.3001438491</v>
      </c>
      <c r="Q30" s="29">
        <f>Q21-Q28</f>
        <v>4056909.37</v>
      </c>
      <c r="R30" s="30">
        <f>Q30/Q$21</f>
        <v>0.69176177722600807</v>
      </c>
      <c r="S30" s="31">
        <f>L30-Q30</f>
        <v>98893.419999999925</v>
      </c>
      <c r="T30" s="17"/>
    </row>
    <row r="31" spans="1:20" s="22" customFormat="1" ht="14.5" x14ac:dyDescent="0.35">
      <c r="A31" s="16"/>
      <c r="B31" s="17" t="s">
        <v>12</v>
      </c>
      <c r="C31" s="18"/>
      <c r="D31" s="19"/>
      <c r="E31" s="18"/>
      <c r="F31" s="19"/>
      <c r="G31" s="20"/>
      <c r="H31" s="18"/>
      <c r="I31" s="19"/>
      <c r="J31" s="20"/>
      <c r="K31" s="21"/>
      <c r="L31" s="18"/>
      <c r="M31" s="19"/>
      <c r="N31" s="18"/>
      <c r="O31" s="19"/>
      <c r="P31" s="20"/>
      <c r="Q31" s="18"/>
      <c r="R31" s="19"/>
      <c r="S31" s="20"/>
      <c r="T31" s="17"/>
    </row>
    <row r="32" spans="1:20" s="22" customFormat="1" ht="14.5" x14ac:dyDescent="0.35">
      <c r="A32" s="16"/>
      <c r="B32" s="27" t="s">
        <v>22</v>
      </c>
      <c r="C32" s="18"/>
      <c r="D32" s="19"/>
      <c r="E32" s="18"/>
      <c r="F32" s="19"/>
      <c r="G32" s="20"/>
      <c r="H32" s="18"/>
      <c r="I32" s="19"/>
      <c r="J32" s="20"/>
      <c r="K32" s="21"/>
      <c r="L32" s="18"/>
      <c r="M32" s="19"/>
      <c r="N32" s="18"/>
      <c r="O32" s="19"/>
      <c r="P32" s="20"/>
      <c r="Q32" s="18"/>
      <c r="R32" s="19"/>
      <c r="S32" s="20"/>
      <c r="T32" s="17"/>
    </row>
    <row r="33" spans="1:20" s="22" customFormat="1" ht="14.5" x14ac:dyDescent="0.35">
      <c r="A33" s="16"/>
      <c r="B33" s="17" t="s">
        <v>23</v>
      </c>
      <c r="C33" s="18">
        <v>133968.94</v>
      </c>
      <c r="D33" s="19">
        <f>C33/C21</f>
        <v>8.8790626573043763E-2</v>
      </c>
      <c r="E33" s="18">
        <v>138401.35675579315</v>
      </c>
      <c r="F33" s="19">
        <f t="shared" ref="F33:F38" si="9">E33/E$21</f>
        <v>9.1122284937759132E-2</v>
      </c>
      <c r="G33" s="20">
        <f t="shared" ref="G33:G38" si="10">C33-E33</f>
        <v>-4432.4167557931505</v>
      </c>
      <c r="H33" s="18">
        <v>118161.63</v>
      </c>
      <c r="I33" s="19">
        <f t="shared" ref="I33:I38" si="11">H33/H$21</f>
        <v>8.9556747961638178E-2</v>
      </c>
      <c r="J33" s="20">
        <f t="shared" ref="J33:J38" si="12">C33-H33</f>
        <v>15807.309999999998</v>
      </c>
      <c r="K33" s="21"/>
      <c r="L33" s="18">
        <v>495671.27999999997</v>
      </c>
      <c r="M33" s="19">
        <f t="shared" ref="M33:M38" si="13">L33/L$21</f>
        <v>7.8812518550217897E-2</v>
      </c>
      <c r="N33" s="18">
        <v>544392.40094566287</v>
      </c>
      <c r="O33" s="19">
        <f t="shared" ref="O33:O38" si="14">N33/N$21</f>
        <v>8.047865340528812E-2</v>
      </c>
      <c r="P33" s="20">
        <f t="shared" ref="P33:P38" si="15">L33-N33</f>
        <v>-48721.1209456629</v>
      </c>
      <c r="Q33" s="18">
        <v>457549.71</v>
      </c>
      <c r="R33" s="19">
        <f t="shared" ref="R33:R38" si="16">Q33/Q$21</f>
        <v>7.8018849249975875E-2</v>
      </c>
      <c r="S33" s="20">
        <f t="shared" ref="S33:S38" si="17">L33-Q33</f>
        <v>38121.569999999949</v>
      </c>
      <c r="T33" s="17"/>
    </row>
    <row r="34" spans="1:20" s="22" customFormat="1" ht="14.5" x14ac:dyDescent="0.35">
      <c r="A34" s="16"/>
      <c r="B34" s="17" t="s">
        <v>24</v>
      </c>
      <c r="C34" s="18">
        <v>16160.83</v>
      </c>
      <c r="D34" s="19">
        <f>C34/C21</f>
        <v>1.0710917184538765E-2</v>
      </c>
      <c r="E34" s="18">
        <v>15681.7</v>
      </c>
      <c r="F34" s="19">
        <f t="shared" si="9"/>
        <v>1.0324698898940851E-2</v>
      </c>
      <c r="G34" s="20">
        <f t="shared" si="10"/>
        <v>479.1299999999992</v>
      </c>
      <c r="H34" s="18">
        <v>15829.8</v>
      </c>
      <c r="I34" s="19">
        <f t="shared" si="11"/>
        <v>1.199767986344755E-2</v>
      </c>
      <c r="J34" s="20">
        <f>C34-H34</f>
        <v>331.03000000000065</v>
      </c>
      <c r="K34" s="21"/>
      <c r="L34" s="18">
        <v>80361.22</v>
      </c>
      <c r="M34" s="19">
        <f t="shared" si="13"/>
        <v>1.2777561253837708E-2</v>
      </c>
      <c r="N34" s="18">
        <v>79636.01999999999</v>
      </c>
      <c r="O34" s="19">
        <f t="shared" si="14"/>
        <v>1.1772757373217429E-2</v>
      </c>
      <c r="P34" s="20">
        <f t="shared" si="15"/>
        <v>725.20000000001164</v>
      </c>
      <c r="Q34" s="18">
        <v>78045.459999999992</v>
      </c>
      <c r="R34" s="19">
        <f t="shared" si="16"/>
        <v>1.3307880751110128E-2</v>
      </c>
      <c r="S34" s="20">
        <f t="shared" si="17"/>
        <v>2315.7600000000093</v>
      </c>
      <c r="T34" s="17"/>
    </row>
    <row r="35" spans="1:20" s="22" customFormat="1" ht="14.5" x14ac:dyDescent="0.35">
      <c r="A35" s="16"/>
      <c r="B35" s="17" t="s">
        <v>25</v>
      </c>
      <c r="C35" s="18">
        <v>88393.96</v>
      </c>
      <c r="D35" s="19">
        <f>C35/C21</f>
        <v>5.8584886121160376E-2</v>
      </c>
      <c r="E35" s="18">
        <v>104759.66</v>
      </c>
      <c r="F35" s="19">
        <f t="shared" si="9"/>
        <v>6.8972875788684773E-2</v>
      </c>
      <c r="G35" s="20">
        <f t="shared" si="10"/>
        <v>-16365.699999999997</v>
      </c>
      <c r="H35" s="18">
        <v>115727.72</v>
      </c>
      <c r="I35" s="19">
        <f t="shared" si="11"/>
        <v>8.7712045375601483E-2</v>
      </c>
      <c r="J35" s="20">
        <f t="shared" si="12"/>
        <v>-27333.759999999995</v>
      </c>
      <c r="K35" s="21"/>
      <c r="L35" s="18">
        <v>381980.89</v>
      </c>
      <c r="M35" s="19">
        <f t="shared" si="13"/>
        <v>6.0735566480579109E-2</v>
      </c>
      <c r="N35" s="18">
        <v>470940.57999999996</v>
      </c>
      <c r="O35" s="19">
        <f t="shared" si="14"/>
        <v>6.9620118955496427E-2</v>
      </c>
      <c r="P35" s="20">
        <f t="shared" si="15"/>
        <v>-88959.689999999944</v>
      </c>
      <c r="Q35" s="18">
        <v>417390.76</v>
      </c>
      <c r="R35" s="19">
        <f t="shared" si="16"/>
        <v>7.1171166915990097E-2</v>
      </c>
      <c r="S35" s="20">
        <f t="shared" si="17"/>
        <v>-35409.869999999995</v>
      </c>
      <c r="T35" s="17"/>
    </row>
    <row r="36" spans="1:20" s="22" customFormat="1" ht="14.5" x14ac:dyDescent="0.35">
      <c r="A36" s="16"/>
      <c r="B36" s="17" t="s">
        <v>26</v>
      </c>
      <c r="C36" s="18">
        <v>57358.85</v>
      </c>
      <c r="D36" s="19">
        <f>C36/C21</f>
        <v>3.8015738804899335E-2</v>
      </c>
      <c r="E36" s="18">
        <v>65333.869928539687</v>
      </c>
      <c r="F36" s="19">
        <f t="shared" si="9"/>
        <v>4.3015268428470033E-2</v>
      </c>
      <c r="G36" s="20">
        <f t="shared" si="10"/>
        <v>-7975.0199285396884</v>
      </c>
      <c r="H36" s="18">
        <v>37576.639999999999</v>
      </c>
      <c r="I36" s="19">
        <f t="shared" si="11"/>
        <v>2.8479986927441771E-2</v>
      </c>
      <c r="J36" s="20">
        <f t="shared" si="12"/>
        <v>19782.21</v>
      </c>
      <c r="K36" s="21"/>
      <c r="L36" s="18">
        <v>220794.79</v>
      </c>
      <c r="M36" s="19">
        <f t="shared" si="13"/>
        <v>3.5106721298572043E-2</v>
      </c>
      <c r="N36" s="18">
        <v>267358.96394781797</v>
      </c>
      <c r="O36" s="19">
        <f t="shared" si="14"/>
        <v>3.9524228032898269E-2</v>
      </c>
      <c r="P36" s="20">
        <f t="shared" si="15"/>
        <v>-46564.173947817966</v>
      </c>
      <c r="Q36" s="18">
        <v>225470.27000000002</v>
      </c>
      <c r="R36" s="19">
        <f t="shared" si="16"/>
        <v>3.8445945043832197E-2</v>
      </c>
      <c r="S36" s="20">
        <f t="shared" si="17"/>
        <v>-4675.4800000000105</v>
      </c>
      <c r="T36" s="17"/>
    </row>
    <row r="37" spans="1:20" s="22" customFormat="1" ht="14.5" x14ac:dyDescent="0.35">
      <c r="A37" s="16"/>
      <c r="B37" s="17" t="s">
        <v>27</v>
      </c>
      <c r="C37" s="18">
        <v>24121.87</v>
      </c>
      <c r="D37" s="19">
        <f>C37/C21</f>
        <v>1.5987257579357626E-2</v>
      </c>
      <c r="E37" s="18">
        <v>23162.39</v>
      </c>
      <c r="F37" s="19">
        <f t="shared" si="9"/>
        <v>1.5249922044793522E-2</v>
      </c>
      <c r="G37" s="20">
        <f t="shared" si="10"/>
        <v>959.47999999999956</v>
      </c>
      <c r="H37" s="18">
        <v>25806.47</v>
      </c>
      <c r="I37" s="19">
        <f t="shared" si="11"/>
        <v>1.9559171023365001E-2</v>
      </c>
      <c r="J37" s="20">
        <f t="shared" si="12"/>
        <v>-1684.6000000000022</v>
      </c>
      <c r="K37" s="21"/>
      <c r="L37" s="18">
        <v>93445.37</v>
      </c>
      <c r="M37" s="19">
        <f t="shared" si="13"/>
        <v>1.4857961826146099E-2</v>
      </c>
      <c r="N37" s="18">
        <v>90217.04</v>
      </c>
      <c r="O37" s="19">
        <f t="shared" si="14"/>
        <v>1.3336971421347424E-2</v>
      </c>
      <c r="P37" s="20">
        <f t="shared" si="15"/>
        <v>3228.3300000000017</v>
      </c>
      <c r="Q37" s="18">
        <v>95974.61</v>
      </c>
      <c r="R37" s="19">
        <f t="shared" si="16"/>
        <v>1.6365060376533135E-2</v>
      </c>
      <c r="S37" s="20">
        <f t="shared" si="17"/>
        <v>-2529.2400000000052</v>
      </c>
      <c r="T37" s="17"/>
    </row>
    <row r="38" spans="1:20" s="33" customFormat="1" ht="14.5" x14ac:dyDescent="0.35">
      <c r="A38" s="28"/>
      <c r="B38" s="27" t="s">
        <v>28</v>
      </c>
      <c r="C38" s="29">
        <f>SUM(C33:C37)</f>
        <v>320004.44999999995</v>
      </c>
      <c r="D38" s="30">
        <f>C38/C21</f>
        <v>0.21208942626299981</v>
      </c>
      <c r="E38" s="29">
        <f>SUM(E33:E37)</f>
        <v>347338.97668433288</v>
      </c>
      <c r="F38" s="30">
        <f t="shared" si="9"/>
        <v>0.22868505009864834</v>
      </c>
      <c r="G38" s="31">
        <f t="shared" si="10"/>
        <v>-27334.52668433293</v>
      </c>
      <c r="H38" s="29">
        <f>SUM(H33:H37)</f>
        <v>313102.26</v>
      </c>
      <c r="I38" s="30">
        <f t="shared" si="11"/>
        <v>0.237305631151494</v>
      </c>
      <c r="J38" s="31">
        <f t="shared" si="12"/>
        <v>6902.1899999999441</v>
      </c>
      <c r="K38" s="32"/>
      <c r="L38" s="29">
        <f>SUM(L33:L37)</f>
        <v>1272253.5499999998</v>
      </c>
      <c r="M38" s="30">
        <f t="shared" si="13"/>
        <v>0.20229032940935282</v>
      </c>
      <c r="N38" s="29">
        <f>SUM(N33:N37)</f>
        <v>1452545.0048934808</v>
      </c>
      <c r="O38" s="30">
        <f t="shared" si="14"/>
        <v>0.21473272918824768</v>
      </c>
      <c r="P38" s="31">
        <f t="shared" si="15"/>
        <v>-180291.45489348099</v>
      </c>
      <c r="Q38" s="29">
        <f>SUM(Q33:Q37)</f>
        <v>1274430.8100000003</v>
      </c>
      <c r="R38" s="30">
        <f t="shared" si="16"/>
        <v>0.21730890233744146</v>
      </c>
      <c r="S38" s="31">
        <f t="shared" si="17"/>
        <v>-2177.260000000475</v>
      </c>
      <c r="T38" s="27"/>
    </row>
    <row r="39" spans="1:20" s="22" customFormat="1" ht="14.5" x14ac:dyDescent="0.35">
      <c r="A39" s="16"/>
      <c r="B39" s="17" t="s">
        <v>12</v>
      </c>
      <c r="C39" s="18"/>
      <c r="D39" s="19"/>
      <c r="E39" s="18"/>
      <c r="F39" s="19"/>
      <c r="G39" s="20"/>
      <c r="H39" s="18"/>
      <c r="I39" s="19"/>
      <c r="J39" s="20"/>
      <c r="K39" s="21"/>
      <c r="L39" s="18"/>
      <c r="M39" s="19"/>
      <c r="N39" s="18"/>
      <c r="O39" s="19"/>
      <c r="P39" s="20"/>
      <c r="Q39" s="18"/>
      <c r="R39" s="19"/>
      <c r="S39" s="20"/>
      <c r="T39" s="17"/>
    </row>
    <row r="40" spans="1:20" s="22" customFormat="1" ht="14.5" x14ac:dyDescent="0.35">
      <c r="A40" s="16"/>
      <c r="B40" s="27" t="s">
        <v>29</v>
      </c>
      <c r="C40" s="29">
        <f>C30-C38</f>
        <v>617866.96999999974</v>
      </c>
      <c r="D40" s="30">
        <f>C40/C21</f>
        <v>0.40950384025646547</v>
      </c>
      <c r="E40" s="29">
        <f>E30-E38</f>
        <v>627308.35936264996</v>
      </c>
      <c r="F40" s="30">
        <f>E40/E$21</f>
        <v>0.41301452822129897</v>
      </c>
      <c r="G40" s="31">
        <f>C40-E40</f>
        <v>-9441.3893626502249</v>
      </c>
      <c r="H40" s="29">
        <f>H30-H38</f>
        <v>514930.61999999988</v>
      </c>
      <c r="I40" s="30">
        <f>H40/H$21</f>
        <v>0.39027484432188408</v>
      </c>
      <c r="J40" s="31">
        <f>C40-H40</f>
        <v>102936.34999999986</v>
      </c>
      <c r="K40" s="21"/>
      <c r="L40" s="29">
        <f>L30-L38</f>
        <v>2883549.24</v>
      </c>
      <c r="M40" s="30">
        <f>L40/L$21</f>
        <v>0.45848889604410153</v>
      </c>
      <c r="N40" s="29">
        <f>N30-N38</f>
        <v>3066318.0852503683</v>
      </c>
      <c r="O40" s="30">
        <f>N40/N$21</f>
        <v>0.45330013788686613</v>
      </c>
      <c r="P40" s="31">
        <f>L40-N40</f>
        <v>-182768.84525036812</v>
      </c>
      <c r="Q40" s="29">
        <f>Q30-Q38</f>
        <v>2782478.5599999996</v>
      </c>
      <c r="R40" s="30">
        <f>Q40/Q$21</f>
        <v>0.47445287488856658</v>
      </c>
      <c r="S40" s="31">
        <f>L40-Q40</f>
        <v>101070.68000000063</v>
      </c>
      <c r="T40" s="17"/>
    </row>
    <row r="41" spans="1:20" s="22" customFormat="1" ht="14.5" x14ac:dyDescent="0.35">
      <c r="A41" s="16"/>
      <c r="B41" s="17" t="s">
        <v>12</v>
      </c>
      <c r="C41" s="18"/>
      <c r="D41" s="19"/>
      <c r="E41" s="18"/>
      <c r="F41" s="19"/>
      <c r="G41" s="20"/>
      <c r="H41" s="18"/>
      <c r="I41" s="19"/>
      <c r="J41" s="20"/>
      <c r="K41" s="21"/>
      <c r="L41" s="18"/>
      <c r="M41" s="19"/>
      <c r="N41" s="18"/>
      <c r="O41" s="19"/>
      <c r="P41" s="20"/>
      <c r="Q41" s="18"/>
      <c r="R41" s="19"/>
      <c r="S41" s="20"/>
      <c r="T41" s="17"/>
    </row>
    <row r="42" spans="1:20" s="22" customFormat="1" ht="14.5" x14ac:dyDescent="0.35">
      <c r="A42" s="16"/>
      <c r="B42" s="17" t="s">
        <v>30</v>
      </c>
      <c r="C42" s="18">
        <v>68430.22</v>
      </c>
      <c r="D42" s="19">
        <f>C42/C21</f>
        <v>4.5353513361613744E-2</v>
      </c>
      <c r="E42" s="18">
        <v>70783.76999999999</v>
      </c>
      <c r="F42" s="19">
        <f>E42/E$21</f>
        <v>4.6603436628801877E-2</v>
      </c>
      <c r="G42" s="20">
        <f t="shared" ref="G42:G43" si="18">C42-E42</f>
        <v>-2353.5499999999884</v>
      </c>
      <c r="H42" s="18">
        <v>56917.53</v>
      </c>
      <c r="I42" s="19">
        <f>H42/H$21</f>
        <v>4.3138782774145713E-2</v>
      </c>
      <c r="J42" s="20">
        <f t="shared" ref="J42:J43" si="19">C42-H42</f>
        <v>11512.690000000002</v>
      </c>
      <c r="K42" s="21"/>
      <c r="L42" s="18">
        <v>273972.26</v>
      </c>
      <c r="M42" s="19">
        <f>L42/L$21</f>
        <v>4.3562023249551843E-2</v>
      </c>
      <c r="N42" s="18">
        <v>306966.13</v>
      </c>
      <c r="O42" s="19">
        <f>N42/N$21</f>
        <v>4.5379437223074692E-2</v>
      </c>
      <c r="P42" s="20">
        <f>L42-N42</f>
        <v>-32993.869999999995</v>
      </c>
      <c r="Q42" s="18">
        <v>243369.30000000002</v>
      </c>
      <c r="R42" s="19">
        <f>Q42/Q$21</f>
        <v>4.149798877322456E-2</v>
      </c>
      <c r="S42" s="20">
        <f t="shared" ref="S42:S43" si="20">L42-Q42</f>
        <v>30602.959999999992</v>
      </c>
      <c r="T42" s="17"/>
    </row>
    <row r="43" spans="1:20" s="33" customFormat="1" ht="14.5" x14ac:dyDescent="0.35">
      <c r="A43" s="28"/>
      <c r="B43" s="27" t="s">
        <v>31</v>
      </c>
      <c r="C43" s="29">
        <f>C40-C42</f>
        <v>549436.74999999977</v>
      </c>
      <c r="D43" s="30">
        <f>C43/C21</f>
        <v>0.36415032689485172</v>
      </c>
      <c r="E43" s="29">
        <f>E40-E42</f>
        <v>556524.58936264995</v>
      </c>
      <c r="F43" s="30">
        <f>E43/E$21</f>
        <v>0.36641109159249707</v>
      </c>
      <c r="G43" s="31">
        <f t="shared" si="18"/>
        <v>-7087.8393626501784</v>
      </c>
      <c r="H43" s="29">
        <f>H40-H42</f>
        <v>458013.08999999985</v>
      </c>
      <c r="I43" s="30">
        <f>H43/H$21</f>
        <v>0.34713606154773835</v>
      </c>
      <c r="J43" s="31">
        <f t="shared" si="19"/>
        <v>91423.659999999916</v>
      </c>
      <c r="K43" s="32"/>
      <c r="L43" s="29">
        <f>L40-L42</f>
        <v>2609576.9800000004</v>
      </c>
      <c r="M43" s="30">
        <f>L43/L$21</f>
        <v>0.41492687279454971</v>
      </c>
      <c r="N43" s="29">
        <f>N40-N42</f>
        <v>2759351.9552503685</v>
      </c>
      <c r="O43" s="30">
        <f>N43/N$21</f>
        <v>0.40792070066379144</v>
      </c>
      <c r="P43" s="31">
        <f>L43-N43</f>
        <v>-149774.97525036801</v>
      </c>
      <c r="Q43" s="29">
        <f>Q40-Q42</f>
        <v>2539109.2599999998</v>
      </c>
      <c r="R43" s="30">
        <f>Q43/Q$21</f>
        <v>0.43295488611534205</v>
      </c>
      <c r="S43" s="31">
        <f t="shared" si="20"/>
        <v>70467.720000000671</v>
      </c>
      <c r="T43" s="27"/>
    </row>
    <row r="44" spans="1:20" s="22" customFormat="1" ht="14.5" x14ac:dyDescent="0.35">
      <c r="A44" s="16"/>
      <c r="B44" s="17" t="s">
        <v>12</v>
      </c>
      <c r="C44" s="18"/>
      <c r="D44" s="19"/>
      <c r="E44" s="18"/>
      <c r="F44" s="19"/>
      <c r="G44" s="20"/>
      <c r="H44" s="18"/>
      <c r="I44" s="19"/>
      <c r="J44" s="20"/>
      <c r="K44" s="21"/>
      <c r="L44" s="18"/>
      <c r="M44" s="19"/>
      <c r="N44" s="18"/>
      <c r="O44" s="19"/>
      <c r="P44" s="20"/>
      <c r="Q44" s="18"/>
      <c r="R44" s="19"/>
      <c r="S44" s="20"/>
      <c r="T44" s="17"/>
    </row>
    <row r="45" spans="1:20" s="22" customFormat="1" ht="14.5" x14ac:dyDescent="0.35">
      <c r="A45" s="16"/>
      <c r="B45" s="17" t="s">
        <v>32</v>
      </c>
      <c r="C45" s="18">
        <v>-1631.67</v>
      </c>
      <c r="D45" s="19">
        <f>C45/C21</f>
        <v>-1.0814223181913533E-3</v>
      </c>
      <c r="E45" s="18">
        <v>-2031</v>
      </c>
      <c r="F45" s="19">
        <f t="shared" ref="F45:F50" si="21">E45/E$21</f>
        <v>-1.3371932547969205E-3</v>
      </c>
      <c r="G45" s="20">
        <f t="shared" ref="G45:G50" si="22">C45-E45</f>
        <v>399.32999999999993</v>
      </c>
      <c r="H45" s="18">
        <v>-1967.65</v>
      </c>
      <c r="I45" s="19">
        <f t="shared" ref="I45:I50" si="23">H45/H$21</f>
        <v>-1.4913160484221262E-3</v>
      </c>
      <c r="J45" s="20">
        <f t="shared" ref="J45:J50" si="24">C45-H45</f>
        <v>335.98</v>
      </c>
      <c r="K45" s="21"/>
      <c r="L45" s="18">
        <v>-9884.92</v>
      </c>
      <c r="M45" s="19">
        <f t="shared" ref="M45:M50" si="25">L45/L$21</f>
        <v>-1.5717179354579913E-3</v>
      </c>
      <c r="N45" s="18">
        <v>-8124</v>
      </c>
      <c r="O45" s="19">
        <f t="shared" ref="O45:O50" si="26">N45/N$21</f>
        <v>-1.2009877050613328E-3</v>
      </c>
      <c r="P45" s="20">
        <f t="shared" ref="P45:P50" si="27">L45-N45</f>
        <v>-1760.92</v>
      </c>
      <c r="Q45" s="18">
        <v>-7748.25</v>
      </c>
      <c r="R45" s="19">
        <f t="shared" ref="R45:R50" si="28">Q45/Q$21</f>
        <v>-1.3211887921448482E-3</v>
      </c>
      <c r="S45" s="20">
        <f t="shared" ref="S45:S50" si="29">L45-Q45</f>
        <v>-2136.67</v>
      </c>
      <c r="T45" s="17"/>
    </row>
    <row r="46" spans="1:20" s="22" customFormat="1" ht="14.5" x14ac:dyDescent="0.35">
      <c r="A46" s="16"/>
      <c r="B46" s="17" t="s">
        <v>33</v>
      </c>
      <c r="C46" s="18">
        <v>277.08999999999997</v>
      </c>
      <c r="D46" s="19">
        <f>C46/C21</f>
        <v>1.8364700591886964E-4</v>
      </c>
      <c r="E46" s="18">
        <v>1100.5</v>
      </c>
      <c r="F46" s="19">
        <f t="shared" si="21"/>
        <v>7.2455990984934078E-4</v>
      </c>
      <c r="G46" s="20">
        <f t="shared" si="22"/>
        <v>-823.41000000000008</v>
      </c>
      <c r="H46" s="18">
        <v>-196.17</v>
      </c>
      <c r="I46" s="19">
        <f t="shared" si="23"/>
        <v>-1.4868064402661472E-4</v>
      </c>
      <c r="J46" s="20">
        <f t="shared" si="24"/>
        <v>473.26</v>
      </c>
      <c r="K46" s="21"/>
      <c r="L46" s="18">
        <v>3931.7200000000003</v>
      </c>
      <c r="M46" s="19">
        <f t="shared" si="25"/>
        <v>6.2514970694744045E-4</v>
      </c>
      <c r="N46" s="18">
        <v>4615</v>
      </c>
      <c r="O46" s="19">
        <f t="shared" si="26"/>
        <v>6.8224498508838644E-4</v>
      </c>
      <c r="P46" s="20">
        <f t="shared" si="27"/>
        <v>-683.27999999999975</v>
      </c>
      <c r="Q46" s="18">
        <v>4172.12</v>
      </c>
      <c r="R46" s="19">
        <f t="shared" si="28"/>
        <v>7.1140685748180088E-4</v>
      </c>
      <c r="S46" s="20">
        <f t="shared" si="29"/>
        <v>-240.39999999999964</v>
      </c>
      <c r="T46" s="17"/>
    </row>
    <row r="47" spans="1:20" s="22" customFormat="1" ht="14.5" x14ac:dyDescent="0.35">
      <c r="A47" s="16"/>
      <c r="B47" s="17" t="s">
        <v>34</v>
      </c>
      <c r="C47" s="18">
        <v>33677.120000000003</v>
      </c>
      <c r="D47" s="19">
        <f>C47/C21</f>
        <v>2.2320192919161586E-2</v>
      </c>
      <c r="E47" s="18">
        <v>64957</v>
      </c>
      <c r="F47" s="19">
        <f t="shared" si="21"/>
        <v>4.2767140448962862E-2</v>
      </c>
      <c r="G47" s="20">
        <f t="shared" si="22"/>
        <v>-31279.879999999997</v>
      </c>
      <c r="H47" s="18">
        <v>62050.2</v>
      </c>
      <c r="I47" s="19">
        <f t="shared" si="23"/>
        <v>4.7028922352960439E-2</v>
      </c>
      <c r="J47" s="20">
        <f t="shared" si="24"/>
        <v>-28373.079999999994</v>
      </c>
      <c r="K47" s="21"/>
      <c r="L47" s="18">
        <v>178781.12</v>
      </c>
      <c r="M47" s="19">
        <f t="shared" si="25"/>
        <v>2.8426481228504365E-2</v>
      </c>
      <c r="N47" s="18">
        <v>210061</v>
      </c>
      <c r="O47" s="19">
        <f t="shared" si="26"/>
        <v>3.1053751638711061E-2</v>
      </c>
      <c r="P47" s="20">
        <f t="shared" si="27"/>
        <v>-31279.880000000005</v>
      </c>
      <c r="Q47" s="18">
        <v>201899.2</v>
      </c>
      <c r="R47" s="19">
        <f t="shared" si="28"/>
        <v>3.442673638344286E-2</v>
      </c>
      <c r="S47" s="20">
        <f t="shared" si="29"/>
        <v>-23118.080000000016</v>
      </c>
      <c r="T47" s="17"/>
    </row>
    <row r="48" spans="1:20" s="22" customFormat="1" ht="14.5" x14ac:dyDescent="0.35">
      <c r="A48" s="16"/>
      <c r="B48" s="17" t="s">
        <v>35</v>
      </c>
      <c r="C48" s="18">
        <v>115207.8</v>
      </c>
      <c r="D48" s="19">
        <f>C48/C21</f>
        <v>7.63563013046301E-2</v>
      </c>
      <c r="E48" s="18">
        <v>120639.82</v>
      </c>
      <c r="F48" s="19">
        <f t="shared" si="21"/>
        <v>7.9428239076275053E-2</v>
      </c>
      <c r="G48" s="20">
        <f t="shared" si="22"/>
        <v>-5432.0200000000041</v>
      </c>
      <c r="H48" s="18">
        <v>130984.32000000001</v>
      </c>
      <c r="I48" s="19">
        <f t="shared" si="23"/>
        <v>9.9275287021400802E-2</v>
      </c>
      <c r="J48" s="20">
        <f t="shared" si="24"/>
        <v>-15776.520000000004</v>
      </c>
      <c r="K48" s="21"/>
      <c r="L48" s="18">
        <v>461216.33</v>
      </c>
      <c r="M48" s="19">
        <f t="shared" si="25"/>
        <v>7.3334126931438148E-2</v>
      </c>
      <c r="N48" s="18">
        <v>482770.78</v>
      </c>
      <c r="O48" s="19">
        <f t="shared" si="26"/>
        <v>7.1369001863967219E-2</v>
      </c>
      <c r="P48" s="20">
        <f t="shared" si="27"/>
        <v>-21554.450000000012</v>
      </c>
      <c r="Q48" s="18">
        <v>521879.55</v>
      </c>
      <c r="R48" s="19">
        <f t="shared" si="28"/>
        <v>8.8988018237614541E-2</v>
      </c>
      <c r="S48" s="20">
        <f t="shared" si="29"/>
        <v>-60663.219999999972</v>
      </c>
      <c r="T48" s="17"/>
    </row>
    <row r="49" spans="1:20" s="22" customFormat="1" ht="14.5" x14ac:dyDescent="0.35">
      <c r="A49" s="16"/>
      <c r="B49" s="17" t="s">
        <v>36</v>
      </c>
      <c r="C49" s="18">
        <v>0</v>
      </c>
      <c r="D49" s="19">
        <f>C49/C21</f>
        <v>0</v>
      </c>
      <c r="E49" s="18">
        <v>0</v>
      </c>
      <c r="F49" s="19">
        <f t="shared" si="21"/>
        <v>0</v>
      </c>
      <c r="G49" s="20">
        <f t="shared" si="22"/>
        <v>0</v>
      </c>
      <c r="H49" s="18">
        <v>0</v>
      </c>
      <c r="I49" s="19">
        <f t="shared" si="23"/>
        <v>0</v>
      </c>
      <c r="J49" s="20">
        <f t="shared" si="24"/>
        <v>0</v>
      </c>
      <c r="K49" s="21"/>
      <c r="L49" s="18">
        <v>0</v>
      </c>
      <c r="M49" s="19">
        <f t="shared" si="25"/>
        <v>0</v>
      </c>
      <c r="N49" s="18">
        <v>0</v>
      </c>
      <c r="O49" s="19">
        <f t="shared" si="26"/>
        <v>0</v>
      </c>
      <c r="P49" s="20">
        <f t="shared" si="27"/>
        <v>0</v>
      </c>
      <c r="Q49" s="18">
        <v>0</v>
      </c>
      <c r="R49" s="19">
        <f t="shared" si="28"/>
        <v>0</v>
      </c>
      <c r="S49" s="20">
        <f t="shared" si="29"/>
        <v>0</v>
      </c>
      <c r="T49" s="17"/>
    </row>
    <row r="50" spans="1:20" s="33" customFormat="1" ht="14.5" x14ac:dyDescent="0.35">
      <c r="A50" s="28"/>
      <c r="B50" s="27" t="s">
        <v>37</v>
      </c>
      <c r="C50" s="29">
        <f>SUM(C45:C49)</f>
        <v>147530.34</v>
      </c>
      <c r="D50" s="30">
        <f>C50/C21</f>
        <v>9.7778718911519194E-2</v>
      </c>
      <c r="E50" s="29">
        <f>SUM(E45:E49)</f>
        <v>184666.32</v>
      </c>
      <c r="F50" s="30">
        <f t="shared" si="21"/>
        <v>0.12158274618029033</v>
      </c>
      <c r="G50" s="31">
        <f t="shared" si="22"/>
        <v>-37135.98000000001</v>
      </c>
      <c r="H50" s="29">
        <f>SUM(H45:H49)</f>
        <v>190870.7</v>
      </c>
      <c r="I50" s="30">
        <f t="shared" si="23"/>
        <v>0.14466421268191251</v>
      </c>
      <c r="J50" s="31">
        <f t="shared" si="24"/>
        <v>-43340.360000000015</v>
      </c>
      <c r="K50" s="32"/>
      <c r="L50" s="29">
        <f>SUM(L45:L49)</f>
        <v>634044.25</v>
      </c>
      <c r="M50" s="30">
        <f t="shared" si="25"/>
        <v>0.10081403993143197</v>
      </c>
      <c r="N50" s="29">
        <f>SUM(N45:N49)</f>
        <v>689322.78</v>
      </c>
      <c r="O50" s="30">
        <f t="shared" si="26"/>
        <v>0.10190401078270533</v>
      </c>
      <c r="P50" s="31">
        <f t="shared" si="27"/>
        <v>-55278.530000000028</v>
      </c>
      <c r="Q50" s="29">
        <f>SUM(Q45:Q49)</f>
        <v>720202.62</v>
      </c>
      <c r="R50" s="30">
        <f t="shared" si="28"/>
        <v>0.12280497268639436</v>
      </c>
      <c r="S50" s="31">
        <f t="shared" si="29"/>
        <v>-86158.37</v>
      </c>
      <c r="T50" s="27"/>
    </row>
    <row r="51" spans="1:20" s="22" customFormat="1" ht="14.5" x14ac:dyDescent="0.35">
      <c r="A51" s="16"/>
      <c r="B51" s="17" t="s">
        <v>12</v>
      </c>
      <c r="C51" s="18"/>
      <c r="D51" s="19"/>
      <c r="E51" s="18"/>
      <c r="F51" s="19"/>
      <c r="G51" s="20"/>
      <c r="H51" s="18"/>
      <c r="I51" s="19"/>
      <c r="J51" s="20"/>
      <c r="K51" s="21"/>
      <c r="L51" s="18"/>
      <c r="M51" s="19"/>
      <c r="N51" s="18"/>
      <c r="O51" s="19"/>
      <c r="P51" s="20"/>
      <c r="Q51" s="18"/>
      <c r="R51" s="19"/>
      <c r="S51" s="20"/>
      <c r="T51" s="17"/>
    </row>
    <row r="52" spans="1:20" s="33" customFormat="1" ht="14.5" x14ac:dyDescent="0.35">
      <c r="A52" s="28"/>
      <c r="B52" s="27" t="s">
        <v>38</v>
      </c>
      <c r="C52" s="29">
        <f>C43-C50</f>
        <v>401906.4099999998</v>
      </c>
      <c r="D52" s="30">
        <f>C52/C21</f>
        <v>0.26637160798333254</v>
      </c>
      <c r="E52" s="29">
        <f>E43-E50</f>
        <v>371858.26936264994</v>
      </c>
      <c r="F52" s="30">
        <f>E52/E$21</f>
        <v>0.24482834541220672</v>
      </c>
      <c r="G52" s="31">
        <f>C52-E52</f>
        <v>30048.140637349861</v>
      </c>
      <c r="H52" s="29">
        <f>H43-H50</f>
        <v>267142.38999999984</v>
      </c>
      <c r="I52" s="30">
        <f>H52/H$21</f>
        <v>0.20247184886582587</v>
      </c>
      <c r="J52" s="31">
        <f>C52-H52</f>
        <v>134764.01999999996</v>
      </c>
      <c r="K52" s="32"/>
      <c r="L52" s="29">
        <f>L43-L50</f>
        <v>1975532.7300000004</v>
      </c>
      <c r="M52" s="30">
        <f>L52/L$21</f>
        <v>0.31411283286311775</v>
      </c>
      <c r="N52" s="29">
        <f>N43-N50</f>
        <v>2070029.1752503684</v>
      </c>
      <c r="O52" s="30">
        <f>N52/N$21</f>
        <v>0.3060166898810861</v>
      </c>
      <c r="P52" s="31">
        <f>L52-N52</f>
        <v>-94496.445250367979</v>
      </c>
      <c r="Q52" s="29">
        <f>Q43-Q50</f>
        <v>1818906.6399999997</v>
      </c>
      <c r="R52" s="30">
        <f>Q52/Q$21</f>
        <v>0.31014991342894765</v>
      </c>
      <c r="S52" s="31">
        <f>L52-Q52</f>
        <v>156626.09000000078</v>
      </c>
      <c r="T52" s="27"/>
    </row>
    <row r="53" spans="1:20" s="22" customFormat="1" ht="14.5" x14ac:dyDescent="0.35">
      <c r="A53" s="16"/>
      <c r="B53" s="17" t="s">
        <v>12</v>
      </c>
      <c r="C53" s="18"/>
      <c r="D53" s="19"/>
      <c r="E53" s="18"/>
      <c r="F53" s="19"/>
      <c r="G53" s="20"/>
      <c r="H53" s="18"/>
      <c r="I53" s="19"/>
      <c r="J53" s="20"/>
      <c r="K53" s="21"/>
      <c r="L53" s="18"/>
      <c r="M53" s="19"/>
      <c r="N53" s="18"/>
      <c r="O53" s="19"/>
      <c r="P53" s="20"/>
      <c r="Q53" s="18"/>
      <c r="R53" s="19"/>
      <c r="S53" s="20"/>
      <c r="T53" s="17"/>
    </row>
    <row r="54" spans="1:20" s="22" customFormat="1" ht="14.5" x14ac:dyDescent="0.35">
      <c r="A54" s="16"/>
      <c r="B54" s="17" t="s">
        <v>39</v>
      </c>
      <c r="C54" s="18">
        <f>C21*0.04</f>
        <v>60352.739999999991</v>
      </c>
      <c r="D54" s="19">
        <f>C54/C21</f>
        <v>0.04</v>
      </c>
      <c r="E54" s="18">
        <f>E21*0.04</f>
        <v>60754.120400000014</v>
      </c>
      <c r="F54" s="19">
        <f>E54/E$21</f>
        <v>0.04</v>
      </c>
      <c r="G54" s="20">
        <f t="shared" ref="G54" si="30">C54-E54</f>
        <v>-401.38040000002366</v>
      </c>
      <c r="H54" s="18">
        <f>H21*0.04</f>
        <v>52776.203999999998</v>
      </c>
      <c r="I54" s="19">
        <f>H54/H$21</f>
        <v>0.04</v>
      </c>
      <c r="J54" s="20">
        <f t="shared" ref="J54:J55" si="31">C54-H54</f>
        <v>7576.5359999999928</v>
      </c>
      <c r="K54" s="21"/>
      <c r="L54" s="18">
        <f>L21*0.04</f>
        <v>251569.82120000001</v>
      </c>
      <c r="M54" s="19">
        <f>L54/L$21</f>
        <v>0.04</v>
      </c>
      <c r="N54" s="18">
        <f>N21*0.04</f>
        <v>270577.29120000004</v>
      </c>
      <c r="O54" s="19">
        <f>N54/N$21</f>
        <v>0.04</v>
      </c>
      <c r="P54" s="20">
        <f>L54-N54</f>
        <v>-19007.47000000003</v>
      </c>
      <c r="Q54" s="18">
        <f>Q21*0.04</f>
        <v>234584.18800000002</v>
      </c>
      <c r="R54" s="19">
        <f>Q54/Q$21</f>
        <v>0.04</v>
      </c>
      <c r="S54" s="20">
        <f t="shared" ref="S54:S55" si="32">L54-Q54</f>
        <v>16985.633199999982</v>
      </c>
      <c r="T54" s="17"/>
    </row>
    <row r="55" spans="1:20" s="33" customFormat="1" ht="15" thickBot="1" x14ac:dyDescent="0.4">
      <c r="A55" s="28"/>
      <c r="B55" s="27" t="s">
        <v>40</v>
      </c>
      <c r="C55" s="34">
        <f>C52-C54</f>
        <v>341553.66999999981</v>
      </c>
      <c r="D55" s="35">
        <f>C55/C21</f>
        <v>0.22637160798333256</v>
      </c>
      <c r="E55" s="34">
        <f>E52-E54</f>
        <v>311104.14896264992</v>
      </c>
      <c r="F55" s="35">
        <f>E55/E$21</f>
        <v>0.20482834541220674</v>
      </c>
      <c r="G55" s="36">
        <f>C55-E55</f>
        <v>30449.521037349885</v>
      </c>
      <c r="H55" s="34">
        <f>H52-H54</f>
        <v>214366.18599999984</v>
      </c>
      <c r="I55" s="35">
        <f>H55/H$21</f>
        <v>0.16247184886582586</v>
      </c>
      <c r="J55" s="36">
        <f t="shared" si="31"/>
        <v>127187.48399999997</v>
      </c>
      <c r="K55" s="32"/>
      <c r="L55" s="34">
        <f>L52-L54</f>
        <v>1723962.9088000003</v>
      </c>
      <c r="M55" s="35">
        <f>L55/L$21</f>
        <v>0.27411283286311772</v>
      </c>
      <c r="N55" s="34">
        <f>N52-N54</f>
        <v>1799451.8840503683</v>
      </c>
      <c r="O55" s="35">
        <f>N55/N$21</f>
        <v>0.26601668988108612</v>
      </c>
      <c r="P55" s="36">
        <f>L55-N55</f>
        <v>-75488.975250368007</v>
      </c>
      <c r="Q55" s="34">
        <f>Q52-Q54</f>
        <v>1584322.4519999996</v>
      </c>
      <c r="R55" s="35">
        <f>Q55/Q$21</f>
        <v>0.27014991342894767</v>
      </c>
      <c r="S55" s="36">
        <f t="shared" si="32"/>
        <v>139640.45680000074</v>
      </c>
      <c r="T55" s="27"/>
    </row>
    <row r="56" spans="1:20" s="22" customFormat="1" ht="15" thickTop="1" x14ac:dyDescent="0.35">
      <c r="A56" s="16"/>
      <c r="B56" s="17"/>
      <c r="C56" s="18"/>
      <c r="D56" s="19"/>
      <c r="E56" s="20"/>
      <c r="F56" s="19"/>
      <c r="G56" s="18"/>
      <c r="H56" s="18"/>
      <c r="I56" s="23"/>
      <c r="J56" s="18"/>
      <c r="K56" s="37"/>
      <c r="L56" s="18"/>
      <c r="M56" s="23"/>
      <c r="N56" s="18"/>
      <c r="O56" s="23"/>
      <c r="P56" s="18"/>
      <c r="Q56" s="18"/>
      <c r="R56" s="23"/>
      <c r="S56" s="20"/>
      <c r="T56" s="17"/>
    </row>
    <row r="57" spans="1:20" s="22" customFormat="1" ht="14.5" x14ac:dyDescent="0.35">
      <c r="A57" s="16"/>
      <c r="B57" s="17"/>
      <c r="C57" s="18"/>
      <c r="D57" s="19"/>
      <c r="E57" s="20"/>
      <c r="F57" s="19"/>
      <c r="G57" s="18"/>
      <c r="H57" s="18"/>
      <c r="I57" s="23"/>
      <c r="J57" s="18"/>
      <c r="K57" s="37"/>
      <c r="L57" s="18"/>
      <c r="M57" s="23"/>
      <c r="N57" s="18"/>
      <c r="O57" s="23"/>
      <c r="P57" s="18"/>
      <c r="Q57" s="18"/>
      <c r="R57" s="23"/>
      <c r="S57" s="20"/>
      <c r="T57" s="17"/>
    </row>
    <row r="58" spans="1:20" ht="14.5" x14ac:dyDescent="0.35">
      <c r="A58" s="7"/>
      <c r="B58" s="7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9"/>
      <c r="P58" s="39"/>
      <c r="Q58" s="39"/>
      <c r="R58" s="39"/>
      <c r="S58" s="17"/>
      <c r="T58" s="17"/>
    </row>
    <row r="59" spans="1:20" ht="15" thickBot="1" x14ac:dyDescent="0.4">
      <c r="A59" s="7"/>
      <c r="B59" s="40"/>
      <c r="C59" s="41"/>
      <c r="D59" s="40"/>
      <c r="E59" s="41"/>
      <c r="F59" s="40"/>
      <c r="G59" s="40"/>
      <c r="H59" s="41"/>
      <c r="I59" s="40"/>
      <c r="J59" s="41"/>
      <c r="K59" s="40"/>
      <c r="L59" s="41"/>
      <c r="M59" s="40"/>
      <c r="N59" s="40"/>
      <c r="O59" s="42"/>
      <c r="P59" s="42"/>
      <c r="Q59" s="41"/>
      <c r="R59" s="42"/>
      <c r="S59" s="41"/>
    </row>
    <row r="60" spans="1:20" ht="13" thickTop="1" x14ac:dyDescent="0.25">
      <c r="A60" s="7"/>
      <c r="B60" s="7"/>
      <c r="C60" s="7"/>
      <c r="D60" s="7"/>
      <c r="E60" s="7"/>
      <c r="F60" s="7"/>
      <c r="O60" s="15"/>
      <c r="P60" s="15"/>
      <c r="Q60" s="15"/>
      <c r="R60" s="15"/>
    </row>
    <row r="61" spans="1:20" x14ac:dyDescent="0.25">
      <c r="B61" s="43"/>
      <c r="C61" s="7"/>
      <c r="D61" s="7"/>
      <c r="E61" s="7"/>
      <c r="F61" s="7"/>
      <c r="O61" s="44"/>
      <c r="P61" s="44"/>
      <c r="Q61" s="44"/>
      <c r="R61" s="44"/>
    </row>
    <row r="62" spans="1:20" x14ac:dyDescent="0.25">
      <c r="C62" s="7"/>
      <c r="D62" s="7"/>
      <c r="E62" s="7"/>
      <c r="F62" s="7"/>
      <c r="O62" s="15"/>
      <c r="P62" s="15"/>
      <c r="Q62" s="15"/>
      <c r="R62" s="15"/>
    </row>
    <row r="63" spans="1:20" x14ac:dyDescent="0.25">
      <c r="C63" s="7"/>
      <c r="D63" s="7"/>
      <c r="E63" s="7"/>
      <c r="F63" s="7"/>
      <c r="O63" s="15"/>
      <c r="P63" s="15"/>
      <c r="Q63" s="15"/>
      <c r="R63" s="15"/>
    </row>
    <row r="64" spans="1:20" x14ac:dyDescent="0.25">
      <c r="C64" s="7"/>
      <c r="D64" s="7"/>
      <c r="E64" s="7"/>
      <c r="F64" s="7"/>
      <c r="O64" s="15"/>
      <c r="P64" s="15"/>
      <c r="Q64" s="15"/>
      <c r="R64" s="15"/>
    </row>
    <row r="65" spans="1:18" x14ac:dyDescent="0.25">
      <c r="C65" s="7"/>
      <c r="D65" s="7"/>
      <c r="E65" s="7"/>
      <c r="F65" s="7"/>
      <c r="O65" s="15"/>
      <c r="P65" s="15"/>
      <c r="Q65" s="15"/>
      <c r="R65" s="15"/>
    </row>
    <row r="66" spans="1:18" x14ac:dyDescent="0.25">
      <c r="C66" s="7"/>
      <c r="D66" s="7"/>
      <c r="E66" s="7"/>
      <c r="F66" s="7"/>
      <c r="O66" s="15"/>
      <c r="P66" s="15"/>
      <c r="Q66" s="15"/>
      <c r="R66" s="15"/>
    </row>
    <row r="67" spans="1:18" x14ac:dyDescent="0.25">
      <c r="C67" s="7"/>
      <c r="D67" s="7"/>
      <c r="E67" s="7"/>
      <c r="F67" s="7"/>
      <c r="O67" s="15"/>
      <c r="P67" s="15"/>
      <c r="Q67" s="15"/>
      <c r="R67" s="15"/>
    </row>
    <row r="68" spans="1:18" x14ac:dyDescent="0.25">
      <c r="B68" s="43"/>
      <c r="C68" s="7"/>
      <c r="D68" s="7"/>
      <c r="E68" s="7"/>
      <c r="F68" s="7"/>
      <c r="O68" s="15"/>
      <c r="P68" s="15"/>
      <c r="Q68" s="15"/>
      <c r="R68" s="15"/>
    </row>
    <row r="69" spans="1:18" x14ac:dyDescent="0.25">
      <c r="C69" s="7"/>
      <c r="D69" s="7"/>
      <c r="E69" s="7"/>
      <c r="F69" s="7"/>
      <c r="O69" s="15"/>
      <c r="P69" s="15"/>
      <c r="Q69" s="15"/>
      <c r="R69" s="15"/>
    </row>
    <row r="70" spans="1:18" x14ac:dyDescent="0.25">
      <c r="B70" s="43"/>
      <c r="C70" s="7"/>
      <c r="D70" s="7"/>
      <c r="E70" s="7"/>
      <c r="F70" s="7"/>
      <c r="O70" s="7"/>
      <c r="P70" s="7"/>
      <c r="Q70" s="7"/>
      <c r="R70" s="7"/>
    </row>
    <row r="71" spans="1:18" x14ac:dyDescent="0.25">
      <c r="B71" s="43"/>
      <c r="C71" s="7"/>
      <c r="D71" s="7"/>
      <c r="E71" s="7"/>
      <c r="F71" s="7"/>
      <c r="O71" s="7"/>
      <c r="P71" s="7"/>
      <c r="Q71" s="7"/>
      <c r="R71" s="7"/>
    </row>
    <row r="72" spans="1:18" x14ac:dyDescent="0.25">
      <c r="C72" s="7"/>
      <c r="D72" s="7"/>
      <c r="E72" s="7"/>
      <c r="F72" s="7"/>
    </row>
    <row r="73" spans="1:18" ht="15.5" x14ac:dyDescent="0.35">
      <c r="A73" s="45"/>
      <c r="C73" s="7"/>
      <c r="D73" s="7"/>
      <c r="E73" s="7"/>
      <c r="F73" s="7"/>
    </row>
    <row r="74" spans="1:18" x14ac:dyDescent="0.25">
      <c r="C74" s="7"/>
      <c r="D74" s="7"/>
      <c r="E74" s="7"/>
      <c r="F74" s="7"/>
      <c r="O74" s="15"/>
      <c r="P74" s="15"/>
      <c r="Q74" s="15"/>
      <c r="R74" s="15"/>
    </row>
    <row r="75" spans="1:18" x14ac:dyDescent="0.25">
      <c r="C75" s="44"/>
      <c r="D75" s="44"/>
      <c r="E75" s="44"/>
      <c r="F75" s="44"/>
      <c r="L75" s="44"/>
      <c r="M75" s="44"/>
      <c r="N75" s="44"/>
      <c r="O75" s="15"/>
      <c r="P75" s="15"/>
      <c r="Q75" s="15"/>
      <c r="R75" s="15"/>
    </row>
    <row r="76" spans="1:18" x14ac:dyDescent="0.25">
      <c r="C76" s="7"/>
      <c r="D76" s="7"/>
      <c r="E76" s="7"/>
      <c r="F76" s="7"/>
      <c r="O76" s="15"/>
      <c r="P76" s="15"/>
      <c r="Q76" s="15"/>
      <c r="R76" s="15"/>
    </row>
    <row r="77" spans="1:18" x14ac:dyDescent="0.25">
      <c r="C77" s="7"/>
      <c r="D77" s="7"/>
      <c r="E77" s="7"/>
      <c r="F77" s="7"/>
      <c r="O77" s="15"/>
      <c r="P77" s="15"/>
      <c r="Q77" s="15"/>
      <c r="R77" s="15"/>
    </row>
    <row r="78" spans="1:18" x14ac:dyDescent="0.25">
      <c r="C78" s="7"/>
      <c r="D78" s="7"/>
      <c r="E78" s="7"/>
      <c r="F78" s="7"/>
      <c r="O78" s="15"/>
      <c r="P78" s="15"/>
      <c r="Q78" s="15"/>
      <c r="R78" s="15"/>
    </row>
    <row r="79" spans="1:18" x14ac:dyDescent="0.25">
      <c r="C79" s="7"/>
      <c r="D79" s="7"/>
      <c r="E79" s="7"/>
      <c r="F79" s="7"/>
      <c r="O79" s="15"/>
      <c r="P79" s="15"/>
      <c r="Q79" s="15"/>
      <c r="R79" s="15"/>
    </row>
    <row r="80" spans="1:18" x14ac:dyDescent="0.25">
      <c r="C80" s="7"/>
      <c r="D80" s="7"/>
      <c r="E80" s="7"/>
      <c r="F80" s="7"/>
      <c r="O80" s="15"/>
      <c r="P80" s="15"/>
      <c r="Q80" s="15"/>
      <c r="R80" s="15"/>
    </row>
    <row r="81" spans="2:18" x14ac:dyDescent="0.25">
      <c r="C81" s="7"/>
      <c r="D81" s="7"/>
      <c r="E81" s="7"/>
      <c r="F81" s="7"/>
      <c r="O81" s="15"/>
      <c r="P81" s="15"/>
      <c r="Q81" s="15"/>
      <c r="R81" s="15"/>
    </row>
    <row r="82" spans="2:18" x14ac:dyDescent="0.25">
      <c r="C82" s="7"/>
      <c r="D82" s="7"/>
      <c r="E82" s="7"/>
      <c r="F82" s="7"/>
      <c r="O82" s="15"/>
      <c r="P82" s="15"/>
      <c r="Q82" s="15"/>
      <c r="R82" s="15"/>
    </row>
    <row r="83" spans="2:18" x14ac:dyDescent="0.25">
      <c r="C83" s="7"/>
      <c r="D83" s="7"/>
      <c r="E83" s="7"/>
      <c r="F83" s="7"/>
      <c r="O83" s="15"/>
      <c r="P83" s="15"/>
      <c r="Q83" s="15"/>
      <c r="R83" s="15"/>
    </row>
    <row r="84" spans="2:18" x14ac:dyDescent="0.25">
      <c r="C84" s="7"/>
      <c r="D84" s="7"/>
      <c r="E84" s="7"/>
      <c r="F84" s="7"/>
      <c r="O84" s="15"/>
      <c r="P84" s="15"/>
      <c r="Q84" s="15"/>
      <c r="R84" s="15"/>
    </row>
    <row r="85" spans="2:18" x14ac:dyDescent="0.25">
      <c r="C85" s="7"/>
      <c r="D85" s="7"/>
      <c r="E85" s="7"/>
      <c r="F85" s="7"/>
      <c r="O85" s="15"/>
      <c r="P85" s="15"/>
      <c r="Q85" s="15"/>
      <c r="R85" s="15"/>
    </row>
    <row r="86" spans="2:18" x14ac:dyDescent="0.25">
      <c r="C86" s="7"/>
      <c r="D86" s="7"/>
      <c r="E86" s="7"/>
      <c r="F86" s="7"/>
      <c r="O86" s="15"/>
      <c r="P86" s="15"/>
      <c r="Q86" s="15"/>
      <c r="R86" s="15"/>
    </row>
    <row r="87" spans="2:18" x14ac:dyDescent="0.25">
      <c r="C87" s="7"/>
      <c r="D87" s="7"/>
      <c r="E87" s="7"/>
      <c r="F87" s="7"/>
      <c r="O87" s="15"/>
      <c r="P87" s="15"/>
      <c r="Q87" s="15"/>
      <c r="R87" s="15"/>
    </row>
    <row r="88" spans="2:18" x14ac:dyDescent="0.25">
      <c r="C88" s="7"/>
      <c r="D88" s="7"/>
      <c r="E88" s="7"/>
      <c r="F88" s="7"/>
      <c r="O88" s="15"/>
      <c r="P88" s="15"/>
      <c r="Q88" s="15"/>
      <c r="R88" s="15"/>
    </row>
    <row r="89" spans="2:18" x14ac:dyDescent="0.25">
      <c r="C89" s="7"/>
      <c r="D89" s="7"/>
      <c r="E89" s="7"/>
      <c r="F89" s="7"/>
      <c r="O89" s="15"/>
      <c r="P89" s="15"/>
      <c r="Q89" s="15"/>
      <c r="R89" s="15"/>
    </row>
    <row r="90" spans="2:18" x14ac:dyDescent="0.25">
      <c r="C90" s="7"/>
      <c r="D90" s="7"/>
      <c r="E90" s="7"/>
      <c r="F90" s="7"/>
      <c r="O90" s="15"/>
      <c r="P90" s="15"/>
      <c r="Q90" s="15"/>
      <c r="R90" s="15"/>
    </row>
    <row r="91" spans="2:18" x14ac:dyDescent="0.25">
      <c r="C91" s="7"/>
      <c r="D91" s="7"/>
      <c r="E91" s="7"/>
      <c r="F91" s="7"/>
      <c r="O91" s="15"/>
      <c r="P91" s="15"/>
      <c r="Q91" s="15"/>
      <c r="R91" s="15"/>
    </row>
    <row r="92" spans="2:18" x14ac:dyDescent="0.25">
      <c r="C92" s="7"/>
      <c r="D92" s="7"/>
      <c r="E92" s="7"/>
      <c r="F92" s="7"/>
      <c r="O92" s="15"/>
      <c r="P92" s="15"/>
      <c r="Q92" s="15"/>
      <c r="R92" s="15"/>
    </row>
    <row r="93" spans="2:18" x14ac:dyDescent="0.25">
      <c r="B93" s="46"/>
      <c r="C93" s="7"/>
      <c r="D93" s="7"/>
      <c r="E93" s="7"/>
      <c r="F93" s="7"/>
      <c r="O93" s="15"/>
      <c r="P93" s="15"/>
      <c r="Q93" s="15"/>
      <c r="R93" s="15"/>
    </row>
    <row r="94" spans="2:18" x14ac:dyDescent="0.25">
      <c r="C94" s="7"/>
      <c r="D94" s="7"/>
      <c r="E94" s="7"/>
      <c r="F94" s="7"/>
      <c r="O94" s="15"/>
      <c r="P94" s="15"/>
      <c r="Q94" s="15"/>
      <c r="R94" s="15"/>
    </row>
    <row r="95" spans="2:18" x14ac:dyDescent="0.25">
      <c r="C95" s="7"/>
      <c r="D95" s="7"/>
      <c r="E95" s="7"/>
      <c r="F95" s="7"/>
      <c r="O95" s="15"/>
      <c r="P95" s="15"/>
      <c r="Q95" s="15"/>
      <c r="R95" s="15"/>
    </row>
    <row r="96" spans="2:18" x14ac:dyDescent="0.25">
      <c r="C96" s="7"/>
      <c r="D96" s="7"/>
      <c r="E96" s="7"/>
      <c r="F96" s="7"/>
      <c r="O96" s="15"/>
      <c r="P96" s="15"/>
      <c r="Q96" s="15"/>
      <c r="R96" s="15"/>
    </row>
    <row r="97" spans="1:18" x14ac:dyDescent="0.25">
      <c r="C97" s="7"/>
      <c r="D97" s="7"/>
      <c r="E97" s="7"/>
      <c r="F97" s="7"/>
      <c r="O97" s="15"/>
      <c r="P97" s="15"/>
      <c r="Q97" s="15"/>
      <c r="R97" s="15"/>
    </row>
    <row r="98" spans="1:18" x14ac:dyDescent="0.25">
      <c r="C98" s="7"/>
      <c r="D98" s="7"/>
      <c r="E98" s="7"/>
      <c r="F98" s="7"/>
      <c r="O98" s="15"/>
      <c r="P98" s="15"/>
      <c r="Q98" s="15"/>
      <c r="R98" s="15"/>
    </row>
    <row r="99" spans="1:18" x14ac:dyDescent="0.25">
      <c r="B99" s="43"/>
      <c r="C99" s="7"/>
      <c r="D99" s="7"/>
      <c r="E99" s="7"/>
      <c r="F99" s="7"/>
      <c r="O99" s="7"/>
      <c r="P99" s="7"/>
      <c r="Q99" s="7"/>
      <c r="R99" s="7"/>
    </row>
    <row r="100" spans="1:18" ht="13" x14ac:dyDescent="0.3">
      <c r="B100" s="47"/>
      <c r="C100" s="7"/>
      <c r="D100" s="7"/>
      <c r="E100" s="7"/>
      <c r="F100" s="7"/>
      <c r="O100" s="7"/>
      <c r="P100" s="7"/>
      <c r="Q100" s="7"/>
      <c r="R100" s="7"/>
    </row>
    <row r="101" spans="1:18" x14ac:dyDescent="0.25">
      <c r="C101" s="7"/>
      <c r="D101" s="7"/>
      <c r="E101" s="7"/>
      <c r="F101" s="7"/>
    </row>
    <row r="102" spans="1:18" x14ac:dyDescent="0.25">
      <c r="C102" s="7"/>
      <c r="D102" s="7"/>
      <c r="E102" s="7"/>
      <c r="F102" s="7"/>
      <c r="O102" s="15"/>
      <c r="P102" s="15"/>
      <c r="Q102" s="15"/>
      <c r="R102" s="15"/>
    </row>
    <row r="103" spans="1:18" x14ac:dyDescent="0.25">
      <c r="C103" s="7"/>
      <c r="D103" s="7"/>
      <c r="E103" s="7"/>
      <c r="F103" s="7"/>
      <c r="O103" s="15"/>
      <c r="P103" s="15"/>
      <c r="Q103" s="15"/>
      <c r="R103" s="15"/>
    </row>
    <row r="104" spans="1:18" x14ac:dyDescent="0.25">
      <c r="C104" s="7"/>
      <c r="D104" s="7"/>
      <c r="E104" s="7"/>
      <c r="F104" s="7"/>
      <c r="O104" s="15"/>
      <c r="P104" s="15"/>
      <c r="Q104" s="15"/>
      <c r="R104" s="15"/>
    </row>
    <row r="105" spans="1:18" x14ac:dyDescent="0.25">
      <c r="C105" s="7"/>
      <c r="D105" s="7"/>
      <c r="E105" s="7"/>
      <c r="F105" s="7"/>
      <c r="O105" s="15"/>
      <c r="P105" s="15"/>
      <c r="Q105" s="15"/>
      <c r="R105" s="15"/>
    </row>
    <row r="106" spans="1:18" x14ac:dyDescent="0.25">
      <c r="C106" s="7"/>
      <c r="D106" s="7"/>
      <c r="E106" s="7"/>
      <c r="F106" s="7"/>
      <c r="O106" s="15"/>
      <c r="P106" s="15"/>
      <c r="Q106" s="15"/>
      <c r="R106" s="15"/>
    </row>
    <row r="107" spans="1:18" x14ac:dyDescent="0.25">
      <c r="C107" s="7"/>
      <c r="D107" s="7"/>
      <c r="E107" s="44"/>
      <c r="F107" s="44"/>
      <c r="N107" s="44"/>
      <c r="O107" s="15"/>
      <c r="P107" s="15"/>
      <c r="Q107" s="15"/>
      <c r="R107" s="15"/>
    </row>
    <row r="108" spans="1:18" x14ac:dyDescent="0.25">
      <c r="C108" s="7"/>
      <c r="D108" s="7"/>
      <c r="E108" s="7"/>
      <c r="F108" s="7"/>
      <c r="O108" s="15"/>
      <c r="P108" s="15"/>
      <c r="Q108" s="15"/>
      <c r="R108" s="15"/>
    </row>
    <row r="109" spans="1:18" ht="14" x14ac:dyDescent="0.3">
      <c r="A109" s="48"/>
      <c r="B109" s="49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1"/>
      <c r="P109" s="51"/>
      <c r="Q109" s="51"/>
      <c r="R109" s="51"/>
    </row>
    <row r="110" spans="1:18" x14ac:dyDescent="0.25"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</row>
    <row r="111" spans="1:18" x14ac:dyDescent="0.25">
      <c r="B111" s="43"/>
      <c r="C111" s="7"/>
      <c r="D111" s="7"/>
      <c r="E111" s="7"/>
      <c r="F111" s="7"/>
      <c r="O111" s="15"/>
      <c r="P111" s="15"/>
      <c r="Q111" s="15"/>
      <c r="R111" s="15"/>
    </row>
    <row r="112" spans="1:18" x14ac:dyDescent="0.25">
      <c r="C112" s="7"/>
      <c r="D112" s="7"/>
      <c r="E112" s="7"/>
      <c r="F112" s="7"/>
      <c r="O112" s="15"/>
      <c r="P112" s="15"/>
      <c r="Q112" s="15"/>
      <c r="R112" s="15"/>
    </row>
    <row r="113" spans="1:13" x14ac:dyDescent="0.25">
      <c r="C113" s="7"/>
      <c r="D113" s="7"/>
      <c r="E113" s="53"/>
      <c r="F113" s="53"/>
      <c r="L113" s="53"/>
      <c r="M113" s="53"/>
    </row>
    <row r="114" spans="1:13" x14ac:dyDescent="0.25">
      <c r="C114" s="7"/>
      <c r="D114" s="7"/>
      <c r="E114" s="53"/>
      <c r="F114" s="53"/>
      <c r="L114" s="53"/>
      <c r="M114" s="53"/>
    </row>
    <row r="115" spans="1:13" x14ac:dyDescent="0.25">
      <c r="C115" s="7"/>
      <c r="D115" s="7"/>
      <c r="E115" s="53"/>
      <c r="F115" s="53"/>
      <c r="L115" s="53"/>
      <c r="M115" s="53"/>
    </row>
    <row r="116" spans="1:13" x14ac:dyDescent="0.25">
      <c r="C116" s="7"/>
      <c r="D116" s="7"/>
      <c r="E116" s="53"/>
      <c r="F116" s="53"/>
      <c r="L116" s="53"/>
      <c r="M116" s="53"/>
    </row>
    <row r="117" spans="1:13" x14ac:dyDescent="0.25">
      <c r="C117" s="7"/>
      <c r="D117" s="7"/>
      <c r="E117" s="53"/>
      <c r="F117" s="53"/>
      <c r="L117" s="53"/>
      <c r="M117" s="53"/>
    </row>
    <row r="118" spans="1:13" x14ac:dyDescent="0.25">
      <c r="C118" s="7"/>
      <c r="D118" s="7"/>
      <c r="E118" s="53"/>
      <c r="F118" s="53"/>
      <c r="L118" s="53"/>
      <c r="M118" s="53"/>
    </row>
    <row r="119" spans="1:13" x14ac:dyDescent="0.25">
      <c r="C119" s="7"/>
      <c r="D119" s="7"/>
      <c r="E119" s="53"/>
      <c r="F119" s="53"/>
      <c r="L119" s="53"/>
      <c r="M119" s="53"/>
    </row>
    <row r="120" spans="1:13" ht="13" x14ac:dyDescent="0.3">
      <c r="A120" s="54"/>
      <c r="C120" s="7"/>
      <c r="D120" s="7"/>
      <c r="E120" s="53"/>
      <c r="F120" s="53"/>
      <c r="L120" s="53"/>
      <c r="M120" s="53"/>
    </row>
    <row r="121" spans="1:13" ht="13" x14ac:dyDescent="0.3">
      <c r="A121" s="54"/>
      <c r="C121" s="7"/>
      <c r="D121" s="7"/>
      <c r="E121" s="53"/>
      <c r="F121" s="53"/>
      <c r="L121" s="53"/>
      <c r="M121" s="53"/>
    </row>
    <row r="122" spans="1:13" x14ac:dyDescent="0.25">
      <c r="C122" s="7"/>
      <c r="D122" s="7"/>
      <c r="E122" s="53"/>
      <c r="F122" s="53"/>
      <c r="L122" s="53"/>
      <c r="M122" s="53"/>
    </row>
    <row r="123" spans="1:13" ht="13" x14ac:dyDescent="0.3">
      <c r="A123" s="54"/>
      <c r="C123" s="7"/>
      <c r="D123" s="7"/>
      <c r="E123" s="53"/>
      <c r="F123" s="53"/>
      <c r="L123" s="53"/>
      <c r="M123" s="53"/>
    </row>
    <row r="124" spans="1:13" x14ac:dyDescent="0.25">
      <c r="B124" s="43"/>
      <c r="C124" s="7"/>
      <c r="D124" s="7"/>
      <c r="E124" s="55"/>
      <c r="F124" s="55"/>
      <c r="L124" s="53"/>
      <c r="M124" s="53"/>
    </row>
    <row r="125" spans="1:13" x14ac:dyDescent="0.25">
      <c r="B125" s="43"/>
      <c r="C125" s="7"/>
      <c r="D125" s="7"/>
      <c r="E125" s="53"/>
      <c r="F125" s="53"/>
      <c r="L125" s="53"/>
      <c r="M125" s="53"/>
    </row>
    <row r="126" spans="1:13" x14ac:dyDescent="0.25">
      <c r="B126" s="43"/>
      <c r="C126" s="7"/>
      <c r="D126" s="7"/>
      <c r="E126" s="53"/>
      <c r="F126" s="53"/>
      <c r="L126" s="53"/>
      <c r="M126" s="53"/>
    </row>
    <row r="127" spans="1:13" x14ac:dyDescent="0.25">
      <c r="B127" s="43"/>
      <c r="C127" s="7"/>
      <c r="D127" s="7"/>
      <c r="E127" s="53"/>
      <c r="F127" s="53"/>
      <c r="L127" s="53"/>
      <c r="M127" s="53"/>
    </row>
    <row r="138" spans="1:13" ht="13" x14ac:dyDescent="0.3">
      <c r="B138" s="56"/>
      <c r="C138" s="57"/>
      <c r="D138" s="57"/>
      <c r="E138" s="58"/>
      <c r="F138" s="58"/>
      <c r="G138" s="59"/>
      <c r="H138" s="59"/>
      <c r="I138" s="59"/>
      <c r="J138" s="59"/>
      <c r="K138" s="59"/>
      <c r="L138" s="58"/>
      <c r="M138" s="58"/>
    </row>
    <row r="139" spans="1:13" ht="13" x14ac:dyDescent="0.3">
      <c r="B139" s="56"/>
      <c r="C139" s="57"/>
      <c r="D139" s="57"/>
      <c r="E139" s="58"/>
      <c r="F139" s="58"/>
      <c r="G139" s="59"/>
      <c r="H139" s="59"/>
      <c r="I139" s="59"/>
      <c r="J139" s="59"/>
      <c r="K139" s="59"/>
      <c r="L139" s="58"/>
      <c r="M139" s="58"/>
    </row>
    <row r="140" spans="1:13" ht="13" x14ac:dyDescent="0.3">
      <c r="B140" s="56"/>
      <c r="C140" s="57"/>
      <c r="D140" s="57"/>
      <c r="E140" s="58"/>
      <c r="F140" s="58"/>
      <c r="G140" s="59"/>
      <c r="H140" s="59"/>
      <c r="I140" s="59"/>
      <c r="J140" s="59"/>
      <c r="K140" s="59"/>
      <c r="L140" s="58"/>
      <c r="M140" s="58"/>
    </row>
    <row r="141" spans="1:13" ht="13" x14ac:dyDescent="0.3">
      <c r="B141" s="56"/>
      <c r="C141" s="57"/>
      <c r="D141" s="57"/>
      <c r="E141" s="58"/>
      <c r="F141" s="58"/>
      <c r="G141" s="59"/>
      <c r="H141" s="59"/>
      <c r="I141" s="59"/>
      <c r="J141" s="59"/>
      <c r="K141" s="59"/>
      <c r="L141" s="58"/>
      <c r="M141" s="58"/>
    </row>
    <row r="142" spans="1:13" ht="13" x14ac:dyDescent="0.3">
      <c r="B142" s="56"/>
      <c r="C142" s="57"/>
      <c r="D142" s="57"/>
      <c r="E142" s="58"/>
      <c r="F142" s="58"/>
      <c r="G142" s="59"/>
      <c r="H142" s="59"/>
      <c r="I142" s="59"/>
      <c r="J142" s="59"/>
      <c r="K142" s="59"/>
      <c r="L142" s="58"/>
      <c r="M142" s="58"/>
    </row>
    <row r="143" spans="1:13" ht="14" x14ac:dyDescent="0.3">
      <c r="A143" s="60"/>
      <c r="B143" s="61"/>
      <c r="C143" s="62"/>
      <c r="D143" s="62"/>
      <c r="E143" s="63"/>
      <c r="F143" s="63"/>
      <c r="G143" s="62"/>
      <c r="H143" s="62"/>
      <c r="I143" s="62"/>
      <c r="J143" s="62"/>
      <c r="K143" s="62"/>
      <c r="L143" s="61"/>
      <c r="M143" s="61"/>
    </row>
    <row r="144" spans="1:13" ht="13" x14ac:dyDescent="0.3">
      <c r="A144" s="64"/>
      <c r="B144" s="61"/>
      <c r="C144" s="62"/>
      <c r="D144" s="62"/>
      <c r="E144" s="63"/>
      <c r="F144" s="63"/>
      <c r="G144" s="62"/>
      <c r="H144" s="62"/>
      <c r="I144" s="62"/>
      <c r="J144" s="62"/>
      <c r="K144" s="62"/>
      <c r="L144" s="61"/>
      <c r="M144" s="61"/>
    </row>
    <row r="145" spans="1:18" x14ac:dyDescent="0.25">
      <c r="C145" s="7"/>
      <c r="D145" s="7"/>
      <c r="E145" s="53"/>
      <c r="F145" s="53"/>
      <c r="L145" s="3"/>
      <c r="M145" s="3"/>
    </row>
    <row r="146" spans="1:18" x14ac:dyDescent="0.25">
      <c r="C146" s="65"/>
      <c r="D146" s="65"/>
      <c r="E146" s="66"/>
      <c r="F146" s="66"/>
      <c r="G146" s="9"/>
      <c r="H146" s="9"/>
      <c r="I146" s="9"/>
      <c r="J146" s="9"/>
      <c r="K146" s="9"/>
      <c r="L146" s="65"/>
      <c r="M146" s="65"/>
      <c r="N146" s="66"/>
      <c r="O146" s="66"/>
      <c r="P146" s="66"/>
      <c r="Q146" s="66"/>
      <c r="R146" s="66"/>
    </row>
    <row r="147" spans="1:18" x14ac:dyDescent="0.25">
      <c r="C147" s="67"/>
      <c r="D147" s="67"/>
      <c r="E147" s="66"/>
      <c r="F147" s="66"/>
      <c r="G147" s="9"/>
      <c r="H147" s="9"/>
      <c r="I147" s="9"/>
      <c r="J147" s="9"/>
      <c r="K147" s="9"/>
      <c r="L147" s="65"/>
      <c r="M147" s="65"/>
      <c r="N147" s="66"/>
      <c r="O147" s="66"/>
      <c r="P147" s="66"/>
      <c r="Q147" s="66"/>
      <c r="R147" s="66"/>
    </row>
    <row r="148" spans="1:18" x14ac:dyDescent="0.25">
      <c r="E148" s="15"/>
      <c r="F148" s="15"/>
      <c r="L148" s="3"/>
      <c r="M148" s="3"/>
      <c r="N148" s="15"/>
      <c r="O148" s="15"/>
      <c r="P148" s="15"/>
      <c r="Q148" s="15"/>
      <c r="R148" s="15"/>
    </row>
    <row r="149" spans="1:18" ht="13" x14ac:dyDescent="0.3">
      <c r="A149" s="47"/>
      <c r="C149" s="7"/>
      <c r="D149" s="7"/>
      <c r="E149" s="7"/>
      <c r="F149" s="7"/>
      <c r="O149" s="15"/>
      <c r="P149" s="15"/>
      <c r="Q149" s="15"/>
      <c r="R149" s="15"/>
    </row>
    <row r="150" spans="1:18" ht="13" x14ac:dyDescent="0.3">
      <c r="A150" s="47"/>
      <c r="C150" s="7"/>
      <c r="D150" s="7"/>
      <c r="E150" s="7"/>
      <c r="F150" s="7"/>
      <c r="O150" s="15"/>
      <c r="P150" s="15"/>
      <c r="Q150" s="15"/>
      <c r="R150" s="15"/>
    </row>
    <row r="151" spans="1:18" ht="13" x14ac:dyDescent="0.3">
      <c r="A151" s="47"/>
      <c r="C151" s="7"/>
      <c r="D151" s="7"/>
      <c r="E151" s="7"/>
      <c r="F151" s="7"/>
      <c r="O151" s="15"/>
      <c r="P151" s="15"/>
      <c r="Q151" s="15"/>
      <c r="R151" s="15"/>
    </row>
    <row r="152" spans="1:18" ht="13" x14ac:dyDescent="0.3">
      <c r="A152" s="47"/>
      <c r="C152" s="7"/>
      <c r="D152" s="7"/>
      <c r="E152" s="7"/>
      <c r="F152" s="7"/>
      <c r="O152" s="15"/>
      <c r="P152" s="15"/>
      <c r="Q152" s="15"/>
      <c r="R152" s="15"/>
    </row>
    <row r="153" spans="1:18" ht="13" x14ac:dyDescent="0.3">
      <c r="A153" s="47"/>
      <c r="C153" s="7"/>
      <c r="D153" s="7"/>
      <c r="E153" s="7"/>
      <c r="F153" s="7"/>
      <c r="O153" s="15"/>
      <c r="P153" s="15"/>
      <c r="Q153" s="15"/>
      <c r="R153" s="15"/>
    </row>
    <row r="154" spans="1:18" x14ac:dyDescent="0.25">
      <c r="C154" s="7"/>
      <c r="D154" s="7"/>
      <c r="E154" s="7"/>
      <c r="F154" s="7"/>
      <c r="O154" s="7"/>
      <c r="P154" s="7"/>
      <c r="Q154" s="7"/>
      <c r="R154" s="7"/>
    </row>
    <row r="156" spans="1:18" ht="13" x14ac:dyDescent="0.3">
      <c r="A156" s="47"/>
      <c r="C156" s="7"/>
      <c r="D156" s="7"/>
      <c r="E156" s="7"/>
      <c r="F156" s="7"/>
      <c r="L156" s="3"/>
      <c r="M156" s="3"/>
      <c r="N156" s="3"/>
    </row>
    <row r="157" spans="1:18" x14ac:dyDescent="0.25">
      <c r="C157" s="7"/>
      <c r="D157" s="7"/>
      <c r="E157" s="7"/>
      <c r="F157" s="7"/>
      <c r="O157" s="15"/>
      <c r="P157" s="15"/>
      <c r="Q157" s="15"/>
      <c r="R157" s="15"/>
    </row>
    <row r="158" spans="1:18" x14ac:dyDescent="0.25">
      <c r="C158" s="7"/>
      <c r="D158" s="7"/>
      <c r="E158" s="7"/>
      <c r="F158" s="7"/>
      <c r="O158" s="15"/>
      <c r="P158" s="15"/>
      <c r="Q158" s="15"/>
      <c r="R158" s="15"/>
    </row>
    <row r="159" spans="1:18" x14ac:dyDescent="0.25">
      <c r="C159" s="7"/>
      <c r="D159" s="7"/>
      <c r="E159" s="7"/>
      <c r="F159" s="7"/>
      <c r="O159" s="15"/>
      <c r="P159" s="15"/>
      <c r="Q159" s="15"/>
      <c r="R159" s="15"/>
    </row>
    <row r="160" spans="1:18" x14ac:dyDescent="0.25">
      <c r="C160" s="7"/>
      <c r="D160" s="7"/>
      <c r="E160" s="7"/>
      <c r="F160" s="7"/>
      <c r="O160" s="15"/>
      <c r="P160" s="15"/>
      <c r="Q160" s="15"/>
      <c r="R160" s="15"/>
    </row>
    <row r="161" spans="1:18" x14ac:dyDescent="0.25">
      <c r="C161" s="7"/>
      <c r="D161" s="7"/>
      <c r="E161" s="7"/>
      <c r="F161" s="7"/>
      <c r="O161" s="15"/>
      <c r="P161" s="15"/>
      <c r="Q161" s="15"/>
      <c r="R161" s="15"/>
    </row>
    <row r="162" spans="1:18" x14ac:dyDescent="0.25">
      <c r="C162" s="7"/>
      <c r="D162" s="7"/>
      <c r="E162" s="7"/>
      <c r="F162" s="7"/>
      <c r="O162" s="15"/>
      <c r="P162" s="15"/>
      <c r="Q162" s="15"/>
      <c r="R162" s="15"/>
    </row>
    <row r="163" spans="1:18" x14ac:dyDescent="0.25">
      <c r="C163" s="7"/>
      <c r="D163" s="7"/>
      <c r="E163" s="7"/>
      <c r="F163" s="7"/>
      <c r="O163" s="15"/>
      <c r="P163" s="15"/>
      <c r="Q163" s="15"/>
      <c r="R163" s="15"/>
    </row>
    <row r="164" spans="1:18" x14ac:dyDescent="0.25">
      <c r="C164" s="7"/>
      <c r="D164" s="7"/>
      <c r="E164" s="7"/>
      <c r="F164" s="7"/>
      <c r="O164" s="15"/>
      <c r="P164" s="15"/>
      <c r="Q164" s="15"/>
      <c r="R164" s="15"/>
    </row>
    <row r="165" spans="1:18" x14ac:dyDescent="0.25">
      <c r="C165" s="7"/>
      <c r="D165" s="7"/>
      <c r="E165" s="7"/>
      <c r="F165" s="7"/>
      <c r="O165" s="15"/>
      <c r="P165" s="15"/>
      <c r="Q165" s="15"/>
      <c r="R165" s="15"/>
    </row>
    <row r="166" spans="1:18" x14ac:dyDescent="0.25">
      <c r="C166" s="7"/>
      <c r="D166" s="7"/>
      <c r="E166" s="7"/>
      <c r="F166" s="7"/>
      <c r="O166" s="15"/>
      <c r="P166" s="15"/>
      <c r="Q166" s="15"/>
      <c r="R166" s="15"/>
    </row>
    <row r="167" spans="1:18" x14ac:dyDescent="0.25">
      <c r="C167" s="7"/>
      <c r="D167" s="7"/>
      <c r="E167" s="7"/>
      <c r="F167" s="7"/>
      <c r="O167" s="15"/>
      <c r="P167" s="15"/>
      <c r="Q167" s="15"/>
      <c r="R167" s="15"/>
    </row>
    <row r="168" spans="1:18" x14ac:dyDescent="0.25">
      <c r="C168" s="7"/>
      <c r="D168" s="7"/>
      <c r="E168" s="7"/>
      <c r="F168" s="7"/>
      <c r="O168" s="15"/>
      <c r="P168" s="15"/>
      <c r="Q168" s="15"/>
      <c r="R168" s="15"/>
    </row>
    <row r="169" spans="1:18" x14ac:dyDescent="0.25">
      <c r="C169" s="7"/>
      <c r="D169" s="7"/>
      <c r="E169" s="7"/>
      <c r="F169" s="7"/>
      <c r="O169" s="15"/>
      <c r="P169" s="15"/>
      <c r="Q169" s="15"/>
      <c r="R169" s="15"/>
    </row>
    <row r="170" spans="1:18" ht="13" x14ac:dyDescent="0.3">
      <c r="A170" s="47"/>
      <c r="C170" s="7"/>
      <c r="D170" s="7"/>
      <c r="E170" s="7"/>
      <c r="F170" s="7"/>
      <c r="O170" s="7"/>
      <c r="P170" s="7"/>
      <c r="Q170" s="7"/>
      <c r="R170" s="7"/>
    </row>
    <row r="171" spans="1:18" ht="13" x14ac:dyDescent="0.3">
      <c r="A171" s="54"/>
      <c r="C171" s="7"/>
      <c r="D171" s="7"/>
      <c r="E171" s="53"/>
      <c r="F171" s="53"/>
      <c r="L171" s="53"/>
      <c r="M171" s="53"/>
    </row>
    <row r="172" spans="1:18" ht="13" x14ac:dyDescent="0.3">
      <c r="A172" s="54"/>
      <c r="C172" s="7"/>
      <c r="D172" s="7"/>
      <c r="E172" s="7"/>
      <c r="F172" s="7"/>
      <c r="O172" s="7"/>
      <c r="P172" s="7"/>
      <c r="Q172" s="7"/>
      <c r="R172" s="7"/>
    </row>
    <row r="173" spans="1:18" ht="13" x14ac:dyDescent="0.3">
      <c r="B173" s="56"/>
      <c r="C173" s="57"/>
      <c r="D173" s="57"/>
      <c r="E173" s="58"/>
      <c r="F173" s="58"/>
      <c r="G173" s="59"/>
      <c r="H173" s="59"/>
      <c r="I173" s="59"/>
      <c r="J173" s="59"/>
      <c r="K173" s="59"/>
      <c r="L173" s="58"/>
      <c r="M173" s="58"/>
    </row>
    <row r="174" spans="1:18" x14ac:dyDescent="0.25">
      <c r="C174" s="7"/>
      <c r="D174" s="7"/>
      <c r="E174" s="7"/>
      <c r="F174" s="7"/>
      <c r="O174" s="15"/>
      <c r="P174" s="15"/>
      <c r="Q174" s="15"/>
      <c r="R174" s="15"/>
    </row>
    <row r="175" spans="1:18" x14ac:dyDescent="0.25">
      <c r="C175" s="7"/>
      <c r="D175" s="7"/>
      <c r="E175" s="7"/>
      <c r="F175" s="7"/>
      <c r="O175" s="15"/>
      <c r="P175" s="15"/>
      <c r="Q175" s="15"/>
      <c r="R175" s="15"/>
    </row>
    <row r="176" spans="1:18" x14ac:dyDescent="0.25">
      <c r="C176" s="7"/>
      <c r="D176" s="7"/>
      <c r="E176" s="7"/>
      <c r="F176" s="7"/>
      <c r="O176" s="15"/>
      <c r="P176" s="15"/>
      <c r="Q176" s="15"/>
      <c r="R176" s="15"/>
    </row>
    <row r="177" spans="2:18" x14ac:dyDescent="0.25">
      <c r="C177" s="7"/>
      <c r="D177" s="7"/>
      <c r="E177" s="7"/>
      <c r="F177" s="7"/>
      <c r="O177" s="15"/>
      <c r="P177" s="15"/>
      <c r="Q177" s="15"/>
      <c r="R177" s="15"/>
    </row>
    <row r="178" spans="2:18" ht="13" x14ac:dyDescent="0.3">
      <c r="C178" s="7"/>
      <c r="D178" s="7"/>
      <c r="E178" s="7"/>
      <c r="F178" s="7"/>
      <c r="L178" s="58"/>
      <c r="M178" s="58"/>
      <c r="N178" s="58"/>
    </row>
    <row r="179" spans="2:18" x14ac:dyDescent="0.25">
      <c r="C179" s="7"/>
      <c r="D179" s="7"/>
      <c r="E179" s="7"/>
      <c r="F179" s="7"/>
      <c r="O179" s="15"/>
      <c r="P179" s="15"/>
      <c r="Q179" s="15"/>
      <c r="R179" s="15"/>
    </row>
    <row r="180" spans="2:18" ht="13" x14ac:dyDescent="0.3">
      <c r="B180" s="56"/>
      <c r="C180" s="57"/>
      <c r="D180" s="57"/>
      <c r="E180" s="58"/>
      <c r="F180" s="58"/>
      <c r="G180" s="59"/>
      <c r="H180" s="59"/>
      <c r="I180" s="59"/>
      <c r="J180" s="59"/>
      <c r="K180" s="59"/>
      <c r="L180" s="58"/>
      <c r="M180" s="58"/>
    </row>
    <row r="181" spans="2:18" ht="13" x14ac:dyDescent="0.3">
      <c r="B181" s="56"/>
      <c r="C181" s="57"/>
      <c r="D181" s="57"/>
      <c r="E181" s="58"/>
      <c r="F181" s="58"/>
      <c r="G181" s="59"/>
      <c r="H181" s="59"/>
      <c r="I181" s="59"/>
      <c r="J181" s="59"/>
      <c r="K181" s="59"/>
      <c r="L181" s="58"/>
      <c r="M181" s="58"/>
    </row>
    <row r="182" spans="2:18" ht="13" x14ac:dyDescent="0.3">
      <c r="B182" s="56"/>
      <c r="C182" s="57"/>
      <c r="D182" s="57"/>
      <c r="E182" s="58"/>
      <c r="F182" s="58"/>
      <c r="G182" s="59"/>
      <c r="H182" s="59"/>
      <c r="I182" s="59"/>
      <c r="J182" s="59"/>
      <c r="K182" s="59"/>
      <c r="L182" s="58"/>
      <c r="M182" s="58"/>
    </row>
    <row r="183" spans="2:18" ht="13" x14ac:dyDescent="0.3">
      <c r="B183" s="56"/>
      <c r="C183" s="57"/>
      <c r="D183" s="57"/>
      <c r="E183" s="58"/>
      <c r="F183" s="58"/>
      <c r="G183" s="59"/>
      <c r="H183" s="59"/>
      <c r="I183" s="59"/>
      <c r="J183" s="59"/>
      <c r="K183" s="59"/>
      <c r="L183" s="58"/>
      <c r="M183" s="58"/>
    </row>
    <row r="184" spans="2:18" ht="13" x14ac:dyDescent="0.3">
      <c r="B184" s="56"/>
      <c r="C184" s="57"/>
      <c r="D184" s="57"/>
      <c r="E184" s="58"/>
      <c r="F184" s="58"/>
      <c r="G184" s="59"/>
      <c r="H184" s="59"/>
      <c r="I184" s="59"/>
      <c r="J184" s="59"/>
      <c r="K184" s="59"/>
      <c r="L184" s="58"/>
      <c r="M184" s="58"/>
    </row>
    <row r="185" spans="2:18" x14ac:dyDescent="0.25">
      <c r="C185" s="68"/>
      <c r="D185" s="68"/>
      <c r="L185" s="53"/>
      <c r="M185" s="53"/>
    </row>
    <row r="186" spans="2:18" x14ac:dyDescent="0.25">
      <c r="C186" s="7"/>
      <c r="D186" s="7"/>
      <c r="E186" s="53"/>
      <c r="F186" s="53"/>
      <c r="L186" s="53"/>
      <c r="M186" s="53"/>
    </row>
    <row r="187" spans="2:18" x14ac:dyDescent="0.25">
      <c r="C187" s="7"/>
      <c r="D187" s="7"/>
      <c r="E187" s="53"/>
      <c r="F187" s="53"/>
      <c r="L187" s="53"/>
      <c r="M187" s="53"/>
    </row>
    <row r="188" spans="2:18" x14ac:dyDescent="0.25">
      <c r="C188" s="7"/>
      <c r="D188" s="7"/>
      <c r="E188" s="53"/>
      <c r="F188" s="53"/>
      <c r="L188" s="53"/>
      <c r="M188" s="53"/>
    </row>
    <row r="189" spans="2:18" x14ac:dyDescent="0.25">
      <c r="C189" s="7"/>
      <c r="D189" s="7"/>
      <c r="E189" s="53"/>
      <c r="F189" s="53"/>
      <c r="L189" s="53"/>
      <c r="M189" s="53"/>
    </row>
    <row r="191" spans="2:18" x14ac:dyDescent="0.25">
      <c r="C191" s="44"/>
      <c r="D191" s="44"/>
    </row>
    <row r="192" spans="2:18" x14ac:dyDescent="0.25">
      <c r="C192" s="44"/>
      <c r="D192" s="44"/>
    </row>
    <row r="193" spans="2:4" x14ac:dyDescent="0.25">
      <c r="C193" s="44"/>
      <c r="D193" s="44"/>
    </row>
    <row r="194" spans="2:4" x14ac:dyDescent="0.25">
      <c r="C194" s="44"/>
      <c r="D194" s="44"/>
    </row>
    <row r="195" spans="2:4" x14ac:dyDescent="0.25">
      <c r="C195" s="44"/>
      <c r="D195" s="44"/>
    </row>
    <row r="197" spans="2:4" x14ac:dyDescent="0.25">
      <c r="C197" s="44"/>
      <c r="D197" s="44"/>
    </row>
    <row r="198" spans="2:4" x14ac:dyDescent="0.25">
      <c r="C198" s="44"/>
      <c r="D198" s="44"/>
    </row>
    <row r="199" spans="2:4" x14ac:dyDescent="0.25">
      <c r="B199" s="69"/>
      <c r="C199" s="70"/>
      <c r="D199" s="70"/>
    </row>
    <row r="202" spans="2:4" x14ac:dyDescent="0.25">
      <c r="B202" s="71"/>
      <c r="C202" s="7"/>
      <c r="D202" s="7"/>
    </row>
    <row r="203" spans="2:4" x14ac:dyDescent="0.25">
      <c r="C203" s="7"/>
      <c r="D203" s="7"/>
    </row>
    <row r="204" spans="2:4" x14ac:dyDescent="0.25">
      <c r="C204" s="7"/>
      <c r="D204" s="7"/>
    </row>
    <row r="216" spans="1:13" ht="13" x14ac:dyDescent="0.3">
      <c r="A216" s="7"/>
      <c r="B216" s="56"/>
      <c r="C216" s="7"/>
      <c r="D216" s="7"/>
      <c r="E216" s="53"/>
      <c r="F216" s="53"/>
      <c r="L216" s="53"/>
      <c r="M216" s="53"/>
    </row>
    <row r="217" spans="1:13" x14ac:dyDescent="0.25">
      <c r="A217" s="7"/>
      <c r="B217" s="46"/>
      <c r="C217" s="7"/>
      <c r="D217" s="7"/>
      <c r="E217" s="53"/>
      <c r="F217" s="53"/>
      <c r="L217" s="53"/>
      <c r="M217" s="53"/>
    </row>
    <row r="218" spans="1:13" x14ac:dyDescent="0.25">
      <c r="A218" s="7"/>
      <c r="B218" s="46"/>
      <c r="C218" s="7"/>
      <c r="D218" s="7"/>
      <c r="E218" s="53"/>
      <c r="F218" s="53"/>
      <c r="L218" s="53"/>
      <c r="M218" s="53"/>
    </row>
    <row r="219" spans="1:13" x14ac:dyDescent="0.25">
      <c r="A219" s="7"/>
      <c r="B219" s="46"/>
      <c r="C219" s="7"/>
      <c r="D219" s="7"/>
      <c r="E219" s="53"/>
      <c r="F219" s="53"/>
      <c r="L219" s="53"/>
      <c r="M219" s="53"/>
    </row>
    <row r="220" spans="1:13" x14ac:dyDescent="0.25">
      <c r="A220" s="7"/>
      <c r="B220" s="46"/>
      <c r="C220" s="7"/>
      <c r="D220" s="7"/>
      <c r="E220" s="53"/>
      <c r="F220" s="53"/>
      <c r="L220" s="53"/>
      <c r="M220" s="53"/>
    </row>
    <row r="221" spans="1:13" x14ac:dyDescent="0.25">
      <c r="A221" s="7"/>
      <c r="B221" s="46"/>
      <c r="C221" s="7"/>
      <c r="D221" s="7"/>
      <c r="E221" s="53"/>
      <c r="F221" s="53"/>
      <c r="L221" s="53"/>
      <c r="M221" s="53"/>
    </row>
    <row r="222" spans="1:13" x14ac:dyDescent="0.25">
      <c r="A222" s="7"/>
      <c r="B222" s="46"/>
      <c r="C222" s="7"/>
      <c r="D222" s="7"/>
      <c r="E222" s="53"/>
      <c r="F222" s="53"/>
      <c r="L222" s="53"/>
      <c r="M222" s="53"/>
    </row>
    <row r="223" spans="1:13" x14ac:dyDescent="0.25">
      <c r="A223" s="7"/>
      <c r="B223" s="46"/>
      <c r="C223" s="7"/>
      <c r="D223" s="7"/>
      <c r="E223" s="53"/>
      <c r="F223" s="53"/>
      <c r="L223" s="53"/>
      <c r="M223" s="53"/>
    </row>
    <row r="224" spans="1:13" x14ac:dyDescent="0.25">
      <c r="A224" s="7"/>
      <c r="B224" s="46"/>
      <c r="C224" s="7"/>
      <c r="D224" s="7"/>
      <c r="E224" s="53"/>
      <c r="F224" s="53"/>
      <c r="L224" s="53"/>
      <c r="M224" s="53"/>
    </row>
    <row r="225" spans="1:13" x14ac:dyDescent="0.25">
      <c r="A225" s="7"/>
      <c r="B225" s="46"/>
      <c r="C225" s="7"/>
      <c r="D225" s="7"/>
      <c r="E225" s="53"/>
      <c r="F225" s="53"/>
      <c r="L225" s="53"/>
      <c r="M225" s="53"/>
    </row>
    <row r="226" spans="1:13" x14ac:dyDescent="0.25">
      <c r="A226" s="7"/>
      <c r="B226" s="46"/>
      <c r="C226" s="7"/>
      <c r="D226" s="7"/>
      <c r="E226" s="53"/>
      <c r="F226" s="53"/>
      <c r="L226" s="53"/>
      <c r="M226" s="53"/>
    </row>
    <row r="227" spans="1:13" x14ac:dyDescent="0.25">
      <c r="A227" s="7"/>
      <c r="B227" s="46"/>
      <c r="C227" s="7"/>
      <c r="D227" s="7"/>
      <c r="E227" s="53"/>
      <c r="F227" s="53"/>
      <c r="L227" s="53"/>
      <c r="M227" s="53"/>
    </row>
    <row r="228" spans="1:13" x14ac:dyDescent="0.25">
      <c r="A228" s="7"/>
      <c r="B228" s="46"/>
      <c r="C228" s="7"/>
      <c r="D228" s="7"/>
      <c r="E228" s="53"/>
      <c r="F228" s="53"/>
      <c r="L228" s="53"/>
      <c r="M228" s="53"/>
    </row>
    <row r="229" spans="1:13" x14ac:dyDescent="0.25">
      <c r="A229" s="7"/>
      <c r="B229" s="46"/>
      <c r="C229" s="7"/>
      <c r="D229" s="7"/>
      <c r="E229" s="53"/>
      <c r="F229" s="53"/>
      <c r="L229" s="53"/>
      <c r="M229" s="53"/>
    </row>
    <row r="230" spans="1:13" x14ac:dyDescent="0.25">
      <c r="A230" s="7"/>
      <c r="B230" s="46"/>
      <c r="C230" s="7"/>
      <c r="D230" s="7"/>
      <c r="E230" s="53"/>
      <c r="F230" s="53"/>
      <c r="L230" s="53"/>
      <c r="M230" s="53"/>
    </row>
    <row r="231" spans="1:13" x14ac:dyDescent="0.25">
      <c r="A231" s="7"/>
      <c r="B231" s="46"/>
      <c r="C231" s="7"/>
      <c r="D231" s="7"/>
      <c r="E231" s="53"/>
      <c r="F231" s="53"/>
      <c r="L231" s="53"/>
      <c r="M231" s="53"/>
    </row>
    <row r="232" spans="1:13" x14ac:dyDescent="0.25">
      <c r="A232" s="7"/>
      <c r="B232" s="46"/>
      <c r="C232" s="7"/>
      <c r="D232" s="7"/>
      <c r="E232" s="53"/>
      <c r="F232" s="53"/>
      <c r="L232" s="53"/>
      <c r="M232" s="53"/>
    </row>
    <row r="233" spans="1:13" x14ac:dyDescent="0.25">
      <c r="A233" s="7"/>
      <c r="B233" s="46"/>
      <c r="C233" s="7"/>
      <c r="D233" s="7"/>
      <c r="E233" s="53"/>
      <c r="F233" s="53"/>
      <c r="L233" s="53"/>
      <c r="M233" s="53"/>
    </row>
    <row r="234" spans="1:13" x14ac:dyDescent="0.25">
      <c r="A234" s="7"/>
      <c r="B234" s="46"/>
      <c r="C234" s="7"/>
      <c r="D234" s="7"/>
      <c r="E234" s="53"/>
      <c r="F234" s="53"/>
      <c r="L234" s="53"/>
      <c r="M234" s="53"/>
    </row>
    <row r="235" spans="1:13" x14ac:dyDescent="0.25">
      <c r="A235" s="7"/>
      <c r="B235" s="46"/>
      <c r="C235" s="7"/>
      <c r="D235" s="7"/>
      <c r="E235" s="53"/>
      <c r="F235" s="53"/>
      <c r="L235" s="53"/>
      <c r="M235" s="53"/>
    </row>
    <row r="236" spans="1:13" x14ac:dyDescent="0.25">
      <c r="A236" s="7"/>
      <c r="B236" s="46"/>
      <c r="C236" s="7"/>
      <c r="D236" s="7"/>
      <c r="E236" s="53"/>
      <c r="F236" s="53"/>
      <c r="L236" s="53"/>
      <c r="M236" s="53"/>
    </row>
    <row r="237" spans="1:13" x14ac:dyDescent="0.25">
      <c r="A237" s="7"/>
      <c r="B237" s="46"/>
      <c r="C237" s="7"/>
      <c r="D237" s="7"/>
      <c r="E237" s="53"/>
      <c r="F237" s="53"/>
      <c r="L237" s="53"/>
      <c r="M237" s="53"/>
    </row>
    <row r="238" spans="1:13" x14ac:dyDescent="0.25">
      <c r="A238" s="7"/>
      <c r="B238" s="46"/>
      <c r="C238" s="7"/>
      <c r="D238" s="7"/>
      <c r="E238" s="53"/>
      <c r="F238" s="53"/>
      <c r="L238" s="53"/>
      <c r="M238" s="53"/>
    </row>
    <row r="239" spans="1:13" x14ac:dyDescent="0.25">
      <c r="A239" s="7"/>
      <c r="B239" s="46"/>
      <c r="C239" s="7"/>
      <c r="D239" s="7"/>
      <c r="E239" s="53"/>
      <c r="F239" s="53"/>
      <c r="L239" s="53"/>
      <c r="M239" s="53"/>
    </row>
    <row r="240" spans="1:13" x14ac:dyDescent="0.25">
      <c r="A240" s="7"/>
      <c r="B240" s="46"/>
      <c r="C240" s="7"/>
      <c r="D240" s="7"/>
      <c r="E240" s="53"/>
      <c r="F240" s="53"/>
      <c r="L240" s="53"/>
      <c r="M240" s="53"/>
    </row>
    <row r="241" spans="1:13" x14ac:dyDescent="0.25">
      <c r="A241" s="7"/>
      <c r="B241" s="46"/>
      <c r="C241" s="7"/>
      <c r="D241" s="7"/>
      <c r="E241" s="53"/>
      <c r="F241" s="53"/>
      <c r="L241" s="53"/>
      <c r="M241" s="53"/>
    </row>
    <row r="242" spans="1:13" x14ac:dyDescent="0.25">
      <c r="A242" s="7"/>
      <c r="B242" s="46"/>
      <c r="C242" s="7"/>
      <c r="D242" s="7"/>
      <c r="E242" s="53"/>
      <c r="F242" s="53"/>
      <c r="L242" s="53"/>
      <c r="M242" s="53"/>
    </row>
    <row r="243" spans="1:13" x14ac:dyDescent="0.25">
      <c r="A243" s="7"/>
      <c r="B243" s="46"/>
      <c r="C243" s="7"/>
      <c r="D243" s="7"/>
      <c r="E243" s="53"/>
      <c r="F243" s="53"/>
      <c r="L243" s="53"/>
      <c r="M243" s="53"/>
    </row>
    <row r="244" spans="1:13" x14ac:dyDescent="0.25">
      <c r="A244" s="7"/>
      <c r="B244" s="46"/>
      <c r="C244" s="7"/>
      <c r="D244" s="7"/>
      <c r="E244" s="53"/>
      <c r="F244" s="53"/>
      <c r="L244" s="53"/>
      <c r="M244" s="53"/>
    </row>
    <row r="245" spans="1:13" x14ac:dyDescent="0.25">
      <c r="A245" s="7"/>
      <c r="B245" s="46"/>
      <c r="C245" s="7"/>
      <c r="D245" s="7"/>
      <c r="E245" s="53"/>
      <c r="F245" s="53"/>
      <c r="L245" s="53"/>
      <c r="M245" s="53"/>
    </row>
    <row r="246" spans="1:13" x14ac:dyDescent="0.25">
      <c r="A246" s="7"/>
      <c r="B246" s="46"/>
      <c r="C246" s="7"/>
      <c r="D246" s="7"/>
      <c r="E246" s="53"/>
      <c r="F246" s="53"/>
      <c r="L246" s="53"/>
      <c r="M246" s="53"/>
    </row>
    <row r="247" spans="1:13" x14ac:dyDescent="0.25">
      <c r="A247" s="7"/>
      <c r="C247" s="7"/>
      <c r="D247" s="7"/>
      <c r="E247" s="53"/>
      <c r="F247" s="53"/>
      <c r="L247" s="53"/>
      <c r="M247" s="53"/>
    </row>
    <row r="248" spans="1:13" ht="13" x14ac:dyDescent="0.3">
      <c r="A248" s="7"/>
      <c r="B248" s="56"/>
      <c r="C248" s="7"/>
      <c r="D248" s="7"/>
      <c r="E248" s="53"/>
      <c r="F248" s="53"/>
      <c r="L248" s="53"/>
      <c r="M248" s="53"/>
    </row>
    <row r="249" spans="1:13" x14ac:dyDescent="0.25">
      <c r="C249" s="7"/>
      <c r="D249" s="7"/>
    </row>
  </sheetData>
  <mergeCells count="8">
    <mergeCell ref="C5:J5"/>
    <mergeCell ref="L5:S5"/>
    <mergeCell ref="C6:D6"/>
    <mergeCell ref="E6:F6"/>
    <mergeCell ref="H6:J6"/>
    <mergeCell ref="L6:M6"/>
    <mergeCell ref="N6:O6"/>
    <mergeCell ref="Q6:S6"/>
  </mergeCells>
  <conditionalFormatting sqref="C59">
    <cfRule type="expression" dxfId="56" priority="35">
      <formula>$U59=0</formula>
    </cfRule>
    <cfRule type="expression" dxfId="55" priority="34">
      <formula>$U59&gt;=1</formula>
    </cfRule>
    <cfRule type="expression" dxfId="54" priority="33">
      <formula>$V59=-1</formula>
    </cfRule>
    <cfRule type="expression" dxfId="53" priority="32">
      <formula>$AA59="%"</formula>
    </cfRule>
    <cfRule type="expression" dxfId="52" priority="31">
      <formula>$AA59="Dec"</formula>
    </cfRule>
  </conditionalFormatting>
  <conditionalFormatting sqref="E59">
    <cfRule type="expression" dxfId="51" priority="2">
      <formula>$AA59="%"</formula>
    </cfRule>
    <cfRule type="expression" dxfId="50" priority="3">
      <formula>$V59=-1</formula>
    </cfRule>
    <cfRule type="expression" dxfId="49" priority="4">
      <formula>$U59&gt;=1</formula>
    </cfRule>
    <cfRule type="expression" dxfId="48" priority="5">
      <formula>$U59=0</formula>
    </cfRule>
    <cfRule type="expression" dxfId="47" priority="1">
      <formula>$AA59="Dec"</formula>
    </cfRule>
  </conditionalFormatting>
  <conditionalFormatting sqref="H59">
    <cfRule type="expression" dxfId="46" priority="26">
      <formula>$AA59="Dec"</formula>
    </cfRule>
    <cfRule type="expression" dxfId="45" priority="27">
      <formula>$AA59="%"</formula>
    </cfRule>
    <cfRule type="expression" dxfId="44" priority="28">
      <formula>$V59=-1</formula>
    </cfRule>
    <cfRule type="expression" dxfId="43" priority="29">
      <formula>$U59&gt;=1</formula>
    </cfRule>
    <cfRule type="expression" dxfId="42" priority="30">
      <formula>$U59=0</formula>
    </cfRule>
  </conditionalFormatting>
  <conditionalFormatting sqref="J59">
    <cfRule type="expression" dxfId="41" priority="21">
      <formula>$AA59="Dec"</formula>
    </cfRule>
    <cfRule type="expression" dxfId="40" priority="22">
      <formula>$AA59="%"</formula>
    </cfRule>
    <cfRule type="expression" dxfId="39" priority="23">
      <formula>$V59=-1</formula>
    </cfRule>
    <cfRule type="expression" dxfId="38" priority="24">
      <formula>$U59&gt;=1</formula>
    </cfRule>
    <cfRule type="expression" dxfId="37" priority="25">
      <formula>$U59=0</formula>
    </cfRule>
  </conditionalFormatting>
  <conditionalFormatting sqref="L59">
    <cfRule type="expression" dxfId="36" priority="19">
      <formula>$U59&gt;=1</formula>
    </cfRule>
    <cfRule type="expression" dxfId="35" priority="20">
      <formula>$U59=0</formula>
    </cfRule>
    <cfRule type="expression" dxfId="34" priority="17">
      <formula>$AA59="%"</formula>
    </cfRule>
    <cfRule type="expression" dxfId="33" priority="16">
      <formula>$AA59="Dec"</formula>
    </cfRule>
    <cfRule type="expression" dxfId="32" priority="18">
      <formula>$V59=-1</formula>
    </cfRule>
  </conditionalFormatting>
  <conditionalFormatting sqref="Q59">
    <cfRule type="expression" dxfId="31" priority="11">
      <formula>$AA59="Dec"</formula>
    </cfRule>
    <cfRule type="expression" dxfId="30" priority="12">
      <formula>$AA59="%"</formula>
    </cfRule>
    <cfRule type="expression" dxfId="29" priority="13">
      <formula>$V59=-1</formula>
    </cfRule>
    <cfRule type="expression" dxfId="28" priority="15">
      <formula>$U59=0</formula>
    </cfRule>
    <cfRule type="expression" dxfId="27" priority="14">
      <formula>$U59&gt;=1</formula>
    </cfRule>
  </conditionalFormatting>
  <conditionalFormatting sqref="S59">
    <cfRule type="expression" dxfId="26" priority="6">
      <formula>$AA59="Dec"</formula>
    </cfRule>
    <cfRule type="expression" dxfId="25" priority="7">
      <formula>$AA59="%"</formula>
    </cfRule>
    <cfRule type="expression" dxfId="24" priority="8">
      <formula>$V59=-1</formula>
    </cfRule>
    <cfRule type="expression" dxfId="23" priority="9">
      <formula>$U59&gt;=1</formula>
    </cfRule>
    <cfRule type="expression" dxfId="22" priority="10">
      <formula>$U59=0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DCAA-8AC5-4D1E-B2CE-6458A58E3A19}">
  <sheetPr codeName="Sheet76">
    <tabColor rgb="FFE77777"/>
    <pageSetUpPr fitToPage="1"/>
  </sheetPr>
  <dimension ref="A1:S248"/>
  <sheetViews>
    <sheetView showGridLines="0" view="pageBreakPreview" topLeftCell="A18" zoomScaleNormal="85" zoomScaleSheetLayoutView="100" workbookViewId="0">
      <selection activeCell="D1" sqref="D1:O1048576"/>
    </sheetView>
  </sheetViews>
  <sheetFormatPr defaultColWidth="8.453125" defaultRowHeight="14.5" x14ac:dyDescent="0.35"/>
  <cols>
    <col min="1" max="1" width="2.453125" style="3" customWidth="1"/>
    <col min="2" max="2" width="38.453125" style="3" customWidth="1"/>
    <col min="4" max="15" width="14.453125" style="3" hidden="1" customWidth="1"/>
    <col min="16" max="16" width="15.453125" style="3" customWidth="1"/>
    <col min="17" max="24" width="0" style="3" hidden="1" customWidth="1"/>
    <col min="25" max="25" width="8.453125" style="3"/>
    <col min="26" max="26" width="9" style="3" bestFit="1" customWidth="1"/>
    <col min="27" max="16384" width="8.453125" style="3"/>
  </cols>
  <sheetData>
    <row r="1" spans="1:19" ht="23" x14ac:dyDescent="0.45">
      <c r="A1" s="1" t="s">
        <v>45</v>
      </c>
      <c r="B1" s="1"/>
    </row>
    <row r="2" spans="1:19" ht="15" customHeight="1" x14ac:dyDescent="0.35">
      <c r="A2" s="72" t="s">
        <v>41</v>
      </c>
      <c r="B2" s="4"/>
    </row>
    <row r="3" spans="1:19" ht="15.5" x14ac:dyDescent="0.35">
      <c r="A3" s="5" t="s">
        <v>46</v>
      </c>
      <c r="B3" s="5"/>
    </row>
    <row r="4" spans="1:19" ht="15" customHeight="1" x14ac:dyDescent="0.35">
      <c r="A4" s="6"/>
      <c r="B4" s="2"/>
    </row>
    <row r="5" spans="1:19" x14ac:dyDescent="0.35"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74"/>
      <c r="S5" s="74"/>
    </row>
    <row r="6" spans="1:19" x14ac:dyDescent="0.35">
      <c r="D6" s="75">
        <v>45443</v>
      </c>
      <c r="E6" s="75">
        <v>45473</v>
      </c>
      <c r="F6" s="75">
        <v>45504</v>
      </c>
      <c r="G6" s="75">
        <v>45535</v>
      </c>
      <c r="H6" s="75">
        <v>45565</v>
      </c>
      <c r="I6" s="75">
        <v>45596</v>
      </c>
      <c r="J6" s="75">
        <v>45626</v>
      </c>
      <c r="K6" s="75">
        <v>45657</v>
      </c>
      <c r="L6" s="75">
        <v>45688</v>
      </c>
      <c r="M6" s="75">
        <v>45716</v>
      </c>
      <c r="N6" s="75">
        <v>45747</v>
      </c>
      <c r="O6" s="75">
        <v>45777</v>
      </c>
      <c r="P6" s="76" t="s">
        <v>42</v>
      </c>
    </row>
    <row r="7" spans="1:19" x14ac:dyDescent="0.35">
      <c r="D7" s="77" t="s">
        <v>1</v>
      </c>
      <c r="E7" s="77" t="s">
        <v>1</v>
      </c>
      <c r="F7" s="77" t="s">
        <v>1</v>
      </c>
      <c r="G7" s="77" t="s">
        <v>1</v>
      </c>
      <c r="H7" s="77" t="s">
        <v>1</v>
      </c>
      <c r="I7" s="77" t="s">
        <v>1</v>
      </c>
      <c r="J7" s="77" t="s">
        <v>1</v>
      </c>
      <c r="K7" s="77" t="s">
        <v>1</v>
      </c>
      <c r="L7" s="77" t="s">
        <v>1</v>
      </c>
      <c r="M7" s="77" t="s">
        <v>1</v>
      </c>
      <c r="N7" s="77" t="s">
        <v>1</v>
      </c>
      <c r="O7" s="77" t="s">
        <v>1</v>
      </c>
      <c r="P7" s="76"/>
    </row>
    <row r="8" spans="1:19" ht="3" customHeight="1" x14ac:dyDescent="0.35"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8"/>
    </row>
    <row r="9" spans="1:19" s="22" customFormat="1" x14ac:dyDescent="0.35">
      <c r="A9" s="79"/>
      <c r="B9" s="17" t="s">
        <v>7</v>
      </c>
      <c r="D9" s="18">
        <v>4092</v>
      </c>
      <c r="E9" s="18">
        <v>3960</v>
      </c>
      <c r="F9" s="18">
        <v>4092</v>
      </c>
      <c r="G9" s="18">
        <v>4092</v>
      </c>
      <c r="H9" s="18">
        <v>3960</v>
      </c>
      <c r="I9" s="18">
        <v>4092</v>
      </c>
      <c r="J9" s="18">
        <v>3960</v>
      </c>
      <c r="K9" s="18">
        <v>4092</v>
      </c>
      <c r="L9" s="18">
        <v>4092</v>
      </c>
      <c r="M9" s="18">
        <v>3696</v>
      </c>
      <c r="N9" s="18">
        <v>4092</v>
      </c>
      <c r="O9" s="18">
        <v>3960</v>
      </c>
      <c r="P9" s="80">
        <f>+SUM(D9:O9)</f>
        <v>48180</v>
      </c>
    </row>
    <row r="10" spans="1:19" s="22" customFormat="1" x14ac:dyDescent="0.35">
      <c r="A10" s="79"/>
      <c r="B10" s="17" t="s">
        <v>8</v>
      </c>
      <c r="D10" s="18">
        <v>3471</v>
      </c>
      <c r="E10" s="18">
        <v>3102</v>
      </c>
      <c r="F10" s="18">
        <v>3016</v>
      </c>
      <c r="G10" s="18">
        <v>3030</v>
      </c>
      <c r="H10" s="18">
        <v>2625</v>
      </c>
      <c r="I10" s="18">
        <v>3173</v>
      </c>
      <c r="J10" s="18">
        <v>3516</v>
      </c>
      <c r="K10" s="18">
        <v>3594</v>
      </c>
      <c r="L10" s="18">
        <v>3709</v>
      </c>
      <c r="M10" s="18">
        <v>3426</v>
      </c>
      <c r="N10" s="18">
        <v>3737</v>
      </c>
      <c r="O10" s="18">
        <v>3684</v>
      </c>
      <c r="P10" s="80">
        <f>+SUM(D10:O10)</f>
        <v>40083</v>
      </c>
    </row>
    <row r="11" spans="1:19" s="22" customFormat="1" x14ac:dyDescent="0.35">
      <c r="A11" s="79"/>
      <c r="B11" s="17" t="s">
        <v>9</v>
      </c>
      <c r="D11" s="23">
        <v>0.84819999999999995</v>
      </c>
      <c r="E11" s="23">
        <v>0.7833</v>
      </c>
      <c r="F11" s="23">
        <v>0.73699999999999999</v>
      </c>
      <c r="G11" s="23">
        <v>0.74050000000000005</v>
      </c>
      <c r="H11" s="23">
        <v>0.66290000000000004</v>
      </c>
      <c r="I11" s="23">
        <v>0.77539999999999998</v>
      </c>
      <c r="J11" s="23">
        <v>0.88790000000000002</v>
      </c>
      <c r="K11" s="23">
        <v>0.87829999999999997</v>
      </c>
      <c r="L11" s="23">
        <v>0.90639999999999998</v>
      </c>
      <c r="M11" s="23">
        <v>0.92689999999999995</v>
      </c>
      <c r="N11" s="23">
        <v>0.91320000000000001</v>
      </c>
      <c r="O11" s="23">
        <f>O10/O9</f>
        <v>0.9303030303030303</v>
      </c>
      <c r="P11" s="81">
        <f>P10/P9</f>
        <v>0.83194271481942716</v>
      </c>
    </row>
    <row r="12" spans="1:19" s="22" customFormat="1" x14ac:dyDescent="0.35">
      <c r="A12" s="79"/>
      <c r="B12" s="17" t="s">
        <v>10</v>
      </c>
      <c r="D12" s="24">
        <v>223.86150000000001</v>
      </c>
      <c r="E12" s="24">
        <v>171.1737</v>
      </c>
      <c r="F12" s="24">
        <v>179.42679999999999</v>
      </c>
      <c r="G12" s="24">
        <v>158.69499999999999</v>
      </c>
      <c r="H12" s="24">
        <v>160.40219999999999</v>
      </c>
      <c r="I12" s="24">
        <v>192.31700000000001</v>
      </c>
      <c r="J12" s="24">
        <v>197.7415</v>
      </c>
      <c r="K12" s="24">
        <v>278.76679999999999</v>
      </c>
      <c r="L12" s="24">
        <v>280.59289999999999</v>
      </c>
      <c r="M12" s="24">
        <v>341.18630000000002</v>
      </c>
      <c r="N12" s="24">
        <v>296.99329999999998</v>
      </c>
      <c r="O12" s="24">
        <f>O17/O10</f>
        <v>266.56628393051028</v>
      </c>
      <c r="P12" s="82">
        <f>P17/P10</f>
        <v>233.51402689419456</v>
      </c>
    </row>
    <row r="13" spans="1:19" s="22" customFormat="1" x14ac:dyDescent="0.35">
      <c r="A13" s="79"/>
      <c r="B13" s="17" t="s">
        <v>11</v>
      </c>
      <c r="D13" s="24">
        <v>189.88839999999999</v>
      </c>
      <c r="E13" s="24">
        <v>134.08600000000001</v>
      </c>
      <c r="F13" s="24">
        <v>132.24619999999999</v>
      </c>
      <c r="G13" s="24">
        <v>117.50879999999999</v>
      </c>
      <c r="H13" s="24">
        <v>106.3272</v>
      </c>
      <c r="I13" s="24">
        <v>149.12559999999999</v>
      </c>
      <c r="J13" s="24">
        <v>175.57050000000001</v>
      </c>
      <c r="K13" s="24">
        <v>244.84059999999999</v>
      </c>
      <c r="L13" s="24">
        <v>254.33009999999999</v>
      </c>
      <c r="M13" s="24">
        <v>316.262</v>
      </c>
      <c r="N13" s="24">
        <v>271.22770000000003</v>
      </c>
      <c r="O13" s="24">
        <f>O11*O12</f>
        <v>247.98742171717169</v>
      </c>
      <c r="P13" s="82">
        <f>P11*P12</f>
        <v>194.27029348277296</v>
      </c>
    </row>
    <row r="14" spans="1:19" s="22" customFormat="1" x14ac:dyDescent="0.35">
      <c r="A14" s="79"/>
      <c r="B14" s="17" t="s">
        <v>12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80"/>
    </row>
    <row r="15" spans="1:19" s="22" customFormat="1" x14ac:dyDescent="0.35">
      <c r="A15" s="79"/>
      <c r="B15" s="17" t="s">
        <v>12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80"/>
    </row>
    <row r="16" spans="1:19" s="33" customFormat="1" x14ac:dyDescent="0.35">
      <c r="A16" s="83"/>
      <c r="B16" s="27" t="s">
        <v>13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5"/>
    </row>
    <row r="17" spans="1:16" s="22" customFormat="1" x14ac:dyDescent="0.35">
      <c r="A17" s="79"/>
      <c r="B17" s="17" t="s">
        <v>14</v>
      </c>
      <c r="D17" s="18">
        <v>777023.21</v>
      </c>
      <c r="E17" s="18">
        <v>530980.69999999995</v>
      </c>
      <c r="F17" s="18">
        <v>541151.31000000006</v>
      </c>
      <c r="G17" s="18">
        <v>480845.86</v>
      </c>
      <c r="H17" s="18">
        <v>421055.73</v>
      </c>
      <c r="I17" s="18">
        <v>610221.82999999996</v>
      </c>
      <c r="J17" s="18">
        <v>695259.21</v>
      </c>
      <c r="K17" s="18">
        <v>1001887.74</v>
      </c>
      <c r="L17" s="18">
        <v>1040718.97</v>
      </c>
      <c r="M17" s="18">
        <v>1168904.21</v>
      </c>
      <c r="N17" s="18">
        <v>1109863.78</v>
      </c>
      <c r="O17" s="18">
        <v>982030.19</v>
      </c>
      <c r="P17" s="80">
        <f>+SUM(D17:O17)</f>
        <v>9359942.7400000002</v>
      </c>
    </row>
    <row r="18" spans="1:16" s="22" customFormat="1" x14ac:dyDescent="0.35">
      <c r="A18" s="79"/>
      <c r="B18" s="17" t="s">
        <v>15</v>
      </c>
      <c r="D18" s="18">
        <v>276217.51</v>
      </c>
      <c r="E18" s="18">
        <v>201588.78</v>
      </c>
      <c r="F18" s="18">
        <v>210893.26</v>
      </c>
      <c r="G18" s="18">
        <v>189691.38</v>
      </c>
      <c r="H18" s="18">
        <v>205467.1</v>
      </c>
      <c r="I18" s="18">
        <v>195962.94</v>
      </c>
      <c r="J18" s="18">
        <v>235866.06</v>
      </c>
      <c r="K18" s="18">
        <v>305129.21999999997</v>
      </c>
      <c r="L18" s="18">
        <v>354251.28</v>
      </c>
      <c r="M18" s="18">
        <v>423507.82</v>
      </c>
      <c r="N18" s="18">
        <v>367074.76</v>
      </c>
      <c r="O18" s="18">
        <v>379131.93</v>
      </c>
      <c r="P18" s="80">
        <f>+SUM(D18:O18)</f>
        <v>3344782.0400000005</v>
      </c>
    </row>
    <row r="19" spans="1:16" s="22" customFormat="1" x14ac:dyDescent="0.35">
      <c r="A19" s="79"/>
      <c r="B19" s="17" t="s">
        <v>16</v>
      </c>
      <c r="D19" s="18">
        <v>686.39</v>
      </c>
      <c r="E19" s="18">
        <v>971.47</v>
      </c>
      <c r="F19" s="18">
        <v>1646.04</v>
      </c>
      <c r="G19" s="18">
        <v>900.7</v>
      </c>
      <c r="H19" s="18">
        <v>865.48</v>
      </c>
      <c r="I19" s="18">
        <v>1388.87</v>
      </c>
      <c r="J19" s="18">
        <v>2028.13</v>
      </c>
      <c r="K19" s="18">
        <v>2112.59</v>
      </c>
      <c r="L19" s="18">
        <v>2237.04</v>
      </c>
      <c r="M19" s="18">
        <v>2324.1799999999998</v>
      </c>
      <c r="N19" s="18">
        <v>2364.48</v>
      </c>
      <c r="O19" s="18">
        <v>2948.44</v>
      </c>
      <c r="P19" s="80">
        <f>+SUM(D19:O19)</f>
        <v>20473.809999999998</v>
      </c>
    </row>
    <row r="20" spans="1:16" s="22" customFormat="1" x14ac:dyDescent="0.35">
      <c r="A20" s="79"/>
      <c r="B20" s="17" t="s">
        <v>17</v>
      </c>
      <c r="D20" s="18">
        <v>110919.27</v>
      </c>
      <c r="E20" s="18">
        <v>93308.28</v>
      </c>
      <c r="F20" s="18">
        <v>102674.98</v>
      </c>
      <c r="G20" s="18">
        <v>101401.82</v>
      </c>
      <c r="H20" s="18">
        <v>75369.05</v>
      </c>
      <c r="I20" s="18">
        <v>102100.27</v>
      </c>
      <c r="J20" s="18">
        <v>114522.56</v>
      </c>
      <c r="K20" s="18">
        <v>125354.13</v>
      </c>
      <c r="L20" s="18">
        <v>107218.88</v>
      </c>
      <c r="M20" s="18">
        <v>91349.99</v>
      </c>
      <c r="N20" s="18">
        <v>110611.64</v>
      </c>
      <c r="O20" s="18">
        <v>144707.94</v>
      </c>
      <c r="P20" s="80">
        <f>+SUM(D20:O20)</f>
        <v>1279538.8099999998</v>
      </c>
    </row>
    <row r="21" spans="1:16" s="33" customFormat="1" x14ac:dyDescent="0.35">
      <c r="A21" s="83"/>
      <c r="B21" s="27" t="s">
        <v>18</v>
      </c>
      <c r="D21" s="29">
        <v>1164846.3799999999</v>
      </c>
      <c r="E21" s="29">
        <v>826849.23</v>
      </c>
      <c r="F21" s="29">
        <v>856365.59000000008</v>
      </c>
      <c r="G21" s="29">
        <v>772839.76</v>
      </c>
      <c r="H21" s="29">
        <v>702757.36</v>
      </c>
      <c r="I21" s="29">
        <v>909673.91</v>
      </c>
      <c r="J21" s="29">
        <v>1047675.96</v>
      </c>
      <c r="K21" s="29">
        <v>1434483.6800000002</v>
      </c>
      <c r="L21" s="29">
        <v>1504426.17</v>
      </c>
      <c r="M21" s="29">
        <v>1686086.2</v>
      </c>
      <c r="N21" s="29">
        <v>1589914.66</v>
      </c>
      <c r="O21" s="29">
        <f>SUM(O17:O20)</f>
        <v>1508818.4999999998</v>
      </c>
      <c r="P21" s="86">
        <f>+SUM(D21:O21)</f>
        <v>14004737.4</v>
      </c>
    </row>
    <row r="22" spans="1:16" s="22" customFormat="1" x14ac:dyDescent="0.35">
      <c r="A22" s="79"/>
      <c r="B22" s="17" t="s">
        <v>12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80"/>
    </row>
    <row r="23" spans="1:16" s="33" customFormat="1" x14ac:dyDescent="0.35">
      <c r="A23" s="83"/>
      <c r="B23" s="27" t="s">
        <v>19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5"/>
    </row>
    <row r="24" spans="1:16" s="22" customFormat="1" x14ac:dyDescent="0.35">
      <c r="A24" s="79"/>
      <c r="B24" s="17" t="s">
        <v>14</v>
      </c>
      <c r="D24" s="18">
        <v>267324.25</v>
      </c>
      <c r="E24" s="18">
        <v>206882.07</v>
      </c>
      <c r="F24" s="18">
        <v>214773.66</v>
      </c>
      <c r="G24" s="18">
        <v>200502.01</v>
      </c>
      <c r="H24" s="18">
        <v>185458.87</v>
      </c>
      <c r="I24" s="18">
        <v>194298.83</v>
      </c>
      <c r="J24" s="18">
        <v>214598.12</v>
      </c>
      <c r="K24" s="18">
        <v>255145.18</v>
      </c>
      <c r="L24" s="18">
        <v>279344.62</v>
      </c>
      <c r="M24" s="18">
        <v>240150.76</v>
      </c>
      <c r="N24" s="18">
        <v>250429.69</v>
      </c>
      <c r="O24" s="18">
        <v>278444.2</v>
      </c>
      <c r="P24" s="80">
        <f>+SUM(D24:O24)</f>
        <v>2787352.2600000002</v>
      </c>
    </row>
    <row r="25" spans="1:16" s="22" customFormat="1" x14ac:dyDescent="0.35">
      <c r="A25" s="79"/>
      <c r="B25" s="17" t="s">
        <v>15</v>
      </c>
      <c r="D25" s="18">
        <v>226868.58</v>
      </c>
      <c r="E25" s="18">
        <v>181455.91</v>
      </c>
      <c r="F25" s="18">
        <v>187917.75</v>
      </c>
      <c r="G25" s="18">
        <v>183640.15</v>
      </c>
      <c r="H25" s="18">
        <v>144001.82</v>
      </c>
      <c r="I25" s="18">
        <v>168612.12</v>
      </c>
      <c r="J25" s="18">
        <v>192181.82</v>
      </c>
      <c r="K25" s="18">
        <v>231097.5</v>
      </c>
      <c r="L25" s="18">
        <v>248459.71</v>
      </c>
      <c r="M25" s="18">
        <v>275568.11</v>
      </c>
      <c r="N25" s="18">
        <v>264575.75</v>
      </c>
      <c r="O25" s="18">
        <v>291396.90000000002</v>
      </c>
      <c r="P25" s="80">
        <f>+SUM(D25:O25)</f>
        <v>2595776.12</v>
      </c>
    </row>
    <row r="26" spans="1:16" s="22" customFormat="1" x14ac:dyDescent="0.35">
      <c r="A26" s="79"/>
      <c r="B26" s="17" t="s">
        <v>16</v>
      </c>
      <c r="D26" s="18">
        <v>294.5</v>
      </c>
      <c r="E26" s="18">
        <v>206.68</v>
      </c>
      <c r="F26" s="18">
        <v>520.26</v>
      </c>
      <c r="G26" s="18">
        <v>165.54</v>
      </c>
      <c r="H26" s="18">
        <v>348.76</v>
      </c>
      <c r="I26" s="18">
        <v>319.45</v>
      </c>
      <c r="J26" s="18">
        <v>767.44</v>
      </c>
      <c r="K26" s="18">
        <v>180.6</v>
      </c>
      <c r="L26" s="18">
        <v>1154.5999999999999</v>
      </c>
      <c r="M26" s="18">
        <v>1424.85</v>
      </c>
      <c r="N26" s="18">
        <v>1387.57</v>
      </c>
      <c r="O26" s="18">
        <v>1105.98</v>
      </c>
      <c r="P26" s="80">
        <f>+SUM(D26:O26)</f>
        <v>7876.23</v>
      </c>
    </row>
    <row r="27" spans="1:16" s="33" customFormat="1" x14ac:dyDescent="0.35">
      <c r="A27" s="83"/>
      <c r="B27" s="27" t="s">
        <v>20</v>
      </c>
      <c r="D27" s="29">
        <v>494487.32999999996</v>
      </c>
      <c r="E27" s="29">
        <v>388544.66</v>
      </c>
      <c r="F27" s="29">
        <v>403211.67000000004</v>
      </c>
      <c r="G27" s="29">
        <v>384307.7</v>
      </c>
      <c r="H27" s="29">
        <v>329809.45</v>
      </c>
      <c r="I27" s="29">
        <v>363230.39999999997</v>
      </c>
      <c r="J27" s="29">
        <v>407547.38</v>
      </c>
      <c r="K27" s="29">
        <v>486423.27999999997</v>
      </c>
      <c r="L27" s="29">
        <v>528958.92999999993</v>
      </c>
      <c r="M27" s="29">
        <v>517143.72</v>
      </c>
      <c r="N27" s="29">
        <v>516393.01</v>
      </c>
      <c r="O27" s="29">
        <f>SUM(O24:O26)</f>
        <v>570947.08000000007</v>
      </c>
      <c r="P27" s="86">
        <f>+SUM(D27:O27)</f>
        <v>5391004.6099999994</v>
      </c>
    </row>
    <row r="28" spans="1:16" s="22" customFormat="1" x14ac:dyDescent="0.35">
      <c r="A28" s="79"/>
      <c r="B28" s="17" t="s">
        <v>12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80"/>
    </row>
    <row r="29" spans="1:16" s="33" customFormat="1" x14ac:dyDescent="0.35">
      <c r="A29" s="83"/>
      <c r="B29" s="27" t="s">
        <v>21</v>
      </c>
      <c r="D29" s="84">
        <v>670359.04999999993</v>
      </c>
      <c r="E29" s="84">
        <v>438304.57</v>
      </c>
      <c r="F29" s="84">
        <v>453153.92000000004</v>
      </c>
      <c r="G29" s="84">
        <v>388532.06</v>
      </c>
      <c r="H29" s="84">
        <v>372947.91</v>
      </c>
      <c r="I29" s="84">
        <v>546443.51</v>
      </c>
      <c r="J29" s="84">
        <v>640128.57999999996</v>
      </c>
      <c r="K29" s="84">
        <v>948060.40000000014</v>
      </c>
      <c r="L29" s="84">
        <v>975467.24</v>
      </c>
      <c r="M29" s="84">
        <v>1168942.48</v>
      </c>
      <c r="N29" s="84">
        <v>1073521.6499999999</v>
      </c>
      <c r="O29" s="84">
        <f>O21-O27</f>
        <v>937871.41999999969</v>
      </c>
      <c r="P29" s="85">
        <f>+SUM(D29:O29)</f>
        <v>8613732.790000001</v>
      </c>
    </row>
    <row r="30" spans="1:16" s="22" customFormat="1" x14ac:dyDescent="0.35">
      <c r="A30" s="79"/>
      <c r="B30" s="17" t="s">
        <v>12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80"/>
    </row>
    <row r="31" spans="1:16" s="33" customFormat="1" x14ac:dyDescent="0.35">
      <c r="A31" s="83"/>
      <c r="B31" s="27" t="s">
        <v>22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5"/>
    </row>
    <row r="32" spans="1:16" s="22" customFormat="1" x14ac:dyDescent="0.35">
      <c r="A32" s="79"/>
      <c r="B32" s="17" t="s">
        <v>23</v>
      </c>
      <c r="D32" s="18">
        <v>111994.31</v>
      </c>
      <c r="E32" s="18">
        <v>82539.25</v>
      </c>
      <c r="F32" s="18">
        <v>90862.62</v>
      </c>
      <c r="G32" s="18">
        <v>94776.16</v>
      </c>
      <c r="H32" s="18">
        <v>100956.57</v>
      </c>
      <c r="I32" s="18">
        <v>101881.17</v>
      </c>
      <c r="J32" s="18">
        <v>97703.56</v>
      </c>
      <c r="K32" s="18">
        <v>130844.77</v>
      </c>
      <c r="L32" s="18">
        <v>124940.54</v>
      </c>
      <c r="M32" s="18">
        <v>116597.61</v>
      </c>
      <c r="N32" s="18">
        <v>120164.19</v>
      </c>
      <c r="O32" s="18">
        <v>133968.94</v>
      </c>
      <c r="P32" s="80">
        <f t="shared" ref="P32:P37" si="0">+SUM(D32:O32)</f>
        <v>1307229.69</v>
      </c>
    </row>
    <row r="33" spans="1:16" s="22" customFormat="1" x14ac:dyDescent="0.35">
      <c r="A33" s="79"/>
      <c r="B33" s="17" t="s">
        <v>24</v>
      </c>
      <c r="D33" s="18">
        <v>15157.74</v>
      </c>
      <c r="E33" s="18">
        <v>11148.06</v>
      </c>
      <c r="F33" s="18">
        <v>12448.49</v>
      </c>
      <c r="G33" s="18">
        <v>9078.4500000000007</v>
      </c>
      <c r="H33" s="18">
        <v>8251.67</v>
      </c>
      <c r="I33" s="18">
        <v>10860.33</v>
      </c>
      <c r="J33" s="18">
        <v>13045.09</v>
      </c>
      <c r="K33" s="18">
        <v>19091.71</v>
      </c>
      <c r="L33" s="18">
        <v>21170.28</v>
      </c>
      <c r="M33" s="18">
        <v>24910.61</v>
      </c>
      <c r="N33" s="18">
        <v>18119.5</v>
      </c>
      <c r="O33" s="18">
        <v>16160.83</v>
      </c>
      <c r="P33" s="80">
        <f>+SUM(D33:O33)</f>
        <v>179442.75999999998</v>
      </c>
    </row>
    <row r="34" spans="1:16" s="22" customFormat="1" x14ac:dyDescent="0.35">
      <c r="A34" s="79"/>
      <c r="B34" s="17" t="s">
        <v>25</v>
      </c>
      <c r="D34" s="18">
        <v>106611.29</v>
      </c>
      <c r="E34" s="18">
        <v>96066.240000000005</v>
      </c>
      <c r="F34" s="18">
        <v>97447.53</v>
      </c>
      <c r="G34" s="18">
        <v>91547.39</v>
      </c>
      <c r="H34" s="18">
        <v>90642.09</v>
      </c>
      <c r="I34" s="18">
        <v>89372.2</v>
      </c>
      <c r="J34" s="18">
        <v>96385.97</v>
      </c>
      <c r="K34" s="18">
        <v>83929.4</v>
      </c>
      <c r="L34" s="18">
        <v>103819.96</v>
      </c>
      <c r="M34" s="18">
        <v>95261.58</v>
      </c>
      <c r="N34" s="18">
        <v>94505.39</v>
      </c>
      <c r="O34" s="18">
        <v>88393.96</v>
      </c>
      <c r="P34" s="80">
        <f t="shared" si="0"/>
        <v>1133983</v>
      </c>
    </row>
    <row r="35" spans="1:16" s="22" customFormat="1" x14ac:dyDescent="0.35">
      <c r="A35" s="79"/>
      <c r="B35" s="17" t="s">
        <v>43</v>
      </c>
      <c r="D35" s="18">
        <v>53729.18</v>
      </c>
      <c r="E35" s="18">
        <v>45389.36</v>
      </c>
      <c r="F35" s="18">
        <v>48251.05</v>
      </c>
      <c r="G35" s="18">
        <v>50469.87</v>
      </c>
      <c r="H35" s="18">
        <v>54761.56</v>
      </c>
      <c r="I35" s="18">
        <v>53366.78</v>
      </c>
      <c r="J35" s="18">
        <v>55631.99</v>
      </c>
      <c r="K35" s="18">
        <v>51815.5</v>
      </c>
      <c r="L35" s="18">
        <v>63453.34</v>
      </c>
      <c r="M35" s="18">
        <v>52586.01</v>
      </c>
      <c r="N35" s="18">
        <v>47396.59</v>
      </c>
      <c r="O35" s="18">
        <v>57358.85</v>
      </c>
      <c r="P35" s="80">
        <f t="shared" si="0"/>
        <v>634210.07999999996</v>
      </c>
    </row>
    <row r="36" spans="1:16" s="22" customFormat="1" x14ac:dyDescent="0.35">
      <c r="A36" s="79"/>
      <c r="B36" s="17" t="s">
        <v>27</v>
      </c>
      <c r="D36" s="18">
        <v>26430.89</v>
      </c>
      <c r="E36" s="18">
        <v>28545.41</v>
      </c>
      <c r="F36" s="18">
        <v>24940.23</v>
      </c>
      <c r="G36" s="18">
        <v>23587.33</v>
      </c>
      <c r="H36" s="18">
        <v>25144.400000000001</v>
      </c>
      <c r="I36" s="18">
        <v>24473.06</v>
      </c>
      <c r="J36" s="18">
        <v>22625.96</v>
      </c>
      <c r="K36" s="18">
        <v>16277.43</v>
      </c>
      <c r="L36" s="18">
        <v>25067.23</v>
      </c>
      <c r="M36" s="18">
        <v>21552.880000000001</v>
      </c>
      <c r="N36" s="18">
        <v>22703.39</v>
      </c>
      <c r="O36" s="18">
        <v>24121.87</v>
      </c>
      <c r="P36" s="80">
        <f t="shared" si="0"/>
        <v>285470.08000000002</v>
      </c>
    </row>
    <row r="37" spans="1:16" s="33" customFormat="1" x14ac:dyDescent="0.35">
      <c r="A37" s="83"/>
      <c r="B37" s="27" t="s">
        <v>28</v>
      </c>
      <c r="D37" s="29">
        <v>313923.41000000003</v>
      </c>
      <c r="E37" s="29">
        <v>263688.31999999995</v>
      </c>
      <c r="F37" s="29">
        <v>273949.92</v>
      </c>
      <c r="G37" s="29">
        <v>269459.20000000001</v>
      </c>
      <c r="H37" s="29">
        <v>279756.29000000004</v>
      </c>
      <c r="I37" s="29">
        <v>279953.54000000004</v>
      </c>
      <c r="J37" s="29">
        <v>285392.57</v>
      </c>
      <c r="K37" s="29">
        <v>301958.81</v>
      </c>
      <c r="L37" s="29">
        <v>338451.35</v>
      </c>
      <c r="M37" s="29">
        <v>310908.69</v>
      </c>
      <c r="N37" s="29">
        <v>302889.06000000006</v>
      </c>
      <c r="O37" s="29">
        <f>SUM(O32:O36)</f>
        <v>320004.44999999995</v>
      </c>
      <c r="P37" s="86">
        <f t="shared" si="0"/>
        <v>3540335.6100000003</v>
      </c>
    </row>
    <row r="38" spans="1:16" s="22" customFormat="1" x14ac:dyDescent="0.35">
      <c r="A38" s="79"/>
      <c r="B38" s="17" t="s">
        <v>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80"/>
    </row>
    <row r="39" spans="1:16" s="33" customFormat="1" x14ac:dyDescent="0.35">
      <c r="A39" s="83"/>
      <c r="B39" s="27" t="s">
        <v>29</v>
      </c>
      <c r="D39" s="84">
        <v>356435.6399999999</v>
      </c>
      <c r="E39" s="84">
        <v>174616.25000000006</v>
      </c>
      <c r="F39" s="84">
        <v>179204.00000000006</v>
      </c>
      <c r="G39" s="84">
        <v>119072.85999999999</v>
      </c>
      <c r="H39" s="84">
        <v>93191.619999999937</v>
      </c>
      <c r="I39" s="84">
        <v>266489.96999999997</v>
      </c>
      <c r="J39" s="84">
        <v>354736.00999999995</v>
      </c>
      <c r="K39" s="84">
        <v>646101.59000000008</v>
      </c>
      <c r="L39" s="84">
        <v>637015.89</v>
      </c>
      <c r="M39" s="84">
        <v>858033.79</v>
      </c>
      <c r="N39" s="84">
        <v>770632.58999999985</v>
      </c>
      <c r="O39" s="84">
        <f>O29-O37</f>
        <v>617866.96999999974</v>
      </c>
      <c r="P39" s="85">
        <f>+SUM(D39:O39)</f>
        <v>5073397.18</v>
      </c>
    </row>
    <row r="40" spans="1:16" s="22" customFormat="1" x14ac:dyDescent="0.35">
      <c r="A40" s="79"/>
      <c r="B40" s="17" t="s">
        <v>12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80"/>
    </row>
    <row r="41" spans="1:16" s="22" customFormat="1" x14ac:dyDescent="0.35">
      <c r="A41" s="79"/>
      <c r="B41" s="17" t="s">
        <v>30</v>
      </c>
      <c r="D41" s="18">
        <v>55821.919999999998</v>
      </c>
      <c r="E41" s="18">
        <v>41157.660000000003</v>
      </c>
      <c r="F41" s="18">
        <v>41987.72</v>
      </c>
      <c r="G41" s="18">
        <v>37762.94</v>
      </c>
      <c r="H41" s="18">
        <v>37196.82</v>
      </c>
      <c r="I41" s="18">
        <v>42657.18</v>
      </c>
      <c r="J41" s="18">
        <v>55537.08</v>
      </c>
      <c r="K41" s="18">
        <v>64343.02</v>
      </c>
      <c r="L41" s="18">
        <v>59537.97</v>
      </c>
      <c r="M41" s="18">
        <v>76013.259999999995</v>
      </c>
      <c r="N41" s="18">
        <v>69990.81</v>
      </c>
      <c r="O41" s="18">
        <v>68430.22</v>
      </c>
      <c r="P41" s="80">
        <f>+SUM(D41:O41)</f>
        <v>650436.60000000009</v>
      </c>
    </row>
    <row r="42" spans="1:16" s="33" customFormat="1" x14ac:dyDescent="0.35">
      <c r="A42" s="83"/>
      <c r="B42" s="27" t="s">
        <v>31</v>
      </c>
      <c r="D42" s="29">
        <v>300613.71999999991</v>
      </c>
      <c r="E42" s="29">
        <v>133458.59000000005</v>
      </c>
      <c r="F42" s="29">
        <v>137216.28000000006</v>
      </c>
      <c r="G42" s="29">
        <v>81309.919999999984</v>
      </c>
      <c r="H42" s="29">
        <v>55994.799999999937</v>
      </c>
      <c r="I42" s="29">
        <v>223832.78999999998</v>
      </c>
      <c r="J42" s="29">
        <v>299198.92999999993</v>
      </c>
      <c r="K42" s="29">
        <v>581758.57000000007</v>
      </c>
      <c r="L42" s="29">
        <v>577477.92000000004</v>
      </c>
      <c r="M42" s="29">
        <v>782020.53</v>
      </c>
      <c r="N42" s="29">
        <v>700641.7799999998</v>
      </c>
      <c r="O42" s="29">
        <f>O39-O41</f>
        <v>549436.74999999977</v>
      </c>
      <c r="P42" s="86">
        <f>+SUM(D42:O42)</f>
        <v>4422960.5799999991</v>
      </c>
    </row>
    <row r="43" spans="1:16" s="22" customFormat="1" x14ac:dyDescent="0.35">
      <c r="A43" s="79"/>
      <c r="B43" s="17" t="s">
        <v>12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80"/>
    </row>
    <row r="44" spans="1:16" s="22" customFormat="1" x14ac:dyDescent="0.35">
      <c r="A44" s="79"/>
      <c r="B44" s="17" t="s">
        <v>44</v>
      </c>
      <c r="D44" s="18">
        <v>-2116.0700000000002</v>
      </c>
      <c r="E44" s="18">
        <v>-2077.4899999999998</v>
      </c>
      <c r="F44" s="18">
        <v>-2152.0300000000002</v>
      </c>
      <c r="G44" s="18">
        <v>-2157.5</v>
      </c>
      <c r="H44" s="18">
        <v>-1997.83</v>
      </c>
      <c r="I44" s="18">
        <v>-1918.92</v>
      </c>
      <c r="J44" s="18">
        <v>0</v>
      </c>
      <c r="K44" s="18">
        <v>0</v>
      </c>
      <c r="L44" s="18">
        <v>-5053.16</v>
      </c>
      <c r="M44" s="18">
        <v>-1517.29</v>
      </c>
      <c r="N44" s="18">
        <v>-1682.8</v>
      </c>
      <c r="O44" s="18">
        <v>-1631.67</v>
      </c>
      <c r="P44" s="80">
        <f t="shared" ref="P44:P49" si="1">+SUM(D44:O44)</f>
        <v>-22304.760000000002</v>
      </c>
    </row>
    <row r="45" spans="1:16" s="22" customFormat="1" x14ac:dyDescent="0.35">
      <c r="A45" s="79"/>
      <c r="B45" s="17" t="s">
        <v>33</v>
      </c>
      <c r="D45" s="18">
        <v>1870.24</v>
      </c>
      <c r="E45" s="18">
        <v>658.13</v>
      </c>
      <c r="F45" s="18">
        <v>837.03</v>
      </c>
      <c r="G45" s="18">
        <v>517.89</v>
      </c>
      <c r="H45" s="18">
        <v>3514.57</v>
      </c>
      <c r="I45" s="18">
        <v>-800.55</v>
      </c>
      <c r="J45" s="18">
        <v>2224.88</v>
      </c>
      <c r="K45" s="18">
        <v>-2950.36</v>
      </c>
      <c r="L45" s="18">
        <v>2257.12</v>
      </c>
      <c r="M45" s="18">
        <v>473.27</v>
      </c>
      <c r="N45" s="18">
        <v>924.24</v>
      </c>
      <c r="O45" s="18">
        <v>277.08999999999997</v>
      </c>
      <c r="P45" s="80">
        <f t="shared" si="1"/>
        <v>9803.5499999999975</v>
      </c>
    </row>
    <row r="46" spans="1:16" s="22" customFormat="1" x14ac:dyDescent="0.35">
      <c r="A46" s="79"/>
      <c r="B46" s="17" t="s">
        <v>34</v>
      </c>
      <c r="D46" s="18">
        <v>45461</v>
      </c>
      <c r="E46" s="18">
        <v>45461</v>
      </c>
      <c r="F46" s="18">
        <v>45461</v>
      </c>
      <c r="G46" s="18">
        <v>45461</v>
      </c>
      <c r="H46" s="18">
        <v>45461</v>
      </c>
      <c r="I46" s="18">
        <v>45461</v>
      </c>
      <c r="J46" s="18">
        <v>86358.56</v>
      </c>
      <c r="K46" s="18">
        <v>2281.7199999999998</v>
      </c>
      <c r="L46" s="18">
        <v>48368</v>
      </c>
      <c r="M46" s="18">
        <v>48368</v>
      </c>
      <c r="N46" s="18">
        <v>48368</v>
      </c>
      <c r="O46" s="18">
        <v>33677.120000000003</v>
      </c>
      <c r="P46" s="80">
        <f t="shared" si="1"/>
        <v>540187.4</v>
      </c>
    </row>
    <row r="47" spans="1:16" s="22" customFormat="1" x14ac:dyDescent="0.35">
      <c r="A47" s="79"/>
      <c r="B47" s="17" t="s">
        <v>35</v>
      </c>
      <c r="D47" s="18">
        <v>117207.72</v>
      </c>
      <c r="E47" s="18">
        <v>117470.98</v>
      </c>
      <c r="F47" s="18">
        <v>117470.94</v>
      </c>
      <c r="G47" s="18">
        <v>116313.08</v>
      </c>
      <c r="H47" s="18">
        <v>117717.47</v>
      </c>
      <c r="I47" s="18">
        <v>117717.35</v>
      </c>
      <c r="J47" s="18">
        <v>117717.35</v>
      </c>
      <c r="K47" s="18">
        <v>130965.02</v>
      </c>
      <c r="L47" s="18">
        <v>115247.19</v>
      </c>
      <c r="M47" s="18">
        <v>115553.45</v>
      </c>
      <c r="N47" s="18">
        <v>115207.89</v>
      </c>
      <c r="O47" s="18">
        <v>115207.8</v>
      </c>
      <c r="P47" s="80">
        <f t="shared" si="1"/>
        <v>1413796.24</v>
      </c>
    </row>
    <row r="48" spans="1:16" s="22" customFormat="1" x14ac:dyDescent="0.35">
      <c r="A48" s="79"/>
      <c r="B48" s="17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80">
        <f t="shared" si="1"/>
        <v>0</v>
      </c>
    </row>
    <row r="49" spans="1:16" s="33" customFormat="1" x14ac:dyDescent="0.35">
      <c r="A49" s="83"/>
      <c r="B49" s="27" t="s">
        <v>37</v>
      </c>
      <c r="D49" s="29">
        <v>162422.89000000001</v>
      </c>
      <c r="E49" s="29">
        <v>161512.62</v>
      </c>
      <c r="F49" s="29">
        <v>161616.94</v>
      </c>
      <c r="G49" s="29">
        <v>160134.47</v>
      </c>
      <c r="H49" s="29">
        <v>164695.21</v>
      </c>
      <c r="I49" s="29">
        <v>160458.88</v>
      </c>
      <c r="J49" s="29">
        <v>206300.79</v>
      </c>
      <c r="K49" s="29">
        <v>130296.38</v>
      </c>
      <c r="L49" s="29">
        <v>160819.15</v>
      </c>
      <c r="M49" s="29">
        <v>162877.43</v>
      </c>
      <c r="N49" s="29">
        <v>162817.33000000002</v>
      </c>
      <c r="O49" s="29">
        <f>SUM(O44:O48)</f>
        <v>147530.34</v>
      </c>
      <c r="P49" s="86">
        <f t="shared" si="1"/>
        <v>1941482.4300000002</v>
      </c>
    </row>
    <row r="50" spans="1:16" s="22" customFormat="1" x14ac:dyDescent="0.35">
      <c r="A50" s="79"/>
      <c r="B50" s="17" t="s">
        <v>12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80"/>
    </row>
    <row r="51" spans="1:16" s="33" customFormat="1" x14ac:dyDescent="0.35">
      <c r="A51" s="83"/>
      <c r="B51" s="27" t="s">
        <v>38</v>
      </c>
      <c r="D51" s="84">
        <v>138190.8299999999</v>
      </c>
      <c r="E51" s="84">
        <v>-28054.029999999941</v>
      </c>
      <c r="F51" s="84">
        <v>-24400.659999999945</v>
      </c>
      <c r="G51" s="84">
        <v>-78824.550000000017</v>
      </c>
      <c r="H51" s="84">
        <v>-108700.41000000006</v>
      </c>
      <c r="I51" s="84">
        <v>63373.909999999974</v>
      </c>
      <c r="J51" s="84">
        <v>92898.139999999927</v>
      </c>
      <c r="K51" s="84">
        <v>451462.19000000006</v>
      </c>
      <c r="L51" s="84">
        <v>416658.77</v>
      </c>
      <c r="M51" s="84">
        <v>619143.10000000009</v>
      </c>
      <c r="N51" s="84">
        <v>537824.44999999972</v>
      </c>
      <c r="O51" s="84">
        <f>O42-O49</f>
        <v>401906.4099999998</v>
      </c>
      <c r="P51" s="85">
        <f>+SUM(D51:O51)</f>
        <v>2481478.1499999994</v>
      </c>
    </row>
    <row r="52" spans="1:16" s="22" customFormat="1" x14ac:dyDescent="0.35">
      <c r="A52" s="79"/>
      <c r="B52" s="17" t="s">
        <v>12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80"/>
    </row>
    <row r="53" spans="1:16" s="22" customFormat="1" x14ac:dyDescent="0.35">
      <c r="A53" s="79"/>
      <c r="B53" s="17" t="s">
        <v>39</v>
      </c>
      <c r="D53" s="18">
        <v>46593.855199999998</v>
      </c>
      <c r="E53" s="18">
        <v>33073.9692</v>
      </c>
      <c r="F53" s="18">
        <v>34254.623600000006</v>
      </c>
      <c r="G53" s="18">
        <v>30913.590400000001</v>
      </c>
      <c r="H53" s="18">
        <v>28110.294399999999</v>
      </c>
      <c r="I53" s="18">
        <v>36386.956400000003</v>
      </c>
      <c r="J53" s="18">
        <v>41907.038399999998</v>
      </c>
      <c r="K53" s="18">
        <v>57379.347200000011</v>
      </c>
      <c r="L53" s="18">
        <v>60177.046799999996</v>
      </c>
      <c r="M53" s="18">
        <v>67443.448000000004</v>
      </c>
      <c r="N53" s="18">
        <v>63596.5864</v>
      </c>
      <c r="O53" s="18">
        <v>60772.54</v>
      </c>
      <c r="P53" s="80">
        <f>+SUM(D53:O53)</f>
        <v>560609.29600000009</v>
      </c>
    </row>
    <row r="54" spans="1:16" s="33" customFormat="1" ht="15" thickBot="1" x14ac:dyDescent="0.4">
      <c r="A54" s="83"/>
      <c r="B54" s="87" t="s">
        <v>40</v>
      </c>
      <c r="C54" s="34"/>
      <c r="D54" s="34">
        <v>91596.974799999909</v>
      </c>
      <c r="E54" s="34">
        <v>-61127.99919999994</v>
      </c>
      <c r="F54" s="34">
        <v>-58655.283599999952</v>
      </c>
      <c r="G54" s="34">
        <v>-109738.14040000002</v>
      </c>
      <c r="H54" s="34">
        <v>-136810.70440000005</v>
      </c>
      <c r="I54" s="34">
        <v>26986.953599999972</v>
      </c>
      <c r="J54" s="34">
        <v>50991.101599999929</v>
      </c>
      <c r="K54" s="34">
        <v>394082.84280000004</v>
      </c>
      <c r="L54" s="34">
        <v>356481.72320000001</v>
      </c>
      <c r="M54" s="34">
        <v>551699.65200000012</v>
      </c>
      <c r="N54" s="34">
        <v>474227.86359999969</v>
      </c>
      <c r="O54" s="34">
        <f>O51-O53</f>
        <v>341133.86999999982</v>
      </c>
      <c r="P54" s="88">
        <f>+SUM(D54:O54)</f>
        <v>1920868.8539999996</v>
      </c>
    </row>
    <row r="55" spans="1:16" s="22" customFormat="1" ht="15" thickTop="1" x14ac:dyDescent="0.35">
      <c r="A55" s="79"/>
      <c r="B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0"/>
    </row>
    <row r="56" spans="1:16" s="22" customFormat="1" x14ac:dyDescent="0.35">
      <c r="A56" s="79"/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0"/>
    </row>
    <row r="57" spans="1:16" x14ac:dyDescent="0.35">
      <c r="A57" s="7"/>
      <c r="B57" s="7"/>
    </row>
    <row r="58" spans="1:16" s="71" customFormat="1" ht="12.5" x14ac:dyDescent="0.25">
      <c r="A58" s="89"/>
      <c r="B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spans="1:16" x14ac:dyDescent="0.35">
      <c r="A59" s="7"/>
      <c r="B59" s="7"/>
    </row>
    <row r="60" spans="1:16" x14ac:dyDescent="0.35">
      <c r="B60" s="43"/>
    </row>
    <row r="67" spans="1:2" x14ac:dyDescent="0.35">
      <c r="B67" s="43"/>
    </row>
    <row r="69" spans="1:2" x14ac:dyDescent="0.35">
      <c r="B69" s="43"/>
    </row>
    <row r="70" spans="1:2" x14ac:dyDescent="0.35">
      <c r="B70" s="43"/>
    </row>
    <row r="72" spans="1:2" ht="15.5" x14ac:dyDescent="0.35">
      <c r="A72" s="45"/>
    </row>
    <row r="92" spans="2:2" x14ac:dyDescent="0.35">
      <c r="B92" s="46"/>
    </row>
    <row r="98" spans="1:2" x14ac:dyDescent="0.35">
      <c r="B98" s="43"/>
    </row>
    <row r="99" spans="1:2" x14ac:dyDescent="0.35">
      <c r="B99" s="47"/>
    </row>
    <row r="108" spans="1:2" x14ac:dyDescent="0.35">
      <c r="A108" s="48"/>
      <c r="B108" s="49"/>
    </row>
    <row r="110" spans="1:2" x14ac:dyDescent="0.35">
      <c r="B110" s="43"/>
    </row>
    <row r="113" spans="1:2" s="7" customFormat="1" ht="12.5" x14ac:dyDescent="0.25">
      <c r="A113" s="3"/>
      <c r="B113" s="3"/>
    </row>
    <row r="114" spans="1:2" s="7" customFormat="1" ht="12.5" x14ac:dyDescent="0.25">
      <c r="A114" s="3"/>
      <c r="B114" s="3"/>
    </row>
    <row r="115" spans="1:2" s="7" customFormat="1" ht="12.5" x14ac:dyDescent="0.25">
      <c r="A115" s="3"/>
      <c r="B115" s="3"/>
    </row>
    <row r="116" spans="1:2" s="7" customFormat="1" ht="12.5" x14ac:dyDescent="0.25">
      <c r="A116" s="3"/>
      <c r="B116" s="3"/>
    </row>
    <row r="117" spans="1:2" s="7" customFormat="1" ht="12.5" x14ac:dyDescent="0.25">
      <c r="A117" s="3"/>
      <c r="B117" s="3"/>
    </row>
    <row r="118" spans="1:2" s="7" customFormat="1" ht="12.5" x14ac:dyDescent="0.25">
      <c r="A118" s="3"/>
      <c r="B118" s="3"/>
    </row>
    <row r="119" spans="1:2" s="7" customFormat="1" ht="13" x14ac:dyDescent="0.3">
      <c r="A119" s="54"/>
      <c r="B119" s="3"/>
    </row>
    <row r="120" spans="1:2" s="7" customFormat="1" ht="13" x14ac:dyDescent="0.3">
      <c r="A120" s="54"/>
      <c r="B120" s="3"/>
    </row>
    <row r="121" spans="1:2" s="7" customFormat="1" ht="12.5" x14ac:dyDescent="0.25">
      <c r="A121" s="3"/>
      <c r="B121" s="3"/>
    </row>
    <row r="122" spans="1:2" s="7" customFormat="1" ht="13" x14ac:dyDescent="0.3">
      <c r="A122" s="54"/>
      <c r="B122" s="3"/>
    </row>
    <row r="123" spans="1:2" s="7" customFormat="1" ht="12.5" x14ac:dyDescent="0.25">
      <c r="A123" s="3"/>
      <c r="B123" s="43"/>
    </row>
    <row r="124" spans="1:2" s="7" customFormat="1" ht="12.5" x14ac:dyDescent="0.25">
      <c r="A124" s="3"/>
      <c r="B124" s="43"/>
    </row>
    <row r="125" spans="1:2" s="7" customFormat="1" ht="12.5" x14ac:dyDescent="0.25">
      <c r="A125" s="3"/>
      <c r="B125" s="43"/>
    </row>
    <row r="126" spans="1:2" s="7" customFormat="1" ht="12.5" x14ac:dyDescent="0.25">
      <c r="A126" s="3"/>
      <c r="B126" s="43"/>
    </row>
    <row r="137" spans="1:2" s="7" customFormat="1" ht="13" x14ac:dyDescent="0.3">
      <c r="A137" s="3"/>
      <c r="B137" s="56"/>
    </row>
    <row r="138" spans="1:2" s="7" customFormat="1" ht="13" x14ac:dyDescent="0.3">
      <c r="A138" s="3"/>
      <c r="B138" s="56"/>
    </row>
    <row r="139" spans="1:2" s="7" customFormat="1" ht="13" x14ac:dyDescent="0.3">
      <c r="A139" s="3"/>
      <c r="B139" s="56"/>
    </row>
    <row r="140" spans="1:2" s="7" customFormat="1" ht="13" x14ac:dyDescent="0.3">
      <c r="A140" s="3"/>
      <c r="B140" s="56"/>
    </row>
    <row r="141" spans="1:2" s="7" customFormat="1" ht="13" x14ac:dyDescent="0.3">
      <c r="A141" s="3"/>
      <c r="B141" s="56"/>
    </row>
    <row r="142" spans="1:2" s="7" customFormat="1" ht="14" x14ac:dyDescent="0.3">
      <c r="A142" s="60"/>
      <c r="B142" s="61"/>
    </row>
    <row r="143" spans="1:2" s="7" customFormat="1" ht="13" x14ac:dyDescent="0.3">
      <c r="A143" s="64"/>
      <c r="B143" s="61"/>
    </row>
    <row r="144" spans="1:2" s="7" customFormat="1" ht="12.5" x14ac:dyDescent="0.25">
      <c r="A144" s="3"/>
      <c r="B144" s="3"/>
    </row>
    <row r="148" spans="1:1" x14ac:dyDescent="0.35">
      <c r="A148" s="47"/>
    </row>
    <row r="149" spans="1:1" x14ac:dyDescent="0.35">
      <c r="A149" s="47"/>
    </row>
    <row r="150" spans="1:1" x14ac:dyDescent="0.35">
      <c r="A150" s="47"/>
    </row>
    <row r="151" spans="1:1" x14ac:dyDescent="0.35">
      <c r="A151" s="47"/>
    </row>
    <row r="152" spans="1:1" x14ac:dyDescent="0.35">
      <c r="A152" s="47"/>
    </row>
    <row r="155" spans="1:1" x14ac:dyDescent="0.35">
      <c r="A155" s="47"/>
    </row>
    <row r="169" spans="1:2" x14ac:dyDescent="0.35">
      <c r="A169" s="47"/>
    </row>
    <row r="170" spans="1:2" x14ac:dyDescent="0.35">
      <c r="A170" s="54"/>
    </row>
    <row r="171" spans="1:2" x14ac:dyDescent="0.35">
      <c r="A171" s="54"/>
    </row>
    <row r="172" spans="1:2" x14ac:dyDescent="0.35">
      <c r="B172" s="56"/>
    </row>
    <row r="179" spans="2:2" x14ac:dyDescent="0.35">
      <c r="B179" s="56"/>
    </row>
    <row r="180" spans="2:2" x14ac:dyDescent="0.35">
      <c r="B180" s="56"/>
    </row>
    <row r="181" spans="2:2" x14ac:dyDescent="0.35">
      <c r="B181" s="56"/>
    </row>
    <row r="182" spans="2:2" x14ac:dyDescent="0.35">
      <c r="B182" s="56"/>
    </row>
    <row r="183" spans="2:2" x14ac:dyDescent="0.35">
      <c r="B183" s="56"/>
    </row>
    <row r="198" spans="2:2" x14ac:dyDescent="0.35">
      <c r="B198" s="69"/>
    </row>
    <row r="201" spans="2:2" x14ac:dyDescent="0.35">
      <c r="B201" s="71"/>
    </row>
    <row r="215" spans="2:2" s="7" customFormat="1" ht="13" x14ac:dyDescent="0.3">
      <c r="B215" s="56"/>
    </row>
    <row r="216" spans="2:2" s="7" customFormat="1" ht="12.5" x14ac:dyDescent="0.25">
      <c r="B216" s="46"/>
    </row>
    <row r="217" spans="2:2" s="7" customFormat="1" ht="12.5" x14ac:dyDescent="0.25">
      <c r="B217" s="46"/>
    </row>
    <row r="218" spans="2:2" s="7" customFormat="1" ht="12.5" x14ac:dyDescent="0.25">
      <c r="B218" s="46"/>
    </row>
    <row r="219" spans="2:2" s="7" customFormat="1" ht="12.5" x14ac:dyDescent="0.25">
      <c r="B219" s="46"/>
    </row>
    <row r="220" spans="2:2" s="7" customFormat="1" ht="12.5" x14ac:dyDescent="0.25">
      <c r="B220" s="46"/>
    </row>
    <row r="221" spans="2:2" s="7" customFormat="1" ht="12.5" x14ac:dyDescent="0.25">
      <c r="B221" s="46"/>
    </row>
    <row r="222" spans="2:2" s="7" customFormat="1" ht="12.5" x14ac:dyDescent="0.25">
      <c r="B222" s="46"/>
    </row>
    <row r="223" spans="2:2" s="7" customFormat="1" ht="12.5" x14ac:dyDescent="0.25">
      <c r="B223" s="46"/>
    </row>
    <row r="224" spans="2:2" s="7" customFormat="1" ht="12.5" x14ac:dyDescent="0.25">
      <c r="B224" s="46"/>
    </row>
    <row r="225" spans="2:2" s="7" customFormat="1" ht="12.5" x14ac:dyDescent="0.25">
      <c r="B225" s="46"/>
    </row>
    <row r="226" spans="2:2" s="7" customFormat="1" ht="12.5" x14ac:dyDescent="0.25">
      <c r="B226" s="46"/>
    </row>
    <row r="227" spans="2:2" s="7" customFormat="1" ht="12.5" x14ac:dyDescent="0.25">
      <c r="B227" s="46"/>
    </row>
    <row r="228" spans="2:2" s="7" customFormat="1" ht="12.5" x14ac:dyDescent="0.25">
      <c r="B228" s="46"/>
    </row>
    <row r="229" spans="2:2" s="7" customFormat="1" ht="12.5" x14ac:dyDescent="0.25">
      <c r="B229" s="46"/>
    </row>
    <row r="230" spans="2:2" s="7" customFormat="1" ht="12.5" x14ac:dyDescent="0.25">
      <c r="B230" s="46"/>
    </row>
    <row r="231" spans="2:2" s="7" customFormat="1" ht="12.5" x14ac:dyDescent="0.25">
      <c r="B231" s="46"/>
    </row>
    <row r="232" spans="2:2" s="7" customFormat="1" ht="12.5" x14ac:dyDescent="0.25">
      <c r="B232" s="46"/>
    </row>
    <row r="233" spans="2:2" s="7" customFormat="1" ht="12.5" x14ac:dyDescent="0.25">
      <c r="B233" s="46"/>
    </row>
    <row r="234" spans="2:2" s="7" customFormat="1" ht="12.5" x14ac:dyDescent="0.25">
      <c r="B234" s="46"/>
    </row>
    <row r="235" spans="2:2" s="7" customFormat="1" ht="12.5" x14ac:dyDescent="0.25">
      <c r="B235" s="46"/>
    </row>
    <row r="236" spans="2:2" s="7" customFormat="1" ht="12.5" x14ac:dyDescent="0.25">
      <c r="B236" s="46"/>
    </row>
    <row r="237" spans="2:2" s="7" customFormat="1" ht="12.5" x14ac:dyDescent="0.25">
      <c r="B237" s="46"/>
    </row>
    <row r="238" spans="2:2" s="7" customFormat="1" ht="12.5" x14ac:dyDescent="0.25">
      <c r="B238" s="46"/>
    </row>
    <row r="239" spans="2:2" s="7" customFormat="1" ht="12.5" x14ac:dyDescent="0.25">
      <c r="B239" s="46"/>
    </row>
    <row r="240" spans="2:2" s="7" customFormat="1" ht="12.5" x14ac:dyDescent="0.25">
      <c r="B240" s="46"/>
    </row>
    <row r="241" spans="1:2" s="7" customFormat="1" ht="12.5" x14ac:dyDescent="0.25">
      <c r="B241" s="46"/>
    </row>
    <row r="242" spans="1:2" s="7" customFormat="1" ht="12.5" x14ac:dyDescent="0.25">
      <c r="B242" s="46"/>
    </row>
    <row r="243" spans="1:2" s="7" customFormat="1" ht="12.5" x14ac:dyDescent="0.25">
      <c r="B243" s="46"/>
    </row>
    <row r="244" spans="1:2" s="7" customFormat="1" ht="12.5" x14ac:dyDescent="0.25">
      <c r="B244" s="46"/>
    </row>
    <row r="245" spans="1:2" s="7" customFormat="1" ht="12.5" x14ac:dyDescent="0.25">
      <c r="B245" s="46"/>
    </row>
    <row r="246" spans="1:2" s="7" customFormat="1" ht="12.5" x14ac:dyDescent="0.25">
      <c r="B246" s="3"/>
    </row>
    <row r="247" spans="1:2" s="7" customFormat="1" ht="13" x14ac:dyDescent="0.3">
      <c r="B247" s="56"/>
    </row>
    <row r="248" spans="1:2" s="7" customFormat="1" ht="12.5" x14ac:dyDescent="0.25">
      <c r="A248" s="3"/>
      <c r="B248" s="3"/>
    </row>
  </sheetData>
  <conditionalFormatting sqref="D56:P56">
    <cfRule type="expression" dxfId="21" priority="1">
      <formula>$R108=0</formula>
    </cfRule>
    <cfRule type="expression" dxfId="20" priority="2">
      <formula>$S56=-1</formula>
    </cfRule>
    <cfRule type="expression" dxfId="19" priority="3">
      <formula>$R56&gt;=1</formula>
    </cfRule>
    <cfRule type="expression" dxfId="18" priority="4">
      <formula>$X56="Dec"</formula>
    </cfRule>
    <cfRule type="expression" dxfId="17" priority="5">
      <formula>$X56="%"</formula>
    </cfRule>
  </conditionalFormatting>
  <pageMargins left="0.7" right="0.7" top="0.75" bottom="0.75" header="0.3" footer="0.3"/>
  <pageSetup scale="5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3C93-B284-49C3-A6CC-FB55FA58FA91}">
  <sheetPr>
    <tabColor rgb="FFE77777"/>
    <pageSetUpPr fitToPage="1"/>
  </sheetPr>
  <dimension ref="A1:S248"/>
  <sheetViews>
    <sheetView showGridLines="0" view="pageBreakPreview" zoomScale="110" zoomScaleNormal="85" zoomScaleSheetLayoutView="110" workbookViewId="0"/>
  </sheetViews>
  <sheetFormatPr defaultColWidth="8.453125" defaultRowHeight="14.5" x14ac:dyDescent="0.35"/>
  <cols>
    <col min="1" max="1" width="2.453125" style="3" customWidth="1"/>
    <col min="2" max="2" width="38.453125" style="3" customWidth="1"/>
    <col min="4" max="15" width="14.453125" style="3" customWidth="1"/>
    <col min="16" max="16" width="15.453125" style="3" customWidth="1"/>
    <col min="17" max="24" width="0" style="3" hidden="1" customWidth="1"/>
    <col min="25" max="25" width="8.453125" style="3"/>
    <col min="26" max="26" width="9" style="3" bestFit="1" customWidth="1"/>
    <col min="27" max="16384" width="8.453125" style="3"/>
  </cols>
  <sheetData>
    <row r="1" spans="1:19" ht="23" x14ac:dyDescent="0.45">
      <c r="A1" s="1" t="s">
        <v>45</v>
      </c>
      <c r="B1" s="1"/>
    </row>
    <row r="2" spans="1:19" ht="15" customHeight="1" x14ac:dyDescent="0.35">
      <c r="A2" s="72" t="s">
        <v>41</v>
      </c>
      <c r="B2" s="4"/>
    </row>
    <row r="3" spans="1:19" ht="15.5" x14ac:dyDescent="0.35">
      <c r="A3" s="5" t="s">
        <v>46</v>
      </c>
      <c r="B3" s="5"/>
    </row>
    <row r="4" spans="1:19" ht="15" customHeight="1" x14ac:dyDescent="0.35">
      <c r="A4" s="6"/>
      <c r="B4" s="2"/>
    </row>
    <row r="5" spans="1:19" x14ac:dyDescent="0.35"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74"/>
      <c r="S5" s="74"/>
    </row>
    <row r="6" spans="1:19" x14ac:dyDescent="0.35">
      <c r="D6" s="75">
        <v>45443</v>
      </c>
      <c r="E6" s="75">
        <v>45473</v>
      </c>
      <c r="F6" s="75">
        <v>45504</v>
      </c>
      <c r="G6" s="75">
        <v>45535</v>
      </c>
      <c r="H6" s="75">
        <v>45565</v>
      </c>
      <c r="I6" s="75">
        <v>45596</v>
      </c>
      <c r="J6" s="75">
        <v>45626</v>
      </c>
      <c r="K6" s="75">
        <v>45657</v>
      </c>
      <c r="L6" s="75">
        <v>45688</v>
      </c>
      <c r="M6" s="75">
        <v>45716</v>
      </c>
      <c r="N6" s="75">
        <v>45747</v>
      </c>
      <c r="O6" s="75">
        <v>45777</v>
      </c>
      <c r="P6" s="76" t="s">
        <v>42</v>
      </c>
    </row>
    <row r="7" spans="1:19" x14ac:dyDescent="0.35">
      <c r="D7" s="77" t="s">
        <v>1</v>
      </c>
      <c r="E7" s="77" t="s">
        <v>1</v>
      </c>
      <c r="F7" s="77" t="s">
        <v>1</v>
      </c>
      <c r="G7" s="77" t="s">
        <v>1</v>
      </c>
      <c r="H7" s="77" t="s">
        <v>1</v>
      </c>
      <c r="I7" s="77" t="s">
        <v>1</v>
      </c>
      <c r="J7" s="77" t="s">
        <v>1</v>
      </c>
      <c r="K7" s="77" t="s">
        <v>1</v>
      </c>
      <c r="L7" s="77" t="s">
        <v>1</v>
      </c>
      <c r="M7" s="77" t="s">
        <v>1</v>
      </c>
      <c r="N7" s="77" t="s">
        <v>1</v>
      </c>
      <c r="O7" s="77" t="s">
        <v>1</v>
      </c>
      <c r="P7" s="76"/>
    </row>
    <row r="8" spans="1:19" ht="3" customHeight="1" x14ac:dyDescent="0.35"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8"/>
    </row>
    <row r="9" spans="1:19" s="22" customFormat="1" x14ac:dyDescent="0.35">
      <c r="A9" s="79"/>
      <c r="B9" s="17" t="s">
        <v>7</v>
      </c>
      <c r="D9" s="18">
        <v>4092</v>
      </c>
      <c r="E9" s="18">
        <v>3960</v>
      </c>
      <c r="F9" s="18">
        <v>4092</v>
      </c>
      <c r="G9" s="18">
        <v>4092</v>
      </c>
      <c r="H9" s="18">
        <v>3960</v>
      </c>
      <c r="I9" s="18">
        <v>4092</v>
      </c>
      <c r="J9" s="18">
        <v>3960</v>
      </c>
      <c r="K9" s="18">
        <v>4092</v>
      </c>
      <c r="L9" s="18">
        <v>4092</v>
      </c>
      <c r="M9" s="18">
        <v>3696</v>
      </c>
      <c r="N9" s="18">
        <v>4092</v>
      </c>
      <c r="O9" s="18">
        <v>3960</v>
      </c>
      <c r="P9" s="80">
        <f>+SUM(D9:O9)</f>
        <v>48180</v>
      </c>
    </row>
    <row r="10" spans="1:19" s="22" customFormat="1" x14ac:dyDescent="0.35">
      <c r="A10" s="79"/>
      <c r="B10" s="17" t="s">
        <v>8</v>
      </c>
      <c r="D10" s="18">
        <v>3471</v>
      </c>
      <c r="E10" s="18">
        <v>3102</v>
      </c>
      <c r="F10" s="18">
        <v>3016</v>
      </c>
      <c r="G10" s="18">
        <v>3030</v>
      </c>
      <c r="H10" s="18">
        <v>2625</v>
      </c>
      <c r="I10" s="18">
        <v>3173</v>
      </c>
      <c r="J10" s="18">
        <v>3516</v>
      </c>
      <c r="K10" s="18">
        <v>3594</v>
      </c>
      <c r="L10" s="18">
        <v>3709</v>
      </c>
      <c r="M10" s="18">
        <v>3426</v>
      </c>
      <c r="N10" s="18">
        <v>3737</v>
      </c>
      <c r="O10" s="18">
        <v>3684</v>
      </c>
      <c r="P10" s="80">
        <f>+SUM(D10:O10)</f>
        <v>40083</v>
      </c>
    </row>
    <row r="11" spans="1:19" s="22" customFormat="1" x14ac:dyDescent="0.35">
      <c r="A11" s="79"/>
      <c r="B11" s="17" t="s">
        <v>9</v>
      </c>
      <c r="D11" s="23">
        <v>0.84819999999999995</v>
      </c>
      <c r="E11" s="23">
        <v>0.7833</v>
      </c>
      <c r="F11" s="23">
        <v>0.73699999999999999</v>
      </c>
      <c r="G11" s="23">
        <v>0.74050000000000005</v>
      </c>
      <c r="H11" s="23">
        <v>0.66290000000000004</v>
      </c>
      <c r="I11" s="23">
        <v>0.77539999999999998</v>
      </c>
      <c r="J11" s="23">
        <v>0.88790000000000002</v>
      </c>
      <c r="K11" s="23">
        <v>0.87829999999999997</v>
      </c>
      <c r="L11" s="23">
        <v>0.90639999999999998</v>
      </c>
      <c r="M11" s="23">
        <v>0.92689999999999995</v>
      </c>
      <c r="N11" s="23">
        <v>0.91320000000000001</v>
      </c>
      <c r="O11" s="23">
        <f>O10/O9</f>
        <v>0.9303030303030303</v>
      </c>
      <c r="P11" s="81">
        <f>P10/P9</f>
        <v>0.83194271481942716</v>
      </c>
    </row>
    <row r="12" spans="1:19" s="22" customFormat="1" x14ac:dyDescent="0.35">
      <c r="A12" s="79"/>
      <c r="B12" s="17" t="s">
        <v>10</v>
      </c>
      <c r="D12" s="24">
        <v>223.86150000000001</v>
      </c>
      <c r="E12" s="24">
        <v>171.1737</v>
      </c>
      <c r="F12" s="24">
        <v>179.42679999999999</v>
      </c>
      <c r="G12" s="24">
        <v>158.69499999999999</v>
      </c>
      <c r="H12" s="24">
        <v>160.40219999999999</v>
      </c>
      <c r="I12" s="24">
        <v>192.31700000000001</v>
      </c>
      <c r="J12" s="24">
        <v>197.7415</v>
      </c>
      <c r="K12" s="24">
        <v>278.76679999999999</v>
      </c>
      <c r="L12" s="24">
        <v>280.59289999999999</v>
      </c>
      <c r="M12" s="24">
        <v>341.18630000000002</v>
      </c>
      <c r="N12" s="24">
        <v>296.99329999999998</v>
      </c>
      <c r="O12" s="24">
        <f>O17/O10</f>
        <v>266.56628393051028</v>
      </c>
      <c r="P12" s="82">
        <f>P17/P10</f>
        <v>233.51402689419456</v>
      </c>
    </row>
    <row r="13" spans="1:19" s="22" customFormat="1" x14ac:dyDescent="0.35">
      <c r="A13" s="79"/>
      <c r="B13" s="17" t="s">
        <v>11</v>
      </c>
      <c r="D13" s="24">
        <v>189.88839999999999</v>
      </c>
      <c r="E13" s="24">
        <v>134.08600000000001</v>
      </c>
      <c r="F13" s="24">
        <v>132.24619999999999</v>
      </c>
      <c r="G13" s="24">
        <v>117.50879999999999</v>
      </c>
      <c r="H13" s="24">
        <v>106.3272</v>
      </c>
      <c r="I13" s="24">
        <v>149.12559999999999</v>
      </c>
      <c r="J13" s="24">
        <v>175.57050000000001</v>
      </c>
      <c r="K13" s="24">
        <v>244.84059999999999</v>
      </c>
      <c r="L13" s="24">
        <v>254.33009999999999</v>
      </c>
      <c r="M13" s="24">
        <v>316.262</v>
      </c>
      <c r="N13" s="24">
        <v>271.22770000000003</v>
      </c>
      <c r="O13" s="24">
        <f>O11*O12</f>
        <v>247.98742171717169</v>
      </c>
      <c r="P13" s="82">
        <f>P11*P12</f>
        <v>194.27029348277296</v>
      </c>
    </row>
    <row r="14" spans="1:19" s="22" customFormat="1" x14ac:dyDescent="0.35">
      <c r="A14" s="79"/>
      <c r="B14" s="17" t="s">
        <v>12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80"/>
    </row>
    <row r="15" spans="1:19" s="22" customFormat="1" x14ac:dyDescent="0.35">
      <c r="A15" s="79"/>
      <c r="B15" s="17" t="s">
        <v>12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80"/>
    </row>
    <row r="16" spans="1:19" s="33" customFormat="1" x14ac:dyDescent="0.35">
      <c r="A16" s="83"/>
      <c r="B16" s="27" t="s">
        <v>13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5"/>
    </row>
    <row r="17" spans="1:16" s="22" customFormat="1" x14ac:dyDescent="0.35">
      <c r="A17" s="79"/>
      <c r="B17" s="17" t="s">
        <v>14</v>
      </c>
      <c r="D17" s="18">
        <v>777023.21</v>
      </c>
      <c r="E17" s="18">
        <v>530980.69999999995</v>
      </c>
      <c r="F17" s="18">
        <v>541151.31000000006</v>
      </c>
      <c r="G17" s="18">
        <v>480845.86</v>
      </c>
      <c r="H17" s="18">
        <v>421055.73</v>
      </c>
      <c r="I17" s="18">
        <v>610221.82999999996</v>
      </c>
      <c r="J17" s="18">
        <v>695259.21</v>
      </c>
      <c r="K17" s="18">
        <v>1001887.74</v>
      </c>
      <c r="L17" s="18">
        <v>1040718.97</v>
      </c>
      <c r="M17" s="18">
        <v>1168904.21</v>
      </c>
      <c r="N17" s="18">
        <v>1109863.78</v>
      </c>
      <c r="O17" s="18">
        <v>982030.19</v>
      </c>
      <c r="P17" s="80">
        <f>+SUM(D17:O17)</f>
        <v>9359942.7400000002</v>
      </c>
    </row>
    <row r="18" spans="1:16" s="22" customFormat="1" x14ac:dyDescent="0.35">
      <c r="A18" s="79"/>
      <c r="B18" s="17" t="s">
        <v>15</v>
      </c>
      <c r="D18" s="18">
        <v>276217.51</v>
      </c>
      <c r="E18" s="18">
        <v>201588.78</v>
      </c>
      <c r="F18" s="18">
        <v>210893.26</v>
      </c>
      <c r="G18" s="18">
        <v>189691.38</v>
      </c>
      <c r="H18" s="18">
        <v>205467.1</v>
      </c>
      <c r="I18" s="18">
        <v>195962.94</v>
      </c>
      <c r="J18" s="18">
        <v>235866.06</v>
      </c>
      <c r="K18" s="18">
        <v>305129.21999999997</v>
      </c>
      <c r="L18" s="18">
        <v>354251.28</v>
      </c>
      <c r="M18" s="18">
        <v>423507.82</v>
      </c>
      <c r="N18" s="18">
        <v>367074.76</v>
      </c>
      <c r="O18" s="18">
        <v>379131.93</v>
      </c>
      <c r="P18" s="80">
        <f>+SUM(D18:O18)</f>
        <v>3344782.0400000005</v>
      </c>
    </row>
    <row r="19" spans="1:16" s="22" customFormat="1" x14ac:dyDescent="0.35">
      <c r="A19" s="79"/>
      <c r="B19" s="17" t="s">
        <v>16</v>
      </c>
      <c r="D19" s="18">
        <v>686.39</v>
      </c>
      <c r="E19" s="18">
        <v>971.47</v>
      </c>
      <c r="F19" s="18">
        <v>1646.04</v>
      </c>
      <c r="G19" s="18">
        <v>900.7</v>
      </c>
      <c r="H19" s="18">
        <v>865.48</v>
      </c>
      <c r="I19" s="18">
        <v>1388.87</v>
      </c>
      <c r="J19" s="18">
        <v>2028.13</v>
      </c>
      <c r="K19" s="18">
        <v>2112.59</v>
      </c>
      <c r="L19" s="18">
        <v>2237.04</v>
      </c>
      <c r="M19" s="18">
        <v>2324.1799999999998</v>
      </c>
      <c r="N19" s="18">
        <v>2364.48</v>
      </c>
      <c r="O19" s="18">
        <v>2948.44</v>
      </c>
      <c r="P19" s="80">
        <f>+SUM(D19:O19)</f>
        <v>20473.809999999998</v>
      </c>
    </row>
    <row r="20" spans="1:16" s="22" customFormat="1" x14ac:dyDescent="0.35">
      <c r="A20" s="79"/>
      <c r="B20" s="17" t="s">
        <v>17</v>
      </c>
      <c r="D20" s="18">
        <v>110919.27</v>
      </c>
      <c r="E20" s="18">
        <v>93308.28</v>
      </c>
      <c r="F20" s="18">
        <v>102674.98</v>
      </c>
      <c r="G20" s="18">
        <v>101401.82</v>
      </c>
      <c r="H20" s="18">
        <v>75369.05</v>
      </c>
      <c r="I20" s="18">
        <v>102100.27</v>
      </c>
      <c r="J20" s="18">
        <v>114522.56</v>
      </c>
      <c r="K20" s="18">
        <v>125354.13</v>
      </c>
      <c r="L20" s="18">
        <v>107218.88</v>
      </c>
      <c r="M20" s="18">
        <v>91349.99</v>
      </c>
      <c r="N20" s="18">
        <v>110611.64</v>
      </c>
      <c r="O20" s="18">
        <v>144707.94</v>
      </c>
      <c r="P20" s="80">
        <f>+SUM(D20:O20)</f>
        <v>1279538.8099999998</v>
      </c>
    </row>
    <row r="21" spans="1:16" s="33" customFormat="1" x14ac:dyDescent="0.35">
      <c r="A21" s="83"/>
      <c r="B21" s="27" t="s">
        <v>18</v>
      </c>
      <c r="D21" s="29">
        <v>1164846.3799999999</v>
      </c>
      <c r="E21" s="29">
        <v>826849.23</v>
      </c>
      <c r="F21" s="29">
        <v>856365.59000000008</v>
      </c>
      <c r="G21" s="29">
        <v>772839.76</v>
      </c>
      <c r="H21" s="29">
        <v>702757.36</v>
      </c>
      <c r="I21" s="29">
        <v>909673.91</v>
      </c>
      <c r="J21" s="29">
        <v>1047675.96</v>
      </c>
      <c r="K21" s="29">
        <v>1434483.6800000002</v>
      </c>
      <c r="L21" s="29">
        <v>1504426.17</v>
      </c>
      <c r="M21" s="29">
        <v>1686086.2</v>
      </c>
      <c r="N21" s="29">
        <v>1589914.66</v>
      </c>
      <c r="O21" s="29">
        <f>SUM(O17:O20)</f>
        <v>1508818.4999999998</v>
      </c>
      <c r="P21" s="86">
        <f>+SUM(D21:O21)</f>
        <v>14004737.4</v>
      </c>
    </row>
    <row r="22" spans="1:16" s="22" customFormat="1" x14ac:dyDescent="0.35">
      <c r="A22" s="79"/>
      <c r="B22" s="17" t="s">
        <v>12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80"/>
    </row>
    <row r="23" spans="1:16" s="33" customFormat="1" x14ac:dyDescent="0.35">
      <c r="A23" s="83"/>
      <c r="B23" s="27" t="s">
        <v>19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5"/>
    </row>
    <row r="24" spans="1:16" s="22" customFormat="1" x14ac:dyDescent="0.35">
      <c r="A24" s="79"/>
      <c r="B24" s="17" t="s">
        <v>14</v>
      </c>
      <c r="D24" s="18">
        <v>267324.25</v>
      </c>
      <c r="E24" s="18">
        <v>206882.07</v>
      </c>
      <c r="F24" s="18">
        <v>214773.66</v>
      </c>
      <c r="G24" s="18">
        <v>200502.01</v>
      </c>
      <c r="H24" s="18">
        <v>185458.87</v>
      </c>
      <c r="I24" s="18">
        <v>194298.83</v>
      </c>
      <c r="J24" s="18">
        <v>214598.12</v>
      </c>
      <c r="K24" s="18">
        <v>255145.18</v>
      </c>
      <c r="L24" s="18">
        <v>279344.62</v>
      </c>
      <c r="M24" s="18">
        <v>240150.76</v>
      </c>
      <c r="N24" s="18">
        <v>250429.69</v>
      </c>
      <c r="O24" s="18">
        <v>278444.2</v>
      </c>
      <c r="P24" s="80">
        <f>+SUM(D24:O24)</f>
        <v>2787352.2600000002</v>
      </c>
    </row>
    <row r="25" spans="1:16" s="22" customFormat="1" x14ac:dyDescent="0.35">
      <c r="A25" s="79"/>
      <c r="B25" s="17" t="s">
        <v>15</v>
      </c>
      <c r="D25" s="18">
        <v>226868.58</v>
      </c>
      <c r="E25" s="18">
        <v>181455.91</v>
      </c>
      <c r="F25" s="18">
        <v>187917.75</v>
      </c>
      <c r="G25" s="18">
        <v>183640.15</v>
      </c>
      <c r="H25" s="18">
        <v>144001.82</v>
      </c>
      <c r="I25" s="18">
        <v>168612.12</v>
      </c>
      <c r="J25" s="18">
        <v>192181.82</v>
      </c>
      <c r="K25" s="18">
        <v>231097.5</v>
      </c>
      <c r="L25" s="18">
        <v>248459.71</v>
      </c>
      <c r="M25" s="18">
        <v>275568.11</v>
      </c>
      <c r="N25" s="18">
        <v>264575.75</v>
      </c>
      <c r="O25" s="18">
        <v>291396.90000000002</v>
      </c>
      <c r="P25" s="80">
        <f>+SUM(D25:O25)</f>
        <v>2595776.12</v>
      </c>
    </row>
    <row r="26" spans="1:16" s="22" customFormat="1" x14ac:dyDescent="0.35">
      <c r="A26" s="79"/>
      <c r="B26" s="17" t="s">
        <v>16</v>
      </c>
      <c r="D26" s="18">
        <v>294.5</v>
      </c>
      <c r="E26" s="18">
        <v>206.68</v>
      </c>
      <c r="F26" s="18">
        <v>520.26</v>
      </c>
      <c r="G26" s="18">
        <v>165.54</v>
      </c>
      <c r="H26" s="18">
        <v>348.76</v>
      </c>
      <c r="I26" s="18">
        <v>319.45</v>
      </c>
      <c r="J26" s="18">
        <v>767.44</v>
      </c>
      <c r="K26" s="18">
        <v>180.6</v>
      </c>
      <c r="L26" s="18">
        <v>1154.5999999999999</v>
      </c>
      <c r="M26" s="18">
        <v>1424.85</v>
      </c>
      <c r="N26" s="18">
        <v>1387.57</v>
      </c>
      <c r="O26" s="18">
        <v>1105.98</v>
      </c>
      <c r="P26" s="80">
        <f>+SUM(D26:O26)</f>
        <v>7876.23</v>
      </c>
    </row>
    <row r="27" spans="1:16" s="33" customFormat="1" x14ac:dyDescent="0.35">
      <c r="A27" s="83"/>
      <c r="B27" s="27" t="s">
        <v>20</v>
      </c>
      <c r="D27" s="29">
        <v>494487.32999999996</v>
      </c>
      <c r="E27" s="29">
        <v>388544.66</v>
      </c>
      <c r="F27" s="29">
        <v>403211.67000000004</v>
      </c>
      <c r="G27" s="29">
        <v>384307.7</v>
      </c>
      <c r="H27" s="29">
        <v>329809.45</v>
      </c>
      <c r="I27" s="29">
        <v>363230.39999999997</v>
      </c>
      <c r="J27" s="29">
        <v>407547.38</v>
      </c>
      <c r="K27" s="29">
        <v>486423.27999999997</v>
      </c>
      <c r="L27" s="29">
        <v>528958.92999999993</v>
      </c>
      <c r="M27" s="29">
        <v>517143.72</v>
      </c>
      <c r="N27" s="29">
        <v>516393.01</v>
      </c>
      <c r="O27" s="29">
        <f>SUM(O24:O26)</f>
        <v>570947.08000000007</v>
      </c>
      <c r="P27" s="86">
        <f>+SUM(D27:O27)</f>
        <v>5391004.6099999994</v>
      </c>
    </row>
    <row r="28" spans="1:16" s="22" customFormat="1" x14ac:dyDescent="0.35">
      <c r="A28" s="79"/>
      <c r="B28" s="17" t="s">
        <v>12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80"/>
    </row>
    <row r="29" spans="1:16" s="33" customFormat="1" x14ac:dyDescent="0.35">
      <c r="A29" s="83"/>
      <c r="B29" s="27" t="s">
        <v>21</v>
      </c>
      <c r="D29" s="84">
        <v>670359.04999999993</v>
      </c>
      <c r="E29" s="84">
        <v>438304.57</v>
      </c>
      <c r="F29" s="84">
        <v>453153.92000000004</v>
      </c>
      <c r="G29" s="84">
        <v>388532.06</v>
      </c>
      <c r="H29" s="84">
        <v>372947.91</v>
      </c>
      <c r="I29" s="84">
        <v>546443.51</v>
      </c>
      <c r="J29" s="84">
        <v>640128.57999999996</v>
      </c>
      <c r="K29" s="84">
        <v>948060.40000000014</v>
      </c>
      <c r="L29" s="84">
        <v>975467.24</v>
      </c>
      <c r="M29" s="84">
        <v>1168942.48</v>
      </c>
      <c r="N29" s="84">
        <v>1073521.6499999999</v>
      </c>
      <c r="O29" s="84">
        <f>O21-O27</f>
        <v>937871.41999999969</v>
      </c>
      <c r="P29" s="85">
        <f>+SUM(D29:O29)</f>
        <v>8613732.790000001</v>
      </c>
    </row>
    <row r="30" spans="1:16" s="22" customFormat="1" x14ac:dyDescent="0.35">
      <c r="A30" s="79"/>
      <c r="B30" s="17" t="s">
        <v>12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80"/>
    </row>
    <row r="31" spans="1:16" s="33" customFormat="1" x14ac:dyDescent="0.35">
      <c r="A31" s="83"/>
      <c r="B31" s="27" t="s">
        <v>22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5"/>
    </row>
    <row r="32" spans="1:16" s="22" customFormat="1" x14ac:dyDescent="0.35">
      <c r="A32" s="79"/>
      <c r="B32" s="17" t="s">
        <v>23</v>
      </c>
      <c r="D32" s="18">
        <v>111994.31</v>
      </c>
      <c r="E32" s="18">
        <v>82539.25</v>
      </c>
      <c r="F32" s="18">
        <v>90862.62</v>
      </c>
      <c r="G32" s="18">
        <v>94776.16</v>
      </c>
      <c r="H32" s="18">
        <v>100956.57</v>
      </c>
      <c r="I32" s="18">
        <v>101881.17</v>
      </c>
      <c r="J32" s="18">
        <v>97703.56</v>
      </c>
      <c r="K32" s="18">
        <v>130844.77</v>
      </c>
      <c r="L32" s="18">
        <v>124940.54</v>
      </c>
      <c r="M32" s="18">
        <v>116597.61</v>
      </c>
      <c r="N32" s="18">
        <v>120164.19</v>
      </c>
      <c r="O32" s="18">
        <v>133968.94</v>
      </c>
      <c r="P32" s="80">
        <f t="shared" ref="P32:P37" si="0">+SUM(D32:O32)</f>
        <v>1307229.69</v>
      </c>
    </row>
    <row r="33" spans="1:16" s="22" customFormat="1" x14ac:dyDescent="0.35">
      <c r="A33" s="79"/>
      <c r="B33" s="17" t="s">
        <v>24</v>
      </c>
      <c r="D33" s="18">
        <v>15157.74</v>
      </c>
      <c r="E33" s="18">
        <v>11148.06</v>
      </c>
      <c r="F33" s="18">
        <v>12448.49</v>
      </c>
      <c r="G33" s="18">
        <v>9078.4500000000007</v>
      </c>
      <c r="H33" s="18">
        <v>8251.67</v>
      </c>
      <c r="I33" s="18">
        <v>10860.33</v>
      </c>
      <c r="J33" s="18">
        <v>13045.09</v>
      </c>
      <c r="K33" s="18">
        <v>19091.71</v>
      </c>
      <c r="L33" s="18">
        <v>21170.28</v>
      </c>
      <c r="M33" s="18">
        <v>24910.61</v>
      </c>
      <c r="N33" s="18">
        <v>18119.5</v>
      </c>
      <c r="O33" s="18">
        <v>16160.83</v>
      </c>
      <c r="P33" s="80">
        <f>+SUM(D33:O33)</f>
        <v>179442.75999999998</v>
      </c>
    </row>
    <row r="34" spans="1:16" s="22" customFormat="1" x14ac:dyDescent="0.35">
      <c r="A34" s="79"/>
      <c r="B34" s="17" t="s">
        <v>25</v>
      </c>
      <c r="D34" s="18">
        <v>106611.29</v>
      </c>
      <c r="E34" s="18">
        <v>96066.240000000005</v>
      </c>
      <c r="F34" s="18">
        <v>97447.53</v>
      </c>
      <c r="G34" s="18">
        <v>91547.39</v>
      </c>
      <c r="H34" s="18">
        <v>90642.09</v>
      </c>
      <c r="I34" s="18">
        <v>89372.2</v>
      </c>
      <c r="J34" s="18">
        <v>96385.97</v>
      </c>
      <c r="K34" s="18">
        <v>83929.4</v>
      </c>
      <c r="L34" s="18">
        <v>103819.96</v>
      </c>
      <c r="M34" s="18">
        <v>95261.58</v>
      </c>
      <c r="N34" s="18">
        <v>94505.39</v>
      </c>
      <c r="O34" s="18">
        <v>88393.96</v>
      </c>
      <c r="P34" s="80">
        <f t="shared" si="0"/>
        <v>1133983</v>
      </c>
    </row>
    <row r="35" spans="1:16" s="22" customFormat="1" x14ac:dyDescent="0.35">
      <c r="A35" s="79"/>
      <c r="B35" s="17" t="s">
        <v>43</v>
      </c>
      <c r="D35" s="18">
        <v>53729.18</v>
      </c>
      <c r="E35" s="18">
        <v>45389.36</v>
      </c>
      <c r="F35" s="18">
        <v>48251.05</v>
      </c>
      <c r="G35" s="18">
        <v>50469.87</v>
      </c>
      <c r="H35" s="18">
        <v>54761.56</v>
      </c>
      <c r="I35" s="18">
        <v>53366.78</v>
      </c>
      <c r="J35" s="18">
        <v>55631.99</v>
      </c>
      <c r="K35" s="18">
        <v>51815.5</v>
      </c>
      <c r="L35" s="18">
        <v>63453.34</v>
      </c>
      <c r="M35" s="18">
        <v>52586.01</v>
      </c>
      <c r="N35" s="18">
        <v>47396.59</v>
      </c>
      <c r="O35" s="18">
        <v>57358.85</v>
      </c>
      <c r="P35" s="80">
        <f t="shared" si="0"/>
        <v>634210.07999999996</v>
      </c>
    </row>
    <row r="36" spans="1:16" s="22" customFormat="1" x14ac:dyDescent="0.35">
      <c r="A36" s="79"/>
      <c r="B36" s="17" t="s">
        <v>27</v>
      </c>
      <c r="D36" s="18">
        <v>26430.89</v>
      </c>
      <c r="E36" s="18">
        <v>28545.41</v>
      </c>
      <c r="F36" s="18">
        <v>24940.23</v>
      </c>
      <c r="G36" s="18">
        <v>23587.33</v>
      </c>
      <c r="H36" s="18">
        <v>25144.400000000001</v>
      </c>
      <c r="I36" s="18">
        <v>24473.06</v>
      </c>
      <c r="J36" s="18">
        <v>22625.96</v>
      </c>
      <c r="K36" s="18">
        <v>16277.43</v>
      </c>
      <c r="L36" s="18">
        <v>25067.23</v>
      </c>
      <c r="M36" s="18">
        <v>21552.880000000001</v>
      </c>
      <c r="N36" s="18">
        <v>22703.39</v>
      </c>
      <c r="O36" s="18">
        <v>24121.87</v>
      </c>
      <c r="P36" s="80">
        <f t="shared" si="0"/>
        <v>285470.08000000002</v>
      </c>
    </row>
    <row r="37" spans="1:16" s="33" customFormat="1" x14ac:dyDescent="0.35">
      <c r="A37" s="83"/>
      <c r="B37" s="27" t="s">
        <v>28</v>
      </c>
      <c r="D37" s="29">
        <v>313923.41000000003</v>
      </c>
      <c r="E37" s="29">
        <v>263688.31999999995</v>
      </c>
      <c r="F37" s="29">
        <v>273949.92</v>
      </c>
      <c r="G37" s="29">
        <v>269459.20000000001</v>
      </c>
      <c r="H37" s="29">
        <v>279756.29000000004</v>
      </c>
      <c r="I37" s="29">
        <v>279953.54000000004</v>
      </c>
      <c r="J37" s="29">
        <v>285392.57</v>
      </c>
      <c r="K37" s="29">
        <v>301958.81</v>
      </c>
      <c r="L37" s="29">
        <v>338451.35</v>
      </c>
      <c r="M37" s="29">
        <v>310908.69</v>
      </c>
      <c r="N37" s="29">
        <v>302889.06000000006</v>
      </c>
      <c r="O37" s="29">
        <f>SUM(O32:O36)</f>
        <v>320004.44999999995</v>
      </c>
      <c r="P37" s="86">
        <f t="shared" si="0"/>
        <v>3540335.6100000003</v>
      </c>
    </row>
    <row r="38" spans="1:16" s="22" customFormat="1" x14ac:dyDescent="0.35">
      <c r="A38" s="79"/>
      <c r="B38" s="17" t="s">
        <v>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80"/>
    </row>
    <row r="39" spans="1:16" s="33" customFormat="1" x14ac:dyDescent="0.35">
      <c r="A39" s="83"/>
      <c r="B39" s="27" t="s">
        <v>29</v>
      </c>
      <c r="D39" s="84">
        <v>356435.6399999999</v>
      </c>
      <c r="E39" s="84">
        <v>174616.25000000006</v>
      </c>
      <c r="F39" s="84">
        <v>179204.00000000006</v>
      </c>
      <c r="G39" s="84">
        <v>119072.85999999999</v>
      </c>
      <c r="H39" s="84">
        <v>93191.619999999937</v>
      </c>
      <c r="I39" s="84">
        <v>266489.96999999997</v>
      </c>
      <c r="J39" s="84">
        <v>354736.00999999995</v>
      </c>
      <c r="K39" s="84">
        <v>646101.59000000008</v>
      </c>
      <c r="L39" s="84">
        <v>637015.89</v>
      </c>
      <c r="M39" s="84">
        <v>858033.79</v>
      </c>
      <c r="N39" s="84">
        <v>770632.58999999985</v>
      </c>
      <c r="O39" s="84">
        <f>O29-O37</f>
        <v>617866.96999999974</v>
      </c>
      <c r="P39" s="85">
        <f>+SUM(D39:O39)</f>
        <v>5073397.18</v>
      </c>
    </row>
    <row r="40" spans="1:16" s="22" customFormat="1" x14ac:dyDescent="0.35">
      <c r="A40" s="79"/>
      <c r="B40" s="17" t="s">
        <v>12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80"/>
    </row>
    <row r="41" spans="1:16" s="22" customFormat="1" x14ac:dyDescent="0.35">
      <c r="A41" s="79"/>
      <c r="B41" s="17" t="s">
        <v>30</v>
      </c>
      <c r="D41" s="18">
        <f>3%*D21</f>
        <v>34945.391399999993</v>
      </c>
      <c r="E41" s="18">
        <f t="shared" ref="E41:O41" si="1">3%*E21</f>
        <v>24805.476899999998</v>
      </c>
      <c r="F41" s="18">
        <f t="shared" si="1"/>
        <v>25690.967700000001</v>
      </c>
      <c r="G41" s="18">
        <f t="shared" si="1"/>
        <v>23185.192800000001</v>
      </c>
      <c r="H41" s="18">
        <f t="shared" si="1"/>
        <v>21082.720799999999</v>
      </c>
      <c r="I41" s="18">
        <f t="shared" si="1"/>
        <v>27290.2173</v>
      </c>
      <c r="J41" s="18">
        <f t="shared" si="1"/>
        <v>31430.278799999996</v>
      </c>
      <c r="K41" s="18">
        <f t="shared" si="1"/>
        <v>43034.510400000006</v>
      </c>
      <c r="L41" s="18">
        <f t="shared" si="1"/>
        <v>45132.785099999994</v>
      </c>
      <c r="M41" s="18">
        <f t="shared" si="1"/>
        <v>50582.585999999996</v>
      </c>
      <c r="N41" s="18">
        <f t="shared" si="1"/>
        <v>47697.439799999993</v>
      </c>
      <c r="O41" s="18">
        <f t="shared" si="1"/>
        <v>45264.554999999993</v>
      </c>
      <c r="P41" s="80">
        <f>+SUM(D41:O41)</f>
        <v>420142.12199999997</v>
      </c>
    </row>
    <row r="42" spans="1:16" s="33" customFormat="1" x14ac:dyDescent="0.35">
      <c r="A42" s="83"/>
      <c r="B42" s="27" t="s">
        <v>31</v>
      </c>
      <c r="D42" s="29">
        <f>D39-D41</f>
        <v>321490.24859999993</v>
      </c>
      <c r="E42" s="29">
        <f t="shared" ref="E42:O42" si="2">E39-E41</f>
        <v>149810.77310000005</v>
      </c>
      <c r="F42" s="29">
        <f t="shared" si="2"/>
        <v>153513.03230000005</v>
      </c>
      <c r="G42" s="29">
        <f t="shared" si="2"/>
        <v>95887.667199999982</v>
      </c>
      <c r="H42" s="29">
        <f t="shared" si="2"/>
        <v>72108.899199999942</v>
      </c>
      <c r="I42" s="29">
        <f t="shared" si="2"/>
        <v>239199.75269999998</v>
      </c>
      <c r="J42" s="29">
        <f t="shared" si="2"/>
        <v>323305.73119999998</v>
      </c>
      <c r="K42" s="29">
        <f t="shared" si="2"/>
        <v>603067.07960000006</v>
      </c>
      <c r="L42" s="29">
        <f t="shared" si="2"/>
        <v>591883.10490000003</v>
      </c>
      <c r="M42" s="29">
        <f t="shared" si="2"/>
        <v>807451.20400000003</v>
      </c>
      <c r="N42" s="29">
        <f t="shared" si="2"/>
        <v>722935.1501999998</v>
      </c>
      <c r="O42" s="29">
        <f t="shared" si="2"/>
        <v>572602.4149999998</v>
      </c>
      <c r="P42" s="86">
        <f>+SUM(D42:O42)</f>
        <v>4653255.0580000002</v>
      </c>
    </row>
    <row r="43" spans="1:16" s="22" customFormat="1" x14ac:dyDescent="0.35">
      <c r="A43" s="79"/>
      <c r="B43" s="17" t="s">
        <v>12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80"/>
    </row>
    <row r="44" spans="1:16" s="22" customFormat="1" x14ac:dyDescent="0.35">
      <c r="A44" s="79"/>
      <c r="B44" s="17" t="s">
        <v>44</v>
      </c>
      <c r="D44" s="18">
        <v>-2116.0700000000002</v>
      </c>
      <c r="E44" s="18">
        <v>-2077.4899999999998</v>
      </c>
      <c r="F44" s="18">
        <v>-2152.0300000000002</v>
      </c>
      <c r="G44" s="18">
        <v>-2157.5</v>
      </c>
      <c r="H44" s="18">
        <v>-1997.83</v>
      </c>
      <c r="I44" s="18">
        <v>-1918.92</v>
      </c>
      <c r="J44" s="18">
        <v>0</v>
      </c>
      <c r="K44" s="18">
        <v>0</v>
      </c>
      <c r="L44" s="18">
        <v>-5053.16</v>
      </c>
      <c r="M44" s="18">
        <v>-1517.29</v>
      </c>
      <c r="N44" s="18">
        <v>-1682.8</v>
      </c>
      <c r="O44" s="18">
        <v>-1631.67</v>
      </c>
      <c r="P44" s="80">
        <f t="shared" ref="P44:P49" si="3">+SUM(D44:O44)</f>
        <v>-22304.760000000002</v>
      </c>
    </row>
    <row r="45" spans="1:16" s="22" customFormat="1" x14ac:dyDescent="0.35">
      <c r="A45" s="79"/>
      <c r="B45" s="17" t="s">
        <v>33</v>
      </c>
      <c r="D45" s="18">
        <v>1870.24</v>
      </c>
      <c r="E45" s="18">
        <v>658.13</v>
      </c>
      <c r="F45" s="18">
        <v>837.03</v>
      </c>
      <c r="G45" s="18">
        <v>517.89</v>
      </c>
      <c r="H45" s="18">
        <v>3514.57</v>
      </c>
      <c r="I45" s="18">
        <v>-800.55</v>
      </c>
      <c r="J45" s="18">
        <v>2224.88</v>
      </c>
      <c r="K45" s="18">
        <v>-2950.36</v>
      </c>
      <c r="L45" s="18">
        <v>2257.12</v>
      </c>
      <c r="M45" s="18">
        <v>473.27</v>
      </c>
      <c r="N45" s="18">
        <v>924.24</v>
      </c>
      <c r="O45" s="18">
        <v>277.08999999999997</v>
      </c>
      <c r="P45" s="80">
        <f t="shared" si="3"/>
        <v>9803.5499999999975</v>
      </c>
    </row>
    <row r="46" spans="1:16" s="22" customFormat="1" x14ac:dyDescent="0.35">
      <c r="A46" s="79"/>
      <c r="B46" s="17" t="s">
        <v>34</v>
      </c>
      <c r="D46" s="18">
        <v>45461</v>
      </c>
      <c r="E46" s="18">
        <v>45461</v>
      </c>
      <c r="F46" s="18">
        <v>45461</v>
      </c>
      <c r="G46" s="18">
        <v>45461</v>
      </c>
      <c r="H46" s="18">
        <v>45461</v>
      </c>
      <c r="I46" s="18">
        <v>45461</v>
      </c>
      <c r="J46" s="18">
        <v>86358.56</v>
      </c>
      <c r="K46" s="18">
        <v>2281.7199999999998</v>
      </c>
      <c r="L46" s="18">
        <v>48368</v>
      </c>
      <c r="M46" s="18">
        <v>48368</v>
      </c>
      <c r="N46" s="18">
        <v>48368</v>
      </c>
      <c r="O46" s="18">
        <v>33677.120000000003</v>
      </c>
      <c r="P46" s="80">
        <f t="shared" si="3"/>
        <v>540187.4</v>
      </c>
    </row>
    <row r="47" spans="1:16" s="22" customFormat="1" x14ac:dyDescent="0.35">
      <c r="A47" s="79"/>
      <c r="B47" s="17" t="s">
        <v>35</v>
      </c>
      <c r="D47" s="18">
        <f>'Adjusted Forecast'!C47</f>
        <v>96851.1</v>
      </c>
      <c r="E47" s="18">
        <f>'Adjusted Forecast'!D47</f>
        <v>96851.1</v>
      </c>
      <c r="F47" s="18">
        <f>'Adjusted Forecast'!E47</f>
        <v>96851.1</v>
      </c>
      <c r="G47" s="18">
        <f>'Adjusted Forecast'!F47</f>
        <v>96851.1</v>
      </c>
      <c r="H47" s="18">
        <f>'Adjusted Forecast'!G47</f>
        <v>96851.1</v>
      </c>
      <c r="I47" s="18">
        <f>'Adjusted Forecast'!H47</f>
        <v>96851.1</v>
      </c>
      <c r="J47" s="18">
        <f>'Adjusted Forecast'!I47</f>
        <v>96851.1</v>
      </c>
      <c r="K47" s="18">
        <f>'Adjusted Forecast'!J47</f>
        <v>96851.1</v>
      </c>
      <c r="L47" s="18">
        <f>'Adjusted Forecast'!K47</f>
        <v>96851.1</v>
      </c>
      <c r="M47" s="18">
        <f>'Adjusted Forecast'!L47</f>
        <v>96851.1</v>
      </c>
      <c r="N47" s="18">
        <f>'Adjusted Forecast'!M47</f>
        <v>96851.1</v>
      </c>
      <c r="O47" s="18">
        <f>'Adjusted Forecast'!N47</f>
        <v>96851.1</v>
      </c>
      <c r="P47" s="80">
        <f t="shared" si="3"/>
        <v>1162213.2</v>
      </c>
    </row>
    <row r="48" spans="1:16" s="22" customFormat="1" x14ac:dyDescent="0.35">
      <c r="A48" s="79"/>
      <c r="B48" s="17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80">
        <f t="shared" si="3"/>
        <v>0</v>
      </c>
    </row>
    <row r="49" spans="1:16" s="33" customFormat="1" x14ac:dyDescent="0.35">
      <c r="A49" s="83"/>
      <c r="B49" s="27" t="s">
        <v>37</v>
      </c>
      <c r="D49" s="29">
        <f>SUM(D44:D48)</f>
        <v>142066.27000000002</v>
      </c>
      <c r="E49" s="29">
        <f t="shared" ref="E49:O49" si="4">SUM(E44:E48)</f>
        <v>140892.74</v>
      </c>
      <c r="F49" s="29">
        <f t="shared" si="4"/>
        <v>140997.1</v>
      </c>
      <c r="G49" s="29">
        <f t="shared" si="4"/>
        <v>140672.49</v>
      </c>
      <c r="H49" s="29">
        <f t="shared" si="4"/>
        <v>143828.84</v>
      </c>
      <c r="I49" s="29">
        <f t="shared" si="4"/>
        <v>139592.63</v>
      </c>
      <c r="J49" s="29">
        <f t="shared" si="4"/>
        <v>185434.54</v>
      </c>
      <c r="K49" s="29">
        <f t="shared" si="4"/>
        <v>96182.46</v>
      </c>
      <c r="L49" s="29">
        <f t="shared" si="4"/>
        <v>142423.06</v>
      </c>
      <c r="M49" s="29">
        <f t="shared" si="4"/>
        <v>144175.08000000002</v>
      </c>
      <c r="N49" s="29">
        <f t="shared" si="4"/>
        <v>144460.54</v>
      </c>
      <c r="O49" s="29">
        <f t="shared" si="4"/>
        <v>129173.64000000001</v>
      </c>
      <c r="P49" s="86">
        <f t="shared" si="3"/>
        <v>1689899.3900000001</v>
      </c>
    </row>
    <row r="50" spans="1:16" s="22" customFormat="1" x14ac:dyDescent="0.35">
      <c r="A50" s="79"/>
      <c r="B50" s="17" t="s">
        <v>12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80"/>
    </row>
    <row r="51" spans="1:16" s="33" customFormat="1" x14ac:dyDescent="0.35">
      <c r="A51" s="83"/>
      <c r="B51" s="27" t="s">
        <v>38</v>
      </c>
      <c r="D51" s="84">
        <f>D42-D49</f>
        <v>179423.97859999991</v>
      </c>
      <c r="E51" s="84">
        <f t="shared" ref="E51:O51" si="5">E42-E49</f>
        <v>8918.0331000000588</v>
      </c>
      <c r="F51" s="84">
        <f t="shared" si="5"/>
        <v>12515.932300000044</v>
      </c>
      <c r="G51" s="84">
        <f t="shared" si="5"/>
        <v>-44784.822800000009</v>
      </c>
      <c r="H51" s="84">
        <f t="shared" si="5"/>
        <v>-71719.940800000055</v>
      </c>
      <c r="I51" s="84">
        <f t="shared" si="5"/>
        <v>99607.122699999978</v>
      </c>
      <c r="J51" s="84">
        <f t="shared" si="5"/>
        <v>137871.19119999997</v>
      </c>
      <c r="K51" s="84">
        <f t="shared" si="5"/>
        <v>506884.61960000003</v>
      </c>
      <c r="L51" s="84">
        <f t="shared" si="5"/>
        <v>449460.04490000004</v>
      </c>
      <c r="M51" s="84">
        <f t="shared" si="5"/>
        <v>663276.12400000007</v>
      </c>
      <c r="N51" s="84">
        <f t="shared" si="5"/>
        <v>578474.61019999976</v>
      </c>
      <c r="O51" s="84">
        <f t="shared" si="5"/>
        <v>443428.77499999979</v>
      </c>
      <c r="P51" s="85">
        <f>+SUM(D51:O51)</f>
        <v>2963355.6680000001</v>
      </c>
    </row>
    <row r="52" spans="1:16" s="22" customFormat="1" x14ac:dyDescent="0.35">
      <c r="A52" s="79"/>
      <c r="B52" s="17" t="s">
        <v>12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80"/>
    </row>
    <row r="53" spans="1:16" s="22" customFormat="1" x14ac:dyDescent="0.35">
      <c r="A53" s="79"/>
      <c r="B53" s="17" t="s">
        <v>39</v>
      </c>
      <c r="D53" s="18">
        <v>46593.855199999998</v>
      </c>
      <c r="E53" s="18">
        <v>33073.9692</v>
      </c>
      <c r="F53" s="18">
        <v>34254.623600000006</v>
      </c>
      <c r="G53" s="18">
        <v>30913.590400000001</v>
      </c>
      <c r="H53" s="18">
        <v>28110.294399999999</v>
      </c>
      <c r="I53" s="18">
        <v>36386.956400000003</v>
      </c>
      <c r="J53" s="18">
        <v>41907.038399999998</v>
      </c>
      <c r="K53" s="18">
        <v>57379.347200000011</v>
      </c>
      <c r="L53" s="18">
        <v>60177.046799999996</v>
      </c>
      <c r="M53" s="18">
        <v>67443.448000000004</v>
      </c>
      <c r="N53" s="18">
        <v>63596.5864</v>
      </c>
      <c r="O53" s="18">
        <v>60772.54</v>
      </c>
      <c r="P53" s="80">
        <f>+SUM(D53:O53)</f>
        <v>560609.29600000009</v>
      </c>
    </row>
    <row r="54" spans="1:16" s="33" customFormat="1" ht="15" thickBot="1" x14ac:dyDescent="0.4">
      <c r="A54" s="83"/>
      <c r="B54" s="87" t="s">
        <v>40</v>
      </c>
      <c r="C54" s="34"/>
      <c r="D54" s="34">
        <f>D51-D53</f>
        <v>132830.12339999992</v>
      </c>
      <c r="E54" s="34">
        <f t="shared" ref="E54:O54" si="6">E51-E53</f>
        <v>-24155.936099999941</v>
      </c>
      <c r="F54" s="34">
        <f t="shared" si="6"/>
        <v>-21738.691299999962</v>
      </c>
      <c r="G54" s="34">
        <f t="shared" si="6"/>
        <v>-75698.41320000001</v>
      </c>
      <c r="H54" s="34">
        <f t="shared" si="6"/>
        <v>-99830.235200000054</v>
      </c>
      <c r="I54" s="34">
        <f t="shared" si="6"/>
        <v>63220.166299999975</v>
      </c>
      <c r="J54" s="34">
        <f t="shared" si="6"/>
        <v>95964.152799999982</v>
      </c>
      <c r="K54" s="34">
        <f t="shared" si="6"/>
        <v>449505.27240000002</v>
      </c>
      <c r="L54" s="34">
        <f t="shared" si="6"/>
        <v>389282.99810000003</v>
      </c>
      <c r="M54" s="34">
        <f t="shared" si="6"/>
        <v>595832.67600000009</v>
      </c>
      <c r="N54" s="34">
        <f t="shared" si="6"/>
        <v>514878.02379999973</v>
      </c>
      <c r="O54" s="34">
        <f t="shared" si="6"/>
        <v>382656.23499999981</v>
      </c>
      <c r="P54" s="88">
        <f>+SUM(D54:O54)</f>
        <v>2402746.3719999995</v>
      </c>
    </row>
    <row r="55" spans="1:16" s="22" customFormat="1" ht="15" thickTop="1" x14ac:dyDescent="0.35">
      <c r="A55" s="79"/>
      <c r="B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0"/>
    </row>
    <row r="56" spans="1:16" s="22" customFormat="1" x14ac:dyDescent="0.35">
      <c r="A56" s="79"/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0"/>
    </row>
    <row r="57" spans="1:16" x14ac:dyDescent="0.35">
      <c r="A57" s="7"/>
      <c r="B57" s="7"/>
    </row>
    <row r="58" spans="1:16" s="71" customFormat="1" ht="12.5" x14ac:dyDescent="0.25">
      <c r="A58" s="89"/>
      <c r="B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spans="1:16" x14ac:dyDescent="0.35">
      <c r="A59" s="7"/>
      <c r="B59" s="7"/>
    </row>
    <row r="60" spans="1:16" x14ac:dyDescent="0.35">
      <c r="B60" s="43"/>
    </row>
    <row r="67" spans="1:2" x14ac:dyDescent="0.35">
      <c r="B67" s="43"/>
    </row>
    <row r="69" spans="1:2" x14ac:dyDescent="0.35">
      <c r="B69" s="43"/>
    </row>
    <row r="70" spans="1:2" x14ac:dyDescent="0.35">
      <c r="B70" s="43"/>
    </row>
    <row r="72" spans="1:2" ht="15.5" x14ac:dyDescent="0.35">
      <c r="A72" s="45"/>
    </row>
    <row r="92" spans="2:2" x14ac:dyDescent="0.35">
      <c r="B92" s="46"/>
    </row>
    <row r="98" spans="1:2" x14ac:dyDescent="0.35">
      <c r="B98" s="43"/>
    </row>
    <row r="99" spans="1:2" x14ac:dyDescent="0.35">
      <c r="B99" s="47"/>
    </row>
    <row r="108" spans="1:2" x14ac:dyDescent="0.35">
      <c r="A108" s="48"/>
      <c r="B108" s="49"/>
    </row>
    <row r="110" spans="1:2" x14ac:dyDescent="0.35">
      <c r="B110" s="43"/>
    </row>
    <row r="113" spans="1:2" s="7" customFormat="1" ht="12.5" x14ac:dyDescent="0.25">
      <c r="A113" s="3"/>
      <c r="B113" s="3"/>
    </row>
    <row r="114" spans="1:2" s="7" customFormat="1" ht="12.5" x14ac:dyDescent="0.25">
      <c r="A114" s="3"/>
      <c r="B114" s="3"/>
    </row>
    <row r="115" spans="1:2" s="7" customFormat="1" ht="12.5" x14ac:dyDescent="0.25">
      <c r="A115" s="3"/>
      <c r="B115" s="3"/>
    </row>
    <row r="116" spans="1:2" s="7" customFormat="1" ht="12.5" x14ac:dyDescent="0.25">
      <c r="A116" s="3"/>
      <c r="B116" s="3"/>
    </row>
    <row r="117" spans="1:2" s="7" customFormat="1" ht="12.5" x14ac:dyDescent="0.25">
      <c r="A117" s="3"/>
      <c r="B117" s="3"/>
    </row>
    <row r="118" spans="1:2" s="7" customFormat="1" ht="12.5" x14ac:dyDescent="0.25">
      <c r="A118" s="3"/>
      <c r="B118" s="3"/>
    </row>
    <row r="119" spans="1:2" s="7" customFormat="1" ht="13" x14ac:dyDescent="0.3">
      <c r="A119" s="54"/>
      <c r="B119" s="3"/>
    </row>
    <row r="120" spans="1:2" s="7" customFormat="1" ht="13" x14ac:dyDescent="0.3">
      <c r="A120" s="54"/>
      <c r="B120" s="3"/>
    </row>
    <row r="121" spans="1:2" s="7" customFormat="1" ht="12.5" x14ac:dyDescent="0.25">
      <c r="A121" s="3"/>
      <c r="B121" s="3"/>
    </row>
    <row r="122" spans="1:2" s="7" customFormat="1" ht="13" x14ac:dyDescent="0.3">
      <c r="A122" s="54"/>
      <c r="B122" s="3"/>
    </row>
    <row r="123" spans="1:2" s="7" customFormat="1" ht="12.5" x14ac:dyDescent="0.25">
      <c r="A123" s="3"/>
      <c r="B123" s="43"/>
    </row>
    <row r="124" spans="1:2" s="7" customFormat="1" ht="12.5" x14ac:dyDescent="0.25">
      <c r="A124" s="3"/>
      <c r="B124" s="43"/>
    </row>
    <row r="125" spans="1:2" s="7" customFormat="1" ht="12.5" x14ac:dyDescent="0.25">
      <c r="A125" s="3"/>
      <c r="B125" s="43"/>
    </row>
    <row r="126" spans="1:2" s="7" customFormat="1" ht="12.5" x14ac:dyDescent="0.25">
      <c r="A126" s="3"/>
      <c r="B126" s="43"/>
    </row>
    <row r="137" spans="1:2" s="7" customFormat="1" ht="13" x14ac:dyDescent="0.3">
      <c r="A137" s="3"/>
      <c r="B137" s="56"/>
    </row>
    <row r="138" spans="1:2" s="7" customFormat="1" ht="13" x14ac:dyDescent="0.3">
      <c r="A138" s="3"/>
      <c r="B138" s="56"/>
    </row>
    <row r="139" spans="1:2" s="7" customFormat="1" ht="13" x14ac:dyDescent="0.3">
      <c r="A139" s="3"/>
      <c r="B139" s="56"/>
    </row>
    <row r="140" spans="1:2" s="7" customFormat="1" ht="13" x14ac:dyDescent="0.3">
      <c r="A140" s="3"/>
      <c r="B140" s="56"/>
    </row>
    <row r="141" spans="1:2" s="7" customFormat="1" ht="13" x14ac:dyDescent="0.3">
      <c r="A141" s="3"/>
      <c r="B141" s="56"/>
    </row>
    <row r="142" spans="1:2" s="7" customFormat="1" ht="14" x14ac:dyDescent="0.3">
      <c r="A142" s="60"/>
      <c r="B142" s="61"/>
    </row>
    <row r="143" spans="1:2" s="7" customFormat="1" ht="13" x14ac:dyDescent="0.3">
      <c r="A143" s="64"/>
      <c r="B143" s="61"/>
    </row>
    <row r="144" spans="1:2" s="7" customFormat="1" ht="12.5" x14ac:dyDescent="0.25">
      <c r="A144" s="3"/>
      <c r="B144" s="3"/>
    </row>
    <row r="148" spans="1:1" x14ac:dyDescent="0.35">
      <c r="A148" s="47"/>
    </row>
    <row r="149" spans="1:1" x14ac:dyDescent="0.35">
      <c r="A149" s="47"/>
    </row>
    <row r="150" spans="1:1" x14ac:dyDescent="0.35">
      <c r="A150" s="47"/>
    </row>
    <row r="151" spans="1:1" x14ac:dyDescent="0.35">
      <c r="A151" s="47"/>
    </row>
    <row r="152" spans="1:1" x14ac:dyDescent="0.35">
      <c r="A152" s="47"/>
    </row>
    <row r="155" spans="1:1" x14ac:dyDescent="0.35">
      <c r="A155" s="47"/>
    </row>
    <row r="169" spans="1:2" x14ac:dyDescent="0.35">
      <c r="A169" s="47"/>
    </row>
    <row r="170" spans="1:2" x14ac:dyDescent="0.35">
      <c r="A170" s="54"/>
    </row>
    <row r="171" spans="1:2" x14ac:dyDescent="0.35">
      <c r="A171" s="54"/>
    </row>
    <row r="172" spans="1:2" x14ac:dyDescent="0.35">
      <c r="B172" s="56"/>
    </row>
    <row r="179" spans="2:2" x14ac:dyDescent="0.35">
      <c r="B179" s="56"/>
    </row>
    <row r="180" spans="2:2" x14ac:dyDescent="0.35">
      <c r="B180" s="56"/>
    </row>
    <row r="181" spans="2:2" x14ac:dyDescent="0.35">
      <c r="B181" s="56"/>
    </row>
    <row r="182" spans="2:2" x14ac:dyDescent="0.35">
      <c r="B182" s="56"/>
    </row>
    <row r="183" spans="2:2" x14ac:dyDescent="0.35">
      <c r="B183" s="56"/>
    </row>
    <row r="198" spans="2:2" x14ac:dyDescent="0.35">
      <c r="B198" s="69"/>
    </row>
    <row r="201" spans="2:2" x14ac:dyDescent="0.35">
      <c r="B201" s="71"/>
    </row>
    <row r="215" spans="2:2" s="7" customFormat="1" ht="13" x14ac:dyDescent="0.3">
      <c r="B215" s="56"/>
    </row>
    <row r="216" spans="2:2" s="7" customFormat="1" ht="12.5" x14ac:dyDescent="0.25">
      <c r="B216" s="46"/>
    </row>
    <row r="217" spans="2:2" s="7" customFormat="1" ht="12.5" x14ac:dyDescent="0.25">
      <c r="B217" s="46"/>
    </row>
    <row r="218" spans="2:2" s="7" customFormat="1" ht="12.5" x14ac:dyDescent="0.25">
      <c r="B218" s="46"/>
    </row>
    <row r="219" spans="2:2" s="7" customFormat="1" ht="12.5" x14ac:dyDescent="0.25">
      <c r="B219" s="46"/>
    </row>
    <row r="220" spans="2:2" s="7" customFormat="1" ht="12.5" x14ac:dyDescent="0.25">
      <c r="B220" s="46"/>
    </row>
    <row r="221" spans="2:2" s="7" customFormat="1" ht="12.5" x14ac:dyDescent="0.25">
      <c r="B221" s="46"/>
    </row>
    <row r="222" spans="2:2" s="7" customFormat="1" ht="12.5" x14ac:dyDescent="0.25">
      <c r="B222" s="46"/>
    </row>
    <row r="223" spans="2:2" s="7" customFormat="1" ht="12.5" x14ac:dyDescent="0.25">
      <c r="B223" s="46"/>
    </row>
    <row r="224" spans="2:2" s="7" customFormat="1" ht="12.5" x14ac:dyDescent="0.25">
      <c r="B224" s="46"/>
    </row>
    <row r="225" spans="2:2" s="7" customFormat="1" ht="12.5" x14ac:dyDescent="0.25">
      <c r="B225" s="46"/>
    </row>
    <row r="226" spans="2:2" s="7" customFormat="1" ht="12.5" x14ac:dyDescent="0.25">
      <c r="B226" s="46"/>
    </row>
    <row r="227" spans="2:2" s="7" customFormat="1" ht="12.5" x14ac:dyDescent="0.25">
      <c r="B227" s="46"/>
    </row>
    <row r="228" spans="2:2" s="7" customFormat="1" ht="12.5" x14ac:dyDescent="0.25">
      <c r="B228" s="46"/>
    </row>
    <row r="229" spans="2:2" s="7" customFormat="1" ht="12.5" x14ac:dyDescent="0.25">
      <c r="B229" s="46"/>
    </row>
    <row r="230" spans="2:2" s="7" customFormat="1" ht="12.5" x14ac:dyDescent="0.25">
      <c r="B230" s="46"/>
    </row>
    <row r="231" spans="2:2" s="7" customFormat="1" ht="12.5" x14ac:dyDescent="0.25">
      <c r="B231" s="46"/>
    </row>
    <row r="232" spans="2:2" s="7" customFormat="1" ht="12.5" x14ac:dyDescent="0.25">
      <c r="B232" s="46"/>
    </row>
    <row r="233" spans="2:2" s="7" customFormat="1" ht="12.5" x14ac:dyDescent="0.25">
      <c r="B233" s="46"/>
    </row>
    <row r="234" spans="2:2" s="7" customFormat="1" ht="12.5" x14ac:dyDescent="0.25">
      <c r="B234" s="46"/>
    </row>
    <row r="235" spans="2:2" s="7" customFormat="1" ht="12.5" x14ac:dyDescent="0.25">
      <c r="B235" s="46"/>
    </row>
    <row r="236" spans="2:2" s="7" customFormat="1" ht="12.5" x14ac:dyDescent="0.25">
      <c r="B236" s="46"/>
    </row>
    <row r="237" spans="2:2" s="7" customFormat="1" ht="12.5" x14ac:dyDescent="0.25">
      <c r="B237" s="46"/>
    </row>
    <row r="238" spans="2:2" s="7" customFormat="1" ht="12.5" x14ac:dyDescent="0.25">
      <c r="B238" s="46"/>
    </row>
    <row r="239" spans="2:2" s="7" customFormat="1" ht="12.5" x14ac:dyDescent="0.25">
      <c r="B239" s="46"/>
    </row>
    <row r="240" spans="2:2" s="7" customFormat="1" ht="12.5" x14ac:dyDescent="0.25">
      <c r="B240" s="46"/>
    </row>
    <row r="241" spans="1:2" s="7" customFormat="1" ht="12.5" x14ac:dyDescent="0.25">
      <c r="B241" s="46"/>
    </row>
    <row r="242" spans="1:2" s="7" customFormat="1" ht="12.5" x14ac:dyDescent="0.25">
      <c r="B242" s="46"/>
    </row>
    <row r="243" spans="1:2" s="7" customFormat="1" ht="12.5" x14ac:dyDescent="0.25">
      <c r="B243" s="46"/>
    </row>
    <row r="244" spans="1:2" s="7" customFormat="1" ht="12.5" x14ac:dyDescent="0.25">
      <c r="B244" s="46"/>
    </row>
    <row r="245" spans="1:2" s="7" customFormat="1" ht="12.5" x14ac:dyDescent="0.25">
      <c r="B245" s="46"/>
    </row>
    <row r="246" spans="1:2" s="7" customFormat="1" ht="12.5" x14ac:dyDescent="0.25">
      <c r="B246" s="3"/>
    </row>
    <row r="247" spans="1:2" s="7" customFormat="1" ht="13" x14ac:dyDescent="0.3">
      <c r="B247" s="56"/>
    </row>
    <row r="248" spans="1:2" s="7" customFormat="1" ht="12.5" x14ac:dyDescent="0.25">
      <c r="A248" s="3"/>
      <c r="B248" s="3"/>
    </row>
  </sheetData>
  <conditionalFormatting sqref="D56:P56">
    <cfRule type="expression" dxfId="16" priority="1">
      <formula>$R108=0</formula>
    </cfRule>
    <cfRule type="expression" dxfId="15" priority="2">
      <formula>$S56=-1</formula>
    </cfRule>
    <cfRule type="expression" dxfId="14" priority="3">
      <formula>$R56&gt;=1</formula>
    </cfRule>
    <cfRule type="expression" dxfId="13" priority="4">
      <formula>$X56="Dec"</formula>
    </cfRule>
    <cfRule type="expression" dxfId="12" priority="5">
      <formula>$X56="%"</formula>
    </cfRule>
  </conditionalFormatting>
  <pageMargins left="0.7" right="0.7" top="0.75" bottom="0.75" header="0.3" footer="0.3"/>
  <pageSetup scale="51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3F19-C8D5-417C-879C-458D65D10E87}">
  <sheetPr>
    <tabColor theme="9" tint="0.39997558519241921"/>
    <pageSetUpPr fitToPage="1"/>
  </sheetPr>
  <dimension ref="A1:R248"/>
  <sheetViews>
    <sheetView showGridLines="0" tabSelected="1" view="pageBreakPreview" zoomScale="70" zoomScaleNormal="85" zoomScaleSheetLayoutView="70" workbookViewId="0">
      <selection activeCell="O13" sqref="O13"/>
    </sheetView>
  </sheetViews>
  <sheetFormatPr defaultColWidth="8.453125" defaultRowHeight="12.5" x14ac:dyDescent="0.25"/>
  <cols>
    <col min="1" max="1" width="2.453125" style="3" customWidth="1"/>
    <col min="2" max="2" width="38.453125" style="3" customWidth="1"/>
    <col min="3" max="4" width="14.453125" style="3" customWidth="1"/>
    <col min="5" max="7" width="14.453125" style="7" customWidth="1"/>
    <col min="8" max="14" width="14.453125" style="3" customWidth="1"/>
    <col min="15" max="15" width="15.453125" style="3" customWidth="1"/>
    <col min="16" max="23" width="0" style="3" hidden="1" customWidth="1"/>
    <col min="24" max="24" width="8.453125" style="3"/>
    <col min="25" max="25" width="9" style="3" bestFit="1" customWidth="1"/>
    <col min="26" max="16384" width="8.453125" style="3"/>
  </cols>
  <sheetData>
    <row r="1" spans="1:18" ht="23" x14ac:dyDescent="0.45">
      <c r="A1" s="1" t="s">
        <v>45</v>
      </c>
      <c r="B1" s="1"/>
      <c r="C1" s="1"/>
      <c r="D1" s="1"/>
      <c r="E1" s="1"/>
      <c r="F1" s="1"/>
      <c r="G1" s="1"/>
      <c r="H1" s="2"/>
    </row>
    <row r="2" spans="1:18" ht="15" customHeight="1" x14ac:dyDescent="0.35">
      <c r="A2" s="4" t="s">
        <v>49</v>
      </c>
      <c r="B2" s="4"/>
      <c r="C2" s="4"/>
      <c r="D2" s="4"/>
      <c r="E2" s="4"/>
      <c r="F2" s="4"/>
      <c r="G2" s="4"/>
      <c r="H2" s="2"/>
    </row>
    <row r="3" spans="1:18" ht="15" x14ac:dyDescent="0.3">
      <c r="A3" s="5" t="s">
        <v>50</v>
      </c>
      <c r="B3" s="5"/>
      <c r="C3" s="5"/>
      <c r="D3" s="5"/>
      <c r="E3" s="5"/>
      <c r="F3" s="5"/>
      <c r="G3" s="5"/>
      <c r="H3" s="2"/>
    </row>
    <row r="4" spans="1:18" ht="15" customHeight="1" x14ac:dyDescent="0.3">
      <c r="A4" s="6"/>
      <c r="B4" s="2"/>
      <c r="C4" s="2"/>
      <c r="D4" s="2"/>
      <c r="E4" s="2"/>
      <c r="F4" s="2"/>
      <c r="G4" s="2"/>
      <c r="H4" s="2"/>
    </row>
    <row r="5" spans="1:18" ht="14.5" x14ac:dyDescent="0.35">
      <c r="C5" s="94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Q5" s="74"/>
      <c r="R5" s="74"/>
    </row>
    <row r="6" spans="1:18" ht="14.5" x14ac:dyDescent="0.35">
      <c r="C6" s="75">
        <v>45688</v>
      </c>
      <c r="D6" s="75">
        <v>45716</v>
      </c>
      <c r="E6" s="75">
        <v>45747</v>
      </c>
      <c r="F6" s="75">
        <v>45777</v>
      </c>
      <c r="G6" s="75">
        <v>45808</v>
      </c>
      <c r="H6" s="75">
        <v>45838</v>
      </c>
      <c r="I6" s="75">
        <v>45869</v>
      </c>
      <c r="J6" s="75">
        <v>45900</v>
      </c>
      <c r="K6" s="75">
        <v>45930</v>
      </c>
      <c r="L6" s="75">
        <v>45961</v>
      </c>
      <c r="M6" s="75">
        <v>45991</v>
      </c>
      <c r="N6" s="75">
        <v>46022</v>
      </c>
      <c r="O6" s="76" t="s">
        <v>42</v>
      </c>
    </row>
    <row r="7" spans="1:18" ht="14.5" x14ac:dyDescent="0.35">
      <c r="C7" s="77" t="s">
        <v>1</v>
      </c>
      <c r="D7" s="77" t="s">
        <v>1</v>
      </c>
      <c r="E7" s="77" t="s">
        <v>1</v>
      </c>
      <c r="F7" s="77" t="s">
        <v>1</v>
      </c>
      <c r="G7" s="77" t="s">
        <v>51</v>
      </c>
      <c r="H7" s="77" t="s">
        <v>51</v>
      </c>
      <c r="I7" s="77" t="s">
        <v>51</v>
      </c>
      <c r="J7" s="77" t="s">
        <v>51</v>
      </c>
      <c r="K7" s="77" t="s">
        <v>51</v>
      </c>
      <c r="L7" s="77" t="s">
        <v>51</v>
      </c>
      <c r="M7" s="77" t="s">
        <v>51</v>
      </c>
      <c r="N7" s="77" t="s">
        <v>51</v>
      </c>
      <c r="O7" s="76"/>
    </row>
    <row r="8" spans="1:18" ht="3" customHeight="1" x14ac:dyDescent="0.25">
      <c r="C8" s="7"/>
      <c r="D8" s="7"/>
      <c r="H8" s="15"/>
      <c r="O8" s="78"/>
    </row>
    <row r="9" spans="1:18" s="22" customFormat="1" ht="14.5" x14ac:dyDescent="0.35">
      <c r="A9" s="79"/>
      <c r="B9" s="17" t="s">
        <v>7</v>
      </c>
      <c r="C9" s="18">
        <v>4092</v>
      </c>
      <c r="D9" s="18">
        <v>3696</v>
      </c>
      <c r="E9" s="18">
        <v>4092</v>
      </c>
      <c r="F9" s="18">
        <v>3960</v>
      </c>
      <c r="G9" s="18">
        <v>4092</v>
      </c>
      <c r="H9" s="18">
        <v>3960</v>
      </c>
      <c r="I9" s="18">
        <v>4092</v>
      </c>
      <c r="J9" s="18">
        <v>4092</v>
      </c>
      <c r="K9" s="18">
        <v>3960</v>
      </c>
      <c r="L9" s="18">
        <v>4092</v>
      </c>
      <c r="M9" s="18">
        <v>3960</v>
      </c>
      <c r="N9" s="18">
        <v>4092</v>
      </c>
      <c r="O9" s="80">
        <f>SUM(C9:N9)</f>
        <v>48180</v>
      </c>
    </row>
    <row r="10" spans="1:18" s="22" customFormat="1" ht="14.5" x14ac:dyDescent="0.35">
      <c r="A10" s="79"/>
      <c r="B10" s="17" t="s">
        <v>8</v>
      </c>
      <c r="C10" s="18">
        <v>3709</v>
      </c>
      <c r="D10" s="18">
        <v>3426</v>
      </c>
      <c r="E10" s="18">
        <v>3737</v>
      </c>
      <c r="F10" s="18">
        <v>3684</v>
      </c>
      <c r="G10" s="18">
        <v>3264</v>
      </c>
      <c r="H10" s="18">
        <v>2855</v>
      </c>
      <c r="I10" s="18">
        <v>2920</v>
      </c>
      <c r="J10" s="18">
        <v>2871</v>
      </c>
      <c r="K10" s="18">
        <v>2461</v>
      </c>
      <c r="L10" s="18">
        <v>3286</v>
      </c>
      <c r="M10" s="18">
        <v>3319</v>
      </c>
      <c r="N10" s="18">
        <v>3557</v>
      </c>
      <c r="O10" s="80">
        <f>SUM(C10:N10)</f>
        <v>39089</v>
      </c>
    </row>
    <row r="11" spans="1:18" s="22" customFormat="1" ht="14.5" x14ac:dyDescent="0.35">
      <c r="A11" s="79"/>
      <c r="B11" s="17" t="s">
        <v>9</v>
      </c>
      <c r="C11" s="23">
        <v>0.90639999999999998</v>
      </c>
      <c r="D11" s="23">
        <v>0.92689999999999995</v>
      </c>
      <c r="E11" s="23">
        <v>0.91320000000000001</v>
      </c>
      <c r="F11" s="23">
        <f>F10/F9</f>
        <v>0.9303030303030303</v>
      </c>
      <c r="G11" s="23">
        <f t="shared" ref="G11:N11" si="0">G10/G9</f>
        <v>0.79765395894428148</v>
      </c>
      <c r="H11" s="23">
        <f t="shared" si="0"/>
        <v>0.72095959595959591</v>
      </c>
      <c r="I11" s="23">
        <f t="shared" si="0"/>
        <v>0.7135874877810362</v>
      </c>
      <c r="J11" s="23">
        <f t="shared" si="0"/>
        <v>0.70161290322580649</v>
      </c>
      <c r="K11" s="23">
        <f t="shared" si="0"/>
        <v>0.6214646464646465</v>
      </c>
      <c r="L11" s="23">
        <f t="shared" si="0"/>
        <v>0.80303030303030298</v>
      </c>
      <c r="M11" s="23">
        <f t="shared" si="0"/>
        <v>0.83813131313131317</v>
      </c>
      <c r="N11" s="23">
        <f t="shared" si="0"/>
        <v>0.86925708699902249</v>
      </c>
      <c r="O11" s="81">
        <f>O10/O9</f>
        <v>0.81131174761311753</v>
      </c>
    </row>
    <row r="12" spans="1:18" s="22" customFormat="1" ht="14.5" x14ac:dyDescent="0.35">
      <c r="A12" s="79"/>
      <c r="B12" s="17" t="s">
        <v>10</v>
      </c>
      <c r="C12" s="24">
        <v>280.59289999999999</v>
      </c>
      <c r="D12" s="24">
        <v>341.18630000000002</v>
      </c>
      <c r="E12" s="24">
        <v>296.99329999999998</v>
      </c>
      <c r="F12" s="24">
        <f>F17/F10</f>
        <v>266.56628393051028</v>
      </c>
      <c r="G12" s="24">
        <f t="shared" ref="G12:N12" si="1">G17/G10</f>
        <v>223.74367953431371</v>
      </c>
      <c r="H12" s="24">
        <f t="shared" si="1"/>
        <v>182.12488966725044</v>
      </c>
      <c r="I12" s="24">
        <f t="shared" si="1"/>
        <v>178.92017465753423</v>
      </c>
      <c r="J12" s="24">
        <f t="shared" si="1"/>
        <v>165.50696621386277</v>
      </c>
      <c r="K12" s="24">
        <f t="shared" si="1"/>
        <v>148.67055262088581</v>
      </c>
      <c r="L12" s="24">
        <f t="shared" si="1"/>
        <v>196.85383140596468</v>
      </c>
      <c r="M12" s="24">
        <f t="shared" si="1"/>
        <v>212.21820126544139</v>
      </c>
      <c r="N12" s="24">
        <f t="shared" si="1"/>
        <v>312.43924655608657</v>
      </c>
      <c r="O12" s="82">
        <f>O17/O10</f>
        <v>239.90992401954512</v>
      </c>
    </row>
    <row r="13" spans="1:18" s="22" customFormat="1" ht="14.5" x14ac:dyDescent="0.35">
      <c r="A13" s="79"/>
      <c r="B13" s="17" t="s">
        <v>11</v>
      </c>
      <c r="C13" s="24">
        <v>254.33009999999999</v>
      </c>
      <c r="D13" s="24">
        <v>316.262</v>
      </c>
      <c r="E13" s="24">
        <v>271.22770000000003</v>
      </c>
      <c r="F13" s="24">
        <f>F11*F12</f>
        <v>247.98742171717169</v>
      </c>
      <c r="G13" s="24">
        <f t="shared" ref="G13:N13" si="2">G11*G12</f>
        <v>178.47003176930593</v>
      </c>
      <c r="H13" s="24">
        <f t="shared" si="2"/>
        <v>131.30468686868687</v>
      </c>
      <c r="I13" s="24">
        <f t="shared" si="2"/>
        <v>127.67519794721407</v>
      </c>
      <c r="J13" s="24">
        <f t="shared" si="2"/>
        <v>116.12182306940372</v>
      </c>
      <c r="K13" s="24">
        <f t="shared" si="2"/>
        <v>92.393492424242424</v>
      </c>
      <c r="L13" s="24">
        <f t="shared" si="2"/>
        <v>158.079591886608</v>
      </c>
      <c r="M13" s="24">
        <f t="shared" si="2"/>
        <v>177.86671969696971</v>
      </c>
      <c r="N13" s="24">
        <f t="shared" si="2"/>
        <v>271.59002932551317</v>
      </c>
      <c r="O13" s="82">
        <f>O11*O12</f>
        <v>194.6417397260274</v>
      </c>
    </row>
    <row r="14" spans="1:18" s="22" customFormat="1" ht="14.5" x14ac:dyDescent="0.35">
      <c r="A14" s="79"/>
      <c r="B14" s="17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80"/>
    </row>
    <row r="15" spans="1:18" s="22" customFormat="1" ht="14.5" x14ac:dyDescent="0.35">
      <c r="A15" s="79"/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80"/>
    </row>
    <row r="16" spans="1:18" s="33" customFormat="1" ht="14.5" x14ac:dyDescent="0.35">
      <c r="A16" s="83"/>
      <c r="B16" s="27" t="s">
        <v>13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</row>
    <row r="17" spans="1:15" s="22" customFormat="1" ht="14.5" x14ac:dyDescent="0.35">
      <c r="A17" s="79"/>
      <c r="B17" s="17" t="s">
        <v>14</v>
      </c>
      <c r="C17" s="18">
        <v>1040718.97</v>
      </c>
      <c r="D17" s="18">
        <v>1168904.21</v>
      </c>
      <c r="E17" s="18">
        <v>1109863.78</v>
      </c>
      <c r="F17" s="18">
        <v>982030.19</v>
      </c>
      <c r="G17" s="18">
        <v>730299.37</v>
      </c>
      <c r="H17" s="18">
        <v>519966.56</v>
      </c>
      <c r="I17" s="18">
        <v>522446.91</v>
      </c>
      <c r="J17" s="18">
        <v>475170.5</v>
      </c>
      <c r="K17" s="18">
        <v>365878.23</v>
      </c>
      <c r="L17" s="18">
        <v>646861.68999999994</v>
      </c>
      <c r="M17" s="18">
        <v>704352.21</v>
      </c>
      <c r="N17" s="18">
        <v>1111346.3999999999</v>
      </c>
      <c r="O17" s="80">
        <f>SUM(C17:N17)</f>
        <v>9377839.0199999996</v>
      </c>
    </row>
    <row r="18" spans="1:15" s="22" customFormat="1" ht="14.5" x14ac:dyDescent="0.35">
      <c r="A18" s="79"/>
      <c r="B18" s="17" t="s">
        <v>15</v>
      </c>
      <c r="C18" s="18">
        <v>354251.28</v>
      </c>
      <c r="D18" s="18">
        <v>423507.82</v>
      </c>
      <c r="E18" s="18">
        <v>367074.76</v>
      </c>
      <c r="F18" s="18">
        <v>379131.93</v>
      </c>
      <c r="G18" s="18">
        <v>364017.56</v>
      </c>
      <c r="H18" s="18">
        <v>300373.15000000002</v>
      </c>
      <c r="I18" s="18">
        <v>300485.59999999998</v>
      </c>
      <c r="J18" s="18">
        <v>281361.83</v>
      </c>
      <c r="K18" s="18">
        <v>320944.45</v>
      </c>
      <c r="L18" s="18">
        <v>339544.78</v>
      </c>
      <c r="M18" s="18">
        <v>406007.87</v>
      </c>
      <c r="N18" s="18">
        <v>450651.61</v>
      </c>
      <c r="O18" s="80">
        <f>SUM(C18:N18)</f>
        <v>4287352.6400000006</v>
      </c>
    </row>
    <row r="19" spans="1:15" s="22" customFormat="1" ht="14.5" x14ac:dyDescent="0.35">
      <c r="A19" s="79"/>
      <c r="B19" s="17" t="s">
        <v>16</v>
      </c>
      <c r="C19" s="18">
        <v>2237.04</v>
      </c>
      <c r="D19" s="18">
        <v>2324.1799999999998</v>
      </c>
      <c r="E19" s="18">
        <v>2364.48</v>
      </c>
      <c r="F19" s="18">
        <v>2948.44</v>
      </c>
      <c r="G19" s="18">
        <v>1308.8</v>
      </c>
      <c r="H19" s="18">
        <v>1142</v>
      </c>
      <c r="I19" s="18">
        <v>1168</v>
      </c>
      <c r="J19" s="18">
        <v>1148.4000000000001</v>
      </c>
      <c r="K19" s="18">
        <v>986</v>
      </c>
      <c r="L19" s="18">
        <v>1314.4</v>
      </c>
      <c r="M19" s="18">
        <v>1327.6</v>
      </c>
      <c r="N19" s="18">
        <v>1422.8</v>
      </c>
      <c r="O19" s="80">
        <f>SUM(C19:N19)</f>
        <v>19692.139999999996</v>
      </c>
    </row>
    <row r="20" spans="1:15" s="22" customFormat="1" ht="14.5" x14ac:dyDescent="0.35">
      <c r="A20" s="79"/>
      <c r="B20" s="17" t="s">
        <v>17</v>
      </c>
      <c r="C20" s="18">
        <v>107218.88</v>
      </c>
      <c r="D20" s="18">
        <v>91349.99</v>
      </c>
      <c r="E20" s="18">
        <v>110611.64</v>
      </c>
      <c r="F20" s="18">
        <v>144707.94</v>
      </c>
      <c r="G20" s="18">
        <v>109128.85</v>
      </c>
      <c r="H20" s="18">
        <v>94329.12</v>
      </c>
      <c r="I20" s="18">
        <v>94748.22</v>
      </c>
      <c r="J20" s="18">
        <v>92333.37</v>
      </c>
      <c r="K20" s="18">
        <v>81981.5</v>
      </c>
      <c r="L20" s="18">
        <v>105907</v>
      </c>
      <c r="M20" s="18">
        <v>106523</v>
      </c>
      <c r="N20" s="18">
        <v>117805</v>
      </c>
      <c r="O20" s="80">
        <f>SUM(C20:N20)</f>
        <v>1256644.51</v>
      </c>
    </row>
    <row r="21" spans="1:15" s="33" customFormat="1" ht="14.5" x14ac:dyDescent="0.35">
      <c r="A21" s="83"/>
      <c r="B21" s="27" t="s">
        <v>18</v>
      </c>
      <c r="C21" s="29">
        <v>1504426.17</v>
      </c>
      <c r="D21" s="29">
        <v>1686086.2</v>
      </c>
      <c r="E21" s="29">
        <v>1589914.66</v>
      </c>
      <c r="F21" s="29">
        <f>SUM(F17:F20)</f>
        <v>1508818.4999999998</v>
      </c>
      <c r="G21" s="29">
        <f t="shared" ref="G21:N21" si="3">SUM(G17:G20)</f>
        <v>1204754.58</v>
      </c>
      <c r="H21" s="29">
        <f t="shared" si="3"/>
        <v>915810.83</v>
      </c>
      <c r="I21" s="29">
        <f t="shared" si="3"/>
        <v>918848.73</v>
      </c>
      <c r="J21" s="29">
        <f t="shared" si="3"/>
        <v>850014.10000000009</v>
      </c>
      <c r="K21" s="29">
        <f t="shared" si="3"/>
        <v>769790.17999999993</v>
      </c>
      <c r="L21" s="29">
        <f t="shared" si="3"/>
        <v>1093627.8700000001</v>
      </c>
      <c r="M21" s="29">
        <f t="shared" si="3"/>
        <v>1218210.6800000002</v>
      </c>
      <c r="N21" s="29">
        <f t="shared" si="3"/>
        <v>1681225.8099999998</v>
      </c>
      <c r="O21" s="86">
        <f>SUM(C21:N21)</f>
        <v>14941528.310000001</v>
      </c>
    </row>
    <row r="22" spans="1:15" s="22" customFormat="1" ht="14.5" x14ac:dyDescent="0.35">
      <c r="A22" s="79"/>
      <c r="B22" s="17" t="s">
        <v>12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7"/>
    </row>
    <row r="23" spans="1:15" s="33" customFormat="1" ht="14.5" x14ac:dyDescent="0.35">
      <c r="A23" s="83"/>
      <c r="B23" s="27" t="s">
        <v>19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98"/>
    </row>
    <row r="24" spans="1:15" s="22" customFormat="1" ht="14.5" x14ac:dyDescent="0.35">
      <c r="A24" s="79"/>
      <c r="B24" s="17" t="s">
        <v>14</v>
      </c>
      <c r="C24" s="18">
        <v>279344.62</v>
      </c>
      <c r="D24" s="18">
        <v>240150.76</v>
      </c>
      <c r="E24" s="18">
        <v>250429.69</v>
      </c>
      <c r="F24" s="18">
        <v>278444.2</v>
      </c>
      <c r="G24" s="18">
        <v>213683.97</v>
      </c>
      <c r="H24" s="18">
        <v>187153.72</v>
      </c>
      <c r="I24" s="18">
        <v>210134.31</v>
      </c>
      <c r="J24" s="18">
        <v>196622.17</v>
      </c>
      <c r="K24" s="18">
        <v>181097.72</v>
      </c>
      <c r="L24" s="18">
        <v>221034.58</v>
      </c>
      <c r="M24" s="18">
        <v>228171.4</v>
      </c>
      <c r="N24" s="18">
        <v>258164.05</v>
      </c>
      <c r="O24" s="80">
        <f>SUM(C24:N24)</f>
        <v>2744431.1899999995</v>
      </c>
    </row>
    <row r="25" spans="1:15" s="22" customFormat="1" ht="14.5" x14ac:dyDescent="0.35">
      <c r="A25" s="79"/>
      <c r="B25" s="17" t="s">
        <v>15</v>
      </c>
      <c r="C25" s="18">
        <v>248459.71</v>
      </c>
      <c r="D25" s="18">
        <v>275568.11</v>
      </c>
      <c r="E25" s="18">
        <v>264575.75</v>
      </c>
      <c r="F25" s="18">
        <v>291396.90000000002</v>
      </c>
      <c r="G25" s="18">
        <v>254359.85368199999</v>
      </c>
      <c r="H25" s="18">
        <v>213956.26808400001</v>
      </c>
      <c r="I25" s="18">
        <v>213992.48808400001</v>
      </c>
      <c r="J25" s="18">
        <v>201803.15027000001</v>
      </c>
      <c r="K25" s="18">
        <v>227600.79968</v>
      </c>
      <c r="L25" s="18">
        <v>238733.87236000001</v>
      </c>
      <c r="M25" s="18">
        <v>281148.42011599999</v>
      </c>
      <c r="N25" s="18">
        <v>309508.63654799998</v>
      </c>
      <c r="O25" s="80">
        <f>SUM(C25:N25)</f>
        <v>3021103.9588239999</v>
      </c>
    </row>
    <row r="26" spans="1:15" s="22" customFormat="1" ht="14.5" x14ac:dyDescent="0.35">
      <c r="A26" s="79"/>
      <c r="B26" s="17" t="s">
        <v>16</v>
      </c>
      <c r="C26" s="18">
        <v>1154.5999999999999</v>
      </c>
      <c r="D26" s="18">
        <v>1424.85</v>
      </c>
      <c r="E26" s="18">
        <v>1387.57</v>
      </c>
      <c r="F26" s="18">
        <v>1105.98</v>
      </c>
      <c r="G26" s="18">
        <v>575.02</v>
      </c>
      <c r="H26" s="18">
        <v>501.74</v>
      </c>
      <c r="I26" s="18">
        <v>513.16</v>
      </c>
      <c r="J26" s="18">
        <v>504.55</v>
      </c>
      <c r="K26" s="18">
        <v>433.2</v>
      </c>
      <c r="L26" s="18">
        <v>577.48</v>
      </c>
      <c r="M26" s="18">
        <v>583.28</v>
      </c>
      <c r="N26" s="18">
        <v>625.1</v>
      </c>
      <c r="O26" s="80">
        <f>SUM(C26:N26)</f>
        <v>9386.5300000000007</v>
      </c>
    </row>
    <row r="27" spans="1:15" s="33" customFormat="1" ht="14.5" x14ac:dyDescent="0.35">
      <c r="A27" s="83"/>
      <c r="B27" s="27" t="s">
        <v>20</v>
      </c>
      <c r="C27" s="29">
        <v>528958.92999999993</v>
      </c>
      <c r="D27" s="29">
        <v>517143.72</v>
      </c>
      <c r="E27" s="29">
        <v>516393.01</v>
      </c>
      <c r="F27" s="29">
        <f>SUM(F24:F26)</f>
        <v>570947.08000000007</v>
      </c>
      <c r="G27" s="29">
        <f t="shared" ref="G27:N27" si="4">SUM(G24:G26)</f>
        <v>468618.84368200001</v>
      </c>
      <c r="H27" s="29">
        <f t="shared" si="4"/>
        <v>401611.728084</v>
      </c>
      <c r="I27" s="29">
        <f t="shared" si="4"/>
        <v>424639.95808399998</v>
      </c>
      <c r="J27" s="29">
        <f t="shared" si="4"/>
        <v>398929.87027000001</v>
      </c>
      <c r="K27" s="29">
        <f t="shared" si="4"/>
        <v>409131.71968000004</v>
      </c>
      <c r="L27" s="29">
        <f t="shared" si="4"/>
        <v>460345.93235999998</v>
      </c>
      <c r="M27" s="29">
        <f t="shared" si="4"/>
        <v>509903.10011600005</v>
      </c>
      <c r="N27" s="29">
        <f t="shared" si="4"/>
        <v>568297.78654799995</v>
      </c>
      <c r="O27" s="86">
        <f>SUM(C27:N27)</f>
        <v>5774921.6788240001</v>
      </c>
    </row>
    <row r="28" spans="1:15" s="22" customFormat="1" ht="14.5" x14ac:dyDescent="0.35">
      <c r="A28" s="79"/>
      <c r="B28" s="17" t="s">
        <v>12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7"/>
    </row>
    <row r="29" spans="1:15" s="33" customFormat="1" ht="14.5" x14ac:dyDescent="0.35">
      <c r="A29" s="83"/>
      <c r="B29" s="27" t="s">
        <v>21</v>
      </c>
      <c r="C29" s="84">
        <v>975467.24</v>
      </c>
      <c r="D29" s="84">
        <v>1168942.48</v>
      </c>
      <c r="E29" s="84">
        <v>1073521.6499999999</v>
      </c>
      <c r="F29" s="84">
        <f>F21-F27</f>
        <v>937871.41999999969</v>
      </c>
      <c r="G29" s="84">
        <f t="shared" ref="G29:N29" si="5">G21-G27</f>
        <v>736135.73631800013</v>
      </c>
      <c r="H29" s="84">
        <f t="shared" si="5"/>
        <v>514199.10191599996</v>
      </c>
      <c r="I29" s="84">
        <f t="shared" si="5"/>
        <v>494208.771916</v>
      </c>
      <c r="J29" s="84">
        <f t="shared" si="5"/>
        <v>451084.22973000008</v>
      </c>
      <c r="K29" s="84">
        <f t="shared" si="5"/>
        <v>360658.4603199999</v>
      </c>
      <c r="L29" s="84">
        <f t="shared" si="5"/>
        <v>633281.93764000013</v>
      </c>
      <c r="M29" s="84">
        <f t="shared" si="5"/>
        <v>708307.57988400012</v>
      </c>
      <c r="N29" s="84">
        <f t="shared" si="5"/>
        <v>1112928.0234519998</v>
      </c>
      <c r="O29" s="85">
        <f>SUM(C29:N29)</f>
        <v>9166606.6311759986</v>
      </c>
    </row>
    <row r="30" spans="1:15" s="22" customFormat="1" ht="14.5" x14ac:dyDescent="0.35">
      <c r="A30" s="79"/>
      <c r="B30" s="17" t="s">
        <v>12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7"/>
    </row>
    <row r="31" spans="1:15" s="33" customFormat="1" ht="14.5" x14ac:dyDescent="0.35">
      <c r="A31" s="83"/>
      <c r="B31" s="27" t="s">
        <v>22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98"/>
    </row>
    <row r="32" spans="1:15" s="22" customFormat="1" ht="14.5" x14ac:dyDescent="0.35">
      <c r="A32" s="79"/>
      <c r="B32" s="17" t="s">
        <v>23</v>
      </c>
      <c r="C32" s="18">
        <v>124940.54</v>
      </c>
      <c r="D32" s="18">
        <v>116597.61</v>
      </c>
      <c r="E32" s="18">
        <v>120164.19</v>
      </c>
      <c r="F32" s="18">
        <v>133968.94</v>
      </c>
      <c r="G32" s="18">
        <v>110313.24799999999</v>
      </c>
      <c r="H32" s="18">
        <v>101120.886</v>
      </c>
      <c r="I32" s="18">
        <v>97294.275999999998</v>
      </c>
      <c r="J32" s="18">
        <v>104234.38</v>
      </c>
      <c r="K32" s="18">
        <v>94274.67</v>
      </c>
      <c r="L32" s="18">
        <v>107921.23000000001</v>
      </c>
      <c r="M32" s="18">
        <v>111445.43400000001</v>
      </c>
      <c r="N32" s="18">
        <v>133047.79200000002</v>
      </c>
      <c r="O32" s="80">
        <f t="shared" ref="O32:O37" si="6">SUM(C32:N32)</f>
        <v>1355323.196</v>
      </c>
    </row>
    <row r="33" spans="1:15" s="22" customFormat="1" ht="14.5" x14ac:dyDescent="0.35">
      <c r="A33" s="79"/>
      <c r="B33" s="17" t="s">
        <v>24</v>
      </c>
      <c r="C33" s="18">
        <v>21170.28</v>
      </c>
      <c r="D33" s="18">
        <v>24910.61</v>
      </c>
      <c r="E33" s="18">
        <v>18119.5</v>
      </c>
      <c r="F33" s="18">
        <v>16160.83</v>
      </c>
      <c r="G33" s="18">
        <v>12039.74</v>
      </c>
      <c r="H33" s="18">
        <v>13388.12</v>
      </c>
      <c r="I33" s="18">
        <v>12790.86</v>
      </c>
      <c r="J33" s="18">
        <v>13359.3</v>
      </c>
      <c r="K33" s="18">
        <v>9484.27</v>
      </c>
      <c r="L33" s="18">
        <v>11476.84</v>
      </c>
      <c r="M33" s="18">
        <v>11854.86</v>
      </c>
      <c r="N33" s="18">
        <v>14576</v>
      </c>
      <c r="O33" s="80">
        <f t="shared" si="6"/>
        <v>179331.20999999996</v>
      </c>
    </row>
    <row r="34" spans="1:15" s="22" customFormat="1" ht="14.5" x14ac:dyDescent="0.35">
      <c r="A34" s="79"/>
      <c r="B34" s="17" t="s">
        <v>25</v>
      </c>
      <c r="C34" s="18">
        <v>103819.96</v>
      </c>
      <c r="D34" s="18">
        <v>95261.58</v>
      </c>
      <c r="E34" s="18">
        <v>94505.39</v>
      </c>
      <c r="F34" s="18">
        <v>88393.96</v>
      </c>
      <c r="G34" s="18">
        <v>108622.14</v>
      </c>
      <c r="H34" s="18">
        <v>92928.35</v>
      </c>
      <c r="I34" s="18">
        <v>90705.23</v>
      </c>
      <c r="J34" s="18">
        <v>76584.14</v>
      </c>
      <c r="K34" s="18">
        <v>78185.66</v>
      </c>
      <c r="L34" s="18">
        <v>92030.76999999999</v>
      </c>
      <c r="M34" s="18">
        <v>98458.82</v>
      </c>
      <c r="N34" s="18">
        <v>102410.6</v>
      </c>
      <c r="O34" s="80">
        <f t="shared" si="6"/>
        <v>1121906.6000000001</v>
      </c>
    </row>
    <row r="35" spans="1:15" s="22" customFormat="1" ht="14.5" x14ac:dyDescent="0.35">
      <c r="A35" s="79"/>
      <c r="B35" s="17" t="s">
        <v>43</v>
      </c>
      <c r="C35" s="18">
        <v>63453.34</v>
      </c>
      <c r="D35" s="18">
        <v>52586.01</v>
      </c>
      <c r="E35" s="18">
        <v>47396.59</v>
      </c>
      <c r="F35" s="18">
        <v>57358.85</v>
      </c>
      <c r="G35" s="18">
        <v>61697.52</v>
      </c>
      <c r="H35" s="18">
        <v>59573.74</v>
      </c>
      <c r="I35" s="18">
        <v>60107.65</v>
      </c>
      <c r="J35" s="18">
        <v>59589.95</v>
      </c>
      <c r="K35" s="18">
        <v>59620.14</v>
      </c>
      <c r="L35" s="18">
        <v>63507.53</v>
      </c>
      <c r="M35" s="18">
        <v>65829.45</v>
      </c>
      <c r="N35" s="18">
        <v>66101.179999999993</v>
      </c>
      <c r="O35" s="80">
        <f t="shared" si="6"/>
        <v>716821.95</v>
      </c>
    </row>
    <row r="36" spans="1:15" s="22" customFormat="1" ht="14.5" x14ac:dyDescent="0.35">
      <c r="A36" s="79"/>
      <c r="B36" s="17" t="s">
        <v>27</v>
      </c>
      <c r="C36" s="18">
        <v>25067.23</v>
      </c>
      <c r="D36" s="18">
        <v>21552.880000000001</v>
      </c>
      <c r="E36" s="18">
        <v>22703.39</v>
      </c>
      <c r="F36" s="18">
        <v>24121.87</v>
      </c>
      <c r="G36" s="18">
        <v>23464.45</v>
      </c>
      <c r="H36" s="18">
        <v>28511.439999999999</v>
      </c>
      <c r="I36" s="18">
        <v>25168.45</v>
      </c>
      <c r="J36" s="18">
        <v>23361.59</v>
      </c>
      <c r="K36" s="18">
        <v>22409.85</v>
      </c>
      <c r="L36" s="18">
        <v>22283.759999999998</v>
      </c>
      <c r="M36" s="18">
        <v>18664.63</v>
      </c>
      <c r="N36" s="18">
        <v>18757.330000000002</v>
      </c>
      <c r="O36" s="80">
        <f t="shared" si="6"/>
        <v>276066.87</v>
      </c>
    </row>
    <row r="37" spans="1:15" s="33" customFormat="1" ht="14.5" x14ac:dyDescent="0.35">
      <c r="A37" s="83"/>
      <c r="B37" s="27" t="s">
        <v>28</v>
      </c>
      <c r="C37" s="29">
        <v>338451.35</v>
      </c>
      <c r="D37" s="29">
        <v>310908.69</v>
      </c>
      <c r="E37" s="29">
        <v>302889.06000000006</v>
      </c>
      <c r="F37" s="29">
        <f>SUM(F32:F36)</f>
        <v>320004.44999999995</v>
      </c>
      <c r="G37" s="29">
        <f t="shared" ref="G37:N37" si="7">SUM(G32:G36)</f>
        <v>316137.098</v>
      </c>
      <c r="H37" s="29">
        <f t="shared" si="7"/>
        <v>295522.53600000002</v>
      </c>
      <c r="I37" s="29">
        <f t="shared" si="7"/>
        <v>286066.46599999996</v>
      </c>
      <c r="J37" s="29">
        <f t="shared" si="7"/>
        <v>277129.36000000004</v>
      </c>
      <c r="K37" s="29">
        <f t="shared" si="7"/>
        <v>263974.58999999997</v>
      </c>
      <c r="L37" s="29">
        <f t="shared" si="7"/>
        <v>297220.13</v>
      </c>
      <c r="M37" s="29">
        <f t="shared" si="7"/>
        <v>306253.19400000002</v>
      </c>
      <c r="N37" s="29">
        <f t="shared" si="7"/>
        <v>334892.90200000006</v>
      </c>
      <c r="O37" s="86">
        <f t="shared" si="6"/>
        <v>3649449.8259999999</v>
      </c>
    </row>
    <row r="38" spans="1:15" s="22" customFormat="1" ht="14.5" x14ac:dyDescent="0.35">
      <c r="A38" s="79"/>
      <c r="B38" s="17" t="s">
        <v>12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80"/>
    </row>
    <row r="39" spans="1:15" s="33" customFormat="1" ht="14.5" x14ac:dyDescent="0.35">
      <c r="A39" s="83"/>
      <c r="B39" s="27" t="s">
        <v>29</v>
      </c>
      <c r="C39" s="84">
        <v>637015.89</v>
      </c>
      <c r="D39" s="84">
        <v>858033.79</v>
      </c>
      <c r="E39" s="84">
        <v>770632.58999999985</v>
      </c>
      <c r="F39" s="84">
        <f>F29-F37</f>
        <v>617866.96999999974</v>
      </c>
      <c r="G39" s="84">
        <f t="shared" ref="G39:N39" si="8">G29-G37</f>
        <v>419998.63831800013</v>
      </c>
      <c r="H39" s="84">
        <f t="shared" si="8"/>
        <v>218676.56591599993</v>
      </c>
      <c r="I39" s="84">
        <f t="shared" si="8"/>
        <v>208142.30591600004</v>
      </c>
      <c r="J39" s="84">
        <f t="shared" si="8"/>
        <v>173954.86973000003</v>
      </c>
      <c r="K39" s="84">
        <f t="shared" si="8"/>
        <v>96683.870319999929</v>
      </c>
      <c r="L39" s="84">
        <f t="shared" si="8"/>
        <v>336061.80764000013</v>
      </c>
      <c r="M39" s="84">
        <f t="shared" si="8"/>
        <v>402054.3858840001</v>
      </c>
      <c r="N39" s="84">
        <f t="shared" si="8"/>
        <v>778035.12145199976</v>
      </c>
      <c r="O39" s="85">
        <f>SUM(C39:N39)</f>
        <v>5517156.8051759992</v>
      </c>
    </row>
    <row r="40" spans="1:15" s="22" customFormat="1" ht="14.5" x14ac:dyDescent="0.35">
      <c r="A40" s="79"/>
      <c r="B40" s="17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80"/>
    </row>
    <row r="41" spans="1:15" s="22" customFormat="1" ht="14.5" x14ac:dyDescent="0.35">
      <c r="A41" s="79"/>
      <c r="B41" s="17" t="s">
        <v>30</v>
      </c>
      <c r="C41" s="18">
        <v>59537.97</v>
      </c>
      <c r="D41" s="18">
        <v>76013.259999999995</v>
      </c>
      <c r="E41" s="18">
        <v>69990.81</v>
      </c>
      <c r="F41" s="18">
        <v>68430.22</v>
      </c>
      <c r="G41" s="18">
        <f>[1]Forecast!K$45</f>
        <v>58018.889000000003</v>
      </c>
      <c r="H41" s="18">
        <f>[1]Forecast!L$45</f>
        <v>46459.938000000002</v>
      </c>
      <c r="I41" s="18">
        <f>[1]Forecast!M$45</f>
        <v>46558.637999999999</v>
      </c>
      <c r="J41" s="18">
        <f>[1]Forecast!N$45</f>
        <v>43665.224999999999</v>
      </c>
      <c r="K41" s="18">
        <f>[1]Forecast!O$45</f>
        <v>42449.15</v>
      </c>
      <c r="L41" s="18">
        <f>[1]Forecast!P$45</f>
        <v>53563.11</v>
      </c>
      <c r="M41" s="18">
        <f>[1]Forecast!Q$45</f>
        <v>59902.392</v>
      </c>
      <c r="N41" s="18">
        <f>[1]Forecast!R$45</f>
        <v>76471.615999999995</v>
      </c>
      <c r="O41" s="80">
        <f>SUM(C41:N41)</f>
        <v>701061.21800000011</v>
      </c>
    </row>
    <row r="42" spans="1:15" s="33" customFormat="1" ht="14.5" x14ac:dyDescent="0.35">
      <c r="A42" s="83"/>
      <c r="B42" s="27" t="s">
        <v>31</v>
      </c>
      <c r="C42" s="29">
        <v>577477.92000000004</v>
      </c>
      <c r="D42" s="29">
        <v>782020.53</v>
      </c>
      <c r="E42" s="29">
        <v>700641.7799999998</v>
      </c>
      <c r="F42" s="29">
        <f>F39-F41</f>
        <v>549436.74999999977</v>
      </c>
      <c r="G42" s="29">
        <f t="shared" ref="G42:N42" si="9">G39-G41</f>
        <v>361979.7493180001</v>
      </c>
      <c r="H42" s="29">
        <f t="shared" si="9"/>
        <v>172216.62791599994</v>
      </c>
      <c r="I42" s="29">
        <f t="shared" si="9"/>
        <v>161583.66791600003</v>
      </c>
      <c r="J42" s="29">
        <f t="shared" si="9"/>
        <v>130289.64473000003</v>
      </c>
      <c r="K42" s="29">
        <f t="shared" si="9"/>
        <v>54234.720319999928</v>
      </c>
      <c r="L42" s="29">
        <f t="shared" si="9"/>
        <v>282498.69764000014</v>
      </c>
      <c r="M42" s="29">
        <f t="shared" si="9"/>
        <v>342151.99388400011</v>
      </c>
      <c r="N42" s="29">
        <f t="shared" si="9"/>
        <v>701563.50545199972</v>
      </c>
      <c r="O42" s="86">
        <f>SUM(C42:N42)</f>
        <v>4816095.5871759988</v>
      </c>
    </row>
    <row r="43" spans="1:15" s="22" customFormat="1" ht="14.5" x14ac:dyDescent="0.35">
      <c r="A43" s="79"/>
      <c r="B43" s="17" t="s">
        <v>12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80"/>
    </row>
    <row r="44" spans="1:15" s="22" customFormat="1" ht="14.5" x14ac:dyDescent="0.35">
      <c r="A44" s="79"/>
      <c r="B44" s="17" t="s">
        <v>44</v>
      </c>
      <c r="C44" s="18">
        <v>-5053.16</v>
      </c>
      <c r="D44" s="18">
        <v>-1517.29</v>
      </c>
      <c r="E44" s="18">
        <v>-1682.8</v>
      </c>
      <c r="F44" s="18">
        <v>-1631.67</v>
      </c>
      <c r="G44" s="18">
        <v>-2031</v>
      </c>
      <c r="H44" s="18">
        <v>-2031</v>
      </c>
      <c r="I44" s="18">
        <v>-2031</v>
      </c>
      <c r="J44" s="18">
        <v>-2031</v>
      </c>
      <c r="K44" s="18">
        <v>-2031</v>
      </c>
      <c r="L44" s="18">
        <v>-2031</v>
      </c>
      <c r="M44" s="18">
        <v>-2031</v>
      </c>
      <c r="N44" s="18">
        <v>-2031</v>
      </c>
      <c r="O44" s="80">
        <f>SUM(C44:N44)</f>
        <v>-26132.92</v>
      </c>
    </row>
    <row r="45" spans="1:15" s="22" customFormat="1" ht="14.5" x14ac:dyDescent="0.35">
      <c r="A45" s="79"/>
      <c r="B45" s="17" t="s">
        <v>33</v>
      </c>
      <c r="C45" s="18">
        <v>2257.12</v>
      </c>
      <c r="D45" s="18">
        <v>473.27</v>
      </c>
      <c r="E45" s="18">
        <v>924.24</v>
      </c>
      <c r="F45" s="18">
        <v>277.08999999999997</v>
      </c>
      <c r="G45" s="18">
        <v>1100.5</v>
      </c>
      <c r="H45" s="18">
        <v>1100.5</v>
      </c>
      <c r="I45" s="18">
        <v>1100.5</v>
      </c>
      <c r="J45" s="18">
        <v>1100.5</v>
      </c>
      <c r="K45" s="18">
        <v>1100.5</v>
      </c>
      <c r="L45" s="18">
        <v>1100.5</v>
      </c>
      <c r="M45" s="18">
        <v>1100.5</v>
      </c>
      <c r="N45" s="18">
        <v>1600.5</v>
      </c>
      <c r="O45" s="80">
        <f>SUM(C45:N45)</f>
        <v>13235.720000000001</v>
      </c>
    </row>
    <row r="46" spans="1:15" s="22" customFormat="1" ht="14.5" x14ac:dyDescent="0.35">
      <c r="A46" s="79"/>
      <c r="B46" s="17" t="s">
        <v>34</v>
      </c>
      <c r="C46" s="18">
        <v>48368</v>
      </c>
      <c r="D46" s="18">
        <v>48368</v>
      </c>
      <c r="E46" s="18">
        <v>48368</v>
      </c>
      <c r="F46" s="18">
        <v>33677.120000000003</v>
      </c>
      <c r="G46" s="18">
        <v>48368</v>
      </c>
      <c r="H46" s="18">
        <v>48368</v>
      </c>
      <c r="I46" s="18">
        <v>48368</v>
      </c>
      <c r="J46" s="18">
        <v>48368</v>
      </c>
      <c r="K46" s="18">
        <v>48368</v>
      </c>
      <c r="L46" s="18">
        <v>48368</v>
      </c>
      <c r="M46" s="18">
        <v>48619</v>
      </c>
      <c r="N46" s="18">
        <v>48619</v>
      </c>
      <c r="O46" s="80">
        <f>SUM(C46:N46)</f>
        <v>566227.12</v>
      </c>
    </row>
    <row r="47" spans="1:15" s="22" customFormat="1" ht="14.5" x14ac:dyDescent="0.35">
      <c r="A47" s="79"/>
      <c r="B47" s="17" t="s">
        <v>35</v>
      </c>
      <c r="C47" s="18">
        <v>115247.19</v>
      </c>
      <c r="D47" s="18">
        <v>115553.45</v>
      </c>
      <c r="E47" s="18">
        <v>115207.89</v>
      </c>
      <c r="F47" s="18">
        <v>115207.8</v>
      </c>
      <c r="G47" s="18">
        <v>96851.1</v>
      </c>
      <c r="H47" s="18">
        <v>96851.1</v>
      </c>
      <c r="I47" s="18">
        <v>96851.1</v>
      </c>
      <c r="J47" s="18">
        <v>96851.1</v>
      </c>
      <c r="K47" s="18">
        <v>96851.1</v>
      </c>
      <c r="L47" s="18">
        <v>96851.1</v>
      </c>
      <c r="M47" s="18">
        <v>96851.1</v>
      </c>
      <c r="N47" s="18">
        <v>96851.1</v>
      </c>
      <c r="O47" s="80">
        <f>SUM(C47:N47)</f>
        <v>1236025.1300000001</v>
      </c>
    </row>
    <row r="48" spans="1:15" s="22" customFormat="1" ht="14.5" x14ac:dyDescent="0.35">
      <c r="A48" s="79"/>
      <c r="B48" s="17" t="s">
        <v>36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80">
        <f>SUM(C48:N48)</f>
        <v>0</v>
      </c>
    </row>
    <row r="49" spans="1:15" s="33" customFormat="1" ht="14.5" x14ac:dyDescent="0.35">
      <c r="A49" s="83"/>
      <c r="B49" s="27" t="s">
        <v>37</v>
      </c>
      <c r="C49" s="29">
        <v>160819.15</v>
      </c>
      <c r="D49" s="29">
        <v>162877.43</v>
      </c>
      <c r="E49" s="29">
        <v>162817.33000000002</v>
      </c>
      <c r="F49" s="29">
        <f>SUM(F44:F48)</f>
        <v>147530.34</v>
      </c>
      <c r="G49" s="29">
        <f t="shared" ref="G49:O49" si="10">SUM(G44:G48)</f>
        <v>144288.6</v>
      </c>
      <c r="H49" s="29">
        <f t="shared" si="10"/>
        <v>144288.6</v>
      </c>
      <c r="I49" s="29">
        <f t="shared" si="10"/>
        <v>144288.6</v>
      </c>
      <c r="J49" s="29">
        <f t="shared" si="10"/>
        <v>144288.6</v>
      </c>
      <c r="K49" s="29">
        <f t="shared" si="10"/>
        <v>144288.6</v>
      </c>
      <c r="L49" s="29">
        <f t="shared" si="10"/>
        <v>144288.6</v>
      </c>
      <c r="M49" s="29">
        <f t="shared" si="10"/>
        <v>144539.6</v>
      </c>
      <c r="N49" s="29">
        <f t="shared" si="10"/>
        <v>145039.6</v>
      </c>
      <c r="O49" s="86">
        <f t="shared" si="10"/>
        <v>1789355.0500000003</v>
      </c>
    </row>
    <row r="50" spans="1:15" s="22" customFormat="1" ht="14.5" x14ac:dyDescent="0.35">
      <c r="A50" s="79"/>
      <c r="B50" s="17" t="s">
        <v>12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80"/>
    </row>
    <row r="51" spans="1:15" s="33" customFormat="1" ht="14.5" x14ac:dyDescent="0.35">
      <c r="A51" s="83"/>
      <c r="B51" s="27" t="s">
        <v>38</v>
      </c>
      <c r="C51" s="84">
        <v>416658.77</v>
      </c>
      <c r="D51" s="84">
        <v>619143.10000000009</v>
      </c>
      <c r="E51" s="84">
        <v>537824.44999999972</v>
      </c>
      <c r="F51" s="84">
        <f>F42-F49</f>
        <v>401906.4099999998</v>
      </c>
      <c r="G51" s="84">
        <f t="shared" ref="G51:N51" si="11">G42-G49</f>
        <v>217691.1493180001</v>
      </c>
      <c r="H51" s="84">
        <f t="shared" si="11"/>
        <v>27928.027915999934</v>
      </c>
      <c r="I51" s="84">
        <f t="shared" si="11"/>
        <v>17295.067916000029</v>
      </c>
      <c r="J51" s="84">
        <f t="shared" si="11"/>
        <v>-13998.955269999977</v>
      </c>
      <c r="K51" s="84">
        <f t="shared" si="11"/>
        <v>-90053.879680000071</v>
      </c>
      <c r="L51" s="84">
        <f t="shared" si="11"/>
        <v>138210.09764000014</v>
      </c>
      <c r="M51" s="84">
        <f t="shared" si="11"/>
        <v>197612.39388400011</v>
      </c>
      <c r="N51" s="84">
        <f t="shared" si="11"/>
        <v>556523.90545199974</v>
      </c>
      <c r="O51" s="85">
        <f>SUM(C51:N51)</f>
        <v>3026740.537175999</v>
      </c>
    </row>
    <row r="52" spans="1:15" s="22" customFormat="1" ht="14.5" x14ac:dyDescent="0.35">
      <c r="A52" s="79"/>
      <c r="B52" s="17" t="s">
        <v>12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80"/>
    </row>
    <row r="53" spans="1:15" s="22" customFormat="1" ht="14.5" x14ac:dyDescent="0.35">
      <c r="A53" s="79"/>
      <c r="B53" s="17" t="s">
        <v>39</v>
      </c>
      <c r="C53" s="18">
        <v>60177.046799999996</v>
      </c>
      <c r="D53" s="18">
        <v>67443.448000000004</v>
      </c>
      <c r="E53" s="18">
        <v>63596.5864</v>
      </c>
      <c r="F53" s="18">
        <v>60772.54</v>
      </c>
      <c r="G53" s="18">
        <f t="shared" ref="G53:N53" si="12">G21*0.04</f>
        <v>48190.183200000007</v>
      </c>
      <c r="H53" s="18">
        <f t="shared" si="12"/>
        <v>36632.433199999999</v>
      </c>
      <c r="I53" s="18">
        <f t="shared" si="12"/>
        <v>36753.949200000003</v>
      </c>
      <c r="J53" s="18">
        <f t="shared" si="12"/>
        <v>34000.564000000006</v>
      </c>
      <c r="K53" s="18">
        <f t="shared" si="12"/>
        <v>30791.607199999999</v>
      </c>
      <c r="L53" s="18">
        <f t="shared" si="12"/>
        <v>43745.114800000003</v>
      </c>
      <c r="M53" s="18">
        <f t="shared" si="12"/>
        <v>48728.427200000006</v>
      </c>
      <c r="N53" s="18">
        <f t="shared" si="12"/>
        <v>67249.032399999996</v>
      </c>
      <c r="O53" s="80">
        <f>SUM(C53:N53)</f>
        <v>598080.93240000005</v>
      </c>
    </row>
    <row r="54" spans="1:15" s="33" customFormat="1" ht="15" thickBot="1" x14ac:dyDescent="0.4">
      <c r="A54" s="83"/>
      <c r="B54" s="87" t="s">
        <v>40</v>
      </c>
      <c r="C54" s="34">
        <v>356481.72320000001</v>
      </c>
      <c r="D54" s="34">
        <v>551699.65200000012</v>
      </c>
      <c r="E54" s="34">
        <v>474227.86359999969</v>
      </c>
      <c r="F54" s="34">
        <f>F51-F53</f>
        <v>341133.86999999982</v>
      </c>
      <c r="G54" s="34">
        <f t="shared" ref="G54:N54" si="13">G51-G53</f>
        <v>169500.9661180001</v>
      </c>
      <c r="H54" s="34">
        <f t="shared" si="13"/>
        <v>-8704.4052840000659</v>
      </c>
      <c r="I54" s="34">
        <f t="shared" si="13"/>
        <v>-19458.881283999974</v>
      </c>
      <c r="J54" s="34">
        <f t="shared" si="13"/>
        <v>-47999.519269999982</v>
      </c>
      <c r="K54" s="34">
        <f t="shared" si="13"/>
        <v>-120845.48688000007</v>
      </c>
      <c r="L54" s="34">
        <f t="shared" si="13"/>
        <v>94464.982840000128</v>
      </c>
      <c r="M54" s="34">
        <f t="shared" si="13"/>
        <v>148883.9666840001</v>
      </c>
      <c r="N54" s="34">
        <f t="shared" si="13"/>
        <v>489274.87305199972</v>
      </c>
      <c r="O54" s="88">
        <f>SUM(C54:N54)</f>
        <v>2428659.6047760001</v>
      </c>
    </row>
    <row r="55" spans="1:15" s="22" customFormat="1" ht="15" thickTop="1" x14ac:dyDescent="0.35">
      <c r="A55" s="79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0"/>
    </row>
    <row r="56" spans="1:15" s="22" customFormat="1" ht="14.5" x14ac:dyDescent="0.35">
      <c r="A56" s="79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0"/>
    </row>
    <row r="57" spans="1:15" ht="14.5" x14ac:dyDescent="0.35">
      <c r="A57" s="7"/>
      <c r="B57" s="7"/>
      <c r="C57" s="38"/>
      <c r="D57" s="38"/>
      <c r="E57" s="38"/>
      <c r="F57" s="38"/>
      <c r="G57" s="38"/>
      <c r="H57" s="39"/>
      <c r="I57" s="17"/>
      <c r="J57" s="17"/>
    </row>
    <row r="58" spans="1:15" s="71" customFormat="1" ht="14.5" x14ac:dyDescent="0.35">
      <c r="A58" s="89"/>
      <c r="B58" s="90"/>
      <c r="C58" s="95"/>
      <c r="D58" s="96"/>
      <c r="E58" s="95"/>
      <c r="F58" s="95"/>
      <c r="G58" s="96"/>
      <c r="H58" s="95"/>
      <c r="I58" s="95"/>
      <c r="J58" s="91"/>
      <c r="K58" s="91"/>
      <c r="L58" s="91"/>
      <c r="M58" s="91"/>
      <c r="N58" s="91"/>
      <c r="O58" s="91"/>
    </row>
    <row r="59" spans="1:15" x14ac:dyDescent="0.25">
      <c r="A59" s="7"/>
      <c r="B59" s="7"/>
      <c r="C59" s="7"/>
      <c r="D59" s="7"/>
      <c r="H59" s="15"/>
    </row>
    <row r="60" spans="1:15" x14ac:dyDescent="0.25">
      <c r="B60" s="43"/>
      <c r="C60" s="7"/>
      <c r="D60" s="7"/>
      <c r="H60" s="44"/>
    </row>
    <row r="61" spans="1:15" x14ac:dyDescent="0.25">
      <c r="C61" s="7"/>
      <c r="D61" s="7"/>
      <c r="H61" s="15"/>
    </row>
    <row r="62" spans="1:15" x14ac:dyDescent="0.25">
      <c r="C62" s="7"/>
      <c r="D62" s="7"/>
      <c r="H62" s="15"/>
    </row>
    <row r="63" spans="1:15" x14ac:dyDescent="0.25">
      <c r="C63" s="7"/>
      <c r="D63" s="7"/>
      <c r="H63" s="15"/>
    </row>
    <row r="64" spans="1:15" x14ac:dyDescent="0.25">
      <c r="C64" s="7"/>
      <c r="D64" s="7"/>
      <c r="H64" s="15"/>
    </row>
    <row r="65" spans="1:8" x14ac:dyDescent="0.25">
      <c r="C65" s="7"/>
      <c r="D65" s="7"/>
      <c r="H65" s="15"/>
    </row>
    <row r="66" spans="1:8" x14ac:dyDescent="0.25">
      <c r="C66" s="7"/>
      <c r="D66" s="7"/>
      <c r="H66" s="15"/>
    </row>
    <row r="67" spans="1:8" x14ac:dyDescent="0.25">
      <c r="B67" s="43"/>
      <c r="C67" s="7"/>
      <c r="D67" s="7"/>
      <c r="H67" s="15"/>
    </row>
    <row r="68" spans="1:8" x14ac:dyDescent="0.25">
      <c r="C68" s="7"/>
      <c r="D68" s="7"/>
      <c r="H68" s="15"/>
    </row>
    <row r="69" spans="1:8" x14ac:dyDescent="0.25">
      <c r="B69" s="43"/>
      <c r="C69" s="7"/>
      <c r="D69" s="7"/>
      <c r="H69" s="7"/>
    </row>
    <row r="70" spans="1:8" x14ac:dyDescent="0.25">
      <c r="B70" s="43"/>
      <c r="C70" s="7"/>
      <c r="D70" s="7"/>
      <c r="H70" s="7"/>
    </row>
    <row r="71" spans="1:8" x14ac:dyDescent="0.25">
      <c r="C71" s="7"/>
      <c r="D71" s="7"/>
    </row>
    <row r="72" spans="1:8" ht="15.5" x14ac:dyDescent="0.35">
      <c r="A72" s="45"/>
      <c r="C72" s="7"/>
      <c r="D72" s="7"/>
    </row>
    <row r="73" spans="1:8" x14ac:dyDescent="0.25">
      <c r="C73" s="7"/>
      <c r="D73" s="7"/>
      <c r="H73" s="15"/>
    </row>
    <row r="74" spans="1:8" x14ac:dyDescent="0.25">
      <c r="C74" s="44"/>
      <c r="D74" s="44"/>
      <c r="F74" s="44"/>
      <c r="G74" s="44"/>
      <c r="H74" s="15"/>
    </row>
    <row r="75" spans="1:8" x14ac:dyDescent="0.25">
      <c r="C75" s="7"/>
      <c r="D75" s="7"/>
      <c r="H75" s="15"/>
    </row>
    <row r="76" spans="1:8" x14ac:dyDescent="0.25">
      <c r="C76" s="7"/>
      <c r="D76" s="7"/>
      <c r="H76" s="15"/>
    </row>
    <row r="77" spans="1:8" x14ac:dyDescent="0.25">
      <c r="C77" s="7"/>
      <c r="D77" s="7"/>
      <c r="H77" s="15"/>
    </row>
    <row r="78" spans="1:8" x14ac:dyDescent="0.25">
      <c r="C78" s="7"/>
      <c r="D78" s="7"/>
      <c r="H78" s="15"/>
    </row>
    <row r="79" spans="1:8" x14ac:dyDescent="0.25">
      <c r="C79" s="7"/>
      <c r="D79" s="7"/>
      <c r="H79" s="15"/>
    </row>
    <row r="80" spans="1:8" x14ac:dyDescent="0.25">
      <c r="C80" s="7"/>
      <c r="D80" s="7"/>
      <c r="H80" s="15"/>
    </row>
    <row r="81" spans="2:8" x14ac:dyDescent="0.25">
      <c r="C81" s="7"/>
      <c r="D81" s="7"/>
      <c r="H81" s="15"/>
    </row>
    <row r="82" spans="2:8" x14ac:dyDescent="0.25">
      <c r="C82" s="7"/>
      <c r="D82" s="7"/>
      <c r="H82" s="15"/>
    </row>
    <row r="83" spans="2:8" x14ac:dyDescent="0.25">
      <c r="C83" s="7"/>
      <c r="D83" s="7"/>
      <c r="H83" s="15"/>
    </row>
    <row r="84" spans="2:8" x14ac:dyDescent="0.25">
      <c r="C84" s="7"/>
      <c r="D84" s="7"/>
      <c r="H84" s="15"/>
    </row>
    <row r="85" spans="2:8" x14ac:dyDescent="0.25">
      <c r="C85" s="7"/>
      <c r="D85" s="7"/>
      <c r="H85" s="15"/>
    </row>
    <row r="86" spans="2:8" x14ac:dyDescent="0.25">
      <c r="C86" s="7"/>
      <c r="D86" s="7"/>
      <c r="H86" s="15"/>
    </row>
    <row r="87" spans="2:8" x14ac:dyDescent="0.25">
      <c r="C87" s="7"/>
      <c r="D87" s="7"/>
      <c r="H87" s="15"/>
    </row>
    <row r="88" spans="2:8" x14ac:dyDescent="0.25">
      <c r="C88" s="7"/>
      <c r="D88" s="7"/>
      <c r="H88" s="15"/>
    </row>
    <row r="89" spans="2:8" x14ac:dyDescent="0.25">
      <c r="C89" s="7"/>
      <c r="D89" s="7"/>
      <c r="H89" s="15"/>
    </row>
    <row r="90" spans="2:8" x14ac:dyDescent="0.25">
      <c r="C90" s="7"/>
      <c r="D90" s="7"/>
      <c r="H90" s="15"/>
    </row>
    <row r="91" spans="2:8" x14ac:dyDescent="0.25">
      <c r="C91" s="7"/>
      <c r="D91" s="7"/>
      <c r="H91" s="15"/>
    </row>
    <row r="92" spans="2:8" x14ac:dyDescent="0.25">
      <c r="B92" s="46"/>
      <c r="C92" s="7"/>
      <c r="D92" s="7"/>
      <c r="H92" s="15"/>
    </row>
    <row r="93" spans="2:8" x14ac:dyDescent="0.25">
      <c r="C93" s="7"/>
      <c r="D93" s="7"/>
      <c r="H93" s="15"/>
    </row>
    <row r="94" spans="2:8" x14ac:dyDescent="0.25">
      <c r="C94" s="7"/>
      <c r="D94" s="7"/>
      <c r="H94" s="15"/>
    </row>
    <row r="95" spans="2:8" x14ac:dyDescent="0.25">
      <c r="C95" s="7"/>
      <c r="D95" s="7"/>
      <c r="H95" s="15"/>
    </row>
    <row r="96" spans="2:8" x14ac:dyDescent="0.25">
      <c r="C96" s="7"/>
      <c r="D96" s="7"/>
      <c r="H96" s="15"/>
    </row>
    <row r="97" spans="1:8" x14ac:dyDescent="0.25">
      <c r="C97" s="7"/>
      <c r="D97" s="7"/>
      <c r="H97" s="15"/>
    </row>
    <row r="98" spans="1:8" x14ac:dyDescent="0.25">
      <c r="B98" s="43"/>
      <c r="C98" s="7"/>
      <c r="D98" s="7"/>
      <c r="H98" s="7"/>
    </row>
    <row r="99" spans="1:8" ht="13" x14ac:dyDescent="0.3">
      <c r="B99" s="47"/>
      <c r="C99" s="7"/>
      <c r="D99" s="7"/>
      <c r="H99" s="7"/>
    </row>
    <row r="100" spans="1:8" x14ac:dyDescent="0.25">
      <c r="C100" s="7"/>
      <c r="D100" s="7"/>
    </row>
    <row r="101" spans="1:8" x14ac:dyDescent="0.25">
      <c r="C101" s="7"/>
      <c r="D101" s="7"/>
      <c r="H101" s="15"/>
    </row>
    <row r="102" spans="1:8" x14ac:dyDescent="0.25">
      <c r="C102" s="7"/>
      <c r="D102" s="7"/>
      <c r="H102" s="15"/>
    </row>
    <row r="103" spans="1:8" x14ac:dyDescent="0.25">
      <c r="C103" s="7"/>
      <c r="D103" s="7"/>
      <c r="H103" s="15"/>
    </row>
    <row r="104" spans="1:8" x14ac:dyDescent="0.25">
      <c r="C104" s="7"/>
      <c r="D104" s="7"/>
      <c r="H104" s="15"/>
    </row>
    <row r="105" spans="1:8" x14ac:dyDescent="0.25">
      <c r="C105" s="7"/>
      <c r="D105" s="7"/>
      <c r="H105" s="15"/>
    </row>
    <row r="106" spans="1:8" x14ac:dyDescent="0.25">
      <c r="C106" s="7"/>
      <c r="D106" s="44"/>
      <c r="G106" s="44"/>
      <c r="H106" s="15"/>
    </row>
    <row r="107" spans="1:8" x14ac:dyDescent="0.25">
      <c r="C107" s="7"/>
      <c r="D107" s="7"/>
      <c r="H107" s="15"/>
    </row>
    <row r="108" spans="1:8" ht="14" x14ac:dyDescent="0.3">
      <c r="A108" s="48"/>
      <c r="B108" s="49"/>
      <c r="C108" s="50"/>
      <c r="D108" s="50"/>
      <c r="E108" s="50"/>
      <c r="F108" s="50"/>
      <c r="G108" s="50"/>
      <c r="H108" s="51"/>
    </row>
    <row r="109" spans="1:8" x14ac:dyDescent="0.25">
      <c r="C109" s="52"/>
      <c r="D109" s="52"/>
      <c r="E109" s="52"/>
      <c r="F109" s="52"/>
      <c r="G109" s="52"/>
    </row>
    <row r="110" spans="1:8" x14ac:dyDescent="0.25">
      <c r="B110" s="43"/>
      <c r="C110" s="7"/>
      <c r="D110" s="7"/>
      <c r="H110" s="15"/>
    </row>
    <row r="111" spans="1:8" x14ac:dyDescent="0.25">
      <c r="C111" s="7"/>
      <c r="D111" s="7"/>
      <c r="H111" s="15"/>
    </row>
    <row r="112" spans="1:8" x14ac:dyDescent="0.25">
      <c r="C112" s="7"/>
      <c r="D112" s="53"/>
      <c r="F112" s="53"/>
    </row>
    <row r="113" spans="1:6" s="7" customFormat="1" x14ac:dyDescent="0.25">
      <c r="A113" s="3"/>
      <c r="B113" s="3"/>
      <c r="D113" s="53"/>
      <c r="F113" s="53"/>
    </row>
    <row r="114" spans="1:6" s="7" customFormat="1" x14ac:dyDescent="0.25">
      <c r="A114" s="3"/>
      <c r="B114" s="3"/>
      <c r="D114" s="53"/>
      <c r="F114" s="53"/>
    </row>
    <row r="115" spans="1:6" s="7" customFormat="1" x14ac:dyDescent="0.25">
      <c r="A115" s="3"/>
      <c r="B115" s="3"/>
      <c r="D115" s="53"/>
      <c r="F115" s="53"/>
    </row>
    <row r="116" spans="1:6" s="7" customFormat="1" x14ac:dyDescent="0.25">
      <c r="A116" s="3"/>
      <c r="B116" s="3"/>
      <c r="D116" s="53"/>
      <c r="F116" s="53"/>
    </row>
    <row r="117" spans="1:6" s="7" customFormat="1" x14ac:dyDescent="0.25">
      <c r="A117" s="3"/>
      <c r="B117" s="3"/>
      <c r="D117" s="53"/>
      <c r="F117" s="53"/>
    </row>
    <row r="118" spans="1:6" s="7" customFormat="1" x14ac:dyDescent="0.25">
      <c r="A118" s="3"/>
      <c r="B118" s="3"/>
      <c r="D118" s="53"/>
      <c r="F118" s="53"/>
    </row>
    <row r="119" spans="1:6" s="7" customFormat="1" ht="13" x14ac:dyDescent="0.3">
      <c r="A119" s="54"/>
      <c r="B119" s="3"/>
      <c r="D119" s="53"/>
      <c r="F119" s="53"/>
    </row>
    <row r="120" spans="1:6" s="7" customFormat="1" ht="13" x14ac:dyDescent="0.3">
      <c r="A120" s="54"/>
      <c r="B120" s="3"/>
      <c r="D120" s="53"/>
      <c r="F120" s="53"/>
    </row>
    <row r="121" spans="1:6" s="7" customFormat="1" x14ac:dyDescent="0.25">
      <c r="A121" s="3"/>
      <c r="B121" s="3"/>
      <c r="D121" s="53"/>
      <c r="F121" s="53"/>
    </row>
    <row r="122" spans="1:6" s="7" customFormat="1" ht="13" x14ac:dyDescent="0.3">
      <c r="A122" s="54"/>
      <c r="B122" s="3"/>
      <c r="D122" s="53"/>
      <c r="F122" s="53"/>
    </row>
    <row r="123" spans="1:6" s="7" customFormat="1" x14ac:dyDescent="0.25">
      <c r="A123" s="3"/>
      <c r="B123" s="43"/>
      <c r="D123" s="55"/>
      <c r="F123" s="53"/>
    </row>
    <row r="124" spans="1:6" s="7" customFormat="1" x14ac:dyDescent="0.25">
      <c r="A124" s="3"/>
      <c r="B124" s="43"/>
      <c r="D124" s="53"/>
      <c r="F124" s="53"/>
    </row>
    <row r="125" spans="1:6" s="7" customFormat="1" x14ac:dyDescent="0.25">
      <c r="A125" s="3"/>
      <c r="B125" s="43"/>
      <c r="D125" s="53"/>
      <c r="F125" s="53"/>
    </row>
    <row r="126" spans="1:6" s="7" customFormat="1" x14ac:dyDescent="0.25">
      <c r="A126" s="3"/>
      <c r="B126" s="43"/>
      <c r="D126" s="53"/>
      <c r="F126" s="53"/>
    </row>
    <row r="137" spans="1:6" s="7" customFormat="1" ht="13" x14ac:dyDescent="0.3">
      <c r="A137" s="3"/>
      <c r="B137" s="56"/>
      <c r="C137" s="57"/>
      <c r="D137" s="58"/>
      <c r="E137" s="59"/>
      <c r="F137" s="58"/>
    </row>
    <row r="138" spans="1:6" s="7" customFormat="1" ht="13" x14ac:dyDescent="0.3">
      <c r="A138" s="3"/>
      <c r="B138" s="56"/>
      <c r="C138" s="57"/>
      <c r="D138" s="58"/>
      <c r="E138" s="59"/>
      <c r="F138" s="58"/>
    </row>
    <row r="139" spans="1:6" s="7" customFormat="1" ht="13" x14ac:dyDescent="0.3">
      <c r="A139" s="3"/>
      <c r="B139" s="56"/>
      <c r="C139" s="57"/>
      <c r="D139" s="58"/>
      <c r="E139" s="59"/>
      <c r="F139" s="58"/>
    </row>
    <row r="140" spans="1:6" s="7" customFormat="1" ht="13" x14ac:dyDescent="0.3">
      <c r="A140" s="3"/>
      <c r="B140" s="56"/>
      <c r="C140" s="57"/>
      <c r="D140" s="58"/>
      <c r="E140" s="59"/>
      <c r="F140" s="58"/>
    </row>
    <row r="141" spans="1:6" s="7" customFormat="1" ht="13" x14ac:dyDescent="0.3">
      <c r="A141" s="3"/>
      <c r="B141" s="56"/>
      <c r="C141" s="57"/>
      <c r="D141" s="58"/>
      <c r="E141" s="59"/>
      <c r="F141" s="58"/>
    </row>
    <row r="142" spans="1:6" s="7" customFormat="1" ht="14" x14ac:dyDescent="0.3">
      <c r="A142" s="60"/>
      <c r="B142" s="61"/>
      <c r="C142" s="62"/>
      <c r="D142" s="63"/>
      <c r="E142" s="62"/>
      <c r="F142" s="61"/>
    </row>
    <row r="143" spans="1:6" s="7" customFormat="1" ht="13" x14ac:dyDescent="0.3">
      <c r="A143" s="64"/>
      <c r="B143" s="61"/>
      <c r="C143" s="62"/>
      <c r="D143" s="63"/>
      <c r="E143" s="62"/>
      <c r="F143" s="61"/>
    </row>
    <row r="144" spans="1:6" s="7" customFormat="1" x14ac:dyDescent="0.25">
      <c r="A144" s="3"/>
      <c r="B144" s="3"/>
      <c r="D144" s="53"/>
      <c r="F144" s="3"/>
    </row>
    <row r="145" spans="1:8" x14ac:dyDescent="0.25">
      <c r="C145" s="65"/>
      <c r="D145" s="66"/>
      <c r="E145" s="9"/>
      <c r="F145" s="65"/>
      <c r="G145" s="66"/>
      <c r="H145" s="66"/>
    </row>
    <row r="146" spans="1:8" x14ac:dyDescent="0.25">
      <c r="C146" s="67"/>
      <c r="D146" s="66"/>
      <c r="E146" s="9"/>
      <c r="F146" s="65"/>
      <c r="G146" s="66"/>
      <c r="H146" s="66"/>
    </row>
    <row r="147" spans="1:8" x14ac:dyDescent="0.25">
      <c r="D147" s="15"/>
      <c r="F147" s="3"/>
      <c r="G147" s="15"/>
      <c r="H147" s="15"/>
    </row>
    <row r="148" spans="1:8" ht="13" x14ac:dyDescent="0.3">
      <c r="A148" s="47"/>
      <c r="C148" s="7"/>
      <c r="D148" s="7"/>
      <c r="H148" s="15"/>
    </row>
    <row r="149" spans="1:8" ht="13" x14ac:dyDescent="0.3">
      <c r="A149" s="47"/>
      <c r="C149" s="7"/>
      <c r="D149" s="7"/>
      <c r="H149" s="15"/>
    </row>
    <row r="150" spans="1:8" ht="13" x14ac:dyDescent="0.3">
      <c r="A150" s="47"/>
      <c r="C150" s="7"/>
      <c r="D150" s="7"/>
      <c r="H150" s="15"/>
    </row>
    <row r="151" spans="1:8" ht="13" x14ac:dyDescent="0.3">
      <c r="A151" s="47"/>
      <c r="C151" s="7"/>
      <c r="D151" s="7"/>
      <c r="H151" s="15"/>
    </row>
    <row r="152" spans="1:8" ht="13" x14ac:dyDescent="0.3">
      <c r="A152" s="47"/>
      <c r="C152" s="7"/>
      <c r="D152" s="7"/>
      <c r="H152" s="15"/>
    </row>
    <row r="153" spans="1:8" x14ac:dyDescent="0.25">
      <c r="C153" s="7"/>
      <c r="D153" s="7"/>
      <c r="H153" s="7"/>
    </row>
    <row r="155" spans="1:8" ht="13" x14ac:dyDescent="0.3">
      <c r="A155" s="47"/>
      <c r="C155" s="7"/>
      <c r="D155" s="7"/>
      <c r="F155" s="3"/>
      <c r="G155" s="3"/>
    </row>
    <row r="156" spans="1:8" x14ac:dyDescent="0.25">
      <c r="C156" s="7"/>
      <c r="D156" s="7"/>
      <c r="H156" s="15"/>
    </row>
    <row r="157" spans="1:8" x14ac:dyDescent="0.25">
      <c r="C157" s="7"/>
      <c r="D157" s="7"/>
      <c r="H157" s="15"/>
    </row>
    <row r="158" spans="1:8" x14ac:dyDescent="0.25">
      <c r="C158" s="7"/>
      <c r="D158" s="7"/>
      <c r="H158" s="15"/>
    </row>
    <row r="159" spans="1:8" x14ac:dyDescent="0.25">
      <c r="C159" s="7"/>
      <c r="D159" s="7"/>
      <c r="H159" s="15"/>
    </row>
    <row r="160" spans="1:8" x14ac:dyDescent="0.25">
      <c r="C160" s="7"/>
      <c r="D160" s="7"/>
      <c r="H160" s="15"/>
    </row>
    <row r="161" spans="1:8" x14ac:dyDescent="0.25">
      <c r="C161" s="7"/>
      <c r="D161" s="7"/>
      <c r="H161" s="15"/>
    </row>
    <row r="162" spans="1:8" x14ac:dyDescent="0.25">
      <c r="C162" s="7"/>
      <c r="D162" s="7"/>
      <c r="H162" s="15"/>
    </row>
    <row r="163" spans="1:8" x14ac:dyDescent="0.25">
      <c r="C163" s="7"/>
      <c r="D163" s="7"/>
      <c r="H163" s="15"/>
    </row>
    <row r="164" spans="1:8" x14ac:dyDescent="0.25">
      <c r="C164" s="7"/>
      <c r="D164" s="7"/>
      <c r="H164" s="15"/>
    </row>
    <row r="165" spans="1:8" x14ac:dyDescent="0.25">
      <c r="C165" s="7"/>
      <c r="D165" s="7"/>
      <c r="H165" s="15"/>
    </row>
    <row r="166" spans="1:8" x14ac:dyDescent="0.25">
      <c r="C166" s="7"/>
      <c r="D166" s="7"/>
      <c r="H166" s="15"/>
    </row>
    <row r="167" spans="1:8" x14ac:dyDescent="0.25">
      <c r="C167" s="7"/>
      <c r="D167" s="7"/>
      <c r="H167" s="15"/>
    </row>
    <row r="168" spans="1:8" x14ac:dyDescent="0.25">
      <c r="C168" s="7"/>
      <c r="D168" s="7"/>
      <c r="H168" s="15"/>
    </row>
    <row r="169" spans="1:8" ht="13" x14ac:dyDescent="0.3">
      <c r="A169" s="47"/>
      <c r="C169" s="7"/>
      <c r="D169" s="7"/>
      <c r="H169" s="7"/>
    </row>
    <row r="170" spans="1:8" ht="13" x14ac:dyDescent="0.3">
      <c r="A170" s="54"/>
      <c r="C170" s="7"/>
      <c r="D170" s="53"/>
      <c r="F170" s="53"/>
    </row>
    <row r="171" spans="1:8" ht="13" x14ac:dyDescent="0.3">
      <c r="A171" s="54"/>
      <c r="C171" s="7"/>
      <c r="D171" s="7"/>
      <c r="H171" s="7"/>
    </row>
    <row r="172" spans="1:8" ht="13" x14ac:dyDescent="0.3">
      <c r="B172" s="56"/>
      <c r="C172" s="57"/>
      <c r="D172" s="58"/>
      <c r="E172" s="59"/>
      <c r="F172" s="58"/>
    </row>
    <row r="173" spans="1:8" x14ac:dyDescent="0.25">
      <c r="C173" s="7"/>
      <c r="D173" s="7"/>
      <c r="H173" s="15"/>
    </row>
    <row r="174" spans="1:8" x14ac:dyDescent="0.25">
      <c r="C174" s="7"/>
      <c r="D174" s="7"/>
      <c r="H174" s="15"/>
    </row>
    <row r="175" spans="1:8" x14ac:dyDescent="0.25">
      <c r="C175" s="7"/>
      <c r="D175" s="7"/>
      <c r="H175" s="15"/>
    </row>
    <row r="176" spans="1:8" x14ac:dyDescent="0.25">
      <c r="C176" s="7"/>
      <c r="D176" s="7"/>
      <c r="H176" s="15"/>
    </row>
    <row r="177" spans="2:8" ht="13" x14ac:dyDescent="0.3">
      <c r="C177" s="7"/>
      <c r="D177" s="7"/>
      <c r="F177" s="58"/>
      <c r="G177" s="58"/>
    </row>
    <row r="178" spans="2:8" x14ac:dyDescent="0.25">
      <c r="C178" s="7"/>
      <c r="D178" s="7"/>
      <c r="H178" s="15"/>
    </row>
    <row r="179" spans="2:8" ht="13" x14ac:dyDescent="0.3">
      <c r="B179" s="56"/>
      <c r="C179" s="57"/>
      <c r="D179" s="58"/>
      <c r="E179" s="59"/>
      <c r="F179" s="58"/>
    </row>
    <row r="180" spans="2:8" ht="13" x14ac:dyDescent="0.3">
      <c r="B180" s="56"/>
      <c r="C180" s="57"/>
      <c r="D180" s="58"/>
      <c r="E180" s="59"/>
      <c r="F180" s="58"/>
    </row>
    <row r="181" spans="2:8" ht="13" x14ac:dyDescent="0.3">
      <c r="B181" s="56"/>
      <c r="C181" s="57"/>
      <c r="D181" s="58"/>
      <c r="E181" s="59"/>
      <c r="F181" s="58"/>
    </row>
    <row r="182" spans="2:8" ht="13" x14ac:dyDescent="0.3">
      <c r="B182" s="56"/>
      <c r="C182" s="57"/>
      <c r="D182" s="58"/>
      <c r="E182" s="59"/>
      <c r="F182" s="58"/>
    </row>
    <row r="183" spans="2:8" ht="13" x14ac:dyDescent="0.3">
      <c r="B183" s="56"/>
      <c r="C183" s="57"/>
      <c r="D183" s="58"/>
      <c r="E183" s="59"/>
      <c r="F183" s="58"/>
    </row>
    <row r="184" spans="2:8" x14ac:dyDescent="0.25">
      <c r="C184" s="68"/>
      <c r="F184" s="53"/>
    </row>
    <row r="185" spans="2:8" x14ac:dyDescent="0.25">
      <c r="C185" s="7"/>
      <c r="D185" s="53"/>
      <c r="F185" s="53"/>
    </row>
    <row r="186" spans="2:8" x14ac:dyDescent="0.25">
      <c r="C186" s="7"/>
      <c r="D186" s="53"/>
      <c r="F186" s="53"/>
    </row>
    <row r="187" spans="2:8" x14ac:dyDescent="0.25">
      <c r="C187" s="7"/>
      <c r="D187" s="53"/>
      <c r="F187" s="53"/>
    </row>
    <row r="188" spans="2:8" x14ac:dyDescent="0.25">
      <c r="C188" s="7"/>
      <c r="D188" s="53"/>
      <c r="F188" s="53"/>
    </row>
    <row r="190" spans="2:8" x14ac:dyDescent="0.25">
      <c r="C190" s="44"/>
    </row>
    <row r="191" spans="2:8" x14ac:dyDescent="0.25">
      <c r="C191" s="44"/>
    </row>
    <row r="192" spans="2:8" x14ac:dyDescent="0.25">
      <c r="C192" s="44"/>
    </row>
    <row r="193" spans="2:3" x14ac:dyDescent="0.25">
      <c r="C193" s="44"/>
    </row>
    <row r="194" spans="2:3" x14ac:dyDescent="0.25">
      <c r="C194" s="44"/>
    </row>
    <row r="196" spans="2:3" x14ac:dyDescent="0.25">
      <c r="C196" s="44"/>
    </row>
    <row r="197" spans="2:3" x14ac:dyDescent="0.25">
      <c r="C197" s="44"/>
    </row>
    <row r="198" spans="2:3" x14ac:dyDescent="0.25">
      <c r="B198" s="69"/>
      <c r="C198" s="70"/>
    </row>
    <row r="201" spans="2:3" x14ac:dyDescent="0.25">
      <c r="B201" s="71"/>
      <c r="C201" s="7"/>
    </row>
    <row r="202" spans="2:3" x14ac:dyDescent="0.25">
      <c r="C202" s="7"/>
    </row>
    <row r="203" spans="2:3" x14ac:dyDescent="0.25">
      <c r="C203" s="7"/>
    </row>
    <row r="215" spans="2:6" s="7" customFormat="1" ht="13" x14ac:dyDescent="0.3">
      <c r="B215" s="56"/>
      <c r="D215" s="53"/>
      <c r="F215" s="53"/>
    </row>
    <row r="216" spans="2:6" s="7" customFormat="1" x14ac:dyDescent="0.25">
      <c r="B216" s="46"/>
      <c r="D216" s="53"/>
      <c r="F216" s="53"/>
    </row>
    <row r="217" spans="2:6" s="7" customFormat="1" x14ac:dyDescent="0.25">
      <c r="B217" s="46"/>
      <c r="D217" s="53"/>
      <c r="F217" s="53"/>
    </row>
    <row r="218" spans="2:6" s="7" customFormat="1" x14ac:dyDescent="0.25">
      <c r="B218" s="46"/>
      <c r="D218" s="53"/>
      <c r="F218" s="53"/>
    </row>
    <row r="219" spans="2:6" s="7" customFormat="1" x14ac:dyDescent="0.25">
      <c r="B219" s="46"/>
      <c r="D219" s="53"/>
      <c r="F219" s="53"/>
    </row>
    <row r="220" spans="2:6" s="7" customFormat="1" x14ac:dyDescent="0.25">
      <c r="B220" s="46"/>
      <c r="D220" s="53"/>
      <c r="F220" s="53"/>
    </row>
    <row r="221" spans="2:6" s="7" customFormat="1" x14ac:dyDescent="0.25">
      <c r="B221" s="46"/>
      <c r="D221" s="53"/>
      <c r="F221" s="53"/>
    </row>
    <row r="222" spans="2:6" s="7" customFormat="1" x14ac:dyDescent="0.25">
      <c r="B222" s="46"/>
      <c r="D222" s="53"/>
      <c r="F222" s="53"/>
    </row>
    <row r="223" spans="2:6" s="7" customFormat="1" x14ac:dyDescent="0.25">
      <c r="B223" s="46"/>
      <c r="D223" s="53"/>
      <c r="F223" s="53"/>
    </row>
    <row r="224" spans="2:6" s="7" customFormat="1" x14ac:dyDescent="0.25">
      <c r="B224" s="46"/>
      <c r="D224" s="53"/>
      <c r="F224" s="53"/>
    </row>
    <row r="225" spans="2:6" s="7" customFormat="1" x14ac:dyDescent="0.25">
      <c r="B225" s="46"/>
      <c r="D225" s="53"/>
      <c r="F225" s="53"/>
    </row>
    <row r="226" spans="2:6" s="7" customFormat="1" x14ac:dyDescent="0.25">
      <c r="B226" s="46"/>
      <c r="D226" s="53"/>
      <c r="F226" s="53"/>
    </row>
    <row r="227" spans="2:6" s="7" customFormat="1" x14ac:dyDescent="0.25">
      <c r="B227" s="46"/>
      <c r="D227" s="53"/>
      <c r="F227" s="53"/>
    </row>
    <row r="228" spans="2:6" s="7" customFormat="1" x14ac:dyDescent="0.25">
      <c r="B228" s="46"/>
      <c r="D228" s="53"/>
      <c r="F228" s="53"/>
    </row>
    <row r="229" spans="2:6" s="7" customFormat="1" x14ac:dyDescent="0.25">
      <c r="B229" s="46"/>
      <c r="D229" s="53"/>
      <c r="F229" s="53"/>
    </row>
    <row r="230" spans="2:6" s="7" customFormat="1" x14ac:dyDescent="0.25">
      <c r="B230" s="46"/>
      <c r="D230" s="53"/>
      <c r="F230" s="53"/>
    </row>
    <row r="231" spans="2:6" s="7" customFormat="1" x14ac:dyDescent="0.25">
      <c r="B231" s="46"/>
      <c r="D231" s="53"/>
      <c r="F231" s="53"/>
    </row>
    <row r="232" spans="2:6" s="7" customFormat="1" x14ac:dyDescent="0.25">
      <c r="B232" s="46"/>
      <c r="D232" s="53"/>
      <c r="F232" s="53"/>
    </row>
    <row r="233" spans="2:6" s="7" customFormat="1" x14ac:dyDescent="0.25">
      <c r="B233" s="46"/>
      <c r="D233" s="53"/>
      <c r="F233" s="53"/>
    </row>
    <row r="234" spans="2:6" s="7" customFormat="1" x14ac:dyDescent="0.25">
      <c r="B234" s="46"/>
      <c r="D234" s="53"/>
      <c r="F234" s="53"/>
    </row>
    <row r="235" spans="2:6" s="7" customFormat="1" x14ac:dyDescent="0.25">
      <c r="B235" s="46"/>
      <c r="D235" s="53"/>
      <c r="F235" s="53"/>
    </row>
    <row r="236" spans="2:6" s="7" customFormat="1" x14ac:dyDescent="0.25">
      <c r="B236" s="46"/>
      <c r="D236" s="53"/>
      <c r="F236" s="53"/>
    </row>
    <row r="237" spans="2:6" s="7" customFormat="1" x14ac:dyDescent="0.25">
      <c r="B237" s="46"/>
      <c r="D237" s="53"/>
      <c r="F237" s="53"/>
    </row>
    <row r="238" spans="2:6" s="7" customFormat="1" x14ac:dyDescent="0.25">
      <c r="B238" s="46"/>
      <c r="D238" s="53"/>
      <c r="F238" s="53"/>
    </row>
    <row r="239" spans="2:6" s="7" customFormat="1" x14ac:dyDescent="0.25">
      <c r="B239" s="46"/>
      <c r="D239" s="53"/>
      <c r="F239" s="53"/>
    </row>
    <row r="240" spans="2:6" s="7" customFormat="1" x14ac:dyDescent="0.25">
      <c r="B240" s="46"/>
      <c r="D240" s="53"/>
      <c r="F240" s="53"/>
    </row>
    <row r="241" spans="1:6" s="7" customFormat="1" x14ac:dyDescent="0.25">
      <c r="B241" s="46"/>
      <c r="D241" s="53"/>
      <c r="F241" s="53"/>
    </row>
    <row r="242" spans="1:6" s="7" customFormat="1" x14ac:dyDescent="0.25">
      <c r="B242" s="46"/>
      <c r="D242" s="53"/>
      <c r="F242" s="53"/>
    </row>
    <row r="243" spans="1:6" s="7" customFormat="1" x14ac:dyDescent="0.25">
      <c r="B243" s="46"/>
      <c r="D243" s="53"/>
      <c r="F243" s="53"/>
    </row>
    <row r="244" spans="1:6" s="7" customFormat="1" x14ac:dyDescent="0.25">
      <c r="B244" s="46"/>
      <c r="D244" s="53"/>
      <c r="F244" s="53"/>
    </row>
    <row r="245" spans="1:6" s="7" customFormat="1" x14ac:dyDescent="0.25">
      <c r="B245" s="46"/>
      <c r="D245" s="53"/>
      <c r="F245" s="53"/>
    </row>
    <row r="246" spans="1:6" s="7" customFormat="1" x14ac:dyDescent="0.25">
      <c r="B246" s="3"/>
      <c r="D246" s="53"/>
      <c r="F246" s="53"/>
    </row>
    <row r="247" spans="1:6" s="7" customFormat="1" ht="13" x14ac:dyDescent="0.3">
      <c r="B247" s="56"/>
      <c r="D247" s="53"/>
      <c r="F247" s="53"/>
    </row>
    <row r="248" spans="1:6" s="7" customFormat="1" x14ac:dyDescent="0.25">
      <c r="A248" s="3"/>
      <c r="B248" s="3"/>
      <c r="D248" s="3"/>
    </row>
  </sheetData>
  <conditionalFormatting sqref="C58">
    <cfRule type="expression" dxfId="11" priority="6">
      <formula>$K58=0</formula>
    </cfRule>
  </conditionalFormatting>
  <conditionalFormatting sqref="C56:O56">
    <cfRule type="expression" dxfId="10" priority="1">
      <formula>$Q108=0</formula>
    </cfRule>
    <cfRule type="expression" dxfId="9" priority="2">
      <formula>$R56=-1</formula>
    </cfRule>
    <cfRule type="expression" dxfId="8" priority="3">
      <formula>$Q56&gt;=1</formula>
    </cfRule>
    <cfRule type="expression" dxfId="7" priority="4">
      <formula>$W56="Dec"</formula>
    </cfRule>
    <cfRule type="expression" dxfId="6" priority="5">
      <formula>$W56="%"</formula>
    </cfRule>
  </conditionalFormatting>
  <pageMargins left="0.7" right="0.7" top="0.75" bottom="0.75" header="0.3" footer="0.3"/>
  <pageSetup scale="53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E0F8-F65B-45C2-8453-74C113A9A323}">
  <sheetPr>
    <tabColor theme="8" tint="0.59999389629810485"/>
    <pageSetUpPr fitToPage="1"/>
  </sheetPr>
  <dimension ref="A1:R248"/>
  <sheetViews>
    <sheetView showGridLines="0" view="pageBreakPreview" topLeftCell="H24" zoomScale="120" zoomScaleNormal="85" zoomScaleSheetLayoutView="120" workbookViewId="0">
      <selection activeCell="N41" sqref="N41"/>
    </sheetView>
  </sheetViews>
  <sheetFormatPr defaultColWidth="8.453125" defaultRowHeight="12.5" x14ac:dyDescent="0.25"/>
  <cols>
    <col min="1" max="1" width="2.453125" style="3" customWidth="1"/>
    <col min="2" max="2" width="38.453125" style="3" customWidth="1"/>
    <col min="3" max="4" width="14.453125" style="3" customWidth="1"/>
    <col min="5" max="7" width="14.453125" style="7" customWidth="1"/>
    <col min="8" max="14" width="14.453125" style="3" customWidth="1"/>
    <col min="15" max="15" width="15.453125" style="3" customWidth="1"/>
    <col min="16" max="23" width="0" style="3" hidden="1" customWidth="1"/>
    <col min="24" max="24" width="8.453125" style="3"/>
    <col min="25" max="25" width="9" style="3" bestFit="1" customWidth="1"/>
    <col min="26" max="16384" width="8.453125" style="3"/>
  </cols>
  <sheetData>
    <row r="1" spans="1:18" ht="23" x14ac:dyDescent="0.45">
      <c r="A1" s="1" t="s">
        <v>45</v>
      </c>
      <c r="B1" s="1"/>
      <c r="C1" s="1"/>
      <c r="D1" s="1"/>
      <c r="E1" s="1"/>
      <c r="F1" s="1"/>
      <c r="G1" s="1"/>
      <c r="H1" s="2"/>
    </row>
    <row r="2" spans="1:18" ht="15" customHeight="1" x14ac:dyDescent="0.35">
      <c r="A2" s="4" t="s">
        <v>49</v>
      </c>
      <c r="B2" s="4"/>
      <c r="C2" s="4"/>
      <c r="D2" s="4"/>
      <c r="E2" s="4"/>
      <c r="F2" s="4"/>
      <c r="G2" s="4"/>
      <c r="H2" s="2"/>
    </row>
    <row r="3" spans="1:18" ht="15" x14ac:dyDescent="0.3">
      <c r="A3" s="5" t="s">
        <v>50</v>
      </c>
      <c r="B3" s="5"/>
      <c r="C3" s="5"/>
      <c r="D3" s="5"/>
      <c r="E3" s="5"/>
      <c r="F3" s="5"/>
      <c r="G3" s="5"/>
      <c r="H3" s="2"/>
    </row>
    <row r="4" spans="1:18" ht="15" customHeight="1" x14ac:dyDescent="0.3">
      <c r="A4" s="6"/>
      <c r="B4" s="2"/>
      <c r="C4" s="2"/>
      <c r="D4" s="2"/>
      <c r="E4" s="2"/>
      <c r="F4" s="2"/>
      <c r="G4" s="2"/>
      <c r="H4" s="2"/>
    </row>
    <row r="5" spans="1:18" ht="14.5" x14ac:dyDescent="0.35">
      <c r="C5" s="94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Q5" s="74"/>
      <c r="R5" s="74"/>
    </row>
    <row r="6" spans="1:18" ht="14.5" x14ac:dyDescent="0.35">
      <c r="C6" s="75">
        <v>45688</v>
      </c>
      <c r="D6" s="75">
        <v>45716</v>
      </c>
      <c r="E6" s="75">
        <v>45747</v>
      </c>
      <c r="F6" s="75">
        <v>45777</v>
      </c>
      <c r="G6" s="75">
        <v>45808</v>
      </c>
      <c r="H6" s="75">
        <v>45838</v>
      </c>
      <c r="I6" s="75">
        <v>45869</v>
      </c>
      <c r="J6" s="75">
        <v>45900</v>
      </c>
      <c r="K6" s="75">
        <v>45930</v>
      </c>
      <c r="L6" s="75">
        <v>45961</v>
      </c>
      <c r="M6" s="75">
        <v>45991</v>
      </c>
      <c r="N6" s="75">
        <v>46022</v>
      </c>
      <c r="O6" s="76" t="s">
        <v>42</v>
      </c>
    </row>
    <row r="7" spans="1:18" ht="14.5" x14ac:dyDescent="0.35">
      <c r="C7" s="77" t="s">
        <v>1</v>
      </c>
      <c r="D7" s="77" t="s">
        <v>1</v>
      </c>
      <c r="E7" s="77" t="s">
        <v>1</v>
      </c>
      <c r="F7" s="77" t="s">
        <v>1</v>
      </c>
      <c r="G7" s="77" t="s">
        <v>51</v>
      </c>
      <c r="H7" s="77" t="s">
        <v>51</v>
      </c>
      <c r="I7" s="77" t="s">
        <v>51</v>
      </c>
      <c r="J7" s="77" t="s">
        <v>51</v>
      </c>
      <c r="K7" s="77" t="s">
        <v>51</v>
      </c>
      <c r="L7" s="77" t="s">
        <v>51</v>
      </c>
      <c r="M7" s="77" t="s">
        <v>51</v>
      </c>
      <c r="N7" s="77" t="s">
        <v>51</v>
      </c>
      <c r="O7" s="76"/>
    </row>
    <row r="8" spans="1:18" ht="3" customHeight="1" x14ac:dyDescent="0.25">
      <c r="C8" s="7"/>
      <c r="D8" s="7"/>
      <c r="H8" s="15"/>
      <c r="O8" s="78"/>
    </row>
    <row r="9" spans="1:18" s="22" customFormat="1" ht="14.5" x14ac:dyDescent="0.35">
      <c r="A9" s="79"/>
      <c r="B9" s="17" t="s">
        <v>7</v>
      </c>
      <c r="C9" s="18">
        <v>4092</v>
      </c>
      <c r="D9" s="18">
        <v>3696</v>
      </c>
      <c r="E9" s="18">
        <v>4092</v>
      </c>
      <c r="F9" s="18">
        <v>3960</v>
      </c>
      <c r="G9" s="18">
        <v>4092</v>
      </c>
      <c r="H9" s="18">
        <v>3960</v>
      </c>
      <c r="I9" s="18">
        <v>4092</v>
      </c>
      <c r="J9" s="18">
        <v>4092</v>
      </c>
      <c r="K9" s="18">
        <v>3960</v>
      </c>
      <c r="L9" s="18">
        <v>4092</v>
      </c>
      <c r="M9" s="18">
        <v>3960</v>
      </c>
      <c r="N9" s="18">
        <v>4092</v>
      </c>
      <c r="O9" s="80">
        <f>SUM(C9:N9)</f>
        <v>48180</v>
      </c>
    </row>
    <row r="10" spans="1:18" s="22" customFormat="1" ht="14.5" x14ac:dyDescent="0.35">
      <c r="A10" s="79"/>
      <c r="B10" s="17" t="s">
        <v>8</v>
      </c>
      <c r="C10" s="18">
        <v>3709</v>
      </c>
      <c r="D10" s="18">
        <v>3426</v>
      </c>
      <c r="E10" s="18">
        <v>3737</v>
      </c>
      <c r="F10" s="18">
        <v>3684</v>
      </c>
      <c r="G10" s="18">
        <v>3264</v>
      </c>
      <c r="H10" s="18">
        <v>2855</v>
      </c>
      <c r="I10" s="18">
        <v>2920</v>
      </c>
      <c r="J10" s="18">
        <v>2871</v>
      </c>
      <c r="K10" s="18">
        <v>2461</v>
      </c>
      <c r="L10" s="18">
        <v>3286</v>
      </c>
      <c r="M10" s="18">
        <v>3319</v>
      </c>
      <c r="N10" s="18">
        <v>3557</v>
      </c>
      <c r="O10" s="80">
        <f>SUM(C10:N10)</f>
        <v>39089</v>
      </c>
    </row>
    <row r="11" spans="1:18" s="22" customFormat="1" ht="14.5" x14ac:dyDescent="0.35">
      <c r="A11" s="79"/>
      <c r="B11" s="17" t="s">
        <v>9</v>
      </c>
      <c r="C11" s="23">
        <v>0.90639999999999998</v>
      </c>
      <c r="D11" s="23">
        <v>0.92689999999999995</v>
      </c>
      <c r="E11" s="23">
        <v>0.91320000000000001</v>
      </c>
      <c r="F11" s="23">
        <f>F10/F9</f>
        <v>0.9303030303030303</v>
      </c>
      <c r="G11" s="23">
        <f t="shared" ref="G11:N11" si="0">G10/G9</f>
        <v>0.79765395894428148</v>
      </c>
      <c r="H11" s="23">
        <f t="shared" si="0"/>
        <v>0.72095959595959591</v>
      </c>
      <c r="I11" s="23">
        <f t="shared" si="0"/>
        <v>0.7135874877810362</v>
      </c>
      <c r="J11" s="23">
        <f t="shared" si="0"/>
        <v>0.70161290322580649</v>
      </c>
      <c r="K11" s="23">
        <f t="shared" si="0"/>
        <v>0.6214646464646465</v>
      </c>
      <c r="L11" s="23">
        <f t="shared" si="0"/>
        <v>0.80303030303030298</v>
      </c>
      <c r="M11" s="23">
        <f t="shared" si="0"/>
        <v>0.83813131313131317</v>
      </c>
      <c r="N11" s="23">
        <f t="shared" si="0"/>
        <v>0.86925708699902249</v>
      </c>
      <c r="O11" s="81">
        <f>O10/O9</f>
        <v>0.81131174761311753</v>
      </c>
    </row>
    <row r="12" spans="1:18" s="22" customFormat="1" ht="14.5" x14ac:dyDescent="0.35">
      <c r="A12" s="79"/>
      <c r="B12" s="17" t="s">
        <v>10</v>
      </c>
      <c r="C12" s="24">
        <v>280.59289999999999</v>
      </c>
      <c r="D12" s="24">
        <v>341.18630000000002</v>
      </c>
      <c r="E12" s="24">
        <v>296.99329999999998</v>
      </c>
      <c r="F12" s="24">
        <f>F17/F10</f>
        <v>266.56628393051028</v>
      </c>
      <c r="G12" s="24">
        <f t="shared" ref="G12:N12" si="1">G17/G10</f>
        <v>223.74367953431371</v>
      </c>
      <c r="H12" s="24">
        <f t="shared" si="1"/>
        <v>182.12488966725044</v>
      </c>
      <c r="I12" s="24">
        <f t="shared" si="1"/>
        <v>178.92017465753423</v>
      </c>
      <c r="J12" s="24">
        <f t="shared" si="1"/>
        <v>165.50696621386277</v>
      </c>
      <c r="K12" s="24">
        <f t="shared" si="1"/>
        <v>148.67055262088581</v>
      </c>
      <c r="L12" s="24">
        <f t="shared" si="1"/>
        <v>196.85383140596468</v>
      </c>
      <c r="M12" s="24">
        <f t="shared" si="1"/>
        <v>212.21820126544139</v>
      </c>
      <c r="N12" s="24">
        <f t="shared" si="1"/>
        <v>312.43924655608657</v>
      </c>
      <c r="O12" s="82">
        <f>O17/O10</f>
        <v>239.90992401954512</v>
      </c>
    </row>
    <row r="13" spans="1:18" s="22" customFormat="1" ht="14.5" x14ac:dyDescent="0.35">
      <c r="A13" s="79"/>
      <c r="B13" s="17" t="s">
        <v>11</v>
      </c>
      <c r="C13" s="24">
        <v>254.33009999999999</v>
      </c>
      <c r="D13" s="24">
        <v>316.262</v>
      </c>
      <c r="E13" s="24">
        <v>271.22770000000003</v>
      </c>
      <c r="F13" s="24">
        <f>F11*F12</f>
        <v>247.98742171717169</v>
      </c>
      <c r="G13" s="24">
        <f t="shared" ref="G13:N13" si="2">G11*G12</f>
        <v>178.47003176930593</v>
      </c>
      <c r="H13" s="24">
        <f t="shared" si="2"/>
        <v>131.30468686868687</v>
      </c>
      <c r="I13" s="24">
        <f t="shared" si="2"/>
        <v>127.67519794721407</v>
      </c>
      <c r="J13" s="24">
        <f t="shared" si="2"/>
        <v>116.12182306940372</v>
      </c>
      <c r="K13" s="24">
        <f t="shared" si="2"/>
        <v>92.393492424242424</v>
      </c>
      <c r="L13" s="24">
        <f t="shared" si="2"/>
        <v>158.079591886608</v>
      </c>
      <c r="M13" s="24">
        <f t="shared" si="2"/>
        <v>177.86671969696971</v>
      </c>
      <c r="N13" s="24">
        <f t="shared" si="2"/>
        <v>271.59002932551317</v>
      </c>
      <c r="O13" s="82">
        <f>O11*O12</f>
        <v>194.6417397260274</v>
      </c>
    </row>
    <row r="14" spans="1:18" s="22" customFormat="1" ht="14.5" x14ac:dyDescent="0.35">
      <c r="A14" s="79"/>
      <c r="B14" s="17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80"/>
    </row>
    <row r="15" spans="1:18" s="22" customFormat="1" ht="14.5" x14ac:dyDescent="0.35">
      <c r="A15" s="79"/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80"/>
    </row>
    <row r="16" spans="1:18" s="33" customFormat="1" ht="14.5" x14ac:dyDescent="0.35">
      <c r="A16" s="83"/>
      <c r="B16" s="27" t="s">
        <v>13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</row>
    <row r="17" spans="1:15" s="22" customFormat="1" ht="14.5" x14ac:dyDescent="0.35">
      <c r="A17" s="79"/>
      <c r="B17" s="17" t="s">
        <v>14</v>
      </c>
      <c r="C17" s="18">
        <v>1040718.97</v>
      </c>
      <c r="D17" s="18">
        <v>1168904.21</v>
      </c>
      <c r="E17" s="18">
        <v>1109863.78</v>
      </c>
      <c r="F17" s="18">
        <v>982030.19</v>
      </c>
      <c r="G17" s="18">
        <v>730299.37</v>
      </c>
      <c r="H17" s="18">
        <v>519966.56</v>
      </c>
      <c r="I17" s="18">
        <v>522446.91</v>
      </c>
      <c r="J17" s="18">
        <v>475170.5</v>
      </c>
      <c r="K17" s="18">
        <v>365878.23</v>
      </c>
      <c r="L17" s="18">
        <v>646861.68999999994</v>
      </c>
      <c r="M17" s="18">
        <v>704352.21</v>
      </c>
      <c r="N17" s="18">
        <v>1111346.3999999999</v>
      </c>
      <c r="O17" s="80">
        <f>SUM(C17:N17)</f>
        <v>9377839.0199999996</v>
      </c>
    </row>
    <row r="18" spans="1:15" s="22" customFormat="1" ht="14.5" x14ac:dyDescent="0.35">
      <c r="A18" s="79"/>
      <c r="B18" s="17" t="s">
        <v>15</v>
      </c>
      <c r="C18" s="18">
        <v>354251.28</v>
      </c>
      <c r="D18" s="18">
        <v>423507.82</v>
      </c>
      <c r="E18" s="18">
        <v>367074.76</v>
      </c>
      <c r="F18" s="18">
        <v>379131.93</v>
      </c>
      <c r="G18" s="18">
        <v>364017.56</v>
      </c>
      <c r="H18" s="18">
        <v>300373.15000000002</v>
      </c>
      <c r="I18" s="18">
        <v>300485.59999999998</v>
      </c>
      <c r="J18" s="18">
        <v>281361.83</v>
      </c>
      <c r="K18" s="18">
        <v>320944.45</v>
      </c>
      <c r="L18" s="18">
        <v>339544.78</v>
      </c>
      <c r="M18" s="18">
        <v>406007.87</v>
      </c>
      <c r="N18" s="18">
        <v>450651.61</v>
      </c>
      <c r="O18" s="80">
        <f>SUM(C18:N18)</f>
        <v>4287352.6400000006</v>
      </c>
    </row>
    <row r="19" spans="1:15" s="22" customFormat="1" ht="14.5" x14ac:dyDescent="0.35">
      <c r="A19" s="79"/>
      <c r="B19" s="17" t="s">
        <v>16</v>
      </c>
      <c r="C19" s="18">
        <v>2237.04</v>
      </c>
      <c r="D19" s="18">
        <v>2324.1799999999998</v>
      </c>
      <c r="E19" s="18">
        <v>2364.48</v>
      </c>
      <c r="F19" s="18">
        <v>2948.44</v>
      </c>
      <c r="G19" s="18">
        <v>1308.8</v>
      </c>
      <c r="H19" s="18">
        <v>1142</v>
      </c>
      <c r="I19" s="18">
        <v>1168</v>
      </c>
      <c r="J19" s="18">
        <v>1148.4000000000001</v>
      </c>
      <c r="K19" s="18">
        <v>986</v>
      </c>
      <c r="L19" s="18">
        <v>1314.4</v>
      </c>
      <c r="M19" s="18">
        <v>1327.6</v>
      </c>
      <c r="N19" s="18">
        <v>1422.8</v>
      </c>
      <c r="O19" s="80">
        <f>SUM(C19:N19)</f>
        <v>19692.139999999996</v>
      </c>
    </row>
    <row r="20" spans="1:15" s="22" customFormat="1" ht="14.5" x14ac:dyDescent="0.35">
      <c r="A20" s="79"/>
      <c r="B20" s="17" t="s">
        <v>17</v>
      </c>
      <c r="C20" s="18">
        <v>107218.88</v>
      </c>
      <c r="D20" s="18">
        <v>91349.99</v>
      </c>
      <c r="E20" s="18">
        <v>110611.64</v>
      </c>
      <c r="F20" s="18">
        <v>144707.94</v>
      </c>
      <c r="G20" s="18">
        <v>109128.85</v>
      </c>
      <c r="H20" s="18">
        <v>94329.12</v>
      </c>
      <c r="I20" s="18">
        <v>94748.22</v>
      </c>
      <c r="J20" s="18">
        <v>92333.37</v>
      </c>
      <c r="K20" s="18">
        <v>81981.5</v>
      </c>
      <c r="L20" s="18">
        <v>105907</v>
      </c>
      <c r="M20" s="18">
        <v>106523</v>
      </c>
      <c r="N20" s="18">
        <v>117805</v>
      </c>
      <c r="O20" s="80">
        <f>SUM(C20:N20)</f>
        <v>1256644.51</v>
      </c>
    </row>
    <row r="21" spans="1:15" s="33" customFormat="1" ht="14.5" x14ac:dyDescent="0.35">
      <c r="A21" s="83"/>
      <c r="B21" s="27" t="s">
        <v>18</v>
      </c>
      <c r="C21" s="29">
        <v>1504426.17</v>
      </c>
      <c r="D21" s="29">
        <v>1686086.2</v>
      </c>
      <c r="E21" s="29">
        <v>1589914.66</v>
      </c>
      <c r="F21" s="29">
        <f>SUM(F17:F20)</f>
        <v>1508818.4999999998</v>
      </c>
      <c r="G21" s="29">
        <f t="shared" ref="G21:N21" si="3">SUM(G17:G20)</f>
        <v>1204754.58</v>
      </c>
      <c r="H21" s="29">
        <f t="shared" si="3"/>
        <v>915810.83</v>
      </c>
      <c r="I21" s="29">
        <f t="shared" si="3"/>
        <v>918848.73</v>
      </c>
      <c r="J21" s="29">
        <f t="shared" si="3"/>
        <v>850014.10000000009</v>
      </c>
      <c r="K21" s="29">
        <f t="shared" si="3"/>
        <v>769790.17999999993</v>
      </c>
      <c r="L21" s="29">
        <f t="shared" si="3"/>
        <v>1093627.8700000001</v>
      </c>
      <c r="M21" s="29">
        <f t="shared" si="3"/>
        <v>1218210.6800000002</v>
      </c>
      <c r="N21" s="29">
        <f t="shared" si="3"/>
        <v>1681225.8099999998</v>
      </c>
      <c r="O21" s="86">
        <f>SUM(C21:N21)</f>
        <v>14941528.310000001</v>
      </c>
    </row>
    <row r="22" spans="1:15" s="22" customFormat="1" ht="14.5" x14ac:dyDescent="0.35">
      <c r="A22" s="79"/>
      <c r="B22" s="17" t="s">
        <v>12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7"/>
    </row>
    <row r="23" spans="1:15" s="33" customFormat="1" ht="14.5" x14ac:dyDescent="0.35">
      <c r="A23" s="83"/>
      <c r="B23" s="27" t="s">
        <v>19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98"/>
    </row>
    <row r="24" spans="1:15" s="22" customFormat="1" ht="14.5" x14ac:dyDescent="0.35">
      <c r="A24" s="79"/>
      <c r="B24" s="17" t="s">
        <v>14</v>
      </c>
      <c r="C24" s="18">
        <v>279344.62</v>
      </c>
      <c r="D24" s="18">
        <v>240150.76</v>
      </c>
      <c r="E24" s="18">
        <v>250429.69</v>
      </c>
      <c r="F24" s="18">
        <v>278444.2</v>
      </c>
      <c r="G24" s="18">
        <v>213683.97</v>
      </c>
      <c r="H24" s="18">
        <v>187153.72</v>
      </c>
      <c r="I24" s="18">
        <v>210134.31</v>
      </c>
      <c r="J24" s="18">
        <v>196622.17</v>
      </c>
      <c r="K24" s="18">
        <v>181097.72</v>
      </c>
      <c r="L24" s="18">
        <v>221034.58</v>
      </c>
      <c r="M24" s="18">
        <v>228171.4</v>
      </c>
      <c r="N24" s="18">
        <v>258164.05</v>
      </c>
      <c r="O24" s="80">
        <f>SUM(C24:N24)</f>
        <v>2744431.1899999995</v>
      </c>
    </row>
    <row r="25" spans="1:15" s="22" customFormat="1" ht="14.5" x14ac:dyDescent="0.35">
      <c r="A25" s="79"/>
      <c r="B25" s="17" t="s">
        <v>15</v>
      </c>
      <c r="C25" s="18">
        <v>248459.71</v>
      </c>
      <c r="D25" s="18">
        <v>275568.11</v>
      </c>
      <c r="E25" s="18">
        <v>264575.75</v>
      </c>
      <c r="F25" s="18">
        <v>291396.90000000002</v>
      </c>
      <c r="G25" s="18">
        <v>254359.85368199999</v>
      </c>
      <c r="H25" s="18">
        <v>213956.26808400001</v>
      </c>
      <c r="I25" s="18">
        <v>213992.48808400001</v>
      </c>
      <c r="J25" s="18">
        <v>201803.15027000001</v>
      </c>
      <c r="K25" s="18">
        <v>227600.79968</v>
      </c>
      <c r="L25" s="18">
        <v>238733.87236000001</v>
      </c>
      <c r="M25" s="18">
        <v>281148.42011599999</v>
      </c>
      <c r="N25" s="18">
        <v>309508.63654799998</v>
      </c>
      <c r="O25" s="80">
        <f>SUM(C25:N25)</f>
        <v>3021103.9588239999</v>
      </c>
    </row>
    <row r="26" spans="1:15" s="22" customFormat="1" ht="14.5" x14ac:dyDescent="0.35">
      <c r="A26" s="79"/>
      <c r="B26" s="17" t="s">
        <v>16</v>
      </c>
      <c r="C26" s="18">
        <v>1154.5999999999999</v>
      </c>
      <c r="D26" s="18">
        <v>1424.85</v>
      </c>
      <c r="E26" s="18">
        <v>1387.57</v>
      </c>
      <c r="F26" s="18">
        <v>1105.98</v>
      </c>
      <c r="G26" s="18">
        <v>575.02</v>
      </c>
      <c r="H26" s="18">
        <v>501.74</v>
      </c>
      <c r="I26" s="18">
        <v>513.16</v>
      </c>
      <c r="J26" s="18">
        <v>504.55</v>
      </c>
      <c r="K26" s="18">
        <v>433.2</v>
      </c>
      <c r="L26" s="18">
        <v>577.48</v>
      </c>
      <c r="M26" s="18">
        <v>583.28</v>
      </c>
      <c r="N26" s="18">
        <v>625.1</v>
      </c>
      <c r="O26" s="80">
        <f>SUM(C26:N26)</f>
        <v>9386.5300000000007</v>
      </c>
    </row>
    <row r="27" spans="1:15" s="33" customFormat="1" ht="14.5" x14ac:dyDescent="0.35">
      <c r="A27" s="83"/>
      <c r="B27" s="27" t="s">
        <v>20</v>
      </c>
      <c r="C27" s="29">
        <v>528958.92999999993</v>
      </c>
      <c r="D27" s="29">
        <v>517143.72</v>
      </c>
      <c r="E27" s="29">
        <v>516393.01</v>
      </c>
      <c r="F27" s="29">
        <f>SUM(F24:F26)</f>
        <v>570947.08000000007</v>
      </c>
      <c r="G27" s="29">
        <f t="shared" ref="G27:N27" si="4">SUM(G24:G26)</f>
        <v>468618.84368200001</v>
      </c>
      <c r="H27" s="29">
        <f t="shared" si="4"/>
        <v>401611.728084</v>
      </c>
      <c r="I27" s="29">
        <f t="shared" si="4"/>
        <v>424639.95808399998</v>
      </c>
      <c r="J27" s="29">
        <f t="shared" si="4"/>
        <v>398929.87027000001</v>
      </c>
      <c r="K27" s="29">
        <f t="shared" si="4"/>
        <v>409131.71968000004</v>
      </c>
      <c r="L27" s="29">
        <f t="shared" si="4"/>
        <v>460345.93235999998</v>
      </c>
      <c r="M27" s="29">
        <f t="shared" si="4"/>
        <v>509903.10011600005</v>
      </c>
      <c r="N27" s="29">
        <f t="shared" si="4"/>
        <v>568297.78654799995</v>
      </c>
      <c r="O27" s="86">
        <f>SUM(C27:N27)</f>
        <v>5774921.6788240001</v>
      </c>
    </row>
    <row r="28" spans="1:15" s="22" customFormat="1" ht="14.5" x14ac:dyDescent="0.35">
      <c r="A28" s="79"/>
      <c r="B28" s="17" t="s">
        <v>12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7"/>
    </row>
    <row r="29" spans="1:15" s="33" customFormat="1" ht="14.5" x14ac:dyDescent="0.35">
      <c r="A29" s="83"/>
      <c r="B29" s="27" t="s">
        <v>21</v>
      </c>
      <c r="C29" s="84">
        <v>975467.24</v>
      </c>
      <c r="D29" s="84">
        <v>1168942.48</v>
      </c>
      <c r="E29" s="84">
        <v>1073521.6499999999</v>
      </c>
      <c r="F29" s="84">
        <f>F21-F27</f>
        <v>937871.41999999969</v>
      </c>
      <c r="G29" s="84">
        <f t="shared" ref="G29:N29" si="5">G21-G27</f>
        <v>736135.73631800013</v>
      </c>
      <c r="H29" s="84">
        <f t="shared" si="5"/>
        <v>514199.10191599996</v>
      </c>
      <c r="I29" s="84">
        <f t="shared" si="5"/>
        <v>494208.771916</v>
      </c>
      <c r="J29" s="84">
        <f t="shared" si="5"/>
        <v>451084.22973000008</v>
      </c>
      <c r="K29" s="84">
        <f t="shared" si="5"/>
        <v>360658.4603199999</v>
      </c>
      <c r="L29" s="84">
        <f t="shared" si="5"/>
        <v>633281.93764000013</v>
      </c>
      <c r="M29" s="84">
        <f t="shared" si="5"/>
        <v>708307.57988400012</v>
      </c>
      <c r="N29" s="84">
        <f t="shared" si="5"/>
        <v>1112928.0234519998</v>
      </c>
      <c r="O29" s="85">
        <f>SUM(C29:N29)</f>
        <v>9166606.6311759986</v>
      </c>
    </row>
    <row r="30" spans="1:15" s="22" customFormat="1" ht="14.5" x14ac:dyDescent="0.35">
      <c r="A30" s="79"/>
      <c r="B30" s="17" t="s">
        <v>12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7"/>
    </row>
    <row r="31" spans="1:15" s="33" customFormat="1" ht="14.5" x14ac:dyDescent="0.35">
      <c r="A31" s="83"/>
      <c r="B31" s="27" t="s">
        <v>22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98"/>
    </row>
    <row r="32" spans="1:15" s="22" customFormat="1" ht="14.5" x14ac:dyDescent="0.35">
      <c r="A32" s="79"/>
      <c r="B32" s="17" t="s">
        <v>23</v>
      </c>
      <c r="C32" s="18">
        <v>124940.54</v>
      </c>
      <c r="D32" s="18">
        <v>116597.61</v>
      </c>
      <c r="E32" s="18">
        <v>120164.19</v>
      </c>
      <c r="F32" s="18">
        <v>133968.94</v>
      </c>
      <c r="G32" s="18">
        <v>110313.24799999999</v>
      </c>
      <c r="H32" s="18">
        <v>101120.886</v>
      </c>
      <c r="I32" s="18">
        <v>97294.275999999998</v>
      </c>
      <c r="J32" s="18">
        <v>104234.38</v>
      </c>
      <c r="K32" s="18">
        <v>94274.67</v>
      </c>
      <c r="L32" s="18">
        <v>107921.23000000001</v>
      </c>
      <c r="M32" s="18">
        <v>111445.43400000001</v>
      </c>
      <c r="N32" s="18">
        <v>133047.79200000002</v>
      </c>
      <c r="O32" s="80">
        <f t="shared" ref="O32:O37" si="6">SUM(C32:N32)</f>
        <v>1355323.196</v>
      </c>
    </row>
    <row r="33" spans="1:15" s="22" customFormat="1" ht="14.5" x14ac:dyDescent="0.35">
      <c r="A33" s="79"/>
      <c r="B33" s="17" t="s">
        <v>24</v>
      </c>
      <c r="C33" s="18">
        <v>21170.28</v>
      </c>
      <c r="D33" s="18">
        <v>24910.61</v>
      </c>
      <c r="E33" s="18">
        <v>18119.5</v>
      </c>
      <c r="F33" s="18">
        <v>16160.83</v>
      </c>
      <c r="G33" s="18">
        <v>12039.74</v>
      </c>
      <c r="H33" s="18">
        <v>13388.12</v>
      </c>
      <c r="I33" s="18">
        <v>12790.86</v>
      </c>
      <c r="J33" s="18">
        <v>13359.3</v>
      </c>
      <c r="K33" s="18">
        <v>9484.27</v>
      </c>
      <c r="L33" s="18">
        <v>11476.84</v>
      </c>
      <c r="M33" s="18">
        <v>11854.86</v>
      </c>
      <c r="N33" s="18">
        <v>14576</v>
      </c>
      <c r="O33" s="80">
        <f t="shared" si="6"/>
        <v>179331.20999999996</v>
      </c>
    </row>
    <row r="34" spans="1:15" s="22" customFormat="1" ht="14.5" x14ac:dyDescent="0.35">
      <c r="A34" s="79"/>
      <c r="B34" s="17" t="s">
        <v>25</v>
      </c>
      <c r="C34" s="18">
        <v>103819.96</v>
      </c>
      <c r="D34" s="18">
        <v>95261.58</v>
      </c>
      <c r="E34" s="18">
        <v>94505.39</v>
      </c>
      <c r="F34" s="18">
        <v>88393.96</v>
      </c>
      <c r="G34" s="18">
        <v>108622.14</v>
      </c>
      <c r="H34" s="18">
        <v>92928.35</v>
      </c>
      <c r="I34" s="18">
        <v>90705.23</v>
      </c>
      <c r="J34" s="18">
        <v>76584.14</v>
      </c>
      <c r="K34" s="18">
        <v>78185.66</v>
      </c>
      <c r="L34" s="18">
        <v>92030.76999999999</v>
      </c>
      <c r="M34" s="18">
        <v>98458.82</v>
      </c>
      <c r="N34" s="18">
        <v>102410.6</v>
      </c>
      <c r="O34" s="80">
        <f t="shared" si="6"/>
        <v>1121906.6000000001</v>
      </c>
    </row>
    <row r="35" spans="1:15" s="22" customFormat="1" ht="14.5" x14ac:dyDescent="0.35">
      <c r="A35" s="79"/>
      <c r="B35" s="17" t="s">
        <v>43</v>
      </c>
      <c r="C35" s="18">
        <v>63453.34</v>
      </c>
      <c r="D35" s="18">
        <v>52586.01</v>
      </c>
      <c r="E35" s="18">
        <v>47396.59</v>
      </c>
      <c r="F35" s="18">
        <v>57358.85</v>
      </c>
      <c r="G35" s="18">
        <v>61697.52</v>
      </c>
      <c r="H35" s="18">
        <v>59573.74</v>
      </c>
      <c r="I35" s="18">
        <v>60107.65</v>
      </c>
      <c r="J35" s="18">
        <v>59589.95</v>
      </c>
      <c r="K35" s="18">
        <v>59620.14</v>
      </c>
      <c r="L35" s="18">
        <v>63507.53</v>
      </c>
      <c r="M35" s="18">
        <v>65829.45</v>
      </c>
      <c r="N35" s="18">
        <v>66101.179999999993</v>
      </c>
      <c r="O35" s="80">
        <f t="shared" si="6"/>
        <v>716821.95</v>
      </c>
    </row>
    <row r="36" spans="1:15" s="22" customFormat="1" ht="14.5" x14ac:dyDescent="0.35">
      <c r="A36" s="79"/>
      <c r="B36" s="17" t="s">
        <v>27</v>
      </c>
      <c r="C36" s="18">
        <v>25067.23</v>
      </c>
      <c r="D36" s="18">
        <v>21552.880000000001</v>
      </c>
      <c r="E36" s="18">
        <v>22703.39</v>
      </c>
      <c r="F36" s="18">
        <v>24121.87</v>
      </c>
      <c r="G36" s="18">
        <v>23464.45</v>
      </c>
      <c r="H36" s="18">
        <v>28511.439999999999</v>
      </c>
      <c r="I36" s="18">
        <v>25168.45</v>
      </c>
      <c r="J36" s="18">
        <v>23361.59</v>
      </c>
      <c r="K36" s="18">
        <v>22409.85</v>
      </c>
      <c r="L36" s="18">
        <v>22283.759999999998</v>
      </c>
      <c r="M36" s="18">
        <v>18664.63</v>
      </c>
      <c r="N36" s="18">
        <v>18757.330000000002</v>
      </c>
      <c r="O36" s="80">
        <f t="shared" si="6"/>
        <v>276066.87</v>
      </c>
    </row>
    <row r="37" spans="1:15" s="33" customFormat="1" ht="14.5" x14ac:dyDescent="0.35">
      <c r="A37" s="83"/>
      <c r="B37" s="27" t="s">
        <v>28</v>
      </c>
      <c r="C37" s="29">
        <v>338451.35</v>
      </c>
      <c r="D37" s="29">
        <v>310908.69</v>
      </c>
      <c r="E37" s="29">
        <v>302889.06000000006</v>
      </c>
      <c r="F37" s="29">
        <f>SUM(F32:F36)</f>
        <v>320004.44999999995</v>
      </c>
      <c r="G37" s="29">
        <f t="shared" ref="G37:N37" si="7">SUM(G32:G36)</f>
        <v>316137.098</v>
      </c>
      <c r="H37" s="29">
        <f t="shared" si="7"/>
        <v>295522.53600000002</v>
      </c>
      <c r="I37" s="29">
        <f t="shared" si="7"/>
        <v>286066.46599999996</v>
      </c>
      <c r="J37" s="29">
        <f t="shared" si="7"/>
        <v>277129.36000000004</v>
      </c>
      <c r="K37" s="29">
        <f t="shared" si="7"/>
        <v>263974.58999999997</v>
      </c>
      <c r="L37" s="29">
        <f t="shared" si="7"/>
        <v>297220.13</v>
      </c>
      <c r="M37" s="29">
        <f t="shared" si="7"/>
        <v>306253.19400000002</v>
      </c>
      <c r="N37" s="29">
        <f t="shared" si="7"/>
        <v>334892.90200000006</v>
      </c>
      <c r="O37" s="86">
        <f t="shared" si="6"/>
        <v>3649449.8259999999</v>
      </c>
    </row>
    <row r="38" spans="1:15" s="22" customFormat="1" ht="14.5" x14ac:dyDescent="0.35">
      <c r="A38" s="79"/>
      <c r="B38" s="17" t="s">
        <v>12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80"/>
    </row>
    <row r="39" spans="1:15" s="33" customFormat="1" ht="14.5" x14ac:dyDescent="0.35">
      <c r="A39" s="83"/>
      <c r="B39" s="27" t="s">
        <v>29</v>
      </c>
      <c r="C39" s="84">
        <f>C29-C37</f>
        <v>637015.89</v>
      </c>
      <c r="D39" s="84">
        <f>D29-D37</f>
        <v>858033.79</v>
      </c>
      <c r="E39" s="84">
        <f>E29-E37</f>
        <v>770632.58999999985</v>
      </c>
      <c r="F39" s="84">
        <f>F29-F37</f>
        <v>617866.96999999974</v>
      </c>
      <c r="G39" s="84">
        <f t="shared" ref="G39:N39" si="8">G29-G37</f>
        <v>419998.63831800013</v>
      </c>
      <c r="H39" s="84">
        <f t="shared" si="8"/>
        <v>218676.56591599993</v>
      </c>
      <c r="I39" s="84">
        <f t="shared" si="8"/>
        <v>208142.30591600004</v>
      </c>
      <c r="J39" s="84">
        <f t="shared" si="8"/>
        <v>173954.86973000003</v>
      </c>
      <c r="K39" s="84">
        <f t="shared" si="8"/>
        <v>96683.870319999929</v>
      </c>
      <c r="L39" s="84">
        <f t="shared" si="8"/>
        <v>336061.80764000013</v>
      </c>
      <c r="M39" s="84">
        <f t="shared" si="8"/>
        <v>402054.3858840001</v>
      </c>
      <c r="N39" s="84">
        <f t="shared" si="8"/>
        <v>778035.12145199976</v>
      </c>
      <c r="O39" s="85">
        <f>SUM(C39:N39)</f>
        <v>5517156.8051759992</v>
      </c>
    </row>
    <row r="40" spans="1:15" s="22" customFormat="1" ht="14.5" x14ac:dyDescent="0.35">
      <c r="A40" s="79"/>
      <c r="B40" s="17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80"/>
    </row>
    <row r="41" spans="1:15" s="22" customFormat="1" ht="14.5" x14ac:dyDescent="0.35">
      <c r="A41" s="79"/>
      <c r="B41" s="17" t="s">
        <v>30</v>
      </c>
      <c r="C41" s="18">
        <f>C21*3%</f>
        <v>45132.785099999994</v>
      </c>
      <c r="D41" s="18">
        <f t="shared" ref="D41:N41" si="9">D21*3%</f>
        <v>50582.585999999996</v>
      </c>
      <c r="E41" s="18">
        <f t="shared" si="9"/>
        <v>47697.439799999993</v>
      </c>
      <c r="F41" s="18">
        <f t="shared" si="9"/>
        <v>45264.554999999993</v>
      </c>
      <c r="G41" s="18">
        <f t="shared" si="9"/>
        <v>36142.6374</v>
      </c>
      <c r="H41" s="18">
        <f t="shared" si="9"/>
        <v>27474.324899999996</v>
      </c>
      <c r="I41" s="18">
        <f t="shared" si="9"/>
        <v>27565.461899999998</v>
      </c>
      <c r="J41" s="18">
        <f t="shared" si="9"/>
        <v>25500.423000000003</v>
      </c>
      <c r="K41" s="18">
        <f t="shared" si="9"/>
        <v>23093.705399999999</v>
      </c>
      <c r="L41" s="18">
        <f t="shared" si="9"/>
        <v>32808.8361</v>
      </c>
      <c r="M41" s="18">
        <f t="shared" si="9"/>
        <v>36546.320400000004</v>
      </c>
      <c r="N41" s="18">
        <f t="shared" si="9"/>
        <v>50436.77429999999</v>
      </c>
      <c r="O41" s="80">
        <f>SUM(C41:N41)</f>
        <v>448245.8493</v>
      </c>
    </row>
    <row r="42" spans="1:15" s="33" customFormat="1" ht="14.5" x14ac:dyDescent="0.35">
      <c r="A42" s="83"/>
      <c r="B42" s="27" t="s">
        <v>31</v>
      </c>
      <c r="C42" s="29">
        <f>C39-C41</f>
        <v>591883.10490000003</v>
      </c>
      <c r="D42" s="29">
        <f>D39-D41</f>
        <v>807451.20400000003</v>
      </c>
      <c r="E42" s="29">
        <f>E39-E41</f>
        <v>722935.1501999998</v>
      </c>
      <c r="F42" s="29">
        <f>F39-F41</f>
        <v>572602.4149999998</v>
      </c>
      <c r="G42" s="29">
        <f t="shared" ref="G42:N42" si="10">G39-G41</f>
        <v>383856.00091800012</v>
      </c>
      <c r="H42" s="29">
        <f t="shared" si="10"/>
        <v>191202.24101599993</v>
      </c>
      <c r="I42" s="29">
        <f t="shared" si="10"/>
        <v>180576.84401600005</v>
      </c>
      <c r="J42" s="29">
        <f t="shared" si="10"/>
        <v>148454.44673000003</v>
      </c>
      <c r="K42" s="29">
        <f t="shared" si="10"/>
        <v>73590.164919999923</v>
      </c>
      <c r="L42" s="29">
        <f t="shared" si="10"/>
        <v>303252.97154000012</v>
      </c>
      <c r="M42" s="29">
        <f t="shared" si="10"/>
        <v>365508.06548400008</v>
      </c>
      <c r="N42" s="29">
        <f t="shared" si="10"/>
        <v>727598.34715199983</v>
      </c>
      <c r="O42" s="86">
        <f>SUM(C42:N42)</f>
        <v>5068910.9558760002</v>
      </c>
    </row>
    <row r="43" spans="1:15" s="22" customFormat="1" ht="14.5" x14ac:dyDescent="0.35">
      <c r="A43" s="79"/>
      <c r="B43" s="17" t="s">
        <v>12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80"/>
    </row>
    <row r="44" spans="1:15" s="22" customFormat="1" ht="14.5" x14ac:dyDescent="0.35">
      <c r="A44" s="79"/>
      <c r="B44" s="17" t="s">
        <v>44</v>
      </c>
      <c r="C44" s="18">
        <v>-5053.16</v>
      </c>
      <c r="D44" s="18">
        <v>-1517.29</v>
      </c>
      <c r="E44" s="18">
        <v>-1682.8</v>
      </c>
      <c r="F44" s="18">
        <v>-1631.67</v>
      </c>
      <c r="G44" s="18">
        <v>-2031</v>
      </c>
      <c r="H44" s="18">
        <v>-2031</v>
      </c>
      <c r="I44" s="18">
        <v>-2031</v>
      </c>
      <c r="J44" s="18">
        <v>-2031</v>
      </c>
      <c r="K44" s="18">
        <v>-2031</v>
      </c>
      <c r="L44" s="18">
        <v>-2031</v>
      </c>
      <c r="M44" s="18">
        <v>-2031</v>
      </c>
      <c r="N44" s="18">
        <v>-2031</v>
      </c>
      <c r="O44" s="80">
        <f>SUM(C44:N44)</f>
        <v>-26132.92</v>
      </c>
    </row>
    <row r="45" spans="1:15" s="22" customFormat="1" ht="14.5" x14ac:dyDescent="0.35">
      <c r="A45" s="79"/>
      <c r="B45" s="17" t="s">
        <v>33</v>
      </c>
      <c r="C45" s="18">
        <v>2257.12</v>
      </c>
      <c r="D45" s="18">
        <v>473.27</v>
      </c>
      <c r="E45" s="18">
        <v>924.24</v>
      </c>
      <c r="F45" s="18">
        <v>277.08999999999997</v>
      </c>
      <c r="G45" s="18">
        <v>1100.5</v>
      </c>
      <c r="H45" s="18">
        <v>1100.5</v>
      </c>
      <c r="I45" s="18">
        <v>1100.5</v>
      </c>
      <c r="J45" s="18">
        <v>1100.5</v>
      </c>
      <c r="K45" s="18">
        <v>1100.5</v>
      </c>
      <c r="L45" s="18">
        <v>1100.5</v>
      </c>
      <c r="M45" s="18">
        <v>1100.5</v>
      </c>
      <c r="N45" s="18">
        <v>1600.5</v>
      </c>
      <c r="O45" s="80">
        <f>SUM(C45:N45)</f>
        <v>13235.720000000001</v>
      </c>
    </row>
    <row r="46" spans="1:15" s="22" customFormat="1" ht="14.5" x14ac:dyDescent="0.35">
      <c r="A46" s="79"/>
      <c r="B46" s="17" t="s">
        <v>34</v>
      </c>
      <c r="C46" s="18">
        <v>48368</v>
      </c>
      <c r="D46" s="18">
        <v>48368</v>
      </c>
      <c r="E46" s="18">
        <v>48368</v>
      </c>
      <c r="F46" s="18">
        <v>33677.120000000003</v>
      </c>
      <c r="G46" s="18">
        <v>48368</v>
      </c>
      <c r="H46" s="18">
        <v>48368</v>
      </c>
      <c r="I46" s="18">
        <v>48368</v>
      </c>
      <c r="J46" s="18">
        <v>48368</v>
      </c>
      <c r="K46" s="18">
        <v>48368</v>
      </c>
      <c r="L46" s="18">
        <v>48368</v>
      </c>
      <c r="M46" s="18">
        <v>48619</v>
      </c>
      <c r="N46" s="18">
        <v>48619</v>
      </c>
      <c r="O46" s="80">
        <f>SUM(C46:N46)</f>
        <v>566227.12</v>
      </c>
    </row>
    <row r="47" spans="1:15" s="22" customFormat="1" ht="14.5" x14ac:dyDescent="0.35">
      <c r="A47" s="79"/>
      <c r="B47" s="17" t="s">
        <v>35</v>
      </c>
      <c r="C47" s="18">
        <v>96851.1</v>
      </c>
      <c r="D47" s="18">
        <v>96851.1</v>
      </c>
      <c r="E47" s="18">
        <v>96851.1</v>
      </c>
      <c r="F47" s="18">
        <v>96851.1</v>
      </c>
      <c r="G47" s="18">
        <v>96851.1</v>
      </c>
      <c r="H47" s="18">
        <v>96851.1</v>
      </c>
      <c r="I47" s="18">
        <v>96851.1</v>
      </c>
      <c r="J47" s="18">
        <v>96851.1</v>
      </c>
      <c r="K47" s="18">
        <v>96851.1</v>
      </c>
      <c r="L47" s="18">
        <v>96851.1</v>
      </c>
      <c r="M47" s="18">
        <v>96851.1</v>
      </c>
      <c r="N47" s="18">
        <v>96851.1</v>
      </c>
      <c r="O47" s="80">
        <f>SUM(C47:N47)</f>
        <v>1162213.2</v>
      </c>
    </row>
    <row r="48" spans="1:15" s="22" customFormat="1" ht="14.5" x14ac:dyDescent="0.35">
      <c r="A48" s="79"/>
      <c r="B48" s="17" t="s">
        <v>36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80">
        <f>SUM(C48:N48)</f>
        <v>0</v>
      </c>
    </row>
    <row r="49" spans="1:15" s="33" customFormat="1" ht="14.5" x14ac:dyDescent="0.35">
      <c r="A49" s="83"/>
      <c r="B49" s="27" t="s">
        <v>37</v>
      </c>
      <c r="C49" s="29">
        <f>SUM(C44:C48)</f>
        <v>142423.06</v>
      </c>
      <c r="D49" s="29">
        <f>SUM(D44:D48)</f>
        <v>144175.08000000002</v>
      </c>
      <c r="E49" s="29">
        <f>SUM(E44:E48)</f>
        <v>144460.54</v>
      </c>
      <c r="F49" s="29">
        <f>SUM(F44:F48)</f>
        <v>129173.64000000001</v>
      </c>
      <c r="G49" s="29">
        <f t="shared" ref="G49:O49" si="11">SUM(G44:G48)</f>
        <v>144288.6</v>
      </c>
      <c r="H49" s="29">
        <f t="shared" si="11"/>
        <v>144288.6</v>
      </c>
      <c r="I49" s="29">
        <f t="shared" si="11"/>
        <v>144288.6</v>
      </c>
      <c r="J49" s="29">
        <f t="shared" si="11"/>
        <v>144288.6</v>
      </c>
      <c r="K49" s="29">
        <f t="shared" si="11"/>
        <v>144288.6</v>
      </c>
      <c r="L49" s="29">
        <f t="shared" si="11"/>
        <v>144288.6</v>
      </c>
      <c r="M49" s="29">
        <f t="shared" si="11"/>
        <v>144539.6</v>
      </c>
      <c r="N49" s="29">
        <f t="shared" si="11"/>
        <v>145039.6</v>
      </c>
      <c r="O49" s="86">
        <f t="shared" si="11"/>
        <v>1715543.12</v>
      </c>
    </row>
    <row r="50" spans="1:15" s="22" customFormat="1" ht="14.5" x14ac:dyDescent="0.35">
      <c r="A50" s="79"/>
      <c r="B50" s="17" t="s">
        <v>12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80"/>
    </row>
    <row r="51" spans="1:15" s="33" customFormat="1" ht="14.5" x14ac:dyDescent="0.35">
      <c r="A51" s="83"/>
      <c r="B51" s="27" t="s">
        <v>38</v>
      </c>
      <c r="C51" s="84">
        <f>C42-C49</f>
        <v>449460.04490000004</v>
      </c>
      <c r="D51" s="84">
        <f>D42-D49</f>
        <v>663276.12400000007</v>
      </c>
      <c r="E51" s="84">
        <f>E42-E49</f>
        <v>578474.61019999976</v>
      </c>
      <c r="F51" s="84">
        <f>F42-F49</f>
        <v>443428.77499999979</v>
      </c>
      <c r="G51" s="84">
        <f t="shared" ref="G51:N51" si="12">G42-G49</f>
        <v>239567.40091800012</v>
      </c>
      <c r="H51" s="84">
        <f t="shared" si="12"/>
        <v>46913.641015999921</v>
      </c>
      <c r="I51" s="84">
        <f t="shared" si="12"/>
        <v>36288.244016000041</v>
      </c>
      <c r="J51" s="84">
        <f t="shared" si="12"/>
        <v>4165.8467300000193</v>
      </c>
      <c r="K51" s="84">
        <f t="shared" si="12"/>
        <v>-70698.435080000083</v>
      </c>
      <c r="L51" s="84">
        <f t="shared" si="12"/>
        <v>158964.37154000011</v>
      </c>
      <c r="M51" s="84">
        <f t="shared" si="12"/>
        <v>220968.46548400007</v>
      </c>
      <c r="N51" s="84">
        <f t="shared" si="12"/>
        <v>582558.74715199985</v>
      </c>
      <c r="O51" s="85">
        <f>SUM(C51:N51)</f>
        <v>3353367.8358759996</v>
      </c>
    </row>
    <row r="52" spans="1:15" s="22" customFormat="1" ht="14.5" x14ac:dyDescent="0.35">
      <c r="A52" s="79"/>
      <c r="B52" s="17" t="s">
        <v>12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80"/>
    </row>
    <row r="53" spans="1:15" s="22" customFormat="1" ht="14.5" x14ac:dyDescent="0.35">
      <c r="A53" s="79"/>
      <c r="B53" s="17" t="s">
        <v>39</v>
      </c>
      <c r="C53" s="18">
        <f t="shared" ref="C53:N53" si="13">C21*0.04</f>
        <v>60177.046799999996</v>
      </c>
      <c r="D53" s="18">
        <f t="shared" si="13"/>
        <v>67443.448000000004</v>
      </c>
      <c r="E53" s="18">
        <f t="shared" si="13"/>
        <v>63596.5864</v>
      </c>
      <c r="F53" s="18">
        <f t="shared" si="13"/>
        <v>60352.739999999991</v>
      </c>
      <c r="G53" s="18">
        <f t="shared" si="13"/>
        <v>48190.183200000007</v>
      </c>
      <c r="H53" s="18">
        <f t="shared" si="13"/>
        <v>36632.433199999999</v>
      </c>
      <c r="I53" s="18">
        <f t="shared" si="13"/>
        <v>36753.949200000003</v>
      </c>
      <c r="J53" s="18">
        <f t="shared" si="13"/>
        <v>34000.564000000006</v>
      </c>
      <c r="K53" s="18">
        <f t="shared" si="13"/>
        <v>30791.607199999999</v>
      </c>
      <c r="L53" s="18">
        <f t="shared" si="13"/>
        <v>43745.114800000003</v>
      </c>
      <c r="M53" s="18">
        <f t="shared" si="13"/>
        <v>48728.427200000006</v>
      </c>
      <c r="N53" s="18">
        <f t="shared" si="13"/>
        <v>67249.032399999996</v>
      </c>
      <c r="O53" s="80">
        <f>SUM(C53:N53)</f>
        <v>597661.13240000012</v>
      </c>
    </row>
    <row r="54" spans="1:15" s="33" customFormat="1" ht="15" thickBot="1" x14ac:dyDescent="0.4">
      <c r="A54" s="83"/>
      <c r="B54" s="87" t="s">
        <v>40</v>
      </c>
      <c r="C54" s="34">
        <f t="shared" ref="C54:O54" si="14">C51-C53</f>
        <v>389282.99810000003</v>
      </c>
      <c r="D54" s="34">
        <f t="shared" si="14"/>
        <v>595832.67600000009</v>
      </c>
      <c r="E54" s="34">
        <f t="shared" si="14"/>
        <v>514878.02379999973</v>
      </c>
      <c r="F54" s="34">
        <f t="shared" si="14"/>
        <v>383076.0349999998</v>
      </c>
      <c r="G54" s="34">
        <f t="shared" si="14"/>
        <v>191377.21771800012</v>
      </c>
      <c r="H54" s="34">
        <f t="shared" si="14"/>
        <v>10281.207815999922</v>
      </c>
      <c r="I54" s="34">
        <f t="shared" si="14"/>
        <v>-465.70518399996217</v>
      </c>
      <c r="J54" s="34">
        <f t="shared" si="14"/>
        <v>-29834.717269999986</v>
      </c>
      <c r="K54" s="34">
        <f t="shared" si="14"/>
        <v>-101490.04228000008</v>
      </c>
      <c r="L54" s="34">
        <f t="shared" si="14"/>
        <v>115219.2567400001</v>
      </c>
      <c r="M54" s="34">
        <f t="shared" si="14"/>
        <v>172240.03828400007</v>
      </c>
      <c r="N54" s="34">
        <f t="shared" si="14"/>
        <v>515309.71475199983</v>
      </c>
      <c r="O54" s="34">
        <f t="shared" si="14"/>
        <v>2755706.7034759996</v>
      </c>
    </row>
    <row r="55" spans="1:15" s="22" customFormat="1" ht="15" thickTop="1" x14ac:dyDescent="0.35">
      <c r="A55" s="79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0"/>
    </row>
    <row r="56" spans="1:15" s="22" customFormat="1" ht="14.5" x14ac:dyDescent="0.35">
      <c r="A56" s="79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0"/>
    </row>
    <row r="57" spans="1:15" ht="14.5" x14ac:dyDescent="0.35">
      <c r="A57" s="7"/>
      <c r="B57" s="7"/>
      <c r="C57" s="38"/>
      <c r="D57" s="38"/>
      <c r="E57" s="38"/>
      <c r="F57" s="38"/>
      <c r="G57" s="38"/>
      <c r="H57" s="39"/>
      <c r="I57" s="17"/>
      <c r="J57" s="17"/>
    </row>
    <row r="58" spans="1:15" s="71" customFormat="1" ht="14.5" x14ac:dyDescent="0.35">
      <c r="A58" s="89"/>
      <c r="B58" s="90"/>
      <c r="C58" s="95"/>
      <c r="D58" s="96"/>
      <c r="E58" s="95"/>
      <c r="F58" s="95"/>
      <c r="G58" s="96"/>
      <c r="H58" s="95"/>
      <c r="I58" s="95"/>
      <c r="J58" s="91"/>
      <c r="K58" s="91"/>
      <c r="L58" s="91"/>
      <c r="M58" s="91"/>
      <c r="N58" s="91"/>
      <c r="O58" s="91"/>
    </row>
    <row r="59" spans="1:15" x14ac:dyDescent="0.25">
      <c r="A59" s="7"/>
      <c r="B59" s="7"/>
      <c r="C59" s="7"/>
      <c r="D59" s="7"/>
      <c r="H59" s="15"/>
    </row>
    <row r="60" spans="1:15" x14ac:dyDescent="0.25">
      <c r="B60" s="43"/>
      <c r="C60" s="7"/>
      <c r="D60" s="7"/>
      <c r="H60" s="44"/>
    </row>
    <row r="61" spans="1:15" x14ac:dyDescent="0.25">
      <c r="C61" s="7"/>
      <c r="D61" s="7"/>
      <c r="H61" s="15"/>
    </row>
    <row r="62" spans="1:15" x14ac:dyDescent="0.25">
      <c r="C62" s="7"/>
      <c r="D62" s="7"/>
      <c r="H62" s="15"/>
    </row>
    <row r="63" spans="1:15" x14ac:dyDescent="0.25">
      <c r="C63" s="7"/>
      <c r="D63" s="7"/>
      <c r="H63" s="15"/>
    </row>
    <row r="64" spans="1:15" x14ac:dyDescent="0.25">
      <c r="C64" s="7"/>
      <c r="D64" s="7"/>
      <c r="H64" s="15"/>
    </row>
    <row r="65" spans="1:8" x14ac:dyDescent="0.25">
      <c r="C65" s="7"/>
      <c r="D65" s="7"/>
      <c r="H65" s="15"/>
    </row>
    <row r="66" spans="1:8" x14ac:dyDescent="0.25">
      <c r="C66" s="7"/>
      <c r="D66" s="7"/>
      <c r="H66" s="15"/>
    </row>
    <row r="67" spans="1:8" x14ac:dyDescent="0.25">
      <c r="B67" s="43"/>
      <c r="C67" s="7"/>
      <c r="D67" s="7"/>
      <c r="H67" s="15"/>
    </row>
    <row r="68" spans="1:8" x14ac:dyDescent="0.25">
      <c r="C68" s="7"/>
      <c r="D68" s="7"/>
      <c r="H68" s="15"/>
    </row>
    <row r="69" spans="1:8" x14ac:dyDescent="0.25">
      <c r="B69" s="43"/>
      <c r="C69" s="7"/>
      <c r="D69" s="7"/>
      <c r="H69" s="7"/>
    </row>
    <row r="70" spans="1:8" x14ac:dyDescent="0.25">
      <c r="B70" s="43"/>
      <c r="C70" s="7"/>
      <c r="D70" s="7"/>
      <c r="H70" s="7"/>
    </row>
    <row r="71" spans="1:8" x14ac:dyDescent="0.25">
      <c r="C71" s="7"/>
      <c r="D71" s="7"/>
    </row>
    <row r="72" spans="1:8" ht="15.5" x14ac:dyDescent="0.35">
      <c r="A72" s="45"/>
      <c r="C72" s="7"/>
      <c r="D72" s="7"/>
    </row>
    <row r="73" spans="1:8" x14ac:dyDescent="0.25">
      <c r="C73" s="7"/>
      <c r="D73" s="7"/>
      <c r="H73" s="15"/>
    </row>
    <row r="74" spans="1:8" x14ac:dyDescent="0.25">
      <c r="C74" s="44"/>
      <c r="D74" s="44"/>
      <c r="F74" s="44"/>
      <c r="G74" s="44"/>
      <c r="H74" s="15"/>
    </row>
    <row r="75" spans="1:8" x14ac:dyDescent="0.25">
      <c r="C75" s="7"/>
      <c r="D75" s="7"/>
      <c r="H75" s="15"/>
    </row>
    <row r="76" spans="1:8" x14ac:dyDescent="0.25">
      <c r="C76" s="7"/>
      <c r="D76" s="7"/>
      <c r="H76" s="15"/>
    </row>
    <row r="77" spans="1:8" x14ac:dyDescent="0.25">
      <c r="C77" s="7"/>
      <c r="D77" s="7"/>
      <c r="H77" s="15"/>
    </row>
    <row r="78" spans="1:8" x14ac:dyDescent="0.25">
      <c r="C78" s="7"/>
      <c r="D78" s="7"/>
      <c r="H78" s="15"/>
    </row>
    <row r="79" spans="1:8" x14ac:dyDescent="0.25">
      <c r="C79" s="7"/>
      <c r="D79" s="7"/>
      <c r="H79" s="15"/>
    </row>
    <row r="80" spans="1:8" x14ac:dyDescent="0.25">
      <c r="C80" s="7"/>
      <c r="D80" s="7"/>
      <c r="H80" s="15"/>
    </row>
    <row r="81" spans="2:8" x14ac:dyDescent="0.25">
      <c r="C81" s="7"/>
      <c r="D81" s="7"/>
      <c r="H81" s="15"/>
    </row>
    <row r="82" spans="2:8" x14ac:dyDescent="0.25">
      <c r="C82" s="7"/>
      <c r="D82" s="7"/>
      <c r="H82" s="15"/>
    </row>
    <row r="83" spans="2:8" x14ac:dyDescent="0.25">
      <c r="C83" s="7"/>
      <c r="D83" s="7"/>
      <c r="H83" s="15"/>
    </row>
    <row r="84" spans="2:8" x14ac:dyDescent="0.25">
      <c r="C84" s="7"/>
      <c r="D84" s="7"/>
      <c r="H84" s="15"/>
    </row>
    <row r="85" spans="2:8" x14ac:dyDescent="0.25">
      <c r="C85" s="7"/>
      <c r="D85" s="7"/>
      <c r="H85" s="15"/>
    </row>
    <row r="86" spans="2:8" x14ac:dyDescent="0.25">
      <c r="C86" s="7"/>
      <c r="D86" s="7"/>
      <c r="H86" s="15"/>
    </row>
    <row r="87" spans="2:8" x14ac:dyDescent="0.25">
      <c r="C87" s="7"/>
      <c r="D87" s="7"/>
      <c r="H87" s="15"/>
    </row>
    <row r="88" spans="2:8" x14ac:dyDescent="0.25">
      <c r="C88" s="7"/>
      <c r="D88" s="7"/>
      <c r="H88" s="15"/>
    </row>
    <row r="89" spans="2:8" x14ac:dyDescent="0.25">
      <c r="C89" s="7"/>
      <c r="D89" s="7"/>
      <c r="H89" s="15"/>
    </row>
    <row r="90" spans="2:8" x14ac:dyDescent="0.25">
      <c r="C90" s="7"/>
      <c r="D90" s="7"/>
      <c r="H90" s="15"/>
    </row>
    <row r="91" spans="2:8" x14ac:dyDescent="0.25">
      <c r="C91" s="7"/>
      <c r="D91" s="7"/>
      <c r="H91" s="15"/>
    </row>
    <row r="92" spans="2:8" x14ac:dyDescent="0.25">
      <c r="B92" s="46"/>
      <c r="C92" s="7"/>
      <c r="D92" s="7"/>
      <c r="H92" s="15"/>
    </row>
    <row r="93" spans="2:8" x14ac:dyDescent="0.25">
      <c r="C93" s="7"/>
      <c r="D93" s="7"/>
      <c r="H93" s="15"/>
    </row>
    <row r="94" spans="2:8" x14ac:dyDescent="0.25">
      <c r="C94" s="7"/>
      <c r="D94" s="7"/>
      <c r="H94" s="15"/>
    </row>
    <row r="95" spans="2:8" x14ac:dyDescent="0.25">
      <c r="C95" s="7"/>
      <c r="D95" s="7"/>
      <c r="H95" s="15"/>
    </row>
    <row r="96" spans="2:8" x14ac:dyDescent="0.25">
      <c r="C96" s="7"/>
      <c r="D96" s="7"/>
      <c r="H96" s="15"/>
    </row>
    <row r="97" spans="1:8" x14ac:dyDescent="0.25">
      <c r="C97" s="7"/>
      <c r="D97" s="7"/>
      <c r="H97" s="15"/>
    </row>
    <row r="98" spans="1:8" x14ac:dyDescent="0.25">
      <c r="B98" s="43"/>
      <c r="C98" s="7"/>
      <c r="D98" s="7"/>
      <c r="H98" s="7"/>
    </row>
    <row r="99" spans="1:8" ht="13" x14ac:dyDescent="0.3">
      <c r="B99" s="47"/>
      <c r="C99" s="7"/>
      <c r="D99" s="7"/>
      <c r="H99" s="7"/>
    </row>
    <row r="100" spans="1:8" x14ac:dyDescent="0.25">
      <c r="C100" s="7"/>
      <c r="D100" s="7"/>
    </row>
    <row r="101" spans="1:8" x14ac:dyDescent="0.25">
      <c r="C101" s="7"/>
      <c r="D101" s="7"/>
      <c r="H101" s="15"/>
    </row>
    <row r="102" spans="1:8" x14ac:dyDescent="0.25">
      <c r="C102" s="7"/>
      <c r="D102" s="7"/>
      <c r="H102" s="15"/>
    </row>
    <row r="103" spans="1:8" x14ac:dyDescent="0.25">
      <c r="C103" s="7"/>
      <c r="D103" s="7"/>
      <c r="H103" s="15"/>
    </row>
    <row r="104" spans="1:8" x14ac:dyDescent="0.25">
      <c r="C104" s="7"/>
      <c r="D104" s="7"/>
      <c r="H104" s="15"/>
    </row>
    <row r="105" spans="1:8" x14ac:dyDescent="0.25">
      <c r="C105" s="7"/>
      <c r="D105" s="7"/>
      <c r="H105" s="15"/>
    </row>
    <row r="106" spans="1:8" x14ac:dyDescent="0.25">
      <c r="C106" s="7"/>
      <c r="D106" s="44"/>
      <c r="G106" s="44"/>
      <c r="H106" s="15"/>
    </row>
    <row r="107" spans="1:8" x14ac:dyDescent="0.25">
      <c r="C107" s="7"/>
      <c r="D107" s="7"/>
      <c r="H107" s="15"/>
    </row>
    <row r="108" spans="1:8" ht="14" x14ac:dyDescent="0.3">
      <c r="A108" s="48"/>
      <c r="B108" s="49"/>
      <c r="C108" s="50"/>
      <c r="D108" s="50"/>
      <c r="E108" s="50"/>
      <c r="F108" s="50"/>
      <c r="G108" s="50"/>
      <c r="H108" s="51"/>
    </row>
    <row r="109" spans="1:8" x14ac:dyDescent="0.25">
      <c r="C109" s="52"/>
      <c r="D109" s="52"/>
      <c r="E109" s="52"/>
      <c r="F109" s="52"/>
      <c r="G109" s="52"/>
    </row>
    <row r="110" spans="1:8" x14ac:dyDescent="0.25">
      <c r="B110" s="43"/>
      <c r="C110" s="7"/>
      <c r="D110" s="7"/>
      <c r="H110" s="15"/>
    </row>
    <row r="111" spans="1:8" x14ac:dyDescent="0.25">
      <c r="C111" s="7"/>
      <c r="D111" s="7"/>
      <c r="H111" s="15"/>
    </row>
    <row r="112" spans="1:8" x14ac:dyDescent="0.25">
      <c r="C112" s="7"/>
      <c r="D112" s="53"/>
      <c r="F112" s="53"/>
    </row>
    <row r="113" spans="1:6" s="7" customFormat="1" x14ac:dyDescent="0.25">
      <c r="A113" s="3"/>
      <c r="B113" s="3"/>
      <c r="D113" s="53"/>
      <c r="F113" s="53"/>
    </row>
    <row r="114" spans="1:6" s="7" customFormat="1" x14ac:dyDescent="0.25">
      <c r="A114" s="3"/>
      <c r="B114" s="3"/>
      <c r="D114" s="53"/>
      <c r="F114" s="53"/>
    </row>
    <row r="115" spans="1:6" s="7" customFormat="1" x14ac:dyDescent="0.25">
      <c r="A115" s="3"/>
      <c r="B115" s="3"/>
      <c r="D115" s="53"/>
      <c r="F115" s="53"/>
    </row>
    <row r="116" spans="1:6" s="7" customFormat="1" x14ac:dyDescent="0.25">
      <c r="A116" s="3"/>
      <c r="B116" s="3"/>
      <c r="D116" s="53"/>
      <c r="F116" s="53"/>
    </row>
    <row r="117" spans="1:6" s="7" customFormat="1" x14ac:dyDescent="0.25">
      <c r="A117" s="3"/>
      <c r="B117" s="3"/>
      <c r="D117" s="53"/>
      <c r="F117" s="53"/>
    </row>
    <row r="118" spans="1:6" s="7" customFormat="1" x14ac:dyDescent="0.25">
      <c r="A118" s="3"/>
      <c r="B118" s="3"/>
      <c r="D118" s="53"/>
      <c r="F118" s="53"/>
    </row>
    <row r="119" spans="1:6" s="7" customFormat="1" ht="13" x14ac:dyDescent="0.3">
      <c r="A119" s="54"/>
      <c r="B119" s="3"/>
      <c r="D119" s="53"/>
      <c r="F119" s="53"/>
    </row>
    <row r="120" spans="1:6" s="7" customFormat="1" ht="13" x14ac:dyDescent="0.3">
      <c r="A120" s="54"/>
      <c r="B120" s="3"/>
      <c r="D120" s="53"/>
      <c r="F120" s="53"/>
    </row>
    <row r="121" spans="1:6" s="7" customFormat="1" x14ac:dyDescent="0.25">
      <c r="A121" s="3"/>
      <c r="B121" s="3"/>
      <c r="D121" s="53"/>
      <c r="F121" s="53"/>
    </row>
    <row r="122" spans="1:6" s="7" customFormat="1" ht="13" x14ac:dyDescent="0.3">
      <c r="A122" s="54"/>
      <c r="B122" s="3"/>
      <c r="D122" s="53"/>
      <c r="F122" s="53"/>
    </row>
    <row r="123" spans="1:6" s="7" customFormat="1" x14ac:dyDescent="0.25">
      <c r="A123" s="3"/>
      <c r="B123" s="43"/>
      <c r="D123" s="55"/>
      <c r="F123" s="53"/>
    </row>
    <row r="124" spans="1:6" s="7" customFormat="1" x14ac:dyDescent="0.25">
      <c r="A124" s="3"/>
      <c r="B124" s="43"/>
      <c r="D124" s="53"/>
      <c r="F124" s="53"/>
    </row>
    <row r="125" spans="1:6" s="7" customFormat="1" x14ac:dyDescent="0.25">
      <c r="A125" s="3"/>
      <c r="B125" s="43"/>
      <c r="D125" s="53"/>
      <c r="F125" s="53"/>
    </row>
    <row r="126" spans="1:6" s="7" customFormat="1" x14ac:dyDescent="0.25">
      <c r="A126" s="3"/>
      <c r="B126" s="43"/>
      <c r="D126" s="53"/>
      <c r="F126" s="53"/>
    </row>
    <row r="137" spans="1:6" s="7" customFormat="1" ht="13" x14ac:dyDescent="0.3">
      <c r="A137" s="3"/>
      <c r="B137" s="56"/>
      <c r="C137" s="57"/>
      <c r="D137" s="58"/>
      <c r="E137" s="59"/>
      <c r="F137" s="58"/>
    </row>
    <row r="138" spans="1:6" s="7" customFormat="1" ht="13" x14ac:dyDescent="0.3">
      <c r="A138" s="3"/>
      <c r="B138" s="56"/>
      <c r="C138" s="57"/>
      <c r="D138" s="58"/>
      <c r="E138" s="59"/>
      <c r="F138" s="58"/>
    </row>
    <row r="139" spans="1:6" s="7" customFormat="1" ht="13" x14ac:dyDescent="0.3">
      <c r="A139" s="3"/>
      <c r="B139" s="56"/>
      <c r="C139" s="57"/>
      <c r="D139" s="58"/>
      <c r="E139" s="59"/>
      <c r="F139" s="58"/>
    </row>
    <row r="140" spans="1:6" s="7" customFormat="1" ht="13" x14ac:dyDescent="0.3">
      <c r="A140" s="3"/>
      <c r="B140" s="56"/>
      <c r="C140" s="57"/>
      <c r="D140" s="58"/>
      <c r="E140" s="59"/>
      <c r="F140" s="58"/>
    </row>
    <row r="141" spans="1:6" s="7" customFormat="1" ht="13" x14ac:dyDescent="0.3">
      <c r="A141" s="3"/>
      <c r="B141" s="56"/>
      <c r="C141" s="57"/>
      <c r="D141" s="58"/>
      <c r="E141" s="59"/>
      <c r="F141" s="58"/>
    </row>
    <row r="142" spans="1:6" s="7" customFormat="1" ht="14" x14ac:dyDescent="0.3">
      <c r="A142" s="60"/>
      <c r="B142" s="61"/>
      <c r="C142" s="62"/>
      <c r="D142" s="63"/>
      <c r="E142" s="62"/>
      <c r="F142" s="61"/>
    </row>
    <row r="143" spans="1:6" s="7" customFormat="1" ht="13" x14ac:dyDescent="0.3">
      <c r="A143" s="64"/>
      <c r="B143" s="61"/>
      <c r="C143" s="62"/>
      <c r="D143" s="63"/>
      <c r="E143" s="62"/>
      <c r="F143" s="61"/>
    </row>
    <row r="144" spans="1:6" s="7" customFormat="1" x14ac:dyDescent="0.25">
      <c r="A144" s="3"/>
      <c r="B144" s="3"/>
      <c r="D144" s="53"/>
      <c r="F144" s="3"/>
    </row>
    <row r="145" spans="1:8" x14ac:dyDescent="0.25">
      <c r="C145" s="65"/>
      <c r="D145" s="66"/>
      <c r="E145" s="9"/>
      <c r="F145" s="65"/>
      <c r="G145" s="66"/>
      <c r="H145" s="66"/>
    </row>
    <row r="146" spans="1:8" x14ac:dyDescent="0.25">
      <c r="C146" s="67"/>
      <c r="D146" s="66"/>
      <c r="E146" s="9"/>
      <c r="F146" s="65"/>
      <c r="G146" s="66"/>
      <c r="H146" s="66"/>
    </row>
    <row r="147" spans="1:8" x14ac:dyDescent="0.25">
      <c r="D147" s="15"/>
      <c r="F147" s="3"/>
      <c r="G147" s="15"/>
      <c r="H147" s="15"/>
    </row>
    <row r="148" spans="1:8" ht="13" x14ac:dyDescent="0.3">
      <c r="A148" s="47"/>
      <c r="C148" s="7"/>
      <c r="D148" s="7"/>
      <c r="H148" s="15"/>
    </row>
    <row r="149" spans="1:8" ht="13" x14ac:dyDescent="0.3">
      <c r="A149" s="47"/>
      <c r="C149" s="7"/>
      <c r="D149" s="7"/>
      <c r="H149" s="15"/>
    </row>
    <row r="150" spans="1:8" ht="13" x14ac:dyDescent="0.3">
      <c r="A150" s="47"/>
      <c r="C150" s="7"/>
      <c r="D150" s="7"/>
      <c r="H150" s="15"/>
    </row>
    <row r="151" spans="1:8" ht="13" x14ac:dyDescent="0.3">
      <c r="A151" s="47"/>
      <c r="C151" s="7"/>
      <c r="D151" s="7"/>
      <c r="H151" s="15"/>
    </row>
    <row r="152" spans="1:8" ht="13" x14ac:dyDescent="0.3">
      <c r="A152" s="47"/>
      <c r="C152" s="7"/>
      <c r="D152" s="7"/>
      <c r="H152" s="15"/>
    </row>
    <row r="153" spans="1:8" x14ac:dyDescent="0.25">
      <c r="C153" s="7"/>
      <c r="D153" s="7"/>
      <c r="H153" s="7"/>
    </row>
    <row r="155" spans="1:8" ht="13" x14ac:dyDescent="0.3">
      <c r="A155" s="47"/>
      <c r="C155" s="7"/>
      <c r="D155" s="7"/>
      <c r="F155" s="3"/>
      <c r="G155" s="3"/>
    </row>
    <row r="156" spans="1:8" x14ac:dyDescent="0.25">
      <c r="C156" s="7"/>
      <c r="D156" s="7"/>
      <c r="H156" s="15"/>
    </row>
    <row r="157" spans="1:8" x14ac:dyDescent="0.25">
      <c r="C157" s="7"/>
      <c r="D157" s="7"/>
      <c r="H157" s="15"/>
    </row>
    <row r="158" spans="1:8" x14ac:dyDescent="0.25">
      <c r="C158" s="7"/>
      <c r="D158" s="7"/>
      <c r="H158" s="15"/>
    </row>
    <row r="159" spans="1:8" x14ac:dyDescent="0.25">
      <c r="C159" s="7"/>
      <c r="D159" s="7"/>
      <c r="H159" s="15"/>
    </row>
    <row r="160" spans="1:8" x14ac:dyDescent="0.25">
      <c r="C160" s="7"/>
      <c r="D160" s="7"/>
      <c r="H160" s="15"/>
    </row>
    <row r="161" spans="1:8" x14ac:dyDescent="0.25">
      <c r="C161" s="7"/>
      <c r="D161" s="7"/>
      <c r="H161" s="15"/>
    </row>
    <row r="162" spans="1:8" x14ac:dyDescent="0.25">
      <c r="C162" s="7"/>
      <c r="D162" s="7"/>
      <c r="H162" s="15"/>
    </row>
    <row r="163" spans="1:8" x14ac:dyDescent="0.25">
      <c r="C163" s="7"/>
      <c r="D163" s="7"/>
      <c r="H163" s="15"/>
    </row>
    <row r="164" spans="1:8" x14ac:dyDescent="0.25">
      <c r="C164" s="7"/>
      <c r="D164" s="7"/>
      <c r="H164" s="15"/>
    </row>
    <row r="165" spans="1:8" x14ac:dyDescent="0.25">
      <c r="C165" s="7"/>
      <c r="D165" s="7"/>
      <c r="H165" s="15"/>
    </row>
    <row r="166" spans="1:8" x14ac:dyDescent="0.25">
      <c r="C166" s="7"/>
      <c r="D166" s="7"/>
      <c r="H166" s="15"/>
    </row>
    <row r="167" spans="1:8" x14ac:dyDescent="0.25">
      <c r="C167" s="7"/>
      <c r="D167" s="7"/>
      <c r="H167" s="15"/>
    </row>
    <row r="168" spans="1:8" x14ac:dyDescent="0.25">
      <c r="C168" s="7"/>
      <c r="D168" s="7"/>
      <c r="H168" s="15"/>
    </row>
    <row r="169" spans="1:8" ht="13" x14ac:dyDescent="0.3">
      <c r="A169" s="47"/>
      <c r="C169" s="7"/>
      <c r="D169" s="7"/>
      <c r="H169" s="7"/>
    </row>
    <row r="170" spans="1:8" ht="13" x14ac:dyDescent="0.3">
      <c r="A170" s="54"/>
      <c r="C170" s="7"/>
      <c r="D170" s="53"/>
      <c r="F170" s="53"/>
    </row>
    <row r="171" spans="1:8" ht="13" x14ac:dyDescent="0.3">
      <c r="A171" s="54"/>
      <c r="C171" s="7"/>
      <c r="D171" s="7"/>
      <c r="H171" s="7"/>
    </row>
    <row r="172" spans="1:8" ht="13" x14ac:dyDescent="0.3">
      <c r="B172" s="56"/>
      <c r="C172" s="57"/>
      <c r="D172" s="58"/>
      <c r="E172" s="59"/>
      <c r="F172" s="58"/>
    </row>
    <row r="173" spans="1:8" x14ac:dyDescent="0.25">
      <c r="C173" s="7"/>
      <c r="D173" s="7"/>
      <c r="H173" s="15"/>
    </row>
    <row r="174" spans="1:8" x14ac:dyDescent="0.25">
      <c r="C174" s="7"/>
      <c r="D174" s="7"/>
      <c r="H174" s="15"/>
    </row>
    <row r="175" spans="1:8" x14ac:dyDescent="0.25">
      <c r="C175" s="7"/>
      <c r="D175" s="7"/>
      <c r="H175" s="15"/>
    </row>
    <row r="176" spans="1:8" x14ac:dyDescent="0.25">
      <c r="C176" s="7"/>
      <c r="D176" s="7"/>
      <c r="H176" s="15"/>
    </row>
    <row r="177" spans="2:8" ht="13" x14ac:dyDescent="0.3">
      <c r="C177" s="7"/>
      <c r="D177" s="7"/>
      <c r="F177" s="58"/>
      <c r="G177" s="58"/>
    </row>
    <row r="178" spans="2:8" x14ac:dyDescent="0.25">
      <c r="C178" s="7"/>
      <c r="D178" s="7"/>
      <c r="H178" s="15"/>
    </row>
    <row r="179" spans="2:8" ht="13" x14ac:dyDescent="0.3">
      <c r="B179" s="56"/>
      <c r="C179" s="57"/>
      <c r="D179" s="58"/>
      <c r="E179" s="59"/>
      <c r="F179" s="58"/>
    </row>
    <row r="180" spans="2:8" ht="13" x14ac:dyDescent="0.3">
      <c r="B180" s="56"/>
      <c r="C180" s="57"/>
      <c r="D180" s="58"/>
      <c r="E180" s="59"/>
      <c r="F180" s="58"/>
    </row>
    <row r="181" spans="2:8" ht="13" x14ac:dyDescent="0.3">
      <c r="B181" s="56"/>
      <c r="C181" s="57"/>
      <c r="D181" s="58"/>
      <c r="E181" s="59"/>
      <c r="F181" s="58"/>
    </row>
    <row r="182" spans="2:8" ht="13" x14ac:dyDescent="0.3">
      <c r="B182" s="56"/>
      <c r="C182" s="57"/>
      <c r="D182" s="58"/>
      <c r="E182" s="59"/>
      <c r="F182" s="58"/>
    </row>
    <row r="183" spans="2:8" ht="13" x14ac:dyDescent="0.3">
      <c r="B183" s="56"/>
      <c r="C183" s="57"/>
      <c r="D183" s="58"/>
      <c r="E183" s="59"/>
      <c r="F183" s="58"/>
    </row>
    <row r="184" spans="2:8" x14ac:dyDescent="0.25">
      <c r="C184" s="68"/>
      <c r="F184" s="53"/>
    </row>
    <row r="185" spans="2:8" x14ac:dyDescent="0.25">
      <c r="C185" s="7"/>
      <c r="D185" s="53"/>
      <c r="F185" s="53"/>
    </row>
    <row r="186" spans="2:8" x14ac:dyDescent="0.25">
      <c r="C186" s="7"/>
      <c r="D186" s="53"/>
      <c r="F186" s="53"/>
    </row>
    <row r="187" spans="2:8" x14ac:dyDescent="0.25">
      <c r="C187" s="7"/>
      <c r="D187" s="53"/>
      <c r="F187" s="53"/>
    </row>
    <row r="188" spans="2:8" x14ac:dyDescent="0.25">
      <c r="C188" s="7"/>
      <c r="D188" s="53"/>
      <c r="F188" s="53"/>
    </row>
    <row r="190" spans="2:8" x14ac:dyDescent="0.25">
      <c r="C190" s="44"/>
    </row>
    <row r="191" spans="2:8" x14ac:dyDescent="0.25">
      <c r="C191" s="44"/>
    </row>
    <row r="192" spans="2:8" x14ac:dyDescent="0.25">
      <c r="C192" s="44"/>
    </row>
    <row r="193" spans="2:3" x14ac:dyDescent="0.25">
      <c r="C193" s="44"/>
    </row>
    <row r="194" spans="2:3" x14ac:dyDescent="0.25">
      <c r="C194" s="44"/>
    </row>
    <row r="196" spans="2:3" x14ac:dyDescent="0.25">
      <c r="C196" s="44"/>
    </row>
    <row r="197" spans="2:3" x14ac:dyDescent="0.25">
      <c r="C197" s="44"/>
    </row>
    <row r="198" spans="2:3" x14ac:dyDescent="0.25">
      <c r="B198" s="69"/>
      <c r="C198" s="70"/>
    </row>
    <row r="201" spans="2:3" x14ac:dyDescent="0.25">
      <c r="B201" s="71"/>
      <c r="C201" s="7"/>
    </row>
    <row r="202" spans="2:3" x14ac:dyDescent="0.25">
      <c r="C202" s="7"/>
    </row>
    <row r="203" spans="2:3" x14ac:dyDescent="0.25">
      <c r="C203" s="7"/>
    </row>
    <row r="215" spans="2:6" s="7" customFormat="1" ht="13" x14ac:dyDescent="0.3">
      <c r="B215" s="56"/>
      <c r="D215" s="53"/>
      <c r="F215" s="53"/>
    </row>
    <row r="216" spans="2:6" s="7" customFormat="1" x14ac:dyDescent="0.25">
      <c r="B216" s="46"/>
      <c r="D216" s="53"/>
      <c r="F216" s="53"/>
    </row>
    <row r="217" spans="2:6" s="7" customFormat="1" x14ac:dyDescent="0.25">
      <c r="B217" s="46"/>
      <c r="D217" s="53"/>
      <c r="F217" s="53"/>
    </row>
    <row r="218" spans="2:6" s="7" customFormat="1" x14ac:dyDescent="0.25">
      <c r="B218" s="46"/>
      <c r="D218" s="53"/>
      <c r="F218" s="53"/>
    </row>
    <row r="219" spans="2:6" s="7" customFormat="1" x14ac:dyDescent="0.25">
      <c r="B219" s="46"/>
      <c r="D219" s="53"/>
      <c r="F219" s="53"/>
    </row>
    <row r="220" spans="2:6" s="7" customFormat="1" x14ac:dyDescent="0.25">
      <c r="B220" s="46"/>
      <c r="D220" s="53"/>
      <c r="F220" s="53"/>
    </row>
    <row r="221" spans="2:6" s="7" customFormat="1" x14ac:dyDescent="0.25">
      <c r="B221" s="46"/>
      <c r="D221" s="53"/>
      <c r="F221" s="53"/>
    </row>
    <row r="222" spans="2:6" s="7" customFormat="1" x14ac:dyDescent="0.25">
      <c r="B222" s="46"/>
      <c r="D222" s="53"/>
      <c r="F222" s="53"/>
    </row>
    <row r="223" spans="2:6" s="7" customFormat="1" x14ac:dyDescent="0.25">
      <c r="B223" s="46"/>
      <c r="D223" s="53"/>
      <c r="F223" s="53"/>
    </row>
    <row r="224" spans="2:6" s="7" customFormat="1" x14ac:dyDescent="0.25">
      <c r="B224" s="46"/>
      <c r="D224" s="53"/>
      <c r="F224" s="53"/>
    </row>
    <row r="225" spans="2:6" s="7" customFormat="1" x14ac:dyDescent="0.25">
      <c r="B225" s="46"/>
      <c r="D225" s="53"/>
      <c r="F225" s="53"/>
    </row>
    <row r="226" spans="2:6" s="7" customFormat="1" x14ac:dyDescent="0.25">
      <c r="B226" s="46"/>
      <c r="D226" s="53"/>
      <c r="F226" s="53"/>
    </row>
    <row r="227" spans="2:6" s="7" customFormat="1" x14ac:dyDescent="0.25">
      <c r="B227" s="46"/>
      <c r="D227" s="53"/>
      <c r="F227" s="53"/>
    </row>
    <row r="228" spans="2:6" s="7" customFormat="1" x14ac:dyDescent="0.25">
      <c r="B228" s="46"/>
      <c r="D228" s="53"/>
      <c r="F228" s="53"/>
    </row>
    <row r="229" spans="2:6" s="7" customFormat="1" x14ac:dyDescent="0.25">
      <c r="B229" s="46"/>
      <c r="D229" s="53"/>
      <c r="F229" s="53"/>
    </row>
    <row r="230" spans="2:6" s="7" customFormat="1" x14ac:dyDescent="0.25">
      <c r="B230" s="46"/>
      <c r="D230" s="53"/>
      <c r="F230" s="53"/>
    </row>
    <row r="231" spans="2:6" s="7" customFormat="1" x14ac:dyDescent="0.25">
      <c r="B231" s="46"/>
      <c r="D231" s="53"/>
      <c r="F231" s="53"/>
    </row>
    <row r="232" spans="2:6" s="7" customFormat="1" x14ac:dyDescent="0.25">
      <c r="B232" s="46"/>
      <c r="D232" s="53"/>
      <c r="F232" s="53"/>
    </row>
    <row r="233" spans="2:6" s="7" customFormat="1" x14ac:dyDescent="0.25">
      <c r="B233" s="46"/>
      <c r="D233" s="53"/>
      <c r="F233" s="53"/>
    </row>
    <row r="234" spans="2:6" s="7" customFormat="1" x14ac:dyDescent="0.25">
      <c r="B234" s="46"/>
      <c r="D234" s="53"/>
      <c r="F234" s="53"/>
    </row>
    <row r="235" spans="2:6" s="7" customFormat="1" x14ac:dyDescent="0.25">
      <c r="B235" s="46"/>
      <c r="D235" s="53"/>
      <c r="F235" s="53"/>
    </row>
    <row r="236" spans="2:6" s="7" customFormat="1" x14ac:dyDescent="0.25">
      <c r="B236" s="46"/>
      <c r="D236" s="53"/>
      <c r="F236" s="53"/>
    </row>
    <row r="237" spans="2:6" s="7" customFormat="1" x14ac:dyDescent="0.25">
      <c r="B237" s="46"/>
      <c r="D237" s="53"/>
      <c r="F237" s="53"/>
    </row>
    <row r="238" spans="2:6" s="7" customFormat="1" x14ac:dyDescent="0.25">
      <c r="B238" s="46"/>
      <c r="D238" s="53"/>
      <c r="F238" s="53"/>
    </row>
    <row r="239" spans="2:6" s="7" customFormat="1" x14ac:dyDescent="0.25">
      <c r="B239" s="46"/>
      <c r="D239" s="53"/>
      <c r="F239" s="53"/>
    </row>
    <row r="240" spans="2:6" s="7" customFormat="1" x14ac:dyDescent="0.25">
      <c r="B240" s="46"/>
      <c r="D240" s="53"/>
      <c r="F240" s="53"/>
    </row>
    <row r="241" spans="1:6" s="7" customFormat="1" x14ac:dyDescent="0.25">
      <c r="B241" s="46"/>
      <c r="D241" s="53"/>
      <c r="F241" s="53"/>
    </row>
    <row r="242" spans="1:6" s="7" customFormat="1" x14ac:dyDescent="0.25">
      <c r="B242" s="46"/>
      <c r="D242" s="53"/>
      <c r="F242" s="53"/>
    </row>
    <row r="243" spans="1:6" s="7" customFormat="1" x14ac:dyDescent="0.25">
      <c r="B243" s="46"/>
      <c r="D243" s="53"/>
      <c r="F243" s="53"/>
    </row>
    <row r="244" spans="1:6" s="7" customFormat="1" x14ac:dyDescent="0.25">
      <c r="B244" s="46"/>
      <c r="D244" s="53"/>
      <c r="F244" s="53"/>
    </row>
    <row r="245" spans="1:6" s="7" customFormat="1" x14ac:dyDescent="0.25">
      <c r="B245" s="46"/>
      <c r="D245" s="53"/>
      <c r="F245" s="53"/>
    </row>
    <row r="246" spans="1:6" s="7" customFormat="1" x14ac:dyDescent="0.25">
      <c r="B246" s="3"/>
      <c r="D246" s="53"/>
      <c r="F246" s="53"/>
    </row>
    <row r="247" spans="1:6" s="7" customFormat="1" ht="13" x14ac:dyDescent="0.3">
      <c r="B247" s="56"/>
      <c r="D247" s="53"/>
      <c r="F247" s="53"/>
    </row>
    <row r="248" spans="1:6" s="7" customFormat="1" x14ac:dyDescent="0.25">
      <c r="A248" s="3"/>
      <c r="B248" s="3"/>
      <c r="D248" s="3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P&amp;L</vt:lpstr>
      <vt:lpstr>T12</vt:lpstr>
      <vt:lpstr>Adjusted T12</vt:lpstr>
      <vt:lpstr>FORECAST</vt:lpstr>
      <vt:lpstr>Adjusted Forecast</vt:lpstr>
      <vt:lpstr>'Adjusted Forecast'!Print_Area</vt:lpstr>
      <vt:lpstr>'Adjusted T12'!Print_Area</vt:lpstr>
      <vt:lpstr>FORECAST!Print_Area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eshan m</cp:lastModifiedBy>
  <dcterms:created xsi:type="dcterms:W3CDTF">2025-04-16T21:01:45Z</dcterms:created>
  <dcterms:modified xsi:type="dcterms:W3CDTF">2025-12-04T20:48:27Z</dcterms:modified>
</cp:coreProperties>
</file>