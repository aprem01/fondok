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hpcp-my.sharepoint.com/personal/louis_petauton_khpcp_com1/Documents/Documents - KHP Capital Partners Team Site/The Angler's Hotel - Data Room/1 - Financials/"/>
    </mc:Choice>
  </mc:AlternateContent>
  <xr:revisionPtr revIDLastSave="3" documentId="8_{1C1151A7-D386-4D79-A32E-E107E1696819}" xr6:coauthVersionLast="47" xr6:coauthVersionMax="47" xr10:uidLastSave="{EC0EDF1E-0D21-4104-A8CB-AADC14911E51}"/>
  <bookViews>
    <workbookView xWindow="0" yWindow="80" windowWidth="19200" windowHeight="11200" xr2:uid="{E447DA81-D4E4-493A-BBB9-B89D359EA589}"/>
  </bookViews>
  <sheets>
    <sheet name="P&amp;L" sheetId="1" r:id="rId1"/>
  </sheets>
  <externalReferences>
    <externalReference r:id="rId2"/>
  </externalReferences>
  <definedNames>
    <definedName name="CY">#REF!</definedName>
    <definedName name="Month1">#REF!</definedName>
    <definedName name="_xlnm.Print_Area" localSheetId="0">'P&amp;L'!$A$1:$O$57</definedName>
    <definedName name="Room_Revenue_Factor">[1]Lists!$A$178:$A$198</definedName>
    <definedName name="RPTDATE">#REF!</definedName>
    <definedName name="RPTMONTH">#REF!</definedName>
    <definedName name="wrn.Financial._.Statements." hidden="1">{#N/A,#N/A,FALSE,"BS";#N/A,#N/A,FALSE,"IS";#N/A,#N/A,FALSE,"CF";#N/A,#N/A,FALSE,"EXP";#N/A,#N/A,FALSE,"FURN";#N/A,#N/A,FALSE,"MANNOI"}</definedName>
    <definedName name="ytdhEAD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9" i="1" l="1"/>
  <c r="O48" i="1"/>
  <c r="M49" i="1"/>
  <c r="E49" i="1"/>
  <c r="O47" i="1"/>
  <c r="O46" i="1"/>
  <c r="G49" i="1"/>
  <c r="O45" i="1"/>
  <c r="N49" i="1"/>
  <c r="L49" i="1"/>
  <c r="K49" i="1"/>
  <c r="I49" i="1"/>
  <c r="H49" i="1"/>
  <c r="F49" i="1"/>
  <c r="D49" i="1"/>
  <c r="O44" i="1"/>
  <c r="O41" i="1"/>
  <c r="G37" i="1"/>
  <c r="O36" i="1"/>
  <c r="J37" i="1"/>
  <c r="O35" i="1"/>
  <c r="M37" i="1"/>
  <c r="O34" i="1"/>
  <c r="E37" i="1"/>
  <c r="L37" i="1"/>
  <c r="D37" i="1"/>
  <c r="O33" i="1"/>
  <c r="N37" i="1"/>
  <c r="K37" i="1"/>
  <c r="I37" i="1"/>
  <c r="H37" i="1"/>
  <c r="F37" i="1"/>
  <c r="C37" i="1"/>
  <c r="K27" i="1"/>
  <c r="J27" i="1"/>
  <c r="C27" i="1"/>
  <c r="O26" i="1"/>
  <c r="M27" i="1"/>
  <c r="E27" i="1"/>
  <c r="O25" i="1"/>
  <c r="N27" i="1"/>
  <c r="L27" i="1"/>
  <c r="I27" i="1"/>
  <c r="H27" i="1"/>
  <c r="G27" i="1"/>
  <c r="F27" i="1"/>
  <c r="D27" i="1"/>
  <c r="N21" i="1"/>
  <c r="N53" i="1" s="1"/>
  <c r="G21" i="1"/>
  <c r="F21" i="1"/>
  <c r="F53" i="1" s="1"/>
  <c r="O20" i="1"/>
  <c r="I21" i="1"/>
  <c r="O19" i="1"/>
  <c r="D21" i="1"/>
  <c r="O18" i="1"/>
  <c r="M21" i="1"/>
  <c r="L21" i="1"/>
  <c r="K21" i="1"/>
  <c r="J21" i="1"/>
  <c r="H21" i="1"/>
  <c r="E21" i="1"/>
  <c r="C21" i="1"/>
  <c r="O10" i="1"/>
  <c r="O11" i="1" s="1"/>
  <c r="O9" i="1"/>
  <c r="C53" i="1" l="1"/>
  <c r="O21" i="1"/>
  <c r="C29" i="1"/>
  <c r="L53" i="1"/>
  <c r="L29" i="1"/>
  <c r="L39" i="1" s="1"/>
  <c r="L42" i="1" s="1"/>
  <c r="L51" i="1" s="1"/>
  <c r="L54" i="1" s="1"/>
  <c r="G29" i="1"/>
  <c r="G39" i="1" s="1"/>
  <c r="G42" i="1" s="1"/>
  <c r="G51" i="1" s="1"/>
  <c r="E29" i="1"/>
  <c r="E39" i="1" s="1"/>
  <c r="E42" i="1" s="1"/>
  <c r="E51" i="1" s="1"/>
  <c r="E53" i="1"/>
  <c r="M29" i="1"/>
  <c r="M39" i="1" s="1"/>
  <c r="M42" i="1" s="1"/>
  <c r="M51" i="1" s="1"/>
  <c r="M53" i="1"/>
  <c r="J53" i="1"/>
  <c r="J29" i="1"/>
  <c r="J39" i="1" s="1"/>
  <c r="J42" i="1" s="1"/>
  <c r="J51" i="1" s="1"/>
  <c r="K53" i="1"/>
  <c r="K29" i="1"/>
  <c r="K39" i="1" s="1"/>
  <c r="K42" i="1" s="1"/>
  <c r="K51" i="1" s="1"/>
  <c r="O27" i="1"/>
  <c r="O13" i="1"/>
  <c r="O37" i="1"/>
  <c r="O49" i="1"/>
  <c r="H29" i="1"/>
  <c r="H39" i="1" s="1"/>
  <c r="H42" i="1" s="1"/>
  <c r="H51" i="1" s="1"/>
  <c r="H54" i="1" s="1"/>
  <c r="H53" i="1"/>
  <c r="D53" i="1"/>
  <c r="D29" i="1"/>
  <c r="D39" i="1" s="1"/>
  <c r="D42" i="1" s="1"/>
  <c r="D51" i="1" s="1"/>
  <c r="D54" i="1" s="1"/>
  <c r="I29" i="1"/>
  <c r="I39" i="1" s="1"/>
  <c r="I42" i="1" s="1"/>
  <c r="I51" i="1" s="1"/>
  <c r="I53" i="1"/>
  <c r="F29" i="1"/>
  <c r="F39" i="1" s="1"/>
  <c r="F42" i="1" s="1"/>
  <c r="F51" i="1" s="1"/>
  <c r="F54" i="1" s="1"/>
  <c r="O17" i="1"/>
  <c r="O12" i="1" s="1"/>
  <c r="N29" i="1"/>
  <c r="N39" i="1" s="1"/>
  <c r="N42" i="1" s="1"/>
  <c r="N51" i="1" s="1"/>
  <c r="N54" i="1" s="1"/>
  <c r="C49" i="1"/>
  <c r="O24" i="1"/>
  <c r="O32" i="1"/>
  <c r="G53" i="1"/>
  <c r="I54" i="1" l="1"/>
  <c r="E54" i="1"/>
  <c r="K54" i="1"/>
  <c r="G54" i="1"/>
  <c r="J54" i="1"/>
  <c r="C39" i="1"/>
  <c r="O29" i="1"/>
  <c r="M54" i="1"/>
  <c r="O53" i="1"/>
  <c r="C42" i="1" l="1"/>
  <c r="O39" i="1"/>
  <c r="O42" i="1" l="1"/>
  <c r="C51" i="1"/>
  <c r="C54" i="1" l="1"/>
  <c r="O54" i="1" s="1"/>
  <c r="O51" i="1"/>
</calcChain>
</file>

<file path=xl/sharedStrings.xml><?xml version="1.0" encoding="utf-8"?>
<sst xmlns="http://schemas.openxmlformats.org/spreadsheetml/2006/main" count="63" uniqueCount="40">
  <si>
    <t>Angler's</t>
  </si>
  <si>
    <t xml:space="preserve">FORECASTED STATEMENT OF INCOME </t>
  </si>
  <si>
    <t>TOTAL</t>
  </si>
  <si>
    <t>Available Rooms</t>
  </si>
  <si>
    <t>Total Rooms Sold</t>
  </si>
  <si>
    <t>Occupancy</t>
  </si>
  <si>
    <t>Average Daily Rate</t>
  </si>
  <si>
    <t>Revenue per Available Room</t>
  </si>
  <si>
    <t/>
  </si>
  <si>
    <t>Revenues</t>
  </si>
  <si>
    <t xml:space="preserve">    Rooms</t>
  </si>
  <si>
    <t xml:space="preserve">    Food &amp; Beverage</t>
  </si>
  <si>
    <t xml:space="preserve">    Other Operated Departments</t>
  </si>
  <si>
    <t xml:space="preserve">    Miscellaneous Income</t>
  </si>
  <si>
    <t>Total Revenues</t>
  </si>
  <si>
    <t>Departmental Expense</t>
  </si>
  <si>
    <t>Total Departmental Expense</t>
  </si>
  <si>
    <t>Total Departmental Profit</t>
  </si>
  <si>
    <t>Undistributed Expenses</t>
  </si>
  <si>
    <t xml:space="preserve">    Administrative &amp; General</t>
  </si>
  <si>
    <t xml:space="preserve">    Information &amp; Telecom Systems</t>
  </si>
  <si>
    <t xml:space="preserve">    Sales &amp; Marketing</t>
  </si>
  <si>
    <t xml:space="preserve">    Property Operation &amp; Maintenan</t>
  </si>
  <si>
    <t xml:space="preserve">    Utilities</t>
  </si>
  <si>
    <t>Total Undistributed Expenses</t>
  </si>
  <si>
    <t>Gross Operating Profit</t>
  </si>
  <si>
    <t xml:space="preserve">    Management Fees</t>
  </si>
  <si>
    <t>Income before non-operating inc &amp; expense</t>
  </si>
  <si>
    <t xml:space="preserve">    Income (1)</t>
  </si>
  <si>
    <t xml:space="preserve">    Rent</t>
  </si>
  <si>
    <t xml:space="preserve">    Property &amp; Other Taxes</t>
  </si>
  <si>
    <t xml:space="preserve">    Insurance</t>
  </si>
  <si>
    <t xml:space="preserve">    Other</t>
  </si>
  <si>
    <t>Total non-operating income &amp; expenses</t>
  </si>
  <si>
    <t>EBITDA</t>
  </si>
  <si>
    <t xml:space="preserve">    FF&amp;E Proforma Calculation</t>
  </si>
  <si>
    <t>EBITDA: less Replacement Reserve</t>
  </si>
  <si>
    <t>(1) Includes recognition of forgiven PPP loan proceeds in Sep 2021</t>
  </si>
  <si>
    <t>FOR THE PERIOD ENDING DECEMBER 31, 2021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</si>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</sst>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mmm\ yyyy"/>
  </numFmts>
  <fonts count="17" x14ac:knownFonts="1">
    <font>
      <sz val="1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8"/>
      <color rgb="FF00AEC7"/>
      <name val="Verdana"/>
      <family val="2"/>
    </font>
    <font>
      <b/>
      <sz val="11"/>
      <name val="Arial"/>
      <family val="2"/>
    </font>
    <font>
      <b/>
      <sz val="14"/>
      <color rgb="FF6E6259"/>
      <name val="Verdana"/>
      <family val="2"/>
    </font>
    <font>
      <b/>
      <sz val="12"/>
      <color rgb="FF6E6259"/>
      <name val="Verdana"/>
      <family val="2"/>
    </font>
    <font>
      <sz val="10"/>
      <color theme="0"/>
      <name val="Arial"/>
      <family val="2"/>
    </font>
    <font>
      <b/>
      <sz val="11"/>
      <color rgb="FF5F554D"/>
      <name val="Calibri"/>
      <family val="2"/>
      <scheme val="minor"/>
    </font>
    <font>
      <sz val="11"/>
      <color rgb="FF5F554D"/>
      <name val="Calibri"/>
      <family val="2"/>
      <scheme val="minor"/>
    </font>
    <font>
      <sz val="11"/>
      <name val="Calibri"/>
      <family val="2"/>
      <scheme val="minor"/>
    </font>
    <font>
      <sz val="9"/>
      <name val="Arial"/>
      <family val="2"/>
    </font>
    <font>
      <b/>
      <sz val="11"/>
      <name val="Calibri"/>
      <family val="2"/>
      <scheme val="minor"/>
    </font>
    <font>
      <b/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AEC7"/>
        <bgColor indexed="64"/>
      </patternFill>
    </fill>
    <fill>
      <patternFill patternType="solid">
        <fgColor rgb="FFE1FBFF"/>
        <bgColor indexed="64"/>
      </patternFill>
    </fill>
    <fill>
      <patternFill patternType="solid">
        <fgColor theme="0" tint="-4.9958800012207406E-2"/>
        <bgColor indexed="64"/>
      </patternFill>
    </fill>
  </fills>
  <borders count="7">
    <border>
      <left/>
      <right/>
      <top/>
      <bottom/>
      <diagonal/>
    </border>
    <border>
      <left style="thin">
        <color theme="4" tint="0.59993285927915285"/>
      </left>
      <right/>
      <top/>
      <bottom/>
      <diagonal/>
    </border>
    <border>
      <left style="thin">
        <color theme="1"/>
      </left>
      <right/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 style="double">
        <color theme="1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72">
    <xf numFmtId="0" fontId="0" fillId="0" borderId="0" xfId="0"/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center" wrapText="1"/>
    </xf>
    <xf numFmtId="0" fontId="6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14" fontId="8" fillId="0" borderId="0" xfId="0" applyNumberFormat="1" applyFont="1"/>
    <xf numFmtId="0" fontId="1" fillId="3" borderId="1" xfId="0" applyFont="1" applyFill="1" applyBorder="1"/>
    <xf numFmtId="0" fontId="1" fillId="3" borderId="0" xfId="0" applyFont="1" applyFill="1"/>
    <xf numFmtId="165" fontId="9" fillId="4" borderId="0" xfId="0" applyNumberFormat="1" applyFont="1" applyFill="1" applyAlignment="1">
      <alignment horizontal="center"/>
    </xf>
    <xf numFmtId="0" fontId="9" fillId="4" borderId="2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39" fontId="0" fillId="0" borderId="0" xfId="0" applyNumberFormat="1"/>
    <xf numFmtId="43" fontId="0" fillId="0" borderId="0" xfId="0" applyNumberFormat="1"/>
    <xf numFmtId="0" fontId="0" fillId="0" borderId="2" xfId="0" applyBorder="1"/>
    <xf numFmtId="0" fontId="2" fillId="0" borderId="0" xfId="0" applyFont="1"/>
    <xf numFmtId="0" fontId="11" fillId="0" borderId="0" xfId="0" applyFont="1"/>
    <xf numFmtId="37" fontId="11" fillId="0" borderId="0" xfId="1" applyNumberFormat="1" applyFont="1" applyFill="1" applyBorder="1" applyAlignment="1">
      <alignment horizontal="right"/>
    </xf>
    <xf numFmtId="37" fontId="11" fillId="0" borderId="2" xfId="1" applyNumberFormat="1" applyFont="1" applyBorder="1" applyAlignment="1">
      <alignment horizontal="right"/>
    </xf>
    <xf numFmtId="0" fontId="12" fillId="0" borderId="0" xfId="0" applyFont="1"/>
    <xf numFmtId="164" fontId="11" fillId="0" borderId="0" xfId="2" applyNumberFormat="1" applyFont="1" applyFill="1" applyBorder="1" applyAlignment="1">
      <alignment horizontal="right"/>
    </xf>
    <xf numFmtId="164" fontId="11" fillId="0" borderId="2" xfId="2" applyNumberFormat="1" applyFont="1" applyBorder="1" applyAlignment="1">
      <alignment horizontal="right"/>
    </xf>
    <xf numFmtId="39" fontId="11" fillId="0" borderId="0" xfId="1" applyNumberFormat="1" applyFont="1" applyFill="1" applyBorder="1" applyAlignment="1">
      <alignment horizontal="right"/>
    </xf>
    <xf numFmtId="39" fontId="11" fillId="0" borderId="2" xfId="1" applyNumberFormat="1" applyFont="1" applyBorder="1" applyAlignment="1">
      <alignment horizontal="right"/>
    </xf>
    <xf numFmtId="43" fontId="11" fillId="0" borderId="0" xfId="1" applyFont="1" applyFill="1" applyBorder="1" applyAlignment="1">
      <alignment horizontal="right"/>
    </xf>
    <xf numFmtId="0" fontId="1" fillId="0" borderId="0" xfId="0" applyFont="1"/>
    <xf numFmtId="0" fontId="13" fillId="0" borderId="0" xfId="0" applyFont="1"/>
    <xf numFmtId="37" fontId="13" fillId="0" borderId="0" xfId="1" applyNumberFormat="1" applyFont="1" applyFill="1" applyBorder="1" applyAlignment="1">
      <alignment horizontal="right"/>
    </xf>
    <xf numFmtId="37" fontId="13" fillId="0" borderId="2" xfId="1" applyNumberFormat="1" applyFont="1" applyBorder="1" applyAlignment="1">
      <alignment horizontal="right"/>
    </xf>
    <xf numFmtId="0" fontId="14" fillId="0" borderId="0" xfId="0" applyFont="1"/>
    <xf numFmtId="37" fontId="13" fillId="0" borderId="3" xfId="1" applyNumberFormat="1" applyFont="1" applyFill="1" applyBorder="1" applyAlignment="1">
      <alignment horizontal="right"/>
    </xf>
    <xf numFmtId="37" fontId="13" fillId="0" borderId="4" xfId="1" applyNumberFormat="1" applyFont="1" applyBorder="1" applyAlignment="1">
      <alignment horizontal="right"/>
    </xf>
    <xf numFmtId="0" fontId="13" fillId="0" borderId="5" xfId="0" applyFont="1" applyBorder="1"/>
    <xf numFmtId="37" fontId="13" fillId="0" borderId="5" xfId="1" applyNumberFormat="1" applyFont="1" applyFill="1" applyBorder="1" applyAlignment="1">
      <alignment horizontal="right"/>
    </xf>
    <xf numFmtId="37" fontId="13" fillId="0" borderId="6" xfId="1" applyNumberFormat="1" applyFont="1" applyBorder="1" applyAlignment="1">
      <alignment horizontal="right"/>
    </xf>
    <xf numFmtId="37" fontId="11" fillId="0" borderId="0" xfId="1" applyNumberFormat="1" applyFont="1" applyBorder="1" applyAlignment="1">
      <alignment horizontal="right"/>
    </xf>
    <xf numFmtId="39" fontId="11" fillId="0" borderId="0" xfId="0" applyNumberFormat="1" applyFont="1"/>
    <xf numFmtId="43" fontId="11" fillId="0" borderId="0" xfId="0" applyNumberFormat="1" applyFont="1"/>
    <xf numFmtId="39" fontId="0" fillId="0" borderId="0" xfId="0" applyNumberFormat="1" applyAlignment="1">
      <alignment horizontal="right"/>
    </xf>
    <xf numFmtId="39" fontId="0" fillId="5" borderId="0" xfId="0" applyNumberFormat="1" applyFill="1" applyAlignment="1">
      <alignment horizontal="left"/>
    </xf>
    <xf numFmtId="37" fontId="11" fillId="5" borderId="0" xfId="1" applyNumberFormat="1" applyFont="1" applyFill="1" applyBorder="1" applyAlignment="1">
      <alignment horizontal="right"/>
    </xf>
    <xf numFmtId="37" fontId="0" fillId="5" borderId="0" xfId="0" applyNumberFormat="1" applyFill="1" applyAlignment="1">
      <alignment horizontal="right"/>
    </xf>
    <xf numFmtId="3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quotePrefix="1" applyAlignment="1">
      <alignment horizontal="left"/>
    </xf>
    <xf numFmtId="40" fontId="0" fillId="0" borderId="0" xfId="0" applyNumberFormat="1"/>
    <xf numFmtId="0" fontId="15" fillId="0" borderId="0" xfId="0" applyFont="1"/>
    <xf numFmtId="0" fontId="0" fillId="0" borderId="0" xfId="0" applyAlignment="1">
      <alignment horizontal="left"/>
    </xf>
    <xf numFmtId="0" fontId="16" fillId="0" borderId="0" xfId="0" quotePrefix="1" applyFont="1" applyAlignment="1">
      <alignment horizontal="left"/>
    </xf>
    <xf numFmtId="0" fontId="5" fillId="0" borderId="0" xfId="0" applyFont="1"/>
    <xf numFmtId="0" fontId="5" fillId="0" borderId="0" xfId="0" quotePrefix="1" applyFont="1" applyAlignment="1">
      <alignment horizontal="left"/>
    </xf>
    <xf numFmtId="39" fontId="5" fillId="0" borderId="0" xfId="0" applyNumberFormat="1" applyFont="1"/>
    <xf numFmtId="40" fontId="5" fillId="0" borderId="0" xfId="0" applyNumberFormat="1" applyFont="1"/>
    <xf numFmtId="39" fontId="0" fillId="0" borderId="0" xfId="0" quotePrefix="1" applyNumberFormat="1" applyAlignment="1">
      <alignment horizontal="left"/>
    </xf>
    <xf numFmtId="10" fontId="0" fillId="0" borderId="0" xfId="0" applyNumberFormat="1"/>
    <xf numFmtId="0" fontId="16" fillId="0" borderId="0" xfId="0" applyFont="1"/>
    <xf numFmtId="37" fontId="0" fillId="0" borderId="0" xfId="0" applyNumberFormat="1"/>
    <xf numFmtId="0" fontId="16" fillId="0" borderId="0" xfId="0" applyFont="1" applyAlignment="1">
      <alignment horizontal="left"/>
    </xf>
    <xf numFmtId="40" fontId="16" fillId="0" borderId="0" xfId="0" applyNumberFormat="1" applyFont="1"/>
    <xf numFmtId="10" fontId="16" fillId="0" borderId="0" xfId="0" applyNumberFormat="1" applyFont="1"/>
    <xf numFmtId="39" fontId="16" fillId="0" borderId="0" xfId="0" applyNumberFormat="1" applyFont="1"/>
    <xf numFmtId="0" fontId="5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39" fontId="0" fillId="0" borderId="0" xfId="0" applyNumberFormat="1" applyAlignment="1">
      <alignment horizontal="centerContinuous"/>
    </xf>
    <xf numFmtId="10" fontId="0" fillId="0" borderId="0" xfId="0" applyNumberFormat="1" applyAlignment="1">
      <alignment horizontal="centerContinuous"/>
    </xf>
    <xf numFmtId="0" fontId="16" fillId="0" borderId="0" xfId="0" applyFont="1" applyAlignment="1">
      <alignment horizontal="centerContinuous"/>
    </xf>
    <xf numFmtId="0" fontId="0" fillId="0" borderId="0" xfId="0" applyAlignment="1">
      <alignment horizontal="center"/>
    </xf>
    <xf numFmtId="43" fontId="0" fillId="0" borderId="0" xfId="0" applyNumberFormat="1" applyAlignment="1">
      <alignment horizontal="center"/>
    </xf>
    <xf numFmtId="39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4" fontId="0" fillId="0" borderId="0" xfId="0" applyNumberFormat="1"/>
    <xf numFmtId="0" fontId="0" fillId="0" borderId="0" xfId="0" quotePrefix="1"/>
    <xf numFmtId="2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6">
    <dxf>
      <numFmt numFmtId="164" formatCode="0.0%"/>
    </dxf>
    <dxf>
      <numFmt numFmtId="166" formatCode="0.00_);\(0.00\)"/>
    </dxf>
    <dxf>
      <border>
        <top style="thin">
          <color auto="1"/>
        </top>
      </border>
    </dxf>
    <dxf>
      <font>
        <b/>
        <i val="0"/>
      </font>
    </dxf>
    <dxf>
      <border>
        <bottom/>
      </border>
    </dxf>
    <dxf>
      <border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yun.lee/AppData/Local/Packages/Microsoft.Office.Desktop_8wekyb3d8bbwe/AC/INetCache/Content.Outlook/8YUWUIJY/Sedona%20Rouge%202020%20Budget%20v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Cover (Copy)"/>
      <sheetName val="Cover"/>
      <sheetName val="Full Budget"/>
      <sheetName val="Upload Data"/>
      <sheetName val="Budget Upload"/>
      <sheetName val="Labor Recap"/>
      <sheetName val="Rooms"/>
      <sheetName val="Rooms Comp Worksheet"/>
      <sheetName val="MSeg"/>
      <sheetName val="F&amp;B"/>
      <sheetName val="Gift"/>
      <sheetName val="SpaPool"/>
      <sheetName val="Spa Support"/>
      <sheetName val="Parking"/>
      <sheetName val="MinorOp"/>
      <sheetName val="MiscInc"/>
      <sheetName val="A&amp;G"/>
      <sheetName val="InfoTele"/>
      <sheetName val="SalesMktg"/>
      <sheetName val="PropOp"/>
      <sheetName val="Utility"/>
      <sheetName val="Lists"/>
      <sheetName val="Utility Worksheet"/>
      <sheetName val="NonOp"/>
      <sheetName val="Laundry"/>
      <sheetName val="StaffDin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>
        <row r="178">
          <cell r="A178" t="str">
            <v>Room Revenue Factor</v>
          </cell>
        </row>
        <row r="179">
          <cell r="A179" t="str">
            <v>$ per Month</v>
          </cell>
        </row>
        <row r="180">
          <cell r="A180" t="str">
            <v>$ per Week</v>
          </cell>
        </row>
        <row r="181">
          <cell r="A181" t="str">
            <v>$ per Day</v>
          </cell>
        </row>
        <row r="182">
          <cell r="A182" t="str">
            <v>$ per Occupied Room</v>
          </cell>
        </row>
        <row r="183">
          <cell r="A183" t="str">
            <v>$ per Available Room</v>
          </cell>
        </row>
        <row r="184">
          <cell r="A184" t="str">
            <v>$ per Group Room</v>
          </cell>
        </row>
        <row r="185">
          <cell r="A185" t="str">
            <v>$ per Group Corporate Room</v>
          </cell>
        </row>
        <row r="186">
          <cell r="A186" t="str">
            <v>$ per Group Association/Convention Room</v>
          </cell>
        </row>
        <row r="187">
          <cell r="A187" t="str">
            <v>$ per Group Government Room</v>
          </cell>
        </row>
        <row r="188">
          <cell r="A188" t="str">
            <v>$ per Group Tour/Wholesalers Room</v>
          </cell>
        </row>
        <row r="189">
          <cell r="A189" t="str">
            <v>$ per Group SMERF Room</v>
          </cell>
        </row>
        <row r="190">
          <cell r="A190" t="str">
            <v>$ per Group Other Room</v>
          </cell>
        </row>
        <row r="191">
          <cell r="A191" t="str">
            <v>$ per Transient Room</v>
          </cell>
        </row>
        <row r="192">
          <cell r="A192" t="str">
            <v>$ per Transient Retail Room</v>
          </cell>
        </row>
        <row r="193">
          <cell r="A193" t="str">
            <v>$ per Transient Discount Room</v>
          </cell>
        </row>
        <row r="194">
          <cell r="A194" t="str">
            <v>$ per Transient Negotiated Room</v>
          </cell>
        </row>
        <row r="195">
          <cell r="A195" t="str">
            <v>$ per Transient Qualified Room</v>
          </cell>
        </row>
        <row r="196">
          <cell r="A196" t="str">
            <v>$ per Transient Wholesale Room</v>
          </cell>
        </row>
        <row r="197">
          <cell r="A197" t="str">
            <v>$ per Transient Other Room</v>
          </cell>
        </row>
        <row r="198">
          <cell r="A198" t="str">
            <v>$ per Contract Room</v>
          </cell>
        </row>
      </sheetData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4044D-D278-4EE6-8CD0-2C60C78E39CA}">
  <sheetPr>
    <pageSetUpPr fitToPage="1"/>
  </sheetPr>
  <dimension ref="A1:T248"/>
  <sheetViews>
    <sheetView showGridLines="0" tabSelected="1" view="pageBreakPreview" zoomScale="70" zoomScaleNormal="85" zoomScaleSheetLayoutView="70" workbookViewId="0">
      <selection activeCell="J9" sqref="J9"/>
    </sheetView>
  </sheetViews>
  <sheetFormatPr defaultColWidth="8.7265625" defaultRowHeight="12.5" x14ac:dyDescent="0.25"/>
  <cols>
    <col min="1" max="1" width="2.7265625" customWidth="1"/>
    <col min="2" max="2" width="38.7265625" customWidth="1"/>
    <col min="3" max="4" width="14.7265625" customWidth="1"/>
    <col min="5" max="7" width="14.7265625" style="11" customWidth="1"/>
    <col min="8" max="14" width="14.7265625" customWidth="1"/>
    <col min="15" max="15" width="15.453125" customWidth="1"/>
    <col min="16" max="23" width="8.7265625" customWidth="1"/>
    <col min="25" max="25" width="9" bestFit="1" customWidth="1"/>
  </cols>
  <sheetData>
    <row r="1" spans="1:20" ht="23" x14ac:dyDescent="0.45">
      <c r="A1" s="1" t="s">
        <v>0</v>
      </c>
      <c r="B1" s="1"/>
      <c r="C1" s="1"/>
      <c r="D1" s="1"/>
      <c r="E1" s="1"/>
      <c r="F1" s="1"/>
      <c r="G1" s="1"/>
      <c r="H1" s="2"/>
    </row>
    <row r="2" spans="1:20" ht="15" customHeight="1" x14ac:dyDescent="0.35">
      <c r="A2" s="3" t="s">
        <v>1</v>
      </c>
      <c r="B2" s="3"/>
      <c r="C2" s="3"/>
      <c r="D2" s="3"/>
      <c r="E2" s="3"/>
      <c r="F2" s="3"/>
      <c r="G2" s="3"/>
      <c r="H2" s="2"/>
    </row>
    <row r="3" spans="1:20" ht="15" x14ac:dyDescent="0.3">
      <c r="A3" s="4" t="s">
        <v>38</v>
      </c>
      <c r="B3" s="4"/>
      <c r="C3" s="4"/>
      <c r="D3" s="4"/>
      <c r="E3" s="4"/>
      <c r="F3" s="4"/>
      <c r="G3" s="4"/>
      <c r="H3" s="2"/>
    </row>
    <row r="4" spans="1:20" ht="15" customHeight="1" x14ac:dyDescent="0.3">
      <c r="A4" s="5"/>
      <c r="B4" s="2"/>
      <c r="C4" s="2"/>
      <c r="D4" s="2"/>
      <c r="E4" s="2"/>
      <c r="F4" s="2"/>
      <c r="G4" s="2"/>
      <c r="H4" s="2"/>
    </row>
    <row r="5" spans="1:20" ht="14.5" x14ac:dyDescent="0.35">
      <c r="C5" s="6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 spans="1:20" ht="14.5" x14ac:dyDescent="0.35">
      <c r="C6" s="8">
        <v>44197</v>
      </c>
      <c r="D6" s="8">
        <v>44228</v>
      </c>
      <c r="E6" s="8">
        <v>44256</v>
      </c>
      <c r="F6" s="8">
        <v>44287</v>
      </c>
      <c r="G6" s="8">
        <v>44317</v>
      </c>
      <c r="H6" s="8">
        <v>44348</v>
      </c>
      <c r="I6" s="8">
        <v>44378</v>
      </c>
      <c r="J6" s="8">
        <v>44409</v>
      </c>
      <c r="K6" s="8">
        <v>44440</v>
      </c>
      <c r="L6" s="8">
        <v>44470</v>
      </c>
      <c r="M6" s="8">
        <v>44501</v>
      </c>
      <c r="N6" s="8">
        <v>44531</v>
      </c>
      <c r="O6" s="9" t="s">
        <v>2</v>
      </c>
    </row>
    <row r="7" spans="1:20" ht="14.5" x14ac:dyDescent="0.35">
      <c r="C7" s="10" t="s">
        <v>39</v>
      </c>
      <c r="D7" s="10" t="s">
        <v>39</v>
      </c>
      <c r="E7" s="10" t="s">
        <v>39</v>
      </c>
      <c r="F7" s="10" t="s">
        <v>39</v>
      </c>
      <c r="G7" s="10" t="s">
        <v>39</v>
      </c>
      <c r="H7" s="10" t="s">
        <v>39</v>
      </c>
      <c r="I7" s="10" t="s">
        <v>39</v>
      </c>
      <c r="J7" s="10" t="s">
        <v>39</v>
      </c>
      <c r="K7" s="10" t="s">
        <v>39</v>
      </c>
      <c r="L7" s="10" t="s">
        <v>39</v>
      </c>
      <c r="M7" s="10" t="s">
        <v>39</v>
      </c>
      <c r="N7" s="10" t="s">
        <v>39</v>
      </c>
      <c r="O7" s="9"/>
    </row>
    <row r="8" spans="1:20" ht="3" customHeight="1" x14ac:dyDescent="0.25">
      <c r="C8" s="11"/>
      <c r="D8" s="11"/>
      <c r="H8" s="12"/>
      <c r="O8" s="13"/>
    </row>
    <row r="9" spans="1:20" s="18" customFormat="1" ht="14.5" x14ac:dyDescent="0.35">
      <c r="A9" s="14"/>
      <c r="B9" s="15" t="s">
        <v>3</v>
      </c>
      <c r="C9" s="16">
        <v>4092</v>
      </c>
      <c r="D9" s="16">
        <v>3696</v>
      </c>
      <c r="E9" s="16">
        <v>4092</v>
      </c>
      <c r="F9" s="16">
        <v>3960</v>
      </c>
      <c r="G9" s="16">
        <v>4092</v>
      </c>
      <c r="H9" s="16">
        <v>3960</v>
      </c>
      <c r="I9" s="16">
        <v>4092</v>
      </c>
      <c r="J9" s="16">
        <v>4092</v>
      </c>
      <c r="K9" s="16">
        <v>3960</v>
      </c>
      <c r="L9" s="16">
        <v>4092</v>
      </c>
      <c r="M9" s="16">
        <v>3960</v>
      </c>
      <c r="N9" s="16">
        <v>4092</v>
      </c>
      <c r="O9" s="17">
        <f>SUM(C9:N9)</f>
        <v>48180</v>
      </c>
      <c r="P9"/>
      <c r="Q9"/>
      <c r="R9"/>
      <c r="S9"/>
      <c r="T9"/>
    </row>
    <row r="10" spans="1:20" s="18" customFormat="1" ht="14.5" x14ac:dyDescent="0.35">
      <c r="A10" s="14"/>
      <c r="B10" s="15" t="s">
        <v>4</v>
      </c>
      <c r="C10" s="16">
        <v>3493</v>
      </c>
      <c r="D10" s="16">
        <v>3373</v>
      </c>
      <c r="E10" s="16">
        <v>3665</v>
      </c>
      <c r="F10" s="16">
        <v>3573</v>
      </c>
      <c r="G10" s="16">
        <v>3767</v>
      </c>
      <c r="H10" s="16">
        <v>3625</v>
      </c>
      <c r="I10" s="16">
        <v>3558</v>
      </c>
      <c r="J10" s="16">
        <v>2598</v>
      </c>
      <c r="K10" s="16">
        <v>2342</v>
      </c>
      <c r="L10" s="16">
        <v>3002</v>
      </c>
      <c r="M10" s="16">
        <v>3341</v>
      </c>
      <c r="N10" s="16">
        <v>3831</v>
      </c>
      <c r="O10" s="17">
        <f t="shared" ref="O10" si="0">SUM(C10:N10)</f>
        <v>40168</v>
      </c>
      <c r="P10"/>
      <c r="Q10"/>
      <c r="R10"/>
      <c r="S10"/>
      <c r="T10"/>
    </row>
    <row r="11" spans="1:20" s="18" customFormat="1" ht="14.5" x14ac:dyDescent="0.35">
      <c r="A11" s="14"/>
      <c r="B11" s="15" t="s">
        <v>5</v>
      </c>
      <c r="C11" s="19">
        <v>0.85360000000000003</v>
      </c>
      <c r="D11" s="19">
        <v>0.91259999999999997</v>
      </c>
      <c r="E11" s="19">
        <v>0.89570000000000005</v>
      </c>
      <c r="F11" s="19">
        <v>0.90229999999999999</v>
      </c>
      <c r="G11" s="19">
        <v>0.92059999999999997</v>
      </c>
      <c r="H11" s="19">
        <v>0.91539999999999999</v>
      </c>
      <c r="I11" s="19">
        <v>0.86950000000000005</v>
      </c>
      <c r="J11" s="19">
        <v>0.63490000000000002</v>
      </c>
      <c r="K11" s="19">
        <v>0.59140000000000004</v>
      </c>
      <c r="L11" s="19">
        <v>0.73360000000000003</v>
      </c>
      <c r="M11" s="19">
        <v>0.84370000000000001</v>
      </c>
      <c r="N11" s="19">
        <v>0.93620000000000003</v>
      </c>
      <c r="O11" s="20">
        <f>O10/O9</f>
        <v>0.83370693233706927</v>
      </c>
      <c r="P11"/>
      <c r="Q11"/>
      <c r="R11"/>
      <c r="S11"/>
      <c r="T11"/>
    </row>
    <row r="12" spans="1:20" s="18" customFormat="1" ht="14.5" x14ac:dyDescent="0.35">
      <c r="A12" s="14"/>
      <c r="B12" s="15" t="s">
        <v>6</v>
      </c>
      <c r="C12" s="21">
        <v>167.68459999999999</v>
      </c>
      <c r="D12" s="21">
        <v>203.3466</v>
      </c>
      <c r="E12" s="21">
        <v>236.42150000000001</v>
      </c>
      <c r="F12" s="21">
        <v>240.30959999999999</v>
      </c>
      <c r="G12" s="21">
        <v>270.11880000000002</v>
      </c>
      <c r="H12" s="21">
        <v>230.059</v>
      </c>
      <c r="I12" s="21">
        <v>267.21800000000002</v>
      </c>
      <c r="J12" s="21">
        <v>206.73169999999999</v>
      </c>
      <c r="K12" s="21">
        <v>182.90090000000001</v>
      </c>
      <c r="L12" s="21">
        <v>185.16120000000001</v>
      </c>
      <c r="M12" s="21">
        <v>232.85910000000001</v>
      </c>
      <c r="N12" s="21">
        <v>336.98540000000003</v>
      </c>
      <c r="O12" s="22">
        <f>O17/O10</f>
        <v>233.74962880900219</v>
      </c>
      <c r="P12"/>
      <c r="Q12"/>
      <c r="R12"/>
      <c r="S12"/>
      <c r="T12"/>
    </row>
    <row r="13" spans="1:20" s="18" customFormat="1" ht="14.5" x14ac:dyDescent="0.35">
      <c r="A13" s="14"/>
      <c r="B13" s="15" t="s">
        <v>7</v>
      </c>
      <c r="C13" s="21">
        <v>143.13839999999999</v>
      </c>
      <c r="D13" s="21">
        <v>185.57579999999999</v>
      </c>
      <c r="E13" s="21">
        <v>211.7509</v>
      </c>
      <c r="F13" s="21">
        <v>216.82480000000001</v>
      </c>
      <c r="G13" s="21">
        <v>248.6651</v>
      </c>
      <c r="H13" s="21">
        <v>210.59690000000001</v>
      </c>
      <c r="I13" s="21">
        <v>232.34649999999999</v>
      </c>
      <c r="J13" s="21">
        <v>131.2534</v>
      </c>
      <c r="K13" s="21">
        <v>108.17019999999999</v>
      </c>
      <c r="L13" s="21">
        <v>135.83920000000001</v>
      </c>
      <c r="M13" s="21">
        <v>196.46019999999999</v>
      </c>
      <c r="N13" s="21">
        <v>315.49149999999997</v>
      </c>
      <c r="O13" s="22">
        <f>O11*O12</f>
        <v>194.87868596928183</v>
      </c>
    </row>
    <row r="14" spans="1:20" s="18" customFormat="1" ht="14.5" x14ac:dyDescent="0.35">
      <c r="A14" s="14"/>
      <c r="B14" s="15" t="s">
        <v>8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17"/>
    </row>
    <row r="15" spans="1:20" s="18" customFormat="1" ht="14.5" x14ac:dyDescent="0.35">
      <c r="A15" s="14"/>
      <c r="B15" s="15" t="s">
        <v>8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7"/>
    </row>
    <row r="16" spans="1:20" s="28" customFormat="1" ht="14.5" x14ac:dyDescent="0.35">
      <c r="A16" s="24"/>
      <c r="B16" s="25" t="s">
        <v>9</v>
      </c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7"/>
    </row>
    <row r="17" spans="1:15" s="18" customFormat="1" ht="14.5" x14ac:dyDescent="0.35">
      <c r="A17" s="14"/>
      <c r="B17" s="15" t="s">
        <v>10</v>
      </c>
      <c r="C17" s="16">
        <v>585722.42000000004</v>
      </c>
      <c r="D17" s="16">
        <v>685888.23</v>
      </c>
      <c r="E17" s="16">
        <v>866484.81</v>
      </c>
      <c r="F17" s="16">
        <v>858626.19</v>
      </c>
      <c r="G17" s="16">
        <v>1017537.54</v>
      </c>
      <c r="H17" s="16">
        <v>833963.74</v>
      </c>
      <c r="I17" s="16">
        <v>950761.77</v>
      </c>
      <c r="J17" s="16">
        <v>537089.01</v>
      </c>
      <c r="K17" s="16">
        <v>428353.93</v>
      </c>
      <c r="L17" s="16">
        <v>555853.94999999995</v>
      </c>
      <c r="M17" s="16">
        <v>777982.41</v>
      </c>
      <c r="N17" s="16">
        <v>1290991.0900000001</v>
      </c>
      <c r="O17" s="17">
        <f t="shared" ref="O17:O21" si="1">SUM(C17:N17)</f>
        <v>9389255.0899999999</v>
      </c>
    </row>
    <row r="18" spans="1:15" s="18" customFormat="1" ht="14.5" x14ac:dyDescent="0.35">
      <c r="A18" s="14"/>
      <c r="B18" s="15" t="s">
        <v>11</v>
      </c>
      <c r="C18" s="16">
        <v>65388.88</v>
      </c>
      <c r="D18" s="16">
        <v>114538.68</v>
      </c>
      <c r="E18" s="16">
        <v>142726.34</v>
      </c>
      <c r="F18" s="16">
        <v>157584.81</v>
      </c>
      <c r="G18" s="16">
        <v>143360.60999999999</v>
      </c>
      <c r="H18" s="16">
        <v>137761.79</v>
      </c>
      <c r="I18" s="16">
        <v>150256.85999999999</v>
      </c>
      <c r="J18" s="16">
        <v>99219.09</v>
      </c>
      <c r="K18" s="16">
        <v>89830.45</v>
      </c>
      <c r="L18" s="16">
        <v>118367.09</v>
      </c>
      <c r="M18" s="16">
        <v>151108.96</v>
      </c>
      <c r="N18" s="16">
        <v>213801.07</v>
      </c>
      <c r="O18" s="17">
        <f t="shared" si="1"/>
        <v>1583944.6300000001</v>
      </c>
    </row>
    <row r="19" spans="1:15" s="18" customFormat="1" ht="14.5" x14ac:dyDescent="0.35">
      <c r="A19" s="14"/>
      <c r="B19" s="15" t="s">
        <v>12</v>
      </c>
      <c r="C19" s="16">
        <v>824.59</v>
      </c>
      <c r="D19" s="16">
        <v>828.99</v>
      </c>
      <c r="E19" s="16">
        <v>672.8</v>
      </c>
      <c r="F19" s="16">
        <v>2811.43</v>
      </c>
      <c r="G19" s="16">
        <v>3214.58</v>
      </c>
      <c r="H19" s="16">
        <v>1023.07</v>
      </c>
      <c r="I19" s="16">
        <v>1081.2</v>
      </c>
      <c r="J19" s="16">
        <v>62.99</v>
      </c>
      <c r="K19" s="16">
        <v>2723.58</v>
      </c>
      <c r="L19" s="16">
        <v>1445.04</v>
      </c>
      <c r="M19" s="16">
        <v>1543.33</v>
      </c>
      <c r="N19" s="16">
        <v>3350.25</v>
      </c>
      <c r="O19" s="17">
        <f t="shared" si="1"/>
        <v>19581.849999999999</v>
      </c>
    </row>
    <row r="20" spans="1:15" s="18" customFormat="1" ht="14.5" x14ac:dyDescent="0.35">
      <c r="A20" s="14"/>
      <c r="B20" s="15" t="s">
        <v>13</v>
      </c>
      <c r="C20" s="16">
        <v>81866.39</v>
      </c>
      <c r="D20" s="16">
        <v>60952.85</v>
      </c>
      <c r="E20" s="16">
        <v>79928.55</v>
      </c>
      <c r="F20" s="16">
        <v>81448.06</v>
      </c>
      <c r="G20" s="16">
        <v>81946.17</v>
      </c>
      <c r="H20" s="16">
        <v>98820.11</v>
      </c>
      <c r="I20" s="16">
        <v>89975.18</v>
      </c>
      <c r="J20" s="16">
        <v>64785.19</v>
      </c>
      <c r="K20" s="16">
        <v>52459.39</v>
      </c>
      <c r="L20" s="16">
        <v>67359.87</v>
      </c>
      <c r="M20" s="16">
        <v>68052.58</v>
      </c>
      <c r="N20" s="16">
        <v>86148.51</v>
      </c>
      <c r="O20" s="17">
        <f t="shared" si="1"/>
        <v>913742.85</v>
      </c>
    </row>
    <row r="21" spans="1:15" s="28" customFormat="1" ht="14.5" x14ac:dyDescent="0.35">
      <c r="A21" s="24"/>
      <c r="B21" s="25" t="s">
        <v>14</v>
      </c>
      <c r="C21" s="29">
        <f>SUM(C17:C20)</f>
        <v>733802.28</v>
      </c>
      <c r="D21" s="29">
        <f t="shared" ref="D21:N21" si="2">SUM(D17:D20)</f>
        <v>862208.74999999988</v>
      </c>
      <c r="E21" s="29">
        <f t="shared" si="2"/>
        <v>1089812.5</v>
      </c>
      <c r="F21" s="29">
        <f t="shared" si="2"/>
        <v>1100470.49</v>
      </c>
      <c r="G21" s="29">
        <f t="shared" si="2"/>
        <v>1246058.8999999999</v>
      </c>
      <c r="H21" s="29">
        <f t="shared" si="2"/>
        <v>1071568.71</v>
      </c>
      <c r="I21" s="29">
        <f t="shared" si="2"/>
        <v>1192075.0099999998</v>
      </c>
      <c r="J21" s="29">
        <f t="shared" si="2"/>
        <v>701156.28</v>
      </c>
      <c r="K21" s="29">
        <f t="shared" si="2"/>
        <v>573367.35</v>
      </c>
      <c r="L21" s="29">
        <f t="shared" si="2"/>
        <v>743025.95</v>
      </c>
      <c r="M21" s="29">
        <f t="shared" si="2"/>
        <v>998687.27999999991</v>
      </c>
      <c r="N21" s="29">
        <f t="shared" si="2"/>
        <v>1594290.9200000002</v>
      </c>
      <c r="O21" s="30">
        <f t="shared" si="1"/>
        <v>11906524.419999998</v>
      </c>
    </row>
    <row r="22" spans="1:15" s="18" customFormat="1" ht="14.5" x14ac:dyDescent="0.35">
      <c r="A22" s="14"/>
      <c r="B22" s="15" t="s">
        <v>8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7"/>
    </row>
    <row r="23" spans="1:15" s="28" customFormat="1" ht="14.5" x14ac:dyDescent="0.35">
      <c r="A23" s="24"/>
      <c r="B23" s="25" t="s">
        <v>15</v>
      </c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7"/>
    </row>
    <row r="24" spans="1:15" s="18" customFormat="1" ht="14.5" x14ac:dyDescent="0.35">
      <c r="A24" s="14"/>
      <c r="B24" s="15" t="s">
        <v>10</v>
      </c>
      <c r="C24" s="16">
        <v>153856.82</v>
      </c>
      <c r="D24" s="16">
        <v>149676.49</v>
      </c>
      <c r="E24" s="16">
        <v>224862.81</v>
      </c>
      <c r="F24" s="16">
        <v>196765.79</v>
      </c>
      <c r="G24" s="16">
        <v>219565.3</v>
      </c>
      <c r="H24" s="16">
        <v>231516.48</v>
      </c>
      <c r="I24" s="16">
        <v>258313.69</v>
      </c>
      <c r="J24" s="16">
        <v>214232.45</v>
      </c>
      <c r="K24" s="16">
        <v>156923.23000000001</v>
      </c>
      <c r="L24" s="16">
        <v>192234.93</v>
      </c>
      <c r="M24" s="16">
        <v>229058.57</v>
      </c>
      <c r="N24" s="16">
        <v>262775.40000000002</v>
      </c>
      <c r="O24" s="17">
        <f t="shared" ref="O24:O27" si="3">SUM(C24:N24)</f>
        <v>2489781.9599999995</v>
      </c>
    </row>
    <row r="25" spans="1:15" s="18" customFormat="1" ht="14.5" x14ac:dyDescent="0.35">
      <c r="A25" s="14"/>
      <c r="B25" s="15" t="s">
        <v>11</v>
      </c>
      <c r="C25" s="16">
        <v>64002.59</v>
      </c>
      <c r="D25" s="16">
        <v>100903.9</v>
      </c>
      <c r="E25" s="16">
        <v>129400.29</v>
      </c>
      <c r="F25" s="16">
        <v>154606.35</v>
      </c>
      <c r="G25" s="16">
        <v>146091.95000000001</v>
      </c>
      <c r="H25" s="16">
        <v>126022.35</v>
      </c>
      <c r="I25" s="16">
        <v>152218.34</v>
      </c>
      <c r="J25" s="16">
        <v>131231.43</v>
      </c>
      <c r="K25" s="16">
        <v>130976.86</v>
      </c>
      <c r="L25" s="16">
        <v>145143.67000000001</v>
      </c>
      <c r="M25" s="16">
        <v>162877</v>
      </c>
      <c r="N25" s="16">
        <v>193691.11</v>
      </c>
      <c r="O25" s="17">
        <f t="shared" si="3"/>
        <v>1637165.8399999999</v>
      </c>
    </row>
    <row r="26" spans="1:15" s="18" customFormat="1" ht="14.5" x14ac:dyDescent="0.35">
      <c r="A26" s="14"/>
      <c r="B26" s="15" t="s">
        <v>12</v>
      </c>
      <c r="C26" s="16">
        <v>451.57</v>
      </c>
      <c r="D26" s="16">
        <v>474.45</v>
      </c>
      <c r="E26" s="16">
        <v>173.26</v>
      </c>
      <c r="F26" s="16">
        <v>1264.83</v>
      </c>
      <c r="G26" s="16">
        <v>1699.08</v>
      </c>
      <c r="H26" s="16">
        <v>439.54</v>
      </c>
      <c r="I26" s="16">
        <v>634.97</v>
      </c>
      <c r="J26" s="16">
        <v>134.88999999999999</v>
      </c>
      <c r="K26" s="16">
        <v>1021.36</v>
      </c>
      <c r="L26" s="16">
        <v>200.75</v>
      </c>
      <c r="M26" s="16">
        <v>542.35</v>
      </c>
      <c r="N26" s="16">
        <v>2048</v>
      </c>
      <c r="O26" s="17">
        <f t="shared" si="3"/>
        <v>9085.0499999999993</v>
      </c>
    </row>
    <row r="27" spans="1:15" s="28" customFormat="1" ht="14.5" x14ac:dyDescent="0.35">
      <c r="A27" s="24"/>
      <c r="B27" s="25" t="s">
        <v>16</v>
      </c>
      <c r="C27" s="29">
        <f>SUM(C24:C26)</f>
        <v>218310.98</v>
      </c>
      <c r="D27" s="29">
        <f t="shared" ref="D27:N27" si="4">SUM(D24:D26)</f>
        <v>251054.84</v>
      </c>
      <c r="E27" s="29">
        <f t="shared" si="4"/>
        <v>354436.36</v>
      </c>
      <c r="F27" s="29">
        <f t="shared" si="4"/>
        <v>352636.97000000003</v>
      </c>
      <c r="G27" s="29">
        <f t="shared" si="4"/>
        <v>367356.33</v>
      </c>
      <c r="H27" s="29">
        <f t="shared" si="4"/>
        <v>357978.37</v>
      </c>
      <c r="I27" s="29">
        <f t="shared" si="4"/>
        <v>411167</v>
      </c>
      <c r="J27" s="29">
        <f t="shared" si="4"/>
        <v>345598.77</v>
      </c>
      <c r="K27" s="29">
        <f t="shared" si="4"/>
        <v>288921.45</v>
      </c>
      <c r="L27" s="29">
        <f t="shared" si="4"/>
        <v>337579.35</v>
      </c>
      <c r="M27" s="29">
        <f t="shared" si="4"/>
        <v>392477.92</v>
      </c>
      <c r="N27" s="29">
        <f t="shared" si="4"/>
        <v>458514.51</v>
      </c>
      <c r="O27" s="30">
        <f t="shared" si="3"/>
        <v>4136032.8500000006</v>
      </c>
    </row>
    <row r="28" spans="1:15" s="18" customFormat="1" ht="14.5" x14ac:dyDescent="0.35">
      <c r="A28" s="14"/>
      <c r="B28" s="15" t="s">
        <v>8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</row>
    <row r="29" spans="1:15" s="28" customFormat="1" ht="14.5" x14ac:dyDescent="0.35">
      <c r="A29" s="24"/>
      <c r="B29" s="25" t="s">
        <v>17</v>
      </c>
      <c r="C29" s="26">
        <f>C21-C27</f>
        <v>515491.30000000005</v>
      </c>
      <c r="D29" s="26">
        <f t="shared" ref="D29:N29" si="5">D21-D27</f>
        <v>611153.90999999992</v>
      </c>
      <c r="E29" s="26">
        <f t="shared" si="5"/>
        <v>735376.14</v>
      </c>
      <c r="F29" s="26">
        <f t="shared" si="5"/>
        <v>747833.52</v>
      </c>
      <c r="G29" s="26">
        <f t="shared" si="5"/>
        <v>878702.56999999983</v>
      </c>
      <c r="H29" s="26">
        <f t="shared" si="5"/>
        <v>713590.34</v>
      </c>
      <c r="I29" s="26">
        <f t="shared" si="5"/>
        <v>780908.00999999978</v>
      </c>
      <c r="J29" s="26">
        <f t="shared" si="5"/>
        <v>355557.51</v>
      </c>
      <c r="K29" s="26">
        <f t="shared" si="5"/>
        <v>284445.89999999997</v>
      </c>
      <c r="L29" s="26">
        <f t="shared" si="5"/>
        <v>405446.6</v>
      </c>
      <c r="M29" s="26">
        <f t="shared" si="5"/>
        <v>606209.35999999987</v>
      </c>
      <c r="N29" s="26">
        <f t="shared" si="5"/>
        <v>1135776.4100000001</v>
      </c>
      <c r="O29" s="27">
        <f>SUM(C29:N29)</f>
        <v>7770491.5700000003</v>
      </c>
    </row>
    <row r="30" spans="1:15" s="18" customFormat="1" ht="14.5" x14ac:dyDescent="0.35">
      <c r="A30" s="14"/>
      <c r="B30" s="15" t="s">
        <v>8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7"/>
    </row>
    <row r="31" spans="1:15" s="28" customFormat="1" ht="14.5" x14ac:dyDescent="0.35">
      <c r="A31" s="24"/>
      <c r="B31" s="25" t="s">
        <v>18</v>
      </c>
      <c r="C31" s="26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7"/>
    </row>
    <row r="32" spans="1:15" s="18" customFormat="1" ht="14.5" x14ac:dyDescent="0.35">
      <c r="A32" s="14"/>
      <c r="B32" s="15" t="s">
        <v>19</v>
      </c>
      <c r="C32" s="16">
        <v>69728.78</v>
      </c>
      <c r="D32" s="16">
        <v>79328.509999999995</v>
      </c>
      <c r="E32" s="16">
        <v>88565.5</v>
      </c>
      <c r="F32" s="16">
        <v>92213.85</v>
      </c>
      <c r="G32" s="16">
        <v>92690.69</v>
      </c>
      <c r="H32" s="16">
        <v>90646.9</v>
      </c>
      <c r="I32" s="16">
        <v>95015.66</v>
      </c>
      <c r="J32" s="16">
        <v>80199.19</v>
      </c>
      <c r="K32" s="16">
        <v>68590.55</v>
      </c>
      <c r="L32" s="16">
        <v>108952.84</v>
      </c>
      <c r="M32" s="16">
        <v>99534.86</v>
      </c>
      <c r="N32" s="16">
        <v>120249.03</v>
      </c>
      <c r="O32" s="17">
        <f>SUM(C32:N32)</f>
        <v>1085716.3600000001</v>
      </c>
    </row>
    <row r="33" spans="1:15" s="18" customFormat="1" ht="14.5" x14ac:dyDescent="0.35">
      <c r="A33" s="14"/>
      <c r="B33" s="15" t="s">
        <v>20</v>
      </c>
      <c r="C33" s="16">
        <v>26760.67</v>
      </c>
      <c r="D33" s="16">
        <v>16914.04</v>
      </c>
      <c r="E33" s="16">
        <v>18903.21</v>
      </c>
      <c r="F33" s="16">
        <v>4661.1400000000003</v>
      </c>
      <c r="G33" s="16">
        <v>15661.61</v>
      </c>
      <c r="H33" s="16">
        <v>15895.3</v>
      </c>
      <c r="I33" s="16">
        <v>14704.58</v>
      </c>
      <c r="J33" s="16">
        <v>12850.48</v>
      </c>
      <c r="K33" s="16">
        <v>9838.23</v>
      </c>
      <c r="L33" s="16">
        <v>11750</v>
      </c>
      <c r="M33" s="16">
        <v>17450.560000000001</v>
      </c>
      <c r="N33" s="16">
        <v>16717.22</v>
      </c>
      <c r="O33" s="17">
        <f t="shared" ref="O33:O36" si="6">SUM(C33:N33)</f>
        <v>182107.04</v>
      </c>
    </row>
    <row r="34" spans="1:15" s="18" customFormat="1" ht="14.5" x14ac:dyDescent="0.35">
      <c r="A34" s="14"/>
      <c r="B34" s="15" t="s">
        <v>21</v>
      </c>
      <c r="C34" s="16">
        <v>49707.3</v>
      </c>
      <c r="D34" s="16">
        <v>57797.13</v>
      </c>
      <c r="E34" s="16">
        <v>70843.45</v>
      </c>
      <c r="F34" s="16">
        <v>67854.66</v>
      </c>
      <c r="G34" s="16">
        <v>75548.259999999995</v>
      </c>
      <c r="H34" s="16">
        <v>84969.82</v>
      </c>
      <c r="I34" s="16">
        <v>74344.84</v>
      </c>
      <c r="J34" s="16">
        <v>48816.32</v>
      </c>
      <c r="K34" s="16">
        <v>60365.4</v>
      </c>
      <c r="L34" s="16">
        <v>67411.94</v>
      </c>
      <c r="M34" s="16">
        <v>59512.06</v>
      </c>
      <c r="N34" s="16">
        <v>102415.1</v>
      </c>
      <c r="O34" s="17">
        <f t="shared" si="6"/>
        <v>819586.27999999991</v>
      </c>
    </row>
    <row r="35" spans="1:15" s="18" customFormat="1" ht="14.5" x14ac:dyDescent="0.35">
      <c r="A35" s="14"/>
      <c r="B35" s="15" t="s">
        <v>22</v>
      </c>
      <c r="C35" s="16">
        <v>40703.46</v>
      </c>
      <c r="D35" s="16">
        <v>51963.32</v>
      </c>
      <c r="E35" s="16">
        <v>56699.88</v>
      </c>
      <c r="F35" s="16">
        <v>37249.93</v>
      </c>
      <c r="G35" s="16">
        <v>55603.360000000001</v>
      </c>
      <c r="H35" s="16">
        <v>51726.46</v>
      </c>
      <c r="I35" s="16">
        <v>62997.4</v>
      </c>
      <c r="J35" s="16">
        <v>53035.16</v>
      </c>
      <c r="K35" s="16">
        <v>48237.14</v>
      </c>
      <c r="L35" s="16">
        <v>58297.2</v>
      </c>
      <c r="M35" s="16">
        <v>64934.89</v>
      </c>
      <c r="N35" s="16">
        <v>60702.559999999998</v>
      </c>
      <c r="O35" s="17">
        <f t="shared" si="6"/>
        <v>642150.76</v>
      </c>
    </row>
    <row r="36" spans="1:15" s="18" customFormat="1" ht="14.5" x14ac:dyDescent="0.35">
      <c r="A36" s="14"/>
      <c r="B36" s="15" t="s">
        <v>23</v>
      </c>
      <c r="C36" s="16">
        <v>13030.76</v>
      </c>
      <c r="D36" s="16">
        <v>10563.41</v>
      </c>
      <c r="E36" s="16">
        <v>17716.5</v>
      </c>
      <c r="F36" s="16">
        <v>14766.79</v>
      </c>
      <c r="G36" s="16">
        <v>18282.87</v>
      </c>
      <c r="H36" s="16">
        <v>15608.78</v>
      </c>
      <c r="I36" s="16">
        <v>17989.27</v>
      </c>
      <c r="J36" s="16">
        <v>17816.02</v>
      </c>
      <c r="K36" s="16">
        <v>16458.96</v>
      </c>
      <c r="L36" s="16">
        <v>14728.34</v>
      </c>
      <c r="M36" s="16">
        <v>13371.37</v>
      </c>
      <c r="N36" s="16">
        <v>19492.28</v>
      </c>
      <c r="O36" s="17">
        <f t="shared" si="6"/>
        <v>189825.35</v>
      </c>
    </row>
    <row r="37" spans="1:15" s="28" customFormat="1" ht="14.5" x14ac:dyDescent="0.35">
      <c r="A37" s="24"/>
      <c r="B37" s="25" t="s">
        <v>24</v>
      </c>
      <c r="C37" s="29">
        <f>SUM(C32:C36)</f>
        <v>199930.97</v>
      </c>
      <c r="D37" s="29">
        <f t="shared" ref="D37:N37" si="7">SUM(D32:D36)</f>
        <v>216566.41</v>
      </c>
      <c r="E37" s="29">
        <f t="shared" si="7"/>
        <v>252728.53999999998</v>
      </c>
      <c r="F37" s="29">
        <f t="shared" si="7"/>
        <v>216746.37000000002</v>
      </c>
      <c r="G37" s="29">
        <f t="shared" si="7"/>
        <v>257786.78999999998</v>
      </c>
      <c r="H37" s="29">
        <f t="shared" si="7"/>
        <v>258847.26</v>
      </c>
      <c r="I37" s="29">
        <f t="shared" si="7"/>
        <v>265051.75</v>
      </c>
      <c r="J37" s="29">
        <f t="shared" si="7"/>
        <v>212717.16999999998</v>
      </c>
      <c r="K37" s="29">
        <f t="shared" si="7"/>
        <v>203490.28</v>
      </c>
      <c r="L37" s="29">
        <f t="shared" si="7"/>
        <v>261140.31999999998</v>
      </c>
      <c r="M37" s="29">
        <f t="shared" si="7"/>
        <v>254803.74</v>
      </c>
      <c r="N37" s="29">
        <f t="shared" si="7"/>
        <v>319576.19000000006</v>
      </c>
      <c r="O37" s="30">
        <f>SUM(C37:N37)</f>
        <v>2919385.7899999996</v>
      </c>
    </row>
    <row r="38" spans="1:15" s="18" customFormat="1" ht="14.5" x14ac:dyDescent="0.35">
      <c r="A38" s="14"/>
      <c r="B38" s="15" t="s">
        <v>8</v>
      </c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7"/>
    </row>
    <row r="39" spans="1:15" s="28" customFormat="1" ht="14.5" x14ac:dyDescent="0.35">
      <c r="A39" s="24"/>
      <c r="B39" s="25" t="s">
        <v>25</v>
      </c>
      <c r="C39" s="26">
        <f>C29-C37</f>
        <v>315560.33000000007</v>
      </c>
      <c r="D39" s="26">
        <f t="shared" ref="D39:N39" si="8">D29-D37</f>
        <v>394587.49999999988</v>
      </c>
      <c r="E39" s="26">
        <f t="shared" si="8"/>
        <v>482647.60000000003</v>
      </c>
      <c r="F39" s="26">
        <f t="shared" si="8"/>
        <v>531087.15</v>
      </c>
      <c r="G39" s="26">
        <f t="shared" si="8"/>
        <v>620915.7799999998</v>
      </c>
      <c r="H39" s="26">
        <f t="shared" si="8"/>
        <v>454743.07999999996</v>
      </c>
      <c r="I39" s="26">
        <f t="shared" si="8"/>
        <v>515856.25999999978</v>
      </c>
      <c r="J39" s="26">
        <f t="shared" si="8"/>
        <v>142840.34000000003</v>
      </c>
      <c r="K39" s="26">
        <f t="shared" si="8"/>
        <v>80955.619999999966</v>
      </c>
      <c r="L39" s="26">
        <f t="shared" si="8"/>
        <v>144306.28</v>
      </c>
      <c r="M39" s="26">
        <f t="shared" si="8"/>
        <v>351405.61999999988</v>
      </c>
      <c r="N39" s="26">
        <f t="shared" si="8"/>
        <v>816200.22000000009</v>
      </c>
      <c r="O39" s="27">
        <f>SUM(C39:N39)</f>
        <v>4851105.7799999993</v>
      </c>
    </row>
    <row r="40" spans="1:15" s="18" customFormat="1" ht="14.5" x14ac:dyDescent="0.35">
      <c r="A40" s="14"/>
      <c r="B40" s="15" t="s">
        <v>8</v>
      </c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7"/>
    </row>
    <row r="41" spans="1:15" s="18" customFormat="1" ht="14.5" x14ac:dyDescent="0.35">
      <c r="A41" s="14"/>
      <c r="B41" s="15" t="s">
        <v>26</v>
      </c>
      <c r="C41" s="16">
        <v>23392.05</v>
      </c>
      <c r="D41" s="16">
        <v>27392.42</v>
      </c>
      <c r="E41" s="16">
        <v>35007.519999999997</v>
      </c>
      <c r="F41" s="16">
        <v>34620.400000000001</v>
      </c>
      <c r="G41" s="16">
        <v>39547.480000000003</v>
      </c>
      <c r="H41" s="16">
        <v>33491.18</v>
      </c>
      <c r="I41" s="16">
        <v>38537.96</v>
      </c>
      <c r="J41" s="16">
        <v>24552.51</v>
      </c>
      <c r="K41" s="16">
        <v>18231.64</v>
      </c>
      <c r="L41" s="16">
        <v>23723.67</v>
      </c>
      <c r="M41" s="16">
        <v>29131.19</v>
      </c>
      <c r="N41" s="16">
        <v>42480.82</v>
      </c>
      <c r="O41" s="17">
        <f t="shared" ref="O41:O42" si="9">SUM(C41:N41)</f>
        <v>370108.83999999997</v>
      </c>
    </row>
    <row r="42" spans="1:15" s="28" customFormat="1" ht="14.5" x14ac:dyDescent="0.35">
      <c r="A42" s="24"/>
      <c r="B42" s="25" t="s">
        <v>27</v>
      </c>
      <c r="C42" s="29">
        <f>C39-C41</f>
        <v>292168.28000000009</v>
      </c>
      <c r="D42" s="29">
        <f t="shared" ref="D42:N42" si="10">D39-D41</f>
        <v>367195.0799999999</v>
      </c>
      <c r="E42" s="29">
        <f t="shared" si="10"/>
        <v>447640.08</v>
      </c>
      <c r="F42" s="29">
        <f t="shared" si="10"/>
        <v>496466.75</v>
      </c>
      <c r="G42" s="29">
        <f t="shared" si="10"/>
        <v>581368.29999999981</v>
      </c>
      <c r="H42" s="29">
        <f t="shared" si="10"/>
        <v>421251.89999999997</v>
      </c>
      <c r="I42" s="29">
        <f t="shared" si="10"/>
        <v>477318.29999999976</v>
      </c>
      <c r="J42" s="29">
        <f t="shared" si="10"/>
        <v>118287.83000000003</v>
      </c>
      <c r="K42" s="29">
        <f t="shared" si="10"/>
        <v>62723.979999999967</v>
      </c>
      <c r="L42" s="29">
        <f t="shared" si="10"/>
        <v>120582.61</v>
      </c>
      <c r="M42" s="29">
        <f t="shared" si="10"/>
        <v>322274.42999999988</v>
      </c>
      <c r="N42" s="29">
        <f t="shared" si="10"/>
        <v>773719.40000000014</v>
      </c>
      <c r="O42" s="30">
        <f t="shared" si="9"/>
        <v>4480996.9399999995</v>
      </c>
    </row>
    <row r="43" spans="1:15" s="18" customFormat="1" ht="14.5" x14ac:dyDescent="0.35">
      <c r="A43" s="14"/>
      <c r="B43" s="15" t="s">
        <v>8</v>
      </c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7"/>
    </row>
    <row r="44" spans="1:15" s="18" customFormat="1" ht="14.5" x14ac:dyDescent="0.35">
      <c r="A44" s="14"/>
      <c r="B44" s="15" t="s">
        <v>28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-734358.95</v>
      </c>
      <c r="L44" s="16">
        <v>0</v>
      </c>
      <c r="M44" s="16">
        <v>0</v>
      </c>
      <c r="N44" s="16">
        <v>0</v>
      </c>
      <c r="O44" s="17">
        <f t="shared" ref="O44:O48" si="11">SUM(C44:N44)</f>
        <v>-734358.95</v>
      </c>
    </row>
    <row r="45" spans="1:15" s="18" customFormat="1" ht="14.5" x14ac:dyDescent="0.35">
      <c r="A45" s="14"/>
      <c r="B45" s="15" t="s">
        <v>29</v>
      </c>
      <c r="C45" s="16">
        <v>2028.88</v>
      </c>
      <c r="D45" s="16">
        <v>564.04</v>
      </c>
      <c r="E45" s="16">
        <v>1305.9100000000001</v>
      </c>
      <c r="F45" s="16">
        <v>1624.1</v>
      </c>
      <c r="G45" s="16">
        <v>1890.03</v>
      </c>
      <c r="H45" s="16">
        <v>888.32</v>
      </c>
      <c r="I45" s="16">
        <v>1009.09</v>
      </c>
      <c r="J45" s="16">
        <v>557</v>
      </c>
      <c r="K45" s="16">
        <v>1301.6400000000001</v>
      </c>
      <c r="L45" s="16">
        <v>1183.77</v>
      </c>
      <c r="M45" s="16">
        <v>1147.25</v>
      </c>
      <c r="N45" s="16">
        <v>1304.96</v>
      </c>
      <c r="O45" s="17">
        <f t="shared" si="11"/>
        <v>14804.990000000002</v>
      </c>
    </row>
    <row r="46" spans="1:15" s="18" customFormat="1" ht="14.5" x14ac:dyDescent="0.35">
      <c r="A46" s="14"/>
      <c r="B46" s="15" t="s">
        <v>30</v>
      </c>
      <c r="C46" s="16">
        <v>46529</v>
      </c>
      <c r="D46" s="16">
        <v>46529</v>
      </c>
      <c r="E46" s="16">
        <v>46529</v>
      </c>
      <c r="F46" s="16">
        <v>63118.2</v>
      </c>
      <c r="G46" s="16">
        <v>-16161.3</v>
      </c>
      <c r="H46" s="16">
        <v>46529</v>
      </c>
      <c r="I46" s="16">
        <v>46529</v>
      </c>
      <c r="J46" s="16">
        <v>46529</v>
      </c>
      <c r="K46" s="16">
        <v>47172.93</v>
      </c>
      <c r="L46" s="16">
        <v>46529</v>
      </c>
      <c r="M46" s="16">
        <v>38863.879999999997</v>
      </c>
      <c r="N46" s="16">
        <v>38863.879999999997</v>
      </c>
      <c r="O46" s="17">
        <f t="shared" si="11"/>
        <v>497560.59</v>
      </c>
    </row>
    <row r="47" spans="1:15" s="18" customFormat="1" ht="14.5" x14ac:dyDescent="0.35">
      <c r="A47" s="14"/>
      <c r="B47" s="15" t="s">
        <v>31</v>
      </c>
      <c r="C47" s="16">
        <v>68296.2</v>
      </c>
      <c r="D47" s="16">
        <v>68296.2</v>
      </c>
      <c r="E47" s="16">
        <v>68296.2</v>
      </c>
      <c r="F47" s="16">
        <v>68296.2</v>
      </c>
      <c r="G47" s="16">
        <v>68296.12</v>
      </c>
      <c r="H47" s="16">
        <v>68298.2</v>
      </c>
      <c r="I47" s="16">
        <v>68298.12</v>
      </c>
      <c r="J47" s="16">
        <v>69443.539999999994</v>
      </c>
      <c r="K47" s="16">
        <v>70888.7</v>
      </c>
      <c r="L47" s="16">
        <v>70888.58</v>
      </c>
      <c r="M47" s="16">
        <v>70888.570000000007</v>
      </c>
      <c r="N47" s="16">
        <v>71557.460000000006</v>
      </c>
      <c r="O47" s="17">
        <f t="shared" si="11"/>
        <v>831744.08999999985</v>
      </c>
    </row>
    <row r="48" spans="1:15" s="18" customFormat="1" ht="14.5" x14ac:dyDescent="0.35">
      <c r="A48" s="14"/>
      <c r="B48" s="15" t="s">
        <v>32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7">
        <f t="shared" si="11"/>
        <v>0</v>
      </c>
    </row>
    <row r="49" spans="1:15" s="28" customFormat="1" ht="14.5" x14ac:dyDescent="0.35">
      <c r="A49" s="24"/>
      <c r="B49" s="25" t="s">
        <v>33</v>
      </c>
      <c r="C49" s="29">
        <f>SUM(C44:C48)</f>
        <v>116854.07999999999</v>
      </c>
      <c r="D49" s="29">
        <f t="shared" ref="D49:O49" si="12">SUM(D44:D48)</f>
        <v>115389.23999999999</v>
      </c>
      <c r="E49" s="29">
        <f t="shared" si="12"/>
        <v>116131.11</v>
      </c>
      <c r="F49" s="29">
        <f t="shared" si="12"/>
        <v>133038.5</v>
      </c>
      <c r="G49" s="29">
        <f t="shared" si="12"/>
        <v>54024.85</v>
      </c>
      <c r="H49" s="29">
        <f t="shared" si="12"/>
        <v>115715.51999999999</v>
      </c>
      <c r="I49" s="29">
        <f t="shared" si="12"/>
        <v>115836.20999999999</v>
      </c>
      <c r="J49" s="29">
        <f t="shared" si="12"/>
        <v>116529.54</v>
      </c>
      <c r="K49" s="29">
        <f t="shared" si="12"/>
        <v>-614995.67999999993</v>
      </c>
      <c r="L49" s="29">
        <f t="shared" si="12"/>
        <v>118601.35</v>
      </c>
      <c r="M49" s="29">
        <f t="shared" si="12"/>
        <v>110899.70000000001</v>
      </c>
      <c r="N49" s="29">
        <f t="shared" si="12"/>
        <v>111726.3</v>
      </c>
      <c r="O49" s="30">
        <f t="shared" si="12"/>
        <v>609750.72</v>
      </c>
    </row>
    <row r="50" spans="1:15" s="18" customFormat="1" ht="14.5" x14ac:dyDescent="0.35">
      <c r="A50" s="14"/>
      <c r="B50" s="15" t="s">
        <v>8</v>
      </c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7"/>
    </row>
    <row r="51" spans="1:15" s="28" customFormat="1" ht="14.5" x14ac:dyDescent="0.35">
      <c r="A51" s="24"/>
      <c r="B51" s="25" t="s">
        <v>34</v>
      </c>
      <c r="C51" s="26">
        <f>C42-C49</f>
        <v>175314.2000000001</v>
      </c>
      <c r="D51" s="26">
        <f t="shared" ref="D51:N51" si="13">D42-D49</f>
        <v>251805.83999999991</v>
      </c>
      <c r="E51" s="26">
        <f t="shared" si="13"/>
        <v>331508.97000000003</v>
      </c>
      <c r="F51" s="26">
        <f t="shared" si="13"/>
        <v>363428.25</v>
      </c>
      <c r="G51" s="26">
        <f t="shared" si="13"/>
        <v>527343.44999999984</v>
      </c>
      <c r="H51" s="26">
        <f t="shared" si="13"/>
        <v>305536.38</v>
      </c>
      <c r="I51" s="26">
        <f t="shared" si="13"/>
        <v>361482.08999999973</v>
      </c>
      <c r="J51" s="26">
        <f t="shared" si="13"/>
        <v>1758.2900000000373</v>
      </c>
      <c r="K51" s="26">
        <f t="shared" si="13"/>
        <v>677719.65999999992</v>
      </c>
      <c r="L51" s="26">
        <f t="shared" si="13"/>
        <v>1981.2599999999948</v>
      </c>
      <c r="M51" s="26">
        <f t="shared" si="13"/>
        <v>211374.72999999986</v>
      </c>
      <c r="N51" s="26">
        <f t="shared" si="13"/>
        <v>661993.10000000009</v>
      </c>
      <c r="O51" s="27">
        <f>SUM(C51:N51)</f>
        <v>3871246.2199999997</v>
      </c>
    </row>
    <row r="52" spans="1:15" s="18" customFormat="1" ht="14.5" x14ac:dyDescent="0.35">
      <c r="A52" s="14"/>
      <c r="B52" s="15" t="s">
        <v>8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7"/>
    </row>
    <row r="53" spans="1:15" s="18" customFormat="1" ht="14.5" x14ac:dyDescent="0.35">
      <c r="A53" s="14"/>
      <c r="B53" s="15" t="s">
        <v>35</v>
      </c>
      <c r="C53" s="16">
        <f>C21*0.04</f>
        <v>29352.091200000003</v>
      </c>
      <c r="D53" s="16">
        <f t="shared" ref="D53:N53" si="14">D21*0.04</f>
        <v>34488.35</v>
      </c>
      <c r="E53" s="16">
        <f t="shared" si="14"/>
        <v>43592.5</v>
      </c>
      <c r="F53" s="16">
        <f t="shared" si="14"/>
        <v>44018.819600000003</v>
      </c>
      <c r="G53" s="16">
        <f t="shared" si="14"/>
        <v>49842.356</v>
      </c>
      <c r="H53" s="16">
        <f t="shared" si="14"/>
        <v>42862.748399999997</v>
      </c>
      <c r="I53" s="16">
        <f t="shared" si="14"/>
        <v>47683.00039999999</v>
      </c>
      <c r="J53" s="16">
        <f t="shared" si="14"/>
        <v>28046.251200000002</v>
      </c>
      <c r="K53" s="16">
        <f t="shared" si="14"/>
        <v>22934.694</v>
      </c>
      <c r="L53" s="16">
        <f t="shared" si="14"/>
        <v>29721.038</v>
      </c>
      <c r="M53" s="16">
        <f t="shared" si="14"/>
        <v>39947.491199999997</v>
      </c>
      <c r="N53" s="16">
        <f t="shared" si="14"/>
        <v>63771.636800000007</v>
      </c>
      <c r="O53" s="17">
        <f t="shared" ref="O53" si="15">SUM(C53:N53)</f>
        <v>476260.97680000006</v>
      </c>
    </row>
    <row r="54" spans="1:15" s="28" customFormat="1" ht="15" thickBot="1" x14ac:dyDescent="0.4">
      <c r="A54" s="24"/>
      <c r="B54" s="31" t="s">
        <v>36</v>
      </c>
      <c r="C54" s="32">
        <f>C51-C53</f>
        <v>145962.1088000001</v>
      </c>
      <c r="D54" s="32">
        <f t="shared" ref="D54:N54" si="16">D51-D53</f>
        <v>217317.4899999999</v>
      </c>
      <c r="E54" s="32">
        <f t="shared" si="16"/>
        <v>287916.47000000003</v>
      </c>
      <c r="F54" s="32">
        <f t="shared" si="16"/>
        <v>319409.43040000001</v>
      </c>
      <c r="G54" s="32">
        <f t="shared" si="16"/>
        <v>477501.09399999981</v>
      </c>
      <c r="H54" s="32">
        <f t="shared" si="16"/>
        <v>262673.63160000002</v>
      </c>
      <c r="I54" s="32">
        <f t="shared" si="16"/>
        <v>313799.08959999972</v>
      </c>
      <c r="J54" s="32">
        <f t="shared" si="16"/>
        <v>-26287.961199999965</v>
      </c>
      <c r="K54" s="32">
        <f t="shared" si="16"/>
        <v>654784.9659999999</v>
      </c>
      <c r="L54" s="32">
        <f t="shared" si="16"/>
        <v>-27739.778000000006</v>
      </c>
      <c r="M54" s="32">
        <f t="shared" si="16"/>
        <v>171427.23879999988</v>
      </c>
      <c r="N54" s="32">
        <f t="shared" si="16"/>
        <v>598221.46320000011</v>
      </c>
      <c r="O54" s="33">
        <f>SUM(C54:N54)</f>
        <v>3394985.2431999994</v>
      </c>
    </row>
    <row r="55" spans="1:15" s="18" customFormat="1" ht="15" thickTop="1" x14ac:dyDescent="0.35">
      <c r="A55" s="14"/>
      <c r="B55" s="15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34"/>
    </row>
    <row r="56" spans="1:15" s="18" customFormat="1" ht="14.5" x14ac:dyDescent="0.35">
      <c r="A56" s="14"/>
      <c r="B56" s="15" t="s">
        <v>37</v>
      </c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34"/>
    </row>
    <row r="57" spans="1:15" ht="14.5" x14ac:dyDescent="0.35">
      <c r="A57" s="11"/>
      <c r="B57" s="11"/>
      <c r="C57" s="35"/>
      <c r="D57" s="35"/>
      <c r="E57" s="35"/>
      <c r="F57" s="35"/>
      <c r="G57" s="35"/>
      <c r="H57" s="36"/>
      <c r="I57" s="15"/>
      <c r="J57" s="15"/>
    </row>
    <row r="58" spans="1:15" s="42" customFormat="1" ht="14.5" x14ac:dyDescent="0.35">
      <c r="A58" s="37"/>
      <c r="B58" s="38"/>
      <c r="C58" s="39"/>
      <c r="D58" s="40"/>
      <c r="E58" s="39"/>
      <c r="F58" s="39"/>
      <c r="G58" s="40"/>
      <c r="H58" s="39"/>
      <c r="I58" s="39"/>
      <c r="J58" s="41"/>
      <c r="K58" s="41"/>
      <c r="L58" s="41"/>
      <c r="M58" s="41"/>
      <c r="N58" s="41"/>
      <c r="O58" s="41"/>
    </row>
    <row r="59" spans="1:15" x14ac:dyDescent="0.25">
      <c r="A59" s="11"/>
      <c r="B59" s="11"/>
      <c r="C59" s="11"/>
      <c r="D59" s="11"/>
      <c r="H59" s="12"/>
    </row>
    <row r="60" spans="1:15" x14ac:dyDescent="0.25">
      <c r="B60" s="43"/>
      <c r="C60" s="11"/>
      <c r="D60" s="11"/>
      <c r="H60" s="44"/>
    </row>
    <row r="61" spans="1:15" x14ac:dyDescent="0.25">
      <c r="C61" s="11"/>
      <c r="D61" s="11"/>
      <c r="H61" s="12"/>
    </row>
    <row r="62" spans="1:15" x14ac:dyDescent="0.25">
      <c r="C62" s="11"/>
      <c r="D62" s="11"/>
      <c r="H62" s="12"/>
    </row>
    <row r="63" spans="1:15" x14ac:dyDescent="0.25">
      <c r="C63" s="11"/>
      <c r="D63" s="11"/>
      <c r="H63" s="12"/>
    </row>
    <row r="64" spans="1:15" x14ac:dyDescent="0.25">
      <c r="C64" s="11"/>
      <c r="D64" s="11"/>
      <c r="H64" s="12"/>
    </row>
    <row r="65" spans="1:8" x14ac:dyDescent="0.25">
      <c r="C65" s="11"/>
      <c r="D65" s="11"/>
      <c r="H65" s="12"/>
    </row>
    <row r="66" spans="1:8" x14ac:dyDescent="0.25">
      <c r="C66" s="11"/>
      <c r="D66" s="11"/>
      <c r="H66" s="12"/>
    </row>
    <row r="67" spans="1:8" x14ac:dyDescent="0.25">
      <c r="B67" s="43"/>
      <c r="C67" s="11"/>
      <c r="D67" s="11"/>
      <c r="H67" s="12"/>
    </row>
    <row r="68" spans="1:8" x14ac:dyDescent="0.25">
      <c r="C68" s="11"/>
      <c r="D68" s="11"/>
      <c r="H68" s="12"/>
    </row>
    <row r="69" spans="1:8" x14ac:dyDescent="0.25">
      <c r="B69" s="43"/>
      <c r="C69" s="11"/>
      <c r="D69" s="11"/>
      <c r="H69" s="11"/>
    </row>
    <row r="70" spans="1:8" x14ac:dyDescent="0.25">
      <c r="B70" s="43"/>
      <c r="C70" s="11"/>
      <c r="D70" s="11"/>
      <c r="H70" s="11"/>
    </row>
    <row r="71" spans="1:8" x14ac:dyDescent="0.25">
      <c r="C71" s="11"/>
      <c r="D71" s="11"/>
    </row>
    <row r="72" spans="1:8" ht="15.5" x14ac:dyDescent="0.35">
      <c r="A72" s="45"/>
      <c r="C72" s="11"/>
      <c r="D72" s="11"/>
    </row>
    <row r="73" spans="1:8" x14ac:dyDescent="0.25">
      <c r="C73" s="11"/>
      <c r="D73" s="11"/>
      <c r="H73" s="12"/>
    </row>
    <row r="74" spans="1:8" x14ac:dyDescent="0.25">
      <c r="C74" s="44"/>
      <c r="D74" s="44"/>
      <c r="F74" s="44"/>
      <c r="G74" s="44"/>
      <c r="H74" s="12"/>
    </row>
    <row r="75" spans="1:8" x14ac:dyDescent="0.25">
      <c r="C75" s="11"/>
      <c r="D75" s="11"/>
      <c r="H75" s="12"/>
    </row>
    <row r="76" spans="1:8" x14ac:dyDescent="0.25">
      <c r="C76" s="11"/>
      <c r="D76" s="11"/>
      <c r="H76" s="12"/>
    </row>
    <row r="77" spans="1:8" x14ac:dyDescent="0.25">
      <c r="C77" s="11"/>
      <c r="D77" s="11"/>
      <c r="H77" s="12"/>
    </row>
    <row r="78" spans="1:8" x14ac:dyDescent="0.25">
      <c r="C78" s="11"/>
      <c r="D78" s="11"/>
      <c r="H78" s="12"/>
    </row>
    <row r="79" spans="1:8" x14ac:dyDescent="0.25">
      <c r="C79" s="11"/>
      <c r="D79" s="11"/>
      <c r="H79" s="12"/>
    </row>
    <row r="80" spans="1:8" x14ac:dyDescent="0.25">
      <c r="C80" s="11"/>
      <c r="D80" s="11"/>
      <c r="H80" s="12"/>
    </row>
    <row r="81" spans="2:8" x14ac:dyDescent="0.25">
      <c r="C81" s="11"/>
      <c r="D81" s="11"/>
      <c r="H81" s="12"/>
    </row>
    <row r="82" spans="2:8" x14ac:dyDescent="0.25">
      <c r="C82" s="11"/>
      <c r="D82" s="11"/>
      <c r="H82" s="12"/>
    </row>
    <row r="83" spans="2:8" x14ac:dyDescent="0.25">
      <c r="C83" s="11"/>
      <c r="D83" s="11"/>
      <c r="H83" s="12"/>
    </row>
    <row r="84" spans="2:8" x14ac:dyDescent="0.25">
      <c r="C84" s="11"/>
      <c r="D84" s="11"/>
      <c r="H84" s="12"/>
    </row>
    <row r="85" spans="2:8" x14ac:dyDescent="0.25">
      <c r="C85" s="11"/>
      <c r="D85" s="11"/>
      <c r="H85" s="12"/>
    </row>
    <row r="86" spans="2:8" x14ac:dyDescent="0.25">
      <c r="C86" s="11"/>
      <c r="D86" s="11"/>
      <c r="H86" s="12"/>
    </row>
    <row r="87" spans="2:8" x14ac:dyDescent="0.25">
      <c r="C87" s="11"/>
      <c r="D87" s="11"/>
      <c r="H87" s="12"/>
    </row>
    <row r="88" spans="2:8" x14ac:dyDescent="0.25">
      <c r="C88" s="11"/>
      <c r="D88" s="11"/>
      <c r="H88" s="12"/>
    </row>
    <row r="89" spans="2:8" x14ac:dyDescent="0.25">
      <c r="C89" s="11"/>
      <c r="D89" s="11"/>
      <c r="H89" s="12"/>
    </row>
    <row r="90" spans="2:8" x14ac:dyDescent="0.25">
      <c r="C90" s="11"/>
      <c r="D90" s="11"/>
      <c r="H90" s="12"/>
    </row>
    <row r="91" spans="2:8" x14ac:dyDescent="0.25">
      <c r="C91" s="11"/>
      <c r="D91" s="11"/>
      <c r="H91" s="12"/>
    </row>
    <row r="92" spans="2:8" x14ac:dyDescent="0.25">
      <c r="B92" s="46"/>
      <c r="C92" s="11"/>
      <c r="D92" s="11"/>
      <c r="H92" s="12"/>
    </row>
    <row r="93" spans="2:8" x14ac:dyDescent="0.25">
      <c r="C93" s="11"/>
      <c r="D93" s="11"/>
      <c r="H93" s="12"/>
    </row>
    <row r="94" spans="2:8" x14ac:dyDescent="0.25">
      <c r="C94" s="11"/>
      <c r="D94" s="11"/>
      <c r="H94" s="12"/>
    </row>
    <row r="95" spans="2:8" x14ac:dyDescent="0.25">
      <c r="C95" s="11"/>
      <c r="D95" s="11"/>
      <c r="H95" s="12"/>
    </row>
    <row r="96" spans="2:8" x14ac:dyDescent="0.25">
      <c r="C96" s="11"/>
      <c r="D96" s="11"/>
      <c r="H96" s="12"/>
    </row>
    <row r="97" spans="1:8" x14ac:dyDescent="0.25">
      <c r="C97" s="11"/>
      <c r="D97" s="11"/>
      <c r="H97" s="12"/>
    </row>
    <row r="98" spans="1:8" x14ac:dyDescent="0.25">
      <c r="B98" s="43"/>
      <c r="C98" s="11"/>
      <c r="D98" s="11"/>
      <c r="H98" s="11"/>
    </row>
    <row r="99" spans="1:8" ht="13" x14ac:dyDescent="0.3">
      <c r="B99" s="47"/>
      <c r="C99" s="11"/>
      <c r="D99" s="11"/>
      <c r="H99" s="11"/>
    </row>
    <row r="100" spans="1:8" x14ac:dyDescent="0.25">
      <c r="C100" s="11"/>
      <c r="D100" s="11"/>
    </row>
    <row r="101" spans="1:8" x14ac:dyDescent="0.25">
      <c r="C101" s="11"/>
      <c r="D101" s="11"/>
      <c r="H101" s="12"/>
    </row>
    <row r="102" spans="1:8" x14ac:dyDescent="0.25">
      <c r="C102" s="11"/>
      <c r="D102" s="11"/>
      <c r="H102" s="12"/>
    </row>
    <row r="103" spans="1:8" x14ac:dyDescent="0.25">
      <c r="C103" s="11"/>
      <c r="D103" s="11"/>
      <c r="H103" s="12"/>
    </row>
    <row r="104" spans="1:8" x14ac:dyDescent="0.25">
      <c r="C104" s="11"/>
      <c r="D104" s="11"/>
      <c r="H104" s="12"/>
    </row>
    <row r="105" spans="1:8" x14ac:dyDescent="0.25">
      <c r="C105" s="11"/>
      <c r="D105" s="11"/>
      <c r="H105" s="12"/>
    </row>
    <row r="106" spans="1:8" x14ac:dyDescent="0.25">
      <c r="C106" s="11"/>
      <c r="D106" s="44"/>
      <c r="G106" s="44"/>
      <c r="H106" s="12"/>
    </row>
    <row r="107" spans="1:8" x14ac:dyDescent="0.25">
      <c r="C107" s="11"/>
      <c r="D107" s="11"/>
      <c r="H107" s="12"/>
    </row>
    <row r="108" spans="1:8" ht="14" x14ac:dyDescent="0.3">
      <c r="A108" s="48"/>
      <c r="B108" s="49"/>
      <c r="C108" s="50"/>
      <c r="D108" s="50"/>
      <c r="E108" s="50"/>
      <c r="F108" s="50"/>
      <c r="G108" s="50"/>
      <c r="H108" s="51"/>
    </row>
    <row r="109" spans="1:8" x14ac:dyDescent="0.25">
      <c r="C109" s="52"/>
      <c r="D109" s="52"/>
      <c r="E109" s="52"/>
      <c r="F109" s="52"/>
      <c r="G109" s="52"/>
    </row>
    <row r="110" spans="1:8" x14ac:dyDescent="0.25">
      <c r="B110" s="43"/>
      <c r="C110" s="11"/>
      <c r="D110" s="11"/>
      <c r="H110" s="12"/>
    </row>
    <row r="111" spans="1:8" x14ac:dyDescent="0.25">
      <c r="C111" s="11"/>
      <c r="D111" s="11"/>
      <c r="H111" s="12"/>
    </row>
    <row r="112" spans="1:8" x14ac:dyDescent="0.25">
      <c r="C112" s="11"/>
      <c r="D112" s="53"/>
      <c r="F112" s="53"/>
    </row>
    <row r="113" spans="1:6" x14ac:dyDescent="0.25">
      <c r="C113" s="11"/>
      <c r="D113" s="53"/>
      <c r="F113" s="53"/>
    </row>
    <row r="114" spans="1:6" x14ac:dyDescent="0.25">
      <c r="C114" s="11"/>
      <c r="D114" s="53"/>
      <c r="F114" s="53"/>
    </row>
    <row r="115" spans="1:6" x14ac:dyDescent="0.25">
      <c r="C115" s="11"/>
      <c r="D115" s="53"/>
      <c r="F115" s="53"/>
    </row>
    <row r="116" spans="1:6" x14ac:dyDescent="0.25">
      <c r="C116" s="11"/>
      <c r="D116" s="53"/>
      <c r="F116" s="53"/>
    </row>
    <row r="117" spans="1:6" x14ac:dyDescent="0.25">
      <c r="C117" s="11"/>
      <c r="D117" s="53"/>
      <c r="F117" s="53"/>
    </row>
    <row r="118" spans="1:6" x14ac:dyDescent="0.25">
      <c r="C118" s="11"/>
      <c r="D118" s="53"/>
      <c r="F118" s="53"/>
    </row>
    <row r="119" spans="1:6" ht="13" x14ac:dyDescent="0.3">
      <c r="A119" s="54"/>
      <c r="C119" s="11"/>
      <c r="D119" s="53"/>
      <c r="F119" s="53"/>
    </row>
    <row r="120" spans="1:6" ht="13" x14ac:dyDescent="0.3">
      <c r="A120" s="54"/>
      <c r="C120" s="11"/>
      <c r="D120" s="53"/>
      <c r="F120" s="53"/>
    </row>
    <row r="121" spans="1:6" x14ac:dyDescent="0.25">
      <c r="C121" s="11"/>
      <c r="D121" s="53"/>
      <c r="F121" s="53"/>
    </row>
    <row r="122" spans="1:6" ht="13" x14ac:dyDescent="0.3">
      <c r="A122" s="54"/>
      <c r="C122" s="11"/>
      <c r="D122" s="53"/>
      <c r="F122" s="53"/>
    </row>
    <row r="123" spans="1:6" x14ac:dyDescent="0.25">
      <c r="B123" s="43"/>
      <c r="C123" s="11"/>
      <c r="D123" s="55"/>
      <c r="F123" s="53"/>
    </row>
    <row r="124" spans="1:6" x14ac:dyDescent="0.25">
      <c r="B124" s="43"/>
      <c r="C124" s="11"/>
      <c r="D124" s="53"/>
      <c r="F124" s="53"/>
    </row>
    <row r="125" spans="1:6" x14ac:dyDescent="0.25">
      <c r="B125" s="43"/>
      <c r="C125" s="11"/>
      <c r="D125" s="53"/>
      <c r="F125" s="53"/>
    </row>
    <row r="126" spans="1:6" x14ac:dyDescent="0.25">
      <c r="B126" s="43"/>
      <c r="C126" s="11"/>
      <c r="D126" s="53"/>
      <c r="F126" s="53"/>
    </row>
    <row r="137" spans="1:6" ht="13" x14ac:dyDescent="0.3">
      <c r="B137" s="56"/>
      <c r="C137" s="57"/>
      <c r="D137" s="58"/>
      <c r="E137" s="59"/>
      <c r="F137" s="58"/>
    </row>
    <row r="138" spans="1:6" ht="13" x14ac:dyDescent="0.3">
      <c r="B138" s="56"/>
      <c r="C138" s="57"/>
      <c r="D138" s="58"/>
      <c r="E138" s="59"/>
      <c r="F138" s="58"/>
    </row>
    <row r="139" spans="1:6" ht="13" x14ac:dyDescent="0.3">
      <c r="B139" s="56"/>
      <c r="C139" s="57"/>
      <c r="D139" s="58"/>
      <c r="E139" s="59"/>
      <c r="F139" s="58"/>
    </row>
    <row r="140" spans="1:6" ht="13" x14ac:dyDescent="0.3">
      <c r="B140" s="56"/>
      <c r="C140" s="57"/>
      <c r="D140" s="58"/>
      <c r="E140" s="59"/>
      <c r="F140" s="58"/>
    </row>
    <row r="141" spans="1:6" ht="13" x14ac:dyDescent="0.3">
      <c r="B141" s="56"/>
      <c r="C141" s="57"/>
      <c r="D141" s="58"/>
      <c r="E141" s="59"/>
      <c r="F141" s="58"/>
    </row>
    <row r="142" spans="1:6" ht="14" x14ac:dyDescent="0.3">
      <c r="A142" s="60"/>
      <c r="B142" s="61"/>
      <c r="C142" s="62"/>
      <c r="D142" s="63"/>
      <c r="E142" s="62"/>
      <c r="F142" s="61"/>
    </row>
    <row r="143" spans="1:6" ht="13" x14ac:dyDescent="0.3">
      <c r="A143" s="64"/>
      <c r="B143" s="61"/>
      <c r="C143" s="62"/>
      <c r="D143" s="63"/>
      <c r="E143" s="62"/>
      <c r="F143" s="61"/>
    </row>
    <row r="144" spans="1:6" x14ac:dyDescent="0.25">
      <c r="C144" s="11"/>
      <c r="D144" s="53"/>
      <c r="F144"/>
    </row>
    <row r="145" spans="1:8" x14ac:dyDescent="0.25">
      <c r="C145" s="65"/>
      <c r="D145" s="66"/>
      <c r="E145" s="67"/>
      <c r="F145" s="65"/>
      <c r="G145" s="66"/>
      <c r="H145" s="66"/>
    </row>
    <row r="146" spans="1:8" x14ac:dyDescent="0.25">
      <c r="C146" s="68"/>
      <c r="D146" s="66"/>
      <c r="E146" s="67"/>
      <c r="F146" s="65"/>
      <c r="G146" s="66"/>
      <c r="H146" s="66"/>
    </row>
    <row r="147" spans="1:8" x14ac:dyDescent="0.25">
      <c r="D147" s="12"/>
      <c r="F147"/>
      <c r="G147" s="12"/>
      <c r="H147" s="12"/>
    </row>
    <row r="148" spans="1:8" ht="13" x14ac:dyDescent="0.3">
      <c r="A148" s="47"/>
      <c r="C148" s="11"/>
      <c r="D148" s="11"/>
      <c r="H148" s="12"/>
    </row>
    <row r="149" spans="1:8" ht="13" x14ac:dyDescent="0.3">
      <c r="A149" s="47"/>
      <c r="C149" s="11"/>
      <c r="D149" s="11"/>
      <c r="H149" s="12"/>
    </row>
    <row r="150" spans="1:8" ht="13" x14ac:dyDescent="0.3">
      <c r="A150" s="47"/>
      <c r="C150" s="11"/>
      <c r="D150" s="11"/>
      <c r="H150" s="12"/>
    </row>
    <row r="151" spans="1:8" ht="13" x14ac:dyDescent="0.3">
      <c r="A151" s="47"/>
      <c r="C151" s="11"/>
      <c r="D151" s="11"/>
      <c r="H151" s="12"/>
    </row>
    <row r="152" spans="1:8" ht="13" x14ac:dyDescent="0.3">
      <c r="A152" s="47"/>
      <c r="C152" s="11"/>
      <c r="D152" s="11"/>
      <c r="H152" s="12"/>
    </row>
    <row r="153" spans="1:8" x14ac:dyDescent="0.25">
      <c r="C153" s="11"/>
      <c r="D153" s="11"/>
      <c r="H153" s="11"/>
    </row>
    <row r="155" spans="1:8" ht="13" x14ac:dyDescent="0.3">
      <c r="A155" s="47"/>
      <c r="C155" s="11"/>
      <c r="D155" s="11"/>
      <c r="F155"/>
      <c r="G155"/>
    </row>
    <row r="156" spans="1:8" x14ac:dyDescent="0.25">
      <c r="C156" s="11"/>
      <c r="D156" s="11"/>
      <c r="H156" s="12"/>
    </row>
    <row r="157" spans="1:8" x14ac:dyDescent="0.25">
      <c r="C157" s="11"/>
      <c r="D157" s="11"/>
      <c r="H157" s="12"/>
    </row>
    <row r="158" spans="1:8" x14ac:dyDescent="0.25">
      <c r="C158" s="11"/>
      <c r="D158" s="11"/>
      <c r="H158" s="12"/>
    </row>
    <row r="159" spans="1:8" x14ac:dyDescent="0.25">
      <c r="C159" s="11"/>
      <c r="D159" s="11"/>
      <c r="H159" s="12"/>
    </row>
    <row r="160" spans="1:8" x14ac:dyDescent="0.25">
      <c r="C160" s="11"/>
      <c r="D160" s="11"/>
      <c r="H160" s="12"/>
    </row>
    <row r="161" spans="1:8" x14ac:dyDescent="0.25">
      <c r="C161" s="11"/>
      <c r="D161" s="11"/>
      <c r="H161" s="12"/>
    </row>
    <row r="162" spans="1:8" x14ac:dyDescent="0.25">
      <c r="C162" s="11"/>
      <c r="D162" s="11"/>
      <c r="H162" s="12"/>
    </row>
    <row r="163" spans="1:8" x14ac:dyDescent="0.25">
      <c r="C163" s="11"/>
      <c r="D163" s="11"/>
      <c r="H163" s="12"/>
    </row>
    <row r="164" spans="1:8" x14ac:dyDescent="0.25">
      <c r="C164" s="11"/>
      <c r="D164" s="11"/>
      <c r="H164" s="12"/>
    </row>
    <row r="165" spans="1:8" x14ac:dyDescent="0.25">
      <c r="C165" s="11"/>
      <c r="D165" s="11"/>
      <c r="H165" s="12"/>
    </row>
    <row r="166" spans="1:8" x14ac:dyDescent="0.25">
      <c r="C166" s="11"/>
      <c r="D166" s="11"/>
      <c r="H166" s="12"/>
    </row>
    <row r="167" spans="1:8" x14ac:dyDescent="0.25">
      <c r="C167" s="11"/>
      <c r="D167" s="11"/>
      <c r="H167" s="12"/>
    </row>
    <row r="168" spans="1:8" x14ac:dyDescent="0.25">
      <c r="C168" s="11"/>
      <c r="D168" s="11"/>
      <c r="H168" s="12"/>
    </row>
    <row r="169" spans="1:8" ht="13" x14ac:dyDescent="0.3">
      <c r="A169" s="47"/>
      <c r="C169" s="11"/>
      <c r="D169" s="11"/>
      <c r="H169" s="11"/>
    </row>
    <row r="170" spans="1:8" ht="13" x14ac:dyDescent="0.3">
      <c r="A170" s="54"/>
      <c r="C170" s="11"/>
      <c r="D170" s="53"/>
      <c r="F170" s="53"/>
    </row>
    <row r="171" spans="1:8" ht="13" x14ac:dyDescent="0.3">
      <c r="A171" s="54"/>
      <c r="C171" s="11"/>
      <c r="D171" s="11"/>
      <c r="H171" s="11"/>
    </row>
    <row r="172" spans="1:8" ht="13" x14ac:dyDescent="0.3">
      <c r="B172" s="56"/>
      <c r="C172" s="57"/>
      <c r="D172" s="58"/>
      <c r="E172" s="59"/>
      <c r="F172" s="58"/>
    </row>
    <row r="173" spans="1:8" x14ac:dyDescent="0.25">
      <c r="C173" s="11"/>
      <c r="D173" s="11"/>
      <c r="H173" s="12"/>
    </row>
    <row r="174" spans="1:8" x14ac:dyDescent="0.25">
      <c r="C174" s="11"/>
      <c r="D174" s="11"/>
      <c r="H174" s="12"/>
    </row>
    <row r="175" spans="1:8" x14ac:dyDescent="0.25">
      <c r="C175" s="11"/>
      <c r="D175" s="11"/>
      <c r="H175" s="12"/>
    </row>
    <row r="176" spans="1:8" x14ac:dyDescent="0.25">
      <c r="C176" s="11"/>
      <c r="D176" s="11"/>
      <c r="H176" s="12"/>
    </row>
    <row r="177" spans="2:8" ht="13" x14ac:dyDescent="0.3">
      <c r="C177" s="11"/>
      <c r="D177" s="11"/>
      <c r="F177" s="58"/>
      <c r="G177" s="58"/>
    </row>
    <row r="178" spans="2:8" x14ac:dyDescent="0.25">
      <c r="C178" s="11"/>
      <c r="D178" s="11"/>
      <c r="H178" s="12"/>
    </row>
    <row r="179" spans="2:8" ht="13" x14ac:dyDescent="0.3">
      <c r="B179" s="56"/>
      <c r="C179" s="57"/>
      <c r="D179" s="58"/>
      <c r="E179" s="59"/>
      <c r="F179" s="58"/>
    </row>
    <row r="180" spans="2:8" ht="13" x14ac:dyDescent="0.3">
      <c r="B180" s="56"/>
      <c r="C180" s="57"/>
      <c r="D180" s="58"/>
      <c r="E180" s="59"/>
      <c r="F180" s="58"/>
    </row>
    <row r="181" spans="2:8" ht="13" x14ac:dyDescent="0.3">
      <c r="B181" s="56"/>
      <c r="C181" s="57"/>
      <c r="D181" s="58"/>
      <c r="E181" s="59"/>
      <c r="F181" s="58"/>
    </row>
    <row r="182" spans="2:8" ht="13" x14ac:dyDescent="0.3">
      <c r="B182" s="56"/>
      <c r="C182" s="57"/>
      <c r="D182" s="58"/>
      <c r="E182" s="59"/>
      <c r="F182" s="58"/>
    </row>
    <row r="183" spans="2:8" ht="13" x14ac:dyDescent="0.3">
      <c r="B183" s="56"/>
      <c r="C183" s="57"/>
      <c r="D183" s="58"/>
      <c r="E183" s="59"/>
      <c r="F183" s="58"/>
    </row>
    <row r="184" spans="2:8" x14ac:dyDescent="0.25">
      <c r="C184" s="69"/>
      <c r="F184" s="53"/>
    </row>
    <row r="185" spans="2:8" x14ac:dyDescent="0.25">
      <c r="C185" s="11"/>
      <c r="D185" s="53"/>
      <c r="F185" s="53"/>
    </row>
    <row r="186" spans="2:8" x14ac:dyDescent="0.25">
      <c r="C186" s="11"/>
      <c r="D186" s="53"/>
      <c r="F186" s="53"/>
    </row>
    <row r="187" spans="2:8" x14ac:dyDescent="0.25">
      <c r="C187" s="11"/>
      <c r="D187" s="53"/>
      <c r="F187" s="53"/>
    </row>
    <row r="188" spans="2:8" x14ac:dyDescent="0.25">
      <c r="C188" s="11"/>
      <c r="D188" s="53"/>
      <c r="F188" s="53"/>
    </row>
    <row r="190" spans="2:8" x14ac:dyDescent="0.25">
      <c r="C190" s="44"/>
    </row>
    <row r="191" spans="2:8" x14ac:dyDescent="0.25">
      <c r="C191" s="44"/>
    </row>
    <row r="192" spans="2:8" x14ac:dyDescent="0.25">
      <c r="C192" s="44"/>
    </row>
    <row r="193" spans="2:3" x14ac:dyDescent="0.25">
      <c r="C193" s="44"/>
    </row>
    <row r="194" spans="2:3" x14ac:dyDescent="0.25">
      <c r="C194" s="44"/>
    </row>
    <row r="196" spans="2:3" x14ac:dyDescent="0.25">
      <c r="C196" s="44"/>
    </row>
    <row r="197" spans="2:3" x14ac:dyDescent="0.25">
      <c r="C197" s="44"/>
    </row>
    <row r="198" spans="2:3" x14ac:dyDescent="0.25">
      <c r="B198" s="70"/>
      <c r="C198" s="71"/>
    </row>
    <row r="201" spans="2:3" x14ac:dyDescent="0.25">
      <c r="B201" s="42"/>
      <c r="C201" s="11"/>
    </row>
    <row r="202" spans="2:3" x14ac:dyDescent="0.25">
      <c r="C202" s="11"/>
    </row>
    <row r="203" spans="2:3" x14ac:dyDescent="0.25">
      <c r="C203" s="11"/>
    </row>
    <row r="215" spans="1:6" ht="13" x14ac:dyDescent="0.3">
      <c r="A215" s="11"/>
      <c r="B215" s="56"/>
      <c r="C215" s="11"/>
      <c r="D215" s="53"/>
      <c r="F215" s="53"/>
    </row>
    <row r="216" spans="1:6" x14ac:dyDescent="0.25">
      <c r="A216" s="11"/>
      <c r="B216" s="46"/>
      <c r="C216" s="11"/>
      <c r="D216" s="53"/>
      <c r="F216" s="53"/>
    </row>
    <row r="217" spans="1:6" x14ac:dyDescent="0.25">
      <c r="A217" s="11"/>
      <c r="B217" s="46"/>
      <c r="C217" s="11"/>
      <c r="D217" s="53"/>
      <c r="F217" s="53"/>
    </row>
    <row r="218" spans="1:6" x14ac:dyDescent="0.25">
      <c r="A218" s="11"/>
      <c r="B218" s="46"/>
      <c r="C218" s="11"/>
      <c r="D218" s="53"/>
      <c r="F218" s="53"/>
    </row>
    <row r="219" spans="1:6" x14ac:dyDescent="0.25">
      <c r="A219" s="11"/>
      <c r="B219" s="46"/>
      <c r="C219" s="11"/>
      <c r="D219" s="53"/>
      <c r="F219" s="53"/>
    </row>
    <row r="220" spans="1:6" x14ac:dyDescent="0.25">
      <c r="A220" s="11"/>
      <c r="B220" s="46"/>
      <c r="C220" s="11"/>
      <c r="D220" s="53"/>
      <c r="F220" s="53"/>
    </row>
    <row r="221" spans="1:6" x14ac:dyDescent="0.25">
      <c r="A221" s="11"/>
      <c r="B221" s="46"/>
      <c r="C221" s="11"/>
      <c r="D221" s="53"/>
      <c r="F221" s="53"/>
    </row>
    <row r="222" spans="1:6" x14ac:dyDescent="0.25">
      <c r="A222" s="11"/>
      <c r="B222" s="46"/>
      <c r="C222" s="11"/>
      <c r="D222" s="53"/>
      <c r="F222" s="53"/>
    </row>
    <row r="223" spans="1:6" x14ac:dyDescent="0.25">
      <c r="A223" s="11"/>
      <c r="B223" s="46"/>
      <c r="C223" s="11"/>
      <c r="D223" s="53"/>
      <c r="F223" s="53"/>
    </row>
    <row r="224" spans="1:6" x14ac:dyDescent="0.25">
      <c r="A224" s="11"/>
      <c r="B224" s="46"/>
      <c r="C224" s="11"/>
      <c r="D224" s="53"/>
      <c r="F224" s="53"/>
    </row>
    <row r="225" spans="1:6" x14ac:dyDescent="0.25">
      <c r="A225" s="11"/>
      <c r="B225" s="46"/>
      <c r="C225" s="11"/>
      <c r="D225" s="53"/>
      <c r="F225" s="53"/>
    </row>
    <row r="226" spans="1:6" x14ac:dyDescent="0.25">
      <c r="A226" s="11"/>
      <c r="B226" s="46"/>
      <c r="C226" s="11"/>
      <c r="D226" s="53"/>
      <c r="F226" s="53"/>
    </row>
    <row r="227" spans="1:6" x14ac:dyDescent="0.25">
      <c r="A227" s="11"/>
      <c r="B227" s="46"/>
      <c r="C227" s="11"/>
      <c r="D227" s="53"/>
      <c r="F227" s="53"/>
    </row>
    <row r="228" spans="1:6" x14ac:dyDescent="0.25">
      <c r="A228" s="11"/>
      <c r="B228" s="46"/>
      <c r="C228" s="11"/>
      <c r="D228" s="53"/>
      <c r="F228" s="53"/>
    </row>
    <row r="229" spans="1:6" x14ac:dyDescent="0.25">
      <c r="A229" s="11"/>
      <c r="B229" s="46"/>
      <c r="C229" s="11"/>
      <c r="D229" s="53"/>
      <c r="F229" s="53"/>
    </row>
    <row r="230" spans="1:6" x14ac:dyDescent="0.25">
      <c r="A230" s="11"/>
      <c r="B230" s="46"/>
      <c r="C230" s="11"/>
      <c r="D230" s="53"/>
      <c r="F230" s="53"/>
    </row>
    <row r="231" spans="1:6" x14ac:dyDescent="0.25">
      <c r="A231" s="11"/>
      <c r="B231" s="46"/>
      <c r="C231" s="11"/>
      <c r="D231" s="53"/>
      <c r="F231" s="53"/>
    </row>
    <row r="232" spans="1:6" x14ac:dyDescent="0.25">
      <c r="A232" s="11"/>
      <c r="B232" s="46"/>
      <c r="C232" s="11"/>
      <c r="D232" s="53"/>
      <c r="F232" s="53"/>
    </row>
    <row r="233" spans="1:6" x14ac:dyDescent="0.25">
      <c r="A233" s="11"/>
      <c r="B233" s="46"/>
      <c r="C233" s="11"/>
      <c r="D233" s="53"/>
      <c r="F233" s="53"/>
    </row>
    <row r="234" spans="1:6" x14ac:dyDescent="0.25">
      <c r="A234" s="11"/>
      <c r="B234" s="46"/>
      <c r="C234" s="11"/>
      <c r="D234" s="53"/>
      <c r="F234" s="53"/>
    </row>
    <row r="235" spans="1:6" x14ac:dyDescent="0.25">
      <c r="A235" s="11"/>
      <c r="B235" s="46"/>
      <c r="C235" s="11"/>
      <c r="D235" s="53"/>
      <c r="F235" s="53"/>
    </row>
    <row r="236" spans="1:6" x14ac:dyDescent="0.25">
      <c r="A236" s="11"/>
      <c r="B236" s="46"/>
      <c r="C236" s="11"/>
      <c r="D236" s="53"/>
      <c r="F236" s="53"/>
    </row>
    <row r="237" spans="1:6" x14ac:dyDescent="0.25">
      <c r="A237" s="11"/>
      <c r="B237" s="46"/>
      <c r="C237" s="11"/>
      <c r="D237" s="53"/>
      <c r="F237" s="53"/>
    </row>
    <row r="238" spans="1:6" x14ac:dyDescent="0.25">
      <c r="A238" s="11"/>
      <c r="B238" s="46"/>
      <c r="C238" s="11"/>
      <c r="D238" s="53"/>
      <c r="F238" s="53"/>
    </row>
    <row r="239" spans="1:6" x14ac:dyDescent="0.25">
      <c r="A239" s="11"/>
      <c r="B239" s="46"/>
      <c r="C239" s="11"/>
      <c r="D239" s="53"/>
      <c r="F239" s="53"/>
    </row>
    <row r="240" spans="1:6" x14ac:dyDescent="0.25">
      <c r="A240" s="11"/>
      <c r="B240" s="46"/>
      <c r="C240" s="11"/>
      <c r="D240" s="53"/>
      <c r="F240" s="53"/>
    </row>
    <row r="241" spans="1:6" x14ac:dyDescent="0.25">
      <c r="A241" s="11"/>
      <c r="B241" s="46"/>
      <c r="C241" s="11"/>
      <c r="D241" s="53"/>
      <c r="F241" s="53"/>
    </row>
    <row r="242" spans="1:6" x14ac:dyDescent="0.25">
      <c r="A242" s="11"/>
      <c r="B242" s="46"/>
      <c r="C242" s="11"/>
      <c r="D242" s="53"/>
      <c r="F242" s="53"/>
    </row>
    <row r="243" spans="1:6" x14ac:dyDescent="0.25">
      <c r="A243" s="11"/>
      <c r="B243" s="46"/>
      <c r="C243" s="11"/>
      <c r="D243" s="53"/>
      <c r="F243" s="53"/>
    </row>
    <row r="244" spans="1:6" x14ac:dyDescent="0.25">
      <c r="A244" s="11"/>
      <c r="B244" s="46"/>
      <c r="C244" s="11"/>
      <c r="D244" s="53"/>
      <c r="F244" s="53"/>
    </row>
    <row r="245" spans="1:6" x14ac:dyDescent="0.25">
      <c r="A245" s="11"/>
      <c r="B245" s="46"/>
      <c r="C245" s="11"/>
      <c r="D245" s="53"/>
      <c r="F245" s="53"/>
    </row>
    <row r="246" spans="1:6" x14ac:dyDescent="0.25">
      <c r="A246" s="11"/>
      <c r="C246" s="11"/>
      <c r="D246" s="53"/>
      <c r="F246" s="53"/>
    </row>
    <row r="247" spans="1:6" ht="13" x14ac:dyDescent="0.3">
      <c r="A247" s="11"/>
      <c r="B247" s="56"/>
      <c r="C247" s="11"/>
      <c r="D247" s="53"/>
      <c r="F247" s="53"/>
    </row>
    <row r="248" spans="1:6" x14ac:dyDescent="0.25">
      <c r="C248" s="11"/>
    </row>
  </sheetData>
  <conditionalFormatting sqref="C58">
    <cfRule type="expression" dxfId="5" priority="6">
      <formula>$K58=0</formula>
    </cfRule>
  </conditionalFormatting>
  <conditionalFormatting sqref="C56:O56">
    <cfRule type="expression" dxfId="4" priority="1">
      <formula>$Q108=0</formula>
    </cfRule>
    <cfRule type="expression" dxfId="3" priority="2">
      <formula>$R56=-1</formula>
    </cfRule>
    <cfRule type="expression" dxfId="2" priority="3">
      <formula>$Q56&gt;=1</formula>
    </cfRule>
    <cfRule type="expression" dxfId="1" priority="4">
      <formula>$W56="Dec"</formula>
    </cfRule>
    <cfRule type="expression" dxfId="0" priority="5">
      <formula>$W56="%"</formula>
    </cfRule>
  </conditionalFormatting>
  <pageMargins left="0.7" right="0.7" top="0.75" bottom="0.75" header="0.3" footer="0.3"/>
  <pageSetup scale="53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P&amp;L</vt:lpstr>
      <vt:lpstr>'P&amp;L'!Print_Area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 Lee</dc:creator>
  <cp:lastModifiedBy>Louis Petauton</cp:lastModifiedBy>
  <dcterms:created xsi:type="dcterms:W3CDTF">2022-01-28T22:39:11Z</dcterms:created>
  <dcterms:modified xsi:type="dcterms:W3CDTF">2024-09-27T19:24:25Z</dcterms:modified>
</cp:coreProperties>
</file>